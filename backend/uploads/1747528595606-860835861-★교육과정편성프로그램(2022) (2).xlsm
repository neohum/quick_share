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2022 업무\학년업무\"/>
    </mc:Choice>
  </mc:AlternateContent>
  <bookViews>
    <workbookView xWindow="1920" yWindow="405" windowWidth="16950" windowHeight="7590" tabRatio="721" activeTab="2"/>
  </bookViews>
  <sheets>
    <sheet name="0.시간표데이터" sheetId="35" r:id="rId1"/>
    <sheet name="0.편제시트틀" sheetId="237" r:id="rId2"/>
    <sheet name="1.연간시수표" sheetId="33" r:id="rId3"/>
    <sheet name="2.★(1학기)연간진도표" sheetId="43" r:id="rId4"/>
    <sheet name="2.★(2학기)연간진도표" sheetId="133" r:id="rId5"/>
  </sheets>
  <definedNames>
    <definedName name="_xlnm._FilterDatabase" localSheetId="1" hidden="1">'0.편제시트틀'!$A$6:$R$6</definedName>
    <definedName name="_xlnm._FilterDatabase" localSheetId="3" hidden="1">'2.★(1학기)연간진도표'!$A$6:$R$926</definedName>
    <definedName name="_xlnm._FilterDatabase" localSheetId="4" hidden="1">'2.★(2학기)연간진도표'!$A$6:$R$1086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V28" i="35" l="1"/>
  <c r="BR7" i="35"/>
  <c r="BR9" i="35"/>
  <c r="BR6" i="35"/>
  <c r="BU27" i="35" s="1"/>
  <c r="BP51" i="33"/>
  <c r="BQ51" i="33"/>
  <c r="BR51" i="33"/>
  <c r="BO51" i="33"/>
  <c r="BR49" i="33"/>
  <c r="BR48" i="33"/>
  <c r="BR33" i="33"/>
  <c r="BR11" i="33"/>
  <c r="BR12" i="33"/>
  <c r="BR13" i="33"/>
  <c r="BR14" i="33"/>
  <c r="BR15" i="33"/>
  <c r="BR16" i="33"/>
  <c r="BR17" i="33"/>
  <c r="BR18" i="33"/>
  <c r="BR19" i="33"/>
  <c r="BR20" i="33"/>
  <c r="BR21" i="33"/>
  <c r="BR22" i="33"/>
  <c r="BR23" i="33"/>
  <c r="BR24" i="33"/>
  <c r="BR25" i="33"/>
  <c r="BR26" i="33"/>
  <c r="BR27" i="33"/>
  <c r="BR28" i="33"/>
  <c r="BR29" i="33"/>
  <c r="BR30" i="33"/>
  <c r="BR31" i="33"/>
  <c r="BR32" i="33"/>
  <c r="BR10" i="33"/>
  <c r="BR54" i="33" l="1"/>
  <c r="BR79" i="33"/>
  <c r="BR35" i="33"/>
  <c r="BR81" i="33" s="1"/>
  <c r="BR69" i="33"/>
  <c r="BR53" i="33"/>
  <c r="BR68" i="33"/>
  <c r="BR67" i="33"/>
  <c r="BR58" i="33"/>
  <c r="BR77" i="33"/>
  <c r="BR61" i="33"/>
  <c r="BR76" i="33"/>
  <c r="BR60" i="33"/>
  <c r="BR75" i="33"/>
  <c r="BR59" i="33"/>
  <c r="BR66" i="33"/>
  <c r="BR64" i="33"/>
  <c r="BR56" i="33"/>
  <c r="BR74" i="33"/>
  <c r="BR73" i="33"/>
  <c r="BR65" i="33"/>
  <c r="BR57" i="33"/>
  <c r="BR72" i="33"/>
  <c r="BR52" i="33"/>
  <c r="BR71" i="33"/>
  <c r="BR63" i="33"/>
  <c r="BR55" i="33"/>
  <c r="BR78" i="33"/>
  <c r="BR70" i="33"/>
  <c r="BR62" i="33"/>
  <c r="G1086" i="133"/>
  <c r="D1086" i="133"/>
  <c r="B1086" i="133"/>
  <c r="C1086" i="133" s="1"/>
  <c r="G1085" i="133"/>
  <c r="D1085" i="133"/>
  <c r="B1085" i="133"/>
  <c r="C1085" i="133" s="1"/>
  <c r="G1084" i="133"/>
  <c r="D1084" i="133"/>
  <c r="B1084" i="133"/>
  <c r="C1084" i="133" s="1"/>
  <c r="G1083" i="133"/>
  <c r="D1083" i="133"/>
  <c r="B1083" i="133"/>
  <c r="C1083" i="133" s="1"/>
  <c r="G1082" i="133"/>
  <c r="D1082" i="133"/>
  <c r="B1082" i="133"/>
  <c r="C1082" i="133" s="1"/>
  <c r="G1081" i="133"/>
  <c r="D1081" i="133"/>
  <c r="B1081" i="133"/>
  <c r="C1081" i="133" s="1"/>
  <c r="G1080" i="133"/>
  <c r="D1080" i="133"/>
  <c r="B1080" i="133"/>
  <c r="C1080" i="133" s="1"/>
  <c r="G1079" i="133"/>
  <c r="D1079" i="133"/>
  <c r="B1079" i="133"/>
  <c r="C1079" i="133" s="1"/>
  <c r="G1078" i="133"/>
  <c r="D1078" i="133"/>
  <c r="B1078" i="133"/>
  <c r="C1078" i="133" s="1"/>
  <c r="G1077" i="133"/>
  <c r="D1077" i="133"/>
  <c r="B1077" i="133"/>
  <c r="C1077" i="133" s="1"/>
  <c r="G1076" i="133"/>
  <c r="D1076" i="133"/>
  <c r="B1076" i="133"/>
  <c r="C1076" i="133" s="1"/>
  <c r="G1075" i="133"/>
  <c r="D1075" i="133"/>
  <c r="B1075" i="133"/>
  <c r="C1075" i="133" s="1"/>
  <c r="G1074" i="133"/>
  <c r="D1074" i="133"/>
  <c r="B1074" i="133"/>
  <c r="C1074" i="133" s="1"/>
  <c r="G1073" i="133"/>
  <c r="D1073" i="133"/>
  <c r="B1073" i="133"/>
  <c r="C1073" i="133" s="1"/>
  <c r="G1072" i="133"/>
  <c r="D1072" i="133"/>
  <c r="B1072" i="133"/>
  <c r="C1072" i="133" s="1"/>
  <c r="G1071" i="133"/>
  <c r="D1071" i="133"/>
  <c r="B1071" i="133"/>
  <c r="C1071" i="133" s="1"/>
  <c r="G1070" i="133"/>
  <c r="D1070" i="133"/>
  <c r="B1070" i="133"/>
  <c r="C1070" i="133" s="1"/>
  <c r="G1069" i="133"/>
  <c r="D1069" i="133"/>
  <c r="B1069" i="133"/>
  <c r="C1069" i="133" s="1"/>
  <c r="G1068" i="133"/>
  <c r="D1068" i="133"/>
  <c r="B1068" i="133"/>
  <c r="C1068" i="133" s="1"/>
  <c r="G1067" i="133"/>
  <c r="D1067" i="133"/>
  <c r="B1067" i="133"/>
  <c r="C1067" i="133" s="1"/>
  <c r="G1066" i="133"/>
  <c r="D1066" i="133"/>
  <c r="B1066" i="133"/>
  <c r="C1066" i="133" s="1"/>
  <c r="G1065" i="133"/>
  <c r="D1065" i="133"/>
  <c r="B1065" i="133"/>
  <c r="C1065" i="133" s="1"/>
  <c r="G1064" i="133"/>
  <c r="D1064" i="133"/>
  <c r="B1064" i="133"/>
  <c r="C1064" i="133" s="1"/>
  <c r="G1063" i="133"/>
  <c r="D1063" i="133"/>
  <c r="B1063" i="133"/>
  <c r="C1063" i="133" s="1"/>
  <c r="G1062" i="133"/>
  <c r="D1062" i="133"/>
  <c r="B1062" i="133"/>
  <c r="C1062" i="133" s="1"/>
  <c r="G1061" i="133"/>
  <c r="D1061" i="133"/>
  <c r="B1061" i="133"/>
  <c r="C1061" i="133" s="1"/>
  <c r="G1060" i="133"/>
  <c r="D1060" i="133"/>
  <c r="B1060" i="133"/>
  <c r="C1060" i="133" s="1"/>
  <c r="G1059" i="133"/>
  <c r="D1059" i="133"/>
  <c r="B1059" i="133"/>
  <c r="C1059" i="133" s="1"/>
  <c r="G1058" i="133"/>
  <c r="D1058" i="133"/>
  <c r="B1058" i="133"/>
  <c r="C1058" i="133" s="1"/>
  <c r="G1057" i="133"/>
  <c r="D1057" i="133"/>
  <c r="B1057" i="133"/>
  <c r="C1057" i="133" s="1"/>
  <c r="G1056" i="133"/>
  <c r="D1056" i="133"/>
  <c r="B1056" i="133"/>
  <c r="C1056" i="133" s="1"/>
  <c r="G1055" i="133"/>
  <c r="D1055" i="133"/>
  <c r="B1055" i="133"/>
  <c r="C1055" i="133" s="1"/>
  <c r="G1054" i="133"/>
  <c r="D1054" i="133"/>
  <c r="B1054" i="133"/>
  <c r="C1054" i="133" s="1"/>
  <c r="G1053" i="133"/>
  <c r="D1053" i="133"/>
  <c r="B1053" i="133"/>
  <c r="C1053" i="133" s="1"/>
  <c r="G1052" i="133"/>
  <c r="D1052" i="133"/>
  <c r="B1052" i="133"/>
  <c r="C1052" i="133" s="1"/>
  <c r="G1051" i="133"/>
  <c r="D1051" i="133"/>
  <c r="B1051" i="133"/>
  <c r="C1051" i="133" s="1"/>
  <c r="G1050" i="133"/>
  <c r="D1050" i="133"/>
  <c r="B1050" i="133"/>
  <c r="C1050" i="133" s="1"/>
  <c r="G1049" i="133"/>
  <c r="D1049" i="133"/>
  <c r="B1049" i="133"/>
  <c r="C1049" i="133" s="1"/>
  <c r="G1048" i="133"/>
  <c r="D1048" i="133"/>
  <c r="B1048" i="133"/>
  <c r="C1048" i="133" s="1"/>
  <c r="G1047" i="133"/>
  <c r="D1047" i="133"/>
  <c r="B1047" i="133"/>
  <c r="C1047" i="133" s="1"/>
  <c r="G1046" i="133"/>
  <c r="D1046" i="133"/>
  <c r="B1046" i="133"/>
  <c r="C1046" i="133" s="1"/>
  <c r="G1045" i="133"/>
  <c r="D1045" i="133"/>
  <c r="B1045" i="133"/>
  <c r="C1045" i="133" s="1"/>
  <c r="G1044" i="133"/>
  <c r="D1044" i="133"/>
  <c r="B1044" i="133"/>
  <c r="C1044" i="133" s="1"/>
  <c r="G1043" i="133"/>
  <c r="D1043" i="133"/>
  <c r="B1043" i="133"/>
  <c r="C1043" i="133" s="1"/>
  <c r="G1042" i="133"/>
  <c r="D1042" i="133"/>
  <c r="B1042" i="133"/>
  <c r="C1042" i="133" s="1"/>
  <c r="G1041" i="133"/>
  <c r="D1041" i="133"/>
  <c r="B1041" i="133"/>
  <c r="C1041" i="133" s="1"/>
  <c r="G1040" i="133"/>
  <c r="D1040" i="133"/>
  <c r="B1040" i="133"/>
  <c r="C1040" i="133" s="1"/>
  <c r="G1039" i="133"/>
  <c r="D1039" i="133"/>
  <c r="B1039" i="133"/>
  <c r="C1039" i="133" s="1"/>
  <c r="G1038" i="133"/>
  <c r="D1038" i="133"/>
  <c r="B1038" i="133"/>
  <c r="C1038" i="133" s="1"/>
  <c r="G1037" i="133"/>
  <c r="D1037" i="133"/>
  <c r="B1037" i="133"/>
  <c r="C1037" i="133" s="1"/>
  <c r="G1036" i="133"/>
  <c r="D1036" i="133"/>
  <c r="B1036" i="133"/>
  <c r="C1036" i="133" s="1"/>
  <c r="G1035" i="133"/>
  <c r="D1035" i="133"/>
  <c r="B1035" i="133"/>
  <c r="C1035" i="133" s="1"/>
  <c r="G1034" i="133"/>
  <c r="D1034" i="133"/>
  <c r="B1034" i="133"/>
  <c r="C1034" i="133" s="1"/>
  <c r="G1033" i="133"/>
  <c r="D1033" i="133"/>
  <c r="B1033" i="133"/>
  <c r="C1033" i="133" s="1"/>
  <c r="G1032" i="133"/>
  <c r="D1032" i="133"/>
  <c r="B1032" i="133"/>
  <c r="C1032" i="133" s="1"/>
  <c r="G1031" i="133"/>
  <c r="D1031" i="133"/>
  <c r="B1031" i="133"/>
  <c r="C1031" i="133" s="1"/>
  <c r="G1030" i="133"/>
  <c r="D1030" i="133"/>
  <c r="B1030" i="133"/>
  <c r="C1030" i="133" s="1"/>
  <c r="G1029" i="133"/>
  <c r="D1029" i="133"/>
  <c r="B1029" i="133"/>
  <c r="C1029" i="133" s="1"/>
  <c r="G1028" i="133"/>
  <c r="D1028" i="133"/>
  <c r="B1028" i="133"/>
  <c r="C1028" i="133" s="1"/>
  <c r="G1027" i="133"/>
  <c r="D1027" i="133"/>
  <c r="B1027" i="133"/>
  <c r="C1027" i="133" s="1"/>
  <c r="G1026" i="133"/>
  <c r="D1026" i="133"/>
  <c r="B1026" i="133"/>
  <c r="C1026" i="133" s="1"/>
  <c r="G1025" i="133"/>
  <c r="D1025" i="133"/>
  <c r="B1025" i="133"/>
  <c r="C1025" i="133" s="1"/>
  <c r="G1024" i="133"/>
  <c r="D1024" i="133"/>
  <c r="B1024" i="133"/>
  <c r="C1024" i="133" s="1"/>
  <c r="G1023" i="133"/>
  <c r="D1023" i="133"/>
  <c r="B1023" i="133"/>
  <c r="C1023" i="133" s="1"/>
  <c r="G1022" i="133"/>
  <c r="D1022" i="133"/>
  <c r="B1022" i="133"/>
  <c r="C1022" i="133" s="1"/>
  <c r="G1021" i="133"/>
  <c r="D1021" i="133"/>
  <c r="B1021" i="133"/>
  <c r="C1021" i="133" s="1"/>
  <c r="G1020" i="133"/>
  <c r="D1020" i="133"/>
  <c r="B1020" i="133"/>
  <c r="C1020" i="133" s="1"/>
  <c r="G1019" i="133"/>
  <c r="D1019" i="133"/>
  <c r="B1019" i="133"/>
  <c r="C1019" i="133" s="1"/>
  <c r="G1018" i="133"/>
  <c r="D1018" i="133"/>
  <c r="B1018" i="133"/>
  <c r="C1018" i="133" s="1"/>
  <c r="G1017" i="133"/>
  <c r="D1017" i="133"/>
  <c r="B1017" i="133"/>
  <c r="C1017" i="133" s="1"/>
  <c r="G1016" i="133"/>
  <c r="D1016" i="133"/>
  <c r="B1016" i="133"/>
  <c r="C1016" i="133" s="1"/>
  <c r="G1015" i="133"/>
  <c r="D1015" i="133"/>
  <c r="B1015" i="133"/>
  <c r="C1015" i="133" s="1"/>
  <c r="G1014" i="133"/>
  <c r="D1014" i="133"/>
  <c r="B1014" i="133"/>
  <c r="C1014" i="133" s="1"/>
  <c r="G1013" i="133"/>
  <c r="D1013" i="133"/>
  <c r="B1013" i="133"/>
  <c r="C1013" i="133" s="1"/>
  <c r="G1012" i="133"/>
  <c r="D1012" i="133"/>
  <c r="B1012" i="133"/>
  <c r="C1012" i="133" s="1"/>
  <c r="G1011" i="133"/>
  <c r="D1011" i="133"/>
  <c r="B1011" i="133"/>
  <c r="C1011" i="133" s="1"/>
  <c r="G1010" i="133"/>
  <c r="D1010" i="133"/>
  <c r="B1010" i="133"/>
  <c r="C1010" i="133" s="1"/>
  <c r="G1009" i="133"/>
  <c r="D1009" i="133"/>
  <c r="B1009" i="133"/>
  <c r="C1009" i="133" s="1"/>
  <c r="G1008" i="133"/>
  <c r="D1008" i="133"/>
  <c r="B1008" i="133"/>
  <c r="C1008" i="133" s="1"/>
  <c r="G1007" i="133"/>
  <c r="D1007" i="133"/>
  <c r="B1007" i="133"/>
  <c r="C1007" i="133" s="1"/>
  <c r="G1006" i="133"/>
  <c r="D1006" i="133"/>
  <c r="B1006" i="133"/>
  <c r="C1006" i="133" s="1"/>
  <c r="G1005" i="133"/>
  <c r="D1005" i="133"/>
  <c r="B1005" i="133"/>
  <c r="C1005" i="133" s="1"/>
  <c r="G1004" i="133"/>
  <c r="D1004" i="133"/>
  <c r="B1004" i="133"/>
  <c r="C1004" i="133" s="1"/>
  <c r="G1003" i="133"/>
  <c r="D1003" i="133"/>
  <c r="B1003" i="133"/>
  <c r="C1003" i="133" s="1"/>
  <c r="G1002" i="133"/>
  <c r="D1002" i="133"/>
  <c r="B1002" i="133"/>
  <c r="C1002" i="133" s="1"/>
  <c r="G1001" i="133"/>
  <c r="D1001" i="133"/>
  <c r="B1001" i="133"/>
  <c r="C1001" i="133" s="1"/>
  <c r="G1000" i="133"/>
  <c r="D1000" i="133"/>
  <c r="B1000" i="133"/>
  <c r="C1000" i="133" s="1"/>
  <c r="G999" i="133"/>
  <c r="D999" i="133"/>
  <c r="B999" i="133"/>
  <c r="C999" i="133" s="1"/>
  <c r="G998" i="133"/>
  <c r="D998" i="133"/>
  <c r="B998" i="133"/>
  <c r="C998" i="133" s="1"/>
  <c r="G997" i="133"/>
  <c r="D997" i="133"/>
  <c r="B997" i="133"/>
  <c r="C997" i="133" s="1"/>
  <c r="G996" i="133"/>
  <c r="D996" i="133"/>
  <c r="B996" i="133"/>
  <c r="C996" i="133" s="1"/>
  <c r="G995" i="133"/>
  <c r="D995" i="133"/>
  <c r="B995" i="133"/>
  <c r="C995" i="133" s="1"/>
  <c r="G994" i="133"/>
  <c r="D994" i="133"/>
  <c r="B994" i="133"/>
  <c r="C994" i="133" s="1"/>
  <c r="G993" i="133"/>
  <c r="D993" i="133"/>
  <c r="B993" i="133"/>
  <c r="C993" i="133" s="1"/>
  <c r="G992" i="133"/>
  <c r="D992" i="133"/>
  <c r="B992" i="133"/>
  <c r="C992" i="133" s="1"/>
  <c r="G991" i="133"/>
  <c r="D991" i="133"/>
  <c r="B991" i="133"/>
  <c r="C991" i="133" s="1"/>
  <c r="G990" i="133"/>
  <c r="D990" i="133"/>
  <c r="B990" i="133"/>
  <c r="C990" i="133" s="1"/>
  <c r="G989" i="133"/>
  <c r="D989" i="133"/>
  <c r="B989" i="133"/>
  <c r="C989" i="133" s="1"/>
  <c r="G988" i="133"/>
  <c r="D988" i="133"/>
  <c r="B988" i="133"/>
  <c r="C988" i="133" s="1"/>
  <c r="G987" i="133"/>
  <c r="D987" i="133"/>
  <c r="B987" i="133"/>
  <c r="C987" i="133" s="1"/>
  <c r="G986" i="133"/>
  <c r="D986" i="133"/>
  <c r="B986" i="133"/>
  <c r="C986" i="133" s="1"/>
  <c r="G985" i="133"/>
  <c r="D985" i="133"/>
  <c r="B985" i="133"/>
  <c r="C985" i="133" s="1"/>
  <c r="G984" i="133"/>
  <c r="D984" i="133"/>
  <c r="B984" i="133"/>
  <c r="C984" i="133" s="1"/>
  <c r="G983" i="133"/>
  <c r="D983" i="133"/>
  <c r="B983" i="133"/>
  <c r="C983" i="133" s="1"/>
  <c r="G982" i="133"/>
  <c r="D982" i="133"/>
  <c r="B982" i="133"/>
  <c r="C982" i="133" s="1"/>
  <c r="G981" i="133"/>
  <c r="D981" i="133"/>
  <c r="B981" i="133"/>
  <c r="C981" i="133" s="1"/>
  <c r="G980" i="133"/>
  <c r="D980" i="133"/>
  <c r="B980" i="133"/>
  <c r="C980" i="133" s="1"/>
  <c r="G979" i="133"/>
  <c r="D979" i="133"/>
  <c r="B979" i="133"/>
  <c r="C979" i="133" s="1"/>
  <c r="G978" i="133"/>
  <c r="D978" i="133"/>
  <c r="B978" i="133"/>
  <c r="C978" i="133" s="1"/>
  <c r="G977" i="133"/>
  <c r="D977" i="133"/>
  <c r="B977" i="133"/>
  <c r="C977" i="133" s="1"/>
  <c r="G976" i="133"/>
  <c r="D976" i="133"/>
  <c r="B976" i="133"/>
  <c r="C976" i="133" s="1"/>
  <c r="G975" i="133"/>
  <c r="D975" i="133"/>
  <c r="B975" i="133"/>
  <c r="C975" i="133" s="1"/>
  <c r="G974" i="133"/>
  <c r="D974" i="133"/>
  <c r="B974" i="133"/>
  <c r="C974" i="133" s="1"/>
  <c r="G973" i="133"/>
  <c r="D973" i="133"/>
  <c r="B973" i="133"/>
  <c r="C973" i="133" s="1"/>
  <c r="G972" i="133"/>
  <c r="D972" i="133"/>
  <c r="B972" i="133"/>
  <c r="C972" i="133" s="1"/>
  <c r="G971" i="133"/>
  <c r="D971" i="133"/>
  <c r="B971" i="133"/>
  <c r="C971" i="133" s="1"/>
  <c r="G970" i="133"/>
  <c r="D970" i="133"/>
  <c r="B970" i="133"/>
  <c r="C970" i="133" s="1"/>
  <c r="G969" i="133"/>
  <c r="D969" i="133"/>
  <c r="B969" i="133"/>
  <c r="C969" i="133" s="1"/>
  <c r="G968" i="133"/>
  <c r="D968" i="133"/>
  <c r="B968" i="133"/>
  <c r="C968" i="133" s="1"/>
  <c r="G967" i="133"/>
  <c r="D967" i="133"/>
  <c r="B967" i="133"/>
  <c r="C967" i="133" s="1"/>
  <c r="G966" i="133"/>
  <c r="D966" i="133"/>
  <c r="B966" i="133"/>
  <c r="C966" i="133" s="1"/>
  <c r="G965" i="133"/>
  <c r="D965" i="133"/>
  <c r="B965" i="133"/>
  <c r="C965" i="133" s="1"/>
  <c r="G964" i="133"/>
  <c r="D964" i="133"/>
  <c r="B964" i="133"/>
  <c r="C964" i="133" s="1"/>
  <c r="G963" i="133"/>
  <c r="D963" i="133"/>
  <c r="B963" i="133"/>
  <c r="C963" i="133" s="1"/>
  <c r="G962" i="133"/>
  <c r="D962" i="133"/>
  <c r="B962" i="133"/>
  <c r="C962" i="133" s="1"/>
  <c r="G961" i="133"/>
  <c r="D961" i="133"/>
  <c r="B961" i="133"/>
  <c r="C961" i="133" s="1"/>
  <c r="G960" i="133"/>
  <c r="D960" i="133"/>
  <c r="B960" i="133"/>
  <c r="C960" i="133" s="1"/>
  <c r="G959" i="133"/>
  <c r="D959" i="133"/>
  <c r="B959" i="133"/>
  <c r="C959" i="133" s="1"/>
  <c r="G958" i="133"/>
  <c r="D958" i="133"/>
  <c r="B958" i="133"/>
  <c r="C958" i="133" s="1"/>
  <c r="G957" i="133"/>
  <c r="D957" i="133"/>
  <c r="B957" i="133"/>
  <c r="C957" i="133" s="1"/>
  <c r="G956" i="133"/>
  <c r="D956" i="133"/>
  <c r="B956" i="133"/>
  <c r="C956" i="133" s="1"/>
  <c r="G955" i="133"/>
  <c r="D955" i="133"/>
  <c r="B955" i="133"/>
  <c r="C955" i="133" s="1"/>
  <c r="G954" i="133"/>
  <c r="D954" i="133"/>
  <c r="B954" i="133"/>
  <c r="C954" i="133" s="1"/>
  <c r="G953" i="133"/>
  <c r="D953" i="133"/>
  <c r="B953" i="133"/>
  <c r="C953" i="133" s="1"/>
  <c r="G952" i="133"/>
  <c r="D952" i="133"/>
  <c r="B952" i="133"/>
  <c r="C952" i="133" s="1"/>
  <c r="G951" i="133"/>
  <c r="D951" i="133"/>
  <c r="B951" i="133"/>
  <c r="C951" i="133" s="1"/>
  <c r="G950" i="133"/>
  <c r="D950" i="133"/>
  <c r="B950" i="133"/>
  <c r="C950" i="133" s="1"/>
  <c r="G949" i="133"/>
  <c r="D949" i="133"/>
  <c r="B949" i="133"/>
  <c r="C949" i="133" s="1"/>
  <c r="G948" i="133"/>
  <c r="D948" i="133"/>
  <c r="B948" i="133"/>
  <c r="C948" i="133" s="1"/>
  <c r="G947" i="133"/>
  <c r="D947" i="133"/>
  <c r="B947" i="133"/>
  <c r="C947" i="133" s="1"/>
  <c r="G946" i="133"/>
  <c r="D946" i="133"/>
  <c r="B946" i="133"/>
  <c r="C946" i="133" s="1"/>
  <c r="G945" i="133"/>
  <c r="D945" i="133"/>
  <c r="B945" i="133"/>
  <c r="C945" i="133" s="1"/>
  <c r="G944" i="133"/>
  <c r="D944" i="133"/>
  <c r="B944" i="133"/>
  <c r="C944" i="133" s="1"/>
  <c r="G943" i="133"/>
  <c r="D943" i="133"/>
  <c r="B943" i="133"/>
  <c r="C943" i="133" s="1"/>
  <c r="G942" i="133"/>
  <c r="D942" i="133"/>
  <c r="B942" i="133"/>
  <c r="C942" i="133" s="1"/>
  <c r="G941" i="133"/>
  <c r="D941" i="133"/>
  <c r="B941" i="133"/>
  <c r="C941" i="133" s="1"/>
  <c r="G940" i="133"/>
  <c r="D940" i="133"/>
  <c r="B940" i="133"/>
  <c r="C940" i="133" s="1"/>
  <c r="G939" i="133"/>
  <c r="D939" i="133"/>
  <c r="B939" i="133"/>
  <c r="C939" i="133" s="1"/>
  <c r="G938" i="133"/>
  <c r="D938" i="133"/>
  <c r="B938" i="133"/>
  <c r="C938" i="133" s="1"/>
  <c r="G937" i="133"/>
  <c r="D937" i="133"/>
  <c r="B937" i="133"/>
  <c r="C937" i="133" s="1"/>
  <c r="G936" i="133"/>
  <c r="D936" i="133"/>
  <c r="B936" i="133"/>
  <c r="C936" i="133" s="1"/>
  <c r="G935" i="133"/>
  <c r="D935" i="133"/>
  <c r="B935" i="133"/>
  <c r="C935" i="133" s="1"/>
  <c r="G934" i="133"/>
  <c r="D934" i="133"/>
  <c r="B934" i="133"/>
  <c r="C934" i="133" s="1"/>
  <c r="G933" i="133"/>
  <c r="D933" i="133"/>
  <c r="B933" i="133"/>
  <c r="C933" i="133" s="1"/>
  <c r="G932" i="133"/>
  <c r="D932" i="133"/>
  <c r="B932" i="133"/>
  <c r="C932" i="133" s="1"/>
  <c r="G931" i="133"/>
  <c r="D931" i="133"/>
  <c r="B931" i="133"/>
  <c r="C931" i="133" s="1"/>
  <c r="G930" i="133"/>
  <c r="D930" i="133"/>
  <c r="B930" i="133"/>
  <c r="C930" i="133" s="1"/>
  <c r="G929" i="133"/>
  <c r="D929" i="133"/>
  <c r="B929" i="133"/>
  <c r="C929" i="133" s="1"/>
  <c r="G928" i="133"/>
  <c r="D928" i="133"/>
  <c r="B928" i="133"/>
  <c r="C928" i="133" s="1"/>
  <c r="G927" i="133"/>
  <c r="D927" i="133"/>
  <c r="B927" i="133"/>
  <c r="C927" i="133" s="1"/>
  <c r="G926" i="133"/>
  <c r="D926" i="133"/>
  <c r="B926" i="133"/>
  <c r="C926" i="133" s="1"/>
  <c r="G925" i="133"/>
  <c r="D925" i="133"/>
  <c r="B925" i="133"/>
  <c r="C925" i="133" s="1"/>
  <c r="G924" i="133"/>
  <c r="D924" i="133"/>
  <c r="B924" i="133"/>
  <c r="C924" i="133" s="1"/>
  <c r="G923" i="133"/>
  <c r="D923" i="133"/>
  <c r="B923" i="133"/>
  <c r="C923" i="133" s="1"/>
  <c r="G922" i="133"/>
  <c r="D922" i="133"/>
  <c r="B922" i="133"/>
  <c r="C922" i="133" s="1"/>
  <c r="G921" i="133"/>
  <c r="D921" i="133"/>
  <c r="B921" i="133"/>
  <c r="C921" i="133" s="1"/>
  <c r="G920" i="133"/>
  <c r="D920" i="133"/>
  <c r="B920" i="133"/>
  <c r="C920" i="133" s="1"/>
  <c r="G919" i="133"/>
  <c r="D919" i="133"/>
  <c r="B919" i="133"/>
  <c r="C919" i="133" s="1"/>
  <c r="G918" i="133"/>
  <c r="D918" i="133"/>
  <c r="B918" i="133"/>
  <c r="C918" i="133" s="1"/>
  <c r="G917" i="133"/>
  <c r="D917" i="133"/>
  <c r="B917" i="133"/>
  <c r="C917" i="133" s="1"/>
  <c r="G916" i="133"/>
  <c r="D916" i="133"/>
  <c r="B916" i="133"/>
  <c r="C916" i="133" s="1"/>
  <c r="G915" i="133"/>
  <c r="D915" i="133"/>
  <c r="B915" i="133"/>
  <c r="C915" i="133" s="1"/>
  <c r="G914" i="133"/>
  <c r="D914" i="133"/>
  <c r="B914" i="133"/>
  <c r="C914" i="133" s="1"/>
  <c r="G913" i="133"/>
  <c r="D913" i="133"/>
  <c r="B913" i="133"/>
  <c r="C913" i="133" s="1"/>
  <c r="G912" i="133"/>
  <c r="D912" i="133"/>
  <c r="B912" i="133"/>
  <c r="C912" i="133" s="1"/>
  <c r="G911" i="133"/>
  <c r="D911" i="133"/>
  <c r="B911" i="133"/>
  <c r="C911" i="133" s="1"/>
  <c r="G910" i="133"/>
  <c r="D910" i="133"/>
  <c r="B910" i="133"/>
  <c r="C910" i="133" s="1"/>
  <c r="G909" i="133"/>
  <c r="D909" i="133"/>
  <c r="B909" i="133"/>
  <c r="C909" i="133" s="1"/>
  <c r="G908" i="133"/>
  <c r="D908" i="133"/>
  <c r="B908" i="133"/>
  <c r="C908" i="133" s="1"/>
  <c r="G907" i="133"/>
  <c r="D907" i="133"/>
  <c r="B907" i="133"/>
  <c r="C907" i="133" s="1"/>
  <c r="G906" i="133"/>
  <c r="D906" i="133"/>
  <c r="B906" i="133"/>
  <c r="C906" i="133" s="1"/>
  <c r="G905" i="133"/>
  <c r="D905" i="133"/>
  <c r="B905" i="133"/>
  <c r="C905" i="133" s="1"/>
  <c r="G904" i="133"/>
  <c r="D904" i="133"/>
  <c r="B904" i="133"/>
  <c r="C904" i="133" s="1"/>
  <c r="G903" i="133"/>
  <c r="D903" i="133"/>
  <c r="B903" i="133"/>
  <c r="C903" i="133" s="1"/>
  <c r="G902" i="133"/>
  <c r="D902" i="133"/>
  <c r="B902" i="133"/>
  <c r="C902" i="133" s="1"/>
  <c r="G901" i="133"/>
  <c r="D901" i="133"/>
  <c r="B901" i="133"/>
  <c r="C901" i="133" s="1"/>
  <c r="G900" i="133"/>
  <c r="D900" i="133"/>
  <c r="B900" i="133"/>
  <c r="C900" i="133" s="1"/>
  <c r="G899" i="133"/>
  <c r="D899" i="133"/>
  <c r="B899" i="133"/>
  <c r="C899" i="133" s="1"/>
  <c r="G898" i="133"/>
  <c r="D898" i="133"/>
  <c r="B898" i="133"/>
  <c r="C898" i="133" s="1"/>
  <c r="G897" i="133"/>
  <c r="D897" i="133"/>
  <c r="B897" i="133"/>
  <c r="C897" i="133" s="1"/>
  <c r="G896" i="133"/>
  <c r="D896" i="133"/>
  <c r="B896" i="133"/>
  <c r="C896" i="133" s="1"/>
  <c r="G895" i="133"/>
  <c r="D895" i="133"/>
  <c r="B895" i="133"/>
  <c r="C895" i="133" s="1"/>
  <c r="G894" i="133"/>
  <c r="D894" i="133"/>
  <c r="B894" i="133"/>
  <c r="C894" i="133" s="1"/>
  <c r="G893" i="133"/>
  <c r="D893" i="133"/>
  <c r="B893" i="133"/>
  <c r="C893" i="133" s="1"/>
  <c r="G892" i="133"/>
  <c r="D892" i="133"/>
  <c r="B892" i="133"/>
  <c r="C892" i="133" s="1"/>
  <c r="G891" i="133"/>
  <c r="D891" i="133"/>
  <c r="B891" i="133"/>
  <c r="C891" i="133" s="1"/>
  <c r="G890" i="133"/>
  <c r="D890" i="133"/>
  <c r="B890" i="133"/>
  <c r="C890" i="133" s="1"/>
  <c r="G889" i="133"/>
  <c r="D889" i="133"/>
  <c r="B889" i="133"/>
  <c r="C889" i="133" s="1"/>
  <c r="G888" i="133"/>
  <c r="D888" i="133"/>
  <c r="B888" i="133"/>
  <c r="C888" i="133" s="1"/>
  <c r="G887" i="133"/>
  <c r="D887" i="133"/>
  <c r="B887" i="133"/>
  <c r="C887" i="133" s="1"/>
  <c r="G886" i="133"/>
  <c r="D886" i="133"/>
  <c r="B886" i="133"/>
  <c r="C886" i="133" s="1"/>
  <c r="G885" i="133"/>
  <c r="D885" i="133"/>
  <c r="B885" i="133"/>
  <c r="C885" i="133" s="1"/>
  <c r="G884" i="133"/>
  <c r="D884" i="133"/>
  <c r="B884" i="133"/>
  <c r="C884" i="133" s="1"/>
  <c r="G883" i="133"/>
  <c r="D883" i="133"/>
  <c r="B883" i="133"/>
  <c r="C883" i="133" s="1"/>
  <c r="G882" i="133"/>
  <c r="D882" i="133"/>
  <c r="B882" i="133"/>
  <c r="C882" i="133" s="1"/>
  <c r="G881" i="133"/>
  <c r="D881" i="133"/>
  <c r="B881" i="133"/>
  <c r="C881" i="133" s="1"/>
  <c r="G880" i="133"/>
  <c r="D880" i="133"/>
  <c r="B880" i="133"/>
  <c r="C880" i="133" s="1"/>
  <c r="G879" i="133"/>
  <c r="D879" i="133"/>
  <c r="B879" i="133"/>
  <c r="C879" i="133" s="1"/>
  <c r="G878" i="133"/>
  <c r="D878" i="133"/>
  <c r="B878" i="133"/>
  <c r="C878" i="133" s="1"/>
  <c r="G877" i="133"/>
  <c r="D877" i="133"/>
  <c r="B877" i="133"/>
  <c r="C877" i="133" s="1"/>
  <c r="G876" i="133"/>
  <c r="D876" i="133"/>
  <c r="B876" i="133"/>
  <c r="C876" i="133" s="1"/>
  <c r="G875" i="133"/>
  <c r="D875" i="133"/>
  <c r="B875" i="133"/>
  <c r="C875" i="133" s="1"/>
  <c r="G874" i="133"/>
  <c r="D874" i="133"/>
  <c r="B874" i="133"/>
  <c r="C874" i="133" s="1"/>
  <c r="G873" i="133"/>
  <c r="D873" i="133"/>
  <c r="B873" i="133"/>
  <c r="C873" i="133" s="1"/>
  <c r="G872" i="133"/>
  <c r="D872" i="133"/>
  <c r="B872" i="133"/>
  <c r="C872" i="133" s="1"/>
  <c r="G871" i="133"/>
  <c r="D871" i="133"/>
  <c r="B871" i="133"/>
  <c r="C871" i="133" s="1"/>
  <c r="G870" i="133"/>
  <c r="D870" i="133"/>
  <c r="B870" i="133"/>
  <c r="C870" i="133" s="1"/>
  <c r="G869" i="133"/>
  <c r="D869" i="133"/>
  <c r="B869" i="133"/>
  <c r="C869" i="133" s="1"/>
  <c r="G868" i="133"/>
  <c r="D868" i="133"/>
  <c r="B868" i="133"/>
  <c r="C868" i="133" s="1"/>
  <c r="G867" i="133"/>
  <c r="D867" i="133"/>
  <c r="B867" i="133"/>
  <c r="C867" i="133" s="1"/>
  <c r="G866" i="133"/>
  <c r="D866" i="133"/>
  <c r="B866" i="133"/>
  <c r="C866" i="133" s="1"/>
  <c r="G865" i="133"/>
  <c r="D865" i="133"/>
  <c r="B865" i="133"/>
  <c r="C865" i="133" s="1"/>
  <c r="G864" i="133"/>
  <c r="D864" i="133"/>
  <c r="B864" i="133"/>
  <c r="C864" i="133" s="1"/>
  <c r="G863" i="133"/>
  <c r="D863" i="133"/>
  <c r="B863" i="133"/>
  <c r="C863" i="133" s="1"/>
  <c r="G862" i="133"/>
  <c r="D862" i="133"/>
  <c r="B862" i="133"/>
  <c r="C862" i="133" s="1"/>
  <c r="G861" i="133"/>
  <c r="D861" i="133"/>
  <c r="B861" i="133"/>
  <c r="C861" i="133" s="1"/>
  <c r="G860" i="133"/>
  <c r="D860" i="133"/>
  <c r="B860" i="133"/>
  <c r="C860" i="133" s="1"/>
  <c r="G859" i="133"/>
  <c r="D859" i="133"/>
  <c r="B859" i="133"/>
  <c r="C859" i="133" s="1"/>
  <c r="G858" i="133"/>
  <c r="D858" i="133"/>
  <c r="B858" i="133"/>
  <c r="C858" i="133" s="1"/>
  <c r="G857" i="133"/>
  <c r="D857" i="133"/>
  <c r="B857" i="133"/>
  <c r="C857" i="133" s="1"/>
  <c r="G856" i="133"/>
  <c r="D856" i="133"/>
  <c r="B856" i="133"/>
  <c r="C856" i="133" s="1"/>
  <c r="G855" i="133"/>
  <c r="D855" i="133"/>
  <c r="B855" i="133"/>
  <c r="C855" i="133" s="1"/>
  <c r="G854" i="133"/>
  <c r="D854" i="133"/>
  <c r="B854" i="133"/>
  <c r="C854" i="133" s="1"/>
  <c r="G853" i="133"/>
  <c r="D853" i="133"/>
  <c r="B853" i="133"/>
  <c r="C853" i="133" s="1"/>
  <c r="G852" i="133"/>
  <c r="D852" i="133"/>
  <c r="B852" i="133"/>
  <c r="C852" i="133" s="1"/>
  <c r="G851" i="133"/>
  <c r="D851" i="133"/>
  <c r="B851" i="133"/>
  <c r="C851" i="133" s="1"/>
  <c r="G850" i="133"/>
  <c r="D850" i="133"/>
  <c r="B850" i="133"/>
  <c r="C850" i="133" s="1"/>
  <c r="G849" i="133"/>
  <c r="D849" i="133"/>
  <c r="B849" i="133"/>
  <c r="C849" i="133" s="1"/>
  <c r="G848" i="133"/>
  <c r="D848" i="133"/>
  <c r="B848" i="133"/>
  <c r="C848" i="133" s="1"/>
  <c r="G847" i="133"/>
  <c r="D847" i="133"/>
  <c r="B847" i="133"/>
  <c r="C847" i="133" s="1"/>
  <c r="G846" i="133"/>
  <c r="D846" i="133"/>
  <c r="B846" i="133"/>
  <c r="C846" i="133" s="1"/>
  <c r="G845" i="133"/>
  <c r="D845" i="133"/>
  <c r="B845" i="133"/>
  <c r="C845" i="133" s="1"/>
  <c r="G844" i="133"/>
  <c r="D844" i="133"/>
  <c r="B844" i="133"/>
  <c r="C844" i="133" s="1"/>
  <c r="G843" i="133"/>
  <c r="D843" i="133"/>
  <c r="B843" i="133"/>
  <c r="C843" i="133" s="1"/>
  <c r="G842" i="133"/>
  <c r="D842" i="133"/>
  <c r="B842" i="133"/>
  <c r="C842" i="133" s="1"/>
  <c r="G841" i="133"/>
  <c r="D841" i="133"/>
  <c r="B841" i="133"/>
  <c r="C841" i="133" s="1"/>
  <c r="G840" i="133"/>
  <c r="D840" i="133"/>
  <c r="B840" i="133"/>
  <c r="C840" i="133" s="1"/>
  <c r="G839" i="133"/>
  <c r="D839" i="133"/>
  <c r="B839" i="133"/>
  <c r="C839" i="133" s="1"/>
  <c r="G838" i="133"/>
  <c r="D838" i="133"/>
  <c r="B838" i="133"/>
  <c r="C838" i="133" s="1"/>
  <c r="G837" i="133"/>
  <c r="D837" i="133"/>
  <c r="B837" i="133"/>
  <c r="C837" i="133" s="1"/>
  <c r="G836" i="133"/>
  <c r="D836" i="133"/>
  <c r="B836" i="133"/>
  <c r="C836" i="133" s="1"/>
  <c r="G835" i="133"/>
  <c r="D835" i="133"/>
  <c r="B835" i="133"/>
  <c r="C835" i="133" s="1"/>
  <c r="G834" i="133"/>
  <c r="D834" i="133"/>
  <c r="B834" i="133"/>
  <c r="C834" i="133" s="1"/>
  <c r="G833" i="133"/>
  <c r="D833" i="133"/>
  <c r="B833" i="133"/>
  <c r="C833" i="133" s="1"/>
  <c r="G832" i="133"/>
  <c r="D832" i="133"/>
  <c r="B832" i="133"/>
  <c r="C832" i="133" s="1"/>
  <c r="G831" i="133"/>
  <c r="D831" i="133"/>
  <c r="B831" i="133"/>
  <c r="C831" i="133" s="1"/>
  <c r="G830" i="133"/>
  <c r="D830" i="133"/>
  <c r="B830" i="133"/>
  <c r="C830" i="133" s="1"/>
  <c r="G829" i="133"/>
  <c r="D829" i="133"/>
  <c r="B829" i="133"/>
  <c r="C829" i="133" s="1"/>
  <c r="G828" i="133"/>
  <c r="D828" i="133"/>
  <c r="B828" i="133"/>
  <c r="C828" i="133" s="1"/>
  <c r="G827" i="133"/>
  <c r="D827" i="133"/>
  <c r="B827" i="133"/>
  <c r="C827" i="133" s="1"/>
  <c r="G826" i="133"/>
  <c r="D826" i="133"/>
  <c r="B826" i="133"/>
  <c r="C826" i="133" s="1"/>
  <c r="G825" i="133"/>
  <c r="D825" i="133"/>
  <c r="B825" i="133"/>
  <c r="C825" i="133" s="1"/>
  <c r="G824" i="133"/>
  <c r="D824" i="133"/>
  <c r="B824" i="133"/>
  <c r="C824" i="133" s="1"/>
  <c r="G823" i="133"/>
  <c r="D823" i="133"/>
  <c r="B823" i="133"/>
  <c r="C823" i="133" s="1"/>
  <c r="G822" i="133"/>
  <c r="D822" i="133"/>
  <c r="B822" i="133"/>
  <c r="C822" i="133" s="1"/>
  <c r="G821" i="133"/>
  <c r="D821" i="133"/>
  <c r="B821" i="133"/>
  <c r="C821" i="133" s="1"/>
  <c r="G820" i="133"/>
  <c r="D820" i="133"/>
  <c r="B820" i="133"/>
  <c r="C820" i="133" s="1"/>
  <c r="G819" i="133"/>
  <c r="D819" i="133"/>
  <c r="B819" i="133"/>
  <c r="C819" i="133" s="1"/>
  <c r="G818" i="133"/>
  <c r="D818" i="133"/>
  <c r="B818" i="133"/>
  <c r="C818" i="133" s="1"/>
  <c r="G817" i="133"/>
  <c r="D817" i="133"/>
  <c r="B817" i="133"/>
  <c r="C817" i="133" s="1"/>
  <c r="G816" i="133"/>
  <c r="D816" i="133"/>
  <c r="B816" i="133"/>
  <c r="C816" i="133" s="1"/>
  <c r="G815" i="133"/>
  <c r="D815" i="133"/>
  <c r="B815" i="133"/>
  <c r="C815" i="133" s="1"/>
  <c r="G814" i="133"/>
  <c r="D814" i="133"/>
  <c r="B814" i="133"/>
  <c r="C814" i="133" s="1"/>
  <c r="G813" i="133"/>
  <c r="D813" i="133"/>
  <c r="B813" i="133"/>
  <c r="C813" i="133" s="1"/>
  <c r="G812" i="133"/>
  <c r="D812" i="133"/>
  <c r="B812" i="133"/>
  <c r="C812" i="133" s="1"/>
  <c r="G811" i="133"/>
  <c r="D811" i="133"/>
  <c r="B811" i="133"/>
  <c r="C811" i="133" s="1"/>
  <c r="G810" i="133"/>
  <c r="D810" i="133"/>
  <c r="B810" i="133"/>
  <c r="C810" i="133" s="1"/>
  <c r="G809" i="133"/>
  <c r="D809" i="133"/>
  <c r="B809" i="133"/>
  <c r="C809" i="133" s="1"/>
  <c r="G808" i="133"/>
  <c r="D808" i="133"/>
  <c r="B808" i="133"/>
  <c r="C808" i="133" s="1"/>
  <c r="G807" i="133"/>
  <c r="D807" i="133"/>
  <c r="B807" i="133"/>
  <c r="C807" i="133" s="1"/>
  <c r="G806" i="133"/>
  <c r="D806" i="133"/>
  <c r="B806" i="133"/>
  <c r="C806" i="133" s="1"/>
  <c r="G805" i="133"/>
  <c r="D805" i="133"/>
  <c r="B805" i="133"/>
  <c r="C805" i="133" s="1"/>
  <c r="G804" i="133"/>
  <c r="D804" i="133"/>
  <c r="B804" i="133"/>
  <c r="C804" i="133" s="1"/>
  <c r="G803" i="133"/>
  <c r="D803" i="133"/>
  <c r="B803" i="133"/>
  <c r="C803" i="133" s="1"/>
  <c r="G802" i="133"/>
  <c r="D802" i="133"/>
  <c r="B802" i="133"/>
  <c r="C802" i="133" s="1"/>
  <c r="G801" i="133"/>
  <c r="D801" i="133"/>
  <c r="B801" i="133"/>
  <c r="C801" i="133" s="1"/>
  <c r="G800" i="133"/>
  <c r="D800" i="133"/>
  <c r="B800" i="133"/>
  <c r="C800" i="133" s="1"/>
  <c r="G799" i="133"/>
  <c r="D799" i="133"/>
  <c r="B799" i="133"/>
  <c r="C799" i="133" s="1"/>
  <c r="G798" i="133"/>
  <c r="D798" i="133"/>
  <c r="B798" i="133"/>
  <c r="C798" i="133" s="1"/>
  <c r="G797" i="133"/>
  <c r="D797" i="133"/>
  <c r="B797" i="133"/>
  <c r="C797" i="133" s="1"/>
  <c r="G796" i="133"/>
  <c r="D796" i="133"/>
  <c r="B796" i="133"/>
  <c r="C796" i="133" s="1"/>
  <c r="G795" i="133"/>
  <c r="D795" i="133"/>
  <c r="B795" i="133"/>
  <c r="C795" i="133" s="1"/>
  <c r="G794" i="133"/>
  <c r="D794" i="133"/>
  <c r="B794" i="133"/>
  <c r="C794" i="133" s="1"/>
  <c r="G793" i="133"/>
  <c r="D793" i="133"/>
  <c r="B793" i="133"/>
  <c r="C793" i="133" s="1"/>
  <c r="G792" i="133"/>
  <c r="D792" i="133"/>
  <c r="B792" i="133"/>
  <c r="C792" i="133" s="1"/>
  <c r="G791" i="133"/>
  <c r="D791" i="133"/>
  <c r="B791" i="133"/>
  <c r="C791" i="133" s="1"/>
  <c r="G790" i="133"/>
  <c r="D790" i="133"/>
  <c r="B790" i="133"/>
  <c r="C790" i="133" s="1"/>
  <c r="G789" i="133"/>
  <c r="D789" i="133"/>
  <c r="B789" i="133"/>
  <c r="C789" i="133" s="1"/>
  <c r="G788" i="133"/>
  <c r="D788" i="133"/>
  <c r="B788" i="133"/>
  <c r="C788" i="133" s="1"/>
  <c r="G787" i="133"/>
  <c r="D787" i="133"/>
  <c r="B787" i="133"/>
  <c r="C787" i="133" s="1"/>
  <c r="G786" i="133"/>
  <c r="D786" i="133"/>
  <c r="B786" i="133"/>
  <c r="C786" i="133" s="1"/>
  <c r="G785" i="133"/>
  <c r="D785" i="133"/>
  <c r="B785" i="133"/>
  <c r="C785" i="133" s="1"/>
  <c r="G784" i="133"/>
  <c r="D784" i="133"/>
  <c r="B784" i="133"/>
  <c r="C784" i="133" s="1"/>
  <c r="G783" i="133"/>
  <c r="D783" i="133"/>
  <c r="B783" i="133"/>
  <c r="C783" i="133" s="1"/>
  <c r="G782" i="133"/>
  <c r="D782" i="133"/>
  <c r="B782" i="133"/>
  <c r="C782" i="133" s="1"/>
  <c r="G781" i="133"/>
  <c r="D781" i="133"/>
  <c r="B781" i="133"/>
  <c r="C781" i="133" s="1"/>
  <c r="G780" i="133"/>
  <c r="D780" i="133"/>
  <c r="B780" i="133"/>
  <c r="C780" i="133" s="1"/>
  <c r="G779" i="133"/>
  <c r="D779" i="133"/>
  <c r="B779" i="133"/>
  <c r="C779" i="133" s="1"/>
  <c r="G778" i="133"/>
  <c r="D778" i="133"/>
  <c r="B778" i="133"/>
  <c r="C778" i="133" s="1"/>
  <c r="G777" i="133"/>
  <c r="D777" i="133"/>
  <c r="B777" i="133"/>
  <c r="C777" i="133" s="1"/>
  <c r="G776" i="133"/>
  <c r="D776" i="133"/>
  <c r="B776" i="133"/>
  <c r="C776" i="133" s="1"/>
  <c r="G775" i="133"/>
  <c r="D775" i="133"/>
  <c r="B775" i="133"/>
  <c r="C775" i="133" s="1"/>
  <c r="G774" i="133"/>
  <c r="D774" i="133"/>
  <c r="B774" i="133"/>
  <c r="C774" i="133" s="1"/>
  <c r="G773" i="133"/>
  <c r="D773" i="133"/>
  <c r="B773" i="133"/>
  <c r="C773" i="133" s="1"/>
  <c r="G772" i="133"/>
  <c r="D772" i="133"/>
  <c r="B772" i="133"/>
  <c r="C772" i="133" s="1"/>
  <c r="G771" i="133"/>
  <c r="D771" i="133"/>
  <c r="B771" i="133"/>
  <c r="C771" i="133" s="1"/>
  <c r="G770" i="133"/>
  <c r="D770" i="133"/>
  <c r="B770" i="133"/>
  <c r="C770" i="133" s="1"/>
  <c r="G769" i="133"/>
  <c r="D769" i="133"/>
  <c r="B769" i="133"/>
  <c r="C769" i="133" s="1"/>
  <c r="G768" i="133"/>
  <c r="D768" i="133"/>
  <c r="B768" i="133"/>
  <c r="C768" i="133" s="1"/>
  <c r="G767" i="133"/>
  <c r="D767" i="133"/>
  <c r="B767" i="133"/>
  <c r="C767" i="133" s="1"/>
  <c r="G766" i="133"/>
  <c r="D766" i="133"/>
  <c r="B766" i="133"/>
  <c r="C766" i="133" s="1"/>
  <c r="G765" i="133"/>
  <c r="D765" i="133"/>
  <c r="B765" i="133"/>
  <c r="C765" i="133" s="1"/>
  <c r="G764" i="133"/>
  <c r="D764" i="133"/>
  <c r="B764" i="133"/>
  <c r="C764" i="133" s="1"/>
  <c r="G763" i="133"/>
  <c r="D763" i="133"/>
  <c r="B763" i="133"/>
  <c r="C763" i="133" s="1"/>
  <c r="G762" i="133"/>
  <c r="D762" i="133"/>
  <c r="B762" i="133"/>
  <c r="C762" i="133" s="1"/>
  <c r="G761" i="133"/>
  <c r="D761" i="133"/>
  <c r="B761" i="133"/>
  <c r="C761" i="133" s="1"/>
  <c r="G760" i="133"/>
  <c r="D760" i="133"/>
  <c r="B760" i="133"/>
  <c r="C760" i="133" s="1"/>
  <c r="G759" i="133"/>
  <c r="D759" i="133"/>
  <c r="B759" i="133"/>
  <c r="C759" i="133" s="1"/>
  <c r="G758" i="133"/>
  <c r="D758" i="133"/>
  <c r="B758" i="133"/>
  <c r="C758" i="133" s="1"/>
  <c r="G757" i="133"/>
  <c r="D757" i="133"/>
  <c r="B757" i="133"/>
  <c r="C757" i="133" s="1"/>
  <c r="G756" i="133"/>
  <c r="D756" i="133"/>
  <c r="B756" i="133"/>
  <c r="C756" i="133" s="1"/>
  <c r="G755" i="133"/>
  <c r="D755" i="133"/>
  <c r="B755" i="133"/>
  <c r="C755" i="133" s="1"/>
  <c r="G754" i="133"/>
  <c r="D754" i="133"/>
  <c r="B754" i="133"/>
  <c r="C754" i="133" s="1"/>
  <c r="G753" i="133"/>
  <c r="D753" i="133"/>
  <c r="B753" i="133"/>
  <c r="C753" i="133" s="1"/>
  <c r="G752" i="133"/>
  <c r="D752" i="133"/>
  <c r="B752" i="133"/>
  <c r="C752" i="133" s="1"/>
  <c r="G751" i="133"/>
  <c r="D751" i="133"/>
  <c r="B751" i="133"/>
  <c r="C751" i="133" s="1"/>
  <c r="G750" i="133"/>
  <c r="D750" i="133"/>
  <c r="B750" i="133"/>
  <c r="C750" i="133" s="1"/>
  <c r="G749" i="133"/>
  <c r="D749" i="133"/>
  <c r="B749" i="133"/>
  <c r="C749" i="133" s="1"/>
  <c r="G748" i="133"/>
  <c r="D748" i="133"/>
  <c r="B748" i="133"/>
  <c r="C748" i="133" s="1"/>
  <c r="G747" i="133"/>
  <c r="D747" i="133"/>
  <c r="B747" i="133"/>
  <c r="C747" i="133" s="1"/>
  <c r="G746" i="133"/>
  <c r="D746" i="133"/>
  <c r="B746" i="133"/>
  <c r="C746" i="133" s="1"/>
  <c r="G745" i="133"/>
  <c r="D745" i="133"/>
  <c r="B745" i="133"/>
  <c r="C745" i="133" s="1"/>
  <c r="G744" i="133"/>
  <c r="D744" i="133"/>
  <c r="B744" i="133"/>
  <c r="C744" i="133" s="1"/>
  <c r="G743" i="133"/>
  <c r="D743" i="133"/>
  <c r="B743" i="133"/>
  <c r="C743" i="133" s="1"/>
  <c r="G742" i="133"/>
  <c r="D742" i="133"/>
  <c r="B742" i="133"/>
  <c r="C742" i="133" s="1"/>
  <c r="G741" i="133"/>
  <c r="D741" i="133"/>
  <c r="B741" i="133"/>
  <c r="C741" i="133" s="1"/>
  <c r="G740" i="133"/>
  <c r="D740" i="133"/>
  <c r="B740" i="133"/>
  <c r="C740" i="133" s="1"/>
  <c r="G739" i="133"/>
  <c r="D739" i="133"/>
  <c r="B739" i="133"/>
  <c r="C739" i="133" s="1"/>
  <c r="G738" i="133"/>
  <c r="D738" i="133"/>
  <c r="B738" i="133"/>
  <c r="C738" i="133" s="1"/>
  <c r="G737" i="133"/>
  <c r="D737" i="133"/>
  <c r="B737" i="133"/>
  <c r="C737" i="133" s="1"/>
  <c r="G736" i="133"/>
  <c r="D736" i="133"/>
  <c r="B736" i="133"/>
  <c r="C736" i="133" s="1"/>
  <c r="G735" i="133"/>
  <c r="D735" i="133"/>
  <c r="B735" i="133"/>
  <c r="C735" i="133" s="1"/>
  <c r="G734" i="133"/>
  <c r="D734" i="133"/>
  <c r="B734" i="133"/>
  <c r="C734" i="133" s="1"/>
  <c r="G733" i="133"/>
  <c r="D733" i="133"/>
  <c r="B733" i="133"/>
  <c r="C733" i="133" s="1"/>
  <c r="G732" i="133"/>
  <c r="D732" i="133"/>
  <c r="B732" i="133"/>
  <c r="C732" i="133" s="1"/>
  <c r="G731" i="133"/>
  <c r="D731" i="133"/>
  <c r="B731" i="133"/>
  <c r="C731" i="133" s="1"/>
  <c r="G730" i="133"/>
  <c r="D730" i="133"/>
  <c r="B730" i="133"/>
  <c r="C730" i="133" s="1"/>
  <c r="G729" i="133"/>
  <c r="D729" i="133"/>
  <c r="B729" i="133"/>
  <c r="C729" i="133" s="1"/>
  <c r="G728" i="133"/>
  <c r="D728" i="133"/>
  <c r="B728" i="133"/>
  <c r="C728" i="133" s="1"/>
  <c r="G727" i="133"/>
  <c r="D727" i="133"/>
  <c r="B727" i="133"/>
  <c r="C727" i="133" s="1"/>
  <c r="G726" i="133"/>
  <c r="D726" i="133"/>
  <c r="B726" i="133"/>
  <c r="C726" i="133" s="1"/>
  <c r="G725" i="133"/>
  <c r="D725" i="133"/>
  <c r="B725" i="133"/>
  <c r="C725" i="133" s="1"/>
  <c r="G724" i="133"/>
  <c r="D724" i="133"/>
  <c r="B724" i="133"/>
  <c r="C724" i="133" s="1"/>
  <c r="G723" i="133"/>
  <c r="D723" i="133"/>
  <c r="B723" i="133"/>
  <c r="C723" i="133" s="1"/>
  <c r="G722" i="133"/>
  <c r="D722" i="133"/>
  <c r="B722" i="133"/>
  <c r="C722" i="133" s="1"/>
  <c r="G721" i="133"/>
  <c r="D721" i="133"/>
  <c r="B721" i="133"/>
  <c r="C721" i="133" s="1"/>
  <c r="G720" i="133"/>
  <c r="D720" i="133"/>
  <c r="B720" i="133"/>
  <c r="C720" i="133" s="1"/>
  <c r="G719" i="133"/>
  <c r="D719" i="133"/>
  <c r="B719" i="133"/>
  <c r="C719" i="133" s="1"/>
  <c r="G718" i="133"/>
  <c r="D718" i="133"/>
  <c r="B718" i="133"/>
  <c r="C718" i="133" s="1"/>
  <c r="G717" i="133"/>
  <c r="D717" i="133"/>
  <c r="B717" i="133"/>
  <c r="C717" i="133" s="1"/>
  <c r="G716" i="133"/>
  <c r="D716" i="133"/>
  <c r="B716" i="133"/>
  <c r="C716" i="133" s="1"/>
  <c r="G715" i="133"/>
  <c r="D715" i="133"/>
  <c r="B715" i="133"/>
  <c r="C715" i="133" s="1"/>
  <c r="G714" i="133"/>
  <c r="D714" i="133"/>
  <c r="B714" i="133"/>
  <c r="C714" i="133" s="1"/>
  <c r="G713" i="133"/>
  <c r="D713" i="133"/>
  <c r="B713" i="133"/>
  <c r="C713" i="133" s="1"/>
  <c r="G712" i="133"/>
  <c r="D712" i="133"/>
  <c r="B712" i="133"/>
  <c r="C712" i="133" s="1"/>
  <c r="G711" i="133"/>
  <c r="D711" i="133"/>
  <c r="B711" i="133"/>
  <c r="C711" i="133" s="1"/>
  <c r="G710" i="133"/>
  <c r="D710" i="133"/>
  <c r="B710" i="133"/>
  <c r="C710" i="133" s="1"/>
  <c r="G709" i="133"/>
  <c r="D709" i="133"/>
  <c r="B709" i="133"/>
  <c r="C709" i="133" s="1"/>
  <c r="G708" i="133"/>
  <c r="D708" i="133"/>
  <c r="B708" i="133"/>
  <c r="C708" i="133" s="1"/>
  <c r="G707" i="133"/>
  <c r="D707" i="133"/>
  <c r="B707" i="133"/>
  <c r="C707" i="133" s="1"/>
  <c r="G706" i="133"/>
  <c r="D706" i="133"/>
  <c r="B706" i="133"/>
  <c r="C706" i="133" s="1"/>
  <c r="G705" i="133"/>
  <c r="D705" i="133"/>
  <c r="B705" i="133"/>
  <c r="C705" i="133" s="1"/>
  <c r="G704" i="133"/>
  <c r="D704" i="133"/>
  <c r="B704" i="133"/>
  <c r="C704" i="133" s="1"/>
  <c r="G703" i="133"/>
  <c r="D703" i="133"/>
  <c r="B703" i="133"/>
  <c r="C703" i="133" s="1"/>
  <c r="G702" i="133"/>
  <c r="D702" i="133"/>
  <c r="B702" i="133"/>
  <c r="C702" i="133" s="1"/>
  <c r="G701" i="133"/>
  <c r="D701" i="133"/>
  <c r="B701" i="133"/>
  <c r="C701" i="133" s="1"/>
  <c r="G700" i="133"/>
  <c r="D700" i="133"/>
  <c r="B700" i="133"/>
  <c r="C700" i="133" s="1"/>
  <c r="G699" i="133"/>
  <c r="D699" i="133"/>
  <c r="B699" i="133"/>
  <c r="C699" i="133" s="1"/>
  <c r="G698" i="133"/>
  <c r="D698" i="133"/>
  <c r="B698" i="133"/>
  <c r="C698" i="133" s="1"/>
  <c r="G697" i="133"/>
  <c r="D697" i="133"/>
  <c r="B697" i="133"/>
  <c r="C697" i="133" s="1"/>
  <c r="G696" i="133"/>
  <c r="D696" i="133"/>
  <c r="B696" i="133"/>
  <c r="C696" i="133" s="1"/>
  <c r="G695" i="133"/>
  <c r="D695" i="133"/>
  <c r="B695" i="133"/>
  <c r="C695" i="133" s="1"/>
  <c r="G694" i="133"/>
  <c r="D694" i="133"/>
  <c r="B694" i="133"/>
  <c r="C694" i="133" s="1"/>
  <c r="G693" i="133"/>
  <c r="D693" i="133"/>
  <c r="B693" i="133"/>
  <c r="C693" i="133" s="1"/>
  <c r="G692" i="133"/>
  <c r="D692" i="133"/>
  <c r="B692" i="133"/>
  <c r="C692" i="133" s="1"/>
  <c r="G691" i="133"/>
  <c r="D691" i="133"/>
  <c r="B691" i="133"/>
  <c r="C691" i="133" s="1"/>
  <c r="G690" i="133"/>
  <c r="D690" i="133"/>
  <c r="B690" i="133"/>
  <c r="C690" i="133" s="1"/>
  <c r="G689" i="133"/>
  <c r="D689" i="133"/>
  <c r="B689" i="133"/>
  <c r="C689" i="133" s="1"/>
  <c r="G688" i="133"/>
  <c r="D688" i="133"/>
  <c r="B688" i="133"/>
  <c r="C688" i="133" s="1"/>
  <c r="G687" i="133"/>
  <c r="D687" i="133"/>
  <c r="B687" i="133"/>
  <c r="C687" i="133" s="1"/>
  <c r="G686" i="133"/>
  <c r="D686" i="133"/>
  <c r="B686" i="133"/>
  <c r="C686" i="133" s="1"/>
  <c r="G685" i="133"/>
  <c r="D685" i="133"/>
  <c r="B685" i="133"/>
  <c r="C685" i="133" s="1"/>
  <c r="G684" i="133"/>
  <c r="D684" i="133"/>
  <c r="B684" i="133"/>
  <c r="C684" i="133" s="1"/>
  <c r="G683" i="133"/>
  <c r="D683" i="133"/>
  <c r="B683" i="133"/>
  <c r="C683" i="133" s="1"/>
  <c r="G682" i="133"/>
  <c r="D682" i="133"/>
  <c r="B682" i="133"/>
  <c r="C682" i="133" s="1"/>
  <c r="G681" i="133"/>
  <c r="D681" i="133"/>
  <c r="B681" i="133"/>
  <c r="C681" i="133" s="1"/>
  <c r="G680" i="133"/>
  <c r="D680" i="133"/>
  <c r="B680" i="133"/>
  <c r="C680" i="133" s="1"/>
  <c r="G679" i="133"/>
  <c r="D679" i="133"/>
  <c r="B679" i="133"/>
  <c r="C679" i="133" s="1"/>
  <c r="G678" i="133"/>
  <c r="D678" i="133"/>
  <c r="B678" i="133"/>
  <c r="C678" i="133" s="1"/>
  <c r="G677" i="133"/>
  <c r="D677" i="133"/>
  <c r="B677" i="133"/>
  <c r="C677" i="133" s="1"/>
  <c r="G676" i="133"/>
  <c r="D676" i="133"/>
  <c r="B676" i="133"/>
  <c r="C676" i="133" s="1"/>
  <c r="G675" i="133"/>
  <c r="D675" i="133"/>
  <c r="B675" i="133"/>
  <c r="C675" i="133" s="1"/>
  <c r="G674" i="133"/>
  <c r="D674" i="133"/>
  <c r="B674" i="133"/>
  <c r="C674" i="133" s="1"/>
  <c r="G673" i="133"/>
  <c r="D673" i="133"/>
  <c r="B673" i="133"/>
  <c r="C673" i="133" s="1"/>
  <c r="G672" i="133"/>
  <c r="D672" i="133"/>
  <c r="B672" i="133"/>
  <c r="C672" i="133" s="1"/>
  <c r="G671" i="133"/>
  <c r="D671" i="133"/>
  <c r="B671" i="133"/>
  <c r="C671" i="133" s="1"/>
  <c r="G670" i="133"/>
  <c r="D670" i="133"/>
  <c r="B670" i="133"/>
  <c r="C670" i="133" s="1"/>
  <c r="G669" i="133"/>
  <c r="D669" i="133"/>
  <c r="B669" i="133"/>
  <c r="C669" i="133" s="1"/>
  <c r="G668" i="133"/>
  <c r="D668" i="133"/>
  <c r="B668" i="133"/>
  <c r="C668" i="133" s="1"/>
  <c r="G667" i="133"/>
  <c r="D667" i="133"/>
  <c r="B667" i="133"/>
  <c r="C667" i="133" s="1"/>
  <c r="G666" i="133"/>
  <c r="D666" i="133"/>
  <c r="B666" i="133"/>
  <c r="C666" i="133" s="1"/>
  <c r="G665" i="133"/>
  <c r="D665" i="133"/>
  <c r="B665" i="133"/>
  <c r="C665" i="133" s="1"/>
  <c r="G664" i="133"/>
  <c r="D664" i="133"/>
  <c r="B664" i="133"/>
  <c r="C664" i="133" s="1"/>
  <c r="G663" i="133"/>
  <c r="D663" i="133"/>
  <c r="B663" i="133"/>
  <c r="C663" i="133" s="1"/>
  <c r="G662" i="133"/>
  <c r="D662" i="133"/>
  <c r="B662" i="133"/>
  <c r="C662" i="133" s="1"/>
  <c r="G661" i="133"/>
  <c r="D661" i="133"/>
  <c r="B661" i="133"/>
  <c r="C661" i="133" s="1"/>
  <c r="G660" i="133"/>
  <c r="D660" i="133"/>
  <c r="B660" i="133"/>
  <c r="C660" i="133" s="1"/>
  <c r="G659" i="133"/>
  <c r="D659" i="133"/>
  <c r="B659" i="133"/>
  <c r="C659" i="133" s="1"/>
  <c r="G658" i="133"/>
  <c r="D658" i="133"/>
  <c r="B658" i="133"/>
  <c r="C658" i="133" s="1"/>
  <c r="G657" i="133"/>
  <c r="D657" i="133"/>
  <c r="B657" i="133"/>
  <c r="C657" i="133" s="1"/>
  <c r="G656" i="133"/>
  <c r="D656" i="133"/>
  <c r="B656" i="133"/>
  <c r="C656" i="133" s="1"/>
  <c r="G655" i="133"/>
  <c r="D655" i="133"/>
  <c r="B655" i="133"/>
  <c r="C655" i="133" s="1"/>
  <c r="G654" i="133"/>
  <c r="D654" i="133"/>
  <c r="B654" i="133"/>
  <c r="C654" i="133" s="1"/>
  <c r="G653" i="133"/>
  <c r="D653" i="133"/>
  <c r="B653" i="133"/>
  <c r="C653" i="133" s="1"/>
  <c r="G652" i="133"/>
  <c r="D652" i="133"/>
  <c r="B652" i="133"/>
  <c r="C652" i="133" s="1"/>
  <c r="G651" i="133"/>
  <c r="D651" i="133"/>
  <c r="B651" i="133"/>
  <c r="C651" i="133" s="1"/>
  <c r="G650" i="133"/>
  <c r="D650" i="133"/>
  <c r="B650" i="133"/>
  <c r="C650" i="133" s="1"/>
  <c r="G649" i="133"/>
  <c r="D649" i="133"/>
  <c r="B649" i="133"/>
  <c r="C649" i="133" s="1"/>
  <c r="G648" i="133"/>
  <c r="D648" i="133"/>
  <c r="B648" i="133"/>
  <c r="C648" i="133" s="1"/>
  <c r="G647" i="133"/>
  <c r="D647" i="133"/>
  <c r="B647" i="133"/>
  <c r="C647" i="133" s="1"/>
  <c r="G646" i="133"/>
  <c r="D646" i="133"/>
  <c r="B646" i="133"/>
  <c r="C646" i="133" s="1"/>
  <c r="G645" i="133"/>
  <c r="D645" i="133"/>
  <c r="B645" i="133"/>
  <c r="C645" i="133" s="1"/>
  <c r="G644" i="133"/>
  <c r="D644" i="133"/>
  <c r="B644" i="133"/>
  <c r="C644" i="133" s="1"/>
  <c r="G643" i="133"/>
  <c r="D643" i="133"/>
  <c r="B643" i="133"/>
  <c r="C643" i="133" s="1"/>
  <c r="G642" i="133"/>
  <c r="D642" i="133"/>
  <c r="B642" i="133"/>
  <c r="C642" i="133" s="1"/>
  <c r="G641" i="133"/>
  <c r="D641" i="133"/>
  <c r="B641" i="133"/>
  <c r="C641" i="133" s="1"/>
  <c r="G640" i="133"/>
  <c r="D640" i="133"/>
  <c r="B640" i="133"/>
  <c r="C640" i="133" s="1"/>
  <c r="G639" i="133"/>
  <c r="D639" i="133"/>
  <c r="B639" i="133"/>
  <c r="C639" i="133" s="1"/>
  <c r="G638" i="133"/>
  <c r="D638" i="133"/>
  <c r="B638" i="133"/>
  <c r="C638" i="133" s="1"/>
  <c r="G637" i="133"/>
  <c r="D637" i="133"/>
  <c r="B637" i="133"/>
  <c r="C637" i="133" s="1"/>
  <c r="G636" i="133"/>
  <c r="D636" i="133"/>
  <c r="B636" i="133"/>
  <c r="C636" i="133" s="1"/>
  <c r="G635" i="133"/>
  <c r="D635" i="133"/>
  <c r="B635" i="133"/>
  <c r="C635" i="133" s="1"/>
  <c r="G634" i="133"/>
  <c r="D634" i="133"/>
  <c r="B634" i="133"/>
  <c r="C634" i="133" s="1"/>
  <c r="G633" i="133"/>
  <c r="D633" i="133"/>
  <c r="B633" i="133"/>
  <c r="C633" i="133" s="1"/>
  <c r="G632" i="133"/>
  <c r="D632" i="133"/>
  <c r="B632" i="133"/>
  <c r="C632" i="133" s="1"/>
  <c r="G631" i="133"/>
  <c r="D631" i="133"/>
  <c r="B631" i="133"/>
  <c r="C631" i="133" s="1"/>
  <c r="G630" i="133"/>
  <c r="D630" i="133"/>
  <c r="B630" i="133"/>
  <c r="C630" i="133" s="1"/>
  <c r="G629" i="133"/>
  <c r="D629" i="133"/>
  <c r="B629" i="133"/>
  <c r="C629" i="133" s="1"/>
  <c r="G628" i="133"/>
  <c r="D628" i="133"/>
  <c r="B628" i="133"/>
  <c r="C628" i="133" s="1"/>
  <c r="G627" i="133"/>
  <c r="D627" i="133"/>
  <c r="B627" i="133"/>
  <c r="C627" i="133" s="1"/>
  <c r="G626" i="133"/>
  <c r="D626" i="133"/>
  <c r="B626" i="133"/>
  <c r="C626" i="133" s="1"/>
  <c r="G625" i="133"/>
  <c r="D625" i="133"/>
  <c r="B625" i="133"/>
  <c r="C625" i="133" s="1"/>
  <c r="G624" i="133"/>
  <c r="D624" i="133"/>
  <c r="B624" i="133"/>
  <c r="C624" i="133" s="1"/>
  <c r="G623" i="133"/>
  <c r="D623" i="133"/>
  <c r="B623" i="133"/>
  <c r="C623" i="133" s="1"/>
  <c r="G622" i="133"/>
  <c r="D622" i="133"/>
  <c r="B622" i="133"/>
  <c r="C622" i="133" s="1"/>
  <c r="G621" i="133"/>
  <c r="D621" i="133"/>
  <c r="B621" i="133"/>
  <c r="C621" i="133" s="1"/>
  <c r="G620" i="133"/>
  <c r="D620" i="133"/>
  <c r="B620" i="133"/>
  <c r="C620" i="133" s="1"/>
  <c r="G619" i="133"/>
  <c r="D619" i="133"/>
  <c r="B619" i="133"/>
  <c r="C619" i="133" s="1"/>
  <c r="G618" i="133"/>
  <c r="D618" i="133"/>
  <c r="B618" i="133"/>
  <c r="C618" i="133" s="1"/>
  <c r="G617" i="133"/>
  <c r="D617" i="133"/>
  <c r="B617" i="133"/>
  <c r="C617" i="133" s="1"/>
  <c r="G616" i="133"/>
  <c r="D616" i="133"/>
  <c r="B616" i="133"/>
  <c r="C616" i="133" s="1"/>
  <c r="G615" i="133"/>
  <c r="D615" i="133"/>
  <c r="B615" i="133"/>
  <c r="C615" i="133" s="1"/>
  <c r="G614" i="133"/>
  <c r="D614" i="133"/>
  <c r="B614" i="133"/>
  <c r="C614" i="133" s="1"/>
  <c r="G613" i="133"/>
  <c r="D613" i="133"/>
  <c r="B613" i="133"/>
  <c r="C613" i="133" s="1"/>
  <c r="G612" i="133"/>
  <c r="D612" i="133"/>
  <c r="B612" i="133"/>
  <c r="C612" i="133" s="1"/>
  <c r="G611" i="133"/>
  <c r="D611" i="133"/>
  <c r="B611" i="133"/>
  <c r="C611" i="133" s="1"/>
  <c r="G610" i="133"/>
  <c r="D610" i="133"/>
  <c r="B610" i="133"/>
  <c r="C610" i="133" s="1"/>
  <c r="G609" i="133"/>
  <c r="D609" i="133"/>
  <c r="B609" i="133"/>
  <c r="C609" i="133" s="1"/>
  <c r="G608" i="133"/>
  <c r="D608" i="133"/>
  <c r="B608" i="133"/>
  <c r="C608" i="133" s="1"/>
  <c r="G607" i="133"/>
  <c r="D607" i="133"/>
  <c r="B607" i="133"/>
  <c r="C607" i="133" s="1"/>
  <c r="G606" i="133"/>
  <c r="D606" i="133"/>
  <c r="B606" i="133"/>
  <c r="C606" i="133" s="1"/>
  <c r="G605" i="133"/>
  <c r="D605" i="133"/>
  <c r="B605" i="133"/>
  <c r="C605" i="133" s="1"/>
  <c r="G604" i="133"/>
  <c r="D604" i="133"/>
  <c r="B604" i="133"/>
  <c r="C604" i="133" s="1"/>
  <c r="G603" i="133"/>
  <c r="D603" i="133"/>
  <c r="B603" i="133"/>
  <c r="C603" i="133" s="1"/>
  <c r="G602" i="133"/>
  <c r="D602" i="133"/>
  <c r="B602" i="133"/>
  <c r="C602" i="133" s="1"/>
  <c r="G601" i="133"/>
  <c r="D601" i="133"/>
  <c r="B601" i="133"/>
  <c r="C601" i="133" s="1"/>
  <c r="G600" i="133"/>
  <c r="D600" i="133"/>
  <c r="B600" i="133"/>
  <c r="C600" i="133" s="1"/>
  <c r="G599" i="133"/>
  <c r="D599" i="133"/>
  <c r="B599" i="133"/>
  <c r="C599" i="133" s="1"/>
  <c r="G598" i="133"/>
  <c r="D598" i="133"/>
  <c r="B598" i="133"/>
  <c r="C598" i="133" s="1"/>
  <c r="G597" i="133"/>
  <c r="D597" i="133"/>
  <c r="B597" i="133"/>
  <c r="C597" i="133" s="1"/>
  <c r="G596" i="133"/>
  <c r="D596" i="133"/>
  <c r="B596" i="133"/>
  <c r="C596" i="133" s="1"/>
  <c r="G595" i="133"/>
  <c r="D595" i="133"/>
  <c r="B595" i="133"/>
  <c r="C595" i="133" s="1"/>
  <c r="G594" i="133"/>
  <c r="D594" i="133"/>
  <c r="B594" i="133"/>
  <c r="C594" i="133" s="1"/>
  <c r="G593" i="133"/>
  <c r="D593" i="133"/>
  <c r="B593" i="133"/>
  <c r="C593" i="133" s="1"/>
  <c r="G592" i="133"/>
  <c r="D592" i="133"/>
  <c r="B592" i="133"/>
  <c r="C592" i="133" s="1"/>
  <c r="G591" i="133"/>
  <c r="D591" i="133"/>
  <c r="B591" i="133"/>
  <c r="C591" i="133" s="1"/>
  <c r="G590" i="133"/>
  <c r="D590" i="133"/>
  <c r="B590" i="133"/>
  <c r="C590" i="133" s="1"/>
  <c r="G589" i="133"/>
  <c r="D589" i="133"/>
  <c r="B589" i="133"/>
  <c r="C589" i="133" s="1"/>
  <c r="G588" i="133"/>
  <c r="D588" i="133"/>
  <c r="B588" i="133"/>
  <c r="C588" i="133" s="1"/>
  <c r="G587" i="133"/>
  <c r="D587" i="133"/>
  <c r="B587" i="133"/>
  <c r="C587" i="133" s="1"/>
  <c r="G586" i="133"/>
  <c r="D586" i="133"/>
  <c r="B586" i="133"/>
  <c r="C586" i="133" s="1"/>
  <c r="G585" i="133"/>
  <c r="D585" i="133"/>
  <c r="B585" i="133"/>
  <c r="C585" i="133" s="1"/>
  <c r="G584" i="133"/>
  <c r="D584" i="133"/>
  <c r="B584" i="133"/>
  <c r="C584" i="133" s="1"/>
  <c r="G583" i="133"/>
  <c r="D583" i="133"/>
  <c r="B583" i="133"/>
  <c r="C583" i="133" s="1"/>
  <c r="G582" i="133"/>
  <c r="D582" i="133"/>
  <c r="B582" i="133"/>
  <c r="C582" i="133" s="1"/>
  <c r="G581" i="133"/>
  <c r="D581" i="133"/>
  <c r="B581" i="133"/>
  <c r="C581" i="133" s="1"/>
  <c r="G580" i="133"/>
  <c r="D580" i="133"/>
  <c r="B580" i="133"/>
  <c r="C580" i="133" s="1"/>
  <c r="G579" i="133"/>
  <c r="D579" i="133"/>
  <c r="B579" i="133"/>
  <c r="C579" i="133" s="1"/>
  <c r="G578" i="133"/>
  <c r="D578" i="133"/>
  <c r="B578" i="133"/>
  <c r="C578" i="133" s="1"/>
  <c r="G577" i="133"/>
  <c r="D577" i="133"/>
  <c r="B577" i="133"/>
  <c r="C577" i="133" s="1"/>
  <c r="G576" i="133"/>
  <c r="D576" i="133"/>
  <c r="B576" i="133"/>
  <c r="C576" i="133" s="1"/>
  <c r="G575" i="133"/>
  <c r="D575" i="133"/>
  <c r="B575" i="133"/>
  <c r="C575" i="133" s="1"/>
  <c r="G574" i="133"/>
  <c r="D574" i="133"/>
  <c r="B574" i="133"/>
  <c r="C574" i="133" s="1"/>
  <c r="G573" i="133"/>
  <c r="D573" i="133"/>
  <c r="B573" i="133"/>
  <c r="C573" i="133" s="1"/>
  <c r="G572" i="133"/>
  <c r="D572" i="133"/>
  <c r="B572" i="133"/>
  <c r="C572" i="133" s="1"/>
  <c r="G571" i="133"/>
  <c r="D571" i="133"/>
  <c r="B571" i="133"/>
  <c r="C571" i="133" s="1"/>
  <c r="G570" i="133"/>
  <c r="D570" i="133"/>
  <c r="B570" i="133"/>
  <c r="C570" i="133" s="1"/>
  <c r="G569" i="133"/>
  <c r="D569" i="133"/>
  <c r="B569" i="133"/>
  <c r="C569" i="133" s="1"/>
  <c r="G568" i="133"/>
  <c r="D568" i="133"/>
  <c r="B568" i="133"/>
  <c r="C568" i="133" s="1"/>
  <c r="G567" i="133"/>
  <c r="D567" i="133"/>
  <c r="B567" i="133"/>
  <c r="C567" i="133" s="1"/>
  <c r="G566" i="133"/>
  <c r="D566" i="133"/>
  <c r="B566" i="133"/>
  <c r="C566" i="133" s="1"/>
  <c r="G565" i="133"/>
  <c r="D565" i="133"/>
  <c r="B565" i="133"/>
  <c r="C565" i="133" s="1"/>
  <c r="G564" i="133"/>
  <c r="D564" i="133"/>
  <c r="B564" i="133"/>
  <c r="C564" i="133" s="1"/>
  <c r="G563" i="133"/>
  <c r="D563" i="133"/>
  <c r="B563" i="133"/>
  <c r="C563" i="133" s="1"/>
  <c r="G562" i="133"/>
  <c r="D562" i="133"/>
  <c r="B562" i="133"/>
  <c r="C562" i="133" s="1"/>
  <c r="G561" i="133"/>
  <c r="D561" i="133"/>
  <c r="B561" i="133"/>
  <c r="C561" i="133" s="1"/>
  <c r="G560" i="133"/>
  <c r="D560" i="133"/>
  <c r="B560" i="133"/>
  <c r="C560" i="133" s="1"/>
  <c r="G559" i="133"/>
  <c r="D559" i="133"/>
  <c r="B559" i="133"/>
  <c r="C559" i="133" s="1"/>
  <c r="G558" i="133"/>
  <c r="D558" i="133"/>
  <c r="B558" i="133"/>
  <c r="C558" i="133" s="1"/>
  <c r="G557" i="133"/>
  <c r="D557" i="133"/>
  <c r="B557" i="133"/>
  <c r="C557" i="133" s="1"/>
  <c r="G556" i="133"/>
  <c r="D556" i="133"/>
  <c r="B556" i="133"/>
  <c r="C556" i="133" s="1"/>
  <c r="G555" i="133"/>
  <c r="D555" i="133"/>
  <c r="B555" i="133"/>
  <c r="C555" i="133" s="1"/>
  <c r="G554" i="133"/>
  <c r="D554" i="133"/>
  <c r="B554" i="133"/>
  <c r="C554" i="133" s="1"/>
  <c r="G553" i="133"/>
  <c r="D553" i="133"/>
  <c r="B553" i="133"/>
  <c r="C553" i="133" s="1"/>
  <c r="G552" i="133"/>
  <c r="D552" i="133"/>
  <c r="B552" i="133"/>
  <c r="C552" i="133" s="1"/>
  <c r="G551" i="133"/>
  <c r="D551" i="133"/>
  <c r="B551" i="133"/>
  <c r="C551" i="133" s="1"/>
  <c r="G550" i="133"/>
  <c r="D550" i="133"/>
  <c r="B550" i="133"/>
  <c r="C550" i="133" s="1"/>
  <c r="G549" i="133"/>
  <c r="D549" i="133"/>
  <c r="B549" i="133"/>
  <c r="C549" i="133" s="1"/>
  <c r="G548" i="133"/>
  <c r="D548" i="133"/>
  <c r="B548" i="133"/>
  <c r="C548" i="133" s="1"/>
  <c r="G547" i="133"/>
  <c r="D547" i="133"/>
  <c r="B547" i="133"/>
  <c r="C547" i="133" s="1"/>
  <c r="G546" i="133"/>
  <c r="D546" i="133"/>
  <c r="B546" i="133"/>
  <c r="C546" i="133" s="1"/>
  <c r="G545" i="133"/>
  <c r="D545" i="133"/>
  <c r="B545" i="133"/>
  <c r="C545" i="133" s="1"/>
  <c r="G544" i="133"/>
  <c r="D544" i="133"/>
  <c r="B544" i="133"/>
  <c r="C544" i="133" s="1"/>
  <c r="G543" i="133"/>
  <c r="D543" i="133"/>
  <c r="B543" i="133"/>
  <c r="C543" i="133" s="1"/>
  <c r="G542" i="133"/>
  <c r="D542" i="133"/>
  <c r="B542" i="133"/>
  <c r="C542" i="133" s="1"/>
  <c r="G541" i="133"/>
  <c r="D541" i="133"/>
  <c r="B541" i="133"/>
  <c r="C541" i="133" s="1"/>
  <c r="G540" i="133"/>
  <c r="D540" i="133"/>
  <c r="B540" i="133"/>
  <c r="C540" i="133" s="1"/>
  <c r="G539" i="133"/>
  <c r="D539" i="133"/>
  <c r="B539" i="133"/>
  <c r="C539" i="133" s="1"/>
  <c r="G538" i="133"/>
  <c r="D538" i="133"/>
  <c r="B538" i="133"/>
  <c r="C538" i="133" s="1"/>
  <c r="G537" i="133"/>
  <c r="D537" i="133"/>
  <c r="B537" i="133"/>
  <c r="C537" i="133" s="1"/>
  <c r="G536" i="133"/>
  <c r="D536" i="133"/>
  <c r="B536" i="133"/>
  <c r="C536" i="133" s="1"/>
  <c r="G535" i="133"/>
  <c r="D535" i="133"/>
  <c r="B535" i="133"/>
  <c r="C535" i="133" s="1"/>
  <c r="G534" i="133"/>
  <c r="D534" i="133"/>
  <c r="B534" i="133"/>
  <c r="C534" i="133" s="1"/>
  <c r="G533" i="133"/>
  <c r="D533" i="133"/>
  <c r="B533" i="133"/>
  <c r="C533" i="133" s="1"/>
  <c r="G532" i="133"/>
  <c r="D532" i="133"/>
  <c r="B532" i="133"/>
  <c r="C532" i="133" s="1"/>
  <c r="G531" i="133"/>
  <c r="D531" i="133"/>
  <c r="B531" i="133"/>
  <c r="C531" i="133" s="1"/>
  <c r="G530" i="133"/>
  <c r="D530" i="133"/>
  <c r="B530" i="133"/>
  <c r="C530" i="133" s="1"/>
  <c r="G529" i="133"/>
  <c r="D529" i="133"/>
  <c r="B529" i="133"/>
  <c r="C529" i="133" s="1"/>
  <c r="G528" i="133"/>
  <c r="D528" i="133"/>
  <c r="B528" i="133"/>
  <c r="C528" i="133" s="1"/>
  <c r="G527" i="133"/>
  <c r="D527" i="133"/>
  <c r="B527" i="133"/>
  <c r="C527" i="133" s="1"/>
  <c r="G526" i="133"/>
  <c r="D526" i="133"/>
  <c r="B526" i="133"/>
  <c r="C526" i="133" s="1"/>
  <c r="G525" i="133"/>
  <c r="D525" i="133"/>
  <c r="B525" i="133"/>
  <c r="C525" i="133" s="1"/>
  <c r="G524" i="133"/>
  <c r="D524" i="133"/>
  <c r="B524" i="133"/>
  <c r="C524" i="133" s="1"/>
  <c r="G523" i="133"/>
  <c r="D523" i="133"/>
  <c r="B523" i="133"/>
  <c r="C523" i="133" s="1"/>
  <c r="G522" i="133"/>
  <c r="D522" i="133"/>
  <c r="B522" i="133"/>
  <c r="C522" i="133" s="1"/>
  <c r="G521" i="133"/>
  <c r="D521" i="133"/>
  <c r="B521" i="133"/>
  <c r="C521" i="133" s="1"/>
  <c r="G520" i="133"/>
  <c r="D520" i="133"/>
  <c r="B520" i="133"/>
  <c r="C520" i="133" s="1"/>
  <c r="G519" i="133"/>
  <c r="D519" i="133"/>
  <c r="B519" i="133"/>
  <c r="C519" i="133" s="1"/>
  <c r="G518" i="133"/>
  <c r="D518" i="133"/>
  <c r="B518" i="133"/>
  <c r="C518" i="133" s="1"/>
  <c r="G517" i="133"/>
  <c r="D517" i="133"/>
  <c r="B517" i="133"/>
  <c r="C517" i="133" s="1"/>
  <c r="G516" i="133"/>
  <c r="D516" i="133"/>
  <c r="B516" i="133"/>
  <c r="C516" i="133" s="1"/>
  <c r="G515" i="133"/>
  <c r="D515" i="133"/>
  <c r="B515" i="133"/>
  <c r="C515" i="133" s="1"/>
  <c r="G514" i="133"/>
  <c r="D514" i="133"/>
  <c r="B514" i="133"/>
  <c r="C514" i="133" s="1"/>
  <c r="G513" i="133"/>
  <c r="D513" i="133"/>
  <c r="B513" i="133"/>
  <c r="C513" i="133" s="1"/>
  <c r="G512" i="133"/>
  <c r="D512" i="133"/>
  <c r="B512" i="133"/>
  <c r="C512" i="133" s="1"/>
  <c r="G511" i="133"/>
  <c r="D511" i="133"/>
  <c r="B511" i="133"/>
  <c r="C511" i="133" s="1"/>
  <c r="G510" i="133"/>
  <c r="D510" i="133"/>
  <c r="B510" i="133"/>
  <c r="C510" i="133" s="1"/>
  <c r="G509" i="133"/>
  <c r="D509" i="133"/>
  <c r="B509" i="133"/>
  <c r="C509" i="133" s="1"/>
  <c r="G508" i="133"/>
  <c r="D508" i="133"/>
  <c r="B508" i="133"/>
  <c r="C508" i="133" s="1"/>
  <c r="G507" i="133"/>
  <c r="D507" i="133"/>
  <c r="B507" i="133"/>
  <c r="C507" i="133" s="1"/>
  <c r="G506" i="133"/>
  <c r="D506" i="133"/>
  <c r="B506" i="133"/>
  <c r="C506" i="133" s="1"/>
  <c r="G505" i="133"/>
  <c r="D505" i="133"/>
  <c r="B505" i="133"/>
  <c r="C505" i="133" s="1"/>
  <c r="G504" i="133"/>
  <c r="D504" i="133"/>
  <c r="B504" i="133"/>
  <c r="C504" i="133" s="1"/>
  <c r="G503" i="133"/>
  <c r="D503" i="133"/>
  <c r="B503" i="133"/>
  <c r="C503" i="133" s="1"/>
  <c r="G502" i="133"/>
  <c r="D502" i="133"/>
  <c r="B502" i="133"/>
  <c r="C502" i="133" s="1"/>
  <c r="G501" i="133"/>
  <c r="D501" i="133"/>
  <c r="B501" i="133"/>
  <c r="C501" i="133" s="1"/>
  <c r="G500" i="133"/>
  <c r="D500" i="133"/>
  <c r="B500" i="133"/>
  <c r="C500" i="133" s="1"/>
  <c r="G499" i="133"/>
  <c r="D499" i="133"/>
  <c r="B499" i="133"/>
  <c r="C499" i="133" s="1"/>
  <c r="G498" i="133"/>
  <c r="D498" i="133"/>
  <c r="B498" i="133"/>
  <c r="C498" i="133" s="1"/>
  <c r="G497" i="133"/>
  <c r="D497" i="133"/>
  <c r="B497" i="133"/>
  <c r="C497" i="133" s="1"/>
  <c r="G496" i="133"/>
  <c r="D496" i="133"/>
  <c r="B496" i="133"/>
  <c r="C496" i="133" s="1"/>
  <c r="G495" i="133"/>
  <c r="D495" i="133"/>
  <c r="B495" i="133"/>
  <c r="C495" i="133" s="1"/>
  <c r="G494" i="133"/>
  <c r="D494" i="133"/>
  <c r="B494" i="133"/>
  <c r="C494" i="133" s="1"/>
  <c r="G493" i="133"/>
  <c r="D493" i="133"/>
  <c r="B493" i="133"/>
  <c r="C493" i="133" s="1"/>
  <c r="G492" i="133"/>
  <c r="D492" i="133"/>
  <c r="B492" i="133"/>
  <c r="C492" i="133" s="1"/>
  <c r="G491" i="133"/>
  <c r="D491" i="133"/>
  <c r="B491" i="133"/>
  <c r="C491" i="133" s="1"/>
  <c r="G490" i="133"/>
  <c r="D490" i="133"/>
  <c r="B490" i="133"/>
  <c r="C490" i="133" s="1"/>
  <c r="G489" i="133"/>
  <c r="D489" i="133"/>
  <c r="B489" i="133"/>
  <c r="C489" i="133" s="1"/>
  <c r="G488" i="133"/>
  <c r="D488" i="133"/>
  <c r="B488" i="133"/>
  <c r="C488" i="133" s="1"/>
  <c r="G487" i="133"/>
  <c r="D487" i="133"/>
  <c r="B487" i="133"/>
  <c r="C487" i="133" s="1"/>
  <c r="G486" i="133"/>
  <c r="D486" i="133"/>
  <c r="B486" i="133"/>
  <c r="C486" i="133" s="1"/>
  <c r="G485" i="133"/>
  <c r="D485" i="133"/>
  <c r="B485" i="133"/>
  <c r="C485" i="133" s="1"/>
  <c r="G484" i="133"/>
  <c r="D484" i="133"/>
  <c r="B484" i="133"/>
  <c r="C484" i="133" s="1"/>
  <c r="G483" i="133"/>
  <c r="D483" i="133"/>
  <c r="B483" i="133"/>
  <c r="C483" i="133" s="1"/>
  <c r="G482" i="133"/>
  <c r="D482" i="133"/>
  <c r="B482" i="133"/>
  <c r="C482" i="133" s="1"/>
  <c r="G481" i="133"/>
  <c r="D481" i="133"/>
  <c r="B481" i="133"/>
  <c r="C481" i="133" s="1"/>
  <c r="G480" i="133"/>
  <c r="D480" i="133"/>
  <c r="B480" i="133"/>
  <c r="C480" i="133" s="1"/>
  <c r="G479" i="133"/>
  <c r="D479" i="133"/>
  <c r="B479" i="133"/>
  <c r="C479" i="133" s="1"/>
  <c r="G478" i="133"/>
  <c r="D478" i="133"/>
  <c r="B478" i="133"/>
  <c r="C478" i="133" s="1"/>
  <c r="G477" i="133"/>
  <c r="D477" i="133"/>
  <c r="B477" i="133"/>
  <c r="C477" i="133" s="1"/>
  <c r="G476" i="133"/>
  <c r="D476" i="133"/>
  <c r="B476" i="133"/>
  <c r="C476" i="133" s="1"/>
  <c r="G475" i="133"/>
  <c r="D475" i="133"/>
  <c r="B475" i="133"/>
  <c r="C475" i="133" s="1"/>
  <c r="G474" i="133"/>
  <c r="D474" i="133"/>
  <c r="B474" i="133"/>
  <c r="C474" i="133" s="1"/>
  <c r="G473" i="133"/>
  <c r="D473" i="133"/>
  <c r="B473" i="133"/>
  <c r="C473" i="133" s="1"/>
  <c r="G472" i="133"/>
  <c r="D472" i="133"/>
  <c r="B472" i="133"/>
  <c r="C472" i="133" s="1"/>
  <c r="G471" i="133"/>
  <c r="D471" i="133"/>
  <c r="B471" i="133"/>
  <c r="C471" i="133" s="1"/>
  <c r="G470" i="133"/>
  <c r="D470" i="133"/>
  <c r="B470" i="133"/>
  <c r="C470" i="133" s="1"/>
  <c r="G469" i="133"/>
  <c r="D469" i="133"/>
  <c r="B469" i="133"/>
  <c r="C469" i="133" s="1"/>
  <c r="G468" i="133"/>
  <c r="D468" i="133"/>
  <c r="B468" i="133"/>
  <c r="C468" i="133" s="1"/>
  <c r="G467" i="133"/>
  <c r="D467" i="133"/>
  <c r="B467" i="133"/>
  <c r="C467" i="133" s="1"/>
  <c r="G466" i="133"/>
  <c r="D466" i="133"/>
  <c r="B466" i="133"/>
  <c r="C466" i="133" s="1"/>
  <c r="G465" i="133"/>
  <c r="D465" i="133"/>
  <c r="B465" i="133"/>
  <c r="C465" i="133" s="1"/>
  <c r="G464" i="133"/>
  <c r="D464" i="133"/>
  <c r="B464" i="133"/>
  <c r="C464" i="133" s="1"/>
  <c r="G463" i="133"/>
  <c r="D463" i="133"/>
  <c r="B463" i="133"/>
  <c r="C463" i="133" s="1"/>
  <c r="G462" i="133"/>
  <c r="D462" i="133"/>
  <c r="B462" i="133"/>
  <c r="C462" i="133" s="1"/>
  <c r="G461" i="133"/>
  <c r="D461" i="133"/>
  <c r="B461" i="133"/>
  <c r="C461" i="133" s="1"/>
  <c r="G460" i="133"/>
  <c r="D460" i="133"/>
  <c r="B460" i="133"/>
  <c r="C460" i="133" s="1"/>
  <c r="G459" i="133"/>
  <c r="D459" i="133"/>
  <c r="B459" i="133"/>
  <c r="C459" i="133" s="1"/>
  <c r="G458" i="133"/>
  <c r="D458" i="133"/>
  <c r="B458" i="133"/>
  <c r="C458" i="133" s="1"/>
  <c r="G457" i="133"/>
  <c r="D457" i="133"/>
  <c r="B457" i="133"/>
  <c r="C457" i="133" s="1"/>
  <c r="G456" i="133"/>
  <c r="D456" i="133"/>
  <c r="B456" i="133"/>
  <c r="C456" i="133" s="1"/>
  <c r="G455" i="133"/>
  <c r="D455" i="133"/>
  <c r="B455" i="133"/>
  <c r="C455" i="133" s="1"/>
  <c r="G454" i="133"/>
  <c r="D454" i="133"/>
  <c r="B454" i="133"/>
  <c r="C454" i="133" s="1"/>
  <c r="G453" i="133"/>
  <c r="D453" i="133"/>
  <c r="B453" i="133"/>
  <c r="C453" i="133" s="1"/>
  <c r="G452" i="133"/>
  <c r="D452" i="133"/>
  <c r="B452" i="133"/>
  <c r="C452" i="133" s="1"/>
  <c r="G451" i="133"/>
  <c r="D451" i="133"/>
  <c r="B451" i="133"/>
  <c r="C451" i="133" s="1"/>
  <c r="G450" i="133"/>
  <c r="D450" i="133"/>
  <c r="B450" i="133"/>
  <c r="C450" i="133" s="1"/>
  <c r="G449" i="133"/>
  <c r="D449" i="133"/>
  <c r="B449" i="133"/>
  <c r="C449" i="133" s="1"/>
  <c r="G448" i="133"/>
  <c r="D448" i="133"/>
  <c r="B448" i="133"/>
  <c r="C448" i="133" s="1"/>
  <c r="G447" i="133"/>
  <c r="D447" i="133"/>
  <c r="B447" i="133"/>
  <c r="C447" i="133" s="1"/>
  <c r="G446" i="133"/>
  <c r="D446" i="133"/>
  <c r="B446" i="133"/>
  <c r="C446" i="133" s="1"/>
  <c r="G445" i="133"/>
  <c r="D445" i="133"/>
  <c r="B445" i="133"/>
  <c r="C445" i="133" s="1"/>
  <c r="G444" i="133"/>
  <c r="D444" i="133"/>
  <c r="B444" i="133"/>
  <c r="C444" i="133" s="1"/>
  <c r="G443" i="133"/>
  <c r="D443" i="133"/>
  <c r="B443" i="133"/>
  <c r="C443" i="133" s="1"/>
  <c r="G442" i="133"/>
  <c r="D442" i="133"/>
  <c r="B442" i="133"/>
  <c r="C442" i="133" s="1"/>
  <c r="G441" i="133"/>
  <c r="D441" i="133"/>
  <c r="B441" i="133"/>
  <c r="C441" i="133" s="1"/>
  <c r="G440" i="133"/>
  <c r="D440" i="133"/>
  <c r="B440" i="133"/>
  <c r="C440" i="133" s="1"/>
  <c r="G439" i="133"/>
  <c r="D439" i="133"/>
  <c r="B439" i="133"/>
  <c r="C439" i="133" s="1"/>
  <c r="G438" i="133"/>
  <c r="D438" i="133"/>
  <c r="B438" i="133"/>
  <c r="C438" i="133" s="1"/>
  <c r="G437" i="133"/>
  <c r="D437" i="133"/>
  <c r="B437" i="133"/>
  <c r="C437" i="133" s="1"/>
  <c r="G436" i="133"/>
  <c r="D436" i="133"/>
  <c r="B436" i="133"/>
  <c r="C436" i="133" s="1"/>
  <c r="G435" i="133"/>
  <c r="D435" i="133"/>
  <c r="B435" i="133"/>
  <c r="C435" i="133" s="1"/>
  <c r="G434" i="133"/>
  <c r="D434" i="133"/>
  <c r="B434" i="133"/>
  <c r="C434" i="133" s="1"/>
  <c r="G433" i="133"/>
  <c r="D433" i="133"/>
  <c r="B433" i="133"/>
  <c r="C433" i="133" s="1"/>
  <c r="G432" i="133"/>
  <c r="D432" i="133"/>
  <c r="B432" i="133"/>
  <c r="C432" i="133" s="1"/>
  <c r="G431" i="133"/>
  <c r="D431" i="133"/>
  <c r="B431" i="133"/>
  <c r="C431" i="133" s="1"/>
  <c r="G430" i="133"/>
  <c r="D430" i="133"/>
  <c r="B430" i="133"/>
  <c r="C430" i="133" s="1"/>
  <c r="G429" i="133"/>
  <c r="D429" i="133"/>
  <c r="B429" i="133"/>
  <c r="C429" i="133" s="1"/>
  <c r="G428" i="133"/>
  <c r="D428" i="133"/>
  <c r="B428" i="133"/>
  <c r="C428" i="133" s="1"/>
  <c r="G427" i="133"/>
  <c r="D427" i="133"/>
  <c r="B427" i="133"/>
  <c r="C427" i="133" s="1"/>
  <c r="G426" i="133"/>
  <c r="D426" i="133"/>
  <c r="B426" i="133"/>
  <c r="C426" i="133" s="1"/>
  <c r="G425" i="133"/>
  <c r="D425" i="133"/>
  <c r="B425" i="133"/>
  <c r="C425" i="133" s="1"/>
  <c r="G424" i="133"/>
  <c r="D424" i="133"/>
  <c r="B424" i="133"/>
  <c r="C424" i="133" s="1"/>
  <c r="G423" i="133"/>
  <c r="D423" i="133"/>
  <c r="B423" i="133"/>
  <c r="C423" i="133" s="1"/>
  <c r="G422" i="133"/>
  <c r="D422" i="133"/>
  <c r="B422" i="133"/>
  <c r="C422" i="133" s="1"/>
  <c r="G421" i="133"/>
  <c r="D421" i="133"/>
  <c r="B421" i="133"/>
  <c r="C421" i="133" s="1"/>
  <c r="G420" i="133"/>
  <c r="D420" i="133"/>
  <c r="B420" i="133"/>
  <c r="C420" i="133" s="1"/>
  <c r="G419" i="133"/>
  <c r="D419" i="133"/>
  <c r="B419" i="133"/>
  <c r="C419" i="133" s="1"/>
  <c r="G418" i="133"/>
  <c r="D418" i="133"/>
  <c r="B418" i="133"/>
  <c r="C418" i="133" s="1"/>
  <c r="G417" i="133"/>
  <c r="D417" i="133"/>
  <c r="B417" i="133"/>
  <c r="C417" i="133" s="1"/>
  <c r="G416" i="133"/>
  <c r="D416" i="133"/>
  <c r="B416" i="133"/>
  <c r="C416" i="133" s="1"/>
  <c r="G415" i="133"/>
  <c r="D415" i="133"/>
  <c r="B415" i="133"/>
  <c r="C415" i="133" s="1"/>
  <c r="G414" i="133"/>
  <c r="D414" i="133"/>
  <c r="B414" i="133"/>
  <c r="C414" i="133" s="1"/>
  <c r="G413" i="133"/>
  <c r="D413" i="133"/>
  <c r="B413" i="133"/>
  <c r="C413" i="133" s="1"/>
  <c r="G412" i="133"/>
  <c r="D412" i="133"/>
  <c r="B412" i="133"/>
  <c r="C412" i="133" s="1"/>
  <c r="G411" i="133"/>
  <c r="D411" i="133"/>
  <c r="B411" i="133"/>
  <c r="C411" i="133" s="1"/>
  <c r="G410" i="133"/>
  <c r="D410" i="133"/>
  <c r="B410" i="133"/>
  <c r="C410" i="133" s="1"/>
  <c r="G409" i="133"/>
  <c r="D409" i="133"/>
  <c r="B409" i="133"/>
  <c r="C409" i="133" s="1"/>
  <c r="G408" i="133"/>
  <c r="D408" i="133"/>
  <c r="B408" i="133"/>
  <c r="C408" i="133" s="1"/>
  <c r="G407" i="133"/>
  <c r="D407" i="133"/>
  <c r="B407" i="133"/>
  <c r="C407" i="133" s="1"/>
  <c r="G406" i="133"/>
  <c r="D406" i="133"/>
  <c r="B406" i="133"/>
  <c r="C406" i="133" s="1"/>
  <c r="G405" i="133"/>
  <c r="D405" i="133"/>
  <c r="B405" i="133"/>
  <c r="C405" i="133" s="1"/>
  <c r="G404" i="133"/>
  <c r="D404" i="133"/>
  <c r="B404" i="133"/>
  <c r="C404" i="133" s="1"/>
  <c r="G403" i="133"/>
  <c r="D403" i="133"/>
  <c r="B403" i="133"/>
  <c r="C403" i="133" s="1"/>
  <c r="G402" i="133"/>
  <c r="D402" i="133"/>
  <c r="B402" i="133"/>
  <c r="C402" i="133" s="1"/>
  <c r="G401" i="133"/>
  <c r="D401" i="133"/>
  <c r="B401" i="133"/>
  <c r="C401" i="133" s="1"/>
  <c r="G400" i="133"/>
  <c r="D400" i="133"/>
  <c r="B400" i="133"/>
  <c r="C400" i="133" s="1"/>
  <c r="G399" i="133"/>
  <c r="D399" i="133"/>
  <c r="B399" i="133"/>
  <c r="C399" i="133" s="1"/>
  <c r="G398" i="133"/>
  <c r="D398" i="133"/>
  <c r="B398" i="133"/>
  <c r="C398" i="133" s="1"/>
  <c r="G397" i="133"/>
  <c r="D397" i="133"/>
  <c r="B397" i="133"/>
  <c r="C397" i="133" s="1"/>
  <c r="G396" i="133"/>
  <c r="D396" i="133"/>
  <c r="B396" i="133"/>
  <c r="C396" i="133" s="1"/>
  <c r="G395" i="133"/>
  <c r="D395" i="133"/>
  <c r="B395" i="133"/>
  <c r="C395" i="133" s="1"/>
  <c r="G394" i="133"/>
  <c r="D394" i="133"/>
  <c r="B394" i="133"/>
  <c r="C394" i="133" s="1"/>
  <c r="G393" i="133"/>
  <c r="D393" i="133"/>
  <c r="B393" i="133"/>
  <c r="C393" i="133" s="1"/>
  <c r="G392" i="133"/>
  <c r="D392" i="133"/>
  <c r="B392" i="133"/>
  <c r="C392" i="133" s="1"/>
  <c r="G391" i="133"/>
  <c r="D391" i="133"/>
  <c r="B391" i="133"/>
  <c r="C391" i="133" s="1"/>
  <c r="G390" i="133"/>
  <c r="D390" i="133"/>
  <c r="B390" i="133"/>
  <c r="C390" i="133" s="1"/>
  <c r="G389" i="133"/>
  <c r="D389" i="133"/>
  <c r="B389" i="133"/>
  <c r="C389" i="133" s="1"/>
  <c r="G388" i="133"/>
  <c r="D388" i="133"/>
  <c r="B388" i="133"/>
  <c r="C388" i="133" s="1"/>
  <c r="G387" i="133"/>
  <c r="D387" i="133"/>
  <c r="B387" i="133"/>
  <c r="C387" i="133" s="1"/>
  <c r="G386" i="133"/>
  <c r="D386" i="133"/>
  <c r="B386" i="133"/>
  <c r="C386" i="133" s="1"/>
  <c r="G385" i="133"/>
  <c r="D385" i="133"/>
  <c r="B385" i="133"/>
  <c r="C385" i="133" s="1"/>
  <c r="G384" i="133"/>
  <c r="D384" i="133"/>
  <c r="B384" i="133"/>
  <c r="C384" i="133" s="1"/>
  <c r="G383" i="133"/>
  <c r="D383" i="133"/>
  <c r="B383" i="133"/>
  <c r="C383" i="133" s="1"/>
  <c r="G382" i="133"/>
  <c r="D382" i="133"/>
  <c r="B382" i="133"/>
  <c r="C382" i="133" s="1"/>
  <c r="G381" i="133"/>
  <c r="D381" i="133"/>
  <c r="B381" i="133"/>
  <c r="C381" i="133" s="1"/>
  <c r="G380" i="133"/>
  <c r="D380" i="133"/>
  <c r="B380" i="133"/>
  <c r="C380" i="133" s="1"/>
  <c r="G379" i="133"/>
  <c r="D379" i="133"/>
  <c r="B379" i="133"/>
  <c r="C379" i="133" s="1"/>
  <c r="G378" i="133"/>
  <c r="D378" i="133"/>
  <c r="B378" i="133"/>
  <c r="C378" i="133" s="1"/>
  <c r="G377" i="133"/>
  <c r="D377" i="133"/>
  <c r="B377" i="133"/>
  <c r="C377" i="133" s="1"/>
  <c r="G376" i="133"/>
  <c r="D376" i="133"/>
  <c r="B376" i="133"/>
  <c r="C376" i="133" s="1"/>
  <c r="G375" i="133"/>
  <c r="D375" i="133"/>
  <c r="B375" i="133"/>
  <c r="C375" i="133" s="1"/>
  <c r="G374" i="133"/>
  <c r="D374" i="133"/>
  <c r="B374" i="133"/>
  <c r="C374" i="133" s="1"/>
  <c r="G373" i="133"/>
  <c r="D373" i="133"/>
  <c r="B373" i="133"/>
  <c r="C373" i="133" s="1"/>
  <c r="G372" i="133"/>
  <c r="D372" i="133"/>
  <c r="B372" i="133"/>
  <c r="C372" i="133" s="1"/>
  <c r="G371" i="133"/>
  <c r="D371" i="133"/>
  <c r="B371" i="133"/>
  <c r="C371" i="133" s="1"/>
  <c r="G370" i="133"/>
  <c r="D370" i="133"/>
  <c r="B370" i="133"/>
  <c r="C370" i="133" s="1"/>
  <c r="G369" i="133"/>
  <c r="D369" i="133"/>
  <c r="B369" i="133"/>
  <c r="C369" i="133" s="1"/>
  <c r="G368" i="133"/>
  <c r="D368" i="133"/>
  <c r="B368" i="133"/>
  <c r="C368" i="133" s="1"/>
  <c r="G367" i="133"/>
  <c r="D367" i="133"/>
  <c r="B367" i="133"/>
  <c r="C367" i="133" s="1"/>
  <c r="G366" i="133"/>
  <c r="D366" i="133"/>
  <c r="B366" i="133"/>
  <c r="C366" i="133" s="1"/>
  <c r="G365" i="133"/>
  <c r="D365" i="133"/>
  <c r="B365" i="133"/>
  <c r="C365" i="133" s="1"/>
  <c r="G364" i="133"/>
  <c r="D364" i="133"/>
  <c r="B364" i="133"/>
  <c r="C364" i="133" s="1"/>
  <c r="G363" i="133"/>
  <c r="D363" i="133"/>
  <c r="B363" i="133"/>
  <c r="C363" i="133" s="1"/>
  <c r="G362" i="133"/>
  <c r="D362" i="133"/>
  <c r="B362" i="133"/>
  <c r="C362" i="133" s="1"/>
  <c r="G361" i="133"/>
  <c r="D361" i="133"/>
  <c r="B361" i="133"/>
  <c r="C361" i="133" s="1"/>
  <c r="G360" i="133"/>
  <c r="D360" i="133"/>
  <c r="B360" i="133"/>
  <c r="C360" i="133" s="1"/>
  <c r="G359" i="133"/>
  <c r="D359" i="133"/>
  <c r="B359" i="133"/>
  <c r="C359" i="133" s="1"/>
  <c r="G358" i="133"/>
  <c r="D358" i="133"/>
  <c r="B358" i="133"/>
  <c r="C358" i="133" s="1"/>
  <c r="G357" i="133"/>
  <c r="D357" i="133"/>
  <c r="B357" i="133"/>
  <c r="C357" i="133" s="1"/>
  <c r="G356" i="133"/>
  <c r="D356" i="133"/>
  <c r="B356" i="133"/>
  <c r="C356" i="133" s="1"/>
  <c r="G355" i="133"/>
  <c r="D355" i="133"/>
  <c r="B355" i="133"/>
  <c r="C355" i="133" s="1"/>
  <c r="G354" i="133"/>
  <c r="D354" i="133"/>
  <c r="B354" i="133"/>
  <c r="C354" i="133" s="1"/>
  <c r="G353" i="133"/>
  <c r="D353" i="133"/>
  <c r="B353" i="133"/>
  <c r="C353" i="133" s="1"/>
  <c r="G352" i="133"/>
  <c r="D352" i="133"/>
  <c r="B352" i="133"/>
  <c r="C352" i="133" s="1"/>
  <c r="G351" i="133"/>
  <c r="D351" i="133"/>
  <c r="B351" i="133"/>
  <c r="C351" i="133" s="1"/>
  <c r="G350" i="133"/>
  <c r="D350" i="133"/>
  <c r="B350" i="133"/>
  <c r="C350" i="133" s="1"/>
  <c r="G349" i="133"/>
  <c r="D349" i="133"/>
  <c r="B349" i="133"/>
  <c r="C349" i="133" s="1"/>
  <c r="G348" i="133"/>
  <c r="D348" i="133"/>
  <c r="B348" i="133"/>
  <c r="C348" i="133" s="1"/>
  <c r="G347" i="133"/>
  <c r="D347" i="133"/>
  <c r="B347" i="133"/>
  <c r="C347" i="133" s="1"/>
  <c r="G346" i="133"/>
  <c r="D346" i="133"/>
  <c r="B346" i="133"/>
  <c r="C346" i="133" s="1"/>
  <c r="G345" i="133"/>
  <c r="D345" i="133"/>
  <c r="B345" i="133"/>
  <c r="C345" i="133" s="1"/>
  <c r="G344" i="133"/>
  <c r="D344" i="133"/>
  <c r="B344" i="133"/>
  <c r="C344" i="133" s="1"/>
  <c r="G343" i="133"/>
  <c r="D343" i="133"/>
  <c r="B343" i="133"/>
  <c r="C343" i="133" s="1"/>
  <c r="G342" i="133"/>
  <c r="D342" i="133"/>
  <c r="B342" i="133"/>
  <c r="C342" i="133" s="1"/>
  <c r="G341" i="133"/>
  <c r="D341" i="133"/>
  <c r="B341" i="133"/>
  <c r="C341" i="133" s="1"/>
  <c r="G340" i="133"/>
  <c r="D340" i="133"/>
  <c r="B340" i="133"/>
  <c r="C340" i="133" s="1"/>
  <c r="G339" i="133"/>
  <c r="D339" i="133"/>
  <c r="B339" i="133"/>
  <c r="C339" i="133" s="1"/>
  <c r="G338" i="133"/>
  <c r="D338" i="133"/>
  <c r="B338" i="133"/>
  <c r="C338" i="133" s="1"/>
  <c r="G337" i="133"/>
  <c r="D337" i="133"/>
  <c r="B337" i="133"/>
  <c r="C337" i="133" s="1"/>
  <c r="G336" i="133"/>
  <c r="D336" i="133"/>
  <c r="B336" i="133"/>
  <c r="C336" i="133" s="1"/>
  <c r="G335" i="133"/>
  <c r="D335" i="133"/>
  <c r="B335" i="133"/>
  <c r="C335" i="133" s="1"/>
  <c r="G334" i="133"/>
  <c r="D334" i="133"/>
  <c r="B334" i="133"/>
  <c r="C334" i="133" s="1"/>
  <c r="G333" i="133"/>
  <c r="D333" i="133"/>
  <c r="B333" i="133"/>
  <c r="C333" i="133" s="1"/>
  <c r="G332" i="133"/>
  <c r="D332" i="133"/>
  <c r="B332" i="133"/>
  <c r="C332" i="133" s="1"/>
  <c r="G331" i="133"/>
  <c r="D331" i="133"/>
  <c r="B331" i="133"/>
  <c r="C331" i="133" s="1"/>
  <c r="G330" i="133"/>
  <c r="D330" i="133"/>
  <c r="B330" i="133"/>
  <c r="C330" i="133" s="1"/>
  <c r="G329" i="133"/>
  <c r="D329" i="133"/>
  <c r="B329" i="133"/>
  <c r="C329" i="133" s="1"/>
  <c r="G328" i="133"/>
  <c r="D328" i="133"/>
  <c r="B328" i="133"/>
  <c r="C328" i="133" s="1"/>
  <c r="G327" i="133"/>
  <c r="D327" i="133"/>
  <c r="B327" i="133"/>
  <c r="C327" i="133" s="1"/>
  <c r="G326" i="133"/>
  <c r="D326" i="133"/>
  <c r="B326" i="133"/>
  <c r="C326" i="133" s="1"/>
  <c r="G325" i="133"/>
  <c r="D325" i="133"/>
  <c r="B325" i="133"/>
  <c r="C325" i="133" s="1"/>
  <c r="G324" i="133"/>
  <c r="D324" i="133"/>
  <c r="B324" i="133"/>
  <c r="C324" i="133" s="1"/>
  <c r="G323" i="133"/>
  <c r="D323" i="133"/>
  <c r="B323" i="133"/>
  <c r="C323" i="133" s="1"/>
  <c r="G322" i="133"/>
  <c r="D322" i="133"/>
  <c r="B322" i="133"/>
  <c r="C322" i="133" s="1"/>
  <c r="G321" i="133"/>
  <c r="D321" i="133"/>
  <c r="B321" i="133"/>
  <c r="C321" i="133" s="1"/>
  <c r="G320" i="133"/>
  <c r="D320" i="133"/>
  <c r="B320" i="133"/>
  <c r="C320" i="133" s="1"/>
  <c r="G319" i="133"/>
  <c r="D319" i="133"/>
  <c r="B319" i="133"/>
  <c r="C319" i="133" s="1"/>
  <c r="G318" i="133"/>
  <c r="D318" i="133"/>
  <c r="B318" i="133"/>
  <c r="C318" i="133" s="1"/>
  <c r="G317" i="133"/>
  <c r="D317" i="133"/>
  <c r="B317" i="133"/>
  <c r="C317" i="133" s="1"/>
  <c r="G316" i="133"/>
  <c r="D316" i="133"/>
  <c r="B316" i="133"/>
  <c r="C316" i="133" s="1"/>
  <c r="G315" i="133"/>
  <c r="D315" i="133"/>
  <c r="B315" i="133"/>
  <c r="C315" i="133" s="1"/>
  <c r="G314" i="133"/>
  <c r="D314" i="133"/>
  <c r="B314" i="133"/>
  <c r="C314" i="133" s="1"/>
  <c r="G313" i="133"/>
  <c r="D313" i="133"/>
  <c r="B313" i="133"/>
  <c r="C313" i="133" s="1"/>
  <c r="G312" i="133"/>
  <c r="D312" i="133"/>
  <c r="B312" i="133"/>
  <c r="C312" i="133" s="1"/>
  <c r="G311" i="133"/>
  <c r="D311" i="133"/>
  <c r="B311" i="133"/>
  <c r="C311" i="133" s="1"/>
  <c r="G310" i="133"/>
  <c r="D310" i="133"/>
  <c r="B310" i="133"/>
  <c r="C310" i="133" s="1"/>
  <c r="G309" i="133"/>
  <c r="D309" i="133"/>
  <c r="B309" i="133"/>
  <c r="C309" i="133" s="1"/>
  <c r="G308" i="133"/>
  <c r="D308" i="133"/>
  <c r="B308" i="133"/>
  <c r="C308" i="133" s="1"/>
  <c r="G307" i="133"/>
  <c r="D307" i="133"/>
  <c r="B307" i="133"/>
  <c r="C307" i="133" s="1"/>
  <c r="G306" i="133"/>
  <c r="D306" i="133"/>
  <c r="B306" i="133"/>
  <c r="C306" i="133" s="1"/>
  <c r="G305" i="133"/>
  <c r="D305" i="133"/>
  <c r="B305" i="133"/>
  <c r="C305" i="133" s="1"/>
  <c r="G304" i="133"/>
  <c r="D304" i="133"/>
  <c r="B304" i="133"/>
  <c r="C304" i="133" s="1"/>
  <c r="G303" i="133"/>
  <c r="D303" i="133"/>
  <c r="B303" i="133"/>
  <c r="C303" i="133" s="1"/>
  <c r="G302" i="133"/>
  <c r="D302" i="133"/>
  <c r="B302" i="133"/>
  <c r="C302" i="133" s="1"/>
  <c r="G301" i="133"/>
  <c r="D301" i="133"/>
  <c r="B301" i="133"/>
  <c r="C301" i="133" s="1"/>
  <c r="G300" i="133"/>
  <c r="D300" i="133"/>
  <c r="B300" i="133"/>
  <c r="C300" i="133" s="1"/>
  <c r="G299" i="133"/>
  <c r="D299" i="133"/>
  <c r="B299" i="133"/>
  <c r="C299" i="133" s="1"/>
  <c r="G298" i="133"/>
  <c r="D298" i="133"/>
  <c r="B298" i="133"/>
  <c r="C298" i="133" s="1"/>
  <c r="G297" i="133"/>
  <c r="D297" i="133"/>
  <c r="B297" i="133"/>
  <c r="C297" i="133" s="1"/>
  <c r="G296" i="133"/>
  <c r="D296" i="133"/>
  <c r="B296" i="133"/>
  <c r="C296" i="133" s="1"/>
  <c r="G295" i="133"/>
  <c r="D295" i="133"/>
  <c r="B295" i="133"/>
  <c r="C295" i="133" s="1"/>
  <c r="G294" i="133"/>
  <c r="D294" i="133"/>
  <c r="B294" i="133"/>
  <c r="C294" i="133" s="1"/>
  <c r="G293" i="133"/>
  <c r="D293" i="133"/>
  <c r="B293" i="133"/>
  <c r="C293" i="133" s="1"/>
  <c r="G292" i="133"/>
  <c r="D292" i="133"/>
  <c r="B292" i="133"/>
  <c r="C292" i="133" s="1"/>
  <c r="G291" i="133"/>
  <c r="D291" i="133"/>
  <c r="B291" i="133"/>
  <c r="C291" i="133" s="1"/>
  <c r="G290" i="133"/>
  <c r="D290" i="133"/>
  <c r="B290" i="133"/>
  <c r="C290" i="133" s="1"/>
  <c r="G289" i="133"/>
  <c r="D289" i="133"/>
  <c r="B289" i="133"/>
  <c r="C289" i="133" s="1"/>
  <c r="G288" i="133"/>
  <c r="D288" i="133"/>
  <c r="B288" i="133"/>
  <c r="C288" i="133" s="1"/>
  <c r="G287" i="133"/>
  <c r="D287" i="133"/>
  <c r="B287" i="133"/>
  <c r="C287" i="133" s="1"/>
  <c r="G286" i="133"/>
  <c r="D286" i="133"/>
  <c r="B286" i="133"/>
  <c r="C286" i="133" s="1"/>
  <c r="G285" i="133"/>
  <c r="D285" i="133"/>
  <c r="B285" i="133"/>
  <c r="C285" i="133" s="1"/>
  <c r="G284" i="133"/>
  <c r="D284" i="133"/>
  <c r="B284" i="133"/>
  <c r="C284" i="133" s="1"/>
  <c r="G283" i="133"/>
  <c r="D283" i="133"/>
  <c r="B283" i="133"/>
  <c r="C283" i="133" s="1"/>
  <c r="G282" i="133"/>
  <c r="D282" i="133"/>
  <c r="B282" i="133"/>
  <c r="C282" i="133" s="1"/>
  <c r="G281" i="133"/>
  <c r="D281" i="133"/>
  <c r="B281" i="133"/>
  <c r="C281" i="133" s="1"/>
  <c r="G280" i="133"/>
  <c r="D280" i="133"/>
  <c r="B280" i="133"/>
  <c r="C280" i="133" s="1"/>
  <c r="G279" i="133"/>
  <c r="D279" i="133"/>
  <c r="B279" i="133"/>
  <c r="C279" i="133" s="1"/>
  <c r="G278" i="133"/>
  <c r="D278" i="133"/>
  <c r="B278" i="133"/>
  <c r="C278" i="133" s="1"/>
  <c r="G277" i="133"/>
  <c r="D277" i="133"/>
  <c r="B277" i="133"/>
  <c r="C277" i="133" s="1"/>
  <c r="G276" i="133"/>
  <c r="D276" i="133"/>
  <c r="B276" i="133"/>
  <c r="C276" i="133" s="1"/>
  <c r="G275" i="133"/>
  <c r="D275" i="133"/>
  <c r="B275" i="133"/>
  <c r="C275" i="133" s="1"/>
  <c r="G274" i="133"/>
  <c r="D274" i="133"/>
  <c r="B274" i="133"/>
  <c r="C274" i="133" s="1"/>
  <c r="G273" i="133"/>
  <c r="D273" i="133"/>
  <c r="B273" i="133"/>
  <c r="C273" i="133" s="1"/>
  <c r="G272" i="133"/>
  <c r="D272" i="133"/>
  <c r="B272" i="133"/>
  <c r="C272" i="133" s="1"/>
  <c r="G271" i="133"/>
  <c r="D271" i="133"/>
  <c r="B271" i="133"/>
  <c r="C271" i="133" s="1"/>
  <c r="G270" i="133"/>
  <c r="D270" i="133"/>
  <c r="B270" i="133"/>
  <c r="C270" i="133" s="1"/>
  <c r="G269" i="133"/>
  <c r="D269" i="133"/>
  <c r="B269" i="133"/>
  <c r="C269" i="133" s="1"/>
  <c r="G268" i="133"/>
  <c r="D268" i="133"/>
  <c r="B268" i="133"/>
  <c r="C268" i="133" s="1"/>
  <c r="G267" i="133"/>
  <c r="D267" i="133"/>
  <c r="B267" i="133"/>
  <c r="C267" i="133" s="1"/>
  <c r="G266" i="133"/>
  <c r="D266" i="133"/>
  <c r="B266" i="133"/>
  <c r="C266" i="133" s="1"/>
  <c r="G265" i="133"/>
  <c r="D265" i="133"/>
  <c r="B265" i="133"/>
  <c r="C265" i="133" s="1"/>
  <c r="G264" i="133"/>
  <c r="D264" i="133"/>
  <c r="B264" i="133"/>
  <c r="C264" i="133" s="1"/>
  <c r="G263" i="133"/>
  <c r="D263" i="133"/>
  <c r="B263" i="133"/>
  <c r="C263" i="133" s="1"/>
  <c r="G262" i="133"/>
  <c r="D262" i="133"/>
  <c r="B262" i="133"/>
  <c r="C262" i="133" s="1"/>
  <c r="G261" i="133"/>
  <c r="D261" i="133"/>
  <c r="B261" i="133"/>
  <c r="C261" i="133" s="1"/>
  <c r="G260" i="133"/>
  <c r="D260" i="133"/>
  <c r="B260" i="133"/>
  <c r="C260" i="133" s="1"/>
  <c r="G259" i="133"/>
  <c r="D259" i="133"/>
  <c r="B259" i="133"/>
  <c r="C259" i="133" s="1"/>
  <c r="G258" i="133"/>
  <c r="D258" i="133"/>
  <c r="B258" i="133"/>
  <c r="C258" i="133" s="1"/>
  <c r="G257" i="133"/>
  <c r="D257" i="133"/>
  <c r="B257" i="133"/>
  <c r="C257" i="133" s="1"/>
  <c r="G256" i="133"/>
  <c r="D256" i="133"/>
  <c r="B256" i="133"/>
  <c r="C256" i="133" s="1"/>
  <c r="G255" i="133"/>
  <c r="D255" i="133"/>
  <c r="B255" i="133"/>
  <c r="C255" i="133" s="1"/>
  <c r="G254" i="133"/>
  <c r="D254" i="133"/>
  <c r="B254" i="133"/>
  <c r="C254" i="133" s="1"/>
  <c r="G253" i="133"/>
  <c r="D253" i="133"/>
  <c r="B253" i="133"/>
  <c r="C253" i="133" s="1"/>
  <c r="G252" i="133"/>
  <c r="D252" i="133"/>
  <c r="B252" i="133"/>
  <c r="C252" i="133" s="1"/>
  <c r="G251" i="133"/>
  <c r="D251" i="133"/>
  <c r="B251" i="133"/>
  <c r="C251" i="133" s="1"/>
  <c r="G250" i="133"/>
  <c r="D250" i="133"/>
  <c r="B250" i="133"/>
  <c r="C250" i="133" s="1"/>
  <c r="G249" i="133"/>
  <c r="D249" i="133"/>
  <c r="B249" i="133"/>
  <c r="C249" i="133" s="1"/>
  <c r="G248" i="133"/>
  <c r="D248" i="133"/>
  <c r="B248" i="133"/>
  <c r="C248" i="133" s="1"/>
  <c r="G247" i="133"/>
  <c r="D247" i="133"/>
  <c r="B247" i="133"/>
  <c r="C247" i="133" s="1"/>
  <c r="G246" i="133"/>
  <c r="D246" i="133"/>
  <c r="B246" i="133"/>
  <c r="C246" i="133" s="1"/>
  <c r="G245" i="133"/>
  <c r="D245" i="133"/>
  <c r="B245" i="133"/>
  <c r="C245" i="133" s="1"/>
  <c r="G244" i="133"/>
  <c r="D244" i="133"/>
  <c r="B244" i="133"/>
  <c r="C244" i="133" s="1"/>
  <c r="G243" i="133"/>
  <c r="D243" i="133"/>
  <c r="B243" i="133"/>
  <c r="C243" i="133" s="1"/>
  <c r="G242" i="133"/>
  <c r="D242" i="133"/>
  <c r="B242" i="133"/>
  <c r="C242" i="133" s="1"/>
  <c r="G241" i="133"/>
  <c r="D241" i="133"/>
  <c r="B241" i="133"/>
  <c r="C241" i="133" s="1"/>
  <c r="G240" i="133"/>
  <c r="D240" i="133"/>
  <c r="B240" i="133"/>
  <c r="C240" i="133" s="1"/>
  <c r="G239" i="133"/>
  <c r="D239" i="133"/>
  <c r="B239" i="133"/>
  <c r="C239" i="133" s="1"/>
  <c r="G238" i="133"/>
  <c r="D238" i="133"/>
  <c r="B238" i="133"/>
  <c r="C238" i="133" s="1"/>
  <c r="G237" i="133"/>
  <c r="D237" i="133"/>
  <c r="B237" i="133"/>
  <c r="C237" i="133" s="1"/>
  <c r="G236" i="133"/>
  <c r="D236" i="133"/>
  <c r="B236" i="133"/>
  <c r="C236" i="133" s="1"/>
  <c r="G235" i="133"/>
  <c r="D235" i="133"/>
  <c r="B235" i="133"/>
  <c r="C235" i="133" s="1"/>
  <c r="G234" i="133"/>
  <c r="D234" i="133"/>
  <c r="B234" i="133"/>
  <c r="C234" i="133" s="1"/>
  <c r="G233" i="133"/>
  <c r="D233" i="133"/>
  <c r="B233" i="133"/>
  <c r="C233" i="133" s="1"/>
  <c r="G232" i="133"/>
  <c r="D232" i="133"/>
  <c r="B232" i="133"/>
  <c r="C232" i="133" s="1"/>
  <c r="G231" i="133"/>
  <c r="D231" i="133"/>
  <c r="B231" i="133"/>
  <c r="C231" i="133" s="1"/>
  <c r="G230" i="133"/>
  <c r="D230" i="133"/>
  <c r="B230" i="133"/>
  <c r="C230" i="133" s="1"/>
  <c r="G229" i="133"/>
  <c r="D229" i="133"/>
  <c r="B229" i="133"/>
  <c r="C229" i="133" s="1"/>
  <c r="G228" i="133"/>
  <c r="D228" i="133"/>
  <c r="B228" i="133"/>
  <c r="C228" i="133" s="1"/>
  <c r="G227" i="133"/>
  <c r="D227" i="133"/>
  <c r="B227" i="133"/>
  <c r="C227" i="133" s="1"/>
  <c r="G226" i="133"/>
  <c r="D226" i="133"/>
  <c r="B226" i="133"/>
  <c r="C226" i="133" s="1"/>
  <c r="G225" i="133"/>
  <c r="D225" i="133"/>
  <c r="B225" i="133"/>
  <c r="C225" i="133" s="1"/>
  <c r="G224" i="133"/>
  <c r="D224" i="133"/>
  <c r="B224" i="133"/>
  <c r="C224" i="133" s="1"/>
  <c r="G223" i="133"/>
  <c r="D223" i="133"/>
  <c r="B223" i="133"/>
  <c r="C223" i="133" s="1"/>
  <c r="G222" i="133"/>
  <c r="D222" i="133"/>
  <c r="B222" i="133"/>
  <c r="C222" i="133" s="1"/>
  <c r="G221" i="133"/>
  <c r="D221" i="133"/>
  <c r="B221" i="133"/>
  <c r="C221" i="133" s="1"/>
  <c r="G220" i="133"/>
  <c r="D220" i="133"/>
  <c r="B220" i="133"/>
  <c r="C220" i="133" s="1"/>
  <c r="G219" i="133"/>
  <c r="D219" i="133"/>
  <c r="B219" i="133"/>
  <c r="C219" i="133" s="1"/>
  <c r="G218" i="133"/>
  <c r="D218" i="133"/>
  <c r="B218" i="133"/>
  <c r="C218" i="133" s="1"/>
  <c r="G217" i="133"/>
  <c r="D217" i="133"/>
  <c r="B217" i="133"/>
  <c r="C217" i="133" s="1"/>
  <c r="G216" i="133"/>
  <c r="D216" i="133"/>
  <c r="B216" i="133"/>
  <c r="C216" i="133" s="1"/>
  <c r="G215" i="133"/>
  <c r="D215" i="133"/>
  <c r="B215" i="133"/>
  <c r="C215" i="133" s="1"/>
  <c r="G214" i="133"/>
  <c r="D214" i="133"/>
  <c r="B214" i="133"/>
  <c r="C214" i="133" s="1"/>
  <c r="G213" i="133"/>
  <c r="D213" i="133"/>
  <c r="B213" i="133"/>
  <c r="C213" i="133" s="1"/>
  <c r="G212" i="133"/>
  <c r="D212" i="133"/>
  <c r="B212" i="133"/>
  <c r="C212" i="133" s="1"/>
  <c r="G211" i="133"/>
  <c r="D211" i="133"/>
  <c r="B211" i="133"/>
  <c r="C211" i="133" s="1"/>
  <c r="G210" i="133"/>
  <c r="D210" i="133"/>
  <c r="B210" i="133"/>
  <c r="C210" i="133" s="1"/>
  <c r="G209" i="133"/>
  <c r="D209" i="133"/>
  <c r="B209" i="133"/>
  <c r="C209" i="133" s="1"/>
  <c r="G208" i="133"/>
  <c r="D208" i="133"/>
  <c r="B208" i="133"/>
  <c r="C208" i="133" s="1"/>
  <c r="G207" i="133"/>
  <c r="D207" i="133"/>
  <c r="B207" i="133"/>
  <c r="C207" i="133" s="1"/>
  <c r="G206" i="133"/>
  <c r="D206" i="133"/>
  <c r="B206" i="133"/>
  <c r="C206" i="133" s="1"/>
  <c r="G205" i="133"/>
  <c r="D205" i="133"/>
  <c r="B205" i="133"/>
  <c r="C205" i="133" s="1"/>
  <c r="G204" i="133"/>
  <c r="D204" i="133"/>
  <c r="B204" i="133"/>
  <c r="C204" i="133" s="1"/>
  <c r="G203" i="133"/>
  <c r="D203" i="133"/>
  <c r="B203" i="133"/>
  <c r="C203" i="133" s="1"/>
  <c r="G202" i="133"/>
  <c r="D202" i="133"/>
  <c r="B202" i="133"/>
  <c r="C202" i="133" s="1"/>
  <c r="G201" i="133"/>
  <c r="D201" i="133"/>
  <c r="B201" i="133"/>
  <c r="C201" i="133" s="1"/>
  <c r="G200" i="133"/>
  <c r="D200" i="133"/>
  <c r="B200" i="133"/>
  <c r="C200" i="133" s="1"/>
  <c r="G199" i="133"/>
  <c r="D199" i="133"/>
  <c r="B199" i="133"/>
  <c r="C199" i="133" s="1"/>
  <c r="G198" i="133"/>
  <c r="D198" i="133"/>
  <c r="B198" i="133"/>
  <c r="C198" i="133" s="1"/>
  <c r="G197" i="133"/>
  <c r="D197" i="133"/>
  <c r="B197" i="133"/>
  <c r="C197" i="133" s="1"/>
  <c r="G196" i="133"/>
  <c r="D196" i="133"/>
  <c r="B196" i="133"/>
  <c r="C196" i="133" s="1"/>
  <c r="G195" i="133"/>
  <c r="D195" i="133"/>
  <c r="B195" i="133"/>
  <c r="C195" i="133" s="1"/>
  <c r="G194" i="133"/>
  <c r="D194" i="133"/>
  <c r="B194" i="133"/>
  <c r="C194" i="133" s="1"/>
  <c r="G193" i="133"/>
  <c r="D193" i="133"/>
  <c r="B193" i="133"/>
  <c r="C193" i="133" s="1"/>
  <c r="G192" i="133"/>
  <c r="D192" i="133"/>
  <c r="B192" i="133"/>
  <c r="C192" i="133" s="1"/>
  <c r="G191" i="133"/>
  <c r="D191" i="133"/>
  <c r="B191" i="133"/>
  <c r="C191" i="133" s="1"/>
  <c r="G190" i="133"/>
  <c r="D190" i="133"/>
  <c r="B190" i="133"/>
  <c r="C190" i="133" s="1"/>
  <c r="G189" i="133"/>
  <c r="D189" i="133"/>
  <c r="B189" i="133"/>
  <c r="C189" i="133" s="1"/>
  <c r="G188" i="133"/>
  <c r="D188" i="133"/>
  <c r="B188" i="133"/>
  <c r="C188" i="133" s="1"/>
  <c r="G187" i="133"/>
  <c r="D187" i="133"/>
  <c r="B187" i="133"/>
  <c r="C187" i="133" s="1"/>
  <c r="G186" i="133"/>
  <c r="D186" i="133"/>
  <c r="B186" i="133"/>
  <c r="C186" i="133" s="1"/>
  <c r="G185" i="133"/>
  <c r="D185" i="133"/>
  <c r="B185" i="133"/>
  <c r="C185" i="133" s="1"/>
  <c r="G184" i="133"/>
  <c r="D184" i="133"/>
  <c r="B184" i="133"/>
  <c r="C184" i="133" s="1"/>
  <c r="G183" i="133"/>
  <c r="D183" i="133"/>
  <c r="B183" i="133"/>
  <c r="C183" i="133" s="1"/>
  <c r="G182" i="133"/>
  <c r="D182" i="133"/>
  <c r="B182" i="133"/>
  <c r="C182" i="133" s="1"/>
  <c r="G181" i="133"/>
  <c r="D181" i="133"/>
  <c r="B181" i="133"/>
  <c r="C181" i="133" s="1"/>
  <c r="G180" i="133"/>
  <c r="D180" i="133"/>
  <c r="B180" i="133"/>
  <c r="C180" i="133" s="1"/>
  <c r="G179" i="133"/>
  <c r="D179" i="133"/>
  <c r="B179" i="133"/>
  <c r="C179" i="133" s="1"/>
  <c r="G178" i="133"/>
  <c r="D178" i="133"/>
  <c r="B178" i="133"/>
  <c r="C178" i="133" s="1"/>
  <c r="G177" i="133"/>
  <c r="D177" i="133"/>
  <c r="B177" i="133"/>
  <c r="C177" i="133" s="1"/>
  <c r="G176" i="133"/>
  <c r="D176" i="133"/>
  <c r="B176" i="133"/>
  <c r="C176" i="133" s="1"/>
  <c r="G175" i="133"/>
  <c r="D175" i="133"/>
  <c r="B175" i="133"/>
  <c r="C175" i="133" s="1"/>
  <c r="G174" i="133"/>
  <c r="D174" i="133"/>
  <c r="B174" i="133"/>
  <c r="C174" i="133" s="1"/>
  <c r="G173" i="133"/>
  <c r="D173" i="133"/>
  <c r="B173" i="133"/>
  <c r="C173" i="133" s="1"/>
  <c r="G172" i="133"/>
  <c r="D172" i="133"/>
  <c r="B172" i="133"/>
  <c r="C172" i="133" s="1"/>
  <c r="G171" i="133"/>
  <c r="D171" i="133"/>
  <c r="B171" i="133"/>
  <c r="C171" i="133" s="1"/>
  <c r="G170" i="133"/>
  <c r="D170" i="133"/>
  <c r="B170" i="133"/>
  <c r="C170" i="133" s="1"/>
  <c r="G169" i="133"/>
  <c r="D169" i="133"/>
  <c r="B169" i="133"/>
  <c r="C169" i="133" s="1"/>
  <c r="G168" i="133"/>
  <c r="D168" i="133"/>
  <c r="B168" i="133"/>
  <c r="C168" i="133" s="1"/>
  <c r="G167" i="133"/>
  <c r="D167" i="133"/>
  <c r="B167" i="133"/>
  <c r="C167" i="133" s="1"/>
  <c r="G166" i="133"/>
  <c r="D166" i="133"/>
  <c r="B166" i="133"/>
  <c r="C166" i="133" s="1"/>
  <c r="G165" i="133"/>
  <c r="D165" i="133"/>
  <c r="B165" i="133"/>
  <c r="C165" i="133" s="1"/>
  <c r="G164" i="133"/>
  <c r="D164" i="133"/>
  <c r="B164" i="133"/>
  <c r="C164" i="133" s="1"/>
  <c r="G163" i="133"/>
  <c r="D163" i="133"/>
  <c r="B163" i="133"/>
  <c r="C163" i="133" s="1"/>
  <c r="G162" i="133"/>
  <c r="D162" i="133"/>
  <c r="B162" i="133"/>
  <c r="C162" i="133" s="1"/>
  <c r="G161" i="133"/>
  <c r="D161" i="133"/>
  <c r="B161" i="133"/>
  <c r="C161" i="133" s="1"/>
  <c r="G160" i="133"/>
  <c r="D160" i="133"/>
  <c r="B160" i="133"/>
  <c r="C160" i="133" s="1"/>
  <c r="G159" i="133"/>
  <c r="D159" i="133"/>
  <c r="B159" i="133"/>
  <c r="C159" i="133" s="1"/>
  <c r="G158" i="133"/>
  <c r="D158" i="133"/>
  <c r="B158" i="133"/>
  <c r="C158" i="133" s="1"/>
  <c r="G157" i="133"/>
  <c r="D157" i="133"/>
  <c r="B157" i="133"/>
  <c r="C157" i="133" s="1"/>
  <c r="G156" i="133"/>
  <c r="D156" i="133"/>
  <c r="B156" i="133"/>
  <c r="C156" i="133" s="1"/>
  <c r="G155" i="133"/>
  <c r="D155" i="133"/>
  <c r="B155" i="133"/>
  <c r="C155" i="133" s="1"/>
  <c r="G154" i="133"/>
  <c r="D154" i="133"/>
  <c r="B154" i="133"/>
  <c r="C154" i="133" s="1"/>
  <c r="G153" i="133"/>
  <c r="D153" i="133"/>
  <c r="B153" i="133"/>
  <c r="C153" i="133" s="1"/>
  <c r="G152" i="133"/>
  <c r="D152" i="133"/>
  <c r="B152" i="133"/>
  <c r="C152" i="133" s="1"/>
  <c r="G151" i="133"/>
  <c r="D151" i="133"/>
  <c r="B151" i="133"/>
  <c r="C151" i="133" s="1"/>
  <c r="G150" i="133"/>
  <c r="D150" i="133"/>
  <c r="B150" i="133"/>
  <c r="C150" i="133" s="1"/>
  <c r="G149" i="133"/>
  <c r="D149" i="133"/>
  <c r="B149" i="133"/>
  <c r="C149" i="133" s="1"/>
  <c r="G148" i="133"/>
  <c r="D148" i="133"/>
  <c r="B148" i="133"/>
  <c r="C148" i="133" s="1"/>
  <c r="G147" i="133"/>
  <c r="D147" i="133"/>
  <c r="B147" i="133"/>
  <c r="C147" i="133" s="1"/>
  <c r="G146" i="133"/>
  <c r="D146" i="133"/>
  <c r="B146" i="133"/>
  <c r="C146" i="133" s="1"/>
  <c r="G145" i="133"/>
  <c r="D145" i="133"/>
  <c r="B145" i="133"/>
  <c r="C145" i="133" s="1"/>
  <c r="G144" i="133"/>
  <c r="D144" i="133"/>
  <c r="B144" i="133"/>
  <c r="C144" i="133" s="1"/>
  <c r="G143" i="133"/>
  <c r="D143" i="133"/>
  <c r="B143" i="133"/>
  <c r="C143" i="133" s="1"/>
  <c r="G142" i="133"/>
  <c r="D142" i="133"/>
  <c r="B142" i="133"/>
  <c r="C142" i="133" s="1"/>
  <c r="G141" i="133"/>
  <c r="D141" i="133"/>
  <c r="B141" i="133"/>
  <c r="C141" i="133" s="1"/>
  <c r="G140" i="133"/>
  <c r="D140" i="133"/>
  <c r="B140" i="133"/>
  <c r="C140" i="133" s="1"/>
  <c r="G139" i="133"/>
  <c r="D139" i="133"/>
  <c r="B139" i="133"/>
  <c r="C139" i="133" s="1"/>
  <c r="G138" i="133"/>
  <c r="D138" i="133"/>
  <c r="B138" i="133"/>
  <c r="C138" i="133" s="1"/>
  <c r="G137" i="133"/>
  <c r="D137" i="133"/>
  <c r="B137" i="133"/>
  <c r="C137" i="133" s="1"/>
  <c r="G136" i="133"/>
  <c r="D136" i="133"/>
  <c r="B136" i="133"/>
  <c r="C136" i="133" s="1"/>
  <c r="G135" i="133"/>
  <c r="D135" i="133"/>
  <c r="B135" i="133"/>
  <c r="C135" i="133" s="1"/>
  <c r="G134" i="133"/>
  <c r="D134" i="133"/>
  <c r="B134" i="133"/>
  <c r="C134" i="133" s="1"/>
  <c r="G133" i="133"/>
  <c r="D133" i="133"/>
  <c r="B133" i="133"/>
  <c r="C133" i="133" s="1"/>
  <c r="G132" i="133"/>
  <c r="D132" i="133"/>
  <c r="B132" i="133"/>
  <c r="C132" i="133" s="1"/>
  <c r="G131" i="133"/>
  <c r="D131" i="133"/>
  <c r="B131" i="133"/>
  <c r="C131" i="133" s="1"/>
  <c r="G130" i="133"/>
  <c r="D130" i="133"/>
  <c r="B130" i="133"/>
  <c r="C130" i="133" s="1"/>
  <c r="G129" i="133"/>
  <c r="D129" i="133"/>
  <c r="B129" i="133"/>
  <c r="C129" i="133" s="1"/>
  <c r="G128" i="133"/>
  <c r="D128" i="133"/>
  <c r="B128" i="133"/>
  <c r="C128" i="133" s="1"/>
  <c r="G127" i="133"/>
  <c r="D127" i="133"/>
  <c r="B127" i="133"/>
  <c r="C127" i="133" s="1"/>
  <c r="G126" i="133"/>
  <c r="D126" i="133"/>
  <c r="B126" i="133"/>
  <c r="C126" i="133" s="1"/>
  <c r="G125" i="133"/>
  <c r="D125" i="133"/>
  <c r="B125" i="133"/>
  <c r="C125" i="133" s="1"/>
  <c r="G124" i="133"/>
  <c r="D124" i="133"/>
  <c r="B124" i="133"/>
  <c r="C124" i="133" s="1"/>
  <c r="G123" i="133"/>
  <c r="D123" i="133"/>
  <c r="B123" i="133"/>
  <c r="C123" i="133" s="1"/>
  <c r="G122" i="133"/>
  <c r="D122" i="133"/>
  <c r="B122" i="133"/>
  <c r="C122" i="133" s="1"/>
  <c r="G121" i="133"/>
  <c r="D121" i="133"/>
  <c r="B121" i="133"/>
  <c r="C121" i="133" s="1"/>
  <c r="G120" i="133"/>
  <c r="D120" i="133"/>
  <c r="B120" i="133"/>
  <c r="C120" i="133" s="1"/>
  <c r="G119" i="133"/>
  <c r="D119" i="133"/>
  <c r="B119" i="133"/>
  <c r="C119" i="133" s="1"/>
  <c r="G118" i="133"/>
  <c r="D118" i="133"/>
  <c r="B118" i="133"/>
  <c r="C118" i="133" s="1"/>
  <c r="G117" i="133"/>
  <c r="D117" i="133"/>
  <c r="B117" i="133"/>
  <c r="C117" i="133" s="1"/>
  <c r="G116" i="133"/>
  <c r="D116" i="133"/>
  <c r="B116" i="133"/>
  <c r="C116" i="133" s="1"/>
  <c r="G115" i="133"/>
  <c r="D115" i="133"/>
  <c r="B115" i="133"/>
  <c r="C115" i="133" s="1"/>
  <c r="G114" i="133"/>
  <c r="D114" i="133"/>
  <c r="B114" i="133"/>
  <c r="C114" i="133" s="1"/>
  <c r="G113" i="133"/>
  <c r="D113" i="133"/>
  <c r="B113" i="133"/>
  <c r="C113" i="133" s="1"/>
  <c r="G112" i="133"/>
  <c r="D112" i="133"/>
  <c r="B112" i="133"/>
  <c r="C112" i="133" s="1"/>
  <c r="G111" i="133"/>
  <c r="D111" i="133"/>
  <c r="B111" i="133"/>
  <c r="C111" i="133" s="1"/>
  <c r="G110" i="133"/>
  <c r="D110" i="133"/>
  <c r="B110" i="133"/>
  <c r="C110" i="133" s="1"/>
  <c r="G109" i="133"/>
  <c r="D109" i="133"/>
  <c r="B109" i="133"/>
  <c r="C109" i="133" s="1"/>
  <c r="G108" i="133"/>
  <c r="D108" i="133"/>
  <c r="B108" i="133"/>
  <c r="C108" i="133" s="1"/>
  <c r="G107" i="133"/>
  <c r="D107" i="133"/>
  <c r="B107" i="133"/>
  <c r="C107" i="133" s="1"/>
  <c r="G106" i="133"/>
  <c r="D106" i="133"/>
  <c r="B106" i="133"/>
  <c r="C106" i="133" s="1"/>
  <c r="G105" i="133"/>
  <c r="D105" i="133"/>
  <c r="B105" i="133"/>
  <c r="C105" i="133" s="1"/>
  <c r="G104" i="133"/>
  <c r="D104" i="133"/>
  <c r="B104" i="133"/>
  <c r="C104" i="133" s="1"/>
  <c r="G103" i="133"/>
  <c r="D103" i="133"/>
  <c r="B103" i="133"/>
  <c r="C103" i="133" s="1"/>
  <c r="G102" i="133"/>
  <c r="D102" i="133"/>
  <c r="B102" i="133"/>
  <c r="C102" i="133" s="1"/>
  <c r="G101" i="133"/>
  <c r="D101" i="133"/>
  <c r="B101" i="133"/>
  <c r="C101" i="133" s="1"/>
  <c r="G100" i="133"/>
  <c r="D100" i="133"/>
  <c r="B100" i="133"/>
  <c r="C100" i="133" s="1"/>
  <c r="G99" i="133"/>
  <c r="D99" i="133"/>
  <c r="B99" i="133"/>
  <c r="C99" i="133" s="1"/>
  <c r="G98" i="133"/>
  <c r="D98" i="133"/>
  <c r="B98" i="133"/>
  <c r="C98" i="133" s="1"/>
  <c r="G97" i="133"/>
  <c r="D97" i="133"/>
  <c r="B97" i="133"/>
  <c r="C97" i="133" s="1"/>
  <c r="G96" i="133"/>
  <c r="D96" i="133"/>
  <c r="B96" i="133"/>
  <c r="C96" i="133" s="1"/>
  <c r="G95" i="133"/>
  <c r="D95" i="133"/>
  <c r="B95" i="133"/>
  <c r="C95" i="133" s="1"/>
  <c r="G94" i="133"/>
  <c r="D94" i="133"/>
  <c r="B94" i="133"/>
  <c r="C94" i="133" s="1"/>
  <c r="G93" i="133"/>
  <c r="D93" i="133"/>
  <c r="B93" i="133"/>
  <c r="C93" i="133" s="1"/>
  <c r="G92" i="133"/>
  <c r="D92" i="133"/>
  <c r="B92" i="133"/>
  <c r="C92" i="133" s="1"/>
  <c r="G91" i="133"/>
  <c r="D91" i="133"/>
  <c r="B91" i="133"/>
  <c r="C91" i="133" s="1"/>
  <c r="G90" i="133"/>
  <c r="D90" i="133"/>
  <c r="B90" i="133"/>
  <c r="C90" i="133" s="1"/>
  <c r="G89" i="133"/>
  <c r="D89" i="133"/>
  <c r="B89" i="133"/>
  <c r="C89" i="133" s="1"/>
  <c r="G88" i="133"/>
  <c r="D88" i="133"/>
  <c r="B88" i="133"/>
  <c r="C88" i="133" s="1"/>
  <c r="G87" i="133"/>
  <c r="D87" i="133"/>
  <c r="B87" i="133"/>
  <c r="C87" i="133" s="1"/>
  <c r="G86" i="133"/>
  <c r="D86" i="133"/>
  <c r="B86" i="133"/>
  <c r="C86" i="133" s="1"/>
  <c r="G85" i="133"/>
  <c r="D85" i="133"/>
  <c r="B85" i="133"/>
  <c r="C85" i="133" s="1"/>
  <c r="G84" i="133"/>
  <c r="D84" i="133"/>
  <c r="B84" i="133"/>
  <c r="C84" i="133" s="1"/>
  <c r="G83" i="133"/>
  <c r="D83" i="133"/>
  <c r="B83" i="133"/>
  <c r="C83" i="133" s="1"/>
  <c r="G82" i="133"/>
  <c r="D82" i="133"/>
  <c r="B82" i="133"/>
  <c r="C82" i="133" s="1"/>
  <c r="G81" i="133"/>
  <c r="D81" i="133"/>
  <c r="B81" i="133"/>
  <c r="C81" i="133" s="1"/>
  <c r="G80" i="133"/>
  <c r="D80" i="133"/>
  <c r="B80" i="133"/>
  <c r="C80" i="133" s="1"/>
  <c r="G79" i="133"/>
  <c r="D79" i="133"/>
  <c r="B79" i="133"/>
  <c r="C79" i="133" s="1"/>
  <c r="G78" i="133"/>
  <c r="D78" i="133"/>
  <c r="B78" i="133"/>
  <c r="C78" i="133" s="1"/>
  <c r="G77" i="133"/>
  <c r="D77" i="133"/>
  <c r="B77" i="133"/>
  <c r="C77" i="133" s="1"/>
  <c r="G76" i="133"/>
  <c r="D76" i="133"/>
  <c r="B76" i="133"/>
  <c r="C76" i="133" s="1"/>
  <c r="G75" i="133"/>
  <c r="D75" i="133"/>
  <c r="B75" i="133"/>
  <c r="C75" i="133" s="1"/>
  <c r="G74" i="133"/>
  <c r="D74" i="133"/>
  <c r="B74" i="133"/>
  <c r="C74" i="133" s="1"/>
  <c r="G73" i="133"/>
  <c r="D73" i="133"/>
  <c r="B73" i="133"/>
  <c r="C73" i="133" s="1"/>
  <c r="G72" i="133"/>
  <c r="D72" i="133"/>
  <c r="B72" i="133"/>
  <c r="C72" i="133" s="1"/>
  <c r="G71" i="133"/>
  <c r="D71" i="133"/>
  <c r="B71" i="133"/>
  <c r="C71" i="133" s="1"/>
  <c r="G70" i="133"/>
  <c r="D70" i="133"/>
  <c r="B70" i="133"/>
  <c r="C70" i="133" s="1"/>
  <c r="G69" i="133"/>
  <c r="D69" i="133"/>
  <c r="B69" i="133"/>
  <c r="C69" i="133" s="1"/>
  <c r="G68" i="133"/>
  <c r="D68" i="133"/>
  <c r="B68" i="133"/>
  <c r="C68" i="133" s="1"/>
  <c r="G67" i="133"/>
  <c r="D67" i="133"/>
  <c r="B67" i="133"/>
  <c r="C67" i="133" s="1"/>
  <c r="G66" i="133"/>
  <c r="D66" i="133"/>
  <c r="B66" i="133"/>
  <c r="C66" i="133" s="1"/>
  <c r="G65" i="133"/>
  <c r="D65" i="133"/>
  <c r="B65" i="133"/>
  <c r="C65" i="133" s="1"/>
  <c r="G64" i="133"/>
  <c r="D64" i="133"/>
  <c r="B64" i="133"/>
  <c r="C64" i="133" s="1"/>
  <c r="G63" i="133"/>
  <c r="D63" i="133"/>
  <c r="B63" i="133"/>
  <c r="C63" i="133" s="1"/>
  <c r="G62" i="133"/>
  <c r="D62" i="133"/>
  <c r="B62" i="133"/>
  <c r="C62" i="133" s="1"/>
  <c r="G61" i="133"/>
  <c r="D61" i="133"/>
  <c r="B61" i="133"/>
  <c r="C61" i="133" s="1"/>
  <c r="G60" i="133"/>
  <c r="D60" i="133"/>
  <c r="B60" i="133"/>
  <c r="C60" i="133" s="1"/>
  <c r="G59" i="133"/>
  <c r="D59" i="133"/>
  <c r="B59" i="133"/>
  <c r="C59" i="133" s="1"/>
  <c r="G58" i="133"/>
  <c r="D58" i="133"/>
  <c r="B58" i="133"/>
  <c r="C58" i="133" s="1"/>
  <c r="G57" i="133"/>
  <c r="D57" i="133"/>
  <c r="B57" i="133"/>
  <c r="C57" i="133" s="1"/>
  <c r="G56" i="133"/>
  <c r="D56" i="133"/>
  <c r="B56" i="133"/>
  <c r="C56" i="133" s="1"/>
  <c r="G55" i="133"/>
  <c r="D55" i="133"/>
  <c r="B55" i="133"/>
  <c r="C55" i="133" s="1"/>
  <c r="G54" i="133"/>
  <c r="D54" i="133"/>
  <c r="B54" i="133"/>
  <c r="C54" i="133" s="1"/>
  <c r="G53" i="133"/>
  <c r="D53" i="133"/>
  <c r="B53" i="133"/>
  <c r="C53" i="133" s="1"/>
  <c r="G52" i="133"/>
  <c r="D52" i="133"/>
  <c r="B52" i="133"/>
  <c r="C52" i="133" s="1"/>
  <c r="G51" i="133"/>
  <c r="D51" i="133"/>
  <c r="B51" i="133"/>
  <c r="C51" i="133" s="1"/>
  <c r="G50" i="133"/>
  <c r="D50" i="133"/>
  <c r="B50" i="133"/>
  <c r="C50" i="133" s="1"/>
  <c r="G49" i="133"/>
  <c r="D49" i="133"/>
  <c r="B49" i="133"/>
  <c r="C49" i="133" s="1"/>
  <c r="G48" i="133"/>
  <c r="D48" i="133"/>
  <c r="B48" i="133"/>
  <c r="C48" i="133" s="1"/>
  <c r="G47" i="133"/>
  <c r="D47" i="133"/>
  <c r="B47" i="133"/>
  <c r="C47" i="133" s="1"/>
  <c r="G46" i="133"/>
  <c r="D46" i="133"/>
  <c r="B46" i="133"/>
  <c r="C46" i="133" s="1"/>
  <c r="G45" i="133"/>
  <c r="D45" i="133"/>
  <c r="B45" i="133"/>
  <c r="C45" i="133" s="1"/>
  <c r="G44" i="133"/>
  <c r="D44" i="133"/>
  <c r="B44" i="133"/>
  <c r="C44" i="133" s="1"/>
  <c r="G43" i="133"/>
  <c r="D43" i="133"/>
  <c r="B43" i="133"/>
  <c r="C43" i="133" s="1"/>
  <c r="G42" i="133"/>
  <c r="D42" i="133"/>
  <c r="B42" i="133"/>
  <c r="C42" i="133" s="1"/>
  <c r="G41" i="133"/>
  <c r="D41" i="133"/>
  <c r="B41" i="133"/>
  <c r="C41" i="133" s="1"/>
  <c r="G40" i="133"/>
  <c r="D40" i="133"/>
  <c r="B40" i="133"/>
  <c r="C40" i="133" s="1"/>
  <c r="G39" i="133"/>
  <c r="D39" i="133"/>
  <c r="B39" i="133"/>
  <c r="C39" i="133" s="1"/>
  <c r="G38" i="133"/>
  <c r="D38" i="133"/>
  <c r="B38" i="133"/>
  <c r="C38" i="133" s="1"/>
  <c r="G37" i="133"/>
  <c r="D37" i="133"/>
  <c r="B37" i="133"/>
  <c r="C37" i="133" s="1"/>
  <c r="G36" i="133"/>
  <c r="D36" i="133"/>
  <c r="B36" i="133"/>
  <c r="C36" i="133" s="1"/>
  <c r="G35" i="133"/>
  <c r="D35" i="133"/>
  <c r="B35" i="133"/>
  <c r="C35" i="133" s="1"/>
  <c r="G34" i="133"/>
  <c r="D34" i="133"/>
  <c r="B34" i="133"/>
  <c r="C34" i="133" s="1"/>
  <c r="G33" i="133"/>
  <c r="D33" i="133"/>
  <c r="B33" i="133"/>
  <c r="C33" i="133" s="1"/>
  <c r="G32" i="133"/>
  <c r="D32" i="133"/>
  <c r="B32" i="133"/>
  <c r="C32" i="133" s="1"/>
  <c r="G31" i="133"/>
  <c r="D31" i="133"/>
  <c r="B31" i="133"/>
  <c r="C31" i="133" s="1"/>
  <c r="G30" i="133"/>
  <c r="D30" i="133"/>
  <c r="B30" i="133"/>
  <c r="C30" i="133" s="1"/>
  <c r="G29" i="133"/>
  <c r="D29" i="133"/>
  <c r="B29" i="133"/>
  <c r="C29" i="133" s="1"/>
  <c r="G28" i="133"/>
  <c r="D28" i="133"/>
  <c r="B28" i="133"/>
  <c r="C28" i="133" s="1"/>
  <c r="G27" i="133"/>
  <c r="D27" i="133"/>
  <c r="B27" i="133"/>
  <c r="C27" i="133" s="1"/>
  <c r="G26" i="133"/>
  <c r="D26" i="133"/>
  <c r="B26" i="133"/>
  <c r="C26" i="133" s="1"/>
  <c r="G25" i="133"/>
  <c r="D25" i="133"/>
  <c r="B25" i="133"/>
  <c r="C25" i="133" s="1"/>
  <c r="G24" i="133"/>
  <c r="D24" i="133"/>
  <c r="B24" i="133"/>
  <c r="C24" i="133" s="1"/>
  <c r="G23" i="133"/>
  <c r="D23" i="133"/>
  <c r="B23" i="133"/>
  <c r="C23" i="133" s="1"/>
  <c r="G22" i="133"/>
  <c r="D22" i="133"/>
  <c r="B22" i="133"/>
  <c r="C22" i="133" s="1"/>
  <c r="G21" i="133"/>
  <c r="D21" i="133"/>
  <c r="B21" i="133"/>
  <c r="C21" i="133" s="1"/>
  <c r="G20" i="133"/>
  <c r="D20" i="133"/>
  <c r="B20" i="133"/>
  <c r="C20" i="133" s="1"/>
  <c r="G19" i="133"/>
  <c r="D19" i="133"/>
  <c r="B19" i="133"/>
  <c r="C19" i="133" s="1"/>
  <c r="G18" i="133"/>
  <c r="D18" i="133"/>
  <c r="B18" i="133"/>
  <c r="C18" i="133" s="1"/>
  <c r="G17" i="133"/>
  <c r="D17" i="133"/>
  <c r="B17" i="133"/>
  <c r="C17" i="133" s="1"/>
  <c r="G16" i="133"/>
  <c r="D16" i="133"/>
  <c r="B16" i="133"/>
  <c r="C16" i="133" s="1"/>
  <c r="G15" i="133"/>
  <c r="D15" i="133"/>
  <c r="B15" i="133"/>
  <c r="C15" i="133" s="1"/>
  <c r="G14" i="133"/>
  <c r="D14" i="133"/>
  <c r="B14" i="133"/>
  <c r="C14" i="133" s="1"/>
  <c r="G13" i="133"/>
  <c r="D13" i="133"/>
  <c r="B13" i="133"/>
  <c r="C13" i="133" s="1"/>
  <c r="G12" i="133"/>
  <c r="D12" i="133"/>
  <c r="B12" i="133"/>
  <c r="C12" i="133" s="1"/>
  <c r="G11" i="133"/>
  <c r="D11" i="133"/>
  <c r="B11" i="133"/>
  <c r="C11" i="133" s="1"/>
  <c r="G10" i="133"/>
  <c r="D10" i="133"/>
  <c r="B10" i="133"/>
  <c r="C10" i="133" s="1"/>
  <c r="G9" i="133"/>
  <c r="D9" i="133"/>
  <c r="B9" i="133"/>
  <c r="C9" i="133" s="1"/>
  <c r="G8" i="133"/>
  <c r="D8" i="133"/>
  <c r="B8" i="133"/>
  <c r="C8" i="133" s="1"/>
  <c r="G7" i="133"/>
  <c r="D7" i="133"/>
  <c r="B7" i="133"/>
  <c r="C7" i="133" s="1"/>
  <c r="G926" i="43"/>
  <c r="D926" i="43"/>
  <c r="B926" i="43"/>
  <c r="C926" i="43" s="1"/>
  <c r="G925" i="43"/>
  <c r="D925" i="43"/>
  <c r="B925" i="43"/>
  <c r="C925" i="43" s="1"/>
  <c r="G924" i="43"/>
  <c r="D924" i="43"/>
  <c r="B924" i="43"/>
  <c r="C924" i="43" s="1"/>
  <c r="G923" i="43"/>
  <c r="D923" i="43"/>
  <c r="B923" i="43"/>
  <c r="C923" i="43" s="1"/>
  <c r="G922" i="43"/>
  <c r="D922" i="43"/>
  <c r="B922" i="43"/>
  <c r="C922" i="43" s="1"/>
  <c r="G921" i="43"/>
  <c r="D921" i="43"/>
  <c r="B921" i="43"/>
  <c r="C921" i="43" s="1"/>
  <c r="G920" i="43"/>
  <c r="D920" i="43"/>
  <c r="B920" i="43"/>
  <c r="C920" i="43" s="1"/>
  <c r="G919" i="43"/>
  <c r="D919" i="43"/>
  <c r="B919" i="43"/>
  <c r="C919" i="43" s="1"/>
  <c r="G918" i="43"/>
  <c r="D918" i="43"/>
  <c r="B918" i="43"/>
  <c r="C918" i="43" s="1"/>
  <c r="G917" i="43"/>
  <c r="D917" i="43"/>
  <c r="B917" i="43"/>
  <c r="C917" i="43" s="1"/>
  <c r="G916" i="43"/>
  <c r="D916" i="43"/>
  <c r="B916" i="43"/>
  <c r="C916" i="43" s="1"/>
  <c r="G915" i="43"/>
  <c r="D915" i="43"/>
  <c r="B915" i="43"/>
  <c r="C915" i="43" s="1"/>
  <c r="G914" i="43"/>
  <c r="D914" i="43"/>
  <c r="B914" i="43"/>
  <c r="C914" i="43" s="1"/>
  <c r="G913" i="43"/>
  <c r="D913" i="43"/>
  <c r="B913" i="43"/>
  <c r="C913" i="43" s="1"/>
  <c r="G912" i="43"/>
  <c r="D912" i="43"/>
  <c r="B912" i="43"/>
  <c r="C912" i="43" s="1"/>
  <c r="G911" i="43"/>
  <c r="D911" i="43"/>
  <c r="B911" i="43"/>
  <c r="C911" i="43" s="1"/>
  <c r="G910" i="43"/>
  <c r="D910" i="43"/>
  <c r="B910" i="43"/>
  <c r="C910" i="43" s="1"/>
  <c r="G909" i="43"/>
  <c r="D909" i="43"/>
  <c r="B909" i="43"/>
  <c r="C909" i="43" s="1"/>
  <c r="G908" i="43"/>
  <c r="D908" i="43"/>
  <c r="B908" i="43"/>
  <c r="C908" i="43" s="1"/>
  <c r="G907" i="43"/>
  <c r="D907" i="43"/>
  <c r="B907" i="43"/>
  <c r="C907" i="43" s="1"/>
  <c r="G906" i="43"/>
  <c r="D906" i="43"/>
  <c r="B906" i="43"/>
  <c r="C906" i="43" s="1"/>
  <c r="G905" i="43"/>
  <c r="D905" i="43"/>
  <c r="B905" i="43"/>
  <c r="C905" i="43" s="1"/>
  <c r="G904" i="43"/>
  <c r="D904" i="43"/>
  <c r="B904" i="43"/>
  <c r="C904" i="43" s="1"/>
  <c r="G903" i="43"/>
  <c r="D903" i="43"/>
  <c r="B903" i="43"/>
  <c r="C903" i="43" s="1"/>
  <c r="G902" i="43"/>
  <c r="D902" i="43"/>
  <c r="B902" i="43"/>
  <c r="C902" i="43" s="1"/>
  <c r="G901" i="43"/>
  <c r="D901" i="43"/>
  <c r="B901" i="43"/>
  <c r="C901" i="43" s="1"/>
  <c r="G900" i="43"/>
  <c r="D900" i="43"/>
  <c r="B900" i="43"/>
  <c r="C900" i="43" s="1"/>
  <c r="G899" i="43"/>
  <c r="D899" i="43"/>
  <c r="B899" i="43"/>
  <c r="C899" i="43" s="1"/>
  <c r="G898" i="43"/>
  <c r="D898" i="43"/>
  <c r="B898" i="43"/>
  <c r="C898" i="43" s="1"/>
  <c r="G897" i="43"/>
  <c r="D897" i="43"/>
  <c r="B897" i="43"/>
  <c r="C897" i="43" s="1"/>
  <c r="G896" i="43"/>
  <c r="D896" i="43"/>
  <c r="B896" i="43"/>
  <c r="C896" i="43" s="1"/>
  <c r="G895" i="43"/>
  <c r="D895" i="43"/>
  <c r="B895" i="43"/>
  <c r="C895" i="43" s="1"/>
  <c r="G894" i="43"/>
  <c r="D894" i="43"/>
  <c r="B894" i="43"/>
  <c r="C894" i="43" s="1"/>
  <c r="G893" i="43"/>
  <c r="D893" i="43"/>
  <c r="B893" i="43"/>
  <c r="C893" i="43" s="1"/>
  <c r="G892" i="43"/>
  <c r="D892" i="43"/>
  <c r="B892" i="43"/>
  <c r="C892" i="43" s="1"/>
  <c r="G891" i="43"/>
  <c r="D891" i="43"/>
  <c r="B891" i="43"/>
  <c r="C891" i="43" s="1"/>
  <c r="G890" i="43"/>
  <c r="D890" i="43"/>
  <c r="B890" i="43"/>
  <c r="C890" i="43" s="1"/>
  <c r="G889" i="43"/>
  <c r="D889" i="43"/>
  <c r="B889" i="43"/>
  <c r="C889" i="43" s="1"/>
  <c r="G888" i="43"/>
  <c r="D888" i="43"/>
  <c r="B888" i="43"/>
  <c r="C888" i="43" s="1"/>
  <c r="G887" i="43"/>
  <c r="D887" i="43"/>
  <c r="B887" i="43"/>
  <c r="C887" i="43" s="1"/>
  <c r="G886" i="43"/>
  <c r="D886" i="43"/>
  <c r="B886" i="43"/>
  <c r="C886" i="43" s="1"/>
  <c r="G885" i="43"/>
  <c r="D885" i="43"/>
  <c r="B885" i="43"/>
  <c r="C885" i="43" s="1"/>
  <c r="G884" i="43"/>
  <c r="D884" i="43"/>
  <c r="B884" i="43"/>
  <c r="C884" i="43" s="1"/>
  <c r="G883" i="43"/>
  <c r="D883" i="43"/>
  <c r="B883" i="43"/>
  <c r="C883" i="43" s="1"/>
  <c r="G882" i="43"/>
  <c r="D882" i="43"/>
  <c r="B882" i="43"/>
  <c r="C882" i="43" s="1"/>
  <c r="G881" i="43"/>
  <c r="D881" i="43"/>
  <c r="B881" i="43"/>
  <c r="C881" i="43" s="1"/>
  <c r="G880" i="43"/>
  <c r="D880" i="43"/>
  <c r="B880" i="43"/>
  <c r="C880" i="43" s="1"/>
  <c r="G879" i="43"/>
  <c r="D879" i="43"/>
  <c r="B879" i="43"/>
  <c r="C879" i="43" s="1"/>
  <c r="G878" i="43"/>
  <c r="D878" i="43"/>
  <c r="B878" i="43"/>
  <c r="C878" i="43" s="1"/>
  <c r="G877" i="43"/>
  <c r="D877" i="43"/>
  <c r="B877" i="43"/>
  <c r="C877" i="43" s="1"/>
  <c r="G876" i="43"/>
  <c r="D876" i="43"/>
  <c r="B876" i="43"/>
  <c r="C876" i="43" s="1"/>
  <c r="G875" i="43"/>
  <c r="D875" i="43"/>
  <c r="B875" i="43"/>
  <c r="C875" i="43" s="1"/>
  <c r="G874" i="43"/>
  <c r="D874" i="43"/>
  <c r="B874" i="43"/>
  <c r="C874" i="43" s="1"/>
  <c r="G873" i="43"/>
  <c r="D873" i="43"/>
  <c r="B873" i="43"/>
  <c r="C873" i="43" s="1"/>
  <c r="G872" i="43"/>
  <c r="D872" i="43"/>
  <c r="B872" i="43"/>
  <c r="C872" i="43" s="1"/>
  <c r="G871" i="43"/>
  <c r="D871" i="43"/>
  <c r="B871" i="43"/>
  <c r="C871" i="43" s="1"/>
  <c r="G870" i="43"/>
  <c r="D870" i="43"/>
  <c r="B870" i="43"/>
  <c r="C870" i="43" s="1"/>
  <c r="G869" i="43"/>
  <c r="D869" i="43"/>
  <c r="B869" i="43"/>
  <c r="C869" i="43" s="1"/>
  <c r="G868" i="43"/>
  <c r="D868" i="43"/>
  <c r="B868" i="43"/>
  <c r="C868" i="43" s="1"/>
  <c r="G867" i="43"/>
  <c r="D867" i="43"/>
  <c r="B867" i="43"/>
  <c r="C867" i="43" s="1"/>
  <c r="G866" i="43"/>
  <c r="D866" i="43"/>
  <c r="B866" i="43"/>
  <c r="C866" i="43" s="1"/>
  <c r="G865" i="43"/>
  <c r="D865" i="43"/>
  <c r="B865" i="43"/>
  <c r="C865" i="43" s="1"/>
  <c r="G864" i="43"/>
  <c r="D864" i="43"/>
  <c r="B864" i="43"/>
  <c r="C864" i="43" s="1"/>
  <c r="G863" i="43"/>
  <c r="D863" i="43"/>
  <c r="B863" i="43"/>
  <c r="C863" i="43" s="1"/>
  <c r="G862" i="43"/>
  <c r="D862" i="43"/>
  <c r="B862" i="43"/>
  <c r="C862" i="43" s="1"/>
  <c r="G861" i="43"/>
  <c r="D861" i="43"/>
  <c r="B861" i="43"/>
  <c r="C861" i="43" s="1"/>
  <c r="G860" i="43"/>
  <c r="D860" i="43"/>
  <c r="B860" i="43"/>
  <c r="C860" i="43" s="1"/>
  <c r="G859" i="43"/>
  <c r="D859" i="43"/>
  <c r="B859" i="43"/>
  <c r="C859" i="43" s="1"/>
  <c r="G858" i="43"/>
  <c r="D858" i="43"/>
  <c r="B858" i="43"/>
  <c r="C858" i="43" s="1"/>
  <c r="G857" i="43"/>
  <c r="D857" i="43"/>
  <c r="B857" i="43"/>
  <c r="C857" i="43" s="1"/>
  <c r="G856" i="43"/>
  <c r="D856" i="43"/>
  <c r="B856" i="43"/>
  <c r="C856" i="43" s="1"/>
  <c r="G855" i="43"/>
  <c r="D855" i="43"/>
  <c r="B855" i="43"/>
  <c r="C855" i="43" s="1"/>
  <c r="G854" i="43"/>
  <c r="D854" i="43"/>
  <c r="B854" i="43"/>
  <c r="C854" i="43" s="1"/>
  <c r="G853" i="43"/>
  <c r="D853" i="43"/>
  <c r="B853" i="43"/>
  <c r="C853" i="43" s="1"/>
  <c r="G852" i="43"/>
  <c r="D852" i="43"/>
  <c r="B852" i="43"/>
  <c r="C852" i="43" s="1"/>
  <c r="G851" i="43"/>
  <c r="D851" i="43"/>
  <c r="B851" i="43"/>
  <c r="C851" i="43" s="1"/>
  <c r="G850" i="43"/>
  <c r="D850" i="43"/>
  <c r="B850" i="43"/>
  <c r="C850" i="43" s="1"/>
  <c r="G849" i="43"/>
  <c r="D849" i="43"/>
  <c r="B849" i="43"/>
  <c r="C849" i="43" s="1"/>
  <c r="G848" i="43"/>
  <c r="D848" i="43"/>
  <c r="B848" i="43"/>
  <c r="C848" i="43" s="1"/>
  <c r="G847" i="43"/>
  <c r="D847" i="43"/>
  <c r="B847" i="43"/>
  <c r="C847" i="43" s="1"/>
  <c r="G846" i="43"/>
  <c r="D846" i="43"/>
  <c r="B846" i="43"/>
  <c r="C846" i="43" s="1"/>
  <c r="G845" i="43"/>
  <c r="D845" i="43"/>
  <c r="B845" i="43"/>
  <c r="C845" i="43" s="1"/>
  <c r="G844" i="43"/>
  <c r="D844" i="43"/>
  <c r="B844" i="43"/>
  <c r="C844" i="43" s="1"/>
  <c r="G843" i="43"/>
  <c r="D843" i="43"/>
  <c r="B843" i="43"/>
  <c r="C843" i="43" s="1"/>
  <c r="G842" i="43"/>
  <c r="D842" i="43"/>
  <c r="B842" i="43"/>
  <c r="C842" i="43" s="1"/>
  <c r="G841" i="43"/>
  <c r="D841" i="43"/>
  <c r="B841" i="43"/>
  <c r="C841" i="43" s="1"/>
  <c r="G840" i="43"/>
  <c r="D840" i="43"/>
  <c r="B840" i="43"/>
  <c r="C840" i="43" s="1"/>
  <c r="G839" i="43"/>
  <c r="D839" i="43"/>
  <c r="B839" i="43"/>
  <c r="C839" i="43" s="1"/>
  <c r="G838" i="43"/>
  <c r="D838" i="43"/>
  <c r="B838" i="43"/>
  <c r="C838" i="43" s="1"/>
  <c r="G837" i="43"/>
  <c r="D837" i="43"/>
  <c r="B837" i="43"/>
  <c r="C837" i="43" s="1"/>
  <c r="G836" i="43"/>
  <c r="D836" i="43"/>
  <c r="B836" i="43"/>
  <c r="C836" i="43" s="1"/>
  <c r="G835" i="43"/>
  <c r="D835" i="43"/>
  <c r="B835" i="43"/>
  <c r="C835" i="43" s="1"/>
  <c r="G834" i="43"/>
  <c r="D834" i="43"/>
  <c r="B834" i="43"/>
  <c r="C834" i="43" s="1"/>
  <c r="G833" i="43"/>
  <c r="D833" i="43"/>
  <c r="B833" i="43"/>
  <c r="C833" i="43" s="1"/>
  <c r="G832" i="43"/>
  <c r="D832" i="43"/>
  <c r="B832" i="43"/>
  <c r="C832" i="43" s="1"/>
  <c r="G831" i="43"/>
  <c r="D831" i="43"/>
  <c r="B831" i="43"/>
  <c r="C831" i="43" s="1"/>
  <c r="G830" i="43"/>
  <c r="D830" i="43"/>
  <c r="B830" i="43"/>
  <c r="C830" i="43" s="1"/>
  <c r="G829" i="43"/>
  <c r="D829" i="43"/>
  <c r="B829" i="43"/>
  <c r="C829" i="43" s="1"/>
  <c r="G828" i="43"/>
  <c r="D828" i="43"/>
  <c r="B828" i="43"/>
  <c r="C828" i="43" s="1"/>
  <c r="G827" i="43"/>
  <c r="D827" i="43"/>
  <c r="B827" i="43"/>
  <c r="C827" i="43" s="1"/>
  <c r="G826" i="43"/>
  <c r="D826" i="43"/>
  <c r="B826" i="43"/>
  <c r="C826" i="43" s="1"/>
  <c r="G825" i="43"/>
  <c r="D825" i="43"/>
  <c r="B825" i="43"/>
  <c r="C825" i="43" s="1"/>
  <c r="G824" i="43"/>
  <c r="D824" i="43"/>
  <c r="B824" i="43"/>
  <c r="C824" i="43" s="1"/>
  <c r="G823" i="43"/>
  <c r="D823" i="43"/>
  <c r="B823" i="43"/>
  <c r="C823" i="43" s="1"/>
  <c r="G822" i="43"/>
  <c r="D822" i="43"/>
  <c r="B822" i="43"/>
  <c r="C822" i="43" s="1"/>
  <c r="G821" i="43"/>
  <c r="D821" i="43"/>
  <c r="B821" i="43"/>
  <c r="C821" i="43" s="1"/>
  <c r="G820" i="43"/>
  <c r="D820" i="43"/>
  <c r="B820" i="43"/>
  <c r="C820" i="43" s="1"/>
  <c r="G819" i="43"/>
  <c r="D819" i="43"/>
  <c r="B819" i="43"/>
  <c r="C819" i="43" s="1"/>
  <c r="G818" i="43"/>
  <c r="D818" i="43"/>
  <c r="B818" i="43"/>
  <c r="C818" i="43" s="1"/>
  <c r="G817" i="43"/>
  <c r="D817" i="43"/>
  <c r="B817" i="43"/>
  <c r="C817" i="43" s="1"/>
  <c r="G816" i="43"/>
  <c r="D816" i="43"/>
  <c r="B816" i="43"/>
  <c r="C816" i="43" s="1"/>
  <c r="G815" i="43"/>
  <c r="D815" i="43"/>
  <c r="B815" i="43"/>
  <c r="C815" i="43" s="1"/>
  <c r="G814" i="43"/>
  <c r="D814" i="43"/>
  <c r="B814" i="43"/>
  <c r="C814" i="43" s="1"/>
  <c r="G813" i="43"/>
  <c r="D813" i="43"/>
  <c r="B813" i="43"/>
  <c r="C813" i="43" s="1"/>
  <c r="G812" i="43"/>
  <c r="D812" i="43"/>
  <c r="B812" i="43"/>
  <c r="C812" i="43" s="1"/>
  <c r="G811" i="43"/>
  <c r="D811" i="43"/>
  <c r="B811" i="43"/>
  <c r="C811" i="43" s="1"/>
  <c r="G810" i="43"/>
  <c r="D810" i="43"/>
  <c r="B810" i="43"/>
  <c r="C810" i="43" s="1"/>
  <c r="G809" i="43"/>
  <c r="D809" i="43"/>
  <c r="B809" i="43"/>
  <c r="C809" i="43" s="1"/>
  <c r="G808" i="43"/>
  <c r="D808" i="43"/>
  <c r="B808" i="43"/>
  <c r="C808" i="43" s="1"/>
  <c r="G807" i="43"/>
  <c r="D807" i="43"/>
  <c r="B807" i="43"/>
  <c r="C807" i="43" s="1"/>
  <c r="G806" i="43"/>
  <c r="D806" i="43"/>
  <c r="B806" i="43"/>
  <c r="C806" i="43" s="1"/>
  <c r="G805" i="43"/>
  <c r="D805" i="43"/>
  <c r="B805" i="43"/>
  <c r="C805" i="43" s="1"/>
  <c r="G804" i="43"/>
  <c r="D804" i="43"/>
  <c r="B804" i="43"/>
  <c r="C804" i="43" s="1"/>
  <c r="G803" i="43"/>
  <c r="D803" i="43"/>
  <c r="B803" i="43"/>
  <c r="C803" i="43" s="1"/>
  <c r="G802" i="43"/>
  <c r="D802" i="43"/>
  <c r="B802" i="43"/>
  <c r="C802" i="43" s="1"/>
  <c r="G801" i="43"/>
  <c r="D801" i="43"/>
  <c r="B801" i="43"/>
  <c r="C801" i="43" s="1"/>
  <c r="G800" i="43"/>
  <c r="D800" i="43"/>
  <c r="B800" i="43"/>
  <c r="C800" i="43" s="1"/>
  <c r="G799" i="43"/>
  <c r="D799" i="43"/>
  <c r="B799" i="43"/>
  <c r="C799" i="43" s="1"/>
  <c r="G798" i="43"/>
  <c r="D798" i="43"/>
  <c r="B798" i="43"/>
  <c r="C798" i="43" s="1"/>
  <c r="G797" i="43"/>
  <c r="D797" i="43"/>
  <c r="B797" i="43"/>
  <c r="C797" i="43" s="1"/>
  <c r="G796" i="43"/>
  <c r="D796" i="43"/>
  <c r="B796" i="43"/>
  <c r="C796" i="43" s="1"/>
  <c r="G795" i="43"/>
  <c r="D795" i="43"/>
  <c r="B795" i="43"/>
  <c r="C795" i="43" s="1"/>
  <c r="G794" i="43"/>
  <c r="D794" i="43"/>
  <c r="B794" i="43"/>
  <c r="C794" i="43" s="1"/>
  <c r="G793" i="43"/>
  <c r="D793" i="43"/>
  <c r="B793" i="43"/>
  <c r="C793" i="43" s="1"/>
  <c r="G792" i="43"/>
  <c r="D792" i="43"/>
  <c r="B792" i="43"/>
  <c r="C792" i="43" s="1"/>
  <c r="G791" i="43"/>
  <c r="D791" i="43"/>
  <c r="B791" i="43"/>
  <c r="C791" i="43" s="1"/>
  <c r="G790" i="43"/>
  <c r="D790" i="43"/>
  <c r="B790" i="43"/>
  <c r="C790" i="43" s="1"/>
  <c r="G789" i="43"/>
  <c r="D789" i="43"/>
  <c r="B789" i="43"/>
  <c r="C789" i="43" s="1"/>
  <c r="G788" i="43"/>
  <c r="D788" i="43"/>
  <c r="B788" i="43"/>
  <c r="C788" i="43" s="1"/>
  <c r="G787" i="43"/>
  <c r="D787" i="43"/>
  <c r="B787" i="43"/>
  <c r="C787" i="43" s="1"/>
  <c r="G786" i="43"/>
  <c r="D786" i="43"/>
  <c r="B786" i="43"/>
  <c r="C786" i="43" s="1"/>
  <c r="G785" i="43"/>
  <c r="D785" i="43"/>
  <c r="B785" i="43"/>
  <c r="C785" i="43" s="1"/>
  <c r="G784" i="43"/>
  <c r="D784" i="43"/>
  <c r="B784" i="43"/>
  <c r="C784" i="43" s="1"/>
  <c r="G783" i="43"/>
  <c r="D783" i="43"/>
  <c r="B783" i="43"/>
  <c r="C783" i="43" s="1"/>
  <c r="G782" i="43"/>
  <c r="D782" i="43"/>
  <c r="B782" i="43"/>
  <c r="C782" i="43" s="1"/>
  <c r="G781" i="43"/>
  <c r="D781" i="43"/>
  <c r="B781" i="43"/>
  <c r="C781" i="43" s="1"/>
  <c r="G780" i="43"/>
  <c r="D780" i="43"/>
  <c r="B780" i="43"/>
  <c r="C780" i="43" s="1"/>
  <c r="G779" i="43"/>
  <c r="D779" i="43"/>
  <c r="B779" i="43"/>
  <c r="C779" i="43" s="1"/>
  <c r="G778" i="43"/>
  <c r="D778" i="43"/>
  <c r="B778" i="43"/>
  <c r="C778" i="43" s="1"/>
  <c r="G777" i="43"/>
  <c r="D777" i="43"/>
  <c r="B777" i="43"/>
  <c r="C777" i="43" s="1"/>
  <c r="G776" i="43"/>
  <c r="D776" i="43"/>
  <c r="B776" i="43"/>
  <c r="C776" i="43" s="1"/>
  <c r="G775" i="43"/>
  <c r="D775" i="43"/>
  <c r="B775" i="43"/>
  <c r="C775" i="43" s="1"/>
  <c r="G774" i="43"/>
  <c r="D774" i="43"/>
  <c r="B774" i="43"/>
  <c r="C774" i="43" s="1"/>
  <c r="G773" i="43"/>
  <c r="D773" i="43"/>
  <c r="B773" i="43"/>
  <c r="C773" i="43" s="1"/>
  <c r="G772" i="43"/>
  <c r="D772" i="43"/>
  <c r="B772" i="43"/>
  <c r="C772" i="43" s="1"/>
  <c r="G771" i="43"/>
  <c r="D771" i="43"/>
  <c r="B771" i="43"/>
  <c r="C771" i="43" s="1"/>
  <c r="G770" i="43"/>
  <c r="D770" i="43"/>
  <c r="B770" i="43"/>
  <c r="C770" i="43" s="1"/>
  <c r="G769" i="43"/>
  <c r="D769" i="43"/>
  <c r="B769" i="43"/>
  <c r="C769" i="43" s="1"/>
  <c r="G768" i="43"/>
  <c r="D768" i="43"/>
  <c r="B768" i="43"/>
  <c r="C768" i="43" s="1"/>
  <c r="G767" i="43"/>
  <c r="D767" i="43"/>
  <c r="B767" i="43"/>
  <c r="C767" i="43" s="1"/>
  <c r="G766" i="43"/>
  <c r="D766" i="43"/>
  <c r="B766" i="43"/>
  <c r="C766" i="43" s="1"/>
  <c r="G765" i="43"/>
  <c r="D765" i="43"/>
  <c r="B765" i="43"/>
  <c r="C765" i="43" s="1"/>
  <c r="G764" i="43"/>
  <c r="D764" i="43"/>
  <c r="B764" i="43"/>
  <c r="C764" i="43" s="1"/>
  <c r="G763" i="43"/>
  <c r="D763" i="43"/>
  <c r="B763" i="43"/>
  <c r="C763" i="43" s="1"/>
  <c r="G762" i="43"/>
  <c r="D762" i="43"/>
  <c r="B762" i="43"/>
  <c r="C762" i="43" s="1"/>
  <c r="G761" i="43"/>
  <c r="D761" i="43"/>
  <c r="B761" i="43"/>
  <c r="C761" i="43" s="1"/>
  <c r="G760" i="43"/>
  <c r="D760" i="43"/>
  <c r="B760" i="43"/>
  <c r="C760" i="43" s="1"/>
  <c r="G759" i="43"/>
  <c r="D759" i="43"/>
  <c r="B759" i="43"/>
  <c r="C759" i="43" s="1"/>
  <c r="G758" i="43"/>
  <c r="D758" i="43"/>
  <c r="B758" i="43"/>
  <c r="C758" i="43" s="1"/>
  <c r="G757" i="43"/>
  <c r="D757" i="43"/>
  <c r="B757" i="43"/>
  <c r="C757" i="43" s="1"/>
  <c r="G756" i="43"/>
  <c r="D756" i="43"/>
  <c r="B756" i="43"/>
  <c r="C756" i="43" s="1"/>
  <c r="G755" i="43"/>
  <c r="D755" i="43"/>
  <c r="B755" i="43"/>
  <c r="C755" i="43" s="1"/>
  <c r="G754" i="43"/>
  <c r="D754" i="43"/>
  <c r="B754" i="43"/>
  <c r="C754" i="43" s="1"/>
  <c r="G753" i="43"/>
  <c r="D753" i="43"/>
  <c r="B753" i="43"/>
  <c r="C753" i="43" s="1"/>
  <c r="G752" i="43"/>
  <c r="D752" i="43"/>
  <c r="B752" i="43"/>
  <c r="C752" i="43" s="1"/>
  <c r="G751" i="43"/>
  <c r="D751" i="43"/>
  <c r="B751" i="43"/>
  <c r="C751" i="43" s="1"/>
  <c r="G750" i="43"/>
  <c r="D750" i="43"/>
  <c r="B750" i="43"/>
  <c r="C750" i="43" s="1"/>
  <c r="G749" i="43"/>
  <c r="D749" i="43"/>
  <c r="B749" i="43"/>
  <c r="C749" i="43" s="1"/>
  <c r="G748" i="43"/>
  <c r="D748" i="43"/>
  <c r="B748" i="43"/>
  <c r="C748" i="43" s="1"/>
  <c r="G747" i="43"/>
  <c r="D747" i="43"/>
  <c r="B747" i="43"/>
  <c r="C747" i="43" s="1"/>
  <c r="G746" i="43"/>
  <c r="D746" i="43"/>
  <c r="B746" i="43"/>
  <c r="C746" i="43" s="1"/>
  <c r="G745" i="43"/>
  <c r="D745" i="43"/>
  <c r="B745" i="43"/>
  <c r="C745" i="43" s="1"/>
  <c r="G744" i="43"/>
  <c r="D744" i="43"/>
  <c r="B744" i="43"/>
  <c r="C744" i="43" s="1"/>
  <c r="G743" i="43"/>
  <c r="D743" i="43"/>
  <c r="B743" i="43"/>
  <c r="C743" i="43" s="1"/>
  <c r="G742" i="43"/>
  <c r="D742" i="43"/>
  <c r="B742" i="43"/>
  <c r="C742" i="43" s="1"/>
  <c r="G741" i="43"/>
  <c r="D741" i="43"/>
  <c r="B741" i="43"/>
  <c r="C741" i="43" s="1"/>
  <c r="G740" i="43"/>
  <c r="D740" i="43"/>
  <c r="B740" i="43"/>
  <c r="C740" i="43" s="1"/>
  <c r="G739" i="43"/>
  <c r="D739" i="43"/>
  <c r="B739" i="43"/>
  <c r="C739" i="43" s="1"/>
  <c r="G738" i="43"/>
  <c r="D738" i="43"/>
  <c r="B738" i="43"/>
  <c r="C738" i="43" s="1"/>
  <c r="G737" i="43"/>
  <c r="D737" i="43"/>
  <c r="B737" i="43"/>
  <c r="C737" i="43" s="1"/>
  <c r="G736" i="43"/>
  <c r="D736" i="43"/>
  <c r="B736" i="43"/>
  <c r="C736" i="43" s="1"/>
  <c r="G735" i="43"/>
  <c r="D735" i="43"/>
  <c r="B735" i="43"/>
  <c r="C735" i="43" s="1"/>
  <c r="G734" i="43"/>
  <c r="D734" i="43"/>
  <c r="B734" i="43"/>
  <c r="C734" i="43" s="1"/>
  <c r="G733" i="43"/>
  <c r="D733" i="43"/>
  <c r="B733" i="43"/>
  <c r="C733" i="43" s="1"/>
  <c r="G732" i="43"/>
  <c r="D732" i="43"/>
  <c r="B732" i="43"/>
  <c r="C732" i="43" s="1"/>
  <c r="G731" i="43"/>
  <c r="D731" i="43"/>
  <c r="B731" i="43"/>
  <c r="C731" i="43" s="1"/>
  <c r="G730" i="43"/>
  <c r="D730" i="43"/>
  <c r="B730" i="43"/>
  <c r="C730" i="43" s="1"/>
  <c r="G729" i="43"/>
  <c r="D729" i="43"/>
  <c r="B729" i="43"/>
  <c r="C729" i="43" s="1"/>
  <c r="G728" i="43"/>
  <c r="D728" i="43"/>
  <c r="B728" i="43"/>
  <c r="C728" i="43" s="1"/>
  <c r="G727" i="43"/>
  <c r="D727" i="43"/>
  <c r="B727" i="43"/>
  <c r="C727" i="43" s="1"/>
  <c r="G726" i="43"/>
  <c r="D726" i="43"/>
  <c r="B726" i="43"/>
  <c r="C726" i="43" s="1"/>
  <c r="G725" i="43"/>
  <c r="D725" i="43"/>
  <c r="B725" i="43"/>
  <c r="C725" i="43" s="1"/>
  <c r="G724" i="43"/>
  <c r="D724" i="43"/>
  <c r="B724" i="43"/>
  <c r="C724" i="43" s="1"/>
  <c r="G723" i="43"/>
  <c r="D723" i="43"/>
  <c r="B723" i="43"/>
  <c r="C723" i="43" s="1"/>
  <c r="G722" i="43"/>
  <c r="D722" i="43"/>
  <c r="B722" i="43"/>
  <c r="C722" i="43" s="1"/>
  <c r="G721" i="43"/>
  <c r="D721" i="43"/>
  <c r="B721" i="43"/>
  <c r="C721" i="43" s="1"/>
  <c r="G720" i="43"/>
  <c r="D720" i="43"/>
  <c r="B720" i="43"/>
  <c r="C720" i="43" s="1"/>
  <c r="G719" i="43"/>
  <c r="D719" i="43"/>
  <c r="B719" i="43"/>
  <c r="C719" i="43" s="1"/>
  <c r="G718" i="43"/>
  <c r="D718" i="43"/>
  <c r="B718" i="43"/>
  <c r="C718" i="43" s="1"/>
  <c r="G717" i="43"/>
  <c r="D717" i="43"/>
  <c r="B717" i="43"/>
  <c r="C717" i="43" s="1"/>
  <c r="G716" i="43"/>
  <c r="D716" i="43"/>
  <c r="B716" i="43"/>
  <c r="C716" i="43" s="1"/>
  <c r="G715" i="43"/>
  <c r="D715" i="43"/>
  <c r="B715" i="43"/>
  <c r="C715" i="43" s="1"/>
  <c r="G714" i="43"/>
  <c r="D714" i="43"/>
  <c r="B714" i="43"/>
  <c r="C714" i="43" s="1"/>
  <c r="G713" i="43"/>
  <c r="D713" i="43"/>
  <c r="B713" i="43"/>
  <c r="C713" i="43" s="1"/>
  <c r="G712" i="43"/>
  <c r="D712" i="43"/>
  <c r="B712" i="43"/>
  <c r="C712" i="43" s="1"/>
  <c r="G711" i="43"/>
  <c r="D711" i="43"/>
  <c r="B711" i="43"/>
  <c r="C711" i="43" s="1"/>
  <c r="G710" i="43"/>
  <c r="D710" i="43"/>
  <c r="B710" i="43"/>
  <c r="C710" i="43" s="1"/>
  <c r="G709" i="43"/>
  <c r="D709" i="43"/>
  <c r="B709" i="43"/>
  <c r="C709" i="43" s="1"/>
  <c r="G708" i="43"/>
  <c r="D708" i="43"/>
  <c r="B708" i="43"/>
  <c r="C708" i="43" s="1"/>
  <c r="G707" i="43"/>
  <c r="D707" i="43"/>
  <c r="B707" i="43"/>
  <c r="C707" i="43" s="1"/>
  <c r="G706" i="43"/>
  <c r="D706" i="43"/>
  <c r="B706" i="43"/>
  <c r="C706" i="43" s="1"/>
  <c r="G705" i="43"/>
  <c r="D705" i="43"/>
  <c r="B705" i="43"/>
  <c r="C705" i="43" s="1"/>
  <c r="G704" i="43"/>
  <c r="D704" i="43"/>
  <c r="B704" i="43"/>
  <c r="C704" i="43" s="1"/>
  <c r="G703" i="43"/>
  <c r="D703" i="43"/>
  <c r="B703" i="43"/>
  <c r="C703" i="43" s="1"/>
  <c r="G702" i="43"/>
  <c r="D702" i="43"/>
  <c r="B702" i="43"/>
  <c r="C702" i="43" s="1"/>
  <c r="G701" i="43"/>
  <c r="D701" i="43"/>
  <c r="B701" i="43"/>
  <c r="C701" i="43" s="1"/>
  <c r="G700" i="43"/>
  <c r="D700" i="43"/>
  <c r="B700" i="43"/>
  <c r="C700" i="43" s="1"/>
  <c r="G699" i="43"/>
  <c r="D699" i="43"/>
  <c r="B699" i="43"/>
  <c r="C699" i="43" s="1"/>
  <c r="G698" i="43"/>
  <c r="D698" i="43"/>
  <c r="B698" i="43"/>
  <c r="C698" i="43" s="1"/>
  <c r="G697" i="43"/>
  <c r="D697" i="43"/>
  <c r="B697" i="43"/>
  <c r="C697" i="43" s="1"/>
  <c r="G696" i="43"/>
  <c r="D696" i="43"/>
  <c r="B696" i="43"/>
  <c r="C696" i="43" s="1"/>
  <c r="G695" i="43"/>
  <c r="D695" i="43"/>
  <c r="B695" i="43"/>
  <c r="C695" i="43" s="1"/>
  <c r="G694" i="43"/>
  <c r="D694" i="43"/>
  <c r="B694" i="43"/>
  <c r="C694" i="43" s="1"/>
  <c r="G693" i="43"/>
  <c r="D693" i="43"/>
  <c r="B693" i="43"/>
  <c r="C693" i="43" s="1"/>
  <c r="G692" i="43"/>
  <c r="D692" i="43"/>
  <c r="B692" i="43"/>
  <c r="C692" i="43" s="1"/>
  <c r="G691" i="43"/>
  <c r="D691" i="43"/>
  <c r="B691" i="43"/>
  <c r="C691" i="43" s="1"/>
  <c r="G690" i="43"/>
  <c r="D690" i="43"/>
  <c r="B690" i="43"/>
  <c r="C690" i="43" s="1"/>
  <c r="G689" i="43"/>
  <c r="D689" i="43"/>
  <c r="B689" i="43"/>
  <c r="C689" i="43" s="1"/>
  <c r="G688" i="43"/>
  <c r="D688" i="43"/>
  <c r="B688" i="43"/>
  <c r="C688" i="43" s="1"/>
  <c r="G687" i="43"/>
  <c r="D687" i="43"/>
  <c r="B687" i="43"/>
  <c r="C687" i="43" s="1"/>
  <c r="G686" i="43"/>
  <c r="D686" i="43"/>
  <c r="B686" i="43"/>
  <c r="C686" i="43" s="1"/>
  <c r="G685" i="43"/>
  <c r="D685" i="43"/>
  <c r="B685" i="43"/>
  <c r="C685" i="43" s="1"/>
  <c r="G684" i="43"/>
  <c r="D684" i="43"/>
  <c r="B684" i="43"/>
  <c r="C684" i="43" s="1"/>
  <c r="G683" i="43"/>
  <c r="D683" i="43"/>
  <c r="B683" i="43"/>
  <c r="C683" i="43" s="1"/>
  <c r="G682" i="43"/>
  <c r="D682" i="43"/>
  <c r="B682" i="43"/>
  <c r="C682" i="43" s="1"/>
  <c r="G681" i="43"/>
  <c r="D681" i="43"/>
  <c r="B681" i="43"/>
  <c r="C681" i="43" s="1"/>
  <c r="G680" i="43"/>
  <c r="D680" i="43"/>
  <c r="B680" i="43"/>
  <c r="C680" i="43" s="1"/>
  <c r="G679" i="43"/>
  <c r="D679" i="43"/>
  <c r="B679" i="43"/>
  <c r="C679" i="43" s="1"/>
  <c r="G678" i="43"/>
  <c r="D678" i="43"/>
  <c r="B678" i="43"/>
  <c r="C678" i="43" s="1"/>
  <c r="G677" i="43"/>
  <c r="D677" i="43"/>
  <c r="B677" i="43"/>
  <c r="C677" i="43" s="1"/>
  <c r="G676" i="43"/>
  <c r="D676" i="43"/>
  <c r="B676" i="43"/>
  <c r="C676" i="43" s="1"/>
  <c r="G675" i="43"/>
  <c r="D675" i="43"/>
  <c r="B675" i="43"/>
  <c r="C675" i="43" s="1"/>
  <c r="G674" i="43"/>
  <c r="D674" i="43"/>
  <c r="B674" i="43"/>
  <c r="C674" i="43" s="1"/>
  <c r="G673" i="43"/>
  <c r="D673" i="43"/>
  <c r="B673" i="43"/>
  <c r="C673" i="43" s="1"/>
  <c r="G672" i="43"/>
  <c r="D672" i="43"/>
  <c r="B672" i="43"/>
  <c r="C672" i="43" s="1"/>
  <c r="G671" i="43"/>
  <c r="D671" i="43"/>
  <c r="B671" i="43"/>
  <c r="C671" i="43" s="1"/>
  <c r="G670" i="43"/>
  <c r="D670" i="43"/>
  <c r="B670" i="43"/>
  <c r="C670" i="43" s="1"/>
  <c r="G669" i="43"/>
  <c r="D669" i="43"/>
  <c r="B669" i="43"/>
  <c r="C669" i="43" s="1"/>
  <c r="G668" i="43"/>
  <c r="D668" i="43"/>
  <c r="B668" i="43"/>
  <c r="C668" i="43" s="1"/>
  <c r="G667" i="43"/>
  <c r="D667" i="43"/>
  <c r="B667" i="43"/>
  <c r="C667" i="43" s="1"/>
  <c r="G666" i="43"/>
  <c r="D666" i="43"/>
  <c r="B666" i="43"/>
  <c r="C666" i="43" s="1"/>
  <c r="G665" i="43"/>
  <c r="D665" i="43"/>
  <c r="B665" i="43"/>
  <c r="C665" i="43" s="1"/>
  <c r="G664" i="43"/>
  <c r="D664" i="43"/>
  <c r="B664" i="43"/>
  <c r="C664" i="43" s="1"/>
  <c r="G663" i="43"/>
  <c r="D663" i="43"/>
  <c r="B663" i="43"/>
  <c r="C663" i="43" s="1"/>
  <c r="G662" i="43"/>
  <c r="D662" i="43"/>
  <c r="B662" i="43"/>
  <c r="C662" i="43" s="1"/>
  <c r="G661" i="43"/>
  <c r="D661" i="43"/>
  <c r="B661" i="43"/>
  <c r="C661" i="43" s="1"/>
  <c r="G660" i="43"/>
  <c r="D660" i="43"/>
  <c r="B660" i="43"/>
  <c r="C660" i="43" s="1"/>
  <c r="G659" i="43"/>
  <c r="D659" i="43"/>
  <c r="B659" i="43"/>
  <c r="C659" i="43" s="1"/>
  <c r="G658" i="43"/>
  <c r="D658" i="43"/>
  <c r="B658" i="43"/>
  <c r="C658" i="43" s="1"/>
  <c r="G657" i="43"/>
  <c r="D657" i="43"/>
  <c r="B657" i="43"/>
  <c r="C657" i="43" s="1"/>
  <c r="G656" i="43"/>
  <c r="D656" i="43"/>
  <c r="B656" i="43"/>
  <c r="C656" i="43" s="1"/>
  <c r="G655" i="43"/>
  <c r="D655" i="43"/>
  <c r="B655" i="43"/>
  <c r="C655" i="43" s="1"/>
  <c r="G654" i="43"/>
  <c r="D654" i="43"/>
  <c r="B654" i="43"/>
  <c r="C654" i="43" s="1"/>
  <c r="G653" i="43"/>
  <c r="D653" i="43"/>
  <c r="B653" i="43"/>
  <c r="C653" i="43" s="1"/>
  <c r="G652" i="43"/>
  <c r="D652" i="43"/>
  <c r="B652" i="43"/>
  <c r="C652" i="43" s="1"/>
  <c r="G651" i="43"/>
  <c r="D651" i="43"/>
  <c r="B651" i="43"/>
  <c r="C651" i="43" s="1"/>
  <c r="G650" i="43"/>
  <c r="D650" i="43"/>
  <c r="B650" i="43"/>
  <c r="C650" i="43" s="1"/>
  <c r="G649" i="43"/>
  <c r="D649" i="43"/>
  <c r="B649" i="43"/>
  <c r="C649" i="43" s="1"/>
  <c r="G648" i="43"/>
  <c r="D648" i="43"/>
  <c r="B648" i="43"/>
  <c r="C648" i="43" s="1"/>
  <c r="G647" i="43"/>
  <c r="D647" i="43"/>
  <c r="B647" i="43"/>
  <c r="C647" i="43" s="1"/>
  <c r="G646" i="43"/>
  <c r="D646" i="43"/>
  <c r="B646" i="43"/>
  <c r="C646" i="43" s="1"/>
  <c r="G645" i="43"/>
  <c r="D645" i="43"/>
  <c r="B645" i="43"/>
  <c r="C645" i="43" s="1"/>
  <c r="G644" i="43"/>
  <c r="D644" i="43"/>
  <c r="B644" i="43"/>
  <c r="C644" i="43" s="1"/>
  <c r="G643" i="43"/>
  <c r="D643" i="43"/>
  <c r="B643" i="43"/>
  <c r="C643" i="43" s="1"/>
  <c r="G642" i="43"/>
  <c r="D642" i="43"/>
  <c r="B642" i="43"/>
  <c r="C642" i="43" s="1"/>
  <c r="G641" i="43"/>
  <c r="D641" i="43"/>
  <c r="B641" i="43"/>
  <c r="C641" i="43" s="1"/>
  <c r="G640" i="43"/>
  <c r="D640" i="43"/>
  <c r="B640" i="43"/>
  <c r="C640" i="43" s="1"/>
  <c r="G639" i="43"/>
  <c r="D639" i="43"/>
  <c r="B639" i="43"/>
  <c r="C639" i="43" s="1"/>
  <c r="G638" i="43"/>
  <c r="D638" i="43"/>
  <c r="B638" i="43"/>
  <c r="C638" i="43" s="1"/>
  <c r="G637" i="43"/>
  <c r="D637" i="43"/>
  <c r="B637" i="43"/>
  <c r="C637" i="43" s="1"/>
  <c r="G636" i="43"/>
  <c r="D636" i="43"/>
  <c r="B636" i="43"/>
  <c r="C636" i="43" s="1"/>
  <c r="G635" i="43"/>
  <c r="D635" i="43"/>
  <c r="B635" i="43"/>
  <c r="C635" i="43" s="1"/>
  <c r="G634" i="43"/>
  <c r="D634" i="43"/>
  <c r="B634" i="43"/>
  <c r="C634" i="43" s="1"/>
  <c r="G633" i="43"/>
  <c r="D633" i="43"/>
  <c r="B633" i="43"/>
  <c r="C633" i="43" s="1"/>
  <c r="G632" i="43"/>
  <c r="D632" i="43"/>
  <c r="B632" i="43"/>
  <c r="C632" i="43" s="1"/>
  <c r="G631" i="43"/>
  <c r="D631" i="43"/>
  <c r="B631" i="43"/>
  <c r="C631" i="43" s="1"/>
  <c r="G630" i="43"/>
  <c r="D630" i="43"/>
  <c r="B630" i="43"/>
  <c r="C630" i="43" s="1"/>
  <c r="G629" i="43"/>
  <c r="D629" i="43"/>
  <c r="B629" i="43"/>
  <c r="C629" i="43" s="1"/>
  <c r="G628" i="43"/>
  <c r="D628" i="43"/>
  <c r="B628" i="43"/>
  <c r="C628" i="43" s="1"/>
  <c r="G627" i="43"/>
  <c r="D627" i="43"/>
  <c r="B627" i="43"/>
  <c r="C627" i="43" s="1"/>
  <c r="G626" i="43"/>
  <c r="D626" i="43"/>
  <c r="B626" i="43"/>
  <c r="C626" i="43" s="1"/>
  <c r="G625" i="43"/>
  <c r="D625" i="43"/>
  <c r="B625" i="43"/>
  <c r="C625" i="43" s="1"/>
  <c r="G624" i="43"/>
  <c r="D624" i="43"/>
  <c r="B624" i="43"/>
  <c r="C624" i="43" s="1"/>
  <c r="G623" i="43"/>
  <c r="D623" i="43"/>
  <c r="B623" i="43"/>
  <c r="C623" i="43" s="1"/>
  <c r="G622" i="43"/>
  <c r="D622" i="43"/>
  <c r="B622" i="43"/>
  <c r="C622" i="43" s="1"/>
  <c r="G621" i="43"/>
  <c r="D621" i="43"/>
  <c r="B621" i="43"/>
  <c r="C621" i="43" s="1"/>
  <c r="G620" i="43"/>
  <c r="D620" i="43"/>
  <c r="B620" i="43"/>
  <c r="C620" i="43" s="1"/>
  <c r="G619" i="43"/>
  <c r="D619" i="43"/>
  <c r="B619" i="43"/>
  <c r="C619" i="43" s="1"/>
  <c r="G618" i="43"/>
  <c r="D618" i="43"/>
  <c r="B618" i="43"/>
  <c r="C618" i="43" s="1"/>
  <c r="G617" i="43"/>
  <c r="D617" i="43"/>
  <c r="B617" i="43"/>
  <c r="C617" i="43" s="1"/>
  <c r="G616" i="43"/>
  <c r="D616" i="43"/>
  <c r="B616" i="43"/>
  <c r="C616" i="43" s="1"/>
  <c r="G615" i="43"/>
  <c r="D615" i="43"/>
  <c r="B615" i="43"/>
  <c r="C615" i="43" s="1"/>
  <c r="G614" i="43"/>
  <c r="D614" i="43"/>
  <c r="B614" i="43"/>
  <c r="C614" i="43" s="1"/>
  <c r="G613" i="43"/>
  <c r="D613" i="43"/>
  <c r="B613" i="43"/>
  <c r="C613" i="43" s="1"/>
  <c r="G612" i="43"/>
  <c r="D612" i="43"/>
  <c r="B612" i="43"/>
  <c r="C612" i="43" s="1"/>
  <c r="G611" i="43"/>
  <c r="D611" i="43"/>
  <c r="B611" i="43"/>
  <c r="C611" i="43" s="1"/>
  <c r="G610" i="43"/>
  <c r="D610" i="43"/>
  <c r="B610" i="43"/>
  <c r="C610" i="43" s="1"/>
  <c r="G609" i="43"/>
  <c r="D609" i="43"/>
  <c r="B609" i="43"/>
  <c r="C609" i="43" s="1"/>
  <c r="G608" i="43"/>
  <c r="D608" i="43"/>
  <c r="B608" i="43"/>
  <c r="C608" i="43" s="1"/>
  <c r="G607" i="43"/>
  <c r="D607" i="43"/>
  <c r="B607" i="43"/>
  <c r="C607" i="43" s="1"/>
  <c r="G606" i="43"/>
  <c r="D606" i="43"/>
  <c r="B606" i="43"/>
  <c r="C606" i="43" s="1"/>
  <c r="G605" i="43"/>
  <c r="D605" i="43"/>
  <c r="B605" i="43"/>
  <c r="C605" i="43" s="1"/>
  <c r="G604" i="43"/>
  <c r="D604" i="43"/>
  <c r="B604" i="43"/>
  <c r="C604" i="43" s="1"/>
  <c r="G603" i="43"/>
  <c r="D603" i="43"/>
  <c r="B603" i="43"/>
  <c r="C603" i="43" s="1"/>
  <c r="G602" i="43"/>
  <c r="D602" i="43"/>
  <c r="B602" i="43"/>
  <c r="C602" i="43" s="1"/>
  <c r="G601" i="43"/>
  <c r="D601" i="43"/>
  <c r="B601" i="43"/>
  <c r="C601" i="43" s="1"/>
  <c r="G600" i="43"/>
  <c r="D600" i="43"/>
  <c r="B600" i="43"/>
  <c r="C600" i="43" s="1"/>
  <c r="G599" i="43"/>
  <c r="D599" i="43"/>
  <c r="B599" i="43"/>
  <c r="C599" i="43" s="1"/>
  <c r="G598" i="43"/>
  <c r="D598" i="43"/>
  <c r="B598" i="43"/>
  <c r="C598" i="43" s="1"/>
  <c r="G597" i="43"/>
  <c r="D597" i="43"/>
  <c r="B597" i="43"/>
  <c r="C597" i="43" s="1"/>
  <c r="G596" i="43"/>
  <c r="D596" i="43"/>
  <c r="B596" i="43"/>
  <c r="C596" i="43" s="1"/>
  <c r="G595" i="43"/>
  <c r="D595" i="43"/>
  <c r="B595" i="43"/>
  <c r="C595" i="43" s="1"/>
  <c r="G594" i="43"/>
  <c r="D594" i="43"/>
  <c r="B594" i="43"/>
  <c r="C594" i="43" s="1"/>
  <c r="G593" i="43"/>
  <c r="D593" i="43"/>
  <c r="B593" i="43"/>
  <c r="C593" i="43" s="1"/>
  <c r="G592" i="43"/>
  <c r="D592" i="43"/>
  <c r="B592" i="43"/>
  <c r="C592" i="43" s="1"/>
  <c r="G591" i="43"/>
  <c r="D591" i="43"/>
  <c r="B591" i="43"/>
  <c r="C591" i="43" s="1"/>
  <c r="G590" i="43"/>
  <c r="D590" i="43"/>
  <c r="B590" i="43"/>
  <c r="C590" i="43" s="1"/>
  <c r="G589" i="43"/>
  <c r="D589" i="43"/>
  <c r="B589" i="43"/>
  <c r="C589" i="43" s="1"/>
  <c r="G588" i="43"/>
  <c r="D588" i="43"/>
  <c r="B588" i="43"/>
  <c r="C588" i="43" s="1"/>
  <c r="G587" i="43"/>
  <c r="D587" i="43"/>
  <c r="B587" i="43"/>
  <c r="C587" i="43" s="1"/>
  <c r="G586" i="43"/>
  <c r="D586" i="43"/>
  <c r="B586" i="43"/>
  <c r="C586" i="43" s="1"/>
  <c r="G585" i="43"/>
  <c r="D585" i="43"/>
  <c r="B585" i="43"/>
  <c r="C585" i="43" s="1"/>
  <c r="G584" i="43"/>
  <c r="D584" i="43"/>
  <c r="B584" i="43"/>
  <c r="C584" i="43" s="1"/>
  <c r="G583" i="43"/>
  <c r="D583" i="43"/>
  <c r="B583" i="43"/>
  <c r="C583" i="43" s="1"/>
  <c r="G582" i="43"/>
  <c r="D582" i="43"/>
  <c r="B582" i="43"/>
  <c r="C582" i="43" s="1"/>
  <c r="G581" i="43"/>
  <c r="D581" i="43"/>
  <c r="B581" i="43"/>
  <c r="C581" i="43" s="1"/>
  <c r="G580" i="43"/>
  <c r="D580" i="43"/>
  <c r="B580" i="43"/>
  <c r="C580" i="43" s="1"/>
  <c r="G579" i="43"/>
  <c r="D579" i="43"/>
  <c r="B579" i="43"/>
  <c r="C579" i="43" s="1"/>
  <c r="G578" i="43"/>
  <c r="D578" i="43"/>
  <c r="B578" i="43"/>
  <c r="C578" i="43" s="1"/>
  <c r="G577" i="43"/>
  <c r="D577" i="43"/>
  <c r="B577" i="43"/>
  <c r="C577" i="43" s="1"/>
  <c r="G576" i="43"/>
  <c r="D576" i="43"/>
  <c r="B576" i="43"/>
  <c r="C576" i="43" s="1"/>
  <c r="G575" i="43"/>
  <c r="D575" i="43"/>
  <c r="B575" i="43"/>
  <c r="C575" i="43" s="1"/>
  <c r="G574" i="43"/>
  <c r="D574" i="43"/>
  <c r="B574" i="43"/>
  <c r="C574" i="43" s="1"/>
  <c r="G573" i="43"/>
  <c r="D573" i="43"/>
  <c r="B573" i="43"/>
  <c r="C573" i="43" s="1"/>
  <c r="G572" i="43"/>
  <c r="D572" i="43"/>
  <c r="B572" i="43"/>
  <c r="C572" i="43" s="1"/>
  <c r="G571" i="43"/>
  <c r="D571" i="43"/>
  <c r="B571" i="43"/>
  <c r="C571" i="43" s="1"/>
  <c r="G570" i="43"/>
  <c r="D570" i="43"/>
  <c r="B570" i="43"/>
  <c r="C570" i="43" s="1"/>
  <c r="G569" i="43"/>
  <c r="D569" i="43"/>
  <c r="B569" i="43"/>
  <c r="C569" i="43" s="1"/>
  <c r="G568" i="43"/>
  <c r="D568" i="43"/>
  <c r="B568" i="43"/>
  <c r="C568" i="43" s="1"/>
  <c r="G567" i="43"/>
  <c r="D567" i="43"/>
  <c r="B567" i="43"/>
  <c r="C567" i="43" s="1"/>
  <c r="G566" i="43"/>
  <c r="D566" i="43"/>
  <c r="B566" i="43"/>
  <c r="C566" i="43" s="1"/>
  <c r="G565" i="43"/>
  <c r="D565" i="43"/>
  <c r="B565" i="43"/>
  <c r="C565" i="43" s="1"/>
  <c r="G564" i="43"/>
  <c r="D564" i="43"/>
  <c r="B564" i="43"/>
  <c r="C564" i="43" s="1"/>
  <c r="G563" i="43"/>
  <c r="D563" i="43"/>
  <c r="B563" i="43"/>
  <c r="C563" i="43" s="1"/>
  <c r="G562" i="43"/>
  <c r="D562" i="43"/>
  <c r="B562" i="43"/>
  <c r="C562" i="43" s="1"/>
  <c r="G561" i="43"/>
  <c r="D561" i="43"/>
  <c r="B561" i="43"/>
  <c r="C561" i="43" s="1"/>
  <c r="G560" i="43"/>
  <c r="D560" i="43"/>
  <c r="B560" i="43"/>
  <c r="C560" i="43" s="1"/>
  <c r="G559" i="43"/>
  <c r="D559" i="43"/>
  <c r="B559" i="43"/>
  <c r="C559" i="43" s="1"/>
  <c r="G558" i="43"/>
  <c r="D558" i="43"/>
  <c r="B558" i="43"/>
  <c r="C558" i="43" s="1"/>
  <c r="G557" i="43"/>
  <c r="D557" i="43"/>
  <c r="B557" i="43"/>
  <c r="C557" i="43" s="1"/>
  <c r="G556" i="43"/>
  <c r="D556" i="43"/>
  <c r="B556" i="43"/>
  <c r="C556" i="43" s="1"/>
  <c r="G555" i="43"/>
  <c r="D555" i="43"/>
  <c r="B555" i="43"/>
  <c r="C555" i="43" s="1"/>
  <c r="G554" i="43"/>
  <c r="D554" i="43"/>
  <c r="B554" i="43"/>
  <c r="C554" i="43" s="1"/>
  <c r="G553" i="43"/>
  <c r="D553" i="43"/>
  <c r="B553" i="43"/>
  <c r="C553" i="43" s="1"/>
  <c r="G552" i="43"/>
  <c r="D552" i="43"/>
  <c r="B552" i="43"/>
  <c r="C552" i="43" s="1"/>
  <c r="G551" i="43"/>
  <c r="D551" i="43"/>
  <c r="B551" i="43"/>
  <c r="C551" i="43" s="1"/>
  <c r="G550" i="43"/>
  <c r="D550" i="43"/>
  <c r="B550" i="43"/>
  <c r="C550" i="43" s="1"/>
  <c r="G549" i="43"/>
  <c r="D549" i="43"/>
  <c r="B549" i="43"/>
  <c r="C549" i="43" s="1"/>
  <c r="G548" i="43"/>
  <c r="D548" i="43"/>
  <c r="B548" i="43"/>
  <c r="C548" i="43" s="1"/>
  <c r="G547" i="43"/>
  <c r="D547" i="43"/>
  <c r="B547" i="43"/>
  <c r="C547" i="43" s="1"/>
  <c r="G546" i="43"/>
  <c r="D546" i="43"/>
  <c r="B546" i="43"/>
  <c r="C546" i="43" s="1"/>
  <c r="G545" i="43"/>
  <c r="D545" i="43"/>
  <c r="B545" i="43"/>
  <c r="C545" i="43" s="1"/>
  <c r="G544" i="43"/>
  <c r="D544" i="43"/>
  <c r="B544" i="43"/>
  <c r="C544" i="43" s="1"/>
  <c r="G543" i="43"/>
  <c r="D543" i="43"/>
  <c r="B543" i="43"/>
  <c r="C543" i="43" s="1"/>
  <c r="G542" i="43"/>
  <c r="D542" i="43"/>
  <c r="B542" i="43"/>
  <c r="C542" i="43" s="1"/>
  <c r="G541" i="43"/>
  <c r="D541" i="43"/>
  <c r="B541" i="43"/>
  <c r="C541" i="43" s="1"/>
  <c r="G540" i="43"/>
  <c r="D540" i="43"/>
  <c r="B540" i="43"/>
  <c r="C540" i="43" s="1"/>
  <c r="G539" i="43"/>
  <c r="D539" i="43"/>
  <c r="B539" i="43"/>
  <c r="C539" i="43" s="1"/>
  <c r="G538" i="43"/>
  <c r="D538" i="43"/>
  <c r="B538" i="43"/>
  <c r="C538" i="43" s="1"/>
  <c r="G537" i="43"/>
  <c r="D537" i="43"/>
  <c r="B537" i="43"/>
  <c r="C537" i="43" s="1"/>
  <c r="G536" i="43"/>
  <c r="D536" i="43"/>
  <c r="B536" i="43"/>
  <c r="C536" i="43" s="1"/>
  <c r="G535" i="43"/>
  <c r="D535" i="43"/>
  <c r="B535" i="43"/>
  <c r="C535" i="43" s="1"/>
  <c r="G534" i="43"/>
  <c r="D534" i="43"/>
  <c r="B534" i="43"/>
  <c r="C534" i="43" s="1"/>
  <c r="G533" i="43"/>
  <c r="D533" i="43"/>
  <c r="B533" i="43"/>
  <c r="C533" i="43" s="1"/>
  <c r="G532" i="43"/>
  <c r="D532" i="43"/>
  <c r="B532" i="43"/>
  <c r="C532" i="43" s="1"/>
  <c r="G531" i="43"/>
  <c r="D531" i="43"/>
  <c r="B531" i="43"/>
  <c r="C531" i="43" s="1"/>
  <c r="G530" i="43"/>
  <c r="D530" i="43"/>
  <c r="B530" i="43"/>
  <c r="C530" i="43" s="1"/>
  <c r="G529" i="43"/>
  <c r="D529" i="43"/>
  <c r="B529" i="43"/>
  <c r="C529" i="43" s="1"/>
  <c r="G528" i="43"/>
  <c r="D528" i="43"/>
  <c r="B528" i="43"/>
  <c r="C528" i="43" s="1"/>
  <c r="G527" i="43"/>
  <c r="D527" i="43"/>
  <c r="B527" i="43"/>
  <c r="C527" i="43" s="1"/>
  <c r="G526" i="43"/>
  <c r="D526" i="43"/>
  <c r="B526" i="43"/>
  <c r="C526" i="43" s="1"/>
  <c r="G525" i="43"/>
  <c r="D525" i="43"/>
  <c r="B525" i="43"/>
  <c r="C525" i="43" s="1"/>
  <c r="G524" i="43"/>
  <c r="D524" i="43"/>
  <c r="B524" i="43"/>
  <c r="C524" i="43" s="1"/>
  <c r="G523" i="43"/>
  <c r="D523" i="43"/>
  <c r="B523" i="43"/>
  <c r="C523" i="43" s="1"/>
  <c r="G522" i="43"/>
  <c r="D522" i="43"/>
  <c r="B522" i="43"/>
  <c r="C522" i="43" s="1"/>
  <c r="G521" i="43"/>
  <c r="D521" i="43"/>
  <c r="B521" i="43"/>
  <c r="C521" i="43" s="1"/>
  <c r="G520" i="43"/>
  <c r="D520" i="43"/>
  <c r="B520" i="43"/>
  <c r="C520" i="43" s="1"/>
  <c r="G519" i="43"/>
  <c r="D519" i="43"/>
  <c r="B519" i="43"/>
  <c r="C519" i="43" s="1"/>
  <c r="G518" i="43"/>
  <c r="D518" i="43"/>
  <c r="B518" i="43"/>
  <c r="C518" i="43" s="1"/>
  <c r="G517" i="43"/>
  <c r="D517" i="43"/>
  <c r="B517" i="43"/>
  <c r="C517" i="43" s="1"/>
  <c r="G516" i="43"/>
  <c r="D516" i="43"/>
  <c r="B516" i="43"/>
  <c r="C516" i="43" s="1"/>
  <c r="G515" i="43"/>
  <c r="D515" i="43"/>
  <c r="B515" i="43"/>
  <c r="C515" i="43" s="1"/>
  <c r="G514" i="43"/>
  <c r="D514" i="43"/>
  <c r="B514" i="43"/>
  <c r="C514" i="43" s="1"/>
  <c r="G513" i="43"/>
  <c r="D513" i="43"/>
  <c r="B513" i="43"/>
  <c r="C513" i="43" s="1"/>
  <c r="G512" i="43"/>
  <c r="D512" i="43"/>
  <c r="B512" i="43"/>
  <c r="C512" i="43" s="1"/>
  <c r="G511" i="43"/>
  <c r="D511" i="43"/>
  <c r="B511" i="43"/>
  <c r="C511" i="43" s="1"/>
  <c r="G510" i="43"/>
  <c r="D510" i="43"/>
  <c r="B510" i="43"/>
  <c r="C510" i="43" s="1"/>
  <c r="G509" i="43"/>
  <c r="D509" i="43"/>
  <c r="B509" i="43"/>
  <c r="C509" i="43" s="1"/>
  <c r="G508" i="43"/>
  <c r="D508" i="43"/>
  <c r="B508" i="43"/>
  <c r="C508" i="43" s="1"/>
  <c r="G507" i="43"/>
  <c r="D507" i="43"/>
  <c r="B507" i="43"/>
  <c r="C507" i="43" s="1"/>
  <c r="G506" i="43"/>
  <c r="D506" i="43"/>
  <c r="B506" i="43"/>
  <c r="C506" i="43" s="1"/>
  <c r="G505" i="43"/>
  <c r="D505" i="43"/>
  <c r="B505" i="43"/>
  <c r="C505" i="43" s="1"/>
  <c r="G504" i="43"/>
  <c r="D504" i="43"/>
  <c r="B504" i="43"/>
  <c r="C504" i="43" s="1"/>
  <c r="G503" i="43"/>
  <c r="D503" i="43"/>
  <c r="B503" i="43"/>
  <c r="C503" i="43" s="1"/>
  <c r="G502" i="43"/>
  <c r="D502" i="43"/>
  <c r="B502" i="43"/>
  <c r="C502" i="43" s="1"/>
  <c r="G501" i="43"/>
  <c r="D501" i="43"/>
  <c r="B501" i="43"/>
  <c r="C501" i="43" s="1"/>
  <c r="G500" i="43"/>
  <c r="D500" i="43"/>
  <c r="B500" i="43"/>
  <c r="C500" i="43" s="1"/>
  <c r="G499" i="43"/>
  <c r="D499" i="43"/>
  <c r="B499" i="43"/>
  <c r="C499" i="43" s="1"/>
  <c r="G498" i="43"/>
  <c r="D498" i="43"/>
  <c r="B498" i="43"/>
  <c r="C498" i="43" s="1"/>
  <c r="G497" i="43"/>
  <c r="D497" i="43"/>
  <c r="B497" i="43"/>
  <c r="C497" i="43" s="1"/>
  <c r="G496" i="43"/>
  <c r="D496" i="43"/>
  <c r="B496" i="43"/>
  <c r="C496" i="43" s="1"/>
  <c r="G495" i="43"/>
  <c r="D495" i="43"/>
  <c r="B495" i="43"/>
  <c r="C495" i="43" s="1"/>
  <c r="G494" i="43"/>
  <c r="D494" i="43"/>
  <c r="B494" i="43"/>
  <c r="C494" i="43" s="1"/>
  <c r="G493" i="43"/>
  <c r="D493" i="43"/>
  <c r="B493" i="43"/>
  <c r="C493" i="43" s="1"/>
  <c r="G492" i="43"/>
  <c r="D492" i="43"/>
  <c r="B492" i="43"/>
  <c r="C492" i="43" s="1"/>
  <c r="G491" i="43"/>
  <c r="D491" i="43"/>
  <c r="B491" i="43"/>
  <c r="C491" i="43" s="1"/>
  <c r="G490" i="43"/>
  <c r="D490" i="43"/>
  <c r="B490" i="43"/>
  <c r="C490" i="43" s="1"/>
  <c r="G489" i="43"/>
  <c r="D489" i="43"/>
  <c r="B489" i="43"/>
  <c r="C489" i="43" s="1"/>
  <c r="G488" i="43"/>
  <c r="D488" i="43"/>
  <c r="B488" i="43"/>
  <c r="C488" i="43" s="1"/>
  <c r="G487" i="43"/>
  <c r="D487" i="43"/>
  <c r="B487" i="43"/>
  <c r="C487" i="43" s="1"/>
  <c r="G486" i="43"/>
  <c r="D486" i="43"/>
  <c r="B486" i="43"/>
  <c r="C486" i="43" s="1"/>
  <c r="G485" i="43"/>
  <c r="D485" i="43"/>
  <c r="B485" i="43"/>
  <c r="C485" i="43" s="1"/>
  <c r="G484" i="43"/>
  <c r="D484" i="43"/>
  <c r="B484" i="43"/>
  <c r="C484" i="43" s="1"/>
  <c r="G483" i="43"/>
  <c r="D483" i="43"/>
  <c r="B483" i="43"/>
  <c r="C483" i="43" s="1"/>
  <c r="G482" i="43"/>
  <c r="D482" i="43"/>
  <c r="B482" i="43"/>
  <c r="C482" i="43" s="1"/>
  <c r="G481" i="43"/>
  <c r="D481" i="43"/>
  <c r="B481" i="43"/>
  <c r="C481" i="43" s="1"/>
  <c r="G480" i="43"/>
  <c r="D480" i="43"/>
  <c r="B480" i="43"/>
  <c r="C480" i="43" s="1"/>
  <c r="G479" i="43"/>
  <c r="D479" i="43"/>
  <c r="B479" i="43"/>
  <c r="C479" i="43" s="1"/>
  <c r="G478" i="43"/>
  <c r="D478" i="43"/>
  <c r="B478" i="43"/>
  <c r="C478" i="43" s="1"/>
  <c r="G477" i="43"/>
  <c r="D477" i="43"/>
  <c r="B477" i="43"/>
  <c r="C477" i="43" s="1"/>
  <c r="G476" i="43"/>
  <c r="D476" i="43"/>
  <c r="B476" i="43"/>
  <c r="C476" i="43" s="1"/>
  <c r="G475" i="43"/>
  <c r="D475" i="43"/>
  <c r="B475" i="43"/>
  <c r="C475" i="43" s="1"/>
  <c r="G474" i="43"/>
  <c r="D474" i="43"/>
  <c r="B474" i="43"/>
  <c r="C474" i="43" s="1"/>
  <c r="G473" i="43"/>
  <c r="D473" i="43"/>
  <c r="B473" i="43"/>
  <c r="C473" i="43" s="1"/>
  <c r="G472" i="43"/>
  <c r="D472" i="43"/>
  <c r="B472" i="43"/>
  <c r="C472" i="43" s="1"/>
  <c r="G471" i="43"/>
  <c r="D471" i="43"/>
  <c r="B471" i="43"/>
  <c r="C471" i="43" s="1"/>
  <c r="G470" i="43"/>
  <c r="D470" i="43"/>
  <c r="B470" i="43"/>
  <c r="C470" i="43" s="1"/>
  <c r="G469" i="43"/>
  <c r="D469" i="43"/>
  <c r="B469" i="43"/>
  <c r="C469" i="43" s="1"/>
  <c r="G468" i="43"/>
  <c r="D468" i="43"/>
  <c r="B468" i="43"/>
  <c r="C468" i="43" s="1"/>
  <c r="G467" i="43"/>
  <c r="D467" i="43"/>
  <c r="B467" i="43"/>
  <c r="C467" i="43" s="1"/>
  <c r="G466" i="43"/>
  <c r="D466" i="43"/>
  <c r="B466" i="43"/>
  <c r="C466" i="43" s="1"/>
  <c r="G465" i="43"/>
  <c r="D465" i="43"/>
  <c r="B465" i="43"/>
  <c r="C465" i="43" s="1"/>
  <c r="G464" i="43"/>
  <c r="D464" i="43"/>
  <c r="B464" i="43"/>
  <c r="C464" i="43" s="1"/>
  <c r="G463" i="43"/>
  <c r="D463" i="43"/>
  <c r="B463" i="43"/>
  <c r="C463" i="43" s="1"/>
  <c r="G462" i="43"/>
  <c r="D462" i="43"/>
  <c r="B462" i="43"/>
  <c r="C462" i="43" s="1"/>
  <c r="G461" i="43"/>
  <c r="D461" i="43"/>
  <c r="B461" i="43"/>
  <c r="C461" i="43" s="1"/>
  <c r="G460" i="43"/>
  <c r="D460" i="43"/>
  <c r="B460" i="43"/>
  <c r="C460" i="43" s="1"/>
  <c r="G459" i="43"/>
  <c r="D459" i="43"/>
  <c r="B459" i="43"/>
  <c r="C459" i="43" s="1"/>
  <c r="G458" i="43"/>
  <c r="D458" i="43"/>
  <c r="B458" i="43"/>
  <c r="C458" i="43" s="1"/>
  <c r="G457" i="43"/>
  <c r="D457" i="43"/>
  <c r="B457" i="43"/>
  <c r="C457" i="43" s="1"/>
  <c r="G456" i="43"/>
  <c r="D456" i="43"/>
  <c r="B456" i="43"/>
  <c r="C456" i="43" s="1"/>
  <c r="G455" i="43"/>
  <c r="D455" i="43"/>
  <c r="B455" i="43"/>
  <c r="C455" i="43" s="1"/>
  <c r="G454" i="43"/>
  <c r="D454" i="43"/>
  <c r="B454" i="43"/>
  <c r="C454" i="43" s="1"/>
  <c r="G453" i="43"/>
  <c r="D453" i="43"/>
  <c r="B453" i="43"/>
  <c r="C453" i="43" s="1"/>
  <c r="G452" i="43"/>
  <c r="D452" i="43"/>
  <c r="B452" i="43"/>
  <c r="C452" i="43" s="1"/>
  <c r="G451" i="43"/>
  <c r="D451" i="43"/>
  <c r="B451" i="43"/>
  <c r="C451" i="43" s="1"/>
  <c r="G450" i="43"/>
  <c r="D450" i="43"/>
  <c r="B450" i="43"/>
  <c r="C450" i="43" s="1"/>
  <c r="G449" i="43"/>
  <c r="D449" i="43"/>
  <c r="B449" i="43"/>
  <c r="C449" i="43" s="1"/>
  <c r="G448" i="43"/>
  <c r="D448" i="43"/>
  <c r="B448" i="43"/>
  <c r="C448" i="43" s="1"/>
  <c r="G447" i="43"/>
  <c r="D447" i="43"/>
  <c r="B447" i="43"/>
  <c r="C447" i="43" s="1"/>
  <c r="G446" i="43"/>
  <c r="D446" i="43"/>
  <c r="B446" i="43"/>
  <c r="C446" i="43" s="1"/>
  <c r="G445" i="43"/>
  <c r="D445" i="43"/>
  <c r="B445" i="43"/>
  <c r="C445" i="43" s="1"/>
  <c r="G444" i="43"/>
  <c r="D444" i="43"/>
  <c r="B444" i="43"/>
  <c r="C444" i="43" s="1"/>
  <c r="G443" i="43"/>
  <c r="D443" i="43"/>
  <c r="B443" i="43"/>
  <c r="C443" i="43" s="1"/>
  <c r="G442" i="43"/>
  <c r="D442" i="43"/>
  <c r="B442" i="43"/>
  <c r="C442" i="43" s="1"/>
  <c r="G441" i="43"/>
  <c r="D441" i="43"/>
  <c r="B441" i="43"/>
  <c r="C441" i="43" s="1"/>
  <c r="G440" i="43"/>
  <c r="D440" i="43"/>
  <c r="B440" i="43"/>
  <c r="C440" i="43" s="1"/>
  <c r="G439" i="43"/>
  <c r="D439" i="43"/>
  <c r="B439" i="43"/>
  <c r="C439" i="43" s="1"/>
  <c r="G438" i="43"/>
  <c r="D438" i="43"/>
  <c r="B438" i="43"/>
  <c r="C438" i="43" s="1"/>
  <c r="G437" i="43"/>
  <c r="D437" i="43"/>
  <c r="B437" i="43"/>
  <c r="C437" i="43" s="1"/>
  <c r="G436" i="43"/>
  <c r="D436" i="43"/>
  <c r="B436" i="43"/>
  <c r="C436" i="43" s="1"/>
  <c r="G435" i="43"/>
  <c r="D435" i="43"/>
  <c r="B435" i="43"/>
  <c r="C435" i="43" s="1"/>
  <c r="G434" i="43"/>
  <c r="D434" i="43"/>
  <c r="B434" i="43"/>
  <c r="C434" i="43" s="1"/>
  <c r="G433" i="43"/>
  <c r="D433" i="43"/>
  <c r="B433" i="43"/>
  <c r="C433" i="43" s="1"/>
  <c r="G432" i="43"/>
  <c r="D432" i="43"/>
  <c r="B432" i="43"/>
  <c r="C432" i="43" s="1"/>
  <c r="G431" i="43"/>
  <c r="D431" i="43"/>
  <c r="B431" i="43"/>
  <c r="C431" i="43" s="1"/>
  <c r="G430" i="43"/>
  <c r="D430" i="43"/>
  <c r="B430" i="43"/>
  <c r="C430" i="43" s="1"/>
  <c r="G429" i="43"/>
  <c r="D429" i="43"/>
  <c r="B429" i="43"/>
  <c r="C429" i="43" s="1"/>
  <c r="G428" i="43"/>
  <c r="D428" i="43"/>
  <c r="B428" i="43"/>
  <c r="C428" i="43" s="1"/>
  <c r="G427" i="43"/>
  <c r="D427" i="43"/>
  <c r="B427" i="43"/>
  <c r="C427" i="43" s="1"/>
  <c r="G426" i="43"/>
  <c r="D426" i="43"/>
  <c r="B426" i="43"/>
  <c r="C426" i="43" s="1"/>
  <c r="G425" i="43"/>
  <c r="D425" i="43"/>
  <c r="B425" i="43"/>
  <c r="C425" i="43" s="1"/>
  <c r="G424" i="43"/>
  <c r="D424" i="43"/>
  <c r="B424" i="43"/>
  <c r="C424" i="43" s="1"/>
  <c r="G423" i="43"/>
  <c r="D423" i="43"/>
  <c r="B423" i="43"/>
  <c r="C423" i="43" s="1"/>
  <c r="G422" i="43"/>
  <c r="D422" i="43"/>
  <c r="B422" i="43"/>
  <c r="C422" i="43" s="1"/>
  <c r="G421" i="43"/>
  <c r="D421" i="43"/>
  <c r="B421" i="43"/>
  <c r="C421" i="43" s="1"/>
  <c r="G420" i="43"/>
  <c r="D420" i="43"/>
  <c r="B420" i="43"/>
  <c r="C420" i="43" s="1"/>
  <c r="G419" i="43"/>
  <c r="D419" i="43"/>
  <c r="B419" i="43"/>
  <c r="C419" i="43" s="1"/>
  <c r="G418" i="43"/>
  <c r="D418" i="43"/>
  <c r="B418" i="43"/>
  <c r="C418" i="43" s="1"/>
  <c r="G417" i="43"/>
  <c r="D417" i="43"/>
  <c r="B417" i="43"/>
  <c r="C417" i="43" s="1"/>
  <c r="G416" i="43"/>
  <c r="D416" i="43"/>
  <c r="B416" i="43"/>
  <c r="C416" i="43" s="1"/>
  <c r="G415" i="43"/>
  <c r="D415" i="43"/>
  <c r="B415" i="43"/>
  <c r="C415" i="43" s="1"/>
  <c r="G414" i="43"/>
  <c r="D414" i="43"/>
  <c r="B414" i="43"/>
  <c r="C414" i="43" s="1"/>
  <c r="G413" i="43"/>
  <c r="D413" i="43"/>
  <c r="B413" i="43"/>
  <c r="C413" i="43" s="1"/>
  <c r="G412" i="43"/>
  <c r="D412" i="43"/>
  <c r="B412" i="43"/>
  <c r="C412" i="43" s="1"/>
  <c r="G411" i="43"/>
  <c r="D411" i="43"/>
  <c r="B411" i="43"/>
  <c r="C411" i="43" s="1"/>
  <c r="G410" i="43"/>
  <c r="D410" i="43"/>
  <c r="B410" i="43"/>
  <c r="C410" i="43" s="1"/>
  <c r="G409" i="43"/>
  <c r="D409" i="43"/>
  <c r="B409" i="43"/>
  <c r="C409" i="43" s="1"/>
  <c r="G408" i="43"/>
  <c r="D408" i="43"/>
  <c r="B408" i="43"/>
  <c r="C408" i="43" s="1"/>
  <c r="G407" i="43"/>
  <c r="D407" i="43"/>
  <c r="B407" i="43"/>
  <c r="C407" i="43" s="1"/>
  <c r="G406" i="43"/>
  <c r="D406" i="43"/>
  <c r="B406" i="43"/>
  <c r="C406" i="43" s="1"/>
  <c r="G405" i="43"/>
  <c r="D405" i="43"/>
  <c r="B405" i="43"/>
  <c r="C405" i="43" s="1"/>
  <c r="G404" i="43"/>
  <c r="D404" i="43"/>
  <c r="B404" i="43"/>
  <c r="C404" i="43" s="1"/>
  <c r="G403" i="43"/>
  <c r="D403" i="43"/>
  <c r="B403" i="43"/>
  <c r="C403" i="43" s="1"/>
  <c r="G402" i="43"/>
  <c r="D402" i="43"/>
  <c r="B402" i="43"/>
  <c r="C402" i="43" s="1"/>
  <c r="G401" i="43"/>
  <c r="D401" i="43"/>
  <c r="B401" i="43"/>
  <c r="C401" i="43" s="1"/>
  <c r="G400" i="43"/>
  <c r="D400" i="43"/>
  <c r="B400" i="43"/>
  <c r="C400" i="43" s="1"/>
  <c r="G399" i="43"/>
  <c r="D399" i="43"/>
  <c r="B399" i="43"/>
  <c r="C399" i="43" s="1"/>
  <c r="G398" i="43"/>
  <c r="D398" i="43"/>
  <c r="B398" i="43"/>
  <c r="C398" i="43" s="1"/>
  <c r="G397" i="43"/>
  <c r="D397" i="43"/>
  <c r="B397" i="43"/>
  <c r="C397" i="43" s="1"/>
  <c r="G396" i="43"/>
  <c r="D396" i="43"/>
  <c r="B396" i="43"/>
  <c r="C396" i="43" s="1"/>
  <c r="G395" i="43"/>
  <c r="D395" i="43"/>
  <c r="B395" i="43"/>
  <c r="C395" i="43" s="1"/>
  <c r="G394" i="43"/>
  <c r="D394" i="43"/>
  <c r="B394" i="43"/>
  <c r="C394" i="43" s="1"/>
  <c r="G393" i="43"/>
  <c r="D393" i="43"/>
  <c r="B393" i="43"/>
  <c r="C393" i="43" s="1"/>
  <c r="G392" i="43"/>
  <c r="D392" i="43"/>
  <c r="B392" i="43"/>
  <c r="C392" i="43" s="1"/>
  <c r="G391" i="43"/>
  <c r="D391" i="43"/>
  <c r="B391" i="43"/>
  <c r="C391" i="43" s="1"/>
  <c r="G390" i="43"/>
  <c r="D390" i="43"/>
  <c r="B390" i="43"/>
  <c r="C390" i="43" s="1"/>
  <c r="G389" i="43"/>
  <c r="D389" i="43"/>
  <c r="B389" i="43"/>
  <c r="C389" i="43" s="1"/>
  <c r="G388" i="43"/>
  <c r="D388" i="43"/>
  <c r="B388" i="43"/>
  <c r="C388" i="43" s="1"/>
  <c r="G387" i="43"/>
  <c r="D387" i="43"/>
  <c r="B387" i="43"/>
  <c r="C387" i="43" s="1"/>
  <c r="G386" i="43"/>
  <c r="D386" i="43"/>
  <c r="B386" i="43"/>
  <c r="C386" i="43" s="1"/>
  <c r="G385" i="43"/>
  <c r="D385" i="43"/>
  <c r="B385" i="43"/>
  <c r="C385" i="43" s="1"/>
  <c r="G384" i="43"/>
  <c r="D384" i="43"/>
  <c r="B384" i="43"/>
  <c r="C384" i="43" s="1"/>
  <c r="G383" i="43"/>
  <c r="D383" i="43"/>
  <c r="B383" i="43"/>
  <c r="C383" i="43" s="1"/>
  <c r="G382" i="43"/>
  <c r="D382" i="43"/>
  <c r="B382" i="43"/>
  <c r="C382" i="43" s="1"/>
  <c r="G381" i="43"/>
  <c r="D381" i="43"/>
  <c r="B381" i="43"/>
  <c r="C381" i="43" s="1"/>
  <c r="G380" i="43"/>
  <c r="D380" i="43"/>
  <c r="B380" i="43"/>
  <c r="C380" i="43" s="1"/>
  <c r="G379" i="43"/>
  <c r="D379" i="43"/>
  <c r="B379" i="43"/>
  <c r="C379" i="43" s="1"/>
  <c r="G378" i="43"/>
  <c r="D378" i="43"/>
  <c r="B378" i="43"/>
  <c r="C378" i="43" s="1"/>
  <c r="G377" i="43"/>
  <c r="D377" i="43"/>
  <c r="B377" i="43"/>
  <c r="C377" i="43" s="1"/>
  <c r="G376" i="43"/>
  <c r="D376" i="43"/>
  <c r="B376" i="43"/>
  <c r="C376" i="43" s="1"/>
  <c r="G375" i="43"/>
  <c r="D375" i="43"/>
  <c r="B375" i="43"/>
  <c r="C375" i="43" s="1"/>
  <c r="G374" i="43"/>
  <c r="D374" i="43"/>
  <c r="B374" i="43"/>
  <c r="C374" i="43" s="1"/>
  <c r="G373" i="43"/>
  <c r="D373" i="43"/>
  <c r="B373" i="43"/>
  <c r="C373" i="43" s="1"/>
  <c r="G372" i="43"/>
  <c r="D372" i="43"/>
  <c r="B372" i="43"/>
  <c r="C372" i="43" s="1"/>
  <c r="G371" i="43"/>
  <c r="D371" i="43"/>
  <c r="B371" i="43"/>
  <c r="C371" i="43" s="1"/>
  <c r="G370" i="43"/>
  <c r="D370" i="43"/>
  <c r="B370" i="43"/>
  <c r="C370" i="43" s="1"/>
  <c r="G369" i="43"/>
  <c r="D369" i="43"/>
  <c r="B369" i="43"/>
  <c r="C369" i="43" s="1"/>
  <c r="G368" i="43"/>
  <c r="D368" i="43"/>
  <c r="B368" i="43"/>
  <c r="C368" i="43" s="1"/>
  <c r="G367" i="43"/>
  <c r="D367" i="43"/>
  <c r="B367" i="43"/>
  <c r="C367" i="43" s="1"/>
  <c r="G366" i="43"/>
  <c r="D366" i="43"/>
  <c r="B366" i="43"/>
  <c r="C366" i="43" s="1"/>
  <c r="G365" i="43"/>
  <c r="D365" i="43"/>
  <c r="B365" i="43"/>
  <c r="C365" i="43" s="1"/>
  <c r="G364" i="43"/>
  <c r="D364" i="43"/>
  <c r="B364" i="43"/>
  <c r="C364" i="43" s="1"/>
  <c r="G363" i="43"/>
  <c r="D363" i="43"/>
  <c r="B363" i="43"/>
  <c r="C363" i="43" s="1"/>
  <c r="G362" i="43"/>
  <c r="D362" i="43"/>
  <c r="B362" i="43"/>
  <c r="C362" i="43" s="1"/>
  <c r="G361" i="43"/>
  <c r="D361" i="43"/>
  <c r="B361" i="43"/>
  <c r="C361" i="43" s="1"/>
  <c r="G360" i="43"/>
  <c r="D360" i="43"/>
  <c r="B360" i="43"/>
  <c r="C360" i="43" s="1"/>
  <c r="G359" i="43"/>
  <c r="D359" i="43"/>
  <c r="B359" i="43"/>
  <c r="C359" i="43" s="1"/>
  <c r="G358" i="43"/>
  <c r="D358" i="43"/>
  <c r="B358" i="43"/>
  <c r="C358" i="43" s="1"/>
  <c r="G357" i="43"/>
  <c r="D357" i="43"/>
  <c r="B357" i="43"/>
  <c r="C357" i="43" s="1"/>
  <c r="G356" i="43"/>
  <c r="D356" i="43"/>
  <c r="B356" i="43"/>
  <c r="C356" i="43" s="1"/>
  <c r="G355" i="43"/>
  <c r="D355" i="43"/>
  <c r="B355" i="43"/>
  <c r="C355" i="43" s="1"/>
  <c r="G354" i="43"/>
  <c r="D354" i="43"/>
  <c r="B354" i="43"/>
  <c r="C354" i="43" s="1"/>
  <c r="G353" i="43"/>
  <c r="D353" i="43"/>
  <c r="B353" i="43"/>
  <c r="C353" i="43" s="1"/>
  <c r="G352" i="43"/>
  <c r="D352" i="43"/>
  <c r="B352" i="43"/>
  <c r="C352" i="43" s="1"/>
  <c r="G351" i="43"/>
  <c r="D351" i="43"/>
  <c r="B351" i="43"/>
  <c r="C351" i="43" s="1"/>
  <c r="G350" i="43"/>
  <c r="D350" i="43"/>
  <c r="B350" i="43"/>
  <c r="C350" i="43" s="1"/>
  <c r="G349" i="43"/>
  <c r="D349" i="43"/>
  <c r="B349" i="43"/>
  <c r="C349" i="43" s="1"/>
  <c r="G348" i="43"/>
  <c r="D348" i="43"/>
  <c r="B348" i="43"/>
  <c r="C348" i="43" s="1"/>
  <c r="G347" i="43"/>
  <c r="D347" i="43"/>
  <c r="B347" i="43"/>
  <c r="C347" i="43" s="1"/>
  <c r="G346" i="43"/>
  <c r="D346" i="43"/>
  <c r="B346" i="43"/>
  <c r="C346" i="43" s="1"/>
  <c r="G345" i="43"/>
  <c r="D345" i="43"/>
  <c r="B345" i="43"/>
  <c r="C345" i="43" s="1"/>
  <c r="G344" i="43"/>
  <c r="D344" i="43"/>
  <c r="B344" i="43"/>
  <c r="C344" i="43" s="1"/>
  <c r="G343" i="43"/>
  <c r="D343" i="43"/>
  <c r="B343" i="43"/>
  <c r="C343" i="43" s="1"/>
  <c r="G342" i="43"/>
  <c r="D342" i="43"/>
  <c r="B342" i="43"/>
  <c r="C342" i="43" s="1"/>
  <c r="G341" i="43"/>
  <c r="D341" i="43"/>
  <c r="B341" i="43"/>
  <c r="C341" i="43" s="1"/>
  <c r="G340" i="43"/>
  <c r="D340" i="43"/>
  <c r="B340" i="43"/>
  <c r="C340" i="43" s="1"/>
  <c r="G339" i="43"/>
  <c r="D339" i="43"/>
  <c r="B339" i="43"/>
  <c r="C339" i="43" s="1"/>
  <c r="G338" i="43"/>
  <c r="D338" i="43"/>
  <c r="B338" i="43"/>
  <c r="C338" i="43" s="1"/>
  <c r="G337" i="43"/>
  <c r="D337" i="43"/>
  <c r="B337" i="43"/>
  <c r="C337" i="43" s="1"/>
  <c r="G336" i="43"/>
  <c r="D336" i="43"/>
  <c r="B336" i="43"/>
  <c r="C336" i="43" s="1"/>
  <c r="G335" i="43"/>
  <c r="D335" i="43"/>
  <c r="B335" i="43"/>
  <c r="C335" i="43" s="1"/>
  <c r="G334" i="43"/>
  <c r="D334" i="43"/>
  <c r="B334" i="43"/>
  <c r="C334" i="43" s="1"/>
  <c r="G333" i="43"/>
  <c r="D333" i="43"/>
  <c r="B333" i="43"/>
  <c r="C333" i="43" s="1"/>
  <c r="G332" i="43"/>
  <c r="D332" i="43"/>
  <c r="B332" i="43"/>
  <c r="C332" i="43" s="1"/>
  <c r="G331" i="43"/>
  <c r="D331" i="43"/>
  <c r="B331" i="43"/>
  <c r="C331" i="43" s="1"/>
  <c r="G330" i="43"/>
  <c r="D330" i="43"/>
  <c r="B330" i="43"/>
  <c r="C330" i="43" s="1"/>
  <c r="G329" i="43"/>
  <c r="D329" i="43"/>
  <c r="B329" i="43"/>
  <c r="C329" i="43" s="1"/>
  <c r="G328" i="43"/>
  <c r="D328" i="43"/>
  <c r="B328" i="43"/>
  <c r="C328" i="43" s="1"/>
  <c r="G327" i="43"/>
  <c r="D327" i="43"/>
  <c r="B327" i="43"/>
  <c r="C327" i="43" s="1"/>
  <c r="G326" i="43"/>
  <c r="D326" i="43"/>
  <c r="B326" i="43"/>
  <c r="C326" i="43" s="1"/>
  <c r="G325" i="43"/>
  <c r="D325" i="43"/>
  <c r="B325" i="43"/>
  <c r="C325" i="43" s="1"/>
  <c r="G324" i="43"/>
  <c r="D324" i="43"/>
  <c r="B324" i="43"/>
  <c r="C324" i="43" s="1"/>
  <c r="G323" i="43"/>
  <c r="D323" i="43"/>
  <c r="B323" i="43"/>
  <c r="C323" i="43" s="1"/>
  <c r="G322" i="43"/>
  <c r="D322" i="43"/>
  <c r="B322" i="43"/>
  <c r="C322" i="43" s="1"/>
  <c r="G321" i="43"/>
  <c r="D321" i="43"/>
  <c r="B321" i="43"/>
  <c r="C321" i="43" s="1"/>
  <c r="G320" i="43"/>
  <c r="D320" i="43"/>
  <c r="B320" i="43"/>
  <c r="C320" i="43" s="1"/>
  <c r="G319" i="43"/>
  <c r="D319" i="43"/>
  <c r="B319" i="43"/>
  <c r="C319" i="43" s="1"/>
  <c r="G318" i="43"/>
  <c r="D318" i="43"/>
  <c r="B318" i="43"/>
  <c r="C318" i="43" s="1"/>
  <c r="G317" i="43"/>
  <c r="D317" i="43"/>
  <c r="B317" i="43"/>
  <c r="C317" i="43" s="1"/>
  <c r="G316" i="43"/>
  <c r="D316" i="43"/>
  <c r="B316" i="43"/>
  <c r="C316" i="43" s="1"/>
  <c r="G315" i="43"/>
  <c r="D315" i="43"/>
  <c r="B315" i="43"/>
  <c r="C315" i="43" s="1"/>
  <c r="G314" i="43"/>
  <c r="D314" i="43"/>
  <c r="B314" i="43"/>
  <c r="C314" i="43" s="1"/>
  <c r="G313" i="43"/>
  <c r="D313" i="43"/>
  <c r="B313" i="43"/>
  <c r="C313" i="43" s="1"/>
  <c r="G312" i="43"/>
  <c r="D312" i="43"/>
  <c r="B312" i="43"/>
  <c r="C312" i="43" s="1"/>
  <c r="G311" i="43"/>
  <c r="D311" i="43"/>
  <c r="B311" i="43"/>
  <c r="C311" i="43" s="1"/>
  <c r="G310" i="43"/>
  <c r="D310" i="43"/>
  <c r="B310" i="43"/>
  <c r="C310" i="43" s="1"/>
  <c r="G309" i="43"/>
  <c r="D309" i="43"/>
  <c r="B309" i="43"/>
  <c r="C309" i="43" s="1"/>
  <c r="G308" i="43"/>
  <c r="D308" i="43"/>
  <c r="B308" i="43"/>
  <c r="C308" i="43" s="1"/>
  <c r="G307" i="43"/>
  <c r="D307" i="43"/>
  <c r="B307" i="43"/>
  <c r="C307" i="43" s="1"/>
  <c r="G306" i="43"/>
  <c r="D306" i="43"/>
  <c r="B306" i="43"/>
  <c r="C306" i="43" s="1"/>
  <c r="G305" i="43"/>
  <c r="D305" i="43"/>
  <c r="B305" i="43"/>
  <c r="C305" i="43" s="1"/>
  <c r="G304" i="43"/>
  <c r="D304" i="43"/>
  <c r="B304" i="43"/>
  <c r="C304" i="43" s="1"/>
  <c r="G303" i="43"/>
  <c r="D303" i="43"/>
  <c r="B303" i="43"/>
  <c r="C303" i="43" s="1"/>
  <c r="G302" i="43"/>
  <c r="D302" i="43"/>
  <c r="B302" i="43"/>
  <c r="C302" i="43" s="1"/>
  <c r="G301" i="43"/>
  <c r="D301" i="43"/>
  <c r="B301" i="43"/>
  <c r="C301" i="43" s="1"/>
  <c r="G300" i="43"/>
  <c r="D300" i="43"/>
  <c r="B300" i="43"/>
  <c r="C300" i="43" s="1"/>
  <c r="G299" i="43"/>
  <c r="D299" i="43"/>
  <c r="B299" i="43"/>
  <c r="C299" i="43" s="1"/>
  <c r="G298" i="43"/>
  <c r="D298" i="43"/>
  <c r="B298" i="43"/>
  <c r="C298" i="43" s="1"/>
  <c r="G297" i="43"/>
  <c r="D297" i="43"/>
  <c r="B297" i="43"/>
  <c r="C297" i="43" s="1"/>
  <c r="G296" i="43"/>
  <c r="D296" i="43"/>
  <c r="B296" i="43"/>
  <c r="C296" i="43" s="1"/>
  <c r="G295" i="43"/>
  <c r="D295" i="43"/>
  <c r="B295" i="43"/>
  <c r="C295" i="43" s="1"/>
  <c r="G294" i="43"/>
  <c r="D294" i="43"/>
  <c r="B294" i="43"/>
  <c r="C294" i="43" s="1"/>
  <c r="G293" i="43"/>
  <c r="D293" i="43"/>
  <c r="B293" i="43"/>
  <c r="C293" i="43" s="1"/>
  <c r="G292" i="43"/>
  <c r="D292" i="43"/>
  <c r="B292" i="43"/>
  <c r="C292" i="43" s="1"/>
  <c r="G291" i="43"/>
  <c r="D291" i="43"/>
  <c r="B291" i="43"/>
  <c r="C291" i="43" s="1"/>
  <c r="G290" i="43"/>
  <c r="D290" i="43"/>
  <c r="B290" i="43"/>
  <c r="C290" i="43" s="1"/>
  <c r="G289" i="43"/>
  <c r="D289" i="43"/>
  <c r="B289" i="43"/>
  <c r="C289" i="43" s="1"/>
  <c r="G288" i="43"/>
  <c r="D288" i="43"/>
  <c r="B288" i="43"/>
  <c r="C288" i="43" s="1"/>
  <c r="G287" i="43"/>
  <c r="D287" i="43"/>
  <c r="B287" i="43"/>
  <c r="C287" i="43" s="1"/>
  <c r="G286" i="43"/>
  <c r="D286" i="43"/>
  <c r="B286" i="43"/>
  <c r="C286" i="43" s="1"/>
  <c r="G285" i="43"/>
  <c r="D285" i="43"/>
  <c r="B285" i="43"/>
  <c r="C285" i="43" s="1"/>
  <c r="G284" i="43"/>
  <c r="D284" i="43"/>
  <c r="B284" i="43"/>
  <c r="C284" i="43" s="1"/>
  <c r="G283" i="43"/>
  <c r="D283" i="43"/>
  <c r="B283" i="43"/>
  <c r="C283" i="43" s="1"/>
  <c r="G282" i="43"/>
  <c r="D282" i="43"/>
  <c r="B282" i="43"/>
  <c r="C282" i="43" s="1"/>
  <c r="G281" i="43"/>
  <c r="D281" i="43"/>
  <c r="B281" i="43"/>
  <c r="C281" i="43" s="1"/>
  <c r="G280" i="43"/>
  <c r="D280" i="43"/>
  <c r="B280" i="43"/>
  <c r="C280" i="43" s="1"/>
  <c r="G279" i="43"/>
  <c r="D279" i="43"/>
  <c r="B279" i="43"/>
  <c r="C279" i="43" s="1"/>
  <c r="G278" i="43"/>
  <c r="D278" i="43"/>
  <c r="B278" i="43"/>
  <c r="C278" i="43" s="1"/>
  <c r="G277" i="43"/>
  <c r="D277" i="43"/>
  <c r="B277" i="43"/>
  <c r="C277" i="43" s="1"/>
  <c r="G276" i="43"/>
  <c r="D276" i="43"/>
  <c r="B276" i="43"/>
  <c r="C276" i="43" s="1"/>
  <c r="G275" i="43"/>
  <c r="D275" i="43"/>
  <c r="B275" i="43"/>
  <c r="C275" i="43" s="1"/>
  <c r="G274" i="43"/>
  <c r="D274" i="43"/>
  <c r="B274" i="43"/>
  <c r="C274" i="43" s="1"/>
  <c r="G273" i="43"/>
  <c r="D273" i="43"/>
  <c r="B273" i="43"/>
  <c r="C273" i="43" s="1"/>
  <c r="G272" i="43"/>
  <c r="D272" i="43"/>
  <c r="B272" i="43"/>
  <c r="C272" i="43" s="1"/>
  <c r="G271" i="43"/>
  <c r="D271" i="43"/>
  <c r="B271" i="43"/>
  <c r="C271" i="43" s="1"/>
  <c r="G270" i="43"/>
  <c r="D270" i="43"/>
  <c r="B270" i="43"/>
  <c r="C270" i="43" s="1"/>
  <c r="G269" i="43"/>
  <c r="D269" i="43"/>
  <c r="B269" i="43"/>
  <c r="C269" i="43" s="1"/>
  <c r="G268" i="43"/>
  <c r="D268" i="43"/>
  <c r="B268" i="43"/>
  <c r="C268" i="43" s="1"/>
  <c r="G267" i="43"/>
  <c r="D267" i="43"/>
  <c r="B267" i="43"/>
  <c r="C267" i="43" s="1"/>
  <c r="G266" i="43"/>
  <c r="D266" i="43"/>
  <c r="B266" i="43"/>
  <c r="C266" i="43" s="1"/>
  <c r="G265" i="43"/>
  <c r="D265" i="43"/>
  <c r="B265" i="43"/>
  <c r="C265" i="43" s="1"/>
  <c r="G264" i="43"/>
  <c r="D264" i="43"/>
  <c r="B264" i="43"/>
  <c r="C264" i="43" s="1"/>
  <c r="G263" i="43"/>
  <c r="D263" i="43"/>
  <c r="B263" i="43"/>
  <c r="C263" i="43" s="1"/>
  <c r="G262" i="43"/>
  <c r="D262" i="43"/>
  <c r="B262" i="43"/>
  <c r="C262" i="43" s="1"/>
  <c r="G261" i="43"/>
  <c r="D261" i="43"/>
  <c r="B261" i="43"/>
  <c r="C261" i="43" s="1"/>
  <c r="G260" i="43"/>
  <c r="D260" i="43"/>
  <c r="B260" i="43"/>
  <c r="C260" i="43" s="1"/>
  <c r="G259" i="43"/>
  <c r="D259" i="43"/>
  <c r="B259" i="43"/>
  <c r="C259" i="43" s="1"/>
  <c r="G258" i="43"/>
  <c r="D258" i="43"/>
  <c r="B258" i="43"/>
  <c r="C258" i="43" s="1"/>
  <c r="G257" i="43"/>
  <c r="D257" i="43"/>
  <c r="B257" i="43"/>
  <c r="C257" i="43" s="1"/>
  <c r="G256" i="43"/>
  <c r="D256" i="43"/>
  <c r="B256" i="43"/>
  <c r="C256" i="43" s="1"/>
  <c r="G255" i="43"/>
  <c r="D255" i="43"/>
  <c r="B255" i="43"/>
  <c r="C255" i="43" s="1"/>
  <c r="G254" i="43"/>
  <c r="D254" i="43"/>
  <c r="B254" i="43"/>
  <c r="C254" i="43" s="1"/>
  <c r="G253" i="43"/>
  <c r="D253" i="43"/>
  <c r="B253" i="43"/>
  <c r="C253" i="43" s="1"/>
  <c r="G252" i="43"/>
  <c r="D252" i="43"/>
  <c r="B252" i="43"/>
  <c r="C252" i="43" s="1"/>
  <c r="G251" i="43"/>
  <c r="D251" i="43"/>
  <c r="B251" i="43"/>
  <c r="C251" i="43" s="1"/>
  <c r="G250" i="43"/>
  <c r="D250" i="43"/>
  <c r="B250" i="43"/>
  <c r="C250" i="43" s="1"/>
  <c r="G249" i="43"/>
  <c r="D249" i="43"/>
  <c r="B249" i="43"/>
  <c r="C249" i="43" s="1"/>
  <c r="G248" i="43"/>
  <c r="D248" i="43"/>
  <c r="B248" i="43"/>
  <c r="C248" i="43" s="1"/>
  <c r="G247" i="43"/>
  <c r="D247" i="43"/>
  <c r="B247" i="43"/>
  <c r="C247" i="43" s="1"/>
  <c r="G246" i="43"/>
  <c r="D246" i="43"/>
  <c r="B246" i="43"/>
  <c r="C246" i="43" s="1"/>
  <c r="G245" i="43"/>
  <c r="D245" i="43"/>
  <c r="B245" i="43"/>
  <c r="C245" i="43" s="1"/>
  <c r="G244" i="43"/>
  <c r="D244" i="43"/>
  <c r="B244" i="43"/>
  <c r="C244" i="43" s="1"/>
  <c r="G243" i="43"/>
  <c r="D243" i="43"/>
  <c r="B243" i="43"/>
  <c r="C243" i="43" s="1"/>
  <c r="G242" i="43"/>
  <c r="D242" i="43"/>
  <c r="B242" i="43"/>
  <c r="C242" i="43" s="1"/>
  <c r="G241" i="43"/>
  <c r="D241" i="43"/>
  <c r="B241" i="43"/>
  <c r="C241" i="43" s="1"/>
  <c r="G240" i="43"/>
  <c r="D240" i="43"/>
  <c r="B240" i="43"/>
  <c r="C240" i="43" s="1"/>
  <c r="G239" i="43"/>
  <c r="D239" i="43"/>
  <c r="B239" i="43"/>
  <c r="C239" i="43" s="1"/>
  <c r="G238" i="43"/>
  <c r="D238" i="43"/>
  <c r="B238" i="43"/>
  <c r="C238" i="43" s="1"/>
  <c r="G237" i="43"/>
  <c r="D237" i="43"/>
  <c r="B237" i="43"/>
  <c r="C237" i="43" s="1"/>
  <c r="G236" i="43"/>
  <c r="D236" i="43"/>
  <c r="B236" i="43"/>
  <c r="C236" i="43" s="1"/>
  <c r="G235" i="43"/>
  <c r="D235" i="43"/>
  <c r="B235" i="43"/>
  <c r="C235" i="43" s="1"/>
  <c r="G234" i="43"/>
  <c r="D234" i="43"/>
  <c r="B234" i="43"/>
  <c r="C234" i="43" s="1"/>
  <c r="G233" i="43"/>
  <c r="D233" i="43"/>
  <c r="B233" i="43"/>
  <c r="C233" i="43" s="1"/>
  <c r="G232" i="43"/>
  <c r="D232" i="43"/>
  <c r="B232" i="43"/>
  <c r="C232" i="43" s="1"/>
  <c r="G231" i="43"/>
  <c r="D231" i="43"/>
  <c r="B231" i="43"/>
  <c r="C231" i="43" s="1"/>
  <c r="G230" i="43"/>
  <c r="D230" i="43"/>
  <c r="B230" i="43"/>
  <c r="C230" i="43" s="1"/>
  <c r="G229" i="43"/>
  <c r="D229" i="43"/>
  <c r="B229" i="43"/>
  <c r="C229" i="43" s="1"/>
  <c r="G228" i="43"/>
  <c r="D228" i="43"/>
  <c r="B228" i="43"/>
  <c r="C228" i="43" s="1"/>
  <c r="G227" i="43"/>
  <c r="D227" i="43"/>
  <c r="B227" i="43"/>
  <c r="C227" i="43" s="1"/>
  <c r="G226" i="43"/>
  <c r="D226" i="43"/>
  <c r="B226" i="43"/>
  <c r="C226" i="43" s="1"/>
  <c r="G225" i="43"/>
  <c r="D225" i="43"/>
  <c r="B225" i="43"/>
  <c r="C225" i="43" s="1"/>
  <c r="G224" i="43"/>
  <c r="D224" i="43"/>
  <c r="B224" i="43"/>
  <c r="C224" i="43" s="1"/>
  <c r="G223" i="43"/>
  <c r="D223" i="43"/>
  <c r="B223" i="43"/>
  <c r="C223" i="43" s="1"/>
  <c r="G222" i="43"/>
  <c r="D222" i="43"/>
  <c r="B222" i="43"/>
  <c r="C222" i="43" s="1"/>
  <c r="G221" i="43"/>
  <c r="D221" i="43"/>
  <c r="B221" i="43"/>
  <c r="C221" i="43" s="1"/>
  <c r="G220" i="43"/>
  <c r="D220" i="43"/>
  <c r="B220" i="43"/>
  <c r="C220" i="43" s="1"/>
  <c r="G219" i="43"/>
  <c r="D219" i="43"/>
  <c r="B219" i="43"/>
  <c r="C219" i="43" s="1"/>
  <c r="G218" i="43"/>
  <c r="D218" i="43"/>
  <c r="B218" i="43"/>
  <c r="C218" i="43" s="1"/>
  <c r="G217" i="43"/>
  <c r="D217" i="43"/>
  <c r="B217" i="43"/>
  <c r="C217" i="43" s="1"/>
  <c r="G216" i="43"/>
  <c r="D216" i="43"/>
  <c r="B216" i="43"/>
  <c r="C216" i="43" s="1"/>
  <c r="G215" i="43"/>
  <c r="D215" i="43"/>
  <c r="B215" i="43"/>
  <c r="C215" i="43" s="1"/>
  <c r="G214" i="43"/>
  <c r="D214" i="43"/>
  <c r="B214" i="43"/>
  <c r="C214" i="43" s="1"/>
  <c r="G213" i="43"/>
  <c r="D213" i="43"/>
  <c r="B213" i="43"/>
  <c r="C213" i="43" s="1"/>
  <c r="G212" i="43"/>
  <c r="D212" i="43"/>
  <c r="B212" i="43"/>
  <c r="C212" i="43" s="1"/>
  <c r="G211" i="43"/>
  <c r="D211" i="43"/>
  <c r="B211" i="43"/>
  <c r="C211" i="43" s="1"/>
  <c r="G210" i="43"/>
  <c r="D210" i="43"/>
  <c r="B210" i="43"/>
  <c r="C210" i="43" s="1"/>
  <c r="G209" i="43"/>
  <c r="D209" i="43"/>
  <c r="B209" i="43"/>
  <c r="C209" i="43" s="1"/>
  <c r="G208" i="43"/>
  <c r="D208" i="43"/>
  <c r="B208" i="43"/>
  <c r="C208" i="43" s="1"/>
  <c r="G207" i="43"/>
  <c r="D207" i="43"/>
  <c r="B207" i="43"/>
  <c r="C207" i="43" s="1"/>
  <c r="G206" i="43"/>
  <c r="D206" i="43"/>
  <c r="B206" i="43"/>
  <c r="C206" i="43" s="1"/>
  <c r="G205" i="43"/>
  <c r="D205" i="43"/>
  <c r="B205" i="43"/>
  <c r="C205" i="43" s="1"/>
  <c r="G204" i="43"/>
  <c r="D204" i="43"/>
  <c r="B204" i="43"/>
  <c r="C204" i="43" s="1"/>
  <c r="G203" i="43"/>
  <c r="D203" i="43"/>
  <c r="B203" i="43"/>
  <c r="C203" i="43" s="1"/>
  <c r="G202" i="43"/>
  <c r="D202" i="43"/>
  <c r="B202" i="43"/>
  <c r="C202" i="43" s="1"/>
  <c r="G201" i="43"/>
  <c r="D201" i="43"/>
  <c r="B201" i="43"/>
  <c r="C201" i="43" s="1"/>
  <c r="G200" i="43"/>
  <c r="D200" i="43"/>
  <c r="B200" i="43"/>
  <c r="C200" i="43" s="1"/>
  <c r="G199" i="43"/>
  <c r="D199" i="43"/>
  <c r="B199" i="43"/>
  <c r="C199" i="43" s="1"/>
  <c r="G198" i="43"/>
  <c r="D198" i="43"/>
  <c r="B198" i="43"/>
  <c r="C198" i="43" s="1"/>
  <c r="G197" i="43"/>
  <c r="D197" i="43"/>
  <c r="B197" i="43"/>
  <c r="C197" i="43" s="1"/>
  <c r="G196" i="43"/>
  <c r="D196" i="43"/>
  <c r="B196" i="43"/>
  <c r="C196" i="43" s="1"/>
  <c r="G195" i="43"/>
  <c r="D195" i="43"/>
  <c r="B195" i="43"/>
  <c r="C195" i="43" s="1"/>
  <c r="G194" i="43"/>
  <c r="D194" i="43"/>
  <c r="B194" i="43"/>
  <c r="C194" i="43" s="1"/>
  <c r="G193" i="43"/>
  <c r="D193" i="43"/>
  <c r="B193" i="43"/>
  <c r="C193" i="43" s="1"/>
  <c r="G192" i="43"/>
  <c r="D192" i="43"/>
  <c r="B192" i="43"/>
  <c r="C192" i="43" s="1"/>
  <c r="G191" i="43"/>
  <c r="D191" i="43"/>
  <c r="B191" i="43"/>
  <c r="C191" i="43" s="1"/>
  <c r="G190" i="43"/>
  <c r="D190" i="43"/>
  <c r="B190" i="43"/>
  <c r="C190" i="43" s="1"/>
  <c r="G189" i="43"/>
  <c r="D189" i="43"/>
  <c r="B189" i="43"/>
  <c r="C189" i="43" s="1"/>
  <c r="G188" i="43"/>
  <c r="D188" i="43"/>
  <c r="B188" i="43"/>
  <c r="C188" i="43" s="1"/>
  <c r="G187" i="43"/>
  <c r="D187" i="43"/>
  <c r="B187" i="43"/>
  <c r="C187" i="43" s="1"/>
  <c r="G186" i="43"/>
  <c r="D186" i="43"/>
  <c r="B186" i="43"/>
  <c r="C186" i="43" s="1"/>
  <c r="G185" i="43"/>
  <c r="D185" i="43"/>
  <c r="B185" i="43"/>
  <c r="C185" i="43" s="1"/>
  <c r="G184" i="43"/>
  <c r="D184" i="43"/>
  <c r="B184" i="43"/>
  <c r="C184" i="43" s="1"/>
  <c r="G183" i="43"/>
  <c r="D183" i="43"/>
  <c r="B183" i="43"/>
  <c r="C183" i="43" s="1"/>
  <c r="G182" i="43"/>
  <c r="D182" i="43"/>
  <c r="B182" i="43"/>
  <c r="C182" i="43" s="1"/>
  <c r="G181" i="43"/>
  <c r="D181" i="43"/>
  <c r="B181" i="43"/>
  <c r="C181" i="43" s="1"/>
  <c r="G180" i="43"/>
  <c r="D180" i="43"/>
  <c r="B180" i="43"/>
  <c r="C180" i="43" s="1"/>
  <c r="G179" i="43"/>
  <c r="D179" i="43"/>
  <c r="B179" i="43"/>
  <c r="C179" i="43" s="1"/>
  <c r="G178" i="43"/>
  <c r="D178" i="43"/>
  <c r="B178" i="43"/>
  <c r="C178" i="43" s="1"/>
  <c r="G177" i="43"/>
  <c r="D177" i="43"/>
  <c r="B177" i="43"/>
  <c r="C177" i="43" s="1"/>
  <c r="G176" i="43"/>
  <c r="D176" i="43"/>
  <c r="B176" i="43"/>
  <c r="C176" i="43" s="1"/>
  <c r="G175" i="43"/>
  <c r="D175" i="43"/>
  <c r="B175" i="43"/>
  <c r="C175" i="43" s="1"/>
  <c r="G174" i="43"/>
  <c r="D174" i="43"/>
  <c r="B174" i="43"/>
  <c r="C174" i="43" s="1"/>
  <c r="G173" i="43"/>
  <c r="D173" i="43"/>
  <c r="B173" i="43"/>
  <c r="C173" i="43" s="1"/>
  <c r="G172" i="43"/>
  <c r="D172" i="43"/>
  <c r="B172" i="43"/>
  <c r="C172" i="43" s="1"/>
  <c r="G171" i="43"/>
  <c r="D171" i="43"/>
  <c r="B171" i="43"/>
  <c r="C171" i="43" s="1"/>
  <c r="G170" i="43"/>
  <c r="D170" i="43"/>
  <c r="B170" i="43"/>
  <c r="C170" i="43" s="1"/>
  <c r="G169" i="43"/>
  <c r="D169" i="43"/>
  <c r="B169" i="43"/>
  <c r="C169" i="43" s="1"/>
  <c r="G168" i="43"/>
  <c r="D168" i="43"/>
  <c r="B168" i="43"/>
  <c r="C168" i="43" s="1"/>
  <c r="G167" i="43"/>
  <c r="D167" i="43"/>
  <c r="B167" i="43"/>
  <c r="C167" i="43" s="1"/>
  <c r="G166" i="43"/>
  <c r="D166" i="43"/>
  <c r="B166" i="43"/>
  <c r="C166" i="43" s="1"/>
  <c r="G165" i="43"/>
  <c r="D165" i="43"/>
  <c r="B165" i="43"/>
  <c r="C165" i="43" s="1"/>
  <c r="G164" i="43"/>
  <c r="D164" i="43"/>
  <c r="B164" i="43"/>
  <c r="C164" i="43" s="1"/>
  <c r="G163" i="43"/>
  <c r="D163" i="43"/>
  <c r="B163" i="43"/>
  <c r="C163" i="43" s="1"/>
  <c r="G162" i="43"/>
  <c r="D162" i="43"/>
  <c r="B162" i="43"/>
  <c r="C162" i="43" s="1"/>
  <c r="G161" i="43"/>
  <c r="D161" i="43"/>
  <c r="B161" i="43"/>
  <c r="C161" i="43" s="1"/>
  <c r="G160" i="43"/>
  <c r="D160" i="43"/>
  <c r="B160" i="43"/>
  <c r="C160" i="43" s="1"/>
  <c r="G159" i="43"/>
  <c r="D159" i="43"/>
  <c r="B159" i="43"/>
  <c r="C159" i="43" s="1"/>
  <c r="G158" i="43"/>
  <c r="D158" i="43"/>
  <c r="B158" i="43"/>
  <c r="C158" i="43" s="1"/>
  <c r="G157" i="43"/>
  <c r="D157" i="43"/>
  <c r="B157" i="43"/>
  <c r="C157" i="43" s="1"/>
  <c r="G156" i="43"/>
  <c r="D156" i="43"/>
  <c r="B156" i="43"/>
  <c r="C156" i="43" s="1"/>
  <c r="G155" i="43"/>
  <c r="D155" i="43"/>
  <c r="B155" i="43"/>
  <c r="C155" i="43" s="1"/>
  <c r="G154" i="43"/>
  <c r="D154" i="43"/>
  <c r="B154" i="43"/>
  <c r="C154" i="43" s="1"/>
  <c r="G153" i="43"/>
  <c r="D153" i="43"/>
  <c r="B153" i="43"/>
  <c r="C153" i="43" s="1"/>
  <c r="G152" i="43"/>
  <c r="D152" i="43"/>
  <c r="B152" i="43"/>
  <c r="C152" i="43" s="1"/>
  <c r="G151" i="43"/>
  <c r="D151" i="43"/>
  <c r="B151" i="43"/>
  <c r="C151" i="43" s="1"/>
  <c r="G150" i="43"/>
  <c r="D150" i="43"/>
  <c r="B150" i="43"/>
  <c r="C150" i="43" s="1"/>
  <c r="G149" i="43"/>
  <c r="D149" i="43"/>
  <c r="B149" i="43"/>
  <c r="C149" i="43" s="1"/>
  <c r="G148" i="43"/>
  <c r="D148" i="43"/>
  <c r="B148" i="43"/>
  <c r="C148" i="43" s="1"/>
  <c r="G147" i="43"/>
  <c r="D147" i="43"/>
  <c r="B147" i="43"/>
  <c r="C147" i="43" s="1"/>
  <c r="G146" i="43"/>
  <c r="D146" i="43"/>
  <c r="B146" i="43"/>
  <c r="C146" i="43" s="1"/>
  <c r="G145" i="43"/>
  <c r="D145" i="43"/>
  <c r="B145" i="43"/>
  <c r="C145" i="43" s="1"/>
  <c r="G144" i="43"/>
  <c r="D144" i="43"/>
  <c r="B144" i="43"/>
  <c r="C144" i="43" s="1"/>
  <c r="G143" i="43"/>
  <c r="D143" i="43"/>
  <c r="B143" i="43"/>
  <c r="C143" i="43" s="1"/>
  <c r="G142" i="43"/>
  <c r="D142" i="43"/>
  <c r="B142" i="43"/>
  <c r="C142" i="43" s="1"/>
  <c r="G141" i="43"/>
  <c r="D141" i="43"/>
  <c r="B141" i="43"/>
  <c r="C141" i="43" s="1"/>
  <c r="G140" i="43"/>
  <c r="D140" i="43"/>
  <c r="B140" i="43"/>
  <c r="C140" i="43" s="1"/>
  <c r="G139" i="43"/>
  <c r="D139" i="43"/>
  <c r="B139" i="43"/>
  <c r="C139" i="43" s="1"/>
  <c r="G138" i="43"/>
  <c r="D138" i="43"/>
  <c r="B138" i="43"/>
  <c r="C138" i="43" s="1"/>
  <c r="G137" i="43"/>
  <c r="D137" i="43"/>
  <c r="B137" i="43"/>
  <c r="C137" i="43" s="1"/>
  <c r="G136" i="43"/>
  <c r="D136" i="43"/>
  <c r="B136" i="43"/>
  <c r="C136" i="43" s="1"/>
  <c r="G135" i="43"/>
  <c r="D135" i="43"/>
  <c r="B135" i="43"/>
  <c r="C135" i="43" s="1"/>
  <c r="G134" i="43"/>
  <c r="D134" i="43"/>
  <c r="B134" i="43"/>
  <c r="C134" i="43" s="1"/>
  <c r="G133" i="43"/>
  <c r="D133" i="43"/>
  <c r="B133" i="43"/>
  <c r="C133" i="43" s="1"/>
  <c r="G132" i="43"/>
  <c r="D132" i="43"/>
  <c r="B132" i="43"/>
  <c r="C132" i="43" s="1"/>
  <c r="G131" i="43"/>
  <c r="D131" i="43"/>
  <c r="B131" i="43"/>
  <c r="C131" i="43" s="1"/>
  <c r="G130" i="43"/>
  <c r="D130" i="43"/>
  <c r="B130" i="43"/>
  <c r="C130" i="43" s="1"/>
  <c r="G129" i="43"/>
  <c r="D129" i="43"/>
  <c r="B129" i="43"/>
  <c r="C129" i="43" s="1"/>
  <c r="G128" i="43"/>
  <c r="D128" i="43"/>
  <c r="B128" i="43"/>
  <c r="C128" i="43" s="1"/>
  <c r="G127" i="43"/>
  <c r="D127" i="43"/>
  <c r="B127" i="43"/>
  <c r="C127" i="43" s="1"/>
  <c r="G126" i="43"/>
  <c r="D126" i="43"/>
  <c r="B126" i="43"/>
  <c r="C126" i="43" s="1"/>
  <c r="G125" i="43"/>
  <c r="D125" i="43"/>
  <c r="B125" i="43"/>
  <c r="C125" i="43" s="1"/>
  <c r="G124" i="43"/>
  <c r="D124" i="43"/>
  <c r="B124" i="43"/>
  <c r="C124" i="43" s="1"/>
  <c r="G123" i="43"/>
  <c r="D123" i="43"/>
  <c r="B123" i="43"/>
  <c r="C123" i="43" s="1"/>
  <c r="G122" i="43"/>
  <c r="D122" i="43"/>
  <c r="B122" i="43"/>
  <c r="C122" i="43" s="1"/>
  <c r="G121" i="43"/>
  <c r="D121" i="43"/>
  <c r="B121" i="43"/>
  <c r="C121" i="43" s="1"/>
  <c r="G120" i="43"/>
  <c r="D120" i="43"/>
  <c r="B120" i="43"/>
  <c r="C120" i="43" s="1"/>
  <c r="G119" i="43"/>
  <c r="D119" i="43"/>
  <c r="B119" i="43"/>
  <c r="C119" i="43" s="1"/>
  <c r="G118" i="43"/>
  <c r="D118" i="43"/>
  <c r="B118" i="43"/>
  <c r="C118" i="43" s="1"/>
  <c r="G117" i="43"/>
  <c r="D117" i="43"/>
  <c r="B117" i="43"/>
  <c r="C117" i="43" s="1"/>
  <c r="G116" i="43"/>
  <c r="D116" i="43"/>
  <c r="B116" i="43"/>
  <c r="C116" i="43" s="1"/>
  <c r="G115" i="43"/>
  <c r="D115" i="43"/>
  <c r="B115" i="43"/>
  <c r="C115" i="43" s="1"/>
  <c r="G114" i="43"/>
  <c r="D114" i="43"/>
  <c r="B114" i="43"/>
  <c r="C114" i="43" s="1"/>
  <c r="G113" i="43"/>
  <c r="D113" i="43"/>
  <c r="B113" i="43"/>
  <c r="C113" i="43" s="1"/>
  <c r="G112" i="43"/>
  <c r="D112" i="43"/>
  <c r="B112" i="43"/>
  <c r="C112" i="43" s="1"/>
  <c r="G111" i="43"/>
  <c r="D111" i="43"/>
  <c r="B111" i="43"/>
  <c r="C111" i="43" s="1"/>
  <c r="G110" i="43"/>
  <c r="D110" i="43"/>
  <c r="B110" i="43"/>
  <c r="C110" i="43" s="1"/>
  <c r="G109" i="43"/>
  <c r="D109" i="43"/>
  <c r="B109" i="43"/>
  <c r="C109" i="43" s="1"/>
  <c r="G108" i="43"/>
  <c r="D108" i="43"/>
  <c r="B108" i="43"/>
  <c r="C108" i="43" s="1"/>
  <c r="G107" i="43"/>
  <c r="D107" i="43"/>
  <c r="B107" i="43"/>
  <c r="C107" i="43" s="1"/>
  <c r="G106" i="43"/>
  <c r="D106" i="43"/>
  <c r="B106" i="43"/>
  <c r="C106" i="43" s="1"/>
  <c r="G105" i="43"/>
  <c r="D105" i="43"/>
  <c r="B105" i="43"/>
  <c r="C105" i="43" s="1"/>
  <c r="G104" i="43"/>
  <c r="D104" i="43"/>
  <c r="B104" i="43"/>
  <c r="C104" i="43" s="1"/>
  <c r="G103" i="43"/>
  <c r="D103" i="43"/>
  <c r="B103" i="43"/>
  <c r="C103" i="43" s="1"/>
  <c r="G102" i="43"/>
  <c r="D102" i="43"/>
  <c r="B102" i="43"/>
  <c r="C102" i="43" s="1"/>
  <c r="G101" i="43"/>
  <c r="D101" i="43"/>
  <c r="B101" i="43"/>
  <c r="C101" i="43" s="1"/>
  <c r="G100" i="43"/>
  <c r="D100" i="43"/>
  <c r="B100" i="43"/>
  <c r="C100" i="43" s="1"/>
  <c r="G99" i="43"/>
  <c r="D99" i="43"/>
  <c r="B99" i="43"/>
  <c r="C99" i="43" s="1"/>
  <c r="G98" i="43"/>
  <c r="D98" i="43"/>
  <c r="B98" i="43"/>
  <c r="C98" i="43" s="1"/>
  <c r="G97" i="43"/>
  <c r="D97" i="43"/>
  <c r="B97" i="43"/>
  <c r="C97" i="43" s="1"/>
  <c r="G96" i="43"/>
  <c r="D96" i="43"/>
  <c r="B96" i="43"/>
  <c r="C96" i="43" s="1"/>
  <c r="G95" i="43"/>
  <c r="D95" i="43"/>
  <c r="B95" i="43"/>
  <c r="C95" i="43" s="1"/>
  <c r="G94" i="43"/>
  <c r="D94" i="43"/>
  <c r="B94" i="43"/>
  <c r="C94" i="43" s="1"/>
  <c r="G93" i="43"/>
  <c r="D93" i="43"/>
  <c r="B93" i="43"/>
  <c r="C93" i="43" s="1"/>
  <c r="G92" i="43"/>
  <c r="D92" i="43"/>
  <c r="B92" i="43"/>
  <c r="C92" i="43" s="1"/>
  <c r="G91" i="43"/>
  <c r="D91" i="43"/>
  <c r="B91" i="43"/>
  <c r="C91" i="43" s="1"/>
  <c r="G90" i="43"/>
  <c r="D90" i="43"/>
  <c r="B90" i="43"/>
  <c r="C90" i="43" s="1"/>
  <c r="G89" i="43"/>
  <c r="D89" i="43"/>
  <c r="B89" i="43"/>
  <c r="C89" i="43" s="1"/>
  <c r="G88" i="43"/>
  <c r="D88" i="43"/>
  <c r="B88" i="43"/>
  <c r="C88" i="43" s="1"/>
  <c r="G87" i="43"/>
  <c r="D87" i="43"/>
  <c r="B87" i="43"/>
  <c r="C87" i="43" s="1"/>
  <c r="G86" i="43"/>
  <c r="D86" i="43"/>
  <c r="B86" i="43"/>
  <c r="C86" i="43" s="1"/>
  <c r="G85" i="43"/>
  <c r="D85" i="43"/>
  <c r="B85" i="43"/>
  <c r="C85" i="43" s="1"/>
  <c r="G84" i="43"/>
  <c r="D84" i="43"/>
  <c r="B84" i="43"/>
  <c r="C84" i="43" s="1"/>
  <c r="G83" i="43"/>
  <c r="D83" i="43"/>
  <c r="B83" i="43"/>
  <c r="C83" i="43" s="1"/>
  <c r="G82" i="43"/>
  <c r="D82" i="43"/>
  <c r="B82" i="43"/>
  <c r="C82" i="43" s="1"/>
  <c r="G81" i="43"/>
  <c r="D81" i="43"/>
  <c r="B81" i="43"/>
  <c r="C81" i="43" s="1"/>
  <c r="G80" i="43"/>
  <c r="D80" i="43"/>
  <c r="B80" i="43"/>
  <c r="C80" i="43" s="1"/>
  <c r="G79" i="43"/>
  <c r="D79" i="43"/>
  <c r="B79" i="43"/>
  <c r="C79" i="43" s="1"/>
  <c r="G78" i="43"/>
  <c r="D78" i="43"/>
  <c r="B78" i="43"/>
  <c r="C78" i="43" s="1"/>
  <c r="G77" i="43"/>
  <c r="D77" i="43"/>
  <c r="B77" i="43"/>
  <c r="C77" i="43" s="1"/>
  <c r="G76" i="43"/>
  <c r="D76" i="43"/>
  <c r="B76" i="43"/>
  <c r="C76" i="43" s="1"/>
  <c r="G75" i="43"/>
  <c r="D75" i="43"/>
  <c r="B75" i="43"/>
  <c r="C75" i="43" s="1"/>
  <c r="G74" i="43"/>
  <c r="D74" i="43"/>
  <c r="B74" i="43"/>
  <c r="C74" i="43" s="1"/>
  <c r="G73" i="43"/>
  <c r="D73" i="43"/>
  <c r="B73" i="43"/>
  <c r="C73" i="43" s="1"/>
  <c r="G72" i="43"/>
  <c r="D72" i="43"/>
  <c r="B72" i="43"/>
  <c r="C72" i="43" s="1"/>
  <c r="G71" i="43"/>
  <c r="D71" i="43"/>
  <c r="B71" i="43"/>
  <c r="C71" i="43" s="1"/>
  <c r="G70" i="43"/>
  <c r="D70" i="43"/>
  <c r="B70" i="43"/>
  <c r="C70" i="43" s="1"/>
  <c r="G69" i="43"/>
  <c r="D69" i="43"/>
  <c r="B69" i="43"/>
  <c r="C69" i="43" s="1"/>
  <c r="G68" i="43"/>
  <c r="D68" i="43"/>
  <c r="B68" i="43"/>
  <c r="C68" i="43" s="1"/>
  <c r="G67" i="43"/>
  <c r="D67" i="43"/>
  <c r="B67" i="43"/>
  <c r="C67" i="43" s="1"/>
  <c r="G66" i="43"/>
  <c r="D66" i="43"/>
  <c r="B66" i="43"/>
  <c r="C66" i="43" s="1"/>
  <c r="G65" i="43"/>
  <c r="D65" i="43"/>
  <c r="B65" i="43"/>
  <c r="C65" i="43" s="1"/>
  <c r="G64" i="43"/>
  <c r="D64" i="43"/>
  <c r="B64" i="43"/>
  <c r="C64" i="43" s="1"/>
  <c r="G63" i="43"/>
  <c r="D63" i="43"/>
  <c r="B63" i="43"/>
  <c r="C63" i="43" s="1"/>
  <c r="G62" i="43"/>
  <c r="D62" i="43"/>
  <c r="B62" i="43"/>
  <c r="C62" i="43" s="1"/>
  <c r="G61" i="43"/>
  <c r="D61" i="43"/>
  <c r="B61" i="43"/>
  <c r="C61" i="43" s="1"/>
  <c r="G60" i="43"/>
  <c r="D60" i="43"/>
  <c r="B60" i="43"/>
  <c r="C60" i="43" s="1"/>
  <c r="G59" i="43"/>
  <c r="D59" i="43"/>
  <c r="B59" i="43"/>
  <c r="C59" i="43" s="1"/>
  <c r="G58" i="43"/>
  <c r="D58" i="43"/>
  <c r="B58" i="43"/>
  <c r="C58" i="43" s="1"/>
  <c r="G57" i="43"/>
  <c r="D57" i="43"/>
  <c r="B57" i="43"/>
  <c r="C57" i="43" s="1"/>
  <c r="G56" i="43"/>
  <c r="D56" i="43"/>
  <c r="B56" i="43"/>
  <c r="C56" i="43" s="1"/>
  <c r="G55" i="43"/>
  <c r="D55" i="43"/>
  <c r="B55" i="43"/>
  <c r="C55" i="43" s="1"/>
  <c r="G54" i="43"/>
  <c r="D54" i="43"/>
  <c r="B54" i="43"/>
  <c r="C54" i="43" s="1"/>
  <c r="G53" i="43"/>
  <c r="D53" i="43"/>
  <c r="B53" i="43"/>
  <c r="C53" i="43" s="1"/>
  <c r="G52" i="43"/>
  <c r="D52" i="43"/>
  <c r="B52" i="43"/>
  <c r="C52" i="43" s="1"/>
  <c r="G51" i="43"/>
  <c r="D51" i="43"/>
  <c r="B51" i="43"/>
  <c r="C51" i="43" s="1"/>
  <c r="G50" i="43"/>
  <c r="D50" i="43"/>
  <c r="B50" i="43"/>
  <c r="C50" i="43" s="1"/>
  <c r="G49" i="43"/>
  <c r="D49" i="43"/>
  <c r="B49" i="43"/>
  <c r="C49" i="43" s="1"/>
  <c r="G48" i="43"/>
  <c r="D48" i="43"/>
  <c r="B48" i="43"/>
  <c r="C48" i="43" s="1"/>
  <c r="G47" i="43"/>
  <c r="D47" i="43"/>
  <c r="B47" i="43"/>
  <c r="C47" i="43" s="1"/>
  <c r="G46" i="43"/>
  <c r="D46" i="43"/>
  <c r="B46" i="43"/>
  <c r="C46" i="43" s="1"/>
  <c r="G45" i="43"/>
  <c r="D45" i="43"/>
  <c r="B45" i="43"/>
  <c r="C45" i="43" s="1"/>
  <c r="G44" i="43"/>
  <c r="D44" i="43"/>
  <c r="B44" i="43"/>
  <c r="C44" i="43" s="1"/>
  <c r="G43" i="43"/>
  <c r="D43" i="43"/>
  <c r="B43" i="43"/>
  <c r="C43" i="43" s="1"/>
  <c r="G42" i="43"/>
  <c r="D42" i="43"/>
  <c r="B42" i="43"/>
  <c r="C42" i="43" s="1"/>
  <c r="G41" i="43"/>
  <c r="D41" i="43"/>
  <c r="B41" i="43"/>
  <c r="C41" i="43" s="1"/>
  <c r="G40" i="43"/>
  <c r="D40" i="43"/>
  <c r="B40" i="43"/>
  <c r="C40" i="43" s="1"/>
  <c r="G39" i="43"/>
  <c r="D39" i="43"/>
  <c r="B39" i="43"/>
  <c r="C39" i="43" s="1"/>
  <c r="G38" i="43"/>
  <c r="D38" i="43"/>
  <c r="B38" i="43"/>
  <c r="C38" i="43" s="1"/>
  <c r="G37" i="43"/>
  <c r="D37" i="43"/>
  <c r="B37" i="43"/>
  <c r="C37" i="43" s="1"/>
  <c r="G36" i="43"/>
  <c r="D36" i="43"/>
  <c r="B36" i="43"/>
  <c r="C36" i="43" s="1"/>
  <c r="G35" i="43"/>
  <c r="D35" i="43"/>
  <c r="B35" i="43"/>
  <c r="C35" i="43" s="1"/>
  <c r="G34" i="43"/>
  <c r="D34" i="43"/>
  <c r="B34" i="43"/>
  <c r="C34" i="43" s="1"/>
  <c r="G33" i="43"/>
  <c r="D33" i="43"/>
  <c r="B33" i="43"/>
  <c r="C33" i="43" s="1"/>
  <c r="G32" i="43"/>
  <c r="D32" i="43"/>
  <c r="B32" i="43"/>
  <c r="C32" i="43" s="1"/>
  <c r="G31" i="43"/>
  <c r="D31" i="43"/>
  <c r="B31" i="43"/>
  <c r="C31" i="43" s="1"/>
  <c r="G30" i="43"/>
  <c r="D30" i="43"/>
  <c r="B30" i="43"/>
  <c r="C30" i="43" s="1"/>
  <c r="G29" i="43"/>
  <c r="D29" i="43"/>
  <c r="B29" i="43"/>
  <c r="C29" i="43" s="1"/>
  <c r="G28" i="43"/>
  <c r="D28" i="43"/>
  <c r="B28" i="43"/>
  <c r="C28" i="43" s="1"/>
  <c r="G27" i="43"/>
  <c r="D27" i="43"/>
  <c r="B27" i="43"/>
  <c r="C27" i="43" s="1"/>
  <c r="G26" i="43"/>
  <c r="D26" i="43"/>
  <c r="B26" i="43"/>
  <c r="C26" i="43" s="1"/>
  <c r="G25" i="43"/>
  <c r="D25" i="43"/>
  <c r="B25" i="43"/>
  <c r="C25" i="43" s="1"/>
  <c r="G24" i="43"/>
  <c r="D24" i="43"/>
  <c r="B24" i="43"/>
  <c r="C24" i="43" s="1"/>
  <c r="G23" i="43"/>
  <c r="D23" i="43"/>
  <c r="B23" i="43"/>
  <c r="C23" i="43" s="1"/>
  <c r="G22" i="43"/>
  <c r="D22" i="43"/>
  <c r="B22" i="43"/>
  <c r="C22" i="43" s="1"/>
  <c r="G21" i="43"/>
  <c r="D21" i="43"/>
  <c r="B21" i="43"/>
  <c r="C21" i="43" s="1"/>
  <c r="G20" i="43"/>
  <c r="D20" i="43"/>
  <c r="B20" i="43"/>
  <c r="C20" i="43" s="1"/>
  <c r="G19" i="43"/>
  <c r="D19" i="43"/>
  <c r="B19" i="43"/>
  <c r="C19" i="43" s="1"/>
  <c r="G18" i="43"/>
  <c r="D18" i="43"/>
  <c r="B18" i="43"/>
  <c r="C18" i="43" s="1"/>
  <c r="G17" i="43"/>
  <c r="D17" i="43"/>
  <c r="B17" i="43"/>
  <c r="C17" i="43" s="1"/>
  <c r="G16" i="43"/>
  <c r="D16" i="43"/>
  <c r="B16" i="43"/>
  <c r="C16" i="43" s="1"/>
  <c r="G15" i="43"/>
  <c r="D15" i="43"/>
  <c r="B15" i="43"/>
  <c r="C15" i="43" s="1"/>
  <c r="G14" i="43"/>
  <c r="D14" i="43"/>
  <c r="B14" i="43"/>
  <c r="C14" i="43" s="1"/>
  <c r="G13" i="43"/>
  <c r="D13" i="43"/>
  <c r="B13" i="43"/>
  <c r="C13" i="43" s="1"/>
  <c r="G12" i="43"/>
  <c r="D12" i="43"/>
  <c r="B12" i="43"/>
  <c r="C12" i="43" s="1"/>
  <c r="G11" i="43"/>
  <c r="D11" i="43"/>
  <c r="B11" i="43"/>
  <c r="C11" i="43" s="1"/>
  <c r="G10" i="43"/>
  <c r="D10" i="43"/>
  <c r="B10" i="43"/>
  <c r="C10" i="43" s="1"/>
  <c r="G9" i="43"/>
  <c r="D9" i="43"/>
  <c r="B9" i="43"/>
  <c r="C9" i="43" s="1"/>
  <c r="G8" i="43"/>
  <c r="D8" i="43"/>
  <c r="B8" i="43"/>
  <c r="C8" i="43" s="1"/>
  <c r="G7" i="43"/>
  <c r="D7" i="43"/>
  <c r="B7" i="43"/>
  <c r="C7" i="43" s="1"/>
  <c r="BT86" i="33"/>
  <c r="BT84" i="33"/>
  <c r="BN79" i="33"/>
  <c r="AL79" i="33"/>
  <c r="BM51" i="33"/>
  <c r="BL51" i="33"/>
  <c r="BK51" i="33"/>
  <c r="BJ51" i="33"/>
  <c r="BI51" i="33"/>
  <c r="BH51" i="33"/>
  <c r="BG51" i="33"/>
  <c r="BF51" i="33"/>
  <c r="BD51" i="33"/>
  <c r="BC51" i="33"/>
  <c r="BB51" i="33"/>
  <c r="BA51" i="33"/>
  <c r="AZ51" i="33"/>
  <c r="AY51" i="33"/>
  <c r="AX51" i="33"/>
  <c r="AW51" i="33"/>
  <c r="AV51" i="33"/>
  <c r="AU51" i="33"/>
  <c r="AT51" i="33"/>
  <c r="AS51" i="33"/>
  <c r="BQ49" i="33"/>
  <c r="BQ71" i="33" s="1"/>
  <c r="BP49" i="33"/>
  <c r="BP66" i="33" s="1"/>
  <c r="BO49" i="33"/>
  <c r="BO57" i="33" s="1"/>
  <c r="BM49" i="33"/>
  <c r="BL49" i="33"/>
  <c r="BL79" i="33" s="1"/>
  <c r="BK49" i="33"/>
  <c r="BJ49" i="33"/>
  <c r="BI49" i="33"/>
  <c r="BH49" i="33"/>
  <c r="BG49" i="33"/>
  <c r="BG53" i="33" s="1"/>
  <c r="BF49" i="33"/>
  <c r="BD49" i="33"/>
  <c r="BC49" i="33"/>
  <c r="BB49" i="33"/>
  <c r="BA49" i="33"/>
  <c r="BA79" i="33" s="1"/>
  <c r="AZ49" i="33"/>
  <c r="AY49" i="33"/>
  <c r="AX49" i="33"/>
  <c r="AX76" i="33" s="1"/>
  <c r="AW49" i="33"/>
  <c r="AV49" i="33"/>
  <c r="AU49" i="33"/>
  <c r="AT49" i="33"/>
  <c r="BQ48" i="33"/>
  <c r="BP48" i="33"/>
  <c r="BO48" i="33"/>
  <c r="BF48" i="33"/>
  <c r="BD48" i="33"/>
  <c r="BC48" i="33"/>
  <c r="BB48" i="33"/>
  <c r="BA48" i="33"/>
  <c r="AZ48" i="33"/>
  <c r="AY48" i="33"/>
  <c r="AX48" i="33"/>
  <c r="AW48" i="33"/>
  <c r="AV48" i="33"/>
  <c r="AU48" i="33"/>
  <c r="AT48" i="33"/>
  <c r="BT40" i="33"/>
  <c r="BT38" i="33"/>
  <c r="BQ33" i="33"/>
  <c r="BP33" i="33"/>
  <c r="BO33" i="33"/>
  <c r="BN33" i="33"/>
  <c r="BM33" i="33"/>
  <c r="BL33" i="33"/>
  <c r="BK33" i="33"/>
  <c r="BJ33" i="33"/>
  <c r="BI33" i="33"/>
  <c r="BH33" i="33"/>
  <c r="BG33" i="33"/>
  <c r="BF33" i="33"/>
  <c r="BE33" i="33"/>
  <c r="BD33" i="33"/>
  <c r="BC33" i="33"/>
  <c r="BB33" i="33"/>
  <c r="BA33" i="33"/>
  <c r="AZ33" i="33"/>
  <c r="AY33" i="33"/>
  <c r="AX33" i="33"/>
  <c r="AW33" i="33"/>
  <c r="AV33" i="33"/>
  <c r="AU33" i="33"/>
  <c r="AT33" i="33"/>
  <c r="AL33" i="33"/>
  <c r="F619" i="43" s="1"/>
  <c r="BQ32" i="33"/>
  <c r="BP32" i="33"/>
  <c r="BO32" i="33"/>
  <c r="BM32" i="33"/>
  <c r="BL32" i="33"/>
  <c r="BK32" i="33"/>
  <c r="BJ32" i="33"/>
  <c r="BI32" i="33"/>
  <c r="BH32" i="33"/>
  <c r="BG32" i="33"/>
  <c r="BF32" i="33"/>
  <c r="BD32" i="33"/>
  <c r="BC32" i="33"/>
  <c r="BB32" i="33"/>
  <c r="BA32" i="33"/>
  <c r="AZ32" i="33"/>
  <c r="AY32" i="33"/>
  <c r="AX32" i="33"/>
  <c r="AW32" i="33"/>
  <c r="AV32" i="33"/>
  <c r="AU32" i="33"/>
  <c r="AT32" i="33"/>
  <c r="BQ31" i="33"/>
  <c r="BP31" i="33"/>
  <c r="BO31" i="33"/>
  <c r="BM31" i="33"/>
  <c r="BL31" i="33"/>
  <c r="BK31" i="33"/>
  <c r="BJ31" i="33"/>
  <c r="BI31" i="33"/>
  <c r="BH31" i="33"/>
  <c r="BG31" i="33"/>
  <c r="BF31" i="33"/>
  <c r="BD31" i="33"/>
  <c r="BC31" i="33"/>
  <c r="BB31" i="33"/>
  <c r="BA31" i="33"/>
  <c r="AZ31" i="33"/>
  <c r="AY31" i="33"/>
  <c r="AX31" i="33"/>
  <c r="AW31" i="33"/>
  <c r="AV31" i="33"/>
  <c r="AU31" i="33"/>
  <c r="AT31" i="33"/>
  <c r="BQ30" i="33"/>
  <c r="BP30" i="33"/>
  <c r="BO30" i="33"/>
  <c r="BM30" i="33"/>
  <c r="BL30" i="33"/>
  <c r="BK30" i="33"/>
  <c r="BJ30" i="33"/>
  <c r="BI30" i="33"/>
  <c r="BH30" i="33"/>
  <c r="BG30" i="33"/>
  <c r="BF30" i="33"/>
  <c r="BD30" i="33"/>
  <c r="BC30" i="33"/>
  <c r="BB30" i="33"/>
  <c r="BA30" i="33"/>
  <c r="AZ30" i="33"/>
  <c r="AY30" i="33"/>
  <c r="AX30" i="33"/>
  <c r="AW30" i="33"/>
  <c r="AV30" i="33"/>
  <c r="AU30" i="33"/>
  <c r="AT30" i="33"/>
  <c r="BQ29" i="33"/>
  <c r="BP29" i="33"/>
  <c r="BO29" i="33"/>
  <c r="BM29" i="33"/>
  <c r="BL29" i="33"/>
  <c r="BK29" i="33"/>
  <c r="BJ29" i="33"/>
  <c r="BI29" i="33"/>
  <c r="BH29" i="33"/>
  <c r="BG29" i="33"/>
  <c r="BF29" i="33"/>
  <c r="BD29" i="33"/>
  <c r="BC29" i="33"/>
  <c r="BB29" i="33"/>
  <c r="BA29" i="33"/>
  <c r="AZ29" i="33"/>
  <c r="AY29" i="33"/>
  <c r="AX29" i="33"/>
  <c r="AW29" i="33"/>
  <c r="AV29" i="33"/>
  <c r="AU29" i="33"/>
  <c r="AT29" i="33"/>
  <c r="BQ28" i="33"/>
  <c r="BP28" i="33"/>
  <c r="BO28" i="33"/>
  <c r="BM28" i="33"/>
  <c r="BL28" i="33"/>
  <c r="BK28" i="33"/>
  <c r="BJ28" i="33"/>
  <c r="BI28" i="33"/>
  <c r="BH28" i="33"/>
  <c r="BG28" i="33"/>
  <c r="BF28" i="33"/>
  <c r="BD28" i="33"/>
  <c r="BC28" i="33"/>
  <c r="BB28" i="33"/>
  <c r="BA28" i="33"/>
  <c r="AZ28" i="33"/>
  <c r="AY28" i="33"/>
  <c r="AX28" i="33"/>
  <c r="AW28" i="33"/>
  <c r="AV28" i="33"/>
  <c r="AU28" i="33"/>
  <c r="AT28" i="33"/>
  <c r="BQ27" i="33"/>
  <c r="BP27" i="33"/>
  <c r="BO27" i="33"/>
  <c r="BM27" i="33"/>
  <c r="BL27" i="33"/>
  <c r="BK27" i="33"/>
  <c r="BJ27" i="33"/>
  <c r="BI27" i="33"/>
  <c r="BH27" i="33"/>
  <c r="BG27" i="33"/>
  <c r="BF27" i="33"/>
  <c r="BD27" i="33"/>
  <c r="BC27" i="33"/>
  <c r="BB27" i="33"/>
  <c r="BA27" i="33"/>
  <c r="AZ27" i="33"/>
  <c r="AY27" i="33"/>
  <c r="AX27" i="33"/>
  <c r="AW27" i="33"/>
  <c r="AV27" i="33"/>
  <c r="AU27" i="33"/>
  <c r="AT27" i="33"/>
  <c r="BQ26" i="33"/>
  <c r="BP26" i="33"/>
  <c r="BO26" i="33"/>
  <c r="BM26" i="33"/>
  <c r="BL26" i="33"/>
  <c r="BK26" i="33"/>
  <c r="BJ26" i="33"/>
  <c r="BI26" i="33"/>
  <c r="BH26" i="33"/>
  <c r="BG26" i="33"/>
  <c r="BF26" i="33"/>
  <c r="BD26" i="33"/>
  <c r="BC26" i="33"/>
  <c r="BB26" i="33"/>
  <c r="BA26" i="33"/>
  <c r="AZ26" i="33"/>
  <c r="AY26" i="33"/>
  <c r="AX26" i="33"/>
  <c r="AW26" i="33"/>
  <c r="AV26" i="33"/>
  <c r="AU26" i="33"/>
  <c r="AT26" i="33"/>
  <c r="BQ25" i="33"/>
  <c r="BP25" i="33"/>
  <c r="BO25" i="33"/>
  <c r="BM25" i="33"/>
  <c r="BL25" i="33"/>
  <c r="BK25" i="33"/>
  <c r="BJ25" i="33"/>
  <c r="BI25" i="33"/>
  <c r="BH25" i="33"/>
  <c r="BG25" i="33"/>
  <c r="BF25" i="33"/>
  <c r="BD25" i="33"/>
  <c r="BC25" i="33"/>
  <c r="BB25" i="33"/>
  <c r="BA25" i="33"/>
  <c r="AZ25" i="33"/>
  <c r="AY25" i="33"/>
  <c r="AX25" i="33"/>
  <c r="AW25" i="33"/>
  <c r="AV25" i="33"/>
  <c r="AU25" i="33"/>
  <c r="AT25" i="33"/>
  <c r="BQ24" i="33"/>
  <c r="BP24" i="33"/>
  <c r="BO24" i="33"/>
  <c r="BM24" i="33"/>
  <c r="BL24" i="33"/>
  <c r="BK24" i="33"/>
  <c r="BJ24" i="33"/>
  <c r="BI24" i="33"/>
  <c r="BH24" i="33"/>
  <c r="BG24" i="33"/>
  <c r="BF24" i="33"/>
  <c r="BD24" i="33"/>
  <c r="BC24" i="33"/>
  <c r="BB24" i="33"/>
  <c r="BA24" i="33"/>
  <c r="AZ24" i="33"/>
  <c r="AY24" i="33"/>
  <c r="AX24" i="33"/>
  <c r="AW24" i="33"/>
  <c r="AV24" i="33"/>
  <c r="AU24" i="33"/>
  <c r="AT24" i="33"/>
  <c r="BQ23" i="33"/>
  <c r="BP23" i="33"/>
  <c r="BO23" i="33"/>
  <c r="BM23" i="33"/>
  <c r="BL23" i="33"/>
  <c r="BK23" i="33"/>
  <c r="BJ23" i="33"/>
  <c r="BI23" i="33"/>
  <c r="BH23" i="33"/>
  <c r="BG23" i="33"/>
  <c r="BF23" i="33"/>
  <c r="BD23" i="33"/>
  <c r="BC23" i="33"/>
  <c r="BB23" i="33"/>
  <c r="BA23" i="33"/>
  <c r="AZ23" i="33"/>
  <c r="AY23" i="33"/>
  <c r="AX23" i="33"/>
  <c r="AW23" i="33"/>
  <c r="AV23" i="33"/>
  <c r="AU23" i="33"/>
  <c r="AT23" i="33"/>
  <c r="BQ22" i="33"/>
  <c r="BP22" i="33"/>
  <c r="BO22" i="33"/>
  <c r="BM22" i="33"/>
  <c r="BL22" i="33"/>
  <c r="BK22" i="33"/>
  <c r="BJ22" i="33"/>
  <c r="BI22" i="33"/>
  <c r="BH22" i="33"/>
  <c r="BG22" i="33"/>
  <c r="BF22" i="33"/>
  <c r="BD22" i="33"/>
  <c r="BC22" i="33"/>
  <c r="BB22" i="33"/>
  <c r="BA22" i="33"/>
  <c r="AZ22" i="33"/>
  <c r="AY22" i="33"/>
  <c r="AX22" i="33"/>
  <c r="AW22" i="33"/>
  <c r="AV22" i="33"/>
  <c r="AU22" i="33"/>
  <c r="AT22" i="33"/>
  <c r="BQ21" i="33"/>
  <c r="BP21" i="33"/>
  <c r="BO21" i="33"/>
  <c r="BM21" i="33"/>
  <c r="BL21" i="33"/>
  <c r="BK21" i="33"/>
  <c r="BJ21" i="33"/>
  <c r="BI21" i="33"/>
  <c r="BH21" i="33"/>
  <c r="BG21" i="33"/>
  <c r="BF21" i="33"/>
  <c r="BD21" i="33"/>
  <c r="BC21" i="33"/>
  <c r="BB21" i="33"/>
  <c r="BA21" i="33"/>
  <c r="AZ21" i="33"/>
  <c r="AY21" i="33"/>
  <c r="AX21" i="33"/>
  <c r="AW21" i="33"/>
  <c r="AV21" i="33"/>
  <c r="AU21" i="33"/>
  <c r="AT21" i="33"/>
  <c r="BQ20" i="33"/>
  <c r="BP20" i="33"/>
  <c r="BO20" i="33"/>
  <c r="BM20" i="33"/>
  <c r="BL20" i="33"/>
  <c r="BK20" i="33"/>
  <c r="BJ20" i="33"/>
  <c r="BI20" i="33"/>
  <c r="BH20" i="33"/>
  <c r="BG20" i="33"/>
  <c r="BF20" i="33"/>
  <c r="BD20" i="33"/>
  <c r="BC20" i="33"/>
  <c r="BB20" i="33"/>
  <c r="BA20" i="33"/>
  <c r="AZ20" i="33"/>
  <c r="AY20" i="33"/>
  <c r="AX20" i="33"/>
  <c r="AW20" i="33"/>
  <c r="AV20" i="33"/>
  <c r="AU20" i="33"/>
  <c r="AT20" i="33"/>
  <c r="BQ19" i="33"/>
  <c r="BP19" i="33"/>
  <c r="BO19" i="33"/>
  <c r="BM19" i="33"/>
  <c r="BL19" i="33"/>
  <c r="BK19" i="33"/>
  <c r="BJ19" i="33"/>
  <c r="BI19" i="33"/>
  <c r="BH19" i="33"/>
  <c r="BG19" i="33"/>
  <c r="BF19" i="33"/>
  <c r="BD19" i="33"/>
  <c r="BC19" i="33"/>
  <c r="BB19" i="33"/>
  <c r="BA19" i="33"/>
  <c r="AZ19" i="33"/>
  <c r="AY19" i="33"/>
  <c r="AX19" i="33"/>
  <c r="AW19" i="33"/>
  <c r="AV19" i="33"/>
  <c r="AU19" i="33"/>
  <c r="AT19" i="33"/>
  <c r="BQ18" i="33"/>
  <c r="BP18" i="33"/>
  <c r="BO18" i="33"/>
  <c r="BM18" i="33"/>
  <c r="BL18" i="33"/>
  <c r="BK18" i="33"/>
  <c r="BJ18" i="33"/>
  <c r="BI18" i="33"/>
  <c r="BH18" i="33"/>
  <c r="BG18" i="33"/>
  <c r="BF18" i="33"/>
  <c r="BD18" i="33"/>
  <c r="BC18" i="33"/>
  <c r="BB18" i="33"/>
  <c r="BA18" i="33"/>
  <c r="AZ18" i="33"/>
  <c r="AY18" i="33"/>
  <c r="AX18" i="33"/>
  <c r="AW18" i="33"/>
  <c r="AV18" i="33"/>
  <c r="AU18" i="33"/>
  <c r="AT18" i="33"/>
  <c r="BQ17" i="33"/>
  <c r="BP17" i="33"/>
  <c r="BO17" i="33"/>
  <c r="BM17" i="33"/>
  <c r="BL17" i="33"/>
  <c r="BK17" i="33"/>
  <c r="BJ17" i="33"/>
  <c r="BI17" i="33"/>
  <c r="BH17" i="33"/>
  <c r="BG17" i="33"/>
  <c r="BF17" i="33"/>
  <c r="BD17" i="33"/>
  <c r="BC17" i="33"/>
  <c r="BB17" i="33"/>
  <c r="BA17" i="33"/>
  <c r="AZ17" i="33"/>
  <c r="AY17" i="33"/>
  <c r="AX17" i="33"/>
  <c r="AW17" i="33"/>
  <c r="AV17" i="33"/>
  <c r="AU17" i="33"/>
  <c r="AT17" i="33"/>
  <c r="BQ16" i="33"/>
  <c r="BP16" i="33"/>
  <c r="BO16" i="33"/>
  <c r="BM16" i="33"/>
  <c r="BL16" i="33"/>
  <c r="BK16" i="33"/>
  <c r="BJ16" i="33"/>
  <c r="BI16" i="33"/>
  <c r="BH16" i="33"/>
  <c r="BG16" i="33"/>
  <c r="BF16" i="33"/>
  <c r="BD16" i="33"/>
  <c r="BC16" i="33"/>
  <c r="BB16" i="33"/>
  <c r="BA16" i="33"/>
  <c r="AZ16" i="33"/>
  <c r="AY16" i="33"/>
  <c r="AX16" i="33"/>
  <c r="AW16" i="33"/>
  <c r="AV16" i="33"/>
  <c r="AU16" i="33"/>
  <c r="AT16" i="33"/>
  <c r="BQ15" i="33"/>
  <c r="BP15" i="33"/>
  <c r="BO15" i="33"/>
  <c r="BM15" i="33"/>
  <c r="BL15" i="33"/>
  <c r="BK15" i="33"/>
  <c r="BJ15" i="33"/>
  <c r="BI15" i="33"/>
  <c r="BH15" i="33"/>
  <c r="BG15" i="33"/>
  <c r="BF15" i="33"/>
  <c r="BD15" i="33"/>
  <c r="BC15" i="33"/>
  <c r="BB15" i="33"/>
  <c r="BA15" i="33"/>
  <c r="AZ15" i="33"/>
  <c r="AY15" i="33"/>
  <c r="AX15" i="33"/>
  <c r="AW15" i="33"/>
  <c r="AV15" i="33"/>
  <c r="AU15" i="33"/>
  <c r="AT15" i="33"/>
  <c r="BQ14" i="33"/>
  <c r="BP14" i="33"/>
  <c r="BO14" i="33"/>
  <c r="BM14" i="33"/>
  <c r="BL14" i="33"/>
  <c r="BK14" i="33"/>
  <c r="BJ14" i="33"/>
  <c r="BI14" i="33"/>
  <c r="BH14" i="33"/>
  <c r="BG14" i="33"/>
  <c r="BF14" i="33"/>
  <c r="BD14" i="33"/>
  <c r="BC14" i="33"/>
  <c r="BB14" i="33"/>
  <c r="BA14" i="33"/>
  <c r="AZ14" i="33"/>
  <c r="AY14" i="33"/>
  <c r="AX14" i="33"/>
  <c r="AW14" i="33"/>
  <c r="AV14" i="33"/>
  <c r="AU14" i="33"/>
  <c r="AT14" i="33"/>
  <c r="BQ13" i="33"/>
  <c r="BP13" i="33"/>
  <c r="BO13" i="33"/>
  <c r="BM13" i="33"/>
  <c r="BL13" i="33"/>
  <c r="BK13" i="33"/>
  <c r="BJ13" i="33"/>
  <c r="BI13" i="33"/>
  <c r="BH13" i="33"/>
  <c r="BG13" i="33"/>
  <c r="BF13" i="33"/>
  <c r="BD13" i="33"/>
  <c r="BC13" i="33"/>
  <c r="BB13" i="33"/>
  <c r="BA13" i="33"/>
  <c r="AZ13" i="33"/>
  <c r="AY13" i="33"/>
  <c r="AX13" i="33"/>
  <c r="AW13" i="33"/>
  <c r="AV13" i="33"/>
  <c r="AU13" i="33"/>
  <c r="AT13" i="33"/>
  <c r="BQ12" i="33"/>
  <c r="BP12" i="33"/>
  <c r="BO12" i="33"/>
  <c r="BM12" i="33"/>
  <c r="BL12" i="33"/>
  <c r="BK12" i="33"/>
  <c r="BJ12" i="33"/>
  <c r="BI12" i="33"/>
  <c r="BH12" i="33"/>
  <c r="BG12" i="33"/>
  <c r="BF12" i="33"/>
  <c r="BD12" i="33"/>
  <c r="BC12" i="33"/>
  <c r="BB12" i="33"/>
  <c r="BA12" i="33"/>
  <c r="AZ12" i="33"/>
  <c r="AY12" i="33"/>
  <c r="AX12" i="33"/>
  <c r="AW12" i="33"/>
  <c r="AV12" i="33"/>
  <c r="AU12" i="33"/>
  <c r="AT12" i="33"/>
  <c r="BQ11" i="33"/>
  <c r="BP11" i="33"/>
  <c r="BO11" i="33"/>
  <c r="BM11" i="33"/>
  <c r="BL11" i="33"/>
  <c r="BK11" i="33"/>
  <c r="BJ11" i="33"/>
  <c r="BI11" i="33"/>
  <c r="BH11" i="33"/>
  <c r="BG11" i="33"/>
  <c r="BF11" i="33"/>
  <c r="BD11" i="33"/>
  <c r="BC11" i="33"/>
  <c r="BB11" i="33"/>
  <c r="BA11" i="33"/>
  <c r="AZ11" i="33"/>
  <c r="AY11" i="33"/>
  <c r="AX11" i="33"/>
  <c r="AW11" i="33"/>
  <c r="AV11" i="33"/>
  <c r="AU11" i="33"/>
  <c r="AT11" i="33"/>
  <c r="BQ10" i="33"/>
  <c r="BP10" i="33"/>
  <c r="BO10" i="33"/>
  <c r="BM10" i="33"/>
  <c r="BL10" i="33"/>
  <c r="BK10" i="33"/>
  <c r="BJ10" i="33"/>
  <c r="BI10" i="33"/>
  <c r="BH10" i="33"/>
  <c r="BG10" i="33"/>
  <c r="BF10" i="33"/>
  <c r="BD10" i="33"/>
  <c r="BC10" i="33"/>
  <c r="BB10" i="33"/>
  <c r="BA10" i="33"/>
  <c r="AZ10" i="33"/>
  <c r="AY10" i="33"/>
  <c r="AX10" i="33"/>
  <c r="AW10" i="33"/>
  <c r="AV10" i="33"/>
  <c r="AU10" i="33"/>
  <c r="AT10" i="33"/>
  <c r="AS9" i="33"/>
  <c r="C78" i="35"/>
  <c r="C77" i="35"/>
  <c r="C76" i="35"/>
  <c r="C75" i="35"/>
  <c r="C74" i="35"/>
  <c r="C73" i="35"/>
  <c r="C72" i="35"/>
  <c r="C71" i="35"/>
  <c r="C70" i="35"/>
  <c r="C69" i="35"/>
  <c r="C68" i="35"/>
  <c r="C67" i="35"/>
  <c r="C66" i="35"/>
  <c r="C65" i="35"/>
  <c r="C64" i="35"/>
  <c r="C63" i="35"/>
  <c r="C62" i="35"/>
  <c r="C61" i="35"/>
  <c r="C60" i="35"/>
  <c r="C59" i="35"/>
  <c r="C58" i="35"/>
  <c r="C57" i="35"/>
  <c r="C56" i="35"/>
  <c r="C55" i="35"/>
  <c r="C54" i="35"/>
  <c r="C53" i="35"/>
  <c r="C52" i="35"/>
  <c r="C32" i="35"/>
  <c r="C31" i="35"/>
  <c r="C30" i="35"/>
  <c r="C29" i="35"/>
  <c r="C28" i="35"/>
  <c r="BV27" i="35"/>
  <c r="C27" i="35"/>
  <c r="C26" i="35"/>
  <c r="C25" i="35"/>
  <c r="C24" i="35"/>
  <c r="C23" i="35"/>
  <c r="C22" i="35"/>
  <c r="C21" i="35"/>
  <c r="C20" i="35"/>
  <c r="C19" i="35"/>
  <c r="C18" i="35"/>
  <c r="C17" i="35"/>
  <c r="C16" i="35"/>
  <c r="C15" i="35"/>
  <c r="C14" i="35"/>
  <c r="C13" i="35"/>
  <c r="C12" i="35"/>
  <c r="C11" i="35"/>
  <c r="C10" i="35"/>
  <c r="BQ9" i="35"/>
  <c r="BP9" i="35"/>
  <c r="BO9" i="35"/>
  <c r="BM9" i="35"/>
  <c r="BL9" i="35"/>
  <c r="BK9" i="35"/>
  <c r="BJ9" i="35"/>
  <c r="BI9" i="35"/>
  <c r="BH9" i="35"/>
  <c r="BG9" i="35"/>
  <c r="BF9" i="35"/>
  <c r="BD9" i="35"/>
  <c r="BC9" i="35"/>
  <c r="BB9" i="35"/>
  <c r="BA9" i="35"/>
  <c r="AZ9" i="35"/>
  <c r="AY9" i="35"/>
  <c r="AX9" i="35"/>
  <c r="AW9" i="35"/>
  <c r="AV9" i="35"/>
  <c r="AU9" i="35"/>
  <c r="AT9" i="35"/>
  <c r="BQ7" i="35"/>
  <c r="BP7" i="35"/>
  <c r="BO7" i="35"/>
  <c r="BM7" i="35"/>
  <c r="BL7" i="35"/>
  <c r="BK7" i="35"/>
  <c r="BJ7" i="35"/>
  <c r="BI7" i="35"/>
  <c r="BH7" i="35"/>
  <c r="BG7" i="35"/>
  <c r="BF7" i="35"/>
  <c r="BD7" i="35"/>
  <c r="BC7" i="35"/>
  <c r="BB7" i="35"/>
  <c r="BA7" i="35"/>
  <c r="AZ7" i="35"/>
  <c r="AY7" i="35"/>
  <c r="AX7" i="35"/>
  <c r="AW7" i="35"/>
  <c r="AV7" i="35"/>
  <c r="AU7" i="35"/>
  <c r="AT7" i="35"/>
  <c r="BQ6" i="35"/>
  <c r="BP6" i="35"/>
  <c r="BU25" i="35" s="1"/>
  <c r="BV25" i="35" s="1"/>
  <c r="BO6" i="35"/>
  <c r="BU24" i="35" s="1"/>
  <c r="BV24" i="35" s="1"/>
  <c r="BF6" i="35"/>
  <c r="BU23" i="35" s="1"/>
  <c r="BV23" i="35" s="1"/>
  <c r="BD6" i="35"/>
  <c r="BC6" i="35"/>
  <c r="BU22" i="35" s="1"/>
  <c r="BV22" i="35" s="1"/>
  <c r="BB6" i="35"/>
  <c r="BU21" i="35" s="1"/>
  <c r="BV21" i="35" s="1"/>
  <c r="BA6" i="35"/>
  <c r="BU20" i="35" s="1"/>
  <c r="BV20" i="35" s="1"/>
  <c r="AZ6" i="35"/>
  <c r="BU19" i="35" s="1"/>
  <c r="BV19" i="35" s="1"/>
  <c r="AY6" i="35"/>
  <c r="BU18" i="35" s="1"/>
  <c r="BV18" i="35" s="1"/>
  <c r="AX6" i="35"/>
  <c r="AW6" i="35"/>
  <c r="BU16" i="35" s="1"/>
  <c r="BV16" i="35" s="1"/>
  <c r="AV6" i="35"/>
  <c r="BU15" i="35" s="1"/>
  <c r="BV15" i="35" s="1"/>
  <c r="AU6" i="35"/>
  <c r="AT6" i="35"/>
  <c r="BU13" i="35" s="1"/>
  <c r="BV13" i="35" s="1"/>
  <c r="AW65" i="33" l="1"/>
  <c r="BF77" i="33"/>
  <c r="BH61" i="33"/>
  <c r="BL55" i="33"/>
  <c r="BQ67" i="33"/>
  <c r="AT67" i="33"/>
  <c r="AV55" i="33"/>
  <c r="BM70" i="33"/>
  <c r="BO53" i="33"/>
  <c r="BQ60" i="33"/>
  <c r="BQ73" i="33"/>
  <c r="BI68" i="33"/>
  <c r="BJ71" i="33"/>
  <c r="BA60" i="33"/>
  <c r="AU64" i="33"/>
  <c r="BQ77" i="33"/>
  <c r="F7" i="43"/>
  <c r="F8" i="43"/>
  <c r="F9" i="43"/>
  <c r="F10" i="43"/>
  <c r="F11" i="43"/>
  <c r="AV35" i="33"/>
  <c r="AV81" i="33" s="1"/>
  <c r="AZ35" i="33"/>
  <c r="AZ81" i="33" s="1"/>
  <c r="BD35" i="33"/>
  <c r="BD81" i="33" s="1"/>
  <c r="BJ56" i="33"/>
  <c r="BJ75" i="33"/>
  <c r="BJ69" i="33"/>
  <c r="BI67" i="33"/>
  <c r="BJ52" i="33"/>
  <c r="BJ62" i="33"/>
  <c r="BJ68" i="33"/>
  <c r="BJ74" i="33"/>
  <c r="BS27" i="33"/>
  <c r="BS29" i="33"/>
  <c r="BS31" i="33"/>
  <c r="BF53" i="33"/>
  <c r="BF57" i="33"/>
  <c r="BF67" i="33"/>
  <c r="BF69" i="33"/>
  <c r="BF76" i="33"/>
  <c r="BF52" i="33"/>
  <c r="BF54" i="33"/>
  <c r="BF65" i="33"/>
  <c r="BF75" i="33"/>
  <c r="BF62" i="33"/>
  <c r="BF66" i="33"/>
  <c r="BF72" i="33"/>
  <c r="BU26" i="35"/>
  <c r="BV26" i="35" s="1"/>
  <c r="BS12" i="33"/>
  <c r="BS14" i="33"/>
  <c r="BE18" i="33"/>
  <c r="BS18" i="33"/>
  <c r="BS20" i="33"/>
  <c r="BE21" i="33"/>
  <c r="BE25" i="33"/>
  <c r="BS26" i="33"/>
  <c r="BN26" i="33"/>
  <c r="AY65" i="33"/>
  <c r="BH71" i="33"/>
  <c r="BP53" i="33"/>
  <c r="AT55" i="33"/>
  <c r="AT56" i="33"/>
  <c r="BQ56" i="33"/>
  <c r="BG57" i="33"/>
  <c r="AT58" i="33"/>
  <c r="AV59" i="33"/>
  <c r="AT61" i="33"/>
  <c r="BQ61" i="33"/>
  <c r="BG66" i="33"/>
  <c r="AT68" i="33"/>
  <c r="AT71" i="33"/>
  <c r="AY73" i="33"/>
  <c r="AT74" i="33"/>
  <c r="AT77" i="33"/>
  <c r="AT78" i="33"/>
  <c r="AT79" i="3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147" i="43"/>
  <c r="F148" i="43"/>
  <c r="F149" i="43"/>
  <c r="F150" i="43"/>
  <c r="F151" i="43"/>
  <c r="F152" i="43"/>
  <c r="F153" i="43"/>
  <c r="F154" i="43"/>
  <c r="F155" i="43"/>
  <c r="F156" i="43"/>
  <c r="F157" i="43"/>
  <c r="F158" i="43"/>
  <c r="F159" i="43"/>
  <c r="F160" i="43"/>
  <c r="F161" i="43"/>
  <c r="F162" i="43"/>
  <c r="F163" i="43"/>
  <c r="F164" i="43"/>
  <c r="F165" i="43"/>
  <c r="F166" i="43"/>
  <c r="F167" i="43"/>
  <c r="F168" i="43"/>
  <c r="F169" i="43"/>
  <c r="F170" i="43"/>
  <c r="F171" i="43"/>
  <c r="F172" i="43"/>
  <c r="F173" i="43"/>
  <c r="F174" i="43"/>
  <c r="F175" i="43"/>
  <c r="F176" i="43"/>
  <c r="F177" i="43"/>
  <c r="F178" i="43"/>
  <c r="F179" i="43"/>
  <c r="F180" i="43"/>
  <c r="F181" i="43"/>
  <c r="F182" i="43"/>
  <c r="F183" i="43"/>
  <c r="F184" i="43"/>
  <c r="F185" i="43"/>
  <c r="F186" i="43"/>
  <c r="F187" i="43"/>
  <c r="F188" i="43"/>
  <c r="F189" i="43"/>
  <c r="F190" i="43"/>
  <c r="F191" i="43"/>
  <c r="F192" i="43"/>
  <c r="F193" i="43"/>
  <c r="F194" i="43"/>
  <c r="F195" i="43"/>
  <c r="F196" i="43"/>
  <c r="F197" i="43"/>
  <c r="F198" i="43"/>
  <c r="F199" i="43"/>
  <c r="F200" i="43"/>
  <c r="F201" i="43"/>
  <c r="F202" i="43"/>
  <c r="F203" i="43"/>
  <c r="F204" i="43"/>
  <c r="F205" i="43"/>
  <c r="F206" i="43"/>
  <c r="F207" i="43"/>
  <c r="F208" i="43"/>
  <c r="F209" i="43"/>
  <c r="F210" i="43"/>
  <c r="F211" i="43"/>
  <c r="F212" i="43"/>
  <c r="F213" i="43"/>
  <c r="F214" i="43"/>
  <c r="F215" i="43"/>
  <c r="F216" i="43"/>
  <c r="F217" i="43"/>
  <c r="F218" i="43"/>
  <c r="F219" i="43"/>
  <c r="F220" i="43"/>
  <c r="F221" i="43"/>
  <c r="F222" i="43"/>
  <c r="F223" i="43"/>
  <c r="F224" i="43"/>
  <c r="F225" i="43"/>
  <c r="F226" i="43"/>
  <c r="F227" i="43"/>
  <c r="F228" i="43"/>
  <c r="F229" i="43"/>
  <c r="F230" i="43"/>
  <c r="F231" i="43"/>
  <c r="F232" i="43"/>
  <c r="F233" i="43"/>
  <c r="F234" i="43"/>
  <c r="F235" i="43"/>
  <c r="F236" i="43"/>
  <c r="F237" i="43"/>
  <c r="F238" i="43"/>
  <c r="F239" i="43"/>
  <c r="F240" i="43"/>
  <c r="F241" i="43"/>
  <c r="F242" i="43"/>
  <c r="F243" i="43"/>
  <c r="F244" i="43"/>
  <c r="F245" i="43"/>
  <c r="F246" i="43"/>
  <c r="F247" i="43"/>
  <c r="F248" i="43"/>
  <c r="F249" i="43"/>
  <c r="F250" i="43"/>
  <c r="F251" i="43"/>
  <c r="F252" i="43"/>
  <c r="F253" i="43"/>
  <c r="F254" i="43"/>
  <c r="F255" i="43"/>
  <c r="F256" i="43"/>
  <c r="F257" i="43"/>
  <c r="F258" i="43"/>
  <c r="F259" i="43"/>
  <c r="F260" i="43"/>
  <c r="F261" i="43"/>
  <c r="F262" i="43"/>
  <c r="F263" i="43"/>
  <c r="F264" i="43"/>
  <c r="F265" i="43"/>
  <c r="F266" i="43"/>
  <c r="F267" i="43"/>
  <c r="F268" i="43"/>
  <c r="F269" i="43"/>
  <c r="F270" i="43"/>
  <c r="F271" i="43"/>
  <c r="F272" i="43"/>
  <c r="F273" i="43"/>
  <c r="F274" i="43"/>
  <c r="F275" i="43"/>
  <c r="F276" i="43"/>
  <c r="F277" i="43"/>
  <c r="F278" i="43"/>
  <c r="F279" i="43"/>
  <c r="F280" i="43"/>
  <c r="F281" i="43"/>
  <c r="F282" i="43"/>
  <c r="F283" i="43"/>
  <c r="F284" i="43"/>
  <c r="F285" i="43"/>
  <c r="F286" i="43"/>
  <c r="F287" i="43"/>
  <c r="F288" i="43"/>
  <c r="F289" i="43"/>
  <c r="F290" i="43"/>
  <c r="F291" i="43"/>
  <c r="F292" i="43"/>
  <c r="F293" i="43"/>
  <c r="F294" i="43"/>
  <c r="F295" i="43"/>
  <c r="F296" i="43"/>
  <c r="F297" i="43"/>
  <c r="F298" i="43"/>
  <c r="F299" i="43"/>
  <c r="F300" i="43"/>
  <c r="F301" i="43"/>
  <c r="F302" i="43"/>
  <c r="F303" i="43"/>
  <c r="F304" i="43"/>
  <c r="F305" i="43"/>
  <c r="F306" i="43"/>
  <c r="F307" i="43"/>
  <c r="F308" i="43"/>
  <c r="F309" i="43"/>
  <c r="F310" i="43"/>
  <c r="F311" i="43"/>
  <c r="F312" i="43"/>
  <c r="F313" i="43"/>
  <c r="F314" i="43"/>
  <c r="F315" i="43"/>
  <c r="F316" i="43"/>
  <c r="F317" i="43"/>
  <c r="F318" i="43"/>
  <c r="F319" i="43"/>
  <c r="F320" i="43"/>
  <c r="F321" i="43"/>
  <c r="F322" i="43"/>
  <c r="F323" i="43"/>
  <c r="F324" i="43"/>
  <c r="F325" i="43"/>
  <c r="F326" i="43"/>
  <c r="F327" i="43"/>
  <c r="F328" i="43"/>
  <c r="F329" i="43"/>
  <c r="F330" i="43"/>
  <c r="F331" i="43"/>
  <c r="F332" i="43"/>
  <c r="F333" i="43"/>
  <c r="F334" i="43"/>
  <c r="F335" i="43"/>
  <c r="F336" i="43"/>
  <c r="F337" i="43"/>
  <c r="F338" i="43"/>
  <c r="F339" i="43"/>
  <c r="F340" i="43"/>
  <c r="F341" i="43"/>
  <c r="F342" i="43"/>
  <c r="F343" i="43"/>
  <c r="F344" i="43"/>
  <c r="F345" i="43"/>
  <c r="F346" i="43"/>
  <c r="F347" i="43"/>
  <c r="F348" i="43"/>
  <c r="F349" i="43"/>
  <c r="F350" i="43"/>
  <c r="F351" i="43"/>
  <c r="F352" i="43"/>
  <c r="F353" i="43"/>
  <c r="F354" i="43"/>
  <c r="F355" i="43"/>
  <c r="F356" i="43"/>
  <c r="F357" i="43"/>
  <c r="F358" i="43"/>
  <c r="F359" i="43"/>
  <c r="F360" i="43"/>
  <c r="F361" i="43"/>
  <c r="F362" i="43"/>
  <c r="F363" i="43"/>
  <c r="F364" i="43"/>
  <c r="F365" i="43"/>
  <c r="F366" i="43"/>
  <c r="F367" i="43"/>
  <c r="F368" i="43"/>
  <c r="F369" i="43"/>
  <c r="F370" i="43"/>
  <c r="F371" i="43"/>
  <c r="F372" i="43"/>
  <c r="F373" i="43"/>
  <c r="F374" i="43"/>
  <c r="F375" i="43"/>
  <c r="F376" i="43"/>
  <c r="F377" i="43"/>
  <c r="F378" i="43"/>
  <c r="F379" i="43"/>
  <c r="F380" i="43"/>
  <c r="F381" i="43"/>
  <c r="F382" i="43"/>
  <c r="F383" i="43"/>
  <c r="F384" i="43"/>
  <c r="F385" i="43"/>
  <c r="F386" i="43"/>
  <c r="F387" i="43"/>
  <c r="F388" i="43"/>
  <c r="F389" i="43"/>
  <c r="F390" i="43"/>
  <c r="F391" i="43"/>
  <c r="F392" i="43"/>
  <c r="F393" i="43"/>
  <c r="F394" i="43"/>
  <c r="F395" i="43"/>
  <c r="F396" i="43"/>
  <c r="F397" i="43"/>
  <c r="F398" i="43"/>
  <c r="F399" i="43"/>
  <c r="F400" i="43"/>
  <c r="F401" i="43"/>
  <c r="F402" i="43"/>
  <c r="F403" i="43"/>
  <c r="F404" i="43"/>
  <c r="F405" i="43"/>
  <c r="F406" i="43"/>
  <c r="F407" i="43"/>
  <c r="F408" i="43"/>
  <c r="F409" i="43"/>
  <c r="F410" i="43"/>
  <c r="F411" i="43"/>
  <c r="F412" i="43"/>
  <c r="F413" i="43"/>
  <c r="F414" i="43"/>
  <c r="F415" i="43"/>
  <c r="F416" i="43"/>
  <c r="F417" i="43"/>
  <c r="F418" i="43"/>
  <c r="F419" i="43"/>
  <c r="F420" i="43"/>
  <c r="F421" i="43"/>
  <c r="F422" i="43"/>
  <c r="F423" i="43"/>
  <c r="F424" i="43"/>
  <c r="F425" i="43"/>
  <c r="F426" i="43"/>
  <c r="F427" i="43"/>
  <c r="F428" i="43"/>
  <c r="F429" i="43"/>
  <c r="F430" i="43"/>
  <c r="F431" i="43"/>
  <c r="F432" i="43"/>
  <c r="F433" i="43"/>
  <c r="F434" i="43"/>
  <c r="F435" i="43"/>
  <c r="F436" i="43"/>
  <c r="F437" i="43"/>
  <c r="F438" i="43"/>
  <c r="F439" i="43"/>
  <c r="F440" i="43"/>
  <c r="F441" i="43"/>
  <c r="F442" i="43"/>
  <c r="F443" i="43"/>
  <c r="F444" i="43"/>
  <c r="F445" i="43"/>
  <c r="F446" i="43"/>
  <c r="F447" i="43"/>
  <c r="F448" i="43"/>
  <c r="F449" i="43"/>
  <c r="F450" i="43"/>
  <c r="F451" i="43"/>
  <c r="F452" i="43"/>
  <c r="F453" i="43"/>
  <c r="F454" i="43"/>
  <c r="F455" i="43"/>
  <c r="F456" i="43"/>
  <c r="F457" i="43"/>
  <c r="F458" i="43"/>
  <c r="F459" i="43"/>
  <c r="F460" i="43"/>
  <c r="F461" i="43"/>
  <c r="F462" i="43"/>
  <c r="F463" i="43"/>
  <c r="F464" i="43"/>
  <c r="F465" i="43"/>
  <c r="F466" i="43"/>
  <c r="F467" i="43"/>
  <c r="F468" i="43"/>
  <c r="F469" i="43"/>
  <c r="F470" i="43"/>
  <c r="F471" i="43"/>
  <c r="F472" i="43"/>
  <c r="F473" i="43"/>
  <c r="F474" i="43"/>
  <c r="F475" i="43"/>
  <c r="F476" i="43"/>
  <c r="F477" i="43"/>
  <c r="F478" i="43"/>
  <c r="F479" i="43"/>
  <c r="F480" i="43"/>
  <c r="F481" i="43"/>
  <c r="F482" i="43"/>
  <c r="F483" i="43"/>
  <c r="F484" i="43"/>
  <c r="F485" i="43"/>
  <c r="F486" i="43"/>
  <c r="F487" i="43"/>
  <c r="F488" i="43"/>
  <c r="F489" i="43"/>
  <c r="F490" i="43"/>
  <c r="F491" i="43"/>
  <c r="F492" i="43"/>
  <c r="F493" i="43"/>
  <c r="F494" i="43"/>
  <c r="F495" i="43"/>
  <c r="F496" i="43"/>
  <c r="F497" i="43"/>
  <c r="F498" i="43"/>
  <c r="F499" i="43"/>
  <c r="F500" i="43"/>
  <c r="F501" i="43"/>
  <c r="F502" i="43"/>
  <c r="F503" i="43"/>
  <c r="F504" i="43"/>
  <c r="F505" i="43"/>
  <c r="F506" i="43"/>
  <c r="F507" i="43"/>
  <c r="F508" i="43"/>
  <c r="F509" i="43"/>
  <c r="F510" i="43"/>
  <c r="F511" i="43"/>
  <c r="F512" i="43"/>
  <c r="F513" i="43"/>
  <c r="F514" i="43"/>
  <c r="F515" i="43"/>
  <c r="F516" i="43"/>
  <c r="F517" i="43"/>
  <c r="F518" i="43"/>
  <c r="F519" i="43"/>
  <c r="F520" i="43"/>
  <c r="F521" i="43"/>
  <c r="F522" i="43"/>
  <c r="F523" i="43"/>
  <c r="F524" i="43"/>
  <c r="F525" i="43"/>
  <c r="F526" i="43"/>
  <c r="F527" i="43"/>
  <c r="F528" i="43"/>
  <c r="F529" i="43"/>
  <c r="F530" i="43"/>
  <c r="F531" i="43"/>
  <c r="F532" i="43"/>
  <c r="F533" i="43"/>
  <c r="F534" i="43"/>
  <c r="F535" i="43"/>
  <c r="F536" i="43"/>
  <c r="F537" i="43"/>
  <c r="F538" i="43"/>
  <c r="F539" i="43"/>
  <c r="F540" i="43"/>
  <c r="F541" i="43"/>
  <c r="F542" i="43"/>
  <c r="F543" i="43"/>
  <c r="F544" i="43"/>
  <c r="F545" i="43"/>
  <c r="F546" i="43"/>
  <c r="F547" i="43"/>
  <c r="F548" i="43"/>
  <c r="F549" i="43"/>
  <c r="F550" i="43"/>
  <c r="F551" i="43"/>
  <c r="F552" i="43"/>
  <c r="F553" i="43"/>
  <c r="F554" i="43"/>
  <c r="F555" i="43"/>
  <c r="F556" i="43"/>
  <c r="F557" i="43"/>
  <c r="F558" i="43"/>
  <c r="F559" i="43"/>
  <c r="F560" i="43"/>
  <c r="F561" i="43"/>
  <c r="F562" i="43"/>
  <c r="F563" i="43"/>
  <c r="F564" i="43"/>
  <c r="F565" i="43"/>
  <c r="F566" i="43"/>
  <c r="F567" i="43"/>
  <c r="F568" i="43"/>
  <c r="F569" i="43"/>
  <c r="F570" i="43"/>
  <c r="F571" i="43"/>
  <c r="F572" i="43"/>
  <c r="F573" i="43"/>
  <c r="F574" i="43"/>
  <c r="F575" i="43"/>
  <c r="F576" i="43"/>
  <c r="F577" i="43"/>
  <c r="F578" i="43"/>
  <c r="F579" i="43"/>
  <c r="F580" i="43"/>
  <c r="F581" i="43"/>
  <c r="F582" i="43"/>
  <c r="F583" i="43"/>
  <c r="F584" i="43"/>
  <c r="F585" i="43"/>
  <c r="F586" i="43"/>
  <c r="F587" i="43"/>
  <c r="F588" i="43"/>
  <c r="F589" i="43"/>
  <c r="F590" i="43"/>
  <c r="F591" i="43"/>
  <c r="F592" i="43"/>
  <c r="F593" i="43"/>
  <c r="F594" i="43"/>
  <c r="F595" i="43"/>
  <c r="F596" i="43"/>
  <c r="F597" i="43"/>
  <c r="F598" i="43"/>
  <c r="F599" i="43"/>
  <c r="F600" i="43"/>
  <c r="F601" i="43"/>
  <c r="F602" i="43"/>
  <c r="F603" i="43"/>
  <c r="F604" i="43"/>
  <c r="F605" i="43"/>
  <c r="F606" i="43"/>
  <c r="F607" i="43"/>
  <c r="F608" i="43"/>
  <c r="F609" i="43"/>
  <c r="F610" i="43"/>
  <c r="F611" i="43"/>
  <c r="F612" i="43"/>
  <c r="F613" i="43"/>
  <c r="F614" i="43"/>
  <c r="F615" i="43"/>
  <c r="F616" i="43"/>
  <c r="F617" i="43"/>
  <c r="F618" i="43"/>
  <c r="AY53" i="33"/>
  <c r="AT64" i="33"/>
  <c r="AX72" i="33"/>
  <c r="AX73" i="33"/>
  <c r="BS16" i="33"/>
  <c r="BS22" i="33"/>
  <c r="BE24" i="33"/>
  <c r="BS24" i="33"/>
  <c r="BK35" i="33"/>
  <c r="BK81" i="33" s="1"/>
  <c r="BP35" i="33"/>
  <c r="BP81" i="33" s="1"/>
  <c r="BN11" i="33"/>
  <c r="BN20" i="33"/>
  <c r="BE23" i="33"/>
  <c r="BE28" i="33"/>
  <c r="BS28" i="33"/>
  <c r="BS30" i="33"/>
  <c r="BE31" i="33"/>
  <c r="F978" i="133"/>
  <c r="F977" i="133"/>
  <c r="F976" i="133"/>
  <c r="F975" i="133"/>
  <c r="F974" i="133"/>
  <c r="F973" i="133"/>
  <c r="F972" i="133"/>
  <c r="F971" i="133"/>
  <c r="F970" i="133"/>
  <c r="F969" i="133"/>
  <c r="F968" i="133"/>
  <c r="F967" i="133"/>
  <c r="F966" i="133"/>
  <c r="F965" i="133"/>
  <c r="F964" i="133"/>
  <c r="F963" i="133"/>
  <c r="F962" i="133"/>
  <c r="F961" i="133"/>
  <c r="F960" i="133"/>
  <c r="F959" i="133"/>
  <c r="F958" i="133"/>
  <c r="F957" i="133"/>
  <c r="F956" i="133"/>
  <c r="F955" i="133"/>
  <c r="F954" i="133"/>
  <c r="F953" i="133"/>
  <c r="F952" i="133"/>
  <c r="F951" i="133"/>
  <c r="F950" i="133"/>
  <c r="F949" i="133"/>
  <c r="F948" i="133"/>
  <c r="F947" i="133"/>
  <c r="F946" i="133"/>
  <c r="F945" i="133"/>
  <c r="F944" i="133"/>
  <c r="F943" i="133"/>
  <c r="F942" i="133"/>
  <c r="F941" i="133"/>
  <c r="F940" i="133"/>
  <c r="F939" i="133"/>
  <c r="F938" i="133"/>
  <c r="F937" i="133"/>
  <c r="F1086" i="133"/>
  <c r="F1085" i="133"/>
  <c r="F1084" i="133"/>
  <c r="F1083" i="133"/>
  <c r="F1082" i="133"/>
  <c r="F1081" i="133"/>
  <c r="F1080" i="133"/>
  <c r="F1079" i="133"/>
  <c r="F1078" i="133"/>
  <c r="F1077" i="133"/>
  <c r="F1076" i="133"/>
  <c r="F1075" i="133"/>
  <c r="F1074" i="133"/>
  <c r="F1073" i="133"/>
  <c r="F936" i="133"/>
  <c r="F935" i="133"/>
  <c r="F934" i="133"/>
  <c r="F933" i="133"/>
  <c r="F932" i="133"/>
  <c r="F931" i="133"/>
  <c r="F930" i="133"/>
  <c r="F929" i="133"/>
  <c r="F928" i="133"/>
  <c r="F927" i="133"/>
  <c r="F926" i="133"/>
  <c r="F925" i="133"/>
  <c r="F924" i="133"/>
  <c r="F923" i="133"/>
  <c r="F922" i="133"/>
  <c r="F921" i="133"/>
  <c r="F920" i="133"/>
  <c r="F919" i="133"/>
  <c r="F918" i="133"/>
  <c r="F917" i="133"/>
  <c r="F916" i="133"/>
  <c r="F915" i="133"/>
  <c r="F914" i="133"/>
  <c r="F913" i="133"/>
  <c r="F912" i="133"/>
  <c r="F911" i="133"/>
  <c r="F910" i="133"/>
  <c r="F909" i="133"/>
  <c r="F908" i="133"/>
  <c r="F907" i="133"/>
  <c r="F1072" i="133"/>
  <c r="F1071" i="133"/>
  <c r="F1070" i="133"/>
  <c r="F1069" i="133"/>
  <c r="F1068" i="133"/>
  <c r="F1067" i="133"/>
  <c r="F1066" i="133"/>
  <c r="F1065" i="133"/>
  <c r="F1064" i="133"/>
  <c r="F1063" i="133"/>
  <c r="F1062" i="133"/>
  <c r="F1061" i="133"/>
  <c r="F1060" i="133"/>
  <c r="F1059" i="133"/>
  <c r="F1058" i="133"/>
  <c r="F1057" i="133"/>
  <c r="F1056" i="133"/>
  <c r="F1055" i="133"/>
  <c r="F1054" i="133"/>
  <c r="F1053" i="133"/>
  <c r="F1052" i="133"/>
  <c r="F1051" i="133"/>
  <c r="F1050" i="133"/>
  <c r="F1049" i="133"/>
  <c r="F1048" i="133"/>
  <c r="F1047" i="133"/>
  <c r="F1046" i="133"/>
  <c r="F1045" i="133"/>
  <c r="F1044" i="133"/>
  <c r="F1043" i="133"/>
  <c r="F1042" i="133"/>
  <c r="F1041" i="133"/>
  <c r="F1040" i="133"/>
  <c r="F1039" i="133"/>
  <c r="F1038" i="133"/>
  <c r="F1037" i="133"/>
  <c r="F1036" i="133"/>
  <c r="F1035" i="133"/>
  <c r="F906" i="133"/>
  <c r="F905" i="133"/>
  <c r="F904" i="133"/>
  <c r="F903" i="133"/>
  <c r="F902" i="133"/>
  <c r="F901" i="133"/>
  <c r="F900" i="133"/>
  <c r="F899" i="133"/>
  <c r="F898" i="133"/>
  <c r="F897" i="133"/>
  <c r="F896" i="133"/>
  <c r="F895" i="133"/>
  <c r="F894" i="133"/>
  <c r="F893" i="133"/>
  <c r="F892" i="133"/>
  <c r="F891" i="133"/>
  <c r="F890" i="133"/>
  <c r="F889" i="133"/>
  <c r="F888" i="133"/>
  <c r="F887" i="133"/>
  <c r="F886" i="133"/>
  <c r="F885" i="133"/>
  <c r="F884" i="133"/>
  <c r="F883" i="133"/>
  <c r="F882" i="133"/>
  <c r="F881" i="133"/>
  <c r="F880" i="133"/>
  <c r="F879" i="133"/>
  <c r="F878" i="133"/>
  <c r="F877" i="133"/>
  <c r="F876" i="133"/>
  <c r="F875" i="133"/>
  <c r="F874" i="133"/>
  <c r="F873" i="133"/>
  <c r="F872" i="133"/>
  <c r="F871" i="133"/>
  <c r="F870" i="133"/>
  <c r="F869" i="133"/>
  <c r="F868" i="133"/>
  <c r="F867" i="133"/>
  <c r="F866" i="133"/>
  <c r="F865" i="133"/>
  <c r="F864" i="133"/>
  <c r="F863" i="133"/>
  <c r="F862" i="133"/>
  <c r="F861" i="133"/>
  <c r="F860" i="133"/>
  <c r="F859" i="133"/>
  <c r="F858" i="133"/>
  <c r="F857" i="133"/>
  <c r="F856" i="133"/>
  <c r="F855" i="133"/>
  <c r="F1034" i="133"/>
  <c r="F1033" i="133"/>
  <c r="F1032" i="133"/>
  <c r="F1031" i="133"/>
  <c r="F1030" i="133"/>
  <c r="F1029" i="133"/>
  <c r="F1028" i="133"/>
  <c r="F1027" i="133"/>
  <c r="F1026" i="133"/>
  <c r="F1025" i="133"/>
  <c r="F1024" i="133"/>
  <c r="F1023" i="133"/>
  <c r="F1022" i="133"/>
  <c r="F1021" i="133"/>
  <c r="F1020" i="133"/>
  <c r="F1019" i="133"/>
  <c r="F1018" i="133"/>
  <c r="F1017" i="133"/>
  <c r="F1016" i="133"/>
  <c r="F1015" i="133"/>
  <c r="F1014" i="133"/>
  <c r="F1013" i="133"/>
  <c r="F1012" i="133"/>
  <c r="F1011" i="133"/>
  <c r="F1010" i="133"/>
  <c r="F1009" i="133"/>
  <c r="F1008" i="133"/>
  <c r="F1007" i="133"/>
  <c r="F1006" i="133"/>
  <c r="F1005" i="133"/>
  <c r="F1004" i="133"/>
  <c r="F1003" i="133"/>
  <c r="F1002" i="133"/>
  <c r="F1001" i="133"/>
  <c r="F1000" i="133"/>
  <c r="F999" i="133"/>
  <c r="F998" i="133"/>
  <c r="F997" i="133"/>
  <c r="F996" i="133"/>
  <c r="F995" i="133"/>
  <c r="F994" i="133"/>
  <c r="F993" i="133"/>
  <c r="F992" i="133"/>
  <c r="F991" i="133"/>
  <c r="F990" i="133"/>
  <c r="F989" i="133"/>
  <c r="F988" i="133"/>
  <c r="F987" i="133"/>
  <c r="F986" i="133"/>
  <c r="F985" i="133"/>
  <c r="F984" i="133"/>
  <c r="F983" i="133"/>
  <c r="F982" i="133"/>
  <c r="F981" i="133"/>
  <c r="F980" i="133"/>
  <c r="F979" i="133"/>
  <c r="F854" i="133"/>
  <c r="F853" i="133"/>
  <c r="F852" i="133"/>
  <c r="F851" i="133"/>
  <c r="F850" i="133"/>
  <c r="F849" i="133"/>
  <c r="F848" i="133"/>
  <c r="F847" i="133"/>
  <c r="F846" i="133"/>
  <c r="F845" i="133"/>
  <c r="F844" i="133"/>
  <c r="F843" i="133"/>
  <c r="F842" i="133"/>
  <c r="F841" i="133"/>
  <c r="F840" i="133"/>
  <c r="F839" i="133"/>
  <c r="F838" i="133"/>
  <c r="F837" i="133"/>
  <c r="F836" i="133"/>
  <c r="F835" i="133"/>
  <c r="F834" i="133"/>
  <c r="F833" i="133"/>
  <c r="F832" i="133"/>
  <c r="F831" i="133"/>
  <c r="F830" i="133"/>
  <c r="F829" i="133"/>
  <c r="F828" i="133"/>
  <c r="F827" i="133"/>
  <c r="F826" i="133"/>
  <c r="F825" i="133"/>
  <c r="F824" i="133"/>
  <c r="F823" i="133"/>
  <c r="F822" i="133"/>
  <c r="F821" i="133"/>
  <c r="F820" i="133"/>
  <c r="F819" i="133"/>
  <c r="F818" i="133"/>
  <c r="F817" i="133"/>
  <c r="F816" i="133"/>
  <c r="F815" i="133"/>
  <c r="F814" i="133"/>
  <c r="F813" i="133"/>
  <c r="F812" i="133"/>
  <c r="F811" i="133"/>
  <c r="F810" i="133"/>
  <c r="F809" i="133"/>
  <c r="F808" i="133"/>
  <c r="F807" i="133"/>
  <c r="F806" i="133"/>
  <c r="F805" i="133"/>
  <c r="F804" i="133"/>
  <c r="F803" i="133"/>
  <c r="F802" i="133"/>
  <c r="F801" i="133"/>
  <c r="F800" i="133"/>
  <c r="F799" i="133"/>
  <c r="F798" i="133"/>
  <c r="F797" i="133"/>
  <c r="F796" i="133"/>
  <c r="F795" i="133"/>
  <c r="F794" i="133"/>
  <c r="F793" i="133"/>
  <c r="F792" i="133"/>
  <c r="F791" i="133"/>
  <c r="F790" i="133"/>
  <c r="F789" i="133"/>
  <c r="F788" i="133"/>
  <c r="F787" i="133"/>
  <c r="F786" i="133"/>
  <c r="F785" i="133"/>
  <c r="F784" i="133"/>
  <c r="F783" i="133"/>
  <c r="F782" i="133"/>
  <c r="F781" i="133"/>
  <c r="F780" i="133"/>
  <c r="F779" i="133"/>
  <c r="F778" i="133"/>
  <c r="F777" i="133"/>
  <c r="F776" i="133"/>
  <c r="F775" i="133"/>
  <c r="F774" i="133"/>
  <c r="F773" i="133"/>
  <c r="F772" i="133"/>
  <c r="F771" i="133"/>
  <c r="F770" i="133"/>
  <c r="F769" i="133"/>
  <c r="F768" i="133"/>
  <c r="F767" i="133"/>
  <c r="F766" i="133"/>
  <c r="F765" i="133"/>
  <c r="F764" i="133"/>
  <c r="F763" i="133"/>
  <c r="F762" i="133"/>
  <c r="F761" i="133"/>
  <c r="F760" i="133"/>
  <c r="F759" i="133"/>
  <c r="F758" i="133"/>
  <c r="F757" i="133"/>
  <c r="F756" i="133"/>
  <c r="F755" i="133"/>
  <c r="F754" i="133"/>
  <c r="F753" i="133"/>
  <c r="F752" i="133"/>
  <c r="F751" i="133"/>
  <c r="F750" i="133"/>
  <c r="F749" i="133"/>
  <c r="F748" i="133"/>
  <c r="F747" i="133"/>
  <c r="F746" i="133"/>
  <c r="F745" i="133"/>
  <c r="F744" i="133"/>
  <c r="F743" i="133"/>
  <c r="F742" i="133"/>
  <c r="F741" i="133"/>
  <c r="F740" i="133"/>
  <c r="F739" i="133"/>
  <c r="F738" i="133"/>
  <c r="F737" i="133"/>
  <c r="F736" i="133"/>
  <c r="F735" i="133"/>
  <c r="F734" i="133"/>
  <c r="F733" i="133"/>
  <c r="F732" i="133"/>
  <c r="F731" i="133"/>
  <c r="F730" i="133"/>
  <c r="F729" i="133"/>
  <c r="F728" i="133"/>
  <c r="F727" i="133"/>
  <c r="F726" i="133"/>
  <c r="F725" i="133"/>
  <c r="F724" i="133"/>
  <c r="F723" i="133"/>
  <c r="F722" i="133"/>
  <c r="F721" i="133"/>
  <c r="F720" i="133"/>
  <c r="F719" i="133"/>
  <c r="F718" i="133"/>
  <c r="F717" i="133"/>
  <c r="F716" i="133"/>
  <c r="F715" i="133"/>
  <c r="F714" i="133"/>
  <c r="F713" i="133"/>
  <c r="F712" i="133"/>
  <c r="F711" i="133"/>
  <c r="F710" i="133"/>
  <c r="F709" i="133"/>
  <c r="F708" i="133"/>
  <c r="F707" i="133"/>
  <c r="F706" i="133"/>
  <c r="F705" i="133"/>
  <c r="F704" i="133"/>
  <c r="F703" i="133"/>
  <c r="F702" i="133"/>
  <c r="F701" i="133"/>
  <c r="F700" i="133"/>
  <c r="F699" i="133"/>
  <c r="F698" i="133"/>
  <c r="F697" i="133"/>
  <c r="F696" i="133"/>
  <c r="F695" i="133"/>
  <c r="F694" i="133"/>
  <c r="F693" i="133"/>
  <c r="F692" i="133"/>
  <c r="F691" i="133"/>
  <c r="F690" i="133"/>
  <c r="F689" i="133"/>
  <c r="F688" i="133"/>
  <c r="F687" i="133"/>
  <c r="F686" i="133"/>
  <c r="F685" i="133"/>
  <c r="F684" i="133"/>
  <c r="F683" i="133"/>
  <c r="F682" i="133"/>
  <c r="F681" i="133"/>
  <c r="F680" i="133"/>
  <c r="F679" i="133"/>
  <c r="F678" i="133"/>
  <c r="F677" i="133"/>
  <c r="F676" i="133"/>
  <c r="F675" i="133"/>
  <c r="F674" i="133"/>
  <c r="F673" i="133"/>
  <c r="F672" i="133"/>
  <c r="F671" i="133"/>
  <c r="F670" i="133"/>
  <c r="F669" i="133"/>
  <c r="F668" i="133"/>
  <c r="F667" i="133"/>
  <c r="F666" i="133"/>
  <c r="F665" i="133"/>
  <c r="F664" i="133"/>
  <c r="F663" i="133"/>
  <c r="F662" i="133"/>
  <c r="F661" i="133"/>
  <c r="F660" i="133"/>
  <c r="F659" i="133"/>
  <c r="F658" i="133"/>
  <c r="F657" i="133"/>
  <c r="F656" i="133"/>
  <c r="F655" i="133"/>
  <c r="F654" i="133"/>
  <c r="F653" i="133"/>
  <c r="F652" i="133"/>
  <c r="F651" i="133"/>
  <c r="F650" i="133"/>
  <c r="F649" i="133"/>
  <c r="F648" i="133"/>
  <c r="F647" i="133"/>
  <c r="F646" i="133"/>
  <c r="F645" i="133"/>
  <c r="F644" i="133"/>
  <c r="F643" i="133"/>
  <c r="F642" i="133"/>
  <c r="F641" i="133"/>
  <c r="F640" i="133"/>
  <c r="F639" i="133"/>
  <c r="F638" i="133"/>
  <c r="F637" i="133"/>
  <c r="F636" i="133"/>
  <c r="F635" i="133"/>
  <c r="F634" i="133"/>
  <c r="F633" i="133"/>
  <c r="F632" i="133"/>
  <c r="F631" i="133"/>
  <c r="F630" i="133"/>
  <c r="F629" i="133"/>
  <c r="F628" i="133"/>
  <c r="F627" i="133"/>
  <c r="F626" i="133"/>
  <c r="F625" i="133"/>
  <c r="F624" i="133"/>
  <c r="F623" i="133"/>
  <c r="F622" i="133"/>
  <c r="F621" i="133"/>
  <c r="F620" i="133"/>
  <c r="F619" i="133"/>
  <c r="F618" i="133"/>
  <c r="F617" i="133"/>
  <c r="F616" i="133"/>
  <c r="F615" i="133"/>
  <c r="F614" i="133"/>
  <c r="F613" i="133"/>
  <c r="F612" i="133"/>
  <c r="F611" i="133"/>
  <c r="F610" i="133"/>
  <c r="F609" i="133"/>
  <c r="F608" i="133"/>
  <c r="F607" i="133"/>
  <c r="F606" i="133"/>
  <c r="F605" i="133"/>
  <c r="F604" i="133"/>
  <c r="F603" i="133"/>
  <c r="F602" i="133"/>
  <c r="F601" i="133"/>
  <c r="F600" i="133"/>
  <c r="F599" i="133"/>
  <c r="F598" i="133"/>
  <c r="F597" i="133"/>
  <c r="F596" i="133"/>
  <c r="F595" i="133"/>
  <c r="F594" i="133"/>
  <c r="F593" i="133"/>
  <c r="F592" i="133"/>
  <c r="F591" i="133"/>
  <c r="F590" i="133"/>
  <c r="F589" i="133"/>
  <c r="F588" i="133"/>
  <c r="F587" i="133"/>
  <c r="F586" i="133"/>
  <c r="F585" i="133"/>
  <c r="F584" i="133"/>
  <c r="F583" i="133"/>
  <c r="F582" i="133"/>
  <c r="F581" i="133"/>
  <c r="F380" i="133"/>
  <c r="F379" i="133"/>
  <c r="F378" i="133"/>
  <c r="F377" i="133"/>
  <c r="F376" i="133"/>
  <c r="F375" i="133"/>
  <c r="F374" i="133"/>
  <c r="F373" i="133"/>
  <c r="F372" i="133"/>
  <c r="F371" i="133"/>
  <c r="F370" i="133"/>
  <c r="F369" i="133"/>
  <c r="F368" i="133"/>
  <c r="F367" i="133"/>
  <c r="F366" i="133"/>
  <c r="F365" i="133"/>
  <c r="F364" i="133"/>
  <c r="F363" i="133"/>
  <c r="F362" i="133"/>
  <c r="F361" i="133"/>
  <c r="F360" i="133"/>
  <c r="F359" i="133"/>
  <c r="F358" i="133"/>
  <c r="F357" i="133"/>
  <c r="F356" i="133"/>
  <c r="F355" i="133"/>
  <c r="F354" i="133"/>
  <c r="F353" i="133"/>
  <c r="F352" i="133"/>
  <c r="F351" i="133"/>
  <c r="F350" i="133"/>
  <c r="F349" i="133"/>
  <c r="F348" i="133"/>
  <c r="F347" i="133"/>
  <c r="F346" i="133"/>
  <c r="F345" i="133"/>
  <c r="F344" i="133"/>
  <c r="F343" i="133"/>
  <c r="F342" i="133"/>
  <c r="F341" i="133"/>
  <c r="F340" i="133"/>
  <c r="F339" i="133"/>
  <c r="F338" i="133"/>
  <c r="F337" i="133"/>
  <c r="F336" i="133"/>
  <c r="F335" i="133"/>
  <c r="F334" i="133"/>
  <c r="F333" i="133"/>
  <c r="F332" i="133"/>
  <c r="F331" i="133"/>
  <c r="F330" i="133"/>
  <c r="F329" i="133"/>
  <c r="F328" i="133"/>
  <c r="F327" i="133"/>
  <c r="F326" i="133"/>
  <c r="F325" i="133"/>
  <c r="F324" i="133"/>
  <c r="F323" i="133"/>
  <c r="F322" i="133"/>
  <c r="F321" i="133"/>
  <c r="F320" i="133"/>
  <c r="F319" i="133"/>
  <c r="F318" i="133"/>
  <c r="F317" i="133"/>
  <c r="F316" i="133"/>
  <c r="F315" i="133"/>
  <c r="F314" i="133"/>
  <c r="F313" i="133"/>
  <c r="F312" i="133"/>
  <c r="F311" i="133"/>
  <c r="F310" i="133"/>
  <c r="F309" i="133"/>
  <c r="F308" i="133"/>
  <c r="F307" i="133"/>
  <c r="F306" i="133"/>
  <c r="F305" i="133"/>
  <c r="F304" i="133"/>
  <c r="F303" i="133"/>
  <c r="F302" i="133"/>
  <c r="F301" i="133"/>
  <c r="F300" i="133"/>
  <c r="F299" i="133"/>
  <c r="F298" i="133"/>
  <c r="F297" i="133"/>
  <c r="F296" i="133"/>
  <c r="F295" i="133"/>
  <c r="F294" i="133"/>
  <c r="F293" i="133"/>
  <c r="F292" i="133"/>
  <c r="F291" i="133"/>
  <c r="F290" i="133"/>
  <c r="F289" i="133"/>
  <c r="F288" i="133"/>
  <c r="F287" i="133"/>
  <c r="F286" i="133"/>
  <c r="F285" i="133"/>
  <c r="F284" i="133"/>
  <c r="F283" i="133"/>
  <c r="F282" i="133"/>
  <c r="F281" i="133"/>
  <c r="F280" i="133"/>
  <c r="F279" i="133"/>
  <c r="F278" i="133"/>
  <c r="F277" i="133"/>
  <c r="F276" i="133"/>
  <c r="F275" i="133"/>
  <c r="F274" i="133"/>
  <c r="F273" i="133"/>
  <c r="F272" i="133"/>
  <c r="F271" i="133"/>
  <c r="F270" i="133"/>
  <c r="F269" i="133"/>
  <c r="F268" i="133"/>
  <c r="F267" i="133"/>
  <c r="F266" i="133"/>
  <c r="F265" i="133"/>
  <c r="F264" i="133"/>
  <c r="F263" i="133"/>
  <c r="F262" i="133"/>
  <c r="F261" i="133"/>
  <c r="F260" i="133"/>
  <c r="F259" i="133"/>
  <c r="F258" i="133"/>
  <c r="F257" i="133"/>
  <c r="F256" i="133"/>
  <c r="F255" i="133"/>
  <c r="F254" i="133"/>
  <c r="F253" i="133"/>
  <c r="F252" i="133"/>
  <c r="F251" i="133"/>
  <c r="F250" i="133"/>
  <c r="F249" i="133"/>
  <c r="F248" i="133"/>
  <c r="F247" i="133"/>
  <c r="F246" i="133"/>
  <c r="F245" i="133"/>
  <c r="F244" i="133"/>
  <c r="F243" i="133"/>
  <c r="F242" i="133"/>
  <c r="F241" i="133"/>
  <c r="F240" i="133"/>
  <c r="F239" i="133"/>
  <c r="F238" i="133"/>
  <c r="F237" i="133"/>
  <c r="F236" i="133"/>
  <c r="F235" i="133"/>
  <c r="F234" i="133"/>
  <c r="F233" i="133"/>
  <c r="F232" i="133"/>
  <c r="F231" i="133"/>
  <c r="F230" i="133"/>
  <c r="F229" i="133"/>
  <c r="F228" i="133"/>
  <c r="F227" i="133"/>
  <c r="F226" i="133"/>
  <c r="F225" i="133"/>
  <c r="F224" i="133"/>
  <c r="F223" i="133"/>
  <c r="F222" i="133"/>
  <c r="F221" i="133"/>
  <c r="F220" i="133"/>
  <c r="F219" i="133"/>
  <c r="F218" i="133"/>
  <c r="F217" i="133"/>
  <c r="F216" i="133"/>
  <c r="F215" i="133"/>
  <c r="F214" i="133"/>
  <c r="F213" i="133"/>
  <c r="F212" i="133"/>
  <c r="F211" i="133"/>
  <c r="F580" i="133"/>
  <c r="F579" i="133"/>
  <c r="F578" i="133"/>
  <c r="F577" i="133"/>
  <c r="F576" i="133"/>
  <c r="F575" i="133"/>
  <c r="F574" i="133"/>
  <c r="F573" i="133"/>
  <c r="F572" i="133"/>
  <c r="F571" i="133"/>
  <c r="F570" i="133"/>
  <c r="F569" i="133"/>
  <c r="F568" i="133"/>
  <c r="F567" i="133"/>
  <c r="F566" i="133"/>
  <c r="F565" i="133"/>
  <c r="F564" i="133"/>
  <c r="F563" i="133"/>
  <c r="F562" i="133"/>
  <c r="F561" i="133"/>
  <c r="F560" i="133"/>
  <c r="F559" i="133"/>
  <c r="F558" i="133"/>
  <c r="F557" i="133"/>
  <c r="F556" i="133"/>
  <c r="F555" i="133"/>
  <c r="F554" i="133"/>
  <c r="F553" i="133"/>
  <c r="F552" i="133"/>
  <c r="F551" i="133"/>
  <c r="F550" i="133"/>
  <c r="F549" i="133"/>
  <c r="F548" i="133"/>
  <c r="F547" i="133"/>
  <c r="F546" i="133"/>
  <c r="F545" i="133"/>
  <c r="F544" i="133"/>
  <c r="F543" i="133"/>
  <c r="F542" i="133"/>
  <c r="F541" i="133"/>
  <c r="F540" i="133"/>
  <c r="F539" i="133"/>
  <c r="F538" i="133"/>
  <c r="F537" i="133"/>
  <c r="F536" i="133"/>
  <c r="F535" i="133"/>
  <c r="F534" i="133"/>
  <c r="F533" i="133"/>
  <c r="F532" i="133"/>
  <c r="F531" i="133"/>
  <c r="F530" i="133"/>
  <c r="F529" i="133"/>
  <c r="F528" i="133"/>
  <c r="F527" i="133"/>
  <c r="F526" i="133"/>
  <c r="F525" i="133"/>
  <c r="F524" i="133"/>
  <c r="F523" i="133"/>
  <c r="F522" i="133"/>
  <c r="F521" i="133"/>
  <c r="F520" i="133"/>
  <c r="F519" i="133"/>
  <c r="F518" i="133"/>
  <c r="F517" i="133"/>
  <c r="F516" i="133"/>
  <c r="F515" i="133"/>
  <c r="F514" i="133"/>
  <c r="F513" i="133"/>
  <c r="F512" i="133"/>
  <c r="F511" i="133"/>
  <c r="F510" i="133"/>
  <c r="F509" i="133"/>
  <c r="F508" i="133"/>
  <c r="F507" i="133"/>
  <c r="F506" i="133"/>
  <c r="F505" i="133"/>
  <c r="F504" i="133"/>
  <c r="F503" i="133"/>
  <c r="F502" i="133"/>
  <c r="F501" i="133"/>
  <c r="F500" i="133"/>
  <c r="F499" i="133"/>
  <c r="F498" i="133"/>
  <c r="F497" i="133"/>
  <c r="F496" i="133"/>
  <c r="F495" i="133"/>
  <c r="F494" i="133"/>
  <c r="F493" i="133"/>
  <c r="F492" i="133"/>
  <c r="F491" i="133"/>
  <c r="F490" i="133"/>
  <c r="F489" i="133"/>
  <c r="F488" i="133"/>
  <c r="F487" i="133"/>
  <c r="F486" i="133"/>
  <c r="F485" i="133"/>
  <c r="F484" i="133"/>
  <c r="F483" i="133"/>
  <c r="F482" i="133"/>
  <c r="F481" i="133"/>
  <c r="F480" i="133"/>
  <c r="F479" i="133"/>
  <c r="F478" i="133"/>
  <c r="F477" i="133"/>
  <c r="F476" i="133"/>
  <c r="F475" i="133"/>
  <c r="F474" i="133"/>
  <c r="F473" i="133"/>
  <c r="F472" i="133"/>
  <c r="F471" i="133"/>
  <c r="F470" i="133"/>
  <c r="F469" i="133"/>
  <c r="F468" i="133"/>
  <c r="F467" i="133"/>
  <c r="F466" i="133"/>
  <c r="F465" i="133"/>
  <c r="F464" i="133"/>
  <c r="F463" i="133"/>
  <c r="F462" i="133"/>
  <c r="F461" i="133"/>
  <c r="F460" i="133"/>
  <c r="F459" i="133"/>
  <c r="F458" i="133"/>
  <c r="F457" i="133"/>
  <c r="F456" i="133"/>
  <c r="F455" i="133"/>
  <c r="F454" i="133"/>
  <c r="F453" i="133"/>
  <c r="F452" i="133"/>
  <c r="F451" i="133"/>
  <c r="F450" i="133"/>
  <c r="F449" i="133"/>
  <c r="F448" i="133"/>
  <c r="F447" i="133"/>
  <c r="F446" i="133"/>
  <c r="F445" i="133"/>
  <c r="F444" i="133"/>
  <c r="F443" i="133"/>
  <c r="F442" i="133"/>
  <c r="F441" i="133"/>
  <c r="F440" i="133"/>
  <c r="F439" i="133"/>
  <c r="F438" i="133"/>
  <c r="F437" i="133"/>
  <c r="F436" i="133"/>
  <c r="F435" i="133"/>
  <c r="F434" i="133"/>
  <c r="F433" i="133"/>
  <c r="F432" i="133"/>
  <c r="F431" i="133"/>
  <c r="F430" i="133"/>
  <c r="F429" i="133"/>
  <c r="F428" i="133"/>
  <c r="F427" i="133"/>
  <c r="F426" i="133"/>
  <c r="F425" i="133"/>
  <c r="F424" i="133"/>
  <c r="F423" i="133"/>
  <c r="F422" i="133"/>
  <c r="F421" i="133"/>
  <c r="F420" i="133"/>
  <c r="F419" i="133"/>
  <c r="F418" i="133"/>
  <c r="F417" i="133"/>
  <c r="F416" i="133"/>
  <c r="F415" i="133"/>
  <c r="F414" i="133"/>
  <c r="F413" i="133"/>
  <c r="F412" i="133"/>
  <c r="F411" i="133"/>
  <c r="F410" i="133"/>
  <c r="F409" i="133"/>
  <c r="F408" i="133"/>
  <c r="F407" i="133"/>
  <c r="F406" i="133"/>
  <c r="F405" i="133"/>
  <c r="F404" i="133"/>
  <c r="F403" i="133"/>
  <c r="F402" i="133"/>
  <c r="F401" i="133"/>
  <c r="F400" i="133"/>
  <c r="F399" i="133"/>
  <c r="F398" i="133"/>
  <c r="F397" i="133"/>
  <c r="F396" i="133"/>
  <c r="F395" i="133"/>
  <c r="F394" i="133"/>
  <c r="F393" i="133"/>
  <c r="F392" i="133"/>
  <c r="F391" i="133"/>
  <c r="F390" i="133"/>
  <c r="F389" i="133"/>
  <c r="F388" i="133"/>
  <c r="F387" i="133"/>
  <c r="F386" i="133"/>
  <c r="F385" i="133"/>
  <c r="F384" i="133"/>
  <c r="F383" i="133"/>
  <c r="F382" i="133"/>
  <c r="F381" i="133"/>
  <c r="F210" i="133"/>
  <c r="F209" i="133"/>
  <c r="F208" i="133"/>
  <c r="F207" i="133"/>
  <c r="F206" i="133"/>
  <c r="F205" i="133"/>
  <c r="F204" i="133"/>
  <c r="F203" i="133"/>
  <c r="F202" i="133"/>
  <c r="F201" i="133"/>
  <c r="F200" i="133"/>
  <c r="F199" i="133"/>
  <c r="F198" i="133"/>
  <c r="F197" i="133"/>
  <c r="F196" i="133"/>
  <c r="F195" i="133"/>
  <c r="F194" i="133"/>
  <c r="F193" i="133"/>
  <c r="F192" i="133"/>
  <c r="F191" i="133"/>
  <c r="F190" i="133"/>
  <c r="F189" i="133"/>
  <c r="F188" i="133"/>
  <c r="F187" i="133"/>
  <c r="F186" i="133"/>
  <c r="F185" i="133"/>
  <c r="F184" i="133"/>
  <c r="F183" i="133"/>
  <c r="F182" i="133"/>
  <c r="F181" i="133"/>
  <c r="F180" i="133"/>
  <c r="F179" i="133"/>
  <c r="F178" i="133"/>
  <c r="F177" i="133"/>
  <c r="F176" i="133"/>
  <c r="F175" i="133"/>
  <c r="F174" i="133"/>
  <c r="F173" i="133"/>
  <c r="F172" i="133"/>
  <c r="F171" i="133"/>
  <c r="F170" i="133"/>
  <c r="F169" i="133"/>
  <c r="F168" i="133"/>
  <c r="F167" i="133"/>
  <c r="F166" i="133"/>
  <c r="F165" i="133"/>
  <c r="F164" i="133"/>
  <c r="F163" i="133"/>
  <c r="F162" i="133"/>
  <c r="F161" i="133"/>
  <c r="F160" i="133"/>
  <c r="F159" i="133"/>
  <c r="F158" i="133"/>
  <c r="F157" i="133"/>
  <c r="F156" i="133"/>
  <c r="F155" i="133"/>
  <c r="F154" i="133"/>
  <c r="F153" i="133"/>
  <c r="F152" i="133"/>
  <c r="F151" i="133"/>
  <c r="F150" i="133"/>
  <c r="F149" i="133"/>
  <c r="F148" i="133"/>
  <c r="F147" i="133"/>
  <c r="F146" i="133"/>
  <c r="F145" i="133"/>
  <c r="F144" i="133"/>
  <c r="F143" i="133"/>
  <c r="F142" i="133"/>
  <c r="F141" i="133"/>
  <c r="F140" i="133"/>
  <c r="F139" i="133"/>
  <c r="F138" i="133"/>
  <c r="F137" i="133"/>
  <c r="F136" i="133"/>
  <c r="F135" i="133"/>
  <c r="F134" i="133"/>
  <c r="F133" i="133"/>
  <c r="F132" i="133"/>
  <c r="F131" i="133"/>
  <c r="F130" i="133"/>
  <c r="F129" i="133"/>
  <c r="F128" i="133"/>
  <c r="F127" i="133"/>
  <c r="F126" i="133"/>
  <c r="F125" i="133"/>
  <c r="F124" i="133"/>
  <c r="F123" i="133"/>
  <c r="F122" i="133"/>
  <c r="F121" i="133"/>
  <c r="F120" i="133"/>
  <c r="F119" i="133"/>
  <c r="F118" i="133"/>
  <c r="F117" i="133"/>
  <c r="F116" i="133"/>
  <c r="F115" i="133"/>
  <c r="F114" i="133"/>
  <c r="F113" i="133"/>
  <c r="F112" i="133"/>
  <c r="F111" i="133"/>
  <c r="F110" i="133"/>
  <c r="F109" i="133"/>
  <c r="F108" i="133"/>
  <c r="F107" i="133"/>
  <c r="F106" i="133"/>
  <c r="F105" i="133"/>
  <c r="F104" i="133"/>
  <c r="F103" i="133"/>
  <c r="F102" i="133"/>
  <c r="F101" i="133"/>
  <c r="F100" i="133"/>
  <c r="F99" i="133"/>
  <c r="F98" i="133"/>
  <c r="F97" i="133"/>
  <c r="F96" i="133"/>
  <c r="F95" i="133"/>
  <c r="F94" i="133"/>
  <c r="F93" i="133"/>
  <c r="F92" i="133"/>
  <c r="F91" i="133"/>
  <c r="F90" i="133"/>
  <c r="F89" i="133"/>
  <c r="F88" i="133"/>
  <c r="F87" i="133"/>
  <c r="F86" i="133"/>
  <c r="F85" i="133"/>
  <c r="F84" i="133"/>
  <c r="F83" i="133"/>
  <c r="F82" i="133"/>
  <c r="F81" i="133"/>
  <c r="F80" i="133"/>
  <c r="F79" i="133"/>
  <c r="F78" i="133"/>
  <c r="F77" i="133"/>
  <c r="F76" i="133"/>
  <c r="F75" i="133"/>
  <c r="F74" i="133"/>
  <c r="F73" i="133"/>
  <c r="F72" i="133"/>
  <c r="F71" i="133"/>
  <c r="F70" i="133"/>
  <c r="F69" i="133"/>
  <c r="F68" i="133"/>
  <c r="F67" i="133"/>
  <c r="F66" i="133"/>
  <c r="F65" i="133"/>
  <c r="F64" i="133"/>
  <c r="F63" i="133"/>
  <c r="F62" i="133"/>
  <c r="F61" i="133"/>
  <c r="F60" i="133"/>
  <c r="F59" i="133"/>
  <c r="F58" i="133"/>
  <c r="F57" i="133"/>
  <c r="F56" i="133"/>
  <c r="F55" i="133"/>
  <c r="F54" i="133"/>
  <c r="F53" i="133"/>
  <c r="F52" i="133"/>
  <c r="F51" i="133"/>
  <c r="F50" i="133"/>
  <c r="F49" i="133"/>
  <c r="F48" i="133"/>
  <c r="F47" i="133"/>
  <c r="F46" i="133"/>
  <c r="F45" i="133"/>
  <c r="F44" i="133"/>
  <c r="F43" i="133"/>
  <c r="F42" i="133"/>
  <c r="F41" i="133"/>
  <c r="F40" i="133"/>
  <c r="F39" i="133"/>
  <c r="F38" i="133"/>
  <c r="F37" i="133"/>
  <c r="F36" i="133"/>
  <c r="F35" i="133"/>
  <c r="F34" i="133"/>
  <c r="F33" i="133"/>
  <c r="F32" i="133"/>
  <c r="F31" i="133"/>
  <c r="F30" i="133"/>
  <c r="F29" i="133"/>
  <c r="F28" i="133"/>
  <c r="F27" i="133"/>
  <c r="F26" i="133"/>
  <c r="F25" i="133"/>
  <c r="F24" i="133"/>
  <c r="F23" i="133"/>
  <c r="F22" i="133"/>
  <c r="F21" i="133"/>
  <c r="F20" i="133"/>
  <c r="F19" i="133"/>
  <c r="F18" i="133"/>
  <c r="F17" i="133"/>
  <c r="F16" i="133"/>
  <c r="F15" i="133"/>
  <c r="F14" i="133"/>
  <c r="F13" i="133"/>
  <c r="F12" i="133"/>
  <c r="F11" i="133"/>
  <c r="F10" i="133"/>
  <c r="F9" i="133"/>
  <c r="F8" i="133"/>
  <c r="F7" i="133"/>
  <c r="F926" i="43"/>
  <c r="F925" i="43"/>
  <c r="F924" i="43"/>
  <c r="F923" i="43"/>
  <c r="F922" i="43"/>
  <c r="F921" i="43"/>
  <c r="F920" i="43"/>
  <c r="F919" i="43"/>
  <c r="F918" i="43"/>
  <c r="F917" i="43"/>
  <c r="F916" i="43"/>
  <c r="F915" i="43"/>
  <c r="F914" i="43"/>
  <c r="F913" i="43"/>
  <c r="F912" i="43"/>
  <c r="F911" i="43"/>
  <c r="F910" i="43"/>
  <c r="F909" i="43"/>
  <c r="F908" i="43"/>
  <c r="F907" i="43"/>
  <c r="F906" i="43"/>
  <c r="F905" i="43"/>
  <c r="F904" i="43"/>
  <c r="F903" i="43"/>
  <c r="F902" i="43"/>
  <c r="F901" i="43"/>
  <c r="F900" i="43"/>
  <c r="F899" i="43"/>
  <c r="F898" i="43"/>
  <c r="F897" i="43"/>
  <c r="F896" i="43"/>
  <c r="F895" i="43"/>
  <c r="F894" i="43"/>
  <c r="F893" i="43"/>
  <c r="F892" i="43"/>
  <c r="F891" i="43"/>
  <c r="F890" i="43"/>
  <c r="F889" i="43"/>
  <c r="F888" i="43"/>
  <c r="F887" i="43"/>
  <c r="F886" i="43"/>
  <c r="F885" i="43"/>
  <c r="F884" i="43"/>
  <c r="F883" i="43"/>
  <c r="F882" i="43"/>
  <c r="F881" i="43"/>
  <c r="F880" i="43"/>
  <c r="F879" i="43"/>
  <c r="F878" i="43"/>
  <c r="F877" i="43"/>
  <c r="F876" i="43"/>
  <c r="F875" i="43"/>
  <c r="F874" i="43"/>
  <c r="F873" i="43"/>
  <c r="F872" i="43"/>
  <c r="F871" i="43"/>
  <c r="F870" i="43"/>
  <c r="F869" i="43"/>
  <c r="F868" i="43"/>
  <c r="F867" i="43"/>
  <c r="F866" i="43"/>
  <c r="F865" i="43"/>
  <c r="F864" i="43"/>
  <c r="F863" i="43"/>
  <c r="F862" i="43"/>
  <c r="F861" i="43"/>
  <c r="F860" i="43"/>
  <c r="F859" i="43"/>
  <c r="F858" i="43"/>
  <c r="F857" i="43"/>
  <c r="F856" i="43"/>
  <c r="F855" i="43"/>
  <c r="F854" i="43"/>
  <c r="F853" i="43"/>
  <c r="F852" i="43"/>
  <c r="F851" i="43"/>
  <c r="F850" i="43"/>
  <c r="F849" i="43"/>
  <c r="F848" i="43"/>
  <c r="F847" i="43"/>
  <c r="F846" i="43"/>
  <c r="F845" i="43"/>
  <c r="F844" i="43"/>
  <c r="F843" i="43"/>
  <c r="F842" i="43"/>
  <c r="F841" i="43"/>
  <c r="F840" i="43"/>
  <c r="F839" i="43"/>
  <c r="F838" i="43"/>
  <c r="F837" i="43"/>
  <c r="F836" i="43"/>
  <c r="F835" i="43"/>
  <c r="F834" i="43"/>
  <c r="F833" i="43"/>
  <c r="F832" i="43"/>
  <c r="F831" i="43"/>
  <c r="F830" i="43"/>
  <c r="F829" i="43"/>
  <c r="F828" i="43"/>
  <c r="F827" i="43"/>
  <c r="F826" i="43"/>
  <c r="F825" i="43"/>
  <c r="F824" i="43"/>
  <c r="F823" i="43"/>
  <c r="F822" i="43"/>
  <c r="F821" i="43"/>
  <c r="F820" i="43"/>
  <c r="F819" i="43"/>
  <c r="F818" i="43"/>
  <c r="F817" i="43"/>
  <c r="F816" i="43"/>
  <c r="F815" i="43"/>
  <c r="F814" i="43"/>
  <c r="F813" i="43"/>
  <c r="F812" i="43"/>
  <c r="F811" i="43"/>
  <c r="F810" i="43"/>
  <c r="F809" i="43"/>
  <c r="F808" i="43"/>
  <c r="F807" i="43"/>
  <c r="F806" i="43"/>
  <c r="F805" i="43"/>
  <c r="F804" i="43"/>
  <c r="F803" i="43"/>
  <c r="F802" i="43"/>
  <c r="F801" i="43"/>
  <c r="F800" i="43"/>
  <c r="F799" i="43"/>
  <c r="F798" i="43"/>
  <c r="F797" i="43"/>
  <c r="F796" i="43"/>
  <c r="F795" i="43"/>
  <c r="F794" i="43"/>
  <c r="F793" i="43"/>
  <c r="F792" i="43"/>
  <c r="F791" i="43"/>
  <c r="F790" i="43"/>
  <c r="F789" i="43"/>
  <c r="F788" i="43"/>
  <c r="F787" i="43"/>
  <c r="F786" i="43"/>
  <c r="F785" i="43"/>
  <c r="F784" i="43"/>
  <c r="F783" i="43"/>
  <c r="F782" i="43"/>
  <c r="F781" i="43"/>
  <c r="F780" i="43"/>
  <c r="F779" i="43"/>
  <c r="F778" i="43"/>
  <c r="F777" i="43"/>
  <c r="F776" i="43"/>
  <c r="F775" i="43"/>
  <c r="F774" i="43"/>
  <c r="F773" i="43"/>
  <c r="F772" i="43"/>
  <c r="F771" i="43"/>
  <c r="F770" i="43"/>
  <c r="F769" i="43"/>
  <c r="F768" i="43"/>
  <c r="F767" i="43"/>
  <c r="F766" i="43"/>
  <c r="F765" i="43"/>
  <c r="F764" i="43"/>
  <c r="F763" i="43"/>
  <c r="F762" i="43"/>
  <c r="F761" i="43"/>
  <c r="F760" i="43"/>
  <c r="F759" i="43"/>
  <c r="F758" i="43"/>
  <c r="F757" i="43"/>
  <c r="F756" i="43"/>
  <c r="F755" i="43"/>
  <c r="F754" i="43"/>
  <c r="F753" i="43"/>
  <c r="F752" i="43"/>
  <c r="F751" i="43"/>
  <c r="F750" i="43"/>
  <c r="F749" i="43"/>
  <c r="F748" i="43"/>
  <c r="F747" i="43"/>
  <c r="F746" i="43"/>
  <c r="F745" i="43"/>
  <c r="F744" i="43"/>
  <c r="F743" i="43"/>
  <c r="F742" i="43"/>
  <c r="F741" i="43"/>
  <c r="F740" i="43"/>
  <c r="F739" i="43"/>
  <c r="F738" i="43"/>
  <c r="F737" i="43"/>
  <c r="F736" i="43"/>
  <c r="F735" i="43"/>
  <c r="F734" i="43"/>
  <c r="F733" i="43"/>
  <c r="F732" i="43"/>
  <c r="F731" i="43"/>
  <c r="F730" i="43"/>
  <c r="F729" i="43"/>
  <c r="F728" i="43"/>
  <c r="F727" i="43"/>
  <c r="F726" i="43"/>
  <c r="F725" i="43"/>
  <c r="F724" i="43"/>
  <c r="F723" i="43"/>
  <c r="F722" i="43"/>
  <c r="F721" i="43"/>
  <c r="F720" i="43"/>
  <c r="F719" i="43"/>
  <c r="F718" i="43"/>
  <c r="F717" i="43"/>
  <c r="F716" i="43"/>
  <c r="F715" i="43"/>
  <c r="F714" i="43"/>
  <c r="F713" i="43"/>
  <c r="F712" i="43"/>
  <c r="F711" i="43"/>
  <c r="F710" i="43"/>
  <c r="F709" i="43"/>
  <c r="F708" i="43"/>
  <c r="F707" i="43"/>
  <c r="F706" i="43"/>
  <c r="F705" i="43"/>
  <c r="F704" i="43"/>
  <c r="F703" i="43"/>
  <c r="F702" i="43"/>
  <c r="F701" i="43"/>
  <c r="F700" i="43"/>
  <c r="F699" i="43"/>
  <c r="F698" i="43"/>
  <c r="F697" i="43"/>
  <c r="F696" i="43"/>
  <c r="F695" i="43"/>
  <c r="F694" i="43"/>
  <c r="F693" i="43"/>
  <c r="F692" i="43"/>
  <c r="F691" i="43"/>
  <c r="F690" i="43"/>
  <c r="F689" i="43"/>
  <c r="F688" i="43"/>
  <c r="F687" i="43"/>
  <c r="F686" i="43"/>
  <c r="F685" i="43"/>
  <c r="F684" i="43"/>
  <c r="F683" i="43"/>
  <c r="F682" i="43"/>
  <c r="F681" i="43"/>
  <c r="F680" i="43"/>
  <c r="F679" i="43"/>
  <c r="F678" i="43"/>
  <c r="F677" i="43"/>
  <c r="F676" i="43"/>
  <c r="F675" i="43"/>
  <c r="F674" i="43"/>
  <c r="F673" i="43"/>
  <c r="F672" i="43"/>
  <c r="F671" i="43"/>
  <c r="F670" i="43"/>
  <c r="F669" i="43"/>
  <c r="F668" i="43"/>
  <c r="F667" i="43"/>
  <c r="F666" i="43"/>
  <c r="F665" i="43"/>
  <c r="F664" i="43"/>
  <c r="F663" i="43"/>
  <c r="F662" i="43"/>
  <c r="F661" i="43"/>
  <c r="F660" i="43"/>
  <c r="F659" i="43"/>
  <c r="F658" i="43"/>
  <c r="F657" i="43"/>
  <c r="F656" i="43"/>
  <c r="F655" i="43"/>
  <c r="F654" i="43"/>
  <c r="F653" i="43"/>
  <c r="F652" i="43"/>
  <c r="F651" i="43"/>
  <c r="F650" i="43"/>
  <c r="F649" i="43"/>
  <c r="F648" i="43"/>
  <c r="F647" i="43"/>
  <c r="F646" i="43"/>
  <c r="F645" i="43"/>
  <c r="F644" i="43"/>
  <c r="F643" i="43"/>
  <c r="F642" i="43"/>
  <c r="F641" i="43"/>
  <c r="F640" i="43"/>
  <c r="F639" i="43"/>
  <c r="F638" i="43"/>
  <c r="F637" i="43"/>
  <c r="F636" i="43"/>
  <c r="F635" i="43"/>
  <c r="F634" i="43"/>
  <c r="F633" i="43"/>
  <c r="F632" i="43"/>
  <c r="F631" i="43"/>
  <c r="F630" i="43"/>
  <c r="F629" i="43"/>
  <c r="F628" i="43"/>
  <c r="F627" i="43"/>
  <c r="F626" i="43"/>
  <c r="F625" i="43"/>
  <c r="F624" i="43"/>
  <c r="F623" i="43"/>
  <c r="F622" i="43"/>
  <c r="F621" i="43"/>
  <c r="F620" i="43"/>
  <c r="AZ68" i="33"/>
  <c r="BJ63" i="33"/>
  <c r="AT52" i="33"/>
  <c r="BQ52" i="33"/>
  <c r="AT54" i="33"/>
  <c r="BA56" i="33"/>
  <c r="AT57" i="33"/>
  <c r="BH57" i="33"/>
  <c r="AW58" i="33"/>
  <c r="BF59" i="33"/>
  <c r="BF60" i="33"/>
  <c r="AY61" i="33"/>
  <c r="AT62" i="33"/>
  <c r="AT63" i="33"/>
  <c r="BF64" i="33"/>
  <c r="BO65" i="33"/>
  <c r="BO66" i="33"/>
  <c r="BH67" i="33"/>
  <c r="BA68" i="33"/>
  <c r="AT69" i="33"/>
  <c r="AT70" i="33"/>
  <c r="BF71" i="33"/>
  <c r="BO72" i="33"/>
  <c r="BF73" i="33"/>
  <c r="AY74" i="33"/>
  <c r="AT75" i="33"/>
  <c r="AT76" i="33"/>
  <c r="BA77" i="33"/>
  <c r="BF78" i="33"/>
  <c r="BF79" i="33"/>
  <c r="H53" i="35"/>
  <c r="L53" i="35"/>
  <c r="P53" i="35"/>
  <c r="T53" i="35"/>
  <c r="X53" i="35"/>
  <c r="H66" i="133" s="1"/>
  <c r="AB53" i="35"/>
  <c r="AF53" i="35"/>
  <c r="AJ53" i="35"/>
  <c r="AN53" i="35"/>
  <c r="AR53" i="35"/>
  <c r="H54" i="35"/>
  <c r="L54" i="35"/>
  <c r="P54" i="35"/>
  <c r="T54" i="35"/>
  <c r="X54" i="35"/>
  <c r="AB54" i="35"/>
  <c r="AF54" i="35"/>
  <c r="AJ54" i="35"/>
  <c r="AN54" i="35"/>
  <c r="AR54" i="35"/>
  <c r="H55" i="35"/>
  <c r="L55" i="35"/>
  <c r="P55" i="35"/>
  <c r="T55" i="35"/>
  <c r="X55" i="35"/>
  <c r="H146" i="133" s="1"/>
  <c r="AB55" i="35"/>
  <c r="AF55" i="35"/>
  <c r="AJ55" i="35"/>
  <c r="AN55" i="35"/>
  <c r="AR55" i="35"/>
  <c r="H56" i="35"/>
  <c r="L56" i="35"/>
  <c r="P56" i="35"/>
  <c r="H178" i="133" s="1"/>
  <c r="T56" i="35"/>
  <c r="X56" i="35"/>
  <c r="AB56" i="35"/>
  <c r="AF56" i="35"/>
  <c r="AJ56" i="35"/>
  <c r="AN56" i="35"/>
  <c r="AR56" i="35"/>
  <c r="H57" i="35"/>
  <c r="H210" i="133" s="1"/>
  <c r="L57" i="35"/>
  <c r="P57" i="35"/>
  <c r="T57" i="35"/>
  <c r="F53" i="35"/>
  <c r="J53" i="35"/>
  <c r="N53" i="35"/>
  <c r="H56" i="133" s="1"/>
  <c r="R53" i="35"/>
  <c r="V53" i="35"/>
  <c r="H64" i="133" s="1"/>
  <c r="Z53" i="35"/>
  <c r="AD53" i="35"/>
  <c r="AH53" i="35"/>
  <c r="AL53" i="35"/>
  <c r="AP53" i="35"/>
  <c r="F54" i="35"/>
  <c r="J54" i="35"/>
  <c r="N54" i="35"/>
  <c r="H96" i="133" s="1"/>
  <c r="R54" i="35"/>
  <c r="V54" i="35"/>
  <c r="Z54" i="35"/>
  <c r="AD54" i="35"/>
  <c r="AH54" i="35"/>
  <c r="AL54" i="35"/>
  <c r="AP54" i="35"/>
  <c r="F55" i="35"/>
  <c r="H128" i="133" s="1"/>
  <c r="J55" i="35"/>
  <c r="N55" i="35"/>
  <c r="R55" i="35"/>
  <c r="V55" i="35"/>
  <c r="H144" i="133" s="1"/>
  <c r="Z55" i="35"/>
  <c r="AD55" i="35"/>
  <c r="AH55" i="35"/>
  <c r="AL55" i="35"/>
  <c r="H160" i="133" s="1"/>
  <c r="AP55" i="35"/>
  <c r="F56" i="35"/>
  <c r="J56" i="35"/>
  <c r="N56" i="35"/>
  <c r="H176" i="133" s="1"/>
  <c r="R56" i="35"/>
  <c r="V56" i="35"/>
  <c r="Z56" i="35"/>
  <c r="AD56" i="35"/>
  <c r="H192" i="133" s="1"/>
  <c r="AH56" i="35"/>
  <c r="AL56" i="35"/>
  <c r="AP56" i="35"/>
  <c r="F57" i="35"/>
  <c r="J57" i="35"/>
  <c r="N57" i="35"/>
  <c r="H216" i="133" s="1"/>
  <c r="R57" i="35"/>
  <c r="V57" i="35"/>
  <c r="H224" i="133" s="1"/>
  <c r="Z57" i="35"/>
  <c r="AD57" i="35"/>
  <c r="H232" i="133" s="1"/>
  <c r="AH57" i="35"/>
  <c r="AL57" i="35"/>
  <c r="AP57" i="35"/>
  <c r="F58" i="35"/>
  <c r="H248" i="133" s="1"/>
  <c r="J58" i="35"/>
  <c r="H252" i="133" s="1"/>
  <c r="N58" i="35"/>
  <c r="H256" i="133" s="1"/>
  <c r="R58" i="35"/>
  <c r="V58" i="35"/>
  <c r="Z58" i="35"/>
  <c r="AD58" i="35"/>
  <c r="H272" i="133" s="1"/>
  <c r="AH58" i="35"/>
  <c r="AL58" i="35"/>
  <c r="AP58" i="35"/>
  <c r="F59" i="35"/>
  <c r="H288" i="133" s="1"/>
  <c r="J59" i="35"/>
  <c r="N59" i="35"/>
  <c r="H296" i="133" s="1"/>
  <c r="R59" i="35"/>
  <c r="V59" i="35"/>
  <c r="H304" i="133" s="1"/>
  <c r="Z59" i="35"/>
  <c r="AD59" i="35"/>
  <c r="AH59" i="35"/>
  <c r="AL59" i="35"/>
  <c r="AP59" i="35"/>
  <c r="F60" i="35"/>
  <c r="J60" i="35"/>
  <c r="N60" i="35"/>
  <c r="H336" i="133" s="1"/>
  <c r="R60" i="35"/>
  <c r="V60" i="35"/>
  <c r="Z60" i="35"/>
  <c r="AD60" i="35"/>
  <c r="H352" i="133" s="1"/>
  <c r="AH60" i="35"/>
  <c r="AL60" i="35"/>
  <c r="AP60" i="35"/>
  <c r="F61" i="35"/>
  <c r="J61" i="35"/>
  <c r="N61" i="35"/>
  <c r="H376" i="133" s="1"/>
  <c r="R61" i="35"/>
  <c r="V61" i="35"/>
  <c r="I53" i="35"/>
  <c r="Q53" i="35"/>
  <c r="Y53" i="35"/>
  <c r="AG53" i="35"/>
  <c r="AO53" i="35"/>
  <c r="I54" i="35"/>
  <c r="Q54" i="35"/>
  <c r="Y54" i="35"/>
  <c r="AG54" i="35"/>
  <c r="AO54" i="35"/>
  <c r="I55" i="35"/>
  <c r="Q55" i="35"/>
  <c r="Y55" i="35"/>
  <c r="AG55" i="35"/>
  <c r="H155" i="133" s="1"/>
  <c r="AO55" i="35"/>
  <c r="I56" i="35"/>
  <c r="H171" i="133" s="1"/>
  <c r="Q56" i="35"/>
  <c r="Y56" i="35"/>
  <c r="AG56" i="35"/>
  <c r="AO56" i="35"/>
  <c r="I57" i="35"/>
  <c r="Q57" i="35"/>
  <c r="X57" i="35"/>
  <c r="AC57" i="35"/>
  <c r="AI57" i="35"/>
  <c r="AN57" i="35"/>
  <c r="E58" i="35"/>
  <c r="K58" i="35"/>
  <c r="P58" i="35"/>
  <c r="U58" i="35"/>
  <c r="AA58" i="35"/>
  <c r="AF58" i="35"/>
  <c r="AK58" i="35"/>
  <c r="AQ58" i="35"/>
  <c r="H59" i="35"/>
  <c r="M59" i="35"/>
  <c r="S59" i="35"/>
  <c r="X59" i="35"/>
  <c r="AC59" i="35"/>
  <c r="AI59" i="35"/>
  <c r="AN59" i="35"/>
  <c r="E60" i="35"/>
  <c r="K60" i="35"/>
  <c r="P60" i="35"/>
  <c r="U60" i="35"/>
  <c r="AA60" i="35"/>
  <c r="AF60" i="35"/>
  <c r="AK60" i="35"/>
  <c r="AQ60" i="35"/>
  <c r="H61" i="35"/>
  <c r="M61" i="35"/>
  <c r="S61" i="35"/>
  <c r="H381" i="133" s="1"/>
  <c r="X61" i="35"/>
  <c r="AB61" i="35"/>
  <c r="AF61" i="35"/>
  <c r="AJ61" i="35"/>
  <c r="H398" i="133" s="1"/>
  <c r="AN61" i="35"/>
  <c r="AR61" i="35"/>
  <c r="H62" i="35"/>
  <c r="L62" i="35"/>
  <c r="H414" i="133" s="1"/>
  <c r="P62" i="35"/>
  <c r="T62" i="35"/>
  <c r="X62" i="35"/>
  <c r="AB62" i="35"/>
  <c r="AF62" i="35"/>
  <c r="AJ62" i="35"/>
  <c r="AN62" i="35"/>
  <c r="AR62" i="35"/>
  <c r="H446" i="133" s="1"/>
  <c r="H63" i="35"/>
  <c r="K53" i="35"/>
  <c r="S53" i="35"/>
  <c r="AA53" i="35"/>
  <c r="H69" i="133" s="1"/>
  <c r="AI53" i="35"/>
  <c r="AQ53" i="35"/>
  <c r="K54" i="35"/>
  <c r="S54" i="35"/>
  <c r="AA54" i="35"/>
  <c r="AI54" i="35"/>
  <c r="AQ54" i="35"/>
  <c r="K55" i="35"/>
  <c r="S55" i="35"/>
  <c r="AA55" i="35"/>
  <c r="AI55" i="35"/>
  <c r="AQ55" i="35"/>
  <c r="K56" i="35"/>
  <c r="S56" i="35"/>
  <c r="AA56" i="35"/>
  <c r="AI56" i="35"/>
  <c r="AQ56" i="35"/>
  <c r="K57" i="35"/>
  <c r="S57" i="35"/>
  <c r="Y57" i="35"/>
  <c r="H227" i="133" s="1"/>
  <c r="AE57" i="35"/>
  <c r="AJ57" i="35"/>
  <c r="AO57" i="35"/>
  <c r="G58" i="35"/>
  <c r="H249" i="133" s="1"/>
  <c r="L58" i="35"/>
  <c r="Q58" i="35"/>
  <c r="W58" i="35"/>
  <c r="AB58" i="35"/>
  <c r="AG58" i="35"/>
  <c r="AM58" i="35"/>
  <c r="AR58" i="35"/>
  <c r="I59" i="35"/>
  <c r="H291" i="133" s="1"/>
  <c r="O59" i="35"/>
  <c r="T59" i="35"/>
  <c r="Y59" i="35"/>
  <c r="AE59" i="35"/>
  <c r="H313" i="133" s="1"/>
  <c r="AJ59" i="35"/>
  <c r="AO59" i="35"/>
  <c r="G60" i="35"/>
  <c r="L60" i="35"/>
  <c r="Q60" i="35"/>
  <c r="W60" i="35"/>
  <c r="AB60" i="35"/>
  <c r="AG60" i="35"/>
  <c r="AM60" i="35"/>
  <c r="AR60" i="35"/>
  <c r="I61" i="35"/>
  <c r="O61" i="35"/>
  <c r="T61" i="35"/>
  <c r="Y61" i="35"/>
  <c r="AC61" i="35"/>
  <c r="AG61" i="35"/>
  <c r="H395" i="133" s="1"/>
  <c r="AK61" i="35"/>
  <c r="AO61" i="35"/>
  <c r="E62" i="35"/>
  <c r="I62" i="35"/>
  <c r="M62" i="35"/>
  <c r="Q62" i="35"/>
  <c r="U62" i="35"/>
  <c r="Y62" i="35"/>
  <c r="H427" i="133" s="1"/>
  <c r="AC62" i="35"/>
  <c r="AG62" i="35"/>
  <c r="AK62" i="35"/>
  <c r="AO62" i="35"/>
  <c r="E63" i="35"/>
  <c r="I63" i="35"/>
  <c r="M63" i="35"/>
  <c r="Q63" i="35"/>
  <c r="H459" i="133" s="1"/>
  <c r="U63" i="35"/>
  <c r="Y63" i="35"/>
  <c r="AC63" i="35"/>
  <c r="AG63" i="35"/>
  <c r="AK63" i="35"/>
  <c r="AO63" i="35"/>
  <c r="E64" i="35"/>
  <c r="I64" i="35"/>
  <c r="H491" i="133" s="1"/>
  <c r="M64" i="35"/>
  <c r="Q64" i="35"/>
  <c r="U64" i="35"/>
  <c r="Y64" i="35"/>
  <c r="AC64" i="35"/>
  <c r="AG64" i="35"/>
  <c r="H515" i="133" s="1"/>
  <c r="E53" i="35"/>
  <c r="U53" i="35"/>
  <c r="AK53" i="35"/>
  <c r="M54" i="35"/>
  <c r="AC54" i="35"/>
  <c r="E55" i="35"/>
  <c r="H127" i="133" s="1"/>
  <c r="U55" i="35"/>
  <c r="AK55" i="35"/>
  <c r="M56" i="35"/>
  <c r="AC56" i="35"/>
  <c r="E57" i="35"/>
  <c r="U57" i="35"/>
  <c r="AF57" i="35"/>
  <c r="AQ57" i="35"/>
  <c r="H245" i="133" s="1"/>
  <c r="M58" i="35"/>
  <c r="X58" i="35"/>
  <c r="AI58" i="35"/>
  <c r="E59" i="35"/>
  <c r="H287" i="133" s="1"/>
  <c r="P59" i="35"/>
  <c r="AA59" i="35"/>
  <c r="AK59" i="35"/>
  <c r="H60" i="35"/>
  <c r="H330" i="133" s="1"/>
  <c r="S60" i="35"/>
  <c r="AC60" i="35"/>
  <c r="AN60" i="35"/>
  <c r="K61" i="35"/>
  <c r="H373" i="133" s="1"/>
  <c r="U61" i="35"/>
  <c r="AD61" i="35"/>
  <c r="AL61" i="35"/>
  <c r="F62" i="35"/>
  <c r="H408" i="133" s="1"/>
  <c r="N62" i="35"/>
  <c r="V62" i="35"/>
  <c r="AD62" i="35"/>
  <c r="AL62" i="35"/>
  <c r="F63" i="35"/>
  <c r="L63" i="35"/>
  <c r="R63" i="35"/>
  <c r="W63" i="35"/>
  <c r="AB63" i="35"/>
  <c r="AH63" i="35"/>
  <c r="AM63" i="35"/>
  <c r="AR63" i="35"/>
  <c r="J64" i="35"/>
  <c r="O64" i="35"/>
  <c r="T64" i="35"/>
  <c r="Z64" i="35"/>
  <c r="AE64" i="35"/>
  <c r="H513" i="133" s="1"/>
  <c r="AJ64" i="35"/>
  <c r="AN64" i="35"/>
  <c r="AR64" i="35"/>
  <c r="H65" i="35"/>
  <c r="L65" i="35"/>
  <c r="M53" i="35"/>
  <c r="AC53" i="35"/>
  <c r="H71" i="133" s="1"/>
  <c r="E54" i="35"/>
  <c r="U54" i="35"/>
  <c r="AK54" i="35"/>
  <c r="M55" i="35"/>
  <c r="H135" i="133" s="1"/>
  <c r="AC55" i="35"/>
  <c r="E56" i="35"/>
  <c r="U56" i="35"/>
  <c r="AK56" i="35"/>
  <c r="H199" i="133" s="1"/>
  <c r="M57" i="35"/>
  <c r="AA57" i="35"/>
  <c r="AK57" i="35"/>
  <c r="H58" i="35"/>
  <c r="S58" i="35"/>
  <c r="AC58" i="35"/>
  <c r="AN58" i="35"/>
  <c r="K59" i="35"/>
  <c r="H293" i="133" s="1"/>
  <c r="U59" i="35"/>
  <c r="AF59" i="35"/>
  <c r="AQ59" i="35"/>
  <c r="M60" i="35"/>
  <c r="H335" i="133" s="1"/>
  <c r="X60" i="35"/>
  <c r="AI60" i="35"/>
  <c r="E61" i="35"/>
  <c r="P61" i="35"/>
  <c r="Z61" i="35"/>
  <c r="AH61" i="35"/>
  <c r="AP61" i="35"/>
  <c r="J62" i="35"/>
  <c r="R62" i="35"/>
  <c r="Z62" i="35"/>
  <c r="AH62" i="35"/>
  <c r="AP62" i="35"/>
  <c r="H444" i="133" s="1"/>
  <c r="J63" i="35"/>
  <c r="O63" i="35"/>
  <c r="T63" i="35"/>
  <c r="Z63" i="35"/>
  <c r="AE63" i="35"/>
  <c r="AJ63" i="35"/>
  <c r="AP63" i="35"/>
  <c r="G64" i="35"/>
  <c r="H489" i="133" s="1"/>
  <c r="L64" i="35"/>
  <c r="R64" i="35"/>
  <c r="W64" i="35"/>
  <c r="AB64" i="35"/>
  <c r="AH64" i="35"/>
  <c r="AL64" i="35"/>
  <c r="AP64" i="35"/>
  <c r="F65" i="35"/>
  <c r="H528" i="133" s="1"/>
  <c r="J65" i="35"/>
  <c r="N65" i="35"/>
  <c r="H536" i="133" s="1"/>
  <c r="R65" i="35"/>
  <c r="V65" i="35"/>
  <c r="H544" i="133" s="1"/>
  <c r="Z65" i="35"/>
  <c r="AD65" i="35"/>
  <c r="AH65" i="35"/>
  <c r="AL65" i="35"/>
  <c r="AP65" i="35"/>
  <c r="F66" i="35"/>
  <c r="J66" i="35"/>
  <c r="N66" i="35"/>
  <c r="H576" i="133" s="1"/>
  <c r="R66" i="35"/>
  <c r="V66" i="35"/>
  <c r="Z66" i="35"/>
  <c r="AD66" i="35"/>
  <c r="H592" i="133" s="1"/>
  <c r="AH66" i="35"/>
  <c r="AL66" i="35"/>
  <c r="AP66" i="35"/>
  <c r="F67" i="35"/>
  <c r="J67" i="35"/>
  <c r="N67" i="35"/>
  <c r="H616" i="133" s="1"/>
  <c r="R67" i="35"/>
  <c r="V67" i="35"/>
  <c r="Z67" i="35"/>
  <c r="AD67" i="35"/>
  <c r="AH67" i="35"/>
  <c r="AL67" i="35"/>
  <c r="H640" i="133" s="1"/>
  <c r="AP67" i="35"/>
  <c r="F68" i="35"/>
  <c r="J68" i="35"/>
  <c r="N68" i="35"/>
  <c r="H656" i="133" s="1"/>
  <c r="R68" i="35"/>
  <c r="V68" i="35"/>
  <c r="Z68" i="35"/>
  <c r="AD68" i="35"/>
  <c r="AH68" i="35"/>
  <c r="AL68" i="35"/>
  <c r="AP68" i="35"/>
  <c r="F69" i="35"/>
  <c r="H688" i="133" s="1"/>
  <c r="J69" i="35"/>
  <c r="N69" i="35"/>
  <c r="H696" i="133" s="1"/>
  <c r="R69" i="35"/>
  <c r="V69" i="35"/>
  <c r="H704" i="133" s="1"/>
  <c r="Z69" i="35"/>
  <c r="AD69" i="35"/>
  <c r="AH69" i="35"/>
  <c r="AL69" i="35"/>
  <c r="H720" i="133" s="1"/>
  <c r="AP69" i="35"/>
  <c r="F70" i="35"/>
  <c r="H728" i="133" s="1"/>
  <c r="J70" i="35"/>
  <c r="N70" i="35"/>
  <c r="H736" i="133" s="1"/>
  <c r="R70" i="35"/>
  <c r="V70" i="35"/>
  <c r="H744" i="133" s="1"/>
  <c r="Z70" i="35"/>
  <c r="AD70" i="35"/>
  <c r="H752" i="133" s="1"/>
  <c r="AH70" i="35"/>
  <c r="H756" i="133" s="1"/>
  <c r="AL70" i="35"/>
  <c r="AP70" i="35"/>
  <c r="F71" i="35"/>
  <c r="H768" i="133" s="1"/>
  <c r="J71" i="35"/>
  <c r="N71" i="35"/>
  <c r="H776" i="133" s="1"/>
  <c r="R71" i="35"/>
  <c r="V71" i="35"/>
  <c r="H784" i="133" s="1"/>
  <c r="Z71" i="35"/>
  <c r="AD71" i="35"/>
  <c r="AH71" i="35"/>
  <c r="AL71" i="35"/>
  <c r="AP71" i="35"/>
  <c r="H804" i="133" s="1"/>
  <c r="F72" i="35"/>
  <c r="J72" i="35"/>
  <c r="N72" i="35"/>
  <c r="H816" i="133" s="1"/>
  <c r="R72" i="35"/>
  <c r="V72" i="35"/>
  <c r="Z72" i="35"/>
  <c r="AD72" i="35"/>
  <c r="AH72" i="35"/>
  <c r="AL72" i="35"/>
  <c r="AP72" i="35"/>
  <c r="F73" i="35"/>
  <c r="H848" i="133" s="1"/>
  <c r="J73" i="35"/>
  <c r="N73" i="35"/>
  <c r="H856" i="133" s="1"/>
  <c r="R73" i="35"/>
  <c r="H860" i="133" s="1"/>
  <c r="V73" i="35"/>
  <c r="H864" i="133" s="1"/>
  <c r="Z73" i="35"/>
  <c r="AD73" i="35"/>
  <c r="AH73" i="35"/>
  <c r="AL73" i="35"/>
  <c r="H880" i="133" s="1"/>
  <c r="AP73" i="35"/>
  <c r="F74" i="35"/>
  <c r="J74" i="35"/>
  <c r="H892" i="133" s="1"/>
  <c r="N74" i="35"/>
  <c r="H896" i="133" s="1"/>
  <c r="R74" i="35"/>
  <c r="V74" i="35"/>
  <c r="Z74" i="35"/>
  <c r="AD74" i="35"/>
  <c r="AH74" i="35"/>
  <c r="AL74" i="35"/>
  <c r="AP74" i="35"/>
  <c r="H924" i="133" s="1"/>
  <c r="F75" i="35"/>
  <c r="J75" i="35"/>
  <c r="N75" i="35"/>
  <c r="R75" i="35"/>
  <c r="V75" i="35"/>
  <c r="H944" i="133" s="1"/>
  <c r="Z75" i="35"/>
  <c r="AD75" i="35"/>
  <c r="AH75" i="35"/>
  <c r="H956" i="133" s="1"/>
  <c r="AL75" i="35"/>
  <c r="H960" i="133" s="1"/>
  <c r="AP75" i="35"/>
  <c r="F76" i="35"/>
  <c r="J76" i="35"/>
  <c r="H972" i="133" s="1"/>
  <c r="N76" i="35"/>
  <c r="H976" i="133" s="1"/>
  <c r="R76" i="35"/>
  <c r="O53" i="35"/>
  <c r="AE53" i="35"/>
  <c r="G54" i="35"/>
  <c r="W54" i="35"/>
  <c r="AM54" i="35"/>
  <c r="O55" i="35"/>
  <c r="H137" i="133" s="1"/>
  <c r="AE55" i="35"/>
  <c r="G56" i="35"/>
  <c r="W56" i="35"/>
  <c r="AM56" i="35"/>
  <c r="O57" i="35"/>
  <c r="AB57" i="35"/>
  <c r="AM57" i="35"/>
  <c r="I58" i="35"/>
  <c r="H251" i="133" s="1"/>
  <c r="T58" i="35"/>
  <c r="H262" i="133" s="1"/>
  <c r="AE58" i="35"/>
  <c r="AO58" i="35"/>
  <c r="L59" i="35"/>
  <c r="W59" i="35"/>
  <c r="H305" i="133" s="1"/>
  <c r="AG59" i="35"/>
  <c r="AR59" i="35"/>
  <c r="O60" i="35"/>
  <c r="H337" i="133" s="1"/>
  <c r="Y60" i="35"/>
  <c r="H347" i="133" s="1"/>
  <c r="AJ60" i="35"/>
  <c r="G61" i="35"/>
  <c r="Q61" i="35"/>
  <c r="H379" i="133" s="1"/>
  <c r="AA61" i="35"/>
  <c r="H389" i="133" s="1"/>
  <c r="AI61" i="35"/>
  <c r="AQ61" i="35"/>
  <c r="K62" i="35"/>
  <c r="H413" i="133" s="1"/>
  <c r="S62" i="35"/>
  <c r="H421" i="133" s="1"/>
  <c r="AA62" i="35"/>
  <c r="AI62" i="35"/>
  <c r="AQ62" i="35"/>
  <c r="K63" i="35"/>
  <c r="H453" i="133" s="1"/>
  <c r="P63" i="35"/>
  <c r="V63" i="35"/>
  <c r="AA63" i="35"/>
  <c r="H469" i="133" s="1"/>
  <c r="AF63" i="35"/>
  <c r="H474" i="133" s="1"/>
  <c r="AL63" i="35"/>
  <c r="AQ63" i="35"/>
  <c r="H64" i="35"/>
  <c r="H490" i="133" s="1"/>
  <c r="N64" i="35"/>
  <c r="H496" i="133" s="1"/>
  <c r="S64" i="35"/>
  <c r="X64" i="35"/>
  <c r="AD64" i="35"/>
  <c r="H512" i="133" s="1"/>
  <c r="AI64" i="35"/>
  <c r="H517" i="133" s="1"/>
  <c r="AM64" i="35"/>
  <c r="AQ64" i="35"/>
  <c r="G65" i="35"/>
  <c r="K65" i="35"/>
  <c r="H533" i="133" s="1"/>
  <c r="O65" i="35"/>
  <c r="S65" i="35"/>
  <c r="W65" i="35"/>
  <c r="AA65" i="35"/>
  <c r="AE65" i="35"/>
  <c r="H553" i="133" s="1"/>
  <c r="AI65" i="35"/>
  <c r="AM65" i="35"/>
  <c r="AQ65" i="35"/>
  <c r="H565" i="133" s="1"/>
  <c r="G66" i="35"/>
  <c r="K66" i="35"/>
  <c r="O66" i="35"/>
  <c r="H577" i="133" s="1"/>
  <c r="S66" i="35"/>
  <c r="H581" i="133" s="1"/>
  <c r="W66" i="35"/>
  <c r="AA66" i="35"/>
  <c r="AE66" i="35"/>
  <c r="H593" i="133" s="1"/>
  <c r="AI66" i="35"/>
  <c r="H597" i="133" s="1"/>
  <c r="AM66" i="35"/>
  <c r="AQ66" i="35"/>
  <c r="G67" i="35"/>
  <c r="H609" i="133" s="1"/>
  <c r="K67" i="35"/>
  <c r="H613" i="133" s="1"/>
  <c r="O67" i="35"/>
  <c r="S67" i="35"/>
  <c r="W67" i="35"/>
  <c r="H625" i="133" s="1"/>
  <c r="AA67" i="35"/>
  <c r="H629" i="133" s="1"/>
  <c r="AE67" i="35"/>
  <c r="AI67" i="35"/>
  <c r="AM67" i="35"/>
  <c r="H641" i="133" s="1"/>
  <c r="AQ67" i="35"/>
  <c r="H645" i="133" s="1"/>
  <c r="G68" i="35"/>
  <c r="K68" i="35"/>
  <c r="O68" i="35"/>
  <c r="H657" i="133" s="1"/>
  <c r="S68" i="35"/>
  <c r="H661" i="133" s="1"/>
  <c r="W68" i="35"/>
  <c r="AA68" i="35"/>
  <c r="AE68" i="35"/>
  <c r="H673" i="133" s="1"/>
  <c r="AI68" i="35"/>
  <c r="H677" i="133" s="1"/>
  <c r="AM68" i="35"/>
  <c r="AQ68" i="35"/>
  <c r="G69" i="35"/>
  <c r="H689" i="133" s="1"/>
  <c r="K69" i="35"/>
  <c r="H693" i="133" s="1"/>
  <c r="O69" i="35"/>
  <c r="S69" i="35"/>
  <c r="W69" i="35"/>
  <c r="AA69" i="35"/>
  <c r="H709" i="133" s="1"/>
  <c r="AE69" i="35"/>
  <c r="AI69" i="35"/>
  <c r="AM69" i="35"/>
  <c r="H721" i="133" s="1"/>
  <c r="AQ69" i="35"/>
  <c r="H725" i="133" s="1"/>
  <c r="G70" i="35"/>
  <c r="K70" i="35"/>
  <c r="O70" i="35"/>
  <c r="H737" i="133" s="1"/>
  <c r="S70" i="35"/>
  <c r="H741" i="133" s="1"/>
  <c r="W70" i="35"/>
  <c r="AA70" i="35"/>
  <c r="AE70" i="35"/>
  <c r="H753" i="133" s="1"/>
  <c r="AI70" i="35"/>
  <c r="H757" i="133" s="1"/>
  <c r="AM70" i="35"/>
  <c r="AQ70" i="35"/>
  <c r="G71" i="35"/>
  <c r="H769" i="133" s="1"/>
  <c r="K71" i="35"/>
  <c r="O71" i="35"/>
  <c r="S71" i="35"/>
  <c r="W71" i="35"/>
  <c r="AA71" i="35"/>
  <c r="H789" i="133" s="1"/>
  <c r="AE71" i="35"/>
  <c r="AI71" i="35"/>
  <c r="AM71" i="35"/>
  <c r="H801" i="133" s="1"/>
  <c r="AQ71" i="35"/>
  <c r="H805" i="133" s="1"/>
  <c r="G72" i="35"/>
  <c r="K72" i="35"/>
  <c r="O72" i="35"/>
  <c r="H817" i="133" s="1"/>
  <c r="S72" i="35"/>
  <c r="H821" i="133" s="1"/>
  <c r="W72" i="35"/>
  <c r="AA72" i="35"/>
  <c r="AE72" i="35"/>
  <c r="AI72" i="35"/>
  <c r="AM72" i="35"/>
  <c r="AQ72" i="35"/>
  <c r="G73" i="35"/>
  <c r="K73" i="35"/>
  <c r="H853" i="133" s="1"/>
  <c r="O73" i="35"/>
  <c r="S73" i="35"/>
  <c r="W73" i="35"/>
  <c r="H865" i="133" s="1"/>
  <c r="AA73" i="35"/>
  <c r="AE73" i="35"/>
  <c r="H873" i="133" s="1"/>
  <c r="AI73" i="35"/>
  <c r="AM73" i="35"/>
  <c r="AQ73" i="35"/>
  <c r="H885" i="133" s="1"/>
  <c r="G74" i="35"/>
  <c r="K74" i="35"/>
  <c r="O74" i="35"/>
  <c r="H897" i="133" s="1"/>
  <c r="S74" i="35"/>
  <c r="H901" i="133" s="1"/>
  <c r="W74" i="35"/>
  <c r="AA74" i="35"/>
  <c r="AE74" i="35"/>
  <c r="AI74" i="35"/>
  <c r="H917" i="133" s="1"/>
  <c r="AM74" i="35"/>
  <c r="AQ74" i="35"/>
  <c r="G75" i="35"/>
  <c r="H929" i="133" s="1"/>
  <c r="K75" i="35"/>
  <c r="H933" i="133" s="1"/>
  <c r="O75" i="35"/>
  <c r="S75" i="35"/>
  <c r="W75" i="35"/>
  <c r="H945" i="133" s="1"/>
  <c r="AA75" i="35"/>
  <c r="H949" i="133" s="1"/>
  <c r="AE75" i="35"/>
  <c r="AI75" i="35"/>
  <c r="AM75" i="35"/>
  <c r="AQ75" i="35"/>
  <c r="G76" i="35"/>
  <c r="K76" i="35"/>
  <c r="O76" i="35"/>
  <c r="H977" i="133" s="1"/>
  <c r="S76" i="35"/>
  <c r="H981" i="133" s="1"/>
  <c r="W76" i="35"/>
  <c r="AA76" i="35"/>
  <c r="AE76" i="35"/>
  <c r="H993" i="133" s="1"/>
  <c r="AI76" i="35"/>
  <c r="H997" i="133" s="1"/>
  <c r="AM76" i="35"/>
  <c r="AQ76" i="35"/>
  <c r="G77" i="35"/>
  <c r="H1009" i="133" s="1"/>
  <c r="G53" i="35"/>
  <c r="H49" i="133" s="1"/>
  <c r="AE54" i="35"/>
  <c r="O56" i="35"/>
  <c r="AG57" i="35"/>
  <c r="H235" i="133" s="1"/>
  <c r="AJ58" i="35"/>
  <c r="H278" i="133" s="1"/>
  <c r="AM59" i="35"/>
  <c r="AO60" i="35"/>
  <c r="AM61" i="35"/>
  <c r="H401" i="133" s="1"/>
  <c r="AE62" i="35"/>
  <c r="H433" i="133" s="1"/>
  <c r="S63" i="35"/>
  <c r="AN63" i="35"/>
  <c r="V64" i="35"/>
  <c r="H504" i="133" s="1"/>
  <c r="AO64" i="35"/>
  <c r="H523" i="133" s="1"/>
  <c r="P65" i="35"/>
  <c r="X65" i="35"/>
  <c r="AF65" i="35"/>
  <c r="H554" i="133" s="1"/>
  <c r="AN65" i="35"/>
  <c r="H562" i="133" s="1"/>
  <c r="H66" i="35"/>
  <c r="P66" i="35"/>
  <c r="X66" i="35"/>
  <c r="H586" i="133" s="1"/>
  <c r="AF66" i="35"/>
  <c r="H594" i="133" s="1"/>
  <c r="AN66" i="35"/>
  <c r="H67" i="35"/>
  <c r="P67" i="35"/>
  <c r="H618" i="133" s="1"/>
  <c r="X67" i="35"/>
  <c r="AF67" i="35"/>
  <c r="AN67" i="35"/>
  <c r="H68" i="35"/>
  <c r="H650" i="133" s="1"/>
  <c r="P68" i="35"/>
  <c r="H658" i="133" s="1"/>
  <c r="X68" i="35"/>
  <c r="AF68" i="35"/>
  <c r="H674" i="133" s="1"/>
  <c r="AN68" i="35"/>
  <c r="H682" i="133" s="1"/>
  <c r="H69" i="35"/>
  <c r="H690" i="133" s="1"/>
  <c r="P69" i="35"/>
  <c r="X69" i="35"/>
  <c r="AF69" i="35"/>
  <c r="H714" i="133" s="1"/>
  <c r="AN69" i="35"/>
  <c r="H722" i="133" s="1"/>
  <c r="H70" i="35"/>
  <c r="P70" i="35"/>
  <c r="H738" i="133" s="1"/>
  <c r="X70" i="35"/>
  <c r="H746" i="133" s="1"/>
  <c r="AF70" i="35"/>
  <c r="AN70" i="35"/>
  <c r="H71" i="35"/>
  <c r="P71" i="35"/>
  <c r="H778" i="133" s="1"/>
  <c r="X71" i="35"/>
  <c r="H786" i="133" s="1"/>
  <c r="AF71" i="35"/>
  <c r="AN71" i="35"/>
  <c r="H72" i="35"/>
  <c r="H810" i="133" s="1"/>
  <c r="P72" i="35"/>
  <c r="H818" i="133" s="1"/>
  <c r="X72" i="35"/>
  <c r="AF72" i="35"/>
  <c r="H834" i="133" s="1"/>
  <c r="AN72" i="35"/>
  <c r="H842" i="133" s="1"/>
  <c r="H73" i="35"/>
  <c r="H850" i="133" s="1"/>
  <c r="P73" i="35"/>
  <c r="X73" i="35"/>
  <c r="AF73" i="35"/>
  <c r="H874" i="133" s="1"/>
  <c r="AN73" i="35"/>
  <c r="H882" i="133" s="1"/>
  <c r="H74" i="35"/>
  <c r="P74" i="35"/>
  <c r="X74" i="35"/>
  <c r="H906" i="133" s="1"/>
  <c r="AF74" i="35"/>
  <c r="H914" i="133" s="1"/>
  <c r="AN74" i="35"/>
  <c r="H75" i="35"/>
  <c r="P75" i="35"/>
  <c r="H938" i="133" s="1"/>
  <c r="X75" i="35"/>
  <c r="H946" i="133" s="1"/>
  <c r="AF75" i="35"/>
  <c r="AN75" i="35"/>
  <c r="H76" i="35"/>
  <c r="H970" i="133" s="1"/>
  <c r="P76" i="35"/>
  <c r="V76" i="35"/>
  <c r="AB76" i="35"/>
  <c r="AG76" i="35"/>
  <c r="H995" i="133" s="1"/>
  <c r="AL76" i="35"/>
  <c r="H1000" i="133" s="1"/>
  <c r="AR76" i="35"/>
  <c r="I77" i="35"/>
  <c r="M77" i="35"/>
  <c r="H1015" i="133" s="1"/>
  <c r="Q77" i="35"/>
  <c r="H1019" i="133" s="1"/>
  <c r="U77" i="35"/>
  <c r="Y77" i="35"/>
  <c r="AC77" i="35"/>
  <c r="H1031" i="133" s="1"/>
  <c r="AG77" i="35"/>
  <c r="H1035" i="133" s="1"/>
  <c r="AK77" i="35"/>
  <c r="AO77" i="35"/>
  <c r="E78" i="35"/>
  <c r="H1047" i="133" s="1"/>
  <c r="I78" i="35"/>
  <c r="H1051" i="133" s="1"/>
  <c r="W53" i="35"/>
  <c r="G55" i="35"/>
  <c r="AE56" i="35"/>
  <c r="H193" i="133" s="1"/>
  <c r="AR57" i="35"/>
  <c r="H246" i="133" s="1"/>
  <c r="G59" i="35"/>
  <c r="I60" i="35"/>
  <c r="L61" i="35"/>
  <c r="G62" i="35"/>
  <c r="H409" i="133" s="1"/>
  <c r="AM62" i="35"/>
  <c r="X63" i="35"/>
  <c r="F64" i="35"/>
  <c r="H488" i="133" s="1"/>
  <c r="O54" i="35"/>
  <c r="H97" i="133" s="1"/>
  <c r="AM55" i="35"/>
  <c r="W57" i="35"/>
  <c r="Y58" i="35"/>
  <c r="H267" i="133" s="1"/>
  <c r="AB59" i="35"/>
  <c r="H310" i="133" s="1"/>
  <c r="AE60" i="35"/>
  <c r="AE61" i="35"/>
  <c r="W62" i="35"/>
  <c r="N63" i="35"/>
  <c r="H456" i="133" s="1"/>
  <c r="AI63" i="35"/>
  <c r="P64" i="35"/>
  <c r="AK64" i="35"/>
  <c r="H519" i="133" s="1"/>
  <c r="M65" i="35"/>
  <c r="H535" i="133" s="1"/>
  <c r="U65" i="35"/>
  <c r="AC65" i="35"/>
  <c r="AK65" i="35"/>
  <c r="H559" i="133" s="1"/>
  <c r="E66" i="35"/>
  <c r="H567" i="133" s="1"/>
  <c r="M66" i="35"/>
  <c r="U66" i="35"/>
  <c r="AC66" i="35"/>
  <c r="H591" i="133" s="1"/>
  <c r="AK66" i="35"/>
  <c r="H599" i="133" s="1"/>
  <c r="E67" i="35"/>
  <c r="M67" i="35"/>
  <c r="U67" i="35"/>
  <c r="H623" i="133" s="1"/>
  <c r="AC67" i="35"/>
  <c r="AK67" i="35"/>
  <c r="E68" i="35"/>
  <c r="M68" i="35"/>
  <c r="H655" i="133" s="1"/>
  <c r="U68" i="35"/>
  <c r="H663" i="133" s="1"/>
  <c r="AC68" i="35"/>
  <c r="AK68" i="35"/>
  <c r="E69" i="35"/>
  <c r="H687" i="133" s="1"/>
  <c r="M69" i="35"/>
  <c r="H695" i="133" s="1"/>
  <c r="U69" i="35"/>
  <c r="AC69" i="35"/>
  <c r="H711" i="133" s="1"/>
  <c r="AK69" i="35"/>
  <c r="H719" i="133" s="1"/>
  <c r="E70" i="35"/>
  <c r="H727" i="133" s="1"/>
  <c r="M70" i="35"/>
  <c r="U70" i="35"/>
  <c r="H743" i="133" s="1"/>
  <c r="AC70" i="35"/>
  <c r="AK70" i="35"/>
  <c r="H759" i="133" s="1"/>
  <c r="E71" i="35"/>
  <c r="M71" i="35"/>
  <c r="H775" i="133" s="1"/>
  <c r="U71" i="35"/>
  <c r="H783" i="133" s="1"/>
  <c r="AC71" i="35"/>
  <c r="H791" i="133" s="1"/>
  <c r="AK71" i="35"/>
  <c r="E72" i="35"/>
  <c r="M72" i="35"/>
  <c r="H815" i="133" s="1"/>
  <c r="U72" i="35"/>
  <c r="H823" i="133" s="1"/>
  <c r="AC72" i="35"/>
  <c r="AK72" i="35"/>
  <c r="E73" i="35"/>
  <c r="H847" i="133" s="1"/>
  <c r="M73" i="35"/>
  <c r="H855" i="133" s="1"/>
  <c r="U73" i="35"/>
  <c r="AC73" i="35"/>
  <c r="H871" i="133" s="1"/>
  <c r="AK73" i="35"/>
  <c r="H879" i="133" s="1"/>
  <c r="E74" i="35"/>
  <c r="M74" i="35"/>
  <c r="U74" i="35"/>
  <c r="AC74" i="35"/>
  <c r="H911" i="133" s="1"/>
  <c r="AK74" i="35"/>
  <c r="H919" i="133" s="1"/>
  <c r="E75" i="35"/>
  <c r="M75" i="35"/>
  <c r="U75" i="35"/>
  <c r="H943" i="133" s="1"/>
  <c r="AC75" i="35"/>
  <c r="H951" i="133" s="1"/>
  <c r="AK75" i="35"/>
  <c r="E76" i="35"/>
  <c r="M76" i="35"/>
  <c r="H975" i="133" s="1"/>
  <c r="U76" i="35"/>
  <c r="Z76" i="35"/>
  <c r="AF76" i="35"/>
  <c r="AK76" i="35"/>
  <c r="H999" i="133" s="1"/>
  <c r="AP76" i="35"/>
  <c r="H1004" i="133" s="1"/>
  <c r="H77" i="35"/>
  <c r="L77" i="35"/>
  <c r="P77" i="35"/>
  <c r="H1018" i="133" s="1"/>
  <c r="T77" i="35"/>
  <c r="X77" i="35"/>
  <c r="AB77" i="35"/>
  <c r="AF77" i="35"/>
  <c r="H1034" i="133" s="1"/>
  <c r="AJ77" i="35"/>
  <c r="AN77" i="35"/>
  <c r="AR77" i="35"/>
  <c r="H78" i="35"/>
  <c r="H1050" i="133" s="1"/>
  <c r="L78" i="35"/>
  <c r="H1054" i="133" s="1"/>
  <c r="P78" i="35"/>
  <c r="T78" i="35"/>
  <c r="X78" i="35"/>
  <c r="H1066" i="133" s="1"/>
  <c r="AB78" i="35"/>
  <c r="AF78" i="35"/>
  <c r="AJ78" i="35"/>
  <c r="AN78" i="35"/>
  <c r="AR78" i="35"/>
  <c r="H1086" i="133" s="1"/>
  <c r="H52" i="35"/>
  <c r="L52" i="35"/>
  <c r="P52" i="35"/>
  <c r="H18" i="133" s="1"/>
  <c r="T52" i="35"/>
  <c r="H22" i="133" s="1"/>
  <c r="X52" i="35"/>
  <c r="AB52" i="35"/>
  <c r="AF52" i="35"/>
  <c r="H34" i="133" s="1"/>
  <c r="AJ52" i="35"/>
  <c r="H38" i="133" s="1"/>
  <c r="AN52" i="35"/>
  <c r="AR52" i="35"/>
  <c r="H11" i="35"/>
  <c r="H50" i="43" s="1"/>
  <c r="L11" i="35"/>
  <c r="H54" i="43" s="1"/>
  <c r="P11" i="35"/>
  <c r="H58" i="43" s="1"/>
  <c r="T11" i="35"/>
  <c r="X11" i="35"/>
  <c r="H66" i="43" s="1"/>
  <c r="AB11" i="35"/>
  <c r="H70" i="43" s="1"/>
  <c r="AF11" i="35"/>
  <c r="H74" i="43" s="1"/>
  <c r="AJ11" i="35"/>
  <c r="AN11" i="35"/>
  <c r="H82" i="43" s="1"/>
  <c r="AR11" i="35"/>
  <c r="H86" i="43" s="1"/>
  <c r="H12" i="35"/>
  <c r="H90" i="43" s="1"/>
  <c r="L12" i="35"/>
  <c r="P12" i="35"/>
  <c r="H98" i="43" s="1"/>
  <c r="T12" i="35"/>
  <c r="X12" i="35"/>
  <c r="AB12" i="35"/>
  <c r="AF12" i="35"/>
  <c r="H114" i="43" s="1"/>
  <c r="AJ12" i="35"/>
  <c r="H118" i="43" s="1"/>
  <c r="AN12" i="35"/>
  <c r="H122" i="43" s="1"/>
  <c r="AR12" i="35"/>
  <c r="H13" i="35"/>
  <c r="H130" i="43" s="1"/>
  <c r="L13" i="35"/>
  <c r="H134" i="43" s="1"/>
  <c r="P13" i="35"/>
  <c r="H138" i="43" s="1"/>
  <c r="T13" i="35"/>
  <c r="X13" i="35"/>
  <c r="H146" i="43" s="1"/>
  <c r="AB13" i="35"/>
  <c r="H150" i="43" s="1"/>
  <c r="AF13" i="35"/>
  <c r="H154" i="43" s="1"/>
  <c r="AJ13" i="35"/>
  <c r="AN13" i="35"/>
  <c r="H162" i="43" s="1"/>
  <c r="AR13" i="35"/>
  <c r="H166" i="43" s="1"/>
  <c r="H14" i="35"/>
  <c r="H170" i="43" s="1"/>
  <c r="L14" i="35"/>
  <c r="P14" i="35"/>
  <c r="T14" i="35"/>
  <c r="H182" i="43" s="1"/>
  <c r="X14" i="35"/>
  <c r="H186" i="43" s="1"/>
  <c r="AB14" i="35"/>
  <c r="AF14" i="35"/>
  <c r="H194" i="43" s="1"/>
  <c r="AJ14" i="35"/>
  <c r="AN14" i="35"/>
  <c r="AR14" i="35"/>
  <c r="H15" i="35"/>
  <c r="H210" i="43" s="1"/>
  <c r="L15" i="35"/>
  <c r="H214" i="43" s="1"/>
  <c r="P15" i="35"/>
  <c r="H218" i="43" s="1"/>
  <c r="T15" i="35"/>
  <c r="X15" i="35"/>
  <c r="H226" i="43" s="1"/>
  <c r="AB15" i="35"/>
  <c r="H230" i="43" s="1"/>
  <c r="AF15" i="35"/>
  <c r="H234" i="43" s="1"/>
  <c r="AJ15" i="35"/>
  <c r="AN15" i="35"/>
  <c r="H242" i="43" s="1"/>
  <c r="AR15" i="35"/>
  <c r="H246" i="43" s="1"/>
  <c r="H16" i="35"/>
  <c r="L16" i="35"/>
  <c r="P16" i="35"/>
  <c r="H258" i="43" s="1"/>
  <c r="T16" i="35"/>
  <c r="H262" i="43" s="1"/>
  <c r="X16" i="35"/>
  <c r="H266" i="43" s="1"/>
  <c r="AB16" i="35"/>
  <c r="AF16" i="35"/>
  <c r="H274" i="43" s="1"/>
  <c r="AJ16" i="35"/>
  <c r="H278" i="43" s="1"/>
  <c r="AN16" i="35"/>
  <c r="H282" i="43" s="1"/>
  <c r="AR16" i="35"/>
  <c r="H17" i="35"/>
  <c r="H290" i="43" s="1"/>
  <c r="L17" i="35"/>
  <c r="H294" i="43" s="1"/>
  <c r="P17" i="35"/>
  <c r="H298" i="43" s="1"/>
  <c r="T17" i="35"/>
  <c r="X17" i="35"/>
  <c r="H306" i="43" s="1"/>
  <c r="AB17" i="35"/>
  <c r="H310" i="43" s="1"/>
  <c r="AF17" i="35"/>
  <c r="H314" i="43" s="1"/>
  <c r="AJ17" i="35"/>
  <c r="AN17" i="35"/>
  <c r="H322" i="43" s="1"/>
  <c r="AR17" i="35"/>
  <c r="H326" i="43" s="1"/>
  <c r="H18" i="35"/>
  <c r="H330" i="43" s="1"/>
  <c r="L18" i="35"/>
  <c r="P18" i="35"/>
  <c r="H338" i="43" s="1"/>
  <c r="T18" i="35"/>
  <c r="H342" i="43" s="1"/>
  <c r="X18" i="35"/>
  <c r="H346" i="43" s="1"/>
  <c r="AB18" i="35"/>
  <c r="AF18" i="35"/>
  <c r="H354" i="43" s="1"/>
  <c r="AJ18" i="35"/>
  <c r="H358" i="43" s="1"/>
  <c r="AN18" i="35"/>
  <c r="H362" i="43" s="1"/>
  <c r="AR18" i="35"/>
  <c r="H19" i="35"/>
  <c r="H370" i="43" s="1"/>
  <c r="L19" i="35"/>
  <c r="H374" i="43" s="1"/>
  <c r="P19" i="35"/>
  <c r="H378" i="43" s="1"/>
  <c r="T19" i="35"/>
  <c r="X19" i="35"/>
  <c r="H386" i="43" s="1"/>
  <c r="AB19" i="35"/>
  <c r="H390" i="43" s="1"/>
  <c r="AF19" i="35"/>
  <c r="H394" i="43" s="1"/>
  <c r="AJ19" i="35"/>
  <c r="AN19" i="35"/>
  <c r="H402" i="43" s="1"/>
  <c r="AR19" i="35"/>
  <c r="H406" i="43" s="1"/>
  <c r="H20" i="35"/>
  <c r="H410" i="43" s="1"/>
  <c r="L20" i="35"/>
  <c r="P20" i="35"/>
  <c r="H418" i="43" s="1"/>
  <c r="T20" i="35"/>
  <c r="H422" i="43" s="1"/>
  <c r="X20" i="35"/>
  <c r="H426" i="43" s="1"/>
  <c r="AB20" i="35"/>
  <c r="AF20" i="35"/>
  <c r="AJ20" i="35"/>
  <c r="H438" i="43" s="1"/>
  <c r="AN20" i="35"/>
  <c r="AR20" i="35"/>
  <c r="H21" i="35"/>
  <c r="H450" i="43" s="1"/>
  <c r="L21" i="35"/>
  <c r="H454" i="43" s="1"/>
  <c r="P21" i="35"/>
  <c r="H458" i="43" s="1"/>
  <c r="T21" i="35"/>
  <c r="X21" i="35"/>
  <c r="H466" i="43" s="1"/>
  <c r="AB21" i="35"/>
  <c r="H470" i="43" s="1"/>
  <c r="AF21" i="35"/>
  <c r="H474" i="43" s="1"/>
  <c r="AJ21" i="35"/>
  <c r="AN21" i="35"/>
  <c r="H482" i="43" s="1"/>
  <c r="AR21" i="35"/>
  <c r="H22" i="35"/>
  <c r="H490" i="43" s="1"/>
  <c r="L22" i="35"/>
  <c r="P22" i="35"/>
  <c r="H498" i="43" s="1"/>
  <c r="T22" i="35"/>
  <c r="H502" i="43" s="1"/>
  <c r="X22" i="35"/>
  <c r="H506" i="43" s="1"/>
  <c r="AB22" i="35"/>
  <c r="AF22" i="35"/>
  <c r="H514" i="43" s="1"/>
  <c r="AJ22" i="35"/>
  <c r="H518" i="43" s="1"/>
  <c r="AN22" i="35"/>
  <c r="AR22" i="35"/>
  <c r="H23" i="35"/>
  <c r="H530" i="43" s="1"/>
  <c r="L23" i="35"/>
  <c r="H534" i="43" s="1"/>
  <c r="P23" i="35"/>
  <c r="T23" i="35"/>
  <c r="X23" i="35"/>
  <c r="H546" i="43" s="1"/>
  <c r="AB23" i="35"/>
  <c r="H550" i="43" s="1"/>
  <c r="AF23" i="35"/>
  <c r="AJ23" i="35"/>
  <c r="AN23" i="35"/>
  <c r="H562" i="43" s="1"/>
  <c r="AR23" i="35"/>
  <c r="H566" i="43" s="1"/>
  <c r="H24" i="35"/>
  <c r="H570" i="43" s="1"/>
  <c r="L24" i="35"/>
  <c r="P24" i="35"/>
  <c r="H578" i="43" s="1"/>
  <c r="T24" i="35"/>
  <c r="H582" i="43" s="1"/>
  <c r="X24" i="35"/>
  <c r="H586" i="43" s="1"/>
  <c r="AB24" i="35"/>
  <c r="AF24" i="35"/>
  <c r="H594" i="43" s="1"/>
  <c r="AJ24" i="35"/>
  <c r="H598" i="43" s="1"/>
  <c r="AN24" i="35"/>
  <c r="H602" i="43" s="1"/>
  <c r="AR24" i="35"/>
  <c r="H25" i="35"/>
  <c r="H610" i="43" s="1"/>
  <c r="L25" i="35"/>
  <c r="H614" i="43" s="1"/>
  <c r="P25" i="35"/>
  <c r="H618" i="43" s="1"/>
  <c r="T25" i="35"/>
  <c r="X25" i="35"/>
  <c r="H626" i="43" s="1"/>
  <c r="AB25" i="35"/>
  <c r="H630" i="43" s="1"/>
  <c r="AF25" i="35"/>
  <c r="H634" i="43" s="1"/>
  <c r="AJ25" i="35"/>
  <c r="AN25" i="35"/>
  <c r="H642" i="43" s="1"/>
  <c r="AR25" i="35"/>
  <c r="H646" i="43" s="1"/>
  <c r="H26" i="35"/>
  <c r="H650" i="43" s="1"/>
  <c r="L26" i="35"/>
  <c r="P26" i="35"/>
  <c r="H658" i="43" s="1"/>
  <c r="T26" i="35"/>
  <c r="H662" i="43" s="1"/>
  <c r="X26" i="35"/>
  <c r="AB26" i="35"/>
  <c r="AF26" i="35"/>
  <c r="H674" i="43" s="1"/>
  <c r="AJ26" i="35"/>
  <c r="H678" i="43" s="1"/>
  <c r="AN26" i="35"/>
  <c r="AR26" i="35"/>
  <c r="H27" i="35"/>
  <c r="H690" i="43" s="1"/>
  <c r="L27" i="35"/>
  <c r="H694" i="43" s="1"/>
  <c r="P27" i="35"/>
  <c r="H698" i="43" s="1"/>
  <c r="T27" i="35"/>
  <c r="X27" i="35"/>
  <c r="H706" i="43" s="1"/>
  <c r="AB27" i="35"/>
  <c r="H710" i="43" s="1"/>
  <c r="AF27" i="35"/>
  <c r="H714" i="43" s="1"/>
  <c r="AJ27" i="35"/>
  <c r="AN27" i="35"/>
  <c r="H722" i="43" s="1"/>
  <c r="AR27" i="35"/>
  <c r="H726" i="43" s="1"/>
  <c r="H28" i="35"/>
  <c r="L28" i="35"/>
  <c r="P28" i="35"/>
  <c r="H738" i="43" s="1"/>
  <c r="T28" i="35"/>
  <c r="H742" i="43" s="1"/>
  <c r="X28" i="35"/>
  <c r="H746" i="43" s="1"/>
  <c r="W55" i="35"/>
  <c r="T60" i="35"/>
  <c r="H342" i="133" s="1"/>
  <c r="AD63" i="35"/>
  <c r="H472" i="133" s="1"/>
  <c r="E65" i="35"/>
  <c r="Y65" i="35"/>
  <c r="AO65" i="35"/>
  <c r="H563" i="133" s="1"/>
  <c r="Q66" i="35"/>
  <c r="H579" i="133" s="1"/>
  <c r="AG66" i="35"/>
  <c r="I67" i="35"/>
  <c r="Y67" i="35"/>
  <c r="H627" i="133" s="1"/>
  <c r="AO67" i="35"/>
  <c r="H643" i="133" s="1"/>
  <c r="Q68" i="35"/>
  <c r="H659" i="133" s="1"/>
  <c r="AG68" i="35"/>
  <c r="I69" i="35"/>
  <c r="H691" i="133" s="1"/>
  <c r="Y69" i="35"/>
  <c r="H707" i="133" s="1"/>
  <c r="AO69" i="35"/>
  <c r="H723" i="133" s="1"/>
  <c r="Q70" i="35"/>
  <c r="H739" i="133" s="1"/>
  <c r="AG70" i="35"/>
  <c r="H755" i="133" s="1"/>
  <c r="I71" i="35"/>
  <c r="H771" i="133" s="1"/>
  <c r="Y71" i="35"/>
  <c r="AO71" i="35"/>
  <c r="Q72" i="35"/>
  <c r="H819" i="133" s="1"/>
  <c r="AG72" i="35"/>
  <c r="H835" i="133" s="1"/>
  <c r="I73" i="35"/>
  <c r="H851" i="133" s="1"/>
  <c r="Y73" i="35"/>
  <c r="AO73" i="35"/>
  <c r="H883" i="133" s="1"/>
  <c r="Q74" i="35"/>
  <c r="H899" i="133" s="1"/>
  <c r="AG74" i="35"/>
  <c r="I75" i="35"/>
  <c r="Y75" i="35"/>
  <c r="H947" i="133" s="1"/>
  <c r="AO75" i="35"/>
  <c r="H963" i="133" s="1"/>
  <c r="Q76" i="35"/>
  <c r="AC76" i="35"/>
  <c r="AN76" i="35"/>
  <c r="H1002" i="133" s="1"/>
  <c r="J77" i="35"/>
  <c r="H1012" i="133" s="1"/>
  <c r="R77" i="35"/>
  <c r="H1020" i="133" s="1"/>
  <c r="Z77" i="35"/>
  <c r="AH77" i="35"/>
  <c r="H1036" i="133" s="1"/>
  <c r="AP77" i="35"/>
  <c r="H1044" i="133" s="1"/>
  <c r="J78" i="35"/>
  <c r="O78" i="35"/>
  <c r="U78" i="35"/>
  <c r="H1063" i="133" s="1"/>
  <c r="Z78" i="35"/>
  <c r="H1068" i="133" s="1"/>
  <c r="AE78" i="35"/>
  <c r="AK78" i="35"/>
  <c r="AP78" i="35"/>
  <c r="H1084" i="133" s="1"/>
  <c r="G52" i="35"/>
  <c r="H9" i="133" s="1"/>
  <c r="M52" i="35"/>
  <c r="R52" i="35"/>
  <c r="W52" i="35"/>
  <c r="AC52" i="35"/>
  <c r="H31" i="133" s="1"/>
  <c r="AH52" i="35"/>
  <c r="AM52" i="35"/>
  <c r="E11" i="35"/>
  <c r="H47" i="43" s="1"/>
  <c r="J11" i="35"/>
  <c r="H52" i="43" s="1"/>
  <c r="O11" i="35"/>
  <c r="H57" i="43" s="1"/>
  <c r="U11" i="35"/>
  <c r="Z11" i="35"/>
  <c r="AE11" i="35"/>
  <c r="H73" i="43" s="1"/>
  <c r="AK11" i="35"/>
  <c r="H79" i="43" s="1"/>
  <c r="AP11" i="35"/>
  <c r="H84" i="43" s="1"/>
  <c r="G12" i="35"/>
  <c r="H89" i="43" s="1"/>
  <c r="M12" i="35"/>
  <c r="H95" i="43" s="1"/>
  <c r="R12" i="35"/>
  <c r="W12" i="35"/>
  <c r="AC12" i="35"/>
  <c r="H111" i="43" s="1"/>
  <c r="AH12" i="35"/>
  <c r="H116" i="43" s="1"/>
  <c r="AM12" i="35"/>
  <c r="H121" i="43" s="1"/>
  <c r="E13" i="35"/>
  <c r="J13" i="35"/>
  <c r="H132" i="43" s="1"/>
  <c r="O13" i="35"/>
  <c r="H137" i="43" s="1"/>
  <c r="U13" i="35"/>
  <c r="Z13" i="35"/>
  <c r="AE13" i="35"/>
  <c r="H153" i="43" s="1"/>
  <c r="AK13" i="35"/>
  <c r="H159" i="43" s="1"/>
  <c r="AP13" i="35"/>
  <c r="H164" i="43" s="1"/>
  <c r="G14" i="35"/>
  <c r="M14" i="35"/>
  <c r="H175" i="43" s="1"/>
  <c r="R14" i="35"/>
  <c r="H180" i="43" s="1"/>
  <c r="W14" i="35"/>
  <c r="AC14" i="35"/>
  <c r="AH14" i="35"/>
  <c r="H196" i="43" s="1"/>
  <c r="AM14" i="35"/>
  <c r="H201" i="43" s="1"/>
  <c r="E15" i="35"/>
  <c r="H207" i="43" s="1"/>
  <c r="J15" i="35"/>
  <c r="G57" i="35"/>
  <c r="H209" i="133" s="1"/>
  <c r="W61" i="35"/>
  <c r="H385" i="133" s="1"/>
  <c r="K64" i="35"/>
  <c r="H493" i="133" s="1"/>
  <c r="I65" i="35"/>
  <c r="AB65" i="35"/>
  <c r="AR65" i="35"/>
  <c r="H566" i="133" s="1"/>
  <c r="T66" i="35"/>
  <c r="H582" i="133" s="1"/>
  <c r="AJ66" i="35"/>
  <c r="L67" i="35"/>
  <c r="H614" i="133" s="1"/>
  <c r="AB67" i="35"/>
  <c r="H630" i="133" s="1"/>
  <c r="AR67" i="35"/>
  <c r="H646" i="133" s="1"/>
  <c r="T68" i="35"/>
  <c r="AJ68" i="35"/>
  <c r="H678" i="133" s="1"/>
  <c r="L69" i="35"/>
  <c r="H694" i="133" s="1"/>
  <c r="AB69" i="35"/>
  <c r="AR69" i="35"/>
  <c r="T70" i="35"/>
  <c r="H742" i="133" s="1"/>
  <c r="AJ70" i="35"/>
  <c r="H758" i="133" s="1"/>
  <c r="L71" i="35"/>
  <c r="AB71" i="35"/>
  <c r="AR71" i="35"/>
  <c r="H806" i="133" s="1"/>
  <c r="T72" i="35"/>
  <c r="H822" i="133" s="1"/>
  <c r="AJ72" i="35"/>
  <c r="L73" i="35"/>
  <c r="AB73" i="35"/>
  <c r="H870" i="133" s="1"/>
  <c r="AR73" i="35"/>
  <c r="H886" i="133" s="1"/>
  <c r="T74" i="35"/>
  <c r="H902" i="133" s="1"/>
  <c r="AJ74" i="35"/>
  <c r="L75" i="35"/>
  <c r="H934" i="133" s="1"/>
  <c r="AB75" i="35"/>
  <c r="H950" i="133" s="1"/>
  <c r="AR75" i="35"/>
  <c r="T76" i="35"/>
  <c r="H982" i="133" s="1"/>
  <c r="AD76" i="35"/>
  <c r="H992" i="133" s="1"/>
  <c r="AO76" i="35"/>
  <c r="H1003" i="133" s="1"/>
  <c r="K77" i="35"/>
  <c r="S77" i="35"/>
  <c r="H1021" i="133" s="1"/>
  <c r="AA77" i="35"/>
  <c r="AI77" i="35"/>
  <c r="H1037" i="133" s="1"/>
  <c r="AQ77" i="35"/>
  <c r="K78" i="35"/>
  <c r="H1053" i="133" s="1"/>
  <c r="Q78" i="35"/>
  <c r="H1059" i="133" s="1"/>
  <c r="V78" i="35"/>
  <c r="H1064" i="133" s="1"/>
  <c r="AA78" i="35"/>
  <c r="AG78" i="35"/>
  <c r="H1075" i="133" s="1"/>
  <c r="AL78" i="35"/>
  <c r="H1080" i="133" s="1"/>
  <c r="AQ78" i="35"/>
  <c r="H1085" i="133" s="1"/>
  <c r="I52" i="35"/>
  <c r="N52" i="35"/>
  <c r="H16" i="133" s="1"/>
  <c r="S52" i="35"/>
  <c r="H21" i="133" s="1"/>
  <c r="Y52" i="35"/>
  <c r="H27" i="133" s="1"/>
  <c r="AD52" i="35"/>
  <c r="AI52" i="35"/>
  <c r="AO52" i="35"/>
  <c r="F11" i="35"/>
  <c r="H48" i="43" s="1"/>
  <c r="K11" i="35"/>
  <c r="Q11" i="35"/>
  <c r="V11" i="35"/>
  <c r="H64" i="43" s="1"/>
  <c r="AA11" i="35"/>
  <c r="H69" i="43" s="1"/>
  <c r="AG11" i="35"/>
  <c r="H75" i="43" s="1"/>
  <c r="AL11" i="35"/>
  <c r="H80" i="43" s="1"/>
  <c r="AQ11" i="35"/>
  <c r="H85" i="43" s="1"/>
  <c r="I12" i="35"/>
  <c r="H91" i="43" s="1"/>
  <c r="N12" i="35"/>
  <c r="H96" i="43" s="1"/>
  <c r="S12" i="35"/>
  <c r="Y12" i="35"/>
  <c r="H107" i="43" s="1"/>
  <c r="AD12" i="35"/>
  <c r="H112" i="43" s="1"/>
  <c r="AI12" i="35"/>
  <c r="H117" i="43" s="1"/>
  <c r="AO12" i="35"/>
  <c r="H123" i="43" s="1"/>
  <c r="F13" i="35"/>
  <c r="H128" i="43" s="1"/>
  <c r="K13" i="35"/>
  <c r="H133" i="43" s="1"/>
  <c r="Q13" i="35"/>
  <c r="H139" i="43" s="1"/>
  <c r="V13" i="35"/>
  <c r="AA13" i="35"/>
  <c r="H149" i="43" s="1"/>
  <c r="AG13" i="35"/>
  <c r="H155" i="43" s="1"/>
  <c r="AL13" i="35"/>
  <c r="H160" i="43" s="1"/>
  <c r="AQ13" i="35"/>
  <c r="I14" i="35"/>
  <c r="H171" i="43" s="1"/>
  <c r="N14" i="35"/>
  <c r="H176" i="43" s="1"/>
  <c r="S14" i="35"/>
  <c r="H181" i="43" s="1"/>
  <c r="O58" i="35"/>
  <c r="H257" i="133" s="1"/>
  <c r="O62" i="35"/>
  <c r="H417" i="133" s="1"/>
  <c r="AA64" i="35"/>
  <c r="H509" i="133" s="1"/>
  <c r="Q65" i="35"/>
  <c r="AG65" i="35"/>
  <c r="H555" i="133" s="1"/>
  <c r="I66" i="35"/>
  <c r="H571" i="133" s="1"/>
  <c r="Y66" i="35"/>
  <c r="H587" i="133" s="1"/>
  <c r="AO66" i="35"/>
  <c r="H603" i="133" s="1"/>
  <c r="Q67" i="35"/>
  <c r="AG67" i="35"/>
  <c r="H635" i="133" s="1"/>
  <c r="I68" i="35"/>
  <c r="H651" i="133" s="1"/>
  <c r="Y68" i="35"/>
  <c r="AO68" i="35"/>
  <c r="H683" i="133" s="1"/>
  <c r="Q69" i="35"/>
  <c r="H699" i="133" s="1"/>
  <c r="AG69" i="35"/>
  <c r="I70" i="35"/>
  <c r="H731" i="133" s="1"/>
  <c r="Y70" i="35"/>
  <c r="H747" i="133" s="1"/>
  <c r="AO70" i="35"/>
  <c r="H763" i="133" s="1"/>
  <c r="Q71" i="35"/>
  <c r="H779" i="133" s="1"/>
  <c r="AG71" i="35"/>
  <c r="I72" i="35"/>
  <c r="H811" i="133" s="1"/>
  <c r="Y72" i="35"/>
  <c r="H827" i="133" s="1"/>
  <c r="AO72" i="35"/>
  <c r="H843" i="133" s="1"/>
  <c r="Q73" i="35"/>
  <c r="H859" i="133" s="1"/>
  <c r="AG73" i="35"/>
  <c r="H875" i="133" s="1"/>
  <c r="I74" i="35"/>
  <c r="H891" i="133" s="1"/>
  <c r="AM53" i="35"/>
  <c r="H81" i="133" s="1"/>
  <c r="T65" i="35"/>
  <c r="AR66" i="35"/>
  <c r="AB68" i="35"/>
  <c r="L70" i="35"/>
  <c r="H734" i="133" s="1"/>
  <c r="AJ71" i="35"/>
  <c r="T73" i="35"/>
  <c r="H862" i="133" s="1"/>
  <c r="AB74" i="35"/>
  <c r="H910" i="133" s="1"/>
  <c r="T75" i="35"/>
  <c r="H942" i="133" s="1"/>
  <c r="L76" i="35"/>
  <c r="AJ76" i="35"/>
  <c r="H998" i="133" s="1"/>
  <c r="O77" i="35"/>
  <c r="H1017" i="133" s="1"/>
  <c r="AE77" i="35"/>
  <c r="H1033" i="133" s="1"/>
  <c r="G78" i="35"/>
  <c r="H1049" i="133" s="1"/>
  <c r="S78" i="35"/>
  <c r="H1061" i="133" s="1"/>
  <c r="AD78" i="35"/>
  <c r="H1072" i="133" s="1"/>
  <c r="AO78" i="35"/>
  <c r="H1083" i="133" s="1"/>
  <c r="K52" i="35"/>
  <c r="V52" i="35"/>
  <c r="AG52" i="35"/>
  <c r="H35" i="133" s="1"/>
  <c r="AQ52" i="35"/>
  <c r="H45" i="133" s="1"/>
  <c r="N11" i="35"/>
  <c r="H56" i="43" s="1"/>
  <c r="Y11" i="35"/>
  <c r="AI11" i="35"/>
  <c r="H77" i="43" s="1"/>
  <c r="F12" i="35"/>
  <c r="H88" i="43" s="1"/>
  <c r="Q12" i="35"/>
  <c r="H99" i="43" s="1"/>
  <c r="AA12" i="35"/>
  <c r="AL12" i="35"/>
  <c r="I13" i="35"/>
  <c r="H131" i="43" s="1"/>
  <c r="S13" i="35"/>
  <c r="AD13" i="35"/>
  <c r="AO13" i="35"/>
  <c r="H163" i="43" s="1"/>
  <c r="K14" i="35"/>
  <c r="H173" i="43" s="1"/>
  <c r="V14" i="35"/>
  <c r="H184" i="43" s="1"/>
  <c r="AD14" i="35"/>
  <c r="AK14" i="35"/>
  <c r="H199" i="43" s="1"/>
  <c r="AQ14" i="35"/>
  <c r="H205" i="43" s="1"/>
  <c r="K15" i="35"/>
  <c r="H213" i="43" s="1"/>
  <c r="Q15" i="35"/>
  <c r="V15" i="35"/>
  <c r="H224" i="43" s="1"/>
  <c r="AA15" i="35"/>
  <c r="H229" i="43" s="1"/>
  <c r="AG15" i="35"/>
  <c r="H235" i="43" s="1"/>
  <c r="AL15" i="35"/>
  <c r="H240" i="43" s="1"/>
  <c r="AQ15" i="35"/>
  <c r="H245" i="43" s="1"/>
  <c r="I16" i="35"/>
  <c r="H251" i="43" s="1"/>
  <c r="N16" i="35"/>
  <c r="S16" i="35"/>
  <c r="Y16" i="35"/>
  <c r="H267" i="43" s="1"/>
  <c r="AD16" i="35"/>
  <c r="H272" i="43" s="1"/>
  <c r="AI16" i="35"/>
  <c r="AO16" i="35"/>
  <c r="H283" i="43" s="1"/>
  <c r="F17" i="35"/>
  <c r="K17" i="35"/>
  <c r="H293" i="43" s="1"/>
  <c r="Q17" i="35"/>
  <c r="V17" i="35"/>
  <c r="AA17" i="35"/>
  <c r="H309" i="43" s="1"/>
  <c r="AG17" i="35"/>
  <c r="H315" i="43" s="1"/>
  <c r="AL17" i="35"/>
  <c r="H320" i="43" s="1"/>
  <c r="AQ17" i="35"/>
  <c r="I18" i="35"/>
  <c r="H331" i="43" s="1"/>
  <c r="N18" i="35"/>
  <c r="H336" i="43" s="1"/>
  <c r="S18" i="35"/>
  <c r="H341" i="43" s="1"/>
  <c r="Y18" i="35"/>
  <c r="AD18" i="35"/>
  <c r="H352" i="43" s="1"/>
  <c r="AI18" i="35"/>
  <c r="H357" i="43" s="1"/>
  <c r="AO18" i="35"/>
  <c r="F19" i="35"/>
  <c r="K19" i="35"/>
  <c r="Q19" i="35"/>
  <c r="H379" i="43" s="1"/>
  <c r="V19" i="35"/>
  <c r="H384" i="43" s="1"/>
  <c r="G63" i="35"/>
  <c r="H449" i="133" s="1"/>
  <c r="L66" i="35"/>
  <c r="H574" i="133" s="1"/>
  <c r="AJ67" i="35"/>
  <c r="H638" i="133" s="1"/>
  <c r="T69" i="35"/>
  <c r="AR70" i="35"/>
  <c r="H766" i="133" s="1"/>
  <c r="AB72" i="35"/>
  <c r="H830" i="133" s="1"/>
  <c r="L74" i="35"/>
  <c r="H894" i="133" s="1"/>
  <c r="AR74" i="35"/>
  <c r="H926" i="133" s="1"/>
  <c r="AJ75" i="35"/>
  <c r="H958" i="133" s="1"/>
  <c r="Y76" i="35"/>
  <c r="H987" i="133" s="1"/>
  <c r="F77" i="35"/>
  <c r="H1008" i="133" s="1"/>
  <c r="W77" i="35"/>
  <c r="AM77" i="35"/>
  <c r="H1041" i="133" s="1"/>
  <c r="N78" i="35"/>
  <c r="Y78" i="35"/>
  <c r="H1067" i="133" s="1"/>
  <c r="AI78" i="35"/>
  <c r="F52" i="35"/>
  <c r="Q52" i="35"/>
  <c r="H19" i="133" s="1"/>
  <c r="AA52" i="35"/>
  <c r="H29" i="133" s="1"/>
  <c r="AL52" i="35"/>
  <c r="I11" i="35"/>
  <c r="S11" i="35"/>
  <c r="H61" i="43" s="1"/>
  <c r="AD11" i="35"/>
  <c r="H72" i="43" s="1"/>
  <c r="AO11" i="35"/>
  <c r="H83" i="43" s="1"/>
  <c r="K12" i="35"/>
  <c r="H93" i="43" s="1"/>
  <c r="V12" i="35"/>
  <c r="H104" i="43" s="1"/>
  <c r="AG12" i="35"/>
  <c r="H115" i="43" s="1"/>
  <c r="AQ12" i="35"/>
  <c r="N13" i="35"/>
  <c r="Y13" i="35"/>
  <c r="AI13" i="35"/>
  <c r="H157" i="43" s="1"/>
  <c r="F14" i="35"/>
  <c r="H168" i="43" s="1"/>
  <c r="Q14" i="35"/>
  <c r="Z14" i="35"/>
  <c r="H188" i="43" s="1"/>
  <c r="AG14" i="35"/>
  <c r="H195" i="43" s="1"/>
  <c r="AO14" i="35"/>
  <c r="G15" i="35"/>
  <c r="H209" i="43" s="1"/>
  <c r="N15" i="35"/>
  <c r="H216" i="43" s="1"/>
  <c r="S15" i="35"/>
  <c r="H221" i="43" s="1"/>
  <c r="Y15" i="35"/>
  <c r="H227" i="43" s="1"/>
  <c r="AD15" i="35"/>
  <c r="AI15" i="35"/>
  <c r="H237" i="43" s="1"/>
  <c r="AO15" i="35"/>
  <c r="H243" i="43" s="1"/>
  <c r="F16" i="35"/>
  <c r="H248" i="43" s="1"/>
  <c r="K16" i="35"/>
  <c r="H253" i="43" s="1"/>
  <c r="Q16" i="35"/>
  <c r="H259" i="43" s="1"/>
  <c r="V16" i="35"/>
  <c r="H264" i="43" s="1"/>
  <c r="AA16" i="35"/>
  <c r="H269" i="43" s="1"/>
  <c r="AG16" i="35"/>
  <c r="H275" i="43" s="1"/>
  <c r="AL16" i="35"/>
  <c r="H280" i="43" s="1"/>
  <c r="AQ16" i="35"/>
  <c r="H285" i="43" s="1"/>
  <c r="I17" i="35"/>
  <c r="H291" i="43" s="1"/>
  <c r="N17" i="35"/>
  <c r="S17" i="35"/>
  <c r="H301" i="43" s="1"/>
  <c r="Y17" i="35"/>
  <c r="H307" i="43" s="1"/>
  <c r="AD17" i="35"/>
  <c r="H312" i="43" s="1"/>
  <c r="AI17" i="35"/>
  <c r="AO17" i="35"/>
  <c r="H323" i="43" s="1"/>
  <c r="F18" i="35"/>
  <c r="H328" i="43" s="1"/>
  <c r="K18" i="35"/>
  <c r="Q18" i="35"/>
  <c r="V18" i="35"/>
  <c r="H344" i="43" s="1"/>
  <c r="AA18" i="35"/>
  <c r="H349" i="43" s="1"/>
  <c r="AG18" i="35"/>
  <c r="H355" i="43" s="1"/>
  <c r="AL18" i="35"/>
  <c r="H360" i="43" s="1"/>
  <c r="AQ18" i="35"/>
  <c r="H365" i="43" s="1"/>
  <c r="I19" i="35"/>
  <c r="H371" i="43" s="1"/>
  <c r="N19" i="35"/>
  <c r="H376" i="43" s="1"/>
  <c r="S19" i="35"/>
  <c r="Y19" i="35"/>
  <c r="H387" i="43" s="1"/>
  <c r="AD19" i="35"/>
  <c r="H392" i="43" s="1"/>
  <c r="AI19" i="35"/>
  <c r="H397" i="43" s="1"/>
  <c r="AO19" i="35"/>
  <c r="H403" i="43" s="1"/>
  <c r="F20" i="35"/>
  <c r="H408" i="43" s="1"/>
  <c r="K20" i="35"/>
  <c r="H413" i="43" s="1"/>
  <c r="Q20" i="35"/>
  <c r="H419" i="43" s="1"/>
  <c r="V20" i="35"/>
  <c r="AA20" i="35"/>
  <c r="AG20" i="35"/>
  <c r="H435" i="43" s="1"/>
  <c r="AL20" i="35"/>
  <c r="H440" i="43" s="1"/>
  <c r="AQ20" i="35"/>
  <c r="H445" i="43" s="1"/>
  <c r="I21" i="35"/>
  <c r="H451" i="43" s="1"/>
  <c r="N21" i="35"/>
  <c r="H456" i="43" s="1"/>
  <c r="S21" i="35"/>
  <c r="H461" i="43" s="1"/>
  <c r="Y21" i="35"/>
  <c r="AD21" i="35"/>
  <c r="H472" i="43" s="1"/>
  <c r="AI21" i="35"/>
  <c r="H477" i="43" s="1"/>
  <c r="AO21" i="35"/>
  <c r="F22" i="35"/>
  <c r="H488" i="43" s="1"/>
  <c r="K22" i="35"/>
  <c r="H493" i="43" s="1"/>
  <c r="Q22" i="35"/>
  <c r="H499" i="43" s="1"/>
  <c r="V22" i="35"/>
  <c r="H504" i="43" s="1"/>
  <c r="AA22" i="35"/>
  <c r="AG22" i="35"/>
  <c r="H515" i="43" s="1"/>
  <c r="AL22" i="35"/>
  <c r="H520" i="43" s="1"/>
  <c r="AQ22" i="35"/>
  <c r="H525" i="43" s="1"/>
  <c r="I23" i="35"/>
  <c r="N23" i="35"/>
  <c r="H536" i="43" s="1"/>
  <c r="S23" i="35"/>
  <c r="H541" i="43" s="1"/>
  <c r="Y23" i="35"/>
  <c r="H547" i="43" s="1"/>
  <c r="AD23" i="35"/>
  <c r="AI23" i="35"/>
  <c r="H557" i="43" s="1"/>
  <c r="AO23" i="35"/>
  <c r="H563" i="43" s="1"/>
  <c r="F24" i="35"/>
  <c r="H568" i="43" s="1"/>
  <c r="K24" i="35"/>
  <c r="H573" i="43" s="1"/>
  <c r="Q24" i="35"/>
  <c r="H579" i="43" s="1"/>
  <c r="V24" i="35"/>
  <c r="H584" i="43" s="1"/>
  <c r="AA24" i="35"/>
  <c r="AG24" i="35"/>
  <c r="AL24" i="35"/>
  <c r="H600" i="43" s="1"/>
  <c r="AQ24" i="35"/>
  <c r="H605" i="43" s="1"/>
  <c r="I25" i="35"/>
  <c r="H611" i="43" s="1"/>
  <c r="N25" i="35"/>
  <c r="S25" i="35"/>
  <c r="H621" i="43" s="1"/>
  <c r="Y25" i="35"/>
  <c r="H627" i="43" s="1"/>
  <c r="AD25" i="35"/>
  <c r="AI25" i="35"/>
  <c r="H637" i="43" s="1"/>
  <c r="AO25" i="35"/>
  <c r="F26" i="35"/>
  <c r="H648" i="43" s="1"/>
  <c r="K26" i="35"/>
  <c r="H653" i="43" s="1"/>
  <c r="Q26" i="35"/>
  <c r="H659" i="43" s="1"/>
  <c r="V26" i="35"/>
  <c r="H664" i="43" s="1"/>
  <c r="AA26" i="35"/>
  <c r="H669" i="43" s="1"/>
  <c r="AG26" i="35"/>
  <c r="H675" i="43" s="1"/>
  <c r="AL26" i="35"/>
  <c r="H680" i="43" s="1"/>
  <c r="AQ26" i="35"/>
  <c r="H685" i="43" s="1"/>
  <c r="I27" i="35"/>
  <c r="H691" i="43" s="1"/>
  <c r="N27" i="35"/>
  <c r="H696" i="43" s="1"/>
  <c r="S27" i="35"/>
  <c r="Y27" i="35"/>
  <c r="H707" i="43" s="1"/>
  <c r="AD27" i="35"/>
  <c r="H712" i="43" s="1"/>
  <c r="AI27" i="35"/>
  <c r="H717" i="43" s="1"/>
  <c r="AO27" i="35"/>
  <c r="F28" i="35"/>
  <c r="H728" i="43" s="1"/>
  <c r="K28" i="35"/>
  <c r="H733" i="43" s="1"/>
  <c r="Q28" i="35"/>
  <c r="H739" i="43" s="1"/>
  <c r="V28" i="35"/>
  <c r="AA28" i="35"/>
  <c r="H749" i="43" s="1"/>
  <c r="AE28" i="35"/>
  <c r="H753" i="43" s="1"/>
  <c r="AI28" i="35"/>
  <c r="H757" i="43" s="1"/>
  <c r="AM28" i="35"/>
  <c r="H761" i="43" s="1"/>
  <c r="AQ28" i="35"/>
  <c r="H765" i="43" s="1"/>
  <c r="G29" i="35"/>
  <c r="H769" i="43" s="1"/>
  <c r="K29" i="35"/>
  <c r="H773" i="43" s="1"/>
  <c r="O29" i="35"/>
  <c r="H777" i="43" s="1"/>
  <c r="S29" i="35"/>
  <c r="H781" i="43" s="1"/>
  <c r="W29" i="35"/>
  <c r="H785" i="43" s="1"/>
  <c r="AA29" i="35"/>
  <c r="H789" i="43" s="1"/>
  <c r="AE29" i="35"/>
  <c r="H793" i="43" s="1"/>
  <c r="AI29" i="35"/>
  <c r="H797" i="43" s="1"/>
  <c r="AM29" i="35"/>
  <c r="H801" i="43" s="1"/>
  <c r="AQ29" i="35"/>
  <c r="H805" i="43" s="1"/>
  <c r="G30" i="35"/>
  <c r="H809" i="43" s="1"/>
  <c r="K30" i="35"/>
  <c r="H813" i="43" s="1"/>
  <c r="O30" i="35"/>
  <c r="H817" i="43" s="1"/>
  <c r="S30" i="35"/>
  <c r="W30" i="35"/>
  <c r="H825" i="43" s="1"/>
  <c r="AA30" i="35"/>
  <c r="H829" i="43" s="1"/>
  <c r="AE30" i="35"/>
  <c r="H833" i="43" s="1"/>
  <c r="AI30" i="35"/>
  <c r="H837" i="43" s="1"/>
  <c r="AM30" i="35"/>
  <c r="H841" i="43" s="1"/>
  <c r="AQ30" i="35"/>
  <c r="H845" i="43" s="1"/>
  <c r="G31" i="35"/>
  <c r="H849" i="43" s="1"/>
  <c r="K31" i="35"/>
  <c r="H853" i="43" s="1"/>
  <c r="O31" i="35"/>
  <c r="H857" i="43" s="1"/>
  <c r="S31" i="35"/>
  <c r="H861" i="43" s="1"/>
  <c r="W31" i="35"/>
  <c r="H865" i="43" s="1"/>
  <c r="AA31" i="35"/>
  <c r="AE31" i="35"/>
  <c r="AI31" i="35"/>
  <c r="H877" i="43" s="1"/>
  <c r="AF64" i="35"/>
  <c r="H514" i="133" s="1"/>
  <c r="AB66" i="35"/>
  <c r="L68" i="35"/>
  <c r="H654" i="133" s="1"/>
  <c r="AJ69" i="35"/>
  <c r="H718" i="133" s="1"/>
  <c r="T71" i="35"/>
  <c r="H782" i="133" s="1"/>
  <c r="AR72" i="35"/>
  <c r="H846" i="133" s="1"/>
  <c r="Y74" i="35"/>
  <c r="Q75" i="35"/>
  <c r="H939" i="133" s="1"/>
  <c r="I76" i="35"/>
  <c r="H971" i="133" s="1"/>
  <c r="AH76" i="35"/>
  <c r="N77" i="35"/>
  <c r="H1016" i="133" s="1"/>
  <c r="AD77" i="35"/>
  <c r="F78" i="35"/>
  <c r="H1048" i="133" s="1"/>
  <c r="R78" i="35"/>
  <c r="AC78" i="35"/>
  <c r="H1071" i="133" s="1"/>
  <c r="AM78" i="35"/>
  <c r="H1081" i="133" s="1"/>
  <c r="J52" i="35"/>
  <c r="H12" i="133" s="1"/>
  <c r="U52" i="35"/>
  <c r="AE52" i="35"/>
  <c r="H33" i="133" s="1"/>
  <c r="AP52" i="35"/>
  <c r="H44" i="133" s="1"/>
  <c r="M11" i="35"/>
  <c r="H55" i="43" s="1"/>
  <c r="W11" i="35"/>
  <c r="H65" i="43" s="1"/>
  <c r="AH11" i="35"/>
  <c r="H76" i="43" s="1"/>
  <c r="E12" i="35"/>
  <c r="H87" i="43" s="1"/>
  <c r="O12" i="35"/>
  <c r="H97" i="43" s="1"/>
  <c r="Z12" i="35"/>
  <c r="H108" i="43" s="1"/>
  <c r="AK12" i="35"/>
  <c r="H119" i="43" s="1"/>
  <c r="G13" i="35"/>
  <c r="H129" i="43" s="1"/>
  <c r="R13" i="35"/>
  <c r="H140" i="43" s="1"/>
  <c r="AC13" i="35"/>
  <c r="H151" i="43" s="1"/>
  <c r="AM13" i="35"/>
  <c r="H161" i="43" s="1"/>
  <c r="J14" i="35"/>
  <c r="H172" i="43" s="1"/>
  <c r="U14" i="35"/>
  <c r="H183" i="43" s="1"/>
  <c r="AA14" i="35"/>
  <c r="H189" i="43" s="1"/>
  <c r="AI14" i="35"/>
  <c r="AP14" i="35"/>
  <c r="H204" i="43" s="1"/>
  <c r="I15" i="35"/>
  <c r="H211" i="43" s="1"/>
  <c r="O15" i="35"/>
  <c r="H217" i="43" s="1"/>
  <c r="U15" i="35"/>
  <c r="H223" i="43" s="1"/>
  <c r="Z15" i="35"/>
  <c r="H228" i="43" s="1"/>
  <c r="AE15" i="35"/>
  <c r="H233" i="43" s="1"/>
  <c r="AK15" i="35"/>
  <c r="H239" i="43" s="1"/>
  <c r="AP15" i="35"/>
  <c r="H244" i="43" s="1"/>
  <c r="G16" i="35"/>
  <c r="H249" i="43" s="1"/>
  <c r="M16" i="35"/>
  <c r="H255" i="43" s="1"/>
  <c r="R16" i="35"/>
  <c r="H260" i="43" s="1"/>
  <c r="W16" i="35"/>
  <c r="AC16" i="35"/>
  <c r="H271" i="43" s="1"/>
  <c r="AH16" i="35"/>
  <c r="H276" i="43" s="1"/>
  <c r="AM16" i="35"/>
  <c r="H281" i="43" s="1"/>
  <c r="E17" i="35"/>
  <c r="H287" i="43" s="1"/>
  <c r="J17" i="35"/>
  <c r="H292" i="43" s="1"/>
  <c r="O17" i="35"/>
  <c r="H297" i="43" s="1"/>
  <c r="U17" i="35"/>
  <c r="H303" i="43" s="1"/>
  <c r="Z17" i="35"/>
  <c r="H308" i="43" s="1"/>
  <c r="AE17" i="35"/>
  <c r="H313" i="43" s="1"/>
  <c r="AK17" i="35"/>
  <c r="H319" i="43" s="1"/>
  <c r="AP17" i="35"/>
  <c r="G18" i="35"/>
  <c r="H329" i="43" s="1"/>
  <c r="M18" i="35"/>
  <c r="H335" i="43" s="1"/>
  <c r="R18" i="35"/>
  <c r="H340" i="43" s="1"/>
  <c r="W18" i="35"/>
  <c r="H345" i="43" s="1"/>
  <c r="AC18" i="35"/>
  <c r="H351" i="43" s="1"/>
  <c r="AH18" i="35"/>
  <c r="H356" i="43" s="1"/>
  <c r="AM18" i="35"/>
  <c r="H361" i="43" s="1"/>
  <c r="E19" i="35"/>
  <c r="H367" i="43" s="1"/>
  <c r="J19" i="35"/>
  <c r="O19" i="35"/>
  <c r="H377" i="43" s="1"/>
  <c r="U19" i="35"/>
  <c r="H383" i="43" s="1"/>
  <c r="Z19" i="35"/>
  <c r="H388" i="43" s="1"/>
  <c r="AE19" i="35"/>
  <c r="H393" i="43" s="1"/>
  <c r="AK19" i="35"/>
  <c r="H399" i="43" s="1"/>
  <c r="AP19" i="35"/>
  <c r="H404" i="43" s="1"/>
  <c r="G20" i="35"/>
  <c r="H409" i="43" s="1"/>
  <c r="M20" i="35"/>
  <c r="R20" i="35"/>
  <c r="H420" i="43" s="1"/>
  <c r="W20" i="35"/>
  <c r="H425" i="43" s="1"/>
  <c r="AC20" i="35"/>
  <c r="H431" i="43" s="1"/>
  <c r="AH20" i="35"/>
  <c r="H436" i="43" s="1"/>
  <c r="AM20" i="35"/>
  <c r="H441" i="43" s="1"/>
  <c r="E21" i="35"/>
  <c r="H447" i="43" s="1"/>
  <c r="J21" i="35"/>
  <c r="H452" i="43" s="1"/>
  <c r="O21" i="35"/>
  <c r="H457" i="43" s="1"/>
  <c r="U21" i="35"/>
  <c r="H463" i="43" s="1"/>
  <c r="Z21" i="35"/>
  <c r="H468" i="43" s="1"/>
  <c r="AE21" i="35"/>
  <c r="H473" i="43" s="1"/>
  <c r="AK21" i="35"/>
  <c r="H479" i="43" s="1"/>
  <c r="AP21" i="35"/>
  <c r="H484" i="43" s="1"/>
  <c r="G22" i="35"/>
  <c r="H489" i="43" s="1"/>
  <c r="M22" i="35"/>
  <c r="H495" i="43" s="1"/>
  <c r="R22" i="35"/>
  <c r="H500" i="43" s="1"/>
  <c r="W22" i="35"/>
  <c r="H505" i="43" s="1"/>
  <c r="AC22" i="35"/>
  <c r="H511" i="43" s="1"/>
  <c r="AH22" i="35"/>
  <c r="H516" i="43" s="1"/>
  <c r="AM22" i="35"/>
  <c r="H521" i="43" s="1"/>
  <c r="E23" i="35"/>
  <c r="H527" i="43" s="1"/>
  <c r="J23" i="35"/>
  <c r="H532" i="43" s="1"/>
  <c r="O23" i="35"/>
  <c r="H537" i="43" s="1"/>
  <c r="U23" i="35"/>
  <c r="H543" i="43" s="1"/>
  <c r="Z23" i="35"/>
  <c r="H548" i="43" s="1"/>
  <c r="AE23" i="35"/>
  <c r="H553" i="43" s="1"/>
  <c r="AK23" i="35"/>
  <c r="AP23" i="35"/>
  <c r="G24" i="35"/>
  <c r="H569" i="43" s="1"/>
  <c r="M24" i="35"/>
  <c r="H575" i="43" s="1"/>
  <c r="R24" i="35"/>
  <c r="H580" i="43" s="1"/>
  <c r="W24" i="35"/>
  <c r="H585" i="43" s="1"/>
  <c r="AC24" i="35"/>
  <c r="H591" i="43" s="1"/>
  <c r="AH24" i="35"/>
  <c r="H596" i="43" s="1"/>
  <c r="AM24" i="35"/>
  <c r="H601" i="43" s="1"/>
  <c r="E25" i="35"/>
  <c r="H607" i="43" s="1"/>
  <c r="J25" i="35"/>
  <c r="H612" i="43" s="1"/>
  <c r="O25" i="35"/>
  <c r="H617" i="43" s="1"/>
  <c r="U25" i="35"/>
  <c r="H623" i="43" s="1"/>
  <c r="Z25" i="35"/>
  <c r="H628" i="43" s="1"/>
  <c r="AE25" i="35"/>
  <c r="H633" i="43" s="1"/>
  <c r="AK25" i="35"/>
  <c r="H639" i="43" s="1"/>
  <c r="AP25" i="35"/>
  <c r="H644" i="43" s="1"/>
  <c r="G26" i="35"/>
  <c r="M26" i="35"/>
  <c r="H655" i="43" s="1"/>
  <c r="R26" i="35"/>
  <c r="H660" i="43" s="1"/>
  <c r="W26" i="35"/>
  <c r="H665" i="43" s="1"/>
  <c r="AC26" i="35"/>
  <c r="H671" i="43" s="1"/>
  <c r="AH26" i="35"/>
  <c r="H676" i="43" s="1"/>
  <c r="AM26" i="35"/>
  <c r="H681" i="43" s="1"/>
  <c r="E27" i="35"/>
  <c r="H687" i="43" s="1"/>
  <c r="J27" i="35"/>
  <c r="H692" i="43" s="1"/>
  <c r="O27" i="35"/>
  <c r="H697" i="43" s="1"/>
  <c r="U27" i="35"/>
  <c r="H703" i="43" s="1"/>
  <c r="Z27" i="35"/>
  <c r="H708" i="43" s="1"/>
  <c r="AE27" i="35"/>
  <c r="H713" i="43" s="1"/>
  <c r="AK27" i="35"/>
  <c r="H719" i="43" s="1"/>
  <c r="AP27" i="35"/>
  <c r="H724" i="43" s="1"/>
  <c r="G28" i="35"/>
  <c r="H729" i="43" s="1"/>
  <c r="M28" i="35"/>
  <c r="H735" i="43" s="1"/>
  <c r="R28" i="35"/>
  <c r="H740" i="43" s="1"/>
  <c r="W28" i="35"/>
  <c r="H745" i="43" s="1"/>
  <c r="AB28" i="35"/>
  <c r="H750" i="43" s="1"/>
  <c r="AF28" i="35"/>
  <c r="H754" i="43" s="1"/>
  <c r="AJ28" i="35"/>
  <c r="H758" i="43" s="1"/>
  <c r="AN28" i="35"/>
  <c r="H762" i="43" s="1"/>
  <c r="AR28" i="35"/>
  <c r="H766" i="43" s="1"/>
  <c r="H29" i="35"/>
  <c r="H770" i="43" s="1"/>
  <c r="L29" i="35"/>
  <c r="H774" i="43" s="1"/>
  <c r="P29" i="35"/>
  <c r="H778" i="43" s="1"/>
  <c r="T29" i="35"/>
  <c r="H782" i="43" s="1"/>
  <c r="X29" i="35"/>
  <c r="H786" i="43" s="1"/>
  <c r="AB29" i="35"/>
  <c r="H790" i="43" s="1"/>
  <c r="AF29" i="35"/>
  <c r="H794" i="43" s="1"/>
  <c r="AJ29" i="35"/>
  <c r="H798" i="43" s="1"/>
  <c r="AN29" i="35"/>
  <c r="H802" i="43" s="1"/>
  <c r="AR29" i="35"/>
  <c r="H806" i="43" s="1"/>
  <c r="H30" i="35"/>
  <c r="H810" i="43" s="1"/>
  <c r="L30" i="35"/>
  <c r="H814" i="43" s="1"/>
  <c r="P30" i="35"/>
  <c r="H818" i="43" s="1"/>
  <c r="T30" i="35"/>
  <c r="H822" i="43" s="1"/>
  <c r="X30" i="35"/>
  <c r="H826" i="43" s="1"/>
  <c r="AB30" i="35"/>
  <c r="H830" i="43" s="1"/>
  <c r="AF30" i="35"/>
  <c r="H834" i="43" s="1"/>
  <c r="AJ30" i="35"/>
  <c r="H838" i="43" s="1"/>
  <c r="AN30" i="35"/>
  <c r="H842" i="43" s="1"/>
  <c r="AR30" i="35"/>
  <c r="H846" i="43" s="1"/>
  <c r="H31" i="35"/>
  <c r="H850" i="43" s="1"/>
  <c r="L31" i="35"/>
  <c r="H854" i="43" s="1"/>
  <c r="P31" i="35"/>
  <c r="H858" i="43" s="1"/>
  <c r="T31" i="35"/>
  <c r="H862" i="43" s="1"/>
  <c r="X31" i="35"/>
  <c r="H866" i="43" s="1"/>
  <c r="AB31" i="35"/>
  <c r="H870" i="43" s="1"/>
  <c r="AF31" i="35"/>
  <c r="H874" i="43" s="1"/>
  <c r="AJ31" i="35"/>
  <c r="H878" i="43" s="1"/>
  <c r="AN31" i="35"/>
  <c r="H882" i="43" s="1"/>
  <c r="AR31" i="35"/>
  <c r="H886" i="43" s="1"/>
  <c r="H32" i="35"/>
  <c r="H890" i="43" s="1"/>
  <c r="L32" i="35"/>
  <c r="H894" i="43" s="1"/>
  <c r="P32" i="35"/>
  <c r="H898" i="43" s="1"/>
  <c r="T32" i="35"/>
  <c r="H902" i="43" s="1"/>
  <c r="X32" i="35"/>
  <c r="H906" i="43" s="1"/>
  <c r="AB32" i="35"/>
  <c r="AF32" i="35"/>
  <c r="H914" i="43" s="1"/>
  <c r="AJ32" i="35"/>
  <c r="H918" i="43" s="1"/>
  <c r="AN32" i="35"/>
  <c r="H922" i="43" s="1"/>
  <c r="AR32" i="35"/>
  <c r="H926" i="43" s="1"/>
  <c r="H10" i="35"/>
  <c r="H10" i="43" s="1"/>
  <c r="L10" i="35"/>
  <c r="H14" i="43" s="1"/>
  <c r="P10" i="35"/>
  <c r="H18" i="43" s="1"/>
  <c r="T10" i="35"/>
  <c r="H22" i="43" s="1"/>
  <c r="X10" i="35"/>
  <c r="H26" i="43" s="1"/>
  <c r="AB10" i="35"/>
  <c r="H30" i="43" s="1"/>
  <c r="AF10" i="35"/>
  <c r="H34" i="43" s="1"/>
  <c r="AJ10" i="35"/>
  <c r="H38" i="43" s="1"/>
  <c r="AN10" i="35"/>
  <c r="H42" i="43" s="1"/>
  <c r="AR10" i="35"/>
  <c r="H46" i="43" s="1"/>
  <c r="Q59" i="35"/>
  <c r="H299" i="133" s="1"/>
  <c r="AB70" i="35"/>
  <c r="H750" i="133" s="1"/>
  <c r="AG75" i="35"/>
  <c r="H955" i="133" s="1"/>
  <c r="AL77" i="35"/>
  <c r="H1040" i="133" s="1"/>
  <c r="E52" i="35"/>
  <c r="H7" i="133" s="1"/>
  <c r="E7" i="133" s="1"/>
  <c r="G11" i="35"/>
  <c r="H49" i="43" s="1"/>
  <c r="J12" i="35"/>
  <c r="H92" i="43" s="1"/>
  <c r="M13" i="35"/>
  <c r="H135" i="43" s="1"/>
  <c r="O14" i="35"/>
  <c r="H177" i="43" s="1"/>
  <c r="F15" i="35"/>
  <c r="H208" i="43" s="1"/>
  <c r="AC15" i="35"/>
  <c r="H231" i="43" s="1"/>
  <c r="J16" i="35"/>
  <c r="H252" i="43" s="1"/>
  <c r="AE16" i="35"/>
  <c r="H273" i="43" s="1"/>
  <c r="M17" i="35"/>
  <c r="H295" i="43" s="1"/>
  <c r="AH17" i="35"/>
  <c r="H316" i="43" s="1"/>
  <c r="O18" i="35"/>
  <c r="H337" i="43" s="1"/>
  <c r="AK18" i="35"/>
  <c r="H359" i="43" s="1"/>
  <c r="R19" i="35"/>
  <c r="H380" i="43" s="1"/>
  <c r="AG19" i="35"/>
  <c r="H395" i="43" s="1"/>
  <c r="AQ19" i="35"/>
  <c r="H405" i="43" s="1"/>
  <c r="N20" i="35"/>
  <c r="H416" i="43" s="1"/>
  <c r="Y20" i="35"/>
  <c r="H427" i="43" s="1"/>
  <c r="AI20" i="35"/>
  <c r="F21" i="35"/>
  <c r="H448" i="43" s="1"/>
  <c r="Q21" i="35"/>
  <c r="H459" i="43" s="1"/>
  <c r="AA21" i="35"/>
  <c r="H469" i="43" s="1"/>
  <c r="AL21" i="35"/>
  <c r="H480" i="43" s="1"/>
  <c r="I22" i="35"/>
  <c r="H491" i="43" s="1"/>
  <c r="S22" i="35"/>
  <c r="H501" i="43" s="1"/>
  <c r="AD22" i="35"/>
  <c r="H512" i="43" s="1"/>
  <c r="AO22" i="35"/>
  <c r="H523" i="43" s="1"/>
  <c r="K23" i="35"/>
  <c r="H533" i="43" s="1"/>
  <c r="V23" i="35"/>
  <c r="H544" i="43" s="1"/>
  <c r="AG23" i="35"/>
  <c r="H555" i="43" s="1"/>
  <c r="AQ23" i="35"/>
  <c r="H565" i="43" s="1"/>
  <c r="N24" i="35"/>
  <c r="H576" i="43" s="1"/>
  <c r="Y24" i="35"/>
  <c r="H587" i="43" s="1"/>
  <c r="AI24" i="35"/>
  <c r="F25" i="35"/>
  <c r="H608" i="43" s="1"/>
  <c r="Q25" i="35"/>
  <c r="H619" i="43" s="1"/>
  <c r="AA25" i="35"/>
  <c r="H629" i="43" s="1"/>
  <c r="AL25" i="35"/>
  <c r="H640" i="43" s="1"/>
  <c r="I26" i="35"/>
  <c r="H651" i="43" s="1"/>
  <c r="S26" i="35"/>
  <c r="H661" i="43" s="1"/>
  <c r="AD26" i="35"/>
  <c r="H672" i="43" s="1"/>
  <c r="AO26" i="35"/>
  <c r="H683" i="43" s="1"/>
  <c r="K27" i="35"/>
  <c r="H693" i="43" s="1"/>
  <c r="V27" i="35"/>
  <c r="H704" i="43" s="1"/>
  <c r="AG27" i="35"/>
  <c r="H715" i="43" s="1"/>
  <c r="AQ27" i="35"/>
  <c r="H725" i="43" s="1"/>
  <c r="N28" i="35"/>
  <c r="H736" i="43" s="1"/>
  <c r="Y28" i="35"/>
  <c r="H747" i="43" s="1"/>
  <c r="AG28" i="35"/>
  <c r="H755" i="43" s="1"/>
  <c r="AO28" i="35"/>
  <c r="H763" i="43" s="1"/>
  <c r="I29" i="35"/>
  <c r="H771" i="43" s="1"/>
  <c r="Q29" i="35"/>
  <c r="H779" i="43" s="1"/>
  <c r="Y29" i="35"/>
  <c r="H787" i="43" s="1"/>
  <c r="AG29" i="35"/>
  <c r="H795" i="43" s="1"/>
  <c r="AO29" i="35"/>
  <c r="H803" i="43" s="1"/>
  <c r="I30" i="35"/>
  <c r="H811" i="43" s="1"/>
  <c r="Q30" i="35"/>
  <c r="H819" i="43" s="1"/>
  <c r="Y30" i="35"/>
  <c r="H827" i="43" s="1"/>
  <c r="AG30" i="35"/>
  <c r="H835" i="43" s="1"/>
  <c r="AO30" i="35"/>
  <c r="H843" i="43" s="1"/>
  <c r="I31" i="35"/>
  <c r="H851" i="43" s="1"/>
  <c r="Q31" i="35"/>
  <c r="H859" i="43" s="1"/>
  <c r="Y31" i="35"/>
  <c r="H867" i="43" s="1"/>
  <c r="AG31" i="35"/>
  <c r="H875" i="43" s="1"/>
  <c r="AM31" i="35"/>
  <c r="H881" i="43" s="1"/>
  <c r="E32" i="35"/>
  <c r="H887" i="43" s="1"/>
  <c r="J32" i="35"/>
  <c r="H892" i="43" s="1"/>
  <c r="O32" i="35"/>
  <c r="H897" i="43" s="1"/>
  <c r="U32" i="35"/>
  <c r="H903" i="43" s="1"/>
  <c r="Z32" i="35"/>
  <c r="H908" i="43" s="1"/>
  <c r="AE32" i="35"/>
  <c r="H913" i="43" s="1"/>
  <c r="AK32" i="35"/>
  <c r="H919" i="43" s="1"/>
  <c r="AP32" i="35"/>
  <c r="H924" i="43" s="1"/>
  <c r="G10" i="35"/>
  <c r="M10" i="35"/>
  <c r="H15" i="43" s="1"/>
  <c r="R10" i="35"/>
  <c r="H20" i="43" s="1"/>
  <c r="W10" i="35"/>
  <c r="H25" i="43" s="1"/>
  <c r="AC10" i="35"/>
  <c r="H31" i="43" s="1"/>
  <c r="AH10" i="35"/>
  <c r="H36" i="43" s="1"/>
  <c r="AM10" i="35"/>
  <c r="H41" i="43" s="1"/>
  <c r="AJ65" i="35"/>
  <c r="H558" i="133" s="1"/>
  <c r="L72" i="35"/>
  <c r="H814" i="133" s="1"/>
  <c r="X76" i="35"/>
  <c r="H986" i="133" s="1"/>
  <c r="M78" i="35"/>
  <c r="H1055" i="133" s="1"/>
  <c r="O52" i="35"/>
  <c r="H17" i="133" s="1"/>
  <c r="R11" i="35"/>
  <c r="H60" i="43" s="1"/>
  <c r="U12" i="35"/>
  <c r="H103" i="43" s="1"/>
  <c r="W13" i="35"/>
  <c r="H145" i="43" s="1"/>
  <c r="Y14" i="35"/>
  <c r="H187" i="43" s="1"/>
  <c r="M15" i="35"/>
  <c r="H215" i="43" s="1"/>
  <c r="AH15" i="35"/>
  <c r="H236" i="43" s="1"/>
  <c r="O16" i="35"/>
  <c r="H257" i="43" s="1"/>
  <c r="AK16" i="35"/>
  <c r="H279" i="43" s="1"/>
  <c r="R17" i="35"/>
  <c r="H300" i="43" s="1"/>
  <c r="AM17" i="35"/>
  <c r="H321" i="43" s="1"/>
  <c r="U18" i="35"/>
  <c r="H343" i="43" s="1"/>
  <c r="AP18" i="35"/>
  <c r="H364" i="43" s="1"/>
  <c r="W19" i="35"/>
  <c r="H385" i="43" s="1"/>
  <c r="AH19" i="35"/>
  <c r="H396" i="43" s="1"/>
  <c r="E20" i="35"/>
  <c r="H407" i="43" s="1"/>
  <c r="O20" i="35"/>
  <c r="H417" i="43" s="1"/>
  <c r="Z20" i="35"/>
  <c r="H428" i="43" s="1"/>
  <c r="AK20" i="35"/>
  <c r="H439" i="43" s="1"/>
  <c r="G21" i="35"/>
  <c r="H449" i="43" s="1"/>
  <c r="R21" i="35"/>
  <c r="H460" i="43" s="1"/>
  <c r="AC21" i="35"/>
  <c r="H471" i="43" s="1"/>
  <c r="AM21" i="35"/>
  <c r="H481" i="43" s="1"/>
  <c r="J22" i="35"/>
  <c r="H492" i="43" s="1"/>
  <c r="U22" i="35"/>
  <c r="H503" i="43" s="1"/>
  <c r="AE22" i="35"/>
  <c r="H513" i="43" s="1"/>
  <c r="AP22" i="35"/>
  <c r="H524" i="43" s="1"/>
  <c r="M23" i="35"/>
  <c r="H535" i="43" s="1"/>
  <c r="W23" i="35"/>
  <c r="H545" i="43" s="1"/>
  <c r="AH23" i="35"/>
  <c r="H556" i="43" s="1"/>
  <c r="E24" i="35"/>
  <c r="H567" i="43" s="1"/>
  <c r="O24" i="35"/>
  <c r="H577" i="43" s="1"/>
  <c r="Z24" i="35"/>
  <c r="H588" i="43" s="1"/>
  <c r="AK24" i="35"/>
  <c r="H599" i="43" s="1"/>
  <c r="G25" i="35"/>
  <c r="H609" i="43" s="1"/>
  <c r="R25" i="35"/>
  <c r="H620" i="43" s="1"/>
  <c r="AC25" i="35"/>
  <c r="H631" i="43" s="1"/>
  <c r="AM25" i="35"/>
  <c r="H641" i="43" s="1"/>
  <c r="J26" i="35"/>
  <c r="H652" i="43" s="1"/>
  <c r="U26" i="35"/>
  <c r="H663" i="43" s="1"/>
  <c r="AE26" i="35"/>
  <c r="H673" i="43" s="1"/>
  <c r="AP26" i="35"/>
  <c r="H684" i="43" s="1"/>
  <c r="M27" i="35"/>
  <c r="H695" i="43" s="1"/>
  <c r="W27" i="35"/>
  <c r="H705" i="43" s="1"/>
  <c r="AH27" i="35"/>
  <c r="H716" i="43" s="1"/>
  <c r="E28" i="35"/>
  <c r="H727" i="43" s="1"/>
  <c r="O28" i="35"/>
  <c r="H737" i="43" s="1"/>
  <c r="Z28" i="35"/>
  <c r="H748" i="43" s="1"/>
  <c r="AH28" i="35"/>
  <c r="H756" i="43" s="1"/>
  <c r="AP28" i="35"/>
  <c r="H764" i="43" s="1"/>
  <c r="J29" i="35"/>
  <c r="H772" i="43" s="1"/>
  <c r="R29" i="35"/>
  <c r="H780" i="43" s="1"/>
  <c r="Z29" i="35"/>
  <c r="H788" i="43" s="1"/>
  <c r="AH29" i="35"/>
  <c r="H796" i="43" s="1"/>
  <c r="AP29" i="35"/>
  <c r="H804" i="43" s="1"/>
  <c r="J30" i="35"/>
  <c r="H812" i="43" s="1"/>
  <c r="R30" i="35"/>
  <c r="H820" i="43" s="1"/>
  <c r="Z30" i="35"/>
  <c r="H828" i="43" s="1"/>
  <c r="AH30" i="35"/>
  <c r="H836" i="43" s="1"/>
  <c r="AP30" i="35"/>
  <c r="H844" i="43" s="1"/>
  <c r="J31" i="35"/>
  <c r="H852" i="43" s="1"/>
  <c r="R31" i="35"/>
  <c r="H860" i="43" s="1"/>
  <c r="Z31" i="35"/>
  <c r="H868" i="43" s="1"/>
  <c r="AH31" i="35"/>
  <c r="H876" i="43" s="1"/>
  <c r="AO31" i="35"/>
  <c r="H883" i="43" s="1"/>
  <c r="F32" i="35"/>
  <c r="H888" i="43" s="1"/>
  <c r="K32" i="35"/>
  <c r="H893" i="43" s="1"/>
  <c r="Q32" i="35"/>
  <c r="H899" i="43" s="1"/>
  <c r="V32" i="35"/>
  <c r="H904" i="43" s="1"/>
  <c r="AA32" i="35"/>
  <c r="H909" i="43" s="1"/>
  <c r="AG32" i="35"/>
  <c r="H915" i="43" s="1"/>
  <c r="AL32" i="35"/>
  <c r="H920" i="43" s="1"/>
  <c r="AQ32" i="35"/>
  <c r="H925" i="43" s="1"/>
  <c r="I10" i="35"/>
  <c r="H11" i="43" s="1"/>
  <c r="N10" i="35"/>
  <c r="H16" i="43" s="1"/>
  <c r="S10" i="35"/>
  <c r="H21" i="43" s="1"/>
  <c r="Y10" i="35"/>
  <c r="H27" i="43" s="1"/>
  <c r="AD10" i="35"/>
  <c r="H32" i="43" s="1"/>
  <c r="AI10" i="35"/>
  <c r="H37" i="43" s="1"/>
  <c r="AO10" i="35"/>
  <c r="H43" i="43" s="1"/>
  <c r="T67" i="35"/>
  <c r="H622" i="133" s="1"/>
  <c r="AJ73" i="35"/>
  <c r="H878" i="133" s="1"/>
  <c r="E77" i="35"/>
  <c r="H1007" i="133" s="1"/>
  <c r="W78" i="35"/>
  <c r="H1065" i="133" s="1"/>
  <c r="Z52" i="35"/>
  <c r="H28" i="133" s="1"/>
  <c r="AC11" i="35"/>
  <c r="H71" i="43" s="1"/>
  <c r="AE12" i="35"/>
  <c r="H113" i="43" s="1"/>
  <c r="AH13" i="35"/>
  <c r="H156" i="43" s="1"/>
  <c r="AE14" i="35"/>
  <c r="H193" i="43" s="1"/>
  <c r="R15" i="35"/>
  <c r="H220" i="43" s="1"/>
  <c r="AM15" i="35"/>
  <c r="H241" i="43" s="1"/>
  <c r="U16" i="35"/>
  <c r="H263" i="43" s="1"/>
  <c r="AP16" i="35"/>
  <c r="H284" i="43" s="1"/>
  <c r="W17" i="35"/>
  <c r="H305" i="43" s="1"/>
  <c r="E18" i="35"/>
  <c r="H327" i="43" s="1"/>
  <c r="Z18" i="35"/>
  <c r="H348" i="43" s="1"/>
  <c r="G19" i="35"/>
  <c r="H369" i="43" s="1"/>
  <c r="AA19" i="35"/>
  <c r="H389" i="43" s="1"/>
  <c r="AL19" i="35"/>
  <c r="H400" i="43" s="1"/>
  <c r="I20" i="35"/>
  <c r="H411" i="43" s="1"/>
  <c r="S20" i="35"/>
  <c r="H421" i="43" s="1"/>
  <c r="AD20" i="35"/>
  <c r="H432" i="43" s="1"/>
  <c r="AO20" i="35"/>
  <c r="H443" i="43" s="1"/>
  <c r="K21" i="35"/>
  <c r="H453" i="43" s="1"/>
  <c r="V21" i="35"/>
  <c r="H464" i="43" s="1"/>
  <c r="AG21" i="35"/>
  <c r="H475" i="43" s="1"/>
  <c r="AQ21" i="35"/>
  <c r="H485" i="43" s="1"/>
  <c r="N22" i="35"/>
  <c r="H496" i="43" s="1"/>
  <c r="Y22" i="35"/>
  <c r="H507" i="43" s="1"/>
  <c r="AI22" i="35"/>
  <c r="F23" i="35"/>
  <c r="H528" i="43" s="1"/>
  <c r="Q23" i="35"/>
  <c r="H539" i="43" s="1"/>
  <c r="AA23" i="35"/>
  <c r="H549" i="43" s="1"/>
  <c r="AL23" i="35"/>
  <c r="H560" i="43" s="1"/>
  <c r="I24" i="35"/>
  <c r="H571" i="43" s="1"/>
  <c r="S24" i="35"/>
  <c r="H581" i="43" s="1"/>
  <c r="AD24" i="35"/>
  <c r="H592" i="43" s="1"/>
  <c r="AO24" i="35"/>
  <c r="H603" i="43" s="1"/>
  <c r="K25" i="35"/>
  <c r="H613" i="43" s="1"/>
  <c r="V25" i="35"/>
  <c r="H624" i="43" s="1"/>
  <c r="AG25" i="35"/>
  <c r="H635" i="43" s="1"/>
  <c r="AQ25" i="35"/>
  <c r="H645" i="43" s="1"/>
  <c r="N26" i="35"/>
  <c r="H656" i="43" s="1"/>
  <c r="Y26" i="35"/>
  <c r="H667" i="43" s="1"/>
  <c r="AI26" i="35"/>
  <c r="H677" i="43" s="1"/>
  <c r="F27" i="35"/>
  <c r="H688" i="43" s="1"/>
  <c r="Q27" i="35"/>
  <c r="H699" i="43" s="1"/>
  <c r="AA27" i="35"/>
  <c r="H709" i="43" s="1"/>
  <c r="AL27" i="35"/>
  <c r="H720" i="43" s="1"/>
  <c r="I28" i="35"/>
  <c r="H731" i="43" s="1"/>
  <c r="S28" i="35"/>
  <c r="H741" i="43" s="1"/>
  <c r="AC28" i="35"/>
  <c r="H751" i="43" s="1"/>
  <c r="AK28" i="35"/>
  <c r="H759" i="43" s="1"/>
  <c r="E29" i="35"/>
  <c r="H767" i="43" s="1"/>
  <c r="M29" i="35"/>
  <c r="H775" i="43" s="1"/>
  <c r="U29" i="35"/>
  <c r="H783" i="43" s="1"/>
  <c r="AC29" i="35"/>
  <c r="H791" i="43" s="1"/>
  <c r="AK29" i="35"/>
  <c r="H799" i="43" s="1"/>
  <c r="E30" i="35"/>
  <c r="H807" i="43" s="1"/>
  <c r="M30" i="35"/>
  <c r="H815" i="43" s="1"/>
  <c r="U30" i="35"/>
  <c r="H823" i="43" s="1"/>
  <c r="AC30" i="35"/>
  <c r="H831" i="43" s="1"/>
  <c r="AK30" i="35"/>
  <c r="H839" i="43" s="1"/>
  <c r="E31" i="35"/>
  <c r="H847" i="43" s="1"/>
  <c r="M31" i="35"/>
  <c r="H855" i="43" s="1"/>
  <c r="U31" i="35"/>
  <c r="H863" i="43" s="1"/>
  <c r="AC31" i="35"/>
  <c r="H871" i="43" s="1"/>
  <c r="AK31" i="35"/>
  <c r="H879" i="43" s="1"/>
  <c r="AP31" i="35"/>
  <c r="H884" i="43" s="1"/>
  <c r="G32" i="35"/>
  <c r="H889" i="43" s="1"/>
  <c r="M32" i="35"/>
  <c r="H895" i="43" s="1"/>
  <c r="R32" i="35"/>
  <c r="H900" i="43" s="1"/>
  <c r="W32" i="35"/>
  <c r="H905" i="43" s="1"/>
  <c r="AC32" i="35"/>
  <c r="H911" i="43" s="1"/>
  <c r="AH32" i="35"/>
  <c r="H916" i="43" s="1"/>
  <c r="AM32" i="35"/>
  <c r="H921" i="43" s="1"/>
  <c r="E10" i="35"/>
  <c r="H7" i="43" s="1"/>
  <c r="E7" i="43" s="1"/>
  <c r="J10" i="35"/>
  <c r="H12" i="43" s="1"/>
  <c r="O10" i="35"/>
  <c r="H17" i="43" s="1"/>
  <c r="U10" i="35"/>
  <c r="H23" i="43" s="1"/>
  <c r="Z10" i="35"/>
  <c r="H28" i="43" s="1"/>
  <c r="AE10" i="35"/>
  <c r="H33" i="43" s="1"/>
  <c r="AK10" i="35"/>
  <c r="H39" i="43" s="1"/>
  <c r="AP10" i="35"/>
  <c r="H44" i="43" s="1"/>
  <c r="AR68" i="35"/>
  <c r="H686" i="133" s="1"/>
  <c r="AO74" i="35"/>
  <c r="H923" i="133" s="1"/>
  <c r="V77" i="35"/>
  <c r="H1024" i="133" s="1"/>
  <c r="AH78" i="35"/>
  <c r="H1076" i="133" s="1"/>
  <c r="AK52" i="35"/>
  <c r="H39" i="133" s="1"/>
  <c r="AM11" i="35"/>
  <c r="H81" i="43" s="1"/>
  <c r="AP12" i="35"/>
  <c r="H124" i="43" s="1"/>
  <c r="E14" i="35"/>
  <c r="H167" i="43" s="1"/>
  <c r="AL14" i="35"/>
  <c r="H200" i="43" s="1"/>
  <c r="W15" i="35"/>
  <c r="H225" i="43" s="1"/>
  <c r="E16" i="35"/>
  <c r="H247" i="43" s="1"/>
  <c r="Z16" i="35"/>
  <c r="H268" i="43" s="1"/>
  <c r="G17" i="35"/>
  <c r="H289" i="43" s="1"/>
  <c r="AC17" i="35"/>
  <c r="H311" i="43" s="1"/>
  <c r="J18" i="35"/>
  <c r="H332" i="43" s="1"/>
  <c r="AE18" i="35"/>
  <c r="H353" i="43" s="1"/>
  <c r="M19" i="35"/>
  <c r="H375" i="43" s="1"/>
  <c r="AC19" i="35"/>
  <c r="H391" i="43" s="1"/>
  <c r="AM19" i="35"/>
  <c r="H401" i="43" s="1"/>
  <c r="J20" i="35"/>
  <c r="H412" i="43" s="1"/>
  <c r="U20" i="35"/>
  <c r="H423" i="43" s="1"/>
  <c r="AE20" i="35"/>
  <c r="H433" i="43" s="1"/>
  <c r="AP20" i="35"/>
  <c r="H444" i="43" s="1"/>
  <c r="M21" i="35"/>
  <c r="H455" i="43" s="1"/>
  <c r="W21" i="35"/>
  <c r="H465" i="43" s="1"/>
  <c r="AH21" i="35"/>
  <c r="H476" i="43" s="1"/>
  <c r="E22" i="35"/>
  <c r="H487" i="43" s="1"/>
  <c r="O22" i="35"/>
  <c r="H497" i="43" s="1"/>
  <c r="Z22" i="35"/>
  <c r="H508" i="43" s="1"/>
  <c r="AK22" i="35"/>
  <c r="H519" i="43" s="1"/>
  <c r="G23" i="35"/>
  <c r="H529" i="43" s="1"/>
  <c r="R23" i="35"/>
  <c r="H540" i="43" s="1"/>
  <c r="AC23" i="35"/>
  <c r="H551" i="43" s="1"/>
  <c r="AM23" i="35"/>
  <c r="H561" i="43" s="1"/>
  <c r="J24" i="35"/>
  <c r="H572" i="43" s="1"/>
  <c r="U24" i="35"/>
  <c r="H583" i="43" s="1"/>
  <c r="AE24" i="35"/>
  <c r="H593" i="43" s="1"/>
  <c r="AP24" i="35"/>
  <c r="H604" i="43" s="1"/>
  <c r="M25" i="35"/>
  <c r="H615" i="43" s="1"/>
  <c r="W25" i="35"/>
  <c r="H625" i="43" s="1"/>
  <c r="AH25" i="35"/>
  <c r="H636" i="43" s="1"/>
  <c r="E26" i="35"/>
  <c r="H647" i="43" s="1"/>
  <c r="O26" i="35"/>
  <c r="H657" i="43" s="1"/>
  <c r="Z26" i="35"/>
  <c r="H668" i="43" s="1"/>
  <c r="AK26" i="35"/>
  <c r="H679" i="43" s="1"/>
  <c r="G27" i="35"/>
  <c r="H689" i="43" s="1"/>
  <c r="R27" i="35"/>
  <c r="H700" i="43" s="1"/>
  <c r="AC27" i="35"/>
  <c r="H711" i="43" s="1"/>
  <c r="AM27" i="35"/>
  <c r="H721" i="43" s="1"/>
  <c r="J28" i="35"/>
  <c r="H732" i="43" s="1"/>
  <c r="U28" i="35"/>
  <c r="H743" i="43" s="1"/>
  <c r="AD28" i="35"/>
  <c r="H752" i="43" s="1"/>
  <c r="AL28" i="35"/>
  <c r="H760" i="43" s="1"/>
  <c r="F29" i="35"/>
  <c r="H768" i="43" s="1"/>
  <c r="N29" i="35"/>
  <c r="H776" i="43" s="1"/>
  <c r="V29" i="35"/>
  <c r="H784" i="43" s="1"/>
  <c r="AD29" i="35"/>
  <c r="H792" i="43" s="1"/>
  <c r="AL29" i="35"/>
  <c r="H800" i="43" s="1"/>
  <c r="F30" i="35"/>
  <c r="H808" i="43" s="1"/>
  <c r="N30" i="35"/>
  <c r="H816" i="43" s="1"/>
  <c r="V30" i="35"/>
  <c r="H824" i="43" s="1"/>
  <c r="AD30" i="35"/>
  <c r="H832" i="43" s="1"/>
  <c r="AL30" i="35"/>
  <c r="H840" i="43" s="1"/>
  <c r="F31" i="35"/>
  <c r="H848" i="43" s="1"/>
  <c r="N31" i="35"/>
  <c r="H856" i="43" s="1"/>
  <c r="V31" i="35"/>
  <c r="H864" i="43" s="1"/>
  <c r="AD31" i="35"/>
  <c r="H872" i="43" s="1"/>
  <c r="AL31" i="35"/>
  <c r="H880" i="43" s="1"/>
  <c r="AQ31" i="35"/>
  <c r="H885" i="43" s="1"/>
  <c r="I32" i="35"/>
  <c r="H891" i="43" s="1"/>
  <c r="N32" i="35"/>
  <c r="H896" i="43" s="1"/>
  <c r="S32" i="35"/>
  <c r="H901" i="43" s="1"/>
  <c r="Y32" i="35"/>
  <c r="H907" i="43" s="1"/>
  <c r="AD32" i="35"/>
  <c r="H912" i="43" s="1"/>
  <c r="AI32" i="35"/>
  <c r="H917" i="43" s="1"/>
  <c r="AO32" i="35"/>
  <c r="H923" i="43" s="1"/>
  <c r="F10" i="35"/>
  <c r="H8" i="43" s="1"/>
  <c r="K10" i="35"/>
  <c r="H13" i="43" s="1"/>
  <c r="Q10" i="35"/>
  <c r="H19" i="43" s="1"/>
  <c r="V10" i="35"/>
  <c r="H24" i="43" s="1"/>
  <c r="AA10" i="35"/>
  <c r="H29" i="43" s="1"/>
  <c r="AG10" i="35"/>
  <c r="H35" i="43" s="1"/>
  <c r="AL10" i="35"/>
  <c r="H40" i="43" s="1"/>
  <c r="AQ10" i="35"/>
  <c r="H45" i="43" s="1"/>
  <c r="BP57" i="33"/>
  <c r="AT59" i="33"/>
  <c r="AT60" i="33"/>
  <c r="BH74" i="33"/>
  <c r="AY35" i="33"/>
  <c r="AY81" i="33" s="1"/>
  <c r="BC35" i="33"/>
  <c r="BC81" i="33" s="1"/>
  <c r="BH35" i="33"/>
  <c r="BH81" i="33" s="1"/>
  <c r="BL35" i="33"/>
  <c r="BL81" i="33" s="1"/>
  <c r="BS11" i="33"/>
  <c r="BS13" i="33"/>
  <c r="BS15" i="33"/>
  <c r="BE16" i="33"/>
  <c r="BE17" i="33"/>
  <c r="BS17" i="33"/>
  <c r="BS19" i="33"/>
  <c r="BE20" i="33"/>
  <c r="BS21" i="33"/>
  <c r="BT21" i="33" s="1"/>
  <c r="BE22" i="33"/>
  <c r="BS23" i="33"/>
  <c r="BS25" i="33"/>
  <c r="BS32" i="33"/>
  <c r="BA52" i="33"/>
  <c r="AT53" i="33"/>
  <c r="BH53" i="33"/>
  <c r="AW54" i="33"/>
  <c r="BF55" i="33"/>
  <c r="BF56" i="33"/>
  <c r="AY57" i="33"/>
  <c r="BF58" i="33"/>
  <c r="BL59" i="33"/>
  <c r="BJ60" i="33"/>
  <c r="BF61" i="33"/>
  <c r="AZ62" i="33"/>
  <c r="BF63" i="33"/>
  <c r="AT65" i="33"/>
  <c r="AT66" i="33"/>
  <c r="BF68" i="33"/>
  <c r="BA69" i="33"/>
  <c r="BF70" i="33"/>
  <c r="AT72" i="33"/>
  <c r="AT73" i="33"/>
  <c r="BH73" i="33"/>
  <c r="BF74" i="33"/>
  <c r="BA75" i="33"/>
  <c r="BQ78" i="33"/>
  <c r="BN31" i="33"/>
  <c r="BR82" i="33"/>
  <c r="BR83" i="33" s="1"/>
  <c r="AT35" i="33"/>
  <c r="AT81" i="33" s="1"/>
  <c r="BS10" i="33"/>
  <c r="BN10" i="33"/>
  <c r="H1052" i="133"/>
  <c r="H169" i="43"/>
  <c r="H560" i="133"/>
  <c r="H79" i="133"/>
  <c r="H275" i="133"/>
  <c r="H94" i="43"/>
  <c r="H415" i="43"/>
  <c r="H487" i="133"/>
  <c r="H191" i="43"/>
  <c r="H47" i="133"/>
  <c r="H520" i="133"/>
  <c r="H991" i="133"/>
  <c r="H510" i="43"/>
  <c r="H198" i="43"/>
  <c r="H243" i="133"/>
  <c r="H59" i="43"/>
  <c r="H115" i="133"/>
  <c r="BU17" i="35"/>
  <c r="BV17" i="35" s="1"/>
  <c r="H51" i="43"/>
  <c r="H400" i="133"/>
  <c r="H62" i="43"/>
  <c r="H302" i="133"/>
  <c r="H185" i="43"/>
  <c r="H430" i="133"/>
  <c r="H366" i="133"/>
  <c r="H328" i="133"/>
  <c r="H100" i="43"/>
  <c r="H589" i="43"/>
  <c r="H149" i="133"/>
  <c r="H398" i="43"/>
  <c r="H15" i="133"/>
  <c r="H53" i="43"/>
  <c r="H564" i="43"/>
  <c r="H106" i="43"/>
  <c r="H147" i="43"/>
  <c r="H192" i="43"/>
  <c r="H318" i="43"/>
  <c r="H522" i="43"/>
  <c r="H148" i="43"/>
  <c r="H299" i="43"/>
  <c r="H414" i="43"/>
  <c r="H821" i="43"/>
  <c r="H14" i="133"/>
  <c r="H78" i="133"/>
  <c r="H113" i="133"/>
  <c r="H141" i="133"/>
  <c r="H177" i="133"/>
  <c r="H241" i="133"/>
  <c r="H300" i="133"/>
  <c r="H327" i="133"/>
  <c r="H364" i="133"/>
  <c r="H391" i="133"/>
  <c r="H425" i="133"/>
  <c r="H452" i="133"/>
  <c r="H590" i="133"/>
  <c r="H729" i="133"/>
  <c r="H765" i="133"/>
  <c r="H839" i="133"/>
  <c r="H948" i="133"/>
  <c r="H732" i="133"/>
  <c r="H921" i="133"/>
  <c r="H1056" i="133"/>
  <c r="H1025" i="133"/>
  <c r="H994" i="133"/>
  <c r="H978" i="133"/>
  <c r="H931" i="133"/>
  <c r="H916" i="133"/>
  <c r="H908" i="133"/>
  <c r="H900" i="133"/>
  <c r="H877" i="133"/>
  <c r="H869" i="133"/>
  <c r="H861" i="133"/>
  <c r="H838" i="133"/>
  <c r="H799" i="133"/>
  <c r="H767" i="133"/>
  <c r="H760" i="133"/>
  <c r="H713" i="133"/>
  <c r="H705" i="133"/>
  <c r="H697" i="133"/>
  <c r="H666" i="133"/>
  <c r="H619" i="133"/>
  <c r="H611" i="133"/>
  <c r="H604" i="133"/>
  <c r="H596" i="133"/>
  <c r="H588" i="133"/>
  <c r="H580" i="133"/>
  <c r="H572" i="133"/>
  <c r="H557" i="133"/>
  <c r="H549" i="133"/>
  <c r="H541" i="133"/>
  <c r="H526" i="133"/>
  <c r="H518" i="133"/>
  <c r="H510" i="133"/>
  <c r="H502" i="133"/>
  <c r="H494" i="133"/>
  <c r="H479" i="133"/>
  <c r="H471" i="133"/>
  <c r="H463" i="133"/>
  <c r="H455" i="133"/>
  <c r="H447" i="133"/>
  <c r="H440" i="133"/>
  <c r="H432" i="133"/>
  <c r="H424" i="133"/>
  <c r="H416" i="133"/>
  <c r="H393" i="133"/>
  <c r="H377" i="133"/>
  <c r="H369" i="133"/>
  <c r="H362" i="133"/>
  <c r="H354" i="133"/>
  <c r="H346" i="133"/>
  <c r="H338" i="133"/>
  <c r="H323" i="133"/>
  <c r="H315" i="133"/>
  <c r="H307" i="133"/>
  <c r="H284" i="133"/>
  <c r="H276" i="133"/>
  <c r="H268" i="133"/>
  <c r="H260" i="133"/>
  <c r="H237" i="133"/>
  <c r="H229" i="133"/>
  <c r="H221" i="133"/>
  <c r="H213" i="133"/>
  <c r="H206" i="133"/>
  <c r="H198" i="133"/>
  <c r="H190" i="133"/>
  <c r="H182" i="133"/>
  <c r="H174" i="133"/>
  <c r="H159" i="133"/>
  <c r="H151" i="133"/>
  <c r="H143" i="133"/>
  <c r="H120" i="133"/>
  <c r="H112" i="133"/>
  <c r="H104" i="133"/>
  <c r="H88" i="133"/>
  <c r="H73" i="133"/>
  <c r="H65" i="133"/>
  <c r="H57" i="133"/>
  <c r="H42" i="133"/>
  <c r="H26" i="133"/>
  <c r="H1078" i="133"/>
  <c r="H1069" i="133"/>
  <c r="H1060" i="133"/>
  <c r="H1043" i="133"/>
  <c r="H989" i="133"/>
  <c r="H980" i="133"/>
  <c r="H962" i="133"/>
  <c r="H953" i="133"/>
  <c r="H935" i="133"/>
  <c r="H918" i="133"/>
  <c r="H909" i="133"/>
  <c r="H890" i="133"/>
  <c r="H837" i="133"/>
  <c r="H828" i="133"/>
  <c r="H803" i="133"/>
  <c r="H794" i="133"/>
  <c r="H785" i="133"/>
  <c r="H749" i="133"/>
  <c r="H740" i="133"/>
  <c r="H669" i="133"/>
  <c r="H660" i="133"/>
  <c r="H642" i="133"/>
  <c r="H633" i="133"/>
  <c r="H624" i="133"/>
  <c r="H615" i="133"/>
  <c r="H598" i="133"/>
  <c r="H589" i="133"/>
  <c r="H570" i="133"/>
  <c r="H508" i="133"/>
  <c r="H499" i="133"/>
  <c r="H483" i="133"/>
  <c r="H465" i="133"/>
  <c r="H438" i="133"/>
  <c r="H429" i="133"/>
  <c r="H420" i="133"/>
  <c r="H411" i="133"/>
  <c r="H403" i="133"/>
  <c r="H394" i="133"/>
  <c r="H384" i="133"/>
  <c r="H375" i="133"/>
  <c r="H358" i="133"/>
  <c r="H349" i="133"/>
  <c r="H340" i="133"/>
  <c r="H331" i="133"/>
  <c r="H322" i="133"/>
  <c r="H295" i="133"/>
  <c r="H269" i="133"/>
  <c r="H259" i="133"/>
  <c r="H250" i="133"/>
  <c r="H242" i="133"/>
  <c r="H233" i="133"/>
  <c r="H215" i="133"/>
  <c r="H197" i="133"/>
  <c r="H188" i="133"/>
  <c r="H179" i="133"/>
  <c r="H170" i="133"/>
  <c r="H163" i="133"/>
  <c r="H154" i="133"/>
  <c r="H145" i="133"/>
  <c r="H136" i="133"/>
  <c r="H118" i="133"/>
  <c r="H109" i="133"/>
  <c r="H100" i="133"/>
  <c r="H91" i="133"/>
  <c r="H83" i="133"/>
  <c r="H74" i="133"/>
  <c r="H55" i="133"/>
  <c r="H20" i="133"/>
  <c r="H723" i="43"/>
  <c r="H686" i="43"/>
  <c r="H670" i="43"/>
  <c r="H654" i="43"/>
  <c r="H559" i="43"/>
  <c r="H1077" i="133"/>
  <c r="H1057" i="133"/>
  <c r="H1027" i="133"/>
  <c r="H957" i="133"/>
  <c r="H936" i="133"/>
  <c r="H876" i="133"/>
  <c r="H866" i="133"/>
  <c r="H836" i="133"/>
  <c r="H826" i="133"/>
  <c r="H797" i="133"/>
  <c r="H787" i="133"/>
  <c r="H777" i="133"/>
  <c r="H717" i="133"/>
  <c r="H667" i="133"/>
  <c r="H637" i="133"/>
  <c r="H626" i="133"/>
  <c r="H556" i="133"/>
  <c r="H546" i="133"/>
  <c r="H516" i="133"/>
  <c r="H506" i="133"/>
  <c r="H477" i="133"/>
  <c r="H467" i="133"/>
  <c r="H457" i="133"/>
  <c r="H437" i="133"/>
  <c r="H397" i="133"/>
  <c r="H387" i="133"/>
  <c r="H357" i="133"/>
  <c r="H317" i="133"/>
  <c r="H306" i="133"/>
  <c r="H277" i="133"/>
  <c r="H266" i="133"/>
  <c r="H236" i="133"/>
  <c r="H226" i="133"/>
  <c r="H196" i="133"/>
  <c r="H186" i="133"/>
  <c r="H157" i="133"/>
  <c r="H147" i="133"/>
  <c r="H117" i="133"/>
  <c r="H107" i="133"/>
  <c r="H77" i="133"/>
  <c r="H67" i="133"/>
  <c r="H37" i="133"/>
  <c r="H8" i="133"/>
  <c r="H632" i="43"/>
  <c r="H590" i="43"/>
  <c r="H538" i="43"/>
  <c r="H486" i="43"/>
  <c r="H478" i="43"/>
  <c r="H462" i="43"/>
  <c r="H372" i="43"/>
  <c r="H277" i="43"/>
  <c r="H261" i="43"/>
  <c r="H1038" i="133"/>
  <c r="H1026" i="133"/>
  <c r="H1013" i="133"/>
  <c r="H1005" i="133"/>
  <c r="H969" i="133"/>
  <c r="H937" i="133"/>
  <c r="H915" i="133"/>
  <c r="H904" i="133"/>
  <c r="H893" i="133"/>
  <c r="H840" i="133"/>
  <c r="H795" i="133"/>
  <c r="H751" i="133"/>
  <c r="H706" i="133"/>
  <c r="H685" i="133"/>
  <c r="H662" i="133"/>
  <c r="H649" i="133"/>
  <c r="H617" i="133"/>
  <c r="H595" i="133"/>
  <c r="H584" i="133"/>
  <c r="H573" i="133"/>
  <c r="H551" i="133"/>
  <c r="H539" i="133"/>
  <c r="H1079" i="133"/>
  <c r="H1045" i="133"/>
  <c r="H1032" i="133"/>
  <c r="H1010" i="133"/>
  <c r="H1001" i="133"/>
  <c r="H990" i="133"/>
  <c r="H932" i="133"/>
  <c r="H912" i="133"/>
  <c r="H888" i="133"/>
  <c r="H867" i="133"/>
  <c r="H854" i="133"/>
  <c r="H845" i="133"/>
  <c r="H802" i="133"/>
  <c r="H790" i="133"/>
  <c r="H712" i="133"/>
  <c r="H701" i="133"/>
  <c r="H681" i="133"/>
  <c r="H670" i="133"/>
  <c r="H636" i="133"/>
  <c r="H612" i="133"/>
  <c r="H568" i="133"/>
  <c r="H547" i="133"/>
  <c r="H534" i="133"/>
  <c r="H525" i="133"/>
  <c r="H503" i="133"/>
  <c r="H482" i="133"/>
  <c r="H470" i="133"/>
  <c r="H448" i="133"/>
  <c r="H439" i="133"/>
  <c r="H426" i="133"/>
  <c r="H405" i="133"/>
  <c r="H392" i="133"/>
  <c r="H370" i="133"/>
  <c r="H361" i="133"/>
  <c r="H350" i="133"/>
  <c r="H316" i="133"/>
  <c r="H303" i="133"/>
  <c r="H292" i="133"/>
  <c r="H283" i="133"/>
  <c r="H261" i="133"/>
  <c r="H239" i="133"/>
  <c r="H214" i="133"/>
  <c r="H205" i="133"/>
  <c r="H194" i="133"/>
  <c r="H183" i="133"/>
  <c r="H162" i="133"/>
  <c r="H150" i="133"/>
  <c r="H139" i="133"/>
  <c r="H119" i="133"/>
  <c r="H106" i="133"/>
  <c r="H94" i="133"/>
  <c r="H85" i="133"/>
  <c r="H72" i="133"/>
  <c r="H61" i="133"/>
  <c r="H50" i="133"/>
  <c r="H41" i="133"/>
  <c r="H30" i="133"/>
  <c r="H552" i="43"/>
  <c r="H531" i="43"/>
  <c r="H430" i="43"/>
  <c r="H363" i="43"/>
  <c r="H302" i="43"/>
  <c r="H250" i="43"/>
  <c r="H219" i="43"/>
  <c r="H206" i="43"/>
  <c r="H1046" i="133"/>
  <c r="H1030" i="133"/>
  <c r="H1014" i="133"/>
  <c r="H985" i="133"/>
  <c r="H959" i="133"/>
  <c r="H928" i="133"/>
  <c r="H872" i="133"/>
  <c r="H857" i="133"/>
  <c r="H829" i="133"/>
  <c r="H812" i="133"/>
  <c r="H800" i="133"/>
  <c r="H726" i="133"/>
  <c r="H710" i="133"/>
  <c r="H665" i="133"/>
  <c r="H652" i="133"/>
  <c r="H639" i="133"/>
  <c r="H608" i="133"/>
  <c r="H552" i="133"/>
  <c r="H537" i="133"/>
  <c r="H511" i="133"/>
  <c r="H497" i="133"/>
  <c r="H486" i="133"/>
  <c r="H473" i="133"/>
  <c r="H460" i="133"/>
  <c r="H435" i="133"/>
  <c r="H422" i="133"/>
  <c r="H383" i="133"/>
  <c r="H371" i="133"/>
  <c r="H360" i="133"/>
  <c r="H345" i="133"/>
  <c r="H333" i="133"/>
  <c r="H324" i="133"/>
  <c r="H297" i="133"/>
  <c r="H286" i="133"/>
  <c r="H273" i="133"/>
  <c r="H258" i="133"/>
  <c r="H234" i="133"/>
  <c r="H220" i="133"/>
  <c r="H208" i="133"/>
  <c r="H184" i="133"/>
  <c r="H169" i="133"/>
  <c r="H132" i="133"/>
  <c r="H123" i="133"/>
  <c r="H110" i="133"/>
  <c r="H95" i="133"/>
  <c r="H84" i="133"/>
  <c r="H70" i="133"/>
  <c r="H58" i="133"/>
  <c r="H46" i="133"/>
  <c r="H734" i="43"/>
  <c r="H702" i="43"/>
  <c r="H638" i="43"/>
  <c r="H606" i="43"/>
  <c r="H442" i="43"/>
  <c r="H382" i="43"/>
  <c r="H256" i="43"/>
  <c r="H238" i="43"/>
  <c r="H143" i="43"/>
  <c r="H127" i="43"/>
  <c r="H120" i="43"/>
  <c r="H141" i="43"/>
  <c r="H1074" i="133"/>
  <c r="H1058" i="133"/>
  <c r="H1029" i="133"/>
  <c r="H984" i="133"/>
  <c r="H968" i="133"/>
  <c r="H941" i="133"/>
  <c r="H927" i="133"/>
  <c r="H898" i="133"/>
  <c r="H852" i="133"/>
  <c r="H825" i="133"/>
  <c r="H809" i="133"/>
  <c r="H798" i="133"/>
  <c r="H781" i="133"/>
  <c r="H754" i="133"/>
  <c r="H724" i="133"/>
  <c r="H692" i="133"/>
  <c r="H680" i="133"/>
  <c r="H664" i="133"/>
  <c r="H648" i="133"/>
  <c r="H621" i="133"/>
  <c r="H607" i="133"/>
  <c r="H578" i="133"/>
  <c r="H550" i="133"/>
  <c r="H532" i="133"/>
  <c r="H522" i="133"/>
  <c r="H495" i="133"/>
  <c r="H485" i="133"/>
  <c r="H458" i="133"/>
  <c r="H434" i="133"/>
  <c r="H407" i="133"/>
  <c r="H396" i="133"/>
  <c r="H382" i="133"/>
  <c r="H368" i="133"/>
  <c r="H359" i="133"/>
  <c r="H344" i="133"/>
  <c r="H332" i="133"/>
  <c r="H321" i="133"/>
  <c r="H309" i="133"/>
  <c r="H294" i="133"/>
  <c r="H285" i="133"/>
  <c r="H271" i="133"/>
  <c r="H219" i="133"/>
  <c r="H207" i="133"/>
  <c r="H195" i="133"/>
  <c r="H181" i="133"/>
  <c r="H168" i="133"/>
  <c r="H158" i="133"/>
  <c r="H131" i="133"/>
  <c r="H122" i="133"/>
  <c r="H108" i="133"/>
  <c r="H93" i="133"/>
  <c r="H82" i="133"/>
  <c r="H54" i="133"/>
  <c r="H32" i="133"/>
  <c r="H869" i="43"/>
  <c r="H744" i="43"/>
  <c r="H701" i="43"/>
  <c r="H517" i="43"/>
  <c r="H467" i="43"/>
  <c r="H429" i="43"/>
  <c r="H381" i="43"/>
  <c r="H325" i="43"/>
  <c r="H304" i="43"/>
  <c r="H286" i="43"/>
  <c r="H265" i="43"/>
  <c r="H203" i="43"/>
  <c r="H179" i="43"/>
  <c r="H158" i="43"/>
  <c r="H142" i="43"/>
  <c r="H9" i="43"/>
  <c r="H231" i="133"/>
  <c r="H558" i="43"/>
  <c r="H368" i="43"/>
  <c r="H350" i="43"/>
  <c r="H254" i="43"/>
  <c r="H202" i="43"/>
  <c r="H178" i="43"/>
  <c r="H165" i="43"/>
  <c r="H1073" i="133"/>
  <c r="H1042" i="133"/>
  <c r="H1028" i="133"/>
  <c r="H1011" i="133"/>
  <c r="H983" i="133"/>
  <c r="H967" i="133"/>
  <c r="H954" i="133"/>
  <c r="H940" i="133"/>
  <c r="H913" i="133"/>
  <c r="H884" i="133"/>
  <c r="H868" i="133"/>
  <c r="H841" i="133"/>
  <c r="H824" i="133"/>
  <c r="H808" i="133"/>
  <c r="H796" i="133"/>
  <c r="H780" i="133"/>
  <c r="H735" i="133"/>
  <c r="H708" i="133"/>
  <c r="H679" i="133"/>
  <c r="H647" i="133"/>
  <c r="H634" i="133"/>
  <c r="H620" i="133"/>
  <c r="H564" i="133"/>
  <c r="H548" i="133"/>
  <c r="H531" i="133"/>
  <c r="H521" i="133"/>
  <c r="H507" i="133"/>
  <c r="H484" i="133"/>
  <c r="H454" i="133"/>
  <c r="H445" i="133"/>
  <c r="H419" i="133"/>
  <c r="H380" i="133"/>
  <c r="H367" i="133"/>
  <c r="H356" i="133"/>
  <c r="H343" i="133"/>
  <c r="H329" i="133"/>
  <c r="H320" i="133"/>
  <c r="H308" i="133"/>
  <c r="H282" i="133"/>
  <c r="H270" i="133"/>
  <c r="H255" i="133"/>
  <c r="H244" i="133"/>
  <c r="H218" i="133"/>
  <c r="H180" i="133"/>
  <c r="H167" i="133"/>
  <c r="H156" i="133"/>
  <c r="H142" i="133"/>
  <c r="H130" i="133"/>
  <c r="H121" i="133"/>
  <c r="H105" i="133"/>
  <c r="H92" i="133"/>
  <c r="H80" i="133"/>
  <c r="H68" i="133"/>
  <c r="H53" i="133"/>
  <c r="H666" i="43"/>
  <c r="H526" i="43"/>
  <c r="H494" i="43"/>
  <c r="H324" i="43"/>
  <c r="H126" i="43"/>
  <c r="H1082" i="133"/>
  <c r="H965" i="133"/>
  <c r="H922" i="133"/>
  <c r="H907" i="133"/>
  <c r="H833" i="133"/>
  <c r="H773" i="133"/>
  <c r="H762" i="133"/>
  <c r="H745" i="133"/>
  <c r="H730" i="133"/>
  <c r="H716" i="133"/>
  <c r="H700" i="133"/>
  <c r="H672" i="133"/>
  <c r="H602" i="133"/>
  <c r="H542" i="133"/>
  <c r="H527" i="133"/>
  <c r="H501" i="133"/>
  <c r="H478" i="133"/>
  <c r="H464" i="133"/>
  <c r="H451" i="133"/>
  <c r="H442" i="133"/>
  <c r="H428" i="133"/>
  <c r="H402" i="133"/>
  <c r="H374" i="133"/>
  <c r="H365" i="133"/>
  <c r="H339" i="133"/>
  <c r="H314" i="133"/>
  <c r="H301" i="133"/>
  <c r="H279" i="133"/>
  <c r="H264" i="133"/>
  <c r="H240" i="133"/>
  <c r="H225" i="133"/>
  <c r="H211" i="133"/>
  <c r="H202" i="133"/>
  <c r="H189" i="133"/>
  <c r="H175" i="133"/>
  <c r="H165" i="133"/>
  <c r="H152" i="133"/>
  <c r="H138" i="133"/>
  <c r="H126" i="133"/>
  <c r="H114" i="133"/>
  <c r="H101" i="133"/>
  <c r="H87" i="133"/>
  <c r="H76" i="133"/>
  <c r="H62" i="133"/>
  <c r="H48" i="133"/>
  <c r="H24" i="133"/>
  <c r="H13" i="133"/>
  <c r="H910" i="43"/>
  <c r="H1062" i="133"/>
  <c r="H988" i="133"/>
  <c r="H973" i="133"/>
  <c r="H961" i="133"/>
  <c r="H920" i="133"/>
  <c r="H903" i="133"/>
  <c r="H887" i="133"/>
  <c r="H858" i="133"/>
  <c r="H844" i="133"/>
  <c r="H831" i="133"/>
  <c r="H813" i="133"/>
  <c r="H770" i="133"/>
  <c r="H698" i="133"/>
  <c r="H684" i="133"/>
  <c r="H668" i="133"/>
  <c r="H653" i="133"/>
  <c r="H600" i="133"/>
  <c r="H583" i="133"/>
  <c r="H538" i="133"/>
  <c r="H524" i="133"/>
  <c r="H498" i="133"/>
  <c r="H475" i="133"/>
  <c r="H461" i="133"/>
  <c r="H436" i="133"/>
  <c r="H423" i="133"/>
  <c r="H410" i="133"/>
  <c r="H399" i="133"/>
  <c r="H386" i="133"/>
  <c r="H372" i="133"/>
  <c r="H363" i="133"/>
  <c r="H348" i="133"/>
  <c r="H334" i="133"/>
  <c r="H325" i="133"/>
  <c r="H311" i="133"/>
  <c r="H298" i="133"/>
  <c r="H274" i="133"/>
  <c r="H247" i="133"/>
  <c r="H222" i="133"/>
  <c r="H200" i="133"/>
  <c r="H185" i="133"/>
  <c r="H172" i="133"/>
  <c r="H161" i="133"/>
  <c r="H148" i="133"/>
  <c r="H133" i="133"/>
  <c r="H124" i="133"/>
  <c r="H111" i="133"/>
  <c r="H98" i="133"/>
  <c r="H86" i="133"/>
  <c r="H59" i="133"/>
  <c r="H10" i="133"/>
  <c r="H682" i="43"/>
  <c r="H616" i="43"/>
  <c r="H595" i="43"/>
  <c r="H509" i="43"/>
  <c r="H373" i="43"/>
  <c r="H333" i="43"/>
  <c r="H317" i="43"/>
  <c r="H296" i="43"/>
  <c r="H212" i="43"/>
  <c r="H197" i="43"/>
  <c r="H152" i="43"/>
  <c r="H144" i="43"/>
  <c r="H136" i="43"/>
  <c r="H105" i="43"/>
  <c r="H109" i="43"/>
  <c r="H232" i="43"/>
  <c r="H270" i="43"/>
  <c r="H339" i="43"/>
  <c r="H437" i="43"/>
  <c r="H574" i="43"/>
  <c r="H597" i="43"/>
  <c r="H643" i="43"/>
  <c r="H23" i="133"/>
  <c r="H51" i="133"/>
  <c r="H116" i="133"/>
  <c r="H153" i="133"/>
  <c r="H187" i="133"/>
  <c r="H212" i="133"/>
  <c r="H280" i="133"/>
  <c r="H404" i="133"/>
  <c r="H431" i="133"/>
  <c r="H462" i="133"/>
  <c r="H561" i="133"/>
  <c r="H601" i="133"/>
  <c r="H631" i="133"/>
  <c r="H671" i="133"/>
  <c r="H702" i="133"/>
  <c r="H733" i="133"/>
  <c r="H772" i="133"/>
  <c r="H807" i="133"/>
  <c r="H849" i="133"/>
  <c r="H925" i="133"/>
  <c r="H952" i="133"/>
  <c r="H1023" i="133"/>
  <c r="H628" i="133"/>
  <c r="H881" i="133"/>
  <c r="H1022" i="133"/>
  <c r="H110" i="43"/>
  <c r="H125" i="43"/>
  <c r="H366" i="43"/>
  <c r="H554" i="43"/>
  <c r="H25" i="133"/>
  <c r="H52" i="133"/>
  <c r="H89" i="133"/>
  <c r="H125" i="133"/>
  <c r="H191" i="133"/>
  <c r="H217" i="133"/>
  <c r="H281" i="133"/>
  <c r="H312" i="133"/>
  <c r="H341" i="133"/>
  <c r="H406" i="133"/>
  <c r="H441" i="133"/>
  <c r="H466" i="133"/>
  <c r="H492" i="133"/>
  <c r="H529" i="133"/>
  <c r="H605" i="133"/>
  <c r="H632" i="133"/>
  <c r="H675" i="133"/>
  <c r="H703" i="133"/>
  <c r="H774" i="133"/>
  <c r="H889" i="133"/>
  <c r="H964" i="133"/>
  <c r="H996" i="133"/>
  <c r="H288" i="43"/>
  <c r="H347" i="43"/>
  <c r="H424" i="43"/>
  <c r="H164" i="133"/>
  <c r="H223" i="133"/>
  <c r="H318" i="133"/>
  <c r="H443" i="133"/>
  <c r="H500" i="133"/>
  <c r="H569" i="133"/>
  <c r="H606" i="133"/>
  <c r="H644" i="133"/>
  <c r="H676" i="133"/>
  <c r="H715" i="133"/>
  <c r="H748" i="133"/>
  <c r="H820" i="133"/>
  <c r="H1006" i="133"/>
  <c r="H1039" i="133"/>
  <c r="H1070" i="133"/>
  <c r="H60" i="133"/>
  <c r="H90" i="133"/>
  <c r="H253" i="133"/>
  <c r="H378" i="133"/>
  <c r="H468" i="133"/>
  <c r="H530" i="133"/>
  <c r="H966" i="133"/>
  <c r="H63" i="43"/>
  <c r="H101" i="43"/>
  <c r="H174" i="43"/>
  <c r="H190" i="43"/>
  <c r="BU14" i="35"/>
  <c r="BV14" i="35" s="1"/>
  <c r="H222" i="43"/>
  <c r="H446" i="43"/>
  <c r="H483" i="43"/>
  <c r="H622" i="43"/>
  <c r="H36" i="133"/>
  <c r="H63" i="133"/>
  <c r="H99" i="133"/>
  <c r="H129" i="133"/>
  <c r="H166" i="133"/>
  <c r="H201" i="133"/>
  <c r="H228" i="133"/>
  <c r="H254" i="133"/>
  <c r="H319" i="133"/>
  <c r="H351" i="133"/>
  <c r="H412" i="133"/>
  <c r="H476" i="133"/>
  <c r="H540" i="133"/>
  <c r="H788" i="133"/>
  <c r="H863" i="133"/>
  <c r="H895" i="133"/>
  <c r="H930" i="133"/>
  <c r="H67" i="43"/>
  <c r="H102" i="43"/>
  <c r="H873" i="43"/>
  <c r="H40" i="133"/>
  <c r="H102" i="133"/>
  <c r="H134" i="133"/>
  <c r="H203" i="133"/>
  <c r="H230" i="133"/>
  <c r="H263" i="133"/>
  <c r="H289" i="133"/>
  <c r="H326" i="133"/>
  <c r="H353" i="133"/>
  <c r="H388" i="133"/>
  <c r="H415" i="133"/>
  <c r="H480" i="133"/>
  <c r="H505" i="133"/>
  <c r="H543" i="133"/>
  <c r="H575" i="133"/>
  <c r="H610" i="133"/>
  <c r="H761" i="133"/>
  <c r="H792" i="133"/>
  <c r="H832" i="133"/>
  <c r="H905" i="133"/>
  <c r="H974" i="133"/>
  <c r="H78" i="43"/>
  <c r="H68" i="43"/>
  <c r="H334" i="43"/>
  <c r="H434" i="43"/>
  <c r="H542" i="43"/>
  <c r="H649" i="43"/>
  <c r="H718" i="43"/>
  <c r="H730" i="43"/>
  <c r="H11" i="133"/>
  <c r="H43" i="133"/>
  <c r="H75" i="133"/>
  <c r="H103" i="133"/>
  <c r="H140" i="133"/>
  <c r="H173" i="133"/>
  <c r="H204" i="133"/>
  <c r="H238" i="133"/>
  <c r="H265" i="133"/>
  <c r="H290" i="133"/>
  <c r="H355" i="133"/>
  <c r="H390" i="133"/>
  <c r="H418" i="133"/>
  <c r="H450" i="133"/>
  <c r="H481" i="133"/>
  <c r="H545" i="133"/>
  <c r="H585" i="133"/>
  <c r="H764" i="133"/>
  <c r="H793" i="133"/>
  <c r="H979" i="133"/>
  <c r="AU35" i="33"/>
  <c r="AU81" i="33" s="1"/>
  <c r="BE10" i="33"/>
  <c r="BG35" i="33"/>
  <c r="BG81" i="33" s="1"/>
  <c r="BE11" i="33"/>
  <c r="BE13" i="33"/>
  <c r="BE12" i="33"/>
  <c r="BN13" i="33"/>
  <c r="BE15" i="33"/>
  <c r="BE14" i="33"/>
  <c r="BN18" i="33"/>
  <c r="BO35" i="33"/>
  <c r="BN14" i="33"/>
  <c r="BE19" i="33"/>
  <c r="BN15" i="33"/>
  <c r="BN16" i="33"/>
  <c r="BN25" i="33"/>
  <c r="BE30" i="33"/>
  <c r="BN17" i="33"/>
  <c r="BN22" i="33"/>
  <c r="BN24" i="33"/>
  <c r="BE29" i="33"/>
  <c r="BN19" i="33"/>
  <c r="BN23" i="33"/>
  <c r="BN30" i="33"/>
  <c r="BB78" i="33"/>
  <c r="BB77" i="33"/>
  <c r="BB76" i="33"/>
  <c r="BB79" i="33"/>
  <c r="BB70" i="33"/>
  <c r="BB64" i="33"/>
  <c r="BB59" i="33"/>
  <c r="BB55" i="33"/>
  <c r="BB71" i="33"/>
  <c r="BB65" i="33"/>
  <c r="BB72" i="33"/>
  <c r="BB58" i="33"/>
  <c r="BB54" i="33"/>
  <c r="BB73" i="33"/>
  <c r="BB66" i="33"/>
  <c r="BB67" i="33"/>
  <c r="BB61" i="33"/>
  <c r="BB57" i="33"/>
  <c r="BB53" i="33"/>
  <c r="BB74" i="33"/>
  <c r="BB68" i="33"/>
  <c r="BB69" i="33"/>
  <c r="BB62" i="33"/>
  <c r="BB60" i="33"/>
  <c r="BB56" i="33"/>
  <c r="BB52" i="33"/>
  <c r="BB75" i="33"/>
  <c r="BB63" i="33"/>
  <c r="BK78" i="33"/>
  <c r="BK77" i="33"/>
  <c r="BK73" i="33"/>
  <c r="BK69" i="33"/>
  <c r="BK65" i="33"/>
  <c r="BK61" i="33"/>
  <c r="BK70" i="33"/>
  <c r="BK64" i="33"/>
  <c r="BK71" i="33"/>
  <c r="BK58" i="33"/>
  <c r="BK54" i="33"/>
  <c r="BK72" i="33"/>
  <c r="BK66" i="33"/>
  <c r="BK57" i="33"/>
  <c r="BK53" i="33"/>
  <c r="BK67" i="33"/>
  <c r="BK74" i="33"/>
  <c r="BK68" i="33"/>
  <c r="BK60" i="33"/>
  <c r="BK56" i="33"/>
  <c r="BK52" i="33"/>
  <c r="BK79" i="33"/>
  <c r="BK62" i="33"/>
  <c r="BK59" i="33"/>
  <c r="BK55" i="33"/>
  <c r="BK75" i="33"/>
  <c r="BK63" i="33"/>
  <c r="BK76" i="33"/>
  <c r="BN21" i="33"/>
  <c r="BE26" i="33"/>
  <c r="BE27" i="33"/>
  <c r="BN12" i="33"/>
  <c r="BN28" i="33"/>
  <c r="BN27" i="33"/>
  <c r="BN29" i="33"/>
  <c r="BM35" i="33"/>
  <c r="BM81" i="33" s="1"/>
  <c r="AW35" i="33"/>
  <c r="AW81" i="33" s="1"/>
  <c r="AU78" i="33"/>
  <c r="AU77" i="33"/>
  <c r="AU73" i="33"/>
  <c r="AU69" i="33"/>
  <c r="AU65" i="33"/>
  <c r="AU72" i="33"/>
  <c r="AU66" i="33"/>
  <c r="AU58" i="33"/>
  <c r="AU54" i="33"/>
  <c r="AU67" i="33"/>
  <c r="AU74" i="33"/>
  <c r="AU68" i="33"/>
  <c r="AU61" i="33"/>
  <c r="AU57" i="33"/>
  <c r="AU53" i="33"/>
  <c r="AU79" i="33"/>
  <c r="AU75" i="33"/>
  <c r="AU62" i="33"/>
  <c r="AU63" i="33"/>
  <c r="AU60" i="33"/>
  <c r="AU56" i="33"/>
  <c r="AU52" i="33"/>
  <c r="BC78" i="33"/>
  <c r="BC77" i="33"/>
  <c r="BC73" i="33"/>
  <c r="BC69" i="33"/>
  <c r="BC65" i="33"/>
  <c r="BC61" i="33"/>
  <c r="BC79" i="33"/>
  <c r="BC71" i="33"/>
  <c r="BC72" i="33"/>
  <c r="BC58" i="33"/>
  <c r="BC54" i="33"/>
  <c r="BC66" i="33"/>
  <c r="BC76" i="33"/>
  <c r="BC67" i="33"/>
  <c r="BC57" i="33"/>
  <c r="BC53" i="33"/>
  <c r="BC74" i="33"/>
  <c r="BC68" i="33"/>
  <c r="BC75" i="33"/>
  <c r="BC62" i="33"/>
  <c r="BC60" i="33"/>
  <c r="BC56" i="33"/>
  <c r="BC52" i="33"/>
  <c r="BL76" i="33"/>
  <c r="BL71" i="33"/>
  <c r="BL58" i="33"/>
  <c r="BL54" i="33"/>
  <c r="BL78" i="33"/>
  <c r="BL77" i="33"/>
  <c r="BL72" i="33"/>
  <c r="BL65" i="33"/>
  <c r="BL66" i="33"/>
  <c r="BL57" i="33"/>
  <c r="BL53" i="33"/>
  <c r="BL73" i="33"/>
  <c r="BL67" i="33"/>
  <c r="BL74" i="33"/>
  <c r="BL68" i="33"/>
  <c r="BL61" i="33"/>
  <c r="BL60" i="33"/>
  <c r="BL56" i="33"/>
  <c r="BL52" i="33"/>
  <c r="BL75" i="33"/>
  <c r="BL62" i="33"/>
  <c r="BC64" i="33"/>
  <c r="BL69" i="33"/>
  <c r="AX35" i="33"/>
  <c r="AX81" i="33" s="1"/>
  <c r="AV79" i="33"/>
  <c r="AV76" i="33"/>
  <c r="AV66" i="33"/>
  <c r="AV58" i="33"/>
  <c r="AV54" i="33"/>
  <c r="AV77" i="33"/>
  <c r="AV73" i="33"/>
  <c r="AV67" i="33"/>
  <c r="AV74" i="33"/>
  <c r="AV68" i="33"/>
  <c r="AV61" i="33"/>
  <c r="AV57" i="33"/>
  <c r="AV53" i="33"/>
  <c r="AV75" i="33"/>
  <c r="AV62" i="33"/>
  <c r="AV69" i="33"/>
  <c r="AV63" i="33"/>
  <c r="AV60" i="33"/>
  <c r="AV56" i="33"/>
  <c r="AV52" i="33"/>
  <c r="AV78" i="33"/>
  <c r="AV70" i="33"/>
  <c r="AV64" i="33"/>
  <c r="BD79" i="33"/>
  <c r="BD78" i="33"/>
  <c r="BD76" i="33"/>
  <c r="BD72" i="33"/>
  <c r="BD65" i="33"/>
  <c r="BD58" i="33"/>
  <c r="BD54" i="33"/>
  <c r="BD66" i="33"/>
  <c r="BD73" i="33"/>
  <c r="BD67" i="33"/>
  <c r="BD57" i="33"/>
  <c r="BD53" i="33"/>
  <c r="BD74" i="33"/>
  <c r="BD68" i="33"/>
  <c r="BD61" i="33"/>
  <c r="BD75" i="33"/>
  <c r="BD62" i="33"/>
  <c r="BD60" i="33"/>
  <c r="BD56" i="33"/>
  <c r="BD52" i="33"/>
  <c r="BD77" i="33"/>
  <c r="BD69" i="33"/>
  <c r="BD63" i="33"/>
  <c r="BM79" i="33"/>
  <c r="BM76" i="33"/>
  <c r="BM72" i="33"/>
  <c r="BM68" i="33"/>
  <c r="BM64" i="33"/>
  <c r="BM78" i="33"/>
  <c r="BM77" i="33"/>
  <c r="BM65" i="33"/>
  <c r="BM66" i="33"/>
  <c r="BM57" i="33"/>
  <c r="BM53" i="33"/>
  <c r="BM73" i="33"/>
  <c r="BM67" i="33"/>
  <c r="BM74" i="33"/>
  <c r="BM61" i="33"/>
  <c r="BM60" i="33"/>
  <c r="BM56" i="33"/>
  <c r="BM52" i="33"/>
  <c r="BM75" i="33"/>
  <c r="BM62" i="33"/>
  <c r="BM69" i="33"/>
  <c r="BM63" i="33"/>
  <c r="BM59" i="33"/>
  <c r="BM55" i="33"/>
  <c r="AU55" i="33"/>
  <c r="AU59" i="33"/>
  <c r="BD64" i="33"/>
  <c r="AU71" i="33"/>
  <c r="AV72" i="33"/>
  <c r="AZ74" i="33"/>
  <c r="BC63" i="33"/>
  <c r="AU70" i="33"/>
  <c r="AV71" i="33"/>
  <c r="BI35" i="33"/>
  <c r="BI81" i="33" s="1"/>
  <c r="AX79" i="33"/>
  <c r="AX78" i="33"/>
  <c r="AX74" i="33"/>
  <c r="AX61" i="33"/>
  <c r="AX57" i="33"/>
  <c r="AX53" i="33"/>
  <c r="AX75" i="33"/>
  <c r="AX68" i="33"/>
  <c r="AX62" i="33"/>
  <c r="AX69" i="33"/>
  <c r="AX63" i="33"/>
  <c r="AX60" i="33"/>
  <c r="AX56" i="33"/>
  <c r="AX52" i="33"/>
  <c r="AX70" i="33"/>
  <c r="AX71" i="33"/>
  <c r="AX64" i="33"/>
  <c r="AX59" i="33"/>
  <c r="AX55" i="33"/>
  <c r="AX65" i="33"/>
  <c r="BG78" i="33"/>
  <c r="BG75" i="33"/>
  <c r="BG71" i="33"/>
  <c r="BG67" i="33"/>
  <c r="BG63" i="33"/>
  <c r="BG77" i="33"/>
  <c r="BG79" i="33"/>
  <c r="BG74" i="33"/>
  <c r="BG61" i="33"/>
  <c r="BG76" i="33"/>
  <c r="BG68" i="33"/>
  <c r="BG62" i="33"/>
  <c r="BG60" i="33"/>
  <c r="BG56" i="33"/>
  <c r="BG52" i="33"/>
  <c r="BG69" i="33"/>
  <c r="BG70" i="33"/>
  <c r="BG59" i="33"/>
  <c r="BG55" i="33"/>
  <c r="BG64" i="33"/>
  <c r="BG65" i="33"/>
  <c r="BG58" i="33"/>
  <c r="BG54" i="33"/>
  <c r="BP79" i="33"/>
  <c r="BP77" i="33"/>
  <c r="BP78" i="33"/>
  <c r="BP74" i="33"/>
  <c r="BP67" i="33"/>
  <c r="BP61" i="33"/>
  <c r="BP60" i="33"/>
  <c r="BP56" i="33"/>
  <c r="BP52" i="33"/>
  <c r="BP68" i="33"/>
  <c r="BP62" i="33"/>
  <c r="BP69" i="33"/>
  <c r="BP59" i="33"/>
  <c r="BP55" i="33"/>
  <c r="BP75" i="33"/>
  <c r="BP70" i="33"/>
  <c r="BP63" i="33"/>
  <c r="BP76" i="33"/>
  <c r="BP64" i="33"/>
  <c r="BP58" i="33"/>
  <c r="BP54" i="33"/>
  <c r="BP71" i="33"/>
  <c r="BP65" i="33"/>
  <c r="AZ53" i="33"/>
  <c r="AX54" i="33"/>
  <c r="BC55" i="33"/>
  <c r="AZ57" i="33"/>
  <c r="AX58" i="33"/>
  <c r="BC59" i="33"/>
  <c r="AZ61" i="33"/>
  <c r="BL64" i="33"/>
  <c r="BC70" i="33"/>
  <c r="BD71" i="33"/>
  <c r="BG73" i="33"/>
  <c r="BA35" i="33"/>
  <c r="BA81" i="33" s="1"/>
  <c r="BJ35" i="33"/>
  <c r="BJ81" i="33" s="1"/>
  <c r="BD55" i="33"/>
  <c r="BD59" i="33"/>
  <c r="AX67" i="33"/>
  <c r="BD70" i="33"/>
  <c r="BG72" i="33"/>
  <c r="AX77" i="33"/>
  <c r="BB35" i="33"/>
  <c r="BB81" i="33" s="1"/>
  <c r="AZ79" i="33"/>
  <c r="AZ78" i="33"/>
  <c r="AZ77" i="33"/>
  <c r="AZ75" i="33"/>
  <c r="AZ69" i="33"/>
  <c r="AZ60" i="33"/>
  <c r="AZ56" i="33"/>
  <c r="AZ52" i="33"/>
  <c r="AZ70" i="33"/>
  <c r="AZ63" i="33"/>
  <c r="AZ64" i="33"/>
  <c r="AZ59" i="33"/>
  <c r="AZ55" i="33"/>
  <c r="AZ71" i="33"/>
  <c r="AZ65" i="33"/>
  <c r="AZ76" i="33"/>
  <c r="AZ72" i="33"/>
  <c r="AZ66" i="33"/>
  <c r="AZ58" i="33"/>
  <c r="AZ54" i="33"/>
  <c r="AZ73" i="33"/>
  <c r="BI79" i="33"/>
  <c r="BI74" i="33"/>
  <c r="BI70" i="33"/>
  <c r="BI66" i="33"/>
  <c r="BI62" i="33"/>
  <c r="BI78" i="33"/>
  <c r="BI76" i="33"/>
  <c r="BI75" i="33"/>
  <c r="BI69" i="33"/>
  <c r="BI63" i="33"/>
  <c r="BI59" i="33"/>
  <c r="BI55" i="33"/>
  <c r="BI77" i="33"/>
  <c r="BI64" i="33"/>
  <c r="BI71" i="33"/>
  <c r="BI65" i="33"/>
  <c r="BI58" i="33"/>
  <c r="BI54" i="33"/>
  <c r="BI72" i="33"/>
  <c r="BI73" i="33"/>
  <c r="BI57" i="33"/>
  <c r="BI53" i="33"/>
  <c r="BI52" i="33"/>
  <c r="BI56" i="33"/>
  <c r="BI60" i="33"/>
  <c r="BL63" i="33"/>
  <c r="AW66" i="33"/>
  <c r="AZ67" i="33"/>
  <c r="BP73" i="33"/>
  <c r="BM54" i="33"/>
  <c r="BM58" i="33"/>
  <c r="BI61" i="33"/>
  <c r="AV65" i="33"/>
  <c r="AX66" i="33"/>
  <c r="BL70" i="33"/>
  <c r="BM71" i="33"/>
  <c r="BP72" i="33"/>
  <c r="AU76" i="33"/>
  <c r="AW76" i="33"/>
  <c r="AW72" i="33"/>
  <c r="AW68" i="33"/>
  <c r="AW64" i="33"/>
  <c r="AW79" i="33"/>
  <c r="AW78" i="33"/>
  <c r="BO78" i="33"/>
  <c r="BO75" i="33"/>
  <c r="BO71" i="33"/>
  <c r="BO67" i="33"/>
  <c r="BO63" i="33"/>
  <c r="BO79" i="33"/>
  <c r="BO77" i="33"/>
  <c r="BA53" i="33"/>
  <c r="BQ53" i="33"/>
  <c r="AY54" i="33"/>
  <c r="BO54" i="33"/>
  <c r="AW55" i="33"/>
  <c r="BA57" i="33"/>
  <c r="BQ57" i="33"/>
  <c r="AY58" i="33"/>
  <c r="BO58" i="33"/>
  <c r="AW59" i="33"/>
  <c r="BA61" i="33"/>
  <c r="BJ61" i="33"/>
  <c r="BO64" i="33"/>
  <c r="AY66" i="33"/>
  <c r="BH66" i="33"/>
  <c r="BA67" i="33"/>
  <c r="BJ67" i="33"/>
  <c r="AW71" i="33"/>
  <c r="AY72" i="33"/>
  <c r="BH72" i="33"/>
  <c r="BQ72" i="33"/>
  <c r="AY76" i="33"/>
  <c r="BO76" i="33"/>
  <c r="BJ53" i="33"/>
  <c r="BH54" i="33"/>
  <c r="BJ57" i="33"/>
  <c r="BH58" i="33"/>
  <c r="BH65" i="33"/>
  <c r="BQ65" i="33"/>
  <c r="BJ66" i="33"/>
  <c r="AW70" i="33"/>
  <c r="BO70" i="33"/>
  <c r="BA73" i="33"/>
  <c r="BJ73" i="33"/>
  <c r="BA78" i="33"/>
  <c r="AY78" i="33"/>
  <c r="AY75" i="33"/>
  <c r="AY71" i="33"/>
  <c r="AY67" i="33"/>
  <c r="AY63" i="33"/>
  <c r="AY77" i="33"/>
  <c r="BH79" i="33"/>
  <c r="BH77" i="33"/>
  <c r="BH78" i="33"/>
  <c r="BQ79" i="33"/>
  <c r="BQ74" i="33"/>
  <c r="BQ70" i="33"/>
  <c r="BQ66" i="33"/>
  <c r="BQ62" i="33"/>
  <c r="BQ76" i="33"/>
  <c r="AW52" i="33"/>
  <c r="BA54" i="33"/>
  <c r="BQ54" i="33"/>
  <c r="AY55" i="33"/>
  <c r="BO55" i="33"/>
  <c r="AW56" i="33"/>
  <c r="BA58" i="33"/>
  <c r="BQ58" i="33"/>
  <c r="AY59" i="33"/>
  <c r="BO59" i="33"/>
  <c r="AW60" i="33"/>
  <c r="AW63" i="33"/>
  <c r="AY64" i="33"/>
  <c r="BH64" i="33"/>
  <c r="BQ64" i="33"/>
  <c r="AW69" i="33"/>
  <c r="BO69" i="33"/>
  <c r="BA72" i="33"/>
  <c r="BJ72" i="33"/>
  <c r="AY79" i="33"/>
  <c r="BJ54" i="33"/>
  <c r="BH55" i="33"/>
  <c r="BJ58" i="33"/>
  <c r="BH59" i="33"/>
  <c r="AW62" i="33"/>
  <c r="BO62" i="33"/>
  <c r="BH63" i="33"/>
  <c r="BQ63" i="33"/>
  <c r="BA65" i="33"/>
  <c r="BJ65" i="33"/>
  <c r="BO68" i="33"/>
  <c r="AY70" i="33"/>
  <c r="BH70" i="33"/>
  <c r="BA71" i="33"/>
  <c r="AW75" i="33"/>
  <c r="BQ75" i="33"/>
  <c r="BQ35" i="33"/>
  <c r="BQ81" i="33" s="1"/>
  <c r="BA74" i="33"/>
  <c r="BA70" i="33"/>
  <c r="BA66" i="33"/>
  <c r="BA62" i="33"/>
  <c r="BA76" i="33"/>
  <c r="BJ79" i="33"/>
  <c r="BJ77" i="33"/>
  <c r="BJ78" i="33"/>
  <c r="BJ76" i="33"/>
  <c r="AY52" i="33"/>
  <c r="BO52" i="33"/>
  <c r="AW53" i="33"/>
  <c r="BA55" i="33"/>
  <c r="BQ55" i="33"/>
  <c r="AY56" i="33"/>
  <c r="BO56" i="33"/>
  <c r="AW57" i="33"/>
  <c r="BA59" i="33"/>
  <c r="BQ59" i="33"/>
  <c r="AY60" i="33"/>
  <c r="BO60" i="33"/>
  <c r="AW61" i="33"/>
  <c r="BO61" i="33"/>
  <c r="BA64" i="33"/>
  <c r="BJ64" i="33"/>
  <c r="AY69" i="33"/>
  <c r="BH69" i="33"/>
  <c r="BQ69" i="33"/>
  <c r="BJ70" i="33"/>
  <c r="AW74" i="33"/>
  <c r="BO74" i="33"/>
  <c r="BH75" i="33"/>
  <c r="BH52" i="33"/>
  <c r="BJ55" i="33"/>
  <c r="BH56" i="33"/>
  <c r="BJ59" i="33"/>
  <c r="BH60" i="33"/>
  <c r="AY62" i="33"/>
  <c r="BH62" i="33"/>
  <c r="BA63" i="33"/>
  <c r="AW67" i="33"/>
  <c r="AY68" i="33"/>
  <c r="BH68" i="33"/>
  <c r="BQ68" i="33"/>
  <c r="AW73" i="33"/>
  <c r="BO73" i="33"/>
  <c r="BH76" i="33"/>
  <c r="AW77" i="33"/>
  <c r="BN32" i="33"/>
  <c r="BE32" i="33"/>
  <c r="BF35" i="33"/>
  <c r="BT28" i="33" l="1"/>
  <c r="BT14" i="33"/>
  <c r="BT18" i="33"/>
  <c r="AT82" i="33"/>
  <c r="AT36" i="33" s="1"/>
  <c r="AT37" i="33" s="1"/>
  <c r="AT41" i="33" s="1"/>
  <c r="BT22" i="33"/>
  <c r="BT12" i="33"/>
  <c r="BT20" i="33"/>
  <c r="BT25" i="33"/>
  <c r="BT26" i="33"/>
  <c r="BT16" i="33"/>
  <c r="BT23" i="33"/>
  <c r="BS75" i="33"/>
  <c r="BT13" i="33"/>
  <c r="BT17" i="33"/>
  <c r="BS56" i="33"/>
  <c r="BS69" i="33"/>
  <c r="BS62" i="33"/>
  <c r="BS63" i="33"/>
  <c r="BS55" i="33"/>
  <c r="BS59" i="33"/>
  <c r="BS57" i="33"/>
  <c r="BS66" i="33"/>
  <c r="BS73" i="33"/>
  <c r="BS65" i="33"/>
  <c r="BS60" i="33"/>
  <c r="BT15" i="33"/>
  <c r="BT31" i="33"/>
  <c r="BS76" i="33"/>
  <c r="BS64" i="33"/>
  <c r="BS53" i="33"/>
  <c r="BS70" i="33"/>
  <c r="BS72" i="33"/>
  <c r="BS77" i="33"/>
  <c r="BS71" i="33"/>
  <c r="BN62" i="33"/>
  <c r="BT10" i="33"/>
  <c r="BS68" i="33"/>
  <c r="BS74" i="33"/>
  <c r="BF82" i="33"/>
  <c r="BF36" i="33" s="1"/>
  <c r="BT24" i="33"/>
  <c r="BS58" i="33"/>
  <c r="BT11" i="33"/>
  <c r="BN68" i="33"/>
  <c r="BE68" i="33"/>
  <c r="BE66" i="33"/>
  <c r="BE53" i="33"/>
  <c r="BN67" i="33"/>
  <c r="BE69" i="33"/>
  <c r="BE64" i="33"/>
  <c r="BE76" i="33"/>
  <c r="BN54" i="33"/>
  <c r="BS61" i="33"/>
  <c r="BS54" i="33"/>
  <c r="BN59" i="33"/>
  <c r="BN73" i="33"/>
  <c r="BN55" i="33"/>
  <c r="BE72" i="33"/>
  <c r="BN57" i="33"/>
  <c r="BS67" i="33"/>
  <c r="BR36" i="33"/>
  <c r="BR37" i="33" s="1"/>
  <c r="BS78" i="33"/>
  <c r="BJ82" i="33"/>
  <c r="BJ36" i="33" s="1"/>
  <c r="BJ37" i="33" s="1"/>
  <c r="BE78" i="33"/>
  <c r="BS52" i="33"/>
  <c r="E820" i="43"/>
  <c r="E533" i="43"/>
  <c r="E49" i="133"/>
  <c r="E748" i="133"/>
  <c r="E674" i="43"/>
  <c r="E520" i="43"/>
  <c r="E324" i="43"/>
  <c r="E491" i="133"/>
  <c r="E129" i="43"/>
  <c r="E626" i="43"/>
  <c r="E661" i="43"/>
  <c r="E366" i="43"/>
  <c r="E698" i="133"/>
  <c r="E664" i="133"/>
  <c r="E220" i="133"/>
  <c r="BQ82" i="33"/>
  <c r="BQ36" i="33" s="1"/>
  <c r="BQ37" i="33" s="1"/>
  <c r="E603" i="43"/>
  <c r="E794" i="133"/>
  <c r="E282" i="133"/>
  <c r="E979" i="133"/>
  <c r="E118" i="43"/>
  <c r="E241" i="133"/>
  <c r="E608" i="43"/>
  <c r="E704" i="43"/>
  <c r="E55" i="133"/>
  <c r="E1035" i="133"/>
  <c r="E743" i="133"/>
  <c r="E441" i="133"/>
  <c r="E191" i="133"/>
  <c r="E861" i="43"/>
  <c r="E620" i="43"/>
  <c r="E287" i="43"/>
  <c r="E155" i="43"/>
  <c r="E47" i="43"/>
  <c r="E1063" i="133"/>
  <c r="E733" i="133"/>
  <c r="E116" i="133"/>
  <c r="E741" i="43"/>
  <c r="E574" i="43"/>
  <c r="E124" i="43"/>
  <c r="E57" i="43"/>
  <c r="E66" i="43"/>
  <c r="E628" i="43"/>
  <c r="E98" i="133"/>
  <c r="E773" i="43"/>
  <c r="E48" i="133"/>
  <c r="E567" i="43"/>
  <c r="E790" i="43"/>
  <c r="E44" i="133"/>
  <c r="E16" i="133"/>
  <c r="E187" i="43"/>
  <c r="E419" i="43"/>
  <c r="E605" i="43"/>
  <c r="E701" i="43"/>
  <c r="E285" i="133"/>
  <c r="E382" i="133"/>
  <c r="E842" i="133"/>
  <c r="E882" i="43"/>
  <c r="E206" i="43"/>
  <c r="E569" i="43"/>
  <c r="E657" i="43"/>
  <c r="E106" i="133"/>
  <c r="E657" i="133"/>
  <c r="E739" i="133"/>
  <c r="E827" i="133"/>
  <c r="E441" i="43"/>
  <c r="E571" i="43"/>
  <c r="E937" i="133"/>
  <c r="E107" i="133"/>
  <c r="E427" i="133"/>
  <c r="E536" i="133"/>
  <c r="E747" i="133"/>
  <c r="E707" i="43"/>
  <c r="E768" i="43"/>
  <c r="E952" i="133"/>
  <c r="E822" i="133"/>
  <c r="E306" i="43"/>
  <c r="E885" i="43"/>
  <c r="E537" i="133"/>
  <c r="E215" i="133"/>
  <c r="E788" i="133"/>
  <c r="E455" i="43"/>
  <c r="E819" i="133"/>
  <c r="E203" i="43"/>
  <c r="E440" i="133"/>
  <c r="E283" i="43"/>
  <c r="E190" i="43"/>
  <c r="E273" i="43"/>
  <c r="E923" i="43"/>
  <c r="E375" i="133"/>
  <c r="E772" i="43"/>
  <c r="E482" i="43"/>
  <c r="E968" i="133"/>
  <c r="E454" i="133"/>
  <c r="E112" i="43"/>
  <c r="E1052" i="133"/>
  <c r="E449" i="133"/>
  <c r="E267" i="43"/>
  <c r="E714" i="43"/>
  <c r="E200" i="133"/>
  <c r="E1065" i="133"/>
  <c r="E722" i="133"/>
  <c r="E967" i="133"/>
  <c r="E578" i="43"/>
  <c r="E891" i="43"/>
  <c r="E1074" i="133"/>
  <c r="E793" i="43"/>
  <c r="E160" i="133"/>
  <c r="E268" i="43"/>
  <c r="E746" i="133"/>
  <c r="E253" i="43"/>
  <c r="E317" i="133"/>
  <c r="E580" i="43"/>
  <c r="E855" i="133"/>
  <c r="E604" i="133"/>
  <c r="E974" i="133"/>
  <c r="E392" i="43"/>
  <c r="E832" i="43"/>
  <c r="E604" i="43"/>
  <c r="E389" i="43"/>
  <c r="E84" i="43"/>
  <c r="E239" i="43"/>
  <c r="E531" i="43"/>
  <c r="E830" i="43"/>
  <c r="E738" i="43"/>
  <c r="E224" i="43"/>
  <c r="E82" i="43"/>
  <c r="E391" i="43"/>
  <c r="E558" i="43"/>
  <c r="E535" i="43"/>
  <c r="E847" i="43"/>
  <c r="E914" i="133"/>
  <c r="E713" i="133"/>
  <c r="E617" i="133"/>
  <c r="E573" i="133"/>
  <c r="E36" i="133"/>
  <c r="E186" i="133"/>
  <c r="E335" i="133"/>
  <c r="E494" i="133"/>
  <c r="E626" i="133"/>
  <c r="E890" i="43"/>
  <c r="E706" i="43"/>
  <c r="E460" i="43"/>
  <c r="E788" i="43"/>
  <c r="E713" i="43"/>
  <c r="E643" i="43"/>
  <c r="E428" i="43"/>
  <c r="E370" i="43"/>
  <c r="E132" i="43"/>
  <c r="E296" i="43"/>
  <c r="E385" i="43"/>
  <c r="E73" i="43"/>
  <c r="E117" i="43"/>
  <c r="E445" i="43"/>
  <c r="E426" i="43"/>
  <c r="E450" i="43"/>
  <c r="E594" i="43"/>
  <c r="E501" i="43"/>
  <c r="E423" i="43"/>
  <c r="E853" i="43"/>
  <c r="E813" i="43"/>
  <c r="E887" i="43"/>
  <c r="E1040" i="133"/>
  <c r="E1002" i="133"/>
  <c r="E900" i="133"/>
  <c r="E829" i="133"/>
  <c r="E505" i="133"/>
  <c r="E572" i="133"/>
  <c r="E420" i="133"/>
  <c r="E533" i="133"/>
  <c r="E437" i="133"/>
  <c r="E127" i="133"/>
  <c r="E234" i="133"/>
  <c r="E180" i="133"/>
  <c r="E163" i="133"/>
  <c r="E355" i="133"/>
  <c r="E522" i="133"/>
  <c r="E651" i="133"/>
  <c r="E686" i="133"/>
  <c r="E881" i="133"/>
  <c r="BA82" i="33"/>
  <c r="BA36" i="33" s="1"/>
  <c r="BA37" i="33" s="1"/>
  <c r="BA41" i="33" s="1"/>
  <c r="BE63" i="33"/>
  <c r="E887" i="133"/>
  <c r="E818" i="133"/>
  <c r="E407" i="43"/>
  <c r="E1086" i="133"/>
  <c r="E958" i="133"/>
  <c r="E606" i="43"/>
  <c r="E273" i="133"/>
  <c r="E421" i="43"/>
  <c r="E834" i="133"/>
  <c r="E915" i="133"/>
  <c r="E8" i="133"/>
  <c r="E38" i="133"/>
  <c r="E74" i="133"/>
  <c r="E75" i="133"/>
  <c r="E67" i="133"/>
  <c r="E30" i="133"/>
  <c r="E32" i="133"/>
  <c r="E1003" i="133"/>
  <c r="E1085" i="133"/>
  <c r="E965" i="133"/>
  <c r="E911" i="133"/>
  <c r="E941" i="133"/>
  <c r="E897" i="133"/>
  <c r="E837" i="133"/>
  <c r="E811" i="133"/>
  <c r="E889" i="133"/>
  <c r="E873" i="133"/>
  <c r="E857" i="133"/>
  <c r="E804" i="133"/>
  <c r="E772" i="133"/>
  <c r="E699" i="133"/>
  <c r="E740" i="133"/>
  <c r="E708" i="133"/>
  <c r="E670" i="133"/>
  <c r="E638" i="133"/>
  <c r="E606" i="133"/>
  <c r="E574" i="133"/>
  <c r="E542" i="133"/>
  <c r="E687" i="133"/>
  <c r="E655" i="133"/>
  <c r="E623" i="133"/>
  <c r="E591" i="133"/>
  <c r="E527" i="133"/>
  <c r="E495" i="133"/>
  <c r="E518" i="133"/>
  <c r="E463" i="133"/>
  <c r="E510" i="133"/>
  <c r="E462" i="133"/>
  <c r="E399" i="133"/>
  <c r="E383" i="133"/>
  <c r="E351" i="133"/>
  <c r="E334" i="133"/>
  <c r="E303" i="133"/>
  <c r="E271" i="133"/>
  <c r="E239" i="133"/>
  <c r="E207" i="133"/>
  <c r="E175" i="133"/>
  <c r="E143" i="133"/>
  <c r="E328" i="133"/>
  <c r="E296" i="133"/>
  <c r="E264" i="133"/>
  <c r="E232" i="133"/>
  <c r="E168" i="133"/>
  <c r="E104" i="133"/>
  <c r="E13" i="133"/>
  <c r="E302" i="133"/>
  <c r="E238" i="133"/>
  <c r="E206" i="133"/>
  <c r="E174" i="133"/>
  <c r="E37" i="133"/>
  <c r="E103" i="133"/>
  <c r="E225" i="133"/>
  <c r="E64" i="133"/>
  <c r="E129" i="133"/>
  <c r="E145" i="133"/>
  <c r="E189" i="133"/>
  <c r="E17" i="133"/>
  <c r="E79" i="133"/>
  <c r="E185" i="133"/>
  <c r="E313" i="133"/>
  <c r="E89" i="133"/>
  <c r="E213" i="133"/>
  <c r="E405" i="133"/>
  <c r="E406" i="133"/>
  <c r="E414" i="133"/>
  <c r="E340" i="133"/>
  <c r="E356" i="133"/>
  <c r="E372" i="133"/>
  <c r="E388" i="133"/>
  <c r="E430" i="133"/>
  <c r="E126" i="133"/>
  <c r="E22" i="133"/>
  <c r="E94" i="133"/>
  <c r="E1059" i="133"/>
  <c r="E1027" i="133"/>
  <c r="E995" i="133"/>
  <c r="E1057" i="133"/>
  <c r="E953" i="133"/>
  <c r="E903" i="133"/>
  <c r="E981" i="133"/>
  <c r="E1017" i="133"/>
  <c r="E925" i="133"/>
  <c r="E1053" i="133"/>
  <c r="E835" i="133"/>
  <c r="E803" i="133"/>
  <c r="E885" i="133"/>
  <c r="E869" i="133"/>
  <c r="E853" i="133"/>
  <c r="E828" i="133"/>
  <c r="E796" i="133"/>
  <c r="E771" i="133"/>
  <c r="E732" i="133"/>
  <c r="E662" i="133"/>
  <c r="E630" i="133"/>
  <c r="E598" i="133"/>
  <c r="E566" i="133"/>
  <c r="E534" i="133"/>
  <c r="E679" i="133"/>
  <c r="E647" i="133"/>
  <c r="E583" i="133"/>
  <c r="E519" i="133"/>
  <c r="E487" i="133"/>
  <c r="E455" i="133"/>
  <c r="E478" i="133"/>
  <c r="E451" i="133"/>
  <c r="E395" i="133"/>
  <c r="E379" i="133"/>
  <c r="E363" i="133"/>
  <c r="E347" i="133"/>
  <c r="E327" i="133"/>
  <c r="E263" i="133"/>
  <c r="E231" i="133"/>
  <c r="E199" i="133"/>
  <c r="E167" i="133"/>
  <c r="E135" i="133"/>
  <c r="E320" i="133"/>
  <c r="E288" i="133"/>
  <c r="E256" i="133"/>
  <c r="E224" i="133"/>
  <c r="E192" i="133"/>
  <c r="E128" i="133"/>
  <c r="E96" i="133"/>
  <c r="E294" i="133"/>
  <c r="E262" i="133"/>
  <c r="E230" i="133"/>
  <c r="E198" i="133"/>
  <c r="E166" i="133"/>
  <c r="E53" i="133"/>
  <c r="E119" i="133"/>
  <c r="E257" i="133"/>
  <c r="E91" i="133"/>
  <c r="E133" i="133"/>
  <c r="E149" i="133"/>
  <c r="E24" i="133"/>
  <c r="E33" i="133"/>
  <c r="E95" i="133"/>
  <c r="E217" i="133"/>
  <c r="E105" i="133"/>
  <c r="E245" i="133"/>
  <c r="E417" i="133"/>
  <c r="E418" i="133"/>
  <c r="E429" i="133"/>
  <c r="E344" i="133"/>
  <c r="E360" i="133"/>
  <c r="E376" i="133"/>
  <c r="E392" i="133"/>
  <c r="E446" i="133"/>
  <c r="E517" i="133"/>
  <c r="E557" i="133"/>
  <c r="E589" i="133"/>
  <c r="E621" i="133"/>
  <c r="E653" i="133"/>
  <c r="E685" i="133"/>
  <c r="E504" i="133"/>
  <c r="E723" i="133"/>
  <c r="E493" i="133"/>
  <c r="E577" i="133"/>
  <c r="E609" i="133"/>
  <c r="E673" i="133"/>
  <c r="E432" i="133"/>
  <c r="E489" i="133"/>
  <c r="E719" i="133"/>
  <c r="E702" i="133"/>
  <c r="E734" i="133"/>
  <c r="E769" i="133"/>
  <c r="E813" i="133"/>
  <c r="E774" i="133"/>
  <c r="E717" i="133"/>
  <c r="E749" i="133"/>
  <c r="E798" i="133"/>
  <c r="E830" i="133"/>
  <c r="E844" i="133"/>
  <c r="E860" i="133"/>
  <c r="E876" i="133"/>
  <c r="E892" i="133"/>
  <c r="E944" i="133"/>
  <c r="E955" i="133"/>
  <c r="E948" i="133"/>
  <c r="E943" i="133"/>
  <c r="E966" i="133"/>
  <c r="E1022" i="133"/>
  <c r="E1034" i="133"/>
  <c r="E926" i="133"/>
  <c r="E980" i="133"/>
  <c r="E1044" i="133"/>
  <c r="E978" i="133"/>
  <c r="E1042" i="133"/>
  <c r="E47" i="133"/>
  <c r="E50" i="133"/>
  <c r="E27" i="133"/>
  <c r="E122" i="133"/>
  <c r="E63" i="133"/>
  <c r="E1079" i="133"/>
  <c r="E1047" i="133"/>
  <c r="E983" i="133"/>
  <c r="E1009" i="133"/>
  <c r="E929" i="133"/>
  <c r="E1061" i="133"/>
  <c r="E956" i="133"/>
  <c r="E964" i="133"/>
  <c r="E909" i="133"/>
  <c r="E1005" i="133"/>
  <c r="E823" i="133"/>
  <c r="E895" i="133"/>
  <c r="E879" i="133"/>
  <c r="E863" i="133"/>
  <c r="E847" i="133"/>
  <c r="E816" i="133"/>
  <c r="E784" i="133"/>
  <c r="E696" i="133"/>
  <c r="E752" i="133"/>
  <c r="E720" i="133"/>
  <c r="E682" i="133"/>
  <c r="E76" i="133"/>
  <c r="E71" i="133"/>
  <c r="E66" i="133"/>
  <c r="E51" i="133"/>
  <c r="E78" i="133"/>
  <c r="E118" i="133"/>
  <c r="E1071" i="133"/>
  <c r="E1039" i="133"/>
  <c r="E1007" i="133"/>
  <c r="E975" i="133"/>
  <c r="E977" i="133"/>
  <c r="E1029" i="133"/>
  <c r="E949" i="133"/>
  <c r="E901" i="133"/>
  <c r="E973" i="133"/>
  <c r="E815" i="133"/>
  <c r="E891" i="133"/>
  <c r="E859" i="133"/>
  <c r="E808" i="133"/>
  <c r="E767" i="133"/>
  <c r="E744" i="133"/>
  <c r="E712" i="133"/>
  <c r="E674" i="133"/>
  <c r="E642" i="133"/>
  <c r="E578" i="133"/>
  <c r="E546" i="133"/>
  <c r="E690" i="133"/>
  <c r="E659" i="133"/>
  <c r="E627" i="133"/>
  <c r="E595" i="133"/>
  <c r="E563" i="133"/>
  <c r="E531" i="133"/>
  <c r="E499" i="133"/>
  <c r="E467" i="133"/>
  <c r="E474" i="133"/>
  <c r="E526" i="133"/>
  <c r="E466" i="133"/>
  <c r="E411" i="133"/>
  <c r="E385" i="133"/>
  <c r="E369" i="133"/>
  <c r="E353" i="133"/>
  <c r="E337" i="133"/>
  <c r="E307" i="133"/>
  <c r="E275" i="133"/>
  <c r="E243" i="133"/>
  <c r="E211" i="133"/>
  <c r="E179" i="133"/>
  <c r="E147" i="133"/>
  <c r="E332" i="133"/>
  <c r="E300" i="133"/>
  <c r="E268" i="133"/>
  <c r="E236" i="133"/>
  <c r="E204" i="133"/>
  <c r="E172" i="133"/>
  <c r="E140" i="133"/>
  <c r="E108" i="133"/>
  <c r="E407" i="133"/>
  <c r="E306" i="133"/>
  <c r="E274" i="133"/>
  <c r="E242" i="133"/>
  <c r="E210" i="133"/>
  <c r="E178" i="133"/>
  <c r="E29" i="133"/>
  <c r="E93" i="133"/>
  <c r="E209" i="133"/>
  <c r="E123" i="133"/>
  <c r="E173" i="133"/>
  <c r="E301" i="133"/>
  <c r="E15" i="133"/>
  <c r="E73" i="133"/>
  <c r="E169" i="133"/>
  <c r="E297" i="133"/>
  <c r="E83" i="133"/>
  <c r="E197" i="133"/>
  <c r="E325" i="133"/>
  <c r="E401" i="133"/>
  <c r="E402" i="133"/>
  <c r="E338" i="133"/>
  <c r="E354" i="133"/>
  <c r="E370" i="133"/>
  <c r="E386" i="133"/>
  <c r="E422" i="133"/>
  <c r="E492" i="133"/>
  <c r="E544" i="133"/>
  <c r="E576" i="133"/>
  <c r="E640" i="133"/>
  <c r="E672" i="133"/>
  <c r="E428" i="133"/>
  <c r="E481" i="133"/>
  <c r="E694" i="133"/>
  <c r="E468" i="133"/>
  <c r="E532" i="133"/>
  <c r="E564" i="133"/>
  <c r="E596" i="133"/>
  <c r="E628" i="133"/>
  <c r="E660" i="133"/>
  <c r="E528" i="133"/>
  <c r="E759" i="133"/>
  <c r="E754" i="133"/>
  <c r="E802" i="133"/>
  <c r="E705" i="133"/>
  <c r="E737" i="133"/>
  <c r="E777" i="133"/>
  <c r="E817" i="133"/>
  <c r="E789" i="133"/>
  <c r="E854" i="133"/>
  <c r="E870" i="133"/>
  <c r="E886" i="133"/>
  <c r="E920" i="133"/>
  <c r="E931" i="133"/>
  <c r="E919" i="133"/>
  <c r="E946" i="133"/>
  <c r="E1068" i="133"/>
  <c r="E1016" i="133"/>
  <c r="E1080" i="133"/>
  <c r="E963" i="133"/>
  <c r="E1014" i="133"/>
  <c r="E1078" i="133"/>
  <c r="E1024" i="133"/>
  <c r="E60" i="133"/>
  <c r="E1041" i="133"/>
  <c r="E1001" i="133"/>
  <c r="E824" i="133"/>
  <c r="E658" i="133"/>
  <c r="E683" i="133"/>
  <c r="E579" i="133"/>
  <c r="E479" i="133"/>
  <c r="E498" i="133"/>
  <c r="E343" i="133"/>
  <c r="E195" i="133"/>
  <c r="E260" i="133"/>
  <c r="E212" i="133"/>
  <c r="E112" i="133"/>
  <c r="E266" i="133"/>
  <c r="E162" i="133"/>
  <c r="E289" i="133"/>
  <c r="E154" i="133"/>
  <c r="E65" i="133"/>
  <c r="E99" i="133"/>
  <c r="E426" i="133"/>
  <c r="E364" i="133"/>
  <c r="E549" i="133"/>
  <c r="E632" i="133"/>
  <c r="E457" i="133"/>
  <c r="E477" i="133"/>
  <c r="E548" i="133"/>
  <c r="E633" i="133"/>
  <c r="E703" i="133"/>
  <c r="E805" i="133"/>
  <c r="E729" i="133"/>
  <c r="E833" i="133"/>
  <c r="E872" i="133"/>
  <c r="E910" i="133"/>
  <c r="E951" i="133"/>
  <c r="E950" i="133"/>
  <c r="E992" i="133"/>
  <c r="E42" i="133"/>
  <c r="E70" i="133"/>
  <c r="E1083" i="133"/>
  <c r="E1019" i="133"/>
  <c r="E1025" i="133"/>
  <c r="E1077" i="133"/>
  <c r="E985" i="133"/>
  <c r="E795" i="133"/>
  <c r="E865" i="133"/>
  <c r="E820" i="133"/>
  <c r="E763" i="133"/>
  <c r="E724" i="133"/>
  <c r="E654" i="133"/>
  <c r="E602" i="133"/>
  <c r="E554" i="133"/>
  <c r="E675" i="133"/>
  <c r="E631" i="133"/>
  <c r="E575" i="133"/>
  <c r="E523" i="133"/>
  <c r="E475" i="133"/>
  <c r="E447" i="133"/>
  <c r="E482" i="133"/>
  <c r="E391" i="133"/>
  <c r="E341" i="133"/>
  <c r="E291" i="133"/>
  <c r="E247" i="133"/>
  <c r="E139" i="133"/>
  <c r="E308" i="133"/>
  <c r="E252" i="133"/>
  <c r="E208" i="133"/>
  <c r="E100" i="133"/>
  <c r="E314" i="133"/>
  <c r="E258" i="133"/>
  <c r="E214" i="133"/>
  <c r="E158" i="133"/>
  <c r="E109" i="133"/>
  <c r="E305" i="133"/>
  <c r="E134" i="133"/>
  <c r="E157" i="133"/>
  <c r="E72" i="133"/>
  <c r="E85" i="133"/>
  <c r="E265" i="133"/>
  <c r="E115" i="133"/>
  <c r="E309" i="133"/>
  <c r="E434" i="133"/>
  <c r="E342" i="133"/>
  <c r="E366" i="133"/>
  <c r="E394" i="133"/>
  <c r="E552" i="133"/>
  <c r="E597" i="133"/>
  <c r="E680" i="133"/>
  <c r="E461" i="133"/>
  <c r="E691" i="133"/>
  <c r="E553" i="133"/>
  <c r="E636" i="133"/>
  <c r="E681" i="133"/>
  <c r="E460" i="133"/>
  <c r="E711" i="133"/>
  <c r="E710" i="133"/>
  <c r="E750" i="133"/>
  <c r="E810" i="133"/>
  <c r="E790" i="133"/>
  <c r="E793" i="133"/>
  <c r="E766" i="133"/>
  <c r="E852" i="133"/>
  <c r="E874" i="133"/>
  <c r="E896" i="133"/>
  <c r="E940" i="133"/>
  <c r="E922" i="133"/>
  <c r="E990" i="133"/>
  <c r="E1084" i="133"/>
  <c r="E1050" i="133"/>
  <c r="E1030" i="133"/>
  <c r="E994" i="133"/>
  <c r="E35" i="133"/>
  <c r="E59" i="133"/>
  <c r="E1075" i="133"/>
  <c r="E1011" i="133"/>
  <c r="E993" i="133"/>
  <c r="E1045" i="133"/>
  <c r="E989" i="133"/>
  <c r="E893" i="133"/>
  <c r="E812" i="133"/>
  <c r="E783" i="133"/>
  <c r="E716" i="133"/>
  <c r="E650" i="133"/>
  <c r="E550" i="133"/>
  <c r="E671" i="133"/>
  <c r="E619" i="133"/>
  <c r="E515" i="133"/>
  <c r="E439" i="133"/>
  <c r="E458" i="133"/>
  <c r="E389" i="133"/>
  <c r="E361" i="133"/>
  <c r="E339" i="133"/>
  <c r="E287" i="133"/>
  <c r="E235" i="133"/>
  <c r="E187" i="133"/>
  <c r="E131" i="133"/>
  <c r="E304" i="133"/>
  <c r="E248" i="133"/>
  <c r="E196" i="133"/>
  <c r="E148" i="133"/>
  <c r="E92" i="133"/>
  <c r="E310" i="133"/>
  <c r="E254" i="133"/>
  <c r="E202" i="133"/>
  <c r="E14" i="133"/>
  <c r="E125" i="133"/>
  <c r="E321" i="133"/>
  <c r="E137" i="133"/>
  <c r="E205" i="133"/>
  <c r="E101" i="133"/>
  <c r="E281" i="133"/>
  <c r="E121" i="133"/>
  <c r="E442" i="133"/>
  <c r="E368" i="133"/>
  <c r="E396" i="133"/>
  <c r="E501" i="133"/>
  <c r="E560" i="133"/>
  <c r="E600" i="133"/>
  <c r="E645" i="133"/>
  <c r="E688" i="133"/>
  <c r="E465" i="133"/>
  <c r="E707" i="133"/>
  <c r="E500" i="133"/>
  <c r="E556" i="133"/>
  <c r="E601" i="133"/>
  <c r="E644" i="133"/>
  <c r="E684" i="133"/>
  <c r="E473" i="133"/>
  <c r="E727" i="133"/>
  <c r="E714" i="133"/>
  <c r="E758" i="133"/>
  <c r="E693" i="133"/>
  <c r="E741" i="133"/>
  <c r="E801" i="133"/>
  <c r="E773" i="133"/>
  <c r="E878" i="133"/>
  <c r="E904" i="133"/>
  <c r="E939" i="133"/>
  <c r="E838" i="133"/>
  <c r="E930" i="133"/>
  <c r="E984" i="133"/>
  <c r="E1064" i="133"/>
  <c r="E1046" i="133"/>
  <c r="E1008" i="133"/>
  <c r="E62" i="133"/>
  <c r="E90" i="133"/>
  <c r="E54" i="133"/>
  <c r="E999" i="133"/>
  <c r="E961" i="133"/>
  <c r="E997" i="133"/>
  <c r="E840" i="133"/>
  <c r="E800" i="133"/>
  <c r="E787" i="133"/>
  <c r="E704" i="133"/>
  <c r="E646" i="133"/>
  <c r="E590" i="133"/>
  <c r="E538" i="133"/>
  <c r="E667" i="133"/>
  <c r="E611" i="133"/>
  <c r="E567" i="133"/>
  <c r="E511" i="133"/>
  <c r="E502" i="133"/>
  <c r="E443" i="133"/>
  <c r="E387" i="133"/>
  <c r="E359" i="133"/>
  <c r="E331" i="133"/>
  <c r="E227" i="133"/>
  <c r="E183" i="133"/>
  <c r="E415" i="133"/>
  <c r="E292" i="133"/>
  <c r="E244" i="133"/>
  <c r="E188" i="133"/>
  <c r="E144" i="133"/>
  <c r="E298" i="133"/>
  <c r="E250" i="133"/>
  <c r="E21" i="133"/>
  <c r="E161" i="133"/>
  <c r="E81" i="133"/>
  <c r="E138" i="133"/>
  <c r="E237" i="133"/>
  <c r="E97" i="133"/>
  <c r="E111" i="133"/>
  <c r="E329" i="133"/>
  <c r="E165" i="133"/>
  <c r="E425" i="133"/>
  <c r="E450" i="133"/>
  <c r="E348" i="133"/>
  <c r="E374" i="133"/>
  <c r="E398" i="133"/>
  <c r="E508" i="133"/>
  <c r="E565" i="133"/>
  <c r="E605" i="133"/>
  <c r="E648" i="133"/>
  <c r="E404" i="133"/>
  <c r="E472" i="133"/>
  <c r="E715" i="133"/>
  <c r="E509" i="133"/>
  <c r="E561" i="133"/>
  <c r="E400" i="133"/>
  <c r="E480" i="133"/>
  <c r="E735" i="133"/>
  <c r="E718" i="133"/>
  <c r="E762" i="133"/>
  <c r="E821" i="133"/>
  <c r="E701" i="133"/>
  <c r="E745" i="133"/>
  <c r="E806" i="133"/>
  <c r="E782" i="133"/>
  <c r="E858" i="133"/>
  <c r="E880" i="133"/>
  <c r="E912" i="133"/>
  <c r="E947" i="133"/>
  <c r="E898" i="133"/>
  <c r="E938" i="133"/>
  <c r="E1020" i="133"/>
  <c r="E1066" i="133"/>
  <c r="E970" i="133"/>
  <c r="E1060" i="133"/>
  <c r="E1010" i="133"/>
  <c r="E31" i="133"/>
  <c r="E19" i="133"/>
  <c r="E102" i="133"/>
  <c r="E1055" i="133"/>
  <c r="E991" i="133"/>
  <c r="E945" i="133"/>
  <c r="E969" i="133"/>
  <c r="E917" i="133"/>
  <c r="E831" i="133"/>
  <c r="E883" i="133"/>
  <c r="E851" i="133"/>
  <c r="E792" i="133"/>
  <c r="E760" i="133"/>
  <c r="E692" i="133"/>
  <c r="E634" i="133"/>
  <c r="E586" i="133"/>
  <c r="E663" i="133"/>
  <c r="E607" i="133"/>
  <c r="E555" i="133"/>
  <c r="E507" i="133"/>
  <c r="E423" i="133"/>
  <c r="E435" i="133"/>
  <c r="E357" i="133"/>
  <c r="E323" i="133"/>
  <c r="E279" i="133"/>
  <c r="E223" i="133"/>
  <c r="E171" i="133"/>
  <c r="E403" i="133"/>
  <c r="E240" i="133"/>
  <c r="E184" i="133"/>
  <c r="E132" i="133"/>
  <c r="E84" i="133"/>
  <c r="E290" i="133"/>
  <c r="E246" i="133"/>
  <c r="E190" i="133"/>
  <c r="E45" i="133"/>
  <c r="E141" i="133"/>
  <c r="E253" i="133"/>
  <c r="E25" i="133"/>
  <c r="E117" i="133"/>
  <c r="E20" i="133"/>
  <c r="E433" i="133"/>
  <c r="E421" i="133"/>
  <c r="E350" i="133"/>
  <c r="E378" i="133"/>
  <c r="E409" i="133"/>
  <c r="E568" i="133"/>
  <c r="E613" i="133"/>
  <c r="E656" i="133"/>
  <c r="E412" i="133"/>
  <c r="E488" i="133"/>
  <c r="E731" i="133"/>
  <c r="E516" i="133"/>
  <c r="E569" i="133"/>
  <c r="E612" i="133"/>
  <c r="E652" i="133"/>
  <c r="E416" i="133"/>
  <c r="E496" i="133"/>
  <c r="E778" i="133"/>
  <c r="E826" i="133"/>
  <c r="E753" i="133"/>
  <c r="E809" i="133"/>
  <c r="E836" i="133"/>
  <c r="E862" i="133"/>
  <c r="E882" i="133"/>
  <c r="E928" i="133"/>
  <c r="E960" i="133"/>
  <c r="E906" i="133"/>
  <c r="E954" i="133"/>
  <c r="E1036" i="133"/>
  <c r="E1000" i="133"/>
  <c r="E1082" i="133"/>
  <c r="E982" i="133"/>
  <c r="E1062" i="133"/>
  <c r="E1026" i="133"/>
  <c r="E86" i="133"/>
  <c r="E28" i="133"/>
  <c r="E1031" i="133"/>
  <c r="E1073" i="133"/>
  <c r="E907" i="133"/>
  <c r="E1033" i="133"/>
  <c r="E1069" i="133"/>
  <c r="E807" i="133"/>
  <c r="E871" i="133"/>
  <c r="E832" i="133"/>
  <c r="E768" i="133"/>
  <c r="E736" i="133"/>
  <c r="E618" i="133"/>
  <c r="E562" i="133"/>
  <c r="E639" i="133"/>
  <c r="E587" i="133"/>
  <c r="E539" i="133"/>
  <c r="E483" i="133"/>
  <c r="E490" i="133"/>
  <c r="E514" i="133"/>
  <c r="E397" i="133"/>
  <c r="E373" i="133"/>
  <c r="E345" i="133"/>
  <c r="E255" i="133"/>
  <c r="E203" i="133"/>
  <c r="E155" i="133"/>
  <c r="E316" i="133"/>
  <c r="E272" i="133"/>
  <c r="E164" i="133"/>
  <c r="E322" i="133"/>
  <c r="E278" i="133"/>
  <c r="E222" i="133"/>
  <c r="E170" i="133"/>
  <c r="E77" i="133"/>
  <c r="E114" i="133"/>
  <c r="E153" i="133"/>
  <c r="E333" i="133"/>
  <c r="E57" i="133"/>
  <c r="E233" i="133"/>
  <c r="E68" i="133"/>
  <c r="E277" i="133"/>
  <c r="E413" i="133"/>
  <c r="E453" i="133"/>
  <c r="E362" i="133"/>
  <c r="E384" i="133"/>
  <c r="E469" i="133"/>
  <c r="E584" i="133"/>
  <c r="E629" i="133"/>
  <c r="E669" i="133"/>
  <c r="E444" i="133"/>
  <c r="E520" i="133"/>
  <c r="E755" i="133"/>
  <c r="E540" i="133"/>
  <c r="E585" i="133"/>
  <c r="E625" i="133"/>
  <c r="E668" i="133"/>
  <c r="E448" i="133"/>
  <c r="E521" i="133"/>
  <c r="E697" i="133"/>
  <c r="E742" i="133"/>
  <c r="E797" i="133"/>
  <c r="E725" i="133"/>
  <c r="E825" i="133"/>
  <c r="E848" i="133"/>
  <c r="E868" i="133"/>
  <c r="E890" i="133"/>
  <c r="E902" i="133"/>
  <c r="E916" i="133"/>
  <c r="E1054" i="133"/>
  <c r="E1032" i="133"/>
  <c r="E942" i="133"/>
  <c r="E1012" i="133"/>
  <c r="E976" i="133"/>
  <c r="E1058" i="133"/>
  <c r="E34" i="133"/>
  <c r="E46" i="133"/>
  <c r="E1023" i="133"/>
  <c r="E899" i="133"/>
  <c r="E1037" i="133"/>
  <c r="E799" i="133"/>
  <c r="E867" i="133"/>
  <c r="E779" i="133"/>
  <c r="E614" i="133"/>
  <c r="E558" i="133"/>
  <c r="E635" i="133"/>
  <c r="E459" i="133"/>
  <c r="E393" i="133"/>
  <c r="E299" i="133"/>
  <c r="E312" i="133"/>
  <c r="E156" i="133"/>
  <c r="E318" i="133"/>
  <c r="E218" i="133"/>
  <c r="E87" i="133"/>
  <c r="E130" i="133"/>
  <c r="E56" i="133"/>
  <c r="E249" i="133"/>
  <c r="E293" i="133"/>
  <c r="E336" i="133"/>
  <c r="E390" i="133"/>
  <c r="E592" i="133"/>
  <c r="E677" i="133"/>
  <c r="E529" i="133"/>
  <c r="E588" i="133"/>
  <c r="E676" i="133"/>
  <c r="E706" i="133"/>
  <c r="E781" i="133"/>
  <c r="E786" i="133"/>
  <c r="E850" i="133"/>
  <c r="E894" i="133"/>
  <c r="E932" i="133"/>
  <c r="E988" i="133"/>
  <c r="E1070" i="133"/>
  <c r="E1028" i="133"/>
  <c r="E1072" i="133"/>
  <c r="E856" i="133"/>
  <c r="E1015" i="133"/>
  <c r="E541" i="133"/>
  <c r="E1048" i="133"/>
  <c r="E765" i="133"/>
  <c r="E452" i="133"/>
  <c r="E177" i="133"/>
  <c r="E260" i="43"/>
  <c r="E79" i="43"/>
  <c r="E175" i="43"/>
  <c r="E248" i="43"/>
  <c r="E128" i="43"/>
  <c r="E443" i="43"/>
  <c r="E770" i="133"/>
  <c r="E251" i="133"/>
  <c r="E571" i="133"/>
  <c r="E142" i="133"/>
  <c r="E367" i="133"/>
  <c r="E594" i="133"/>
  <c r="E342" i="43"/>
  <c r="E726" i="133"/>
  <c r="E496" i="43"/>
  <c r="E470" i="133"/>
  <c r="E1013" i="133"/>
  <c r="E647" i="43"/>
  <c r="E787" i="43"/>
  <c r="E456" i="133"/>
  <c r="E615" i="133"/>
  <c r="E935" i="133"/>
  <c r="E26" i="133"/>
  <c r="E728" i="133"/>
  <c r="E326" i="133"/>
  <c r="E40" i="133"/>
  <c r="E102" i="43"/>
  <c r="E476" i="133"/>
  <c r="E174" i="43"/>
  <c r="E63" i="43"/>
  <c r="E1006" i="133"/>
  <c r="E431" i="133"/>
  <c r="E416" i="43"/>
  <c r="E906" i="43"/>
  <c r="E311" i="133"/>
  <c r="E152" i="133"/>
  <c r="E464" i="133"/>
  <c r="E82" i="133"/>
  <c r="E256" i="43"/>
  <c r="E486" i="133"/>
  <c r="E608" i="133"/>
  <c r="E856" i="43"/>
  <c r="E283" i="133"/>
  <c r="E901" i="43"/>
  <c r="E295" i="133"/>
  <c r="E535" i="133"/>
  <c r="E695" i="133"/>
  <c r="E88" i="133"/>
  <c r="E346" i="133"/>
  <c r="E924" i="133"/>
  <c r="E504" i="43"/>
  <c r="E111" i="43"/>
  <c r="E291" i="43"/>
  <c r="E486" i="43"/>
  <c r="E712" i="43"/>
  <c r="E1038" i="133"/>
  <c r="E785" i="133"/>
  <c r="E41" i="133"/>
  <c r="E610" i="133"/>
  <c r="E464" i="43"/>
  <c r="E40" i="43"/>
  <c r="E252" i="43"/>
  <c r="E221" i="43"/>
  <c r="E309" i="43"/>
  <c r="E518" i="43"/>
  <c r="E491" i="43"/>
  <c r="E748" i="43"/>
  <c r="E925" i="43"/>
  <c r="E17" i="43"/>
  <c r="E998" i="133"/>
  <c r="E971" i="133"/>
  <c r="E888" i="133"/>
  <c r="E761" i="133"/>
  <c r="E738" i="133"/>
  <c r="E665" i="133"/>
  <c r="E624" i="133"/>
  <c r="E261" i="133"/>
  <c r="E69" i="133"/>
  <c r="E330" i="133"/>
  <c r="E276" i="133"/>
  <c r="E259" i="133"/>
  <c r="E419" i="133"/>
  <c r="E543" i="133"/>
  <c r="E570" i="133"/>
  <c r="E780" i="133"/>
  <c r="E905" i="133"/>
  <c r="E1043" i="133"/>
  <c r="BN77" i="33"/>
  <c r="BE70" i="33"/>
  <c r="E365" i="43"/>
  <c r="E519" i="43"/>
  <c r="E1004" i="133"/>
  <c r="E933" i="133"/>
  <c r="E841" i="133"/>
  <c r="E341" i="43"/>
  <c r="E702" i="43"/>
  <c r="E58" i="133"/>
  <c r="E354" i="43"/>
  <c r="E381" i="133"/>
  <c r="E559" i="133"/>
  <c r="E923" i="133"/>
  <c r="E551" i="133"/>
  <c r="E649" i="133"/>
  <c r="E717" i="43"/>
  <c r="E637" i="133"/>
  <c r="E641" i="43"/>
  <c r="E151" i="133"/>
  <c r="E408" i="133"/>
  <c r="E876" i="43"/>
  <c r="E244" i="43"/>
  <c r="E294" i="43"/>
  <c r="E147" i="43"/>
  <c r="E323" i="43"/>
  <c r="E664" i="43"/>
  <c r="E703" i="43"/>
  <c r="E902" i="43"/>
  <c r="E896" i="43"/>
  <c r="E868" i="43"/>
  <c r="E634" i="43"/>
  <c r="E384" i="43"/>
  <c r="E444" i="43"/>
  <c r="E242" i="43"/>
  <c r="E168" i="43"/>
  <c r="E286" i="43"/>
  <c r="E32" i="43"/>
  <c r="E251" i="43"/>
  <c r="E123" i="43"/>
  <c r="E151" i="43"/>
  <c r="E223" i="43"/>
  <c r="E327" i="43"/>
  <c r="E313" i="43"/>
  <c r="E522" i="43"/>
  <c r="E668" i="43"/>
  <c r="E573" i="43"/>
  <c r="E499" i="43"/>
  <c r="E752" i="43"/>
  <c r="E803" i="43"/>
  <c r="E996" i="133"/>
  <c r="E962" i="133"/>
  <c r="E884" i="133"/>
  <c r="E757" i="133"/>
  <c r="E730" i="133"/>
  <c r="E616" i="133"/>
  <c r="E380" i="133"/>
  <c r="E229" i="133"/>
  <c r="E269" i="133"/>
  <c r="E61" i="133"/>
  <c r="E80" i="133"/>
  <c r="E280" i="133"/>
  <c r="E267" i="133"/>
  <c r="E547" i="133"/>
  <c r="E582" i="133"/>
  <c r="E913" i="133"/>
  <c r="E1051" i="133"/>
  <c r="E8" i="43"/>
  <c r="E30" i="43"/>
  <c r="E25" i="43"/>
  <c r="E34" i="43"/>
  <c r="E895" i="43"/>
  <c r="E799" i="43"/>
  <c r="E897" i="43"/>
  <c r="E865" i="43"/>
  <c r="E775" i="43"/>
  <c r="E759" i="43"/>
  <c r="E728" i="43"/>
  <c r="E696" i="43"/>
  <c r="E837" i="43"/>
  <c r="E751" i="43"/>
  <c r="E719" i="43"/>
  <c r="E623" i="43"/>
  <c r="E591" i="43"/>
  <c r="E559" i="43"/>
  <c r="E527" i="43"/>
  <c r="E495" i="43"/>
  <c r="E463" i="43"/>
  <c r="E431" i="43"/>
  <c r="E621" i="43"/>
  <c r="E557" i="43"/>
  <c r="E525" i="43"/>
  <c r="E461" i="43"/>
  <c r="E672" i="43"/>
  <c r="E640" i="43"/>
  <c r="E542" i="43"/>
  <c r="E510" i="43"/>
  <c r="E478" i="43"/>
  <c r="E446" i="43"/>
  <c r="E371" i="43"/>
  <c r="E321" i="43"/>
  <c r="E289" i="43"/>
  <c r="E257" i="43"/>
  <c r="E429" i="43"/>
  <c r="E367" i="43"/>
  <c r="E319" i="43"/>
  <c r="E255" i="43"/>
  <c r="E245" i="43"/>
  <c r="E229" i="43"/>
  <c r="E181" i="43"/>
  <c r="E165" i="43"/>
  <c r="E149" i="43"/>
  <c r="E133" i="43"/>
  <c r="E85" i="43"/>
  <c r="E35" i="43"/>
  <c r="E106" i="43"/>
  <c r="E36" i="43"/>
  <c r="E15" i="43"/>
  <c r="E75" i="43"/>
  <c r="E83" i="43"/>
  <c r="E250" i="43"/>
  <c r="E300" i="43"/>
  <c r="E361" i="43"/>
  <c r="E28" i="43"/>
  <c r="E23" i="43"/>
  <c r="E126" i="43"/>
  <c r="E304" i="43"/>
  <c r="E373" i="43"/>
  <c r="E270" i="43"/>
  <c r="E334" i="43"/>
  <c r="E398" i="43"/>
  <c r="E140" i="43"/>
  <c r="E156" i="43"/>
  <c r="E172" i="43"/>
  <c r="E188" i="43"/>
  <c r="E204" i="43"/>
  <c r="E220" i="43"/>
  <c r="E266" i="43"/>
  <c r="E330" i="43"/>
  <c r="E394" i="43"/>
  <c r="E448" i="43"/>
  <c r="E576" i="43"/>
  <c r="E671" i="43"/>
  <c r="E540" i="43"/>
  <c r="E352" i="43"/>
  <c r="E552" i="43"/>
  <c r="E659" i="43"/>
  <c r="E484" i="43"/>
  <c r="E612" i="43"/>
  <c r="E649" i="43"/>
  <c r="E681" i="43"/>
  <c r="E722" i="43"/>
  <c r="E754" i="43"/>
  <c r="E646" i="43"/>
  <c r="E678" i="43"/>
  <c r="E718" i="43"/>
  <c r="E750" i="43"/>
  <c r="E916" i="43"/>
  <c r="E852" i="43"/>
  <c r="E914" i="43"/>
  <c r="E848" i="43"/>
  <c r="E912" i="43"/>
  <c r="E770" i="43"/>
  <c r="E786" i="43"/>
  <c r="E814" i="43"/>
  <c r="E878" i="43"/>
  <c r="E65" i="43"/>
  <c r="E18" i="43"/>
  <c r="E68" i="43"/>
  <c r="E907" i="43"/>
  <c r="E875" i="43"/>
  <c r="E843" i="43"/>
  <c r="E811" i="43"/>
  <c r="E909" i="43"/>
  <c r="E877" i="43"/>
  <c r="E797" i="43"/>
  <c r="E781" i="43"/>
  <c r="E765" i="43"/>
  <c r="E740" i="43"/>
  <c r="E708" i="43"/>
  <c r="E817" i="43"/>
  <c r="E825" i="43"/>
  <c r="E44" i="43"/>
  <c r="E871" i="43"/>
  <c r="E917" i="43"/>
  <c r="E789" i="43"/>
  <c r="E736" i="43"/>
  <c r="E731" i="43"/>
  <c r="E555" i="43"/>
  <c r="E447" i="43"/>
  <c r="E691" i="43"/>
  <c r="E521" i="43"/>
  <c r="E449" i="43"/>
  <c r="E618" i="43"/>
  <c r="E470" i="43"/>
  <c r="E411" i="43"/>
  <c r="E301" i="43"/>
  <c r="E359" i="43"/>
  <c r="E275" i="43"/>
  <c r="E235" i="43"/>
  <c r="E199" i="43"/>
  <c r="E161" i="43"/>
  <c r="E113" i="43"/>
  <c r="E29" i="43"/>
  <c r="E77" i="43"/>
  <c r="E99" i="43"/>
  <c r="E409" i="43"/>
  <c r="E328" i="43"/>
  <c r="E382" i="43"/>
  <c r="E158" i="43"/>
  <c r="E176" i="43"/>
  <c r="E212" i="43"/>
  <c r="E230" i="43"/>
  <c r="E402" i="43"/>
  <c r="E639" i="43"/>
  <c r="E408" i="43"/>
  <c r="E675" i="43"/>
  <c r="E633" i="43"/>
  <c r="E650" i="43"/>
  <c r="E824" i="43"/>
  <c r="E836" i="43"/>
  <c r="E758" i="43"/>
  <c r="E794" i="43"/>
  <c r="E214" i="43"/>
  <c r="E338" i="43"/>
  <c r="E512" i="43"/>
  <c r="E584" i="43"/>
  <c r="E637" i="43"/>
  <c r="E757" i="43"/>
  <c r="E693" i="43"/>
  <c r="E826" i="43"/>
  <c r="E922" i="43"/>
  <c r="E778" i="43"/>
  <c r="E617" i="43"/>
  <c r="E644" i="43"/>
  <c r="E602" i="43"/>
  <c r="E387" i="43"/>
  <c r="E263" i="43"/>
  <c r="E191" i="43"/>
  <c r="E43" i="43"/>
  <c r="E292" i="43"/>
  <c r="E96" i="43"/>
  <c r="E164" i="43"/>
  <c r="E218" i="43"/>
  <c r="E544" i="43"/>
  <c r="E472" i="43"/>
  <c r="E730" i="43"/>
  <c r="E842" i="43"/>
  <c r="E866" i="43"/>
  <c r="E782" i="43"/>
  <c r="E747" i="43"/>
  <c r="E613" i="43"/>
  <c r="E505" i="43"/>
  <c r="E562" i="43"/>
  <c r="E454" i="43"/>
  <c r="E433" i="43"/>
  <c r="E243" i="43"/>
  <c r="E171" i="43"/>
  <c r="E122" i="43"/>
  <c r="E308" i="43"/>
  <c r="E288" i="43"/>
  <c r="E184" i="43"/>
  <c r="E362" i="43"/>
  <c r="E572" i="43"/>
  <c r="E452" i="43"/>
  <c r="E694" i="43"/>
  <c r="E745" i="43"/>
  <c r="E828" i="43"/>
  <c r="E22" i="43"/>
  <c r="E50" i="43"/>
  <c r="E911" i="43"/>
  <c r="E867" i="43"/>
  <c r="E823" i="43"/>
  <c r="E913" i="43"/>
  <c r="E869" i="43"/>
  <c r="E767" i="43"/>
  <c r="E732" i="43"/>
  <c r="E688" i="43"/>
  <c r="E841" i="43"/>
  <c r="E727" i="43"/>
  <c r="E627" i="43"/>
  <c r="E587" i="43"/>
  <c r="E551" i="43"/>
  <c r="E515" i="43"/>
  <c r="E479" i="43"/>
  <c r="E631" i="43"/>
  <c r="E593" i="43"/>
  <c r="E553" i="43"/>
  <c r="E517" i="43"/>
  <c r="E481" i="43"/>
  <c r="E695" i="43"/>
  <c r="E652" i="43"/>
  <c r="E614" i="43"/>
  <c r="E538" i="43"/>
  <c r="E502" i="43"/>
  <c r="E466" i="43"/>
  <c r="E403" i="43"/>
  <c r="E333" i="43"/>
  <c r="E297" i="43"/>
  <c r="E261" i="43"/>
  <c r="E422" i="43"/>
  <c r="E351" i="43"/>
  <c r="E307" i="43"/>
  <c r="E271" i="43"/>
  <c r="E418" i="43"/>
  <c r="E233" i="43"/>
  <c r="E215" i="43"/>
  <c r="E195" i="43"/>
  <c r="E177" i="43"/>
  <c r="E159" i="43"/>
  <c r="E141" i="43"/>
  <c r="E105" i="43"/>
  <c r="E19" i="43"/>
  <c r="E92" i="43"/>
  <c r="E42" i="43"/>
  <c r="E78" i="43"/>
  <c r="E100" i="43"/>
  <c r="E276" i="43"/>
  <c r="E345" i="43"/>
  <c r="E437" i="43"/>
  <c r="E39" i="43"/>
  <c r="E94" i="43"/>
  <c r="E264" i="43"/>
  <c r="E318" i="43"/>
  <c r="E142" i="43"/>
  <c r="E160" i="43"/>
  <c r="E178" i="43"/>
  <c r="E196" i="43"/>
  <c r="E232" i="43"/>
  <c r="E410" i="43"/>
  <c r="E344" i="43"/>
  <c r="E683" i="43"/>
  <c r="E654" i="43"/>
  <c r="E734" i="43"/>
  <c r="E900" i="43"/>
  <c r="E864" i="43"/>
  <c r="E796" i="43"/>
  <c r="E581" i="43"/>
  <c r="E680" i="43"/>
  <c r="E530" i="43"/>
  <c r="E325" i="43"/>
  <c r="E249" i="43"/>
  <c r="E247" i="43"/>
  <c r="E173" i="43"/>
  <c r="E108" i="43"/>
  <c r="E80" i="43"/>
  <c r="E45" i="43"/>
  <c r="E280" i="43"/>
  <c r="E182" i="43"/>
  <c r="E238" i="43"/>
  <c r="E348" i="43"/>
  <c r="E663" i="43"/>
  <c r="E436" i="43"/>
  <c r="E662" i="43"/>
  <c r="E742" i="43"/>
  <c r="E802" i="43"/>
  <c r="E801" i="43"/>
  <c r="E539" i="43"/>
  <c r="E577" i="43"/>
  <c r="E598" i="43"/>
  <c r="E490" i="43"/>
  <c r="E331" i="43"/>
  <c r="E225" i="43"/>
  <c r="E121" i="43"/>
  <c r="E81" i="43"/>
  <c r="E52" i="43"/>
  <c r="E278" i="43"/>
  <c r="E166" i="43"/>
  <c r="E240" i="43"/>
  <c r="E560" i="43"/>
  <c r="E635" i="43"/>
  <c r="E653" i="43"/>
  <c r="E710" i="43"/>
  <c r="E14" i="43"/>
  <c r="E33" i="43"/>
  <c r="E53" i="43"/>
  <c r="E903" i="43"/>
  <c r="E859" i="43"/>
  <c r="E819" i="43"/>
  <c r="E905" i="43"/>
  <c r="E785" i="43"/>
  <c r="E763" i="43"/>
  <c r="E724" i="43"/>
  <c r="E849" i="43"/>
  <c r="E809" i="43"/>
  <c r="E723" i="43"/>
  <c r="E619" i="43"/>
  <c r="E583" i="43"/>
  <c r="E547" i="43"/>
  <c r="E511" i="43"/>
  <c r="E475" i="43"/>
  <c r="E439" i="43"/>
  <c r="E625" i="43"/>
  <c r="E585" i="43"/>
  <c r="E549" i="43"/>
  <c r="E513" i="43"/>
  <c r="E477" i="43"/>
  <c r="E684" i="43"/>
  <c r="E648" i="43"/>
  <c r="E610" i="43"/>
  <c r="E570" i="43"/>
  <c r="E534" i="43"/>
  <c r="E498" i="43"/>
  <c r="E462" i="43"/>
  <c r="E395" i="43"/>
  <c r="E329" i="43"/>
  <c r="E293" i="43"/>
  <c r="E415" i="43"/>
  <c r="E343" i="43"/>
  <c r="E303" i="43"/>
  <c r="E413" i="43"/>
  <c r="E231" i="43"/>
  <c r="E211" i="43"/>
  <c r="E193" i="43"/>
  <c r="E157" i="43"/>
  <c r="E139" i="43"/>
  <c r="E101" i="43"/>
  <c r="E27" i="43"/>
  <c r="E107" i="43"/>
  <c r="E58" i="43"/>
  <c r="E114" i="43"/>
  <c r="E284" i="43"/>
  <c r="E353" i="43"/>
  <c r="E37" i="43"/>
  <c r="E55" i="43"/>
  <c r="E95" i="43"/>
  <c r="E272" i="43"/>
  <c r="E349" i="43"/>
  <c r="E254" i="43"/>
  <c r="E326" i="43"/>
  <c r="E406" i="43"/>
  <c r="E144" i="43"/>
  <c r="E162" i="43"/>
  <c r="E198" i="43"/>
  <c r="E216" i="43"/>
  <c r="E234" i="43"/>
  <c r="E274" i="43"/>
  <c r="E346" i="43"/>
  <c r="E340" i="43"/>
  <c r="E412" i="43"/>
  <c r="E528" i="43"/>
  <c r="E655" i="43"/>
  <c r="E524" i="43"/>
  <c r="E360" i="43"/>
  <c r="E456" i="43"/>
  <c r="E600" i="43"/>
  <c r="E564" i="43"/>
  <c r="E677" i="43"/>
  <c r="E725" i="43"/>
  <c r="E690" i="43"/>
  <c r="E658" i="43"/>
  <c r="E737" i="43"/>
  <c r="E840" i="43"/>
  <c r="E908" i="43"/>
  <c r="E854" i="43"/>
  <c r="E800" i="43"/>
  <c r="E872" i="43"/>
  <c r="E762" i="43"/>
  <c r="E780" i="43"/>
  <c r="E798" i="43"/>
  <c r="E870" i="43"/>
  <c r="E21" i="43"/>
  <c r="E41" i="43"/>
  <c r="E60" i="43"/>
  <c r="E899" i="43"/>
  <c r="E855" i="43"/>
  <c r="E815" i="43"/>
  <c r="E845" i="43"/>
  <c r="E783" i="43"/>
  <c r="E761" i="43"/>
  <c r="E720" i="43"/>
  <c r="E833" i="43"/>
  <c r="E715" i="43"/>
  <c r="E615" i="43"/>
  <c r="E579" i="43"/>
  <c r="E543" i="43"/>
  <c r="E471" i="43"/>
  <c r="E435" i="43"/>
  <c r="E509" i="43"/>
  <c r="E473" i="43"/>
  <c r="E494" i="43"/>
  <c r="E285" i="43"/>
  <c r="E299" i="43"/>
  <c r="E209" i="43"/>
  <c r="E137" i="43"/>
  <c r="E71" i="43"/>
  <c r="E369" i="43"/>
  <c r="E357" i="43"/>
  <c r="E146" i="43"/>
  <c r="E282" i="43"/>
  <c r="E556" i="43"/>
  <c r="E616" i="43"/>
  <c r="E697" i="43"/>
  <c r="E924" i="43"/>
  <c r="E764" i="43"/>
  <c r="E886" i="43"/>
  <c r="E611" i="43"/>
  <c r="E427" i="43"/>
  <c r="E636" i="43"/>
  <c r="E317" i="43"/>
  <c r="E399" i="43"/>
  <c r="E207" i="43"/>
  <c r="E51" i="43"/>
  <c r="E116" i="43"/>
  <c r="E110" i="43"/>
  <c r="E350" i="43"/>
  <c r="E202" i="43"/>
  <c r="E440" i="43"/>
  <c r="E488" i="43"/>
  <c r="E733" i="43"/>
  <c r="E804" i="43"/>
  <c r="E888" i="43"/>
  <c r="E894" i="43"/>
  <c r="E38" i="43"/>
  <c r="E86" i="43"/>
  <c r="E851" i="43"/>
  <c r="E807" i="43"/>
  <c r="E893" i="43"/>
  <c r="E829" i="43"/>
  <c r="E779" i="43"/>
  <c r="E716" i="43"/>
  <c r="E575" i="43"/>
  <c r="E503" i="43"/>
  <c r="E541" i="43"/>
  <c r="E469" i="43"/>
  <c r="E526" i="43"/>
  <c r="E281" i="43"/>
  <c r="E259" i="43"/>
  <c r="E153" i="43"/>
  <c r="E72" i="43"/>
  <c r="E24" i="43"/>
  <c r="E148" i="43"/>
  <c r="E290" i="43"/>
  <c r="E679" i="43"/>
  <c r="E596" i="43"/>
  <c r="E666" i="43"/>
  <c r="E766" i="43"/>
  <c r="E62" i="43"/>
  <c r="E70" i="43"/>
  <c r="E919" i="43"/>
  <c r="E879" i="43"/>
  <c r="E835" i="43"/>
  <c r="E921" i="43"/>
  <c r="E881" i="43"/>
  <c r="E771" i="43"/>
  <c r="E744" i="43"/>
  <c r="E700" i="43"/>
  <c r="E805" i="43"/>
  <c r="E735" i="43"/>
  <c r="E699" i="43"/>
  <c r="E599" i="43"/>
  <c r="E563" i="43"/>
  <c r="E523" i="43"/>
  <c r="E487" i="43"/>
  <c r="E451" i="43"/>
  <c r="E687" i="43"/>
  <c r="E601" i="43"/>
  <c r="E565" i="43"/>
  <c r="E529" i="43"/>
  <c r="E489" i="43"/>
  <c r="E453" i="43"/>
  <c r="E660" i="43"/>
  <c r="E622" i="43"/>
  <c r="E586" i="43"/>
  <c r="E550" i="43"/>
  <c r="E514" i="43"/>
  <c r="E474" i="43"/>
  <c r="E430" i="43"/>
  <c r="E347" i="43"/>
  <c r="E305" i="43"/>
  <c r="E269" i="43"/>
  <c r="E414" i="43"/>
  <c r="E375" i="43"/>
  <c r="E315" i="43"/>
  <c r="E279" i="43"/>
  <c r="E434" i="43"/>
  <c r="E237" i="43"/>
  <c r="E219" i="43"/>
  <c r="E201" i="43"/>
  <c r="E183" i="43"/>
  <c r="E163" i="43"/>
  <c r="E145" i="43"/>
  <c r="E125" i="43"/>
  <c r="E97" i="43"/>
  <c r="E90" i="43"/>
  <c r="E26" i="43"/>
  <c r="E120" i="43"/>
  <c r="E76" i="43"/>
  <c r="E98" i="43"/>
  <c r="E332" i="43"/>
  <c r="E401" i="43"/>
  <c r="E87" i="43"/>
  <c r="E48" i="43"/>
  <c r="E127" i="43"/>
  <c r="E320" i="43"/>
  <c r="E397" i="43"/>
  <c r="E302" i="43"/>
  <c r="E374" i="43"/>
  <c r="E136" i="43"/>
  <c r="E154" i="43"/>
  <c r="E192" i="43"/>
  <c r="E210" i="43"/>
  <c r="E228" i="43"/>
  <c r="E386" i="43"/>
  <c r="E388" i="43"/>
  <c r="E480" i="43"/>
  <c r="E624" i="43"/>
  <c r="E476" i="43"/>
  <c r="E400" i="43"/>
  <c r="E536" i="43"/>
  <c r="E667" i="43"/>
  <c r="E516" i="43"/>
  <c r="E698" i="43"/>
  <c r="E665" i="43"/>
  <c r="E709" i="43"/>
  <c r="E746" i="43"/>
  <c r="E642" i="43"/>
  <c r="E682" i="43"/>
  <c r="E726" i="43"/>
  <c r="E810" i="43"/>
  <c r="E884" i="43"/>
  <c r="E822" i="43"/>
  <c r="E898" i="43"/>
  <c r="E834" i="43"/>
  <c r="E920" i="43"/>
  <c r="E774" i="43"/>
  <c r="E792" i="43"/>
  <c r="E846" i="43"/>
  <c r="E918" i="43"/>
  <c r="E12" i="43"/>
  <c r="E20" i="43"/>
  <c r="E915" i="43"/>
  <c r="E827" i="43"/>
  <c r="E873" i="43"/>
  <c r="E769" i="43"/>
  <c r="E692" i="43"/>
  <c r="E630" i="43"/>
  <c r="E595" i="43"/>
  <c r="E483" i="43"/>
  <c r="E597" i="43"/>
  <c r="E561" i="43"/>
  <c r="E485" i="43"/>
  <c r="E656" i="43"/>
  <c r="E582" i="43"/>
  <c r="E546" i="43"/>
  <c r="E339" i="43"/>
  <c r="E438" i="43"/>
  <c r="E311" i="43"/>
  <c r="E425" i="43"/>
  <c r="E217" i="43"/>
  <c r="E179" i="43"/>
  <c r="E143" i="43"/>
  <c r="E89" i="43"/>
  <c r="E91" i="43"/>
  <c r="E31" i="43"/>
  <c r="E337" i="43"/>
  <c r="E64" i="43"/>
  <c r="E405" i="43"/>
  <c r="E310" i="43"/>
  <c r="E138" i="43"/>
  <c r="E194" i="43"/>
  <c r="E322" i="43"/>
  <c r="E396" i="43"/>
  <c r="E492" i="43"/>
  <c r="E336" i="43"/>
  <c r="E568" i="43"/>
  <c r="E532" i="43"/>
  <c r="E669" i="43"/>
  <c r="E749" i="43"/>
  <c r="E686" i="43"/>
  <c r="E729" i="43"/>
  <c r="E892" i="43"/>
  <c r="E850" i="43"/>
  <c r="E776" i="43"/>
  <c r="E860" i="43"/>
  <c r="E926" i="43"/>
  <c r="E258" i="43"/>
  <c r="E404" i="43"/>
  <c r="E432" i="43"/>
  <c r="E548" i="43"/>
  <c r="E673" i="43"/>
  <c r="E838" i="43"/>
  <c r="E760" i="43"/>
  <c r="E862" i="43"/>
  <c r="E545" i="43"/>
  <c r="E566" i="43"/>
  <c r="E458" i="43"/>
  <c r="E335" i="43"/>
  <c r="E227" i="43"/>
  <c r="E93" i="43"/>
  <c r="E61" i="43"/>
  <c r="E115" i="43"/>
  <c r="E16" i="43"/>
  <c r="E262" i="43"/>
  <c r="E200" i="43"/>
  <c r="E424" i="43"/>
  <c r="E368" i="43"/>
  <c r="E645" i="43"/>
  <c r="E685" i="43"/>
  <c r="E705" i="43"/>
  <c r="E880" i="43"/>
  <c r="E812" i="43"/>
  <c r="E711" i="43"/>
  <c r="E467" i="43"/>
  <c r="E676" i="43"/>
  <c r="E379" i="43"/>
  <c r="E295" i="43"/>
  <c r="E189" i="43"/>
  <c r="E135" i="43"/>
  <c r="E103" i="43"/>
  <c r="E377" i="43"/>
  <c r="E130" i="43"/>
  <c r="E222" i="43"/>
  <c r="E356" i="43"/>
  <c r="E376" i="43"/>
  <c r="E629" i="43"/>
  <c r="E858" i="43"/>
  <c r="E874" i="43"/>
  <c r="E784" i="43"/>
  <c r="E524" i="133"/>
  <c r="E365" i="133"/>
  <c r="E484" i="133"/>
  <c r="E236" i="43"/>
  <c r="E56" i="43"/>
  <c r="E119" i="43"/>
  <c r="E265" i="43"/>
  <c r="E506" i="43"/>
  <c r="E791" i="43"/>
  <c r="E709" i="133"/>
  <c r="E420" i="43"/>
  <c r="E843" i="133"/>
  <c r="E18" i="133"/>
  <c r="E857" i="43"/>
  <c r="E957" i="133"/>
  <c r="E776" i="133"/>
  <c r="E471" i="133"/>
  <c r="E666" i="133"/>
  <c r="E986" i="133"/>
  <c r="E298" i="43"/>
  <c r="E316" i="43"/>
  <c r="E205" i="43"/>
  <c r="E537" i="43"/>
  <c r="E88" i="43"/>
  <c r="E936" i="133"/>
  <c r="E525" i="133"/>
  <c r="E438" i="133"/>
  <c r="E286" i="133"/>
  <c r="E377" i="133"/>
  <c r="E756" i="133"/>
  <c r="E987" i="133"/>
  <c r="E39" i="133"/>
  <c r="E689" i="43"/>
  <c r="E844" i="43"/>
  <c r="E226" i="43"/>
  <c r="E383" i="43"/>
  <c r="E739" i="43"/>
  <c r="E839" i="43"/>
  <c r="E54" i="43"/>
  <c r="E934" i="133"/>
  <c r="E927" i="133"/>
  <c r="E866" i="133"/>
  <c r="E721" i="133"/>
  <c r="E689" i="133"/>
  <c r="E620" i="133"/>
  <c r="E513" i="133"/>
  <c r="E581" i="133"/>
  <c r="E358" i="133"/>
  <c r="E52" i="133"/>
  <c r="E150" i="133"/>
  <c r="E182" i="133"/>
  <c r="E120" i="133"/>
  <c r="E324" i="133"/>
  <c r="E315" i="133"/>
  <c r="E530" i="133"/>
  <c r="E599" i="133"/>
  <c r="E622" i="133"/>
  <c r="E845" i="133"/>
  <c r="E1081" i="133"/>
  <c r="E110" i="133"/>
  <c r="BN72" i="33"/>
  <c r="E641" i="133"/>
  <c r="E700" i="133"/>
  <c r="E270" i="133"/>
  <c r="E593" i="133"/>
  <c r="E755" i="43"/>
  <c r="E181" i="133"/>
  <c r="E180" i="43"/>
  <c r="E371" i="133"/>
  <c r="E756" i="43"/>
  <c r="E1021" i="133"/>
  <c r="E380" i="43"/>
  <c r="E507" i="43"/>
  <c r="E216" i="133"/>
  <c r="E1067" i="133"/>
  <c r="E136" i="133"/>
  <c r="E221" i="133"/>
  <c r="E861" i="133"/>
  <c r="E670" i="43"/>
  <c r="E186" i="43"/>
  <c r="E104" i="43"/>
  <c r="E277" i="43"/>
  <c r="E459" i="43"/>
  <c r="E889" i="43"/>
  <c r="E424" i="133"/>
  <c r="E661" i="133"/>
  <c r="E228" i="133"/>
  <c r="E503" i="133"/>
  <c r="BN61" i="33"/>
  <c r="E904" i="43"/>
  <c r="E170" i="43"/>
  <c r="E500" i="43"/>
  <c r="E372" i="43"/>
  <c r="E69" i="43"/>
  <c r="E167" i="43"/>
  <c r="E457" i="43"/>
  <c r="E818" i="43"/>
  <c r="E468" i="43"/>
  <c r="E364" i="43"/>
  <c r="E381" i="43"/>
  <c r="E169" i="43"/>
  <c r="E241" i="43"/>
  <c r="E465" i="43"/>
  <c r="E777" i="43"/>
  <c r="E197" i="43"/>
  <c r="E816" i="43"/>
  <c r="E410" i="133"/>
  <c r="E863" i="43"/>
  <c r="E246" i="43"/>
  <c r="E390" i="43"/>
  <c r="E485" i="133"/>
  <c r="E49" i="43"/>
  <c r="E508" i="43"/>
  <c r="E972" i="133"/>
  <c r="E194" i="133"/>
  <c r="E314" i="43"/>
  <c r="E831" i="43"/>
  <c r="E284" i="133"/>
  <c r="E791" i="133"/>
  <c r="E806" i="43"/>
  <c r="E592" i="43"/>
  <c r="E358" i="43"/>
  <c r="E131" i="43"/>
  <c r="E632" i="43"/>
  <c r="E607" i="43"/>
  <c r="E1076" i="133"/>
  <c r="E814" i="133"/>
  <c r="E193" i="133"/>
  <c r="E219" i="133"/>
  <c r="E775" i="133"/>
  <c r="BN70" i="33"/>
  <c r="BN78" i="33"/>
  <c r="BT78" i="33"/>
  <c r="E910" i="43"/>
  <c r="E638" i="43"/>
  <c r="E808" i="43"/>
  <c r="E152" i="43"/>
  <c r="E67" i="43"/>
  <c r="E355" i="43"/>
  <c r="E554" i="43"/>
  <c r="E753" i="43"/>
  <c r="E588" i="43"/>
  <c r="E150" i="43"/>
  <c r="E59" i="43"/>
  <c r="E363" i="43"/>
  <c r="E609" i="43"/>
  <c r="E743" i="43"/>
  <c r="E46" i="43"/>
  <c r="E918" i="133"/>
  <c r="E864" i="133"/>
  <c r="E751" i="133"/>
  <c r="E497" i="133"/>
  <c r="E352" i="133"/>
  <c r="E146" i="133"/>
  <c r="E124" i="133"/>
  <c r="E319" i="133"/>
  <c r="E603" i="133"/>
  <c r="E849" i="133"/>
  <c r="E959" i="133"/>
  <c r="E23" i="133"/>
  <c r="E721" i="43"/>
  <c r="E651" i="43"/>
  <c r="E378" i="43"/>
  <c r="E208" i="43"/>
  <c r="E134" i="43"/>
  <c r="E312" i="43"/>
  <c r="E393" i="43"/>
  <c r="E74" i="43"/>
  <c r="E109" i="43"/>
  <c r="E185" i="43"/>
  <c r="E417" i="43"/>
  <c r="E442" i="43"/>
  <c r="E590" i="43"/>
  <c r="E497" i="43"/>
  <c r="E821" i="43"/>
  <c r="E795" i="43"/>
  <c r="E883" i="43"/>
  <c r="E1056" i="133"/>
  <c r="E1018" i="133"/>
  <c r="E908" i="133"/>
  <c r="E846" i="133"/>
  <c r="E839" i="133"/>
  <c r="E512" i="133"/>
  <c r="E580" i="133"/>
  <c r="E436" i="133"/>
  <c r="E445" i="133"/>
  <c r="E201" i="133"/>
  <c r="E113" i="133"/>
  <c r="E226" i="133"/>
  <c r="E176" i="133"/>
  <c r="E159" i="133"/>
  <c r="E349" i="133"/>
  <c r="E506" i="133"/>
  <c r="E643" i="133"/>
  <c r="E678" i="133"/>
  <c r="E877" i="133"/>
  <c r="E921" i="133"/>
  <c r="E43" i="133"/>
  <c r="BO82" i="33"/>
  <c r="BO36" i="33" s="1"/>
  <c r="BO37" i="33" s="1"/>
  <c r="BJ83" i="33"/>
  <c r="BT76" i="33"/>
  <c r="BN75" i="33"/>
  <c r="BE55" i="33"/>
  <c r="BE75" i="33"/>
  <c r="E589" i="43"/>
  <c r="E13" i="43"/>
  <c r="E213" i="43"/>
  <c r="E493" i="43"/>
  <c r="BN60" i="33"/>
  <c r="BN66" i="33"/>
  <c r="BG82" i="33"/>
  <c r="BG36" i="33" s="1"/>
  <c r="BG37" i="33" s="1"/>
  <c r="BN52" i="33"/>
  <c r="E875" i="133"/>
  <c r="E545" i="133"/>
  <c r="E11" i="133"/>
  <c r="BD82" i="33"/>
  <c r="BE57" i="33"/>
  <c r="BT57" i="33" s="1"/>
  <c r="BN56" i="33"/>
  <c r="BT72" i="33"/>
  <c r="BE71" i="33"/>
  <c r="BT71" i="33" s="1"/>
  <c r="BE56" i="33"/>
  <c r="BE60" i="33"/>
  <c r="BO81" i="33"/>
  <c r="BN63" i="33"/>
  <c r="BI82" i="33"/>
  <c r="BI36" i="33" s="1"/>
  <c r="BI37" i="33" s="1"/>
  <c r="BT64" i="33"/>
  <c r="BN64" i="33"/>
  <c r="BE73" i="33"/>
  <c r="E1049" i="133"/>
  <c r="E764" i="133"/>
  <c r="BT69" i="33"/>
  <c r="BT53" i="33"/>
  <c r="BN53" i="33"/>
  <c r="BE59" i="33"/>
  <c r="BM82" i="33"/>
  <c r="BM36" i="33" s="1"/>
  <c r="BM37" i="33" s="1"/>
  <c r="BE67" i="33"/>
  <c r="BN65" i="33"/>
  <c r="BC82" i="33"/>
  <c r="BC36" i="33" s="1"/>
  <c r="BC37" i="33" s="1"/>
  <c r="BC41" i="33" s="1"/>
  <c r="BE61" i="33"/>
  <c r="BE65" i="33"/>
  <c r="BT65" i="33" s="1"/>
  <c r="BK82" i="33"/>
  <c r="BK36" i="33" s="1"/>
  <c r="BK37" i="33" s="1"/>
  <c r="BT29" i="33"/>
  <c r="BN35" i="33"/>
  <c r="BN81" i="33" s="1"/>
  <c r="BH82" i="33"/>
  <c r="AY82" i="33"/>
  <c r="BT68" i="33"/>
  <c r="BN71" i="33"/>
  <c r="BE74" i="33"/>
  <c r="E11" i="43"/>
  <c r="BN76" i="33"/>
  <c r="AX82" i="33"/>
  <c r="AX36" i="33" s="1"/>
  <c r="AX37" i="33" s="1"/>
  <c r="AX41" i="33" s="1"/>
  <c r="BE62" i="33"/>
  <c r="BT62" i="33" s="1"/>
  <c r="BE77" i="33"/>
  <c r="E10" i="133"/>
  <c r="E9" i="43"/>
  <c r="E10" i="43"/>
  <c r="BE54" i="33"/>
  <c r="BP82" i="33"/>
  <c r="BN69" i="33"/>
  <c r="BN74" i="33"/>
  <c r="BL82" i="33"/>
  <c r="BE58" i="33"/>
  <c r="BT27" i="33"/>
  <c r="BT19" i="33"/>
  <c r="E9" i="133"/>
  <c r="E12" i="133"/>
  <c r="AV82" i="33"/>
  <c r="BS35" i="33"/>
  <c r="BA83" i="33"/>
  <c r="BA87" i="33" s="1"/>
  <c r="AW82" i="33"/>
  <c r="AW36" i="33" s="1"/>
  <c r="AW37" i="33" s="1"/>
  <c r="AW41" i="33" s="1"/>
  <c r="AZ82" i="33"/>
  <c r="BN58" i="33"/>
  <c r="AU82" i="33"/>
  <c r="AU36" i="33" s="1"/>
  <c r="AU37" i="33" s="1"/>
  <c r="AU41" i="33" s="1"/>
  <c r="BE52" i="33"/>
  <c r="BB82" i="33"/>
  <c r="BB36" i="33" s="1"/>
  <c r="BB37" i="33" s="1"/>
  <c r="BB41" i="33" s="1"/>
  <c r="BT30" i="33"/>
  <c r="BF81" i="33"/>
  <c r="BF83" i="33" s="1"/>
  <c r="BF37" i="33"/>
  <c r="BE35" i="33"/>
  <c r="BT32" i="33"/>
  <c r="BT66" i="33" l="1"/>
  <c r="AT83" i="33"/>
  <c r="AT87" i="33" s="1"/>
  <c r="AW83" i="33"/>
  <c r="AW87" i="33" s="1"/>
  <c r="BB83" i="33"/>
  <c r="BB87" i="33" s="1"/>
  <c r="BG83" i="33"/>
  <c r="BK83" i="33"/>
  <c r="BI83" i="33"/>
  <c r="BT77" i="33"/>
  <c r="BQ83" i="33"/>
  <c r="BT55" i="33"/>
  <c r="BT61" i="33"/>
  <c r="BT67" i="33"/>
  <c r="BT74" i="33"/>
  <c r="BT73" i="33"/>
  <c r="BO83" i="33"/>
  <c r="AZ36" i="33"/>
  <c r="AZ37" i="33" s="1"/>
  <c r="AZ41" i="33" s="1"/>
  <c r="AZ83" i="33"/>
  <c r="AZ87" i="33" s="1"/>
  <c r="AY36" i="33"/>
  <c r="AY37" i="33" s="1"/>
  <c r="AY41" i="33" s="1"/>
  <c r="AY83" i="33"/>
  <c r="AY87" i="33" s="1"/>
  <c r="BE82" i="33"/>
  <c r="BE36" i="33" s="1"/>
  <c r="BE37" i="33" s="1"/>
  <c r="BE41" i="33" s="1"/>
  <c r="BT52" i="33"/>
  <c r="BH36" i="33"/>
  <c r="BH37" i="33" s="1"/>
  <c r="BH83" i="33"/>
  <c r="BT59" i="33"/>
  <c r="BM83" i="33"/>
  <c r="BT63" i="33"/>
  <c r="BL36" i="33"/>
  <c r="BL37" i="33" s="1"/>
  <c r="BL83" i="33"/>
  <c r="AX83" i="33"/>
  <c r="AX87" i="33" s="1"/>
  <c r="BP36" i="33"/>
  <c r="BP37" i="33" s="1"/>
  <c r="BP83" i="33"/>
  <c r="BC83" i="33"/>
  <c r="BC87" i="33" s="1"/>
  <c r="BT60" i="33"/>
  <c r="BN82" i="33"/>
  <c r="BN36" i="33" s="1"/>
  <c r="BN37" i="33" s="1"/>
  <c r="BS81" i="33"/>
  <c r="BT58" i="33"/>
  <c r="BT54" i="33"/>
  <c r="BT56" i="33"/>
  <c r="BT75" i="33"/>
  <c r="AV36" i="33"/>
  <c r="AV37" i="33" s="1"/>
  <c r="AV41" i="33" s="1"/>
  <c r="AV83" i="33"/>
  <c r="AV87" i="33" s="1"/>
  <c r="BD36" i="33"/>
  <c r="BD37" i="33" s="1"/>
  <c r="BD41" i="33" s="1"/>
  <c r="BD83" i="33"/>
  <c r="BD87" i="33" s="1"/>
  <c r="BT35" i="33"/>
  <c r="BS82" i="33"/>
  <c r="BS36" i="33" s="1"/>
  <c r="BS37" i="33" s="1"/>
  <c r="BS41" i="33" s="1"/>
  <c r="AU83" i="33"/>
  <c r="AU87" i="33" s="1"/>
  <c r="BT70" i="33"/>
  <c r="BE81" i="33"/>
  <c r="BE83" i="33" l="1"/>
  <c r="BE87" i="33" s="1"/>
  <c r="BS83" i="33"/>
  <c r="BS87" i="33" s="1"/>
  <c r="BT82" i="33"/>
  <c r="BT36" i="33" s="1"/>
  <c r="BT37" i="33" s="1"/>
  <c r="BT41" i="33" s="1"/>
  <c r="BT81" i="33"/>
  <c r="BN83" i="33"/>
  <c r="BT83" i="33" l="1"/>
  <c r="BT87" i="33" s="1"/>
</calcChain>
</file>

<file path=xl/comments1.xml><?xml version="1.0" encoding="utf-8"?>
<comments xmlns="http://schemas.openxmlformats.org/spreadsheetml/2006/main">
  <authors>
    <author>JEONG WON SANG</author>
  </authors>
  <commentList>
    <comment ref="E3" authorId="0" shapeId="0">
      <text>
        <r>
          <rPr>
            <sz val="9"/>
            <color indexed="81"/>
            <rFont val="Tahoma"/>
            <family val="2"/>
          </rPr>
          <t>**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과목이름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자동입력되도록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하였습니다</t>
        </r>
        <r>
          <rPr>
            <sz val="9"/>
            <color indexed="81"/>
            <rFont val="Tahoma"/>
            <family val="2"/>
          </rPr>
          <t>.
=IF(OR(COUNTIF('1.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'!E10,$AJ$9),COUNTIF('1.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'!E10,$AJ$6)),$AJ$6,IF(OR(COUNTIF('1.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'!E10,$AK$9),COUNTIF('1.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'!E10,$AK$6)),$AK$6,IF(OR(COUNTIF('1.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'!E10,$AL$9),COUNTIF('1.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'!E10,$AL$6)),$AL$6,IF(OR(COUNTIF('1.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'!E10,$AM$9),COUNTIF('1.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'!E10,$AM$6)),$AM$6,IF(OR(COUNTIF('1.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'!E10,$AN$9),COUNTIF('1.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'!E10,$AN$6)),$AN$6,IF(OR(COUNTIF('1.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'!E10,$AO$9),COUNTIF('1.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'!E10,$AO$6)),$AO$6,IF(OR(COUNTIF('1.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'!E10,$AP$9),COUNTIF('1.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'!E10,$AP$6)),$AP$6,IF(OR(COUNTIF('1.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'!E10,$AQ$9),COUNTIF('1.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'!E10,$AQ$6)),$AQ$6,IF(OR(COUNTIF('1.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'!E10,$AR$9),COUNTIF('1.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'!E10,$AR$6)),$AR$6,IF(OR(COUNTIF('1.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'!E10,$AS$9),COUNTIF('1.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'!E10,$AS$6)),$AS$6,IF(OR(COUNTIF('1.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'!E10,$AV$9),COUNTIF('1.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'!E10,$AV$7),COUNTIF('1.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'!E10,$AW$9),COUNTIF('1.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'!E10,$AW$7),COUNTIF('1.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'!E10,AX9),COUNTIF('1.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'!E10,$AX$7),COUNTIF('1.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'!E10,$AY$9),COUNTIF('1.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'!E10,$AY$7),COUNTIF('1.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'!E10,$AZ$9),COUNTIF('1.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'!E10,$AZ$7)),$AV$6,IF(OR(COUNTIF('1.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'!E10,$BB$9),COUNTIF('1.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'!E10,$BB$7)),$BB$6,IF(OR(COUNTIF('1.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'!E10,$BC$9),COUNTIF('1.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'!E10,$BC$7)),$BC$6,IF(OR(COUNTIF('1.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'!E10,$BD$9),COUNTIF('1.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'!E10,$BD$7)),$BD$6,"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>"))))))))))))))
**</t>
        </r>
        <r>
          <rPr>
            <sz val="9"/>
            <color indexed="81"/>
            <rFont val="돋움"/>
            <family val="3"/>
            <charset val="129"/>
          </rPr>
          <t>국어</t>
        </r>
        <r>
          <rPr>
            <sz val="9"/>
            <color indexed="81"/>
            <rFont val="Tahoma"/>
            <family val="2"/>
          </rPr>
          <t>, *(</t>
        </r>
        <r>
          <rPr>
            <sz val="9"/>
            <color indexed="81"/>
            <rFont val="돋움"/>
            <family val="3"/>
            <charset val="129"/>
          </rPr>
          <t>국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과목명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창체명과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
=IF(OR(COUNTIF('1.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국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국어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국어</t>
        </r>
        <r>
          <rPr>
            <sz val="9"/>
            <color indexed="81"/>
            <rFont val="Tahoma"/>
            <family val="2"/>
          </rPr>
          <t>","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>")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조건값을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적용시켰습니다</t>
        </r>
        <r>
          <rPr>
            <sz val="9"/>
            <color indexed="81"/>
            <rFont val="Tahoma"/>
            <family val="2"/>
          </rPr>
          <t>.
=IF(OR(COUNTIF('1.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국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국어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국어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도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도덕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도덕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사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사회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사회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수학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수학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과학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과학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실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실과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실과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체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체육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체육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미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미술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미술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음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음악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음악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영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영어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영어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적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자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행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보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적응</t>
        </r>
        <r>
          <rPr>
            <sz val="9"/>
            <color indexed="81"/>
            <rFont val="Tahoma"/>
            <family val="2"/>
          </rPr>
          <t>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자치</t>
        </r>
        <r>
          <rPr>
            <sz val="9"/>
            <color indexed="81"/>
            <rFont val="Tahoma"/>
            <family val="2"/>
          </rPr>
          <t>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행사</t>
        </r>
        <r>
          <rPr>
            <sz val="9"/>
            <color indexed="81"/>
            <rFont val="Tahoma"/>
            <family val="2"/>
          </rPr>
          <t>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연극</t>
        </r>
        <r>
          <rPr>
            <sz val="9"/>
            <color indexed="81"/>
            <rFont val="Tahoma"/>
            <family val="2"/>
          </rPr>
          <t>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보건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자율활동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동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동아리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동아리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봉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봉사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봉사</t>
        </r>
        <r>
          <rPr>
            <sz val="9"/>
            <color indexed="81"/>
            <rFont val="Tahoma"/>
            <family val="2"/>
          </rPr>
          <t>",IF(OR(COUNTIF('1.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'!E10,"*(</t>
        </r>
        <r>
          <rPr>
            <sz val="9"/>
            <color indexed="81"/>
            <rFont val="돋움"/>
            <family val="3"/>
            <charset val="129"/>
          </rPr>
          <t>진</t>
        </r>
        <r>
          <rPr>
            <sz val="9"/>
            <color indexed="81"/>
            <rFont val="Tahoma"/>
            <family val="2"/>
          </rPr>
          <t>)"),COUNTIF('1.</t>
        </r>
        <r>
          <rPr>
            <sz val="9"/>
            <color indexed="81"/>
            <rFont val="돋움"/>
            <family val="3"/>
            <charset val="129"/>
          </rPr>
          <t>연간시수표</t>
        </r>
        <r>
          <rPr>
            <sz val="9"/>
            <color indexed="81"/>
            <rFont val="Tahoma"/>
            <family val="2"/>
          </rPr>
          <t>'!E10,"</t>
        </r>
        <r>
          <rPr>
            <sz val="9"/>
            <color indexed="81"/>
            <rFont val="돋움"/>
            <family val="3"/>
            <charset val="129"/>
          </rPr>
          <t>진로</t>
        </r>
        <r>
          <rPr>
            <sz val="9"/>
            <color indexed="81"/>
            <rFont val="Tahoma"/>
            <family val="2"/>
          </rPr>
          <t>")),"</t>
        </r>
        <r>
          <rPr>
            <sz val="9"/>
            <color indexed="81"/>
            <rFont val="돋움"/>
            <family val="3"/>
            <charset val="129"/>
          </rPr>
          <t>진로</t>
        </r>
        <r>
          <rPr>
            <sz val="9"/>
            <color indexed="81"/>
            <rFont val="Tahoma"/>
            <family val="2"/>
          </rPr>
          <t>","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>"))))))))))))))</t>
        </r>
      </text>
    </comment>
  </commentList>
</comments>
</file>

<file path=xl/sharedStrings.xml><?xml version="1.0" encoding="utf-8"?>
<sst xmlns="http://schemas.openxmlformats.org/spreadsheetml/2006/main" count="1388" uniqueCount="169">
  <si>
    <t>1학기</t>
    <phoneticPr fontId="5" type="noConversion"/>
  </si>
  <si>
    <t>교과</t>
    <phoneticPr fontId="5" type="noConversion"/>
  </si>
  <si>
    <t>월</t>
    <phoneticPr fontId="5" type="noConversion"/>
  </si>
  <si>
    <t>총계</t>
    <phoneticPr fontId="5" type="noConversion"/>
  </si>
  <si>
    <t>2학기</t>
    <phoneticPr fontId="5" type="noConversion"/>
  </si>
  <si>
    <t>자치</t>
    <phoneticPr fontId="5" type="noConversion"/>
  </si>
  <si>
    <t>도덕</t>
    <phoneticPr fontId="5" type="noConversion"/>
  </si>
  <si>
    <t>사회</t>
    <phoneticPr fontId="5" type="noConversion"/>
  </si>
  <si>
    <t>월</t>
    <phoneticPr fontId="5" type="noConversion"/>
  </si>
  <si>
    <t>주</t>
    <phoneticPr fontId="5" type="noConversion"/>
  </si>
  <si>
    <t>요일</t>
    <phoneticPr fontId="5" type="noConversion"/>
  </si>
  <si>
    <t>일자</t>
    <phoneticPr fontId="5" type="noConversion"/>
  </si>
  <si>
    <t>금</t>
    <phoneticPr fontId="5" type="noConversion"/>
  </si>
  <si>
    <t>화</t>
    <phoneticPr fontId="5" type="noConversion"/>
  </si>
  <si>
    <t>수</t>
    <phoneticPr fontId="5" type="noConversion"/>
  </si>
  <si>
    <t>수업
일수</t>
    <phoneticPr fontId="5" type="noConversion"/>
  </si>
  <si>
    <t>목</t>
    <phoneticPr fontId="5" type="noConversion"/>
  </si>
  <si>
    <t>수학</t>
    <phoneticPr fontId="5" type="noConversion"/>
  </si>
  <si>
    <t>과학</t>
    <phoneticPr fontId="5" type="noConversion"/>
  </si>
  <si>
    <t>체육</t>
    <phoneticPr fontId="5" type="noConversion"/>
  </si>
  <si>
    <t>음악</t>
    <phoneticPr fontId="5" type="noConversion"/>
  </si>
  <si>
    <t>미술</t>
    <phoneticPr fontId="5" type="noConversion"/>
  </si>
  <si>
    <t>영어</t>
    <phoneticPr fontId="5" type="noConversion"/>
  </si>
  <si>
    <t>창의적 체험활동</t>
    <phoneticPr fontId="5" type="noConversion"/>
  </si>
  <si>
    <t>자율활동</t>
    <phoneticPr fontId="5" type="noConversion"/>
  </si>
  <si>
    <t>행사</t>
    <phoneticPr fontId="5" type="noConversion"/>
  </si>
  <si>
    <t>창체총계</t>
    <phoneticPr fontId="5" type="noConversion"/>
  </si>
  <si>
    <t>교과소계</t>
    <phoneticPr fontId="5" type="noConversion"/>
  </si>
  <si>
    <t>자율소계</t>
    <phoneticPr fontId="5" type="noConversion"/>
  </si>
  <si>
    <t>*(적)</t>
    <phoneticPr fontId="5" type="noConversion"/>
  </si>
  <si>
    <t>*(자)</t>
    <phoneticPr fontId="5" type="noConversion"/>
  </si>
  <si>
    <t>*(행)</t>
    <phoneticPr fontId="5" type="noConversion"/>
  </si>
  <si>
    <t>*(동)</t>
    <phoneticPr fontId="5" type="noConversion"/>
  </si>
  <si>
    <t>*(봉)</t>
    <phoneticPr fontId="5" type="noConversion"/>
  </si>
  <si>
    <t>*(진)</t>
    <phoneticPr fontId="5" type="noConversion"/>
  </si>
  <si>
    <t>*(교)</t>
    <phoneticPr fontId="5" type="noConversion"/>
  </si>
  <si>
    <t>교과소계</t>
    <phoneticPr fontId="5" type="noConversion"/>
  </si>
  <si>
    <t>2학기</t>
    <phoneticPr fontId="5" type="noConversion"/>
  </si>
  <si>
    <t>시수</t>
    <phoneticPr fontId="5" type="noConversion"/>
  </si>
  <si>
    <t>교과부기준</t>
    <phoneticPr fontId="5" type="noConversion"/>
  </si>
  <si>
    <t>본교기준</t>
    <phoneticPr fontId="5" type="noConversion"/>
  </si>
  <si>
    <t>증감</t>
    <phoneticPr fontId="5" type="noConversion"/>
  </si>
  <si>
    <t>운영상황</t>
    <phoneticPr fontId="5" type="noConversion"/>
  </si>
  <si>
    <t>진로</t>
    <phoneticPr fontId="5" type="noConversion"/>
  </si>
  <si>
    <t>동아리</t>
    <phoneticPr fontId="5" type="noConversion"/>
  </si>
  <si>
    <t>봉사</t>
    <phoneticPr fontId="5" type="noConversion"/>
  </si>
  <si>
    <t>동아리활동</t>
    <phoneticPr fontId="5" type="noConversion"/>
  </si>
  <si>
    <t>봉사활동</t>
    <phoneticPr fontId="5" type="noConversion"/>
  </si>
  <si>
    <t>진로활동</t>
    <phoneticPr fontId="5" type="noConversion"/>
  </si>
  <si>
    <t>1.연간시수표 교과목 이름 자동반영</t>
    <phoneticPr fontId="5" type="noConversion"/>
  </si>
  <si>
    <t>학기</t>
    <phoneticPr fontId="11" type="noConversion"/>
  </si>
  <si>
    <t>보조쪽수</t>
    <phoneticPr fontId="11" type="noConversion"/>
  </si>
  <si>
    <t>준비물</t>
    <phoneticPr fontId="11" type="noConversion"/>
  </si>
  <si>
    <t>편제</t>
    <phoneticPr fontId="11" type="noConversion"/>
  </si>
  <si>
    <t>단원</t>
    <phoneticPr fontId="11" type="noConversion"/>
  </si>
  <si>
    <t>학습내용</t>
    <phoneticPr fontId="11" type="noConversion"/>
  </si>
  <si>
    <t>쪽수</t>
    <phoneticPr fontId="11" type="noConversion"/>
  </si>
  <si>
    <t>해당차시</t>
    <phoneticPr fontId="11" type="noConversion"/>
  </si>
  <si>
    <t>전체차시</t>
    <phoneticPr fontId="11" type="noConversion"/>
  </si>
  <si>
    <t>날짜</t>
    <phoneticPr fontId="11" type="noConversion"/>
  </si>
  <si>
    <t>년</t>
    <phoneticPr fontId="5" type="noConversion"/>
  </si>
  <si>
    <t>월</t>
    <phoneticPr fontId="5" type="noConversion"/>
  </si>
  <si>
    <t>일</t>
    <phoneticPr fontId="5" type="noConversion"/>
  </si>
  <si>
    <t>1학기 시작하는 주 월요일 날짜</t>
    <phoneticPr fontId="5" type="noConversion"/>
  </si>
  <si>
    <t>2학기 시작하는 주 월요일 날짜</t>
    <phoneticPr fontId="5" type="noConversion"/>
  </si>
  <si>
    <t>교시</t>
    <phoneticPr fontId="11" type="noConversion"/>
  </si>
  <si>
    <t>요일</t>
    <phoneticPr fontId="11" type="noConversion"/>
  </si>
  <si>
    <t>편제
(참고)</t>
    <phoneticPr fontId="11" type="noConversion"/>
  </si>
  <si>
    <t>/</t>
  </si>
  <si>
    <t>메모</t>
    <phoneticPr fontId="11" type="noConversion"/>
  </si>
  <si>
    <t>교과</t>
    <phoneticPr fontId="5" type="noConversion"/>
  </si>
  <si>
    <t>드롭박스 목록</t>
    <phoneticPr fontId="5" type="noConversion"/>
  </si>
  <si>
    <t>행사</t>
    <phoneticPr fontId="5" type="noConversion"/>
  </si>
  <si>
    <t>고유번호</t>
    <phoneticPr fontId="11" type="noConversion"/>
  </si>
  <si>
    <t>_</t>
    <phoneticPr fontId="5" type="noConversion"/>
  </si>
  <si>
    <t>연간진도표</t>
  </si>
  <si>
    <t>학기</t>
    <phoneticPr fontId="5" type="noConversion"/>
  </si>
  <si>
    <t>연간진도표</t>
    <phoneticPr fontId="5" type="noConversion"/>
  </si>
  <si>
    <t>선택4</t>
    <phoneticPr fontId="5" type="noConversion"/>
  </si>
  <si>
    <t>선택5</t>
    <phoneticPr fontId="5" type="noConversion"/>
  </si>
  <si>
    <t>*(선4)</t>
    <phoneticPr fontId="5" type="noConversion"/>
  </si>
  <si>
    <t>*(선5)</t>
    <phoneticPr fontId="5" type="noConversion"/>
  </si>
  <si>
    <t>과목시트선택 목록</t>
    <phoneticPr fontId="5" type="noConversion"/>
  </si>
  <si>
    <t>과목보기 선택 목록</t>
    <phoneticPr fontId="5" type="noConversion"/>
  </si>
  <si>
    <t>★시트선택</t>
    <phoneticPr fontId="5" type="noConversion"/>
  </si>
  <si>
    <t>학년</t>
    <phoneticPr fontId="5" type="noConversion"/>
  </si>
  <si>
    <t>순서</t>
    <phoneticPr fontId="11" type="noConversion"/>
  </si>
  <si>
    <t>학년</t>
    <phoneticPr fontId="5" type="noConversion"/>
  </si>
  <si>
    <t>학년</t>
    <phoneticPr fontId="5" type="noConversion"/>
  </si>
  <si>
    <t>프로젝트
행사</t>
    <phoneticPr fontId="11" type="noConversion"/>
  </si>
  <si>
    <t>특색활동</t>
    <phoneticPr fontId="5" type="noConversion"/>
  </si>
  <si>
    <t>선택3</t>
    <phoneticPr fontId="5" type="noConversion"/>
  </si>
  <si>
    <t>*(선3)</t>
    <phoneticPr fontId="5" type="noConversion"/>
  </si>
  <si>
    <t>프로젝트</t>
    <phoneticPr fontId="5" type="noConversion"/>
  </si>
  <si>
    <t>*(사)</t>
    <phoneticPr fontId="5" type="noConversion"/>
  </si>
  <si>
    <t>*(도)</t>
    <phoneticPr fontId="5" type="noConversion"/>
  </si>
  <si>
    <t>*(수)</t>
    <phoneticPr fontId="5" type="noConversion"/>
  </si>
  <si>
    <t>*(과)</t>
    <phoneticPr fontId="5" type="noConversion"/>
  </si>
  <si>
    <t>*(음)</t>
    <phoneticPr fontId="5" type="noConversion"/>
  </si>
  <si>
    <t>*(미)</t>
    <phoneticPr fontId="5" type="noConversion"/>
  </si>
  <si>
    <t>*(영)</t>
    <phoneticPr fontId="5" type="noConversion"/>
  </si>
  <si>
    <t>전과목(공란포함)</t>
    <phoneticPr fontId="5" type="noConversion"/>
  </si>
  <si>
    <t>전과목(공란제외)</t>
    <phoneticPr fontId="5" type="noConversion"/>
  </si>
  <si>
    <t>국어</t>
    <phoneticPr fontId="5" type="noConversion"/>
  </si>
  <si>
    <t>*(국)</t>
    <phoneticPr fontId="5" type="noConversion"/>
  </si>
  <si>
    <t>*(체)</t>
    <phoneticPr fontId="5" type="noConversion"/>
  </si>
  <si>
    <t xml:space="preserve">편제별 보기          </t>
    <phoneticPr fontId="5" type="noConversion"/>
  </si>
  <si>
    <t xml:space="preserve">  프로젝트 행사</t>
    <phoneticPr fontId="5" type="noConversion"/>
  </si>
  <si>
    <t>실과</t>
    <phoneticPr fontId="5" type="noConversion"/>
  </si>
  <si>
    <t>*(실)</t>
    <phoneticPr fontId="5" type="noConversion"/>
  </si>
  <si>
    <t>국어</t>
    <phoneticPr fontId="5" type="noConversion"/>
  </si>
  <si>
    <t>적응</t>
    <phoneticPr fontId="5" type="noConversion"/>
  </si>
  <si>
    <t>적응</t>
    <phoneticPr fontId="5" type="noConversion"/>
  </si>
  <si>
    <t>도덕</t>
    <phoneticPr fontId="5" type="noConversion"/>
  </si>
  <si>
    <t>수학</t>
    <phoneticPr fontId="5" type="noConversion"/>
  </si>
  <si>
    <t>사회</t>
    <phoneticPr fontId="5" type="noConversion"/>
  </si>
  <si>
    <t>영어</t>
    <phoneticPr fontId="5" type="noConversion"/>
  </si>
  <si>
    <t>과학</t>
    <phoneticPr fontId="5" type="noConversion"/>
  </si>
  <si>
    <t>음악</t>
    <phoneticPr fontId="5" type="noConversion"/>
  </si>
  <si>
    <t>창주</t>
    <phoneticPr fontId="5" type="noConversion"/>
  </si>
  <si>
    <t>*(주)</t>
    <phoneticPr fontId="5" type="noConversion"/>
  </si>
  <si>
    <t>창주</t>
    <phoneticPr fontId="5" type="noConversion"/>
  </si>
  <si>
    <t>실과</t>
    <phoneticPr fontId="5" type="noConversion"/>
  </si>
  <si>
    <t>미술</t>
    <phoneticPr fontId="5" type="noConversion"/>
  </si>
  <si>
    <t>대</t>
    <phoneticPr fontId="5" type="noConversion"/>
  </si>
  <si>
    <t>통</t>
    <phoneticPr fontId="5" type="noConversion"/>
  </si>
  <si>
    <t>령</t>
    <phoneticPr fontId="5" type="noConversion"/>
  </si>
  <si>
    <t>선</t>
    <phoneticPr fontId="5" type="noConversion"/>
  </si>
  <si>
    <t>거</t>
    <phoneticPr fontId="5" type="noConversion"/>
  </si>
  <si>
    <t>자치</t>
    <phoneticPr fontId="5" type="noConversion"/>
  </si>
  <si>
    <t>체육</t>
    <phoneticPr fontId="5" type="noConversion"/>
  </si>
  <si>
    <t>진로</t>
    <phoneticPr fontId="5" type="noConversion"/>
  </si>
  <si>
    <t>11~15</t>
    <phoneticPr fontId="5" type="noConversion"/>
  </si>
  <si>
    <t>봉사</t>
    <phoneticPr fontId="5" type="noConversion"/>
  </si>
  <si>
    <t>어</t>
    <phoneticPr fontId="5" type="noConversion"/>
  </si>
  <si>
    <t>린</t>
    <phoneticPr fontId="5" type="noConversion"/>
  </si>
  <si>
    <t>이</t>
    <phoneticPr fontId="5" type="noConversion"/>
  </si>
  <si>
    <t>날</t>
    <phoneticPr fontId="5" type="noConversion"/>
  </si>
  <si>
    <t>재</t>
    <phoneticPr fontId="5" type="noConversion"/>
  </si>
  <si>
    <t>량</t>
    <phoneticPr fontId="5" type="noConversion"/>
  </si>
  <si>
    <t>휴</t>
    <phoneticPr fontId="5" type="noConversion"/>
  </si>
  <si>
    <t>업</t>
    <phoneticPr fontId="5" type="noConversion"/>
  </si>
  <si>
    <t>일</t>
    <phoneticPr fontId="5" type="noConversion"/>
  </si>
  <si>
    <t>4~8</t>
    <phoneticPr fontId="5" type="noConversion"/>
  </si>
  <si>
    <t>27~1</t>
    <phoneticPr fontId="5" type="noConversion"/>
  </si>
  <si>
    <t>30~3</t>
    <phoneticPr fontId="5" type="noConversion"/>
  </si>
  <si>
    <t>지</t>
    <phoneticPr fontId="5" type="noConversion"/>
  </si>
  <si>
    <t>방</t>
    <phoneticPr fontId="5" type="noConversion"/>
  </si>
  <si>
    <t>6~10</t>
    <phoneticPr fontId="5" type="noConversion"/>
  </si>
  <si>
    <t>현</t>
    <phoneticPr fontId="5" type="noConversion"/>
  </si>
  <si>
    <t>충</t>
    <phoneticPr fontId="5" type="noConversion"/>
  </si>
  <si>
    <t>13~17</t>
    <phoneticPr fontId="5" type="noConversion"/>
  </si>
  <si>
    <t>20~24</t>
    <phoneticPr fontId="5" type="noConversion"/>
  </si>
  <si>
    <t>28~4</t>
    <phoneticPr fontId="5" type="noConversion"/>
  </si>
  <si>
    <t>7~11</t>
    <phoneticPr fontId="5" type="noConversion"/>
  </si>
  <si>
    <t>14~18</t>
    <phoneticPr fontId="5" type="noConversion"/>
  </si>
  <si>
    <t>21~25</t>
    <phoneticPr fontId="5" type="noConversion"/>
  </si>
  <si>
    <t>28~1</t>
    <phoneticPr fontId="5" type="noConversion"/>
  </si>
  <si>
    <t>18~22</t>
    <phoneticPr fontId="5" type="noConversion"/>
  </si>
  <si>
    <t>25~29</t>
    <phoneticPr fontId="5" type="noConversion"/>
  </si>
  <si>
    <t>2~6</t>
    <phoneticPr fontId="5" type="noConversion"/>
  </si>
  <si>
    <t>9~13</t>
    <phoneticPr fontId="5" type="noConversion"/>
  </si>
  <si>
    <t>16~20</t>
    <phoneticPr fontId="5" type="noConversion"/>
  </si>
  <si>
    <t>23~27</t>
    <phoneticPr fontId="5" type="noConversion"/>
  </si>
  <si>
    <t>범교</t>
    <phoneticPr fontId="5" type="noConversion"/>
  </si>
  <si>
    <t>*(범)</t>
    <phoneticPr fontId="5" type="noConversion"/>
  </si>
  <si>
    <t>범교</t>
    <phoneticPr fontId="5" type="noConversion"/>
  </si>
  <si>
    <t>추석연휴</t>
    <phoneticPr fontId="5" type="noConversion"/>
  </si>
  <si>
    <t>대체공휴일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</si>
</sst>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m&quot;월&quot;\ d&quot;일&quot;;@"/>
    <numFmt numFmtId="177" formatCode="0_);[Red]\(0\)"/>
    <numFmt numFmtId="178" formatCode="mm&quot;월&quot;\ dd&quot;일&quot;"/>
  </numFmts>
  <fonts count="3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1"/>
      <color rgb="FF000000"/>
      <name val="돋움"/>
      <family val="3"/>
      <charset val="129"/>
    </font>
    <font>
      <b/>
      <sz val="24"/>
      <name val="맑은 고딕"/>
      <family val="3"/>
      <charset val="129"/>
      <scheme val="major"/>
    </font>
    <font>
      <sz val="11"/>
      <color theme="1"/>
      <name val="돋움"/>
      <family val="3"/>
      <charset val="129"/>
    </font>
    <font>
      <sz val="14"/>
      <name val="돋움"/>
      <family val="3"/>
      <charset val="129"/>
    </font>
    <font>
      <sz val="16"/>
      <name val="돋움"/>
      <family val="3"/>
      <charset val="129"/>
    </font>
    <font>
      <shadow/>
      <sz val="10"/>
      <color rgb="FF000000"/>
      <name val="돋움"/>
      <family val="3"/>
      <charset val="129"/>
    </font>
    <font>
      <sz val="10"/>
      <color indexed="8"/>
      <name val="돋움"/>
      <family val="3"/>
      <charset val="129"/>
    </font>
    <font>
      <sz val="11"/>
      <color rgb="FF252525"/>
      <name val="돋움"/>
      <family val="3"/>
      <charset val="129"/>
    </font>
    <font>
      <b/>
      <sz val="11"/>
      <color rgb="FF000000"/>
      <name val="맑은 고딕"/>
      <family val="3"/>
      <charset val="129"/>
    </font>
    <font>
      <sz val="9"/>
      <color rgb="FF000000"/>
      <name val="Malgun Gothic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ajor"/>
    </font>
    <font>
      <b/>
      <sz val="11"/>
      <color theme="0"/>
      <name val="돋움"/>
      <family val="3"/>
      <charset val="129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8"/>
      <color rgb="FF9C0006"/>
      <name val="맑은 고딕"/>
      <family val="2"/>
      <charset val="129"/>
      <scheme val="minor"/>
    </font>
    <font>
      <sz val="8"/>
      <color rgb="FF9C0006"/>
      <name val="맑은 고딕"/>
      <family val="3"/>
      <charset val="129"/>
      <scheme val="minor"/>
    </font>
    <font>
      <sz val="8"/>
      <color rgb="FF9C6500"/>
      <name val="맑은 고딕"/>
      <family val="2"/>
      <charset val="129"/>
      <scheme val="minor"/>
    </font>
    <font>
      <sz val="9"/>
      <color rgb="FF00610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8">
    <xf numFmtId="0" fontId="0" fillId="0" borderId="0">
      <alignment vertical="center"/>
    </xf>
    <xf numFmtId="0" fontId="4" fillId="16" borderId="0" applyNumberFormat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15" borderId="1" xfId="0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49" fontId="0" fillId="7" borderId="1" xfId="0" applyNumberFormat="1" applyFill="1" applyBorder="1" applyAlignment="1">
      <alignment horizontal="center" vertical="center" shrinkToFit="1"/>
    </xf>
    <xf numFmtId="49" fontId="0" fillId="7" borderId="6" xfId="0" applyNumberFormat="1" applyFill="1" applyBorder="1" applyAlignment="1">
      <alignment horizontal="center" vertical="center" shrinkToFit="1"/>
    </xf>
    <xf numFmtId="0" fontId="0" fillId="0" borderId="1" xfId="0" applyNumberFormat="1" applyBorder="1" applyAlignment="1">
      <alignment horizontal="center" vertical="center"/>
    </xf>
    <xf numFmtId="0" fontId="0" fillId="17" borderId="1" xfId="0" applyFill="1" applyBorder="1" applyAlignment="1">
      <alignment horizontal="center" vertical="center" shrinkToFit="1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13" fillId="13" borderId="9" xfId="0" applyFont="1" applyFill="1" applyBorder="1" applyAlignment="1">
      <alignment horizontal="right" vertical="center"/>
    </xf>
    <xf numFmtId="0" fontId="13" fillId="13" borderId="10" xfId="0" applyFont="1" applyFill="1" applyBorder="1" applyAlignment="1">
      <alignment horizontal="right" vertical="center"/>
    </xf>
    <xf numFmtId="176" fontId="13" fillId="13" borderId="10" xfId="0" applyNumberFormat="1" applyFont="1" applyFill="1" applyBorder="1" applyAlignment="1">
      <alignment vertical="center"/>
    </xf>
    <xf numFmtId="0" fontId="0" fillId="0" borderId="3" xfId="0" applyNumberFormat="1" applyBorder="1" applyAlignment="1">
      <alignment horizontal="center" vertical="center"/>
    </xf>
    <xf numFmtId="0" fontId="13" fillId="0" borderId="0" xfId="0" applyNumberFormat="1" applyFont="1" applyAlignment="1">
      <alignment vertical="center"/>
    </xf>
    <xf numFmtId="0" fontId="13" fillId="21" borderId="9" xfId="0" applyFont="1" applyFill="1" applyBorder="1" applyAlignment="1">
      <alignment horizontal="right" vertical="center"/>
    </xf>
    <xf numFmtId="0" fontId="13" fillId="21" borderId="10" xfId="0" applyFont="1" applyFill="1" applyBorder="1" applyAlignment="1">
      <alignment horizontal="right" vertical="center"/>
    </xf>
    <xf numFmtId="176" fontId="13" fillId="21" borderId="10" xfId="0" applyNumberFormat="1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13" fillId="14" borderId="9" xfId="0" applyFont="1" applyFill="1" applyBorder="1" applyAlignment="1">
      <alignment horizontal="right" vertical="center"/>
    </xf>
    <xf numFmtId="0" fontId="13" fillId="14" borderId="10" xfId="0" applyFont="1" applyFill="1" applyBorder="1" applyAlignment="1">
      <alignment horizontal="right" vertical="center"/>
    </xf>
    <xf numFmtId="176" fontId="13" fillId="14" borderId="10" xfId="0" applyNumberFormat="1" applyFont="1" applyFill="1" applyBorder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 applyProtection="1">
      <alignment horizontal="right" vertical="center"/>
    </xf>
    <xf numFmtId="176" fontId="13" fillId="0" borderId="0" xfId="0" applyNumberFormat="1" applyFont="1" applyAlignment="1" applyProtection="1">
      <alignment vertical="center"/>
    </xf>
    <xf numFmtId="0" fontId="13" fillId="0" borderId="0" xfId="0" applyNumberFormat="1" applyFont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Protection="1">
      <alignment vertical="center"/>
    </xf>
    <xf numFmtId="176" fontId="0" fillId="0" borderId="0" xfId="0" applyNumberFormat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176" fontId="10" fillId="16" borderId="1" xfId="1" applyNumberFormat="1" applyFont="1" applyBorder="1" applyAlignment="1" applyProtection="1">
      <alignment horizontal="center" vertical="center" wrapText="1"/>
    </xf>
    <xf numFmtId="0" fontId="10" fillId="16" borderId="1" xfId="1" applyNumberFormat="1" applyFont="1" applyBorder="1" applyAlignment="1" applyProtection="1">
      <alignment horizontal="center" vertical="center" wrapText="1"/>
    </xf>
    <xf numFmtId="0" fontId="10" fillId="16" borderId="1" xfId="1" applyFont="1" applyBorder="1" applyAlignment="1" applyProtection="1">
      <alignment horizontal="center" vertical="center" wrapText="1"/>
    </xf>
    <xf numFmtId="0" fontId="10" fillId="16" borderId="1" xfId="1" applyFont="1" applyBorder="1" applyAlignment="1" applyProtection="1">
      <alignment horizontal="center" vertical="center"/>
    </xf>
    <xf numFmtId="49" fontId="10" fillId="16" borderId="1" xfId="1" applyNumberFormat="1" applyFont="1" applyBorder="1" applyAlignment="1" applyProtection="1">
      <alignment horizontal="center" vertical="center" wrapText="1"/>
    </xf>
    <xf numFmtId="49" fontId="10" fillId="19" borderId="1" xfId="1" applyNumberFormat="1" applyFont="1" applyFill="1" applyBorder="1" applyAlignment="1" applyProtection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0" borderId="0" xfId="0" applyAlignment="1" applyProtection="1">
      <alignment vertical="center"/>
    </xf>
    <xf numFmtId="176" fontId="13" fillId="14" borderId="11" xfId="0" applyNumberFormat="1" applyFont="1" applyFill="1" applyBorder="1" applyAlignment="1">
      <alignment vertical="center"/>
    </xf>
    <xf numFmtId="176" fontId="13" fillId="13" borderId="11" xfId="0" applyNumberFormat="1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49" fontId="0" fillId="7" borderId="1" xfId="0" applyNumberFormat="1" applyFill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/>
    </xf>
    <xf numFmtId="0" fontId="0" fillId="20" borderId="6" xfId="0" applyFill="1" applyBorder="1" applyAlignment="1">
      <alignment horizontal="center" vertical="center" shrinkToFit="1"/>
    </xf>
    <xf numFmtId="0" fontId="0" fillId="20" borderId="1" xfId="0" applyFill="1" applyBorder="1" applyAlignment="1">
      <alignment horizontal="center" vertical="center" shrinkToFit="1"/>
    </xf>
    <xf numFmtId="49" fontId="0" fillId="6" borderId="1" xfId="0" applyNumberForma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0" borderId="20" xfId="0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176" fontId="13" fillId="0" borderId="0" xfId="0" applyNumberFormat="1" applyFont="1" applyAlignment="1">
      <alignment vertical="center" shrinkToFit="1"/>
    </xf>
    <xf numFmtId="0" fontId="0" fillId="0" borderId="0" xfId="0" applyAlignment="1" applyProtection="1">
      <alignment vertical="center" shrinkToFit="1"/>
    </xf>
    <xf numFmtId="0" fontId="0" fillId="0" borderId="0" xfId="0" applyAlignment="1" applyProtection="1">
      <alignment horizontal="left" vertical="center" shrinkToFit="1"/>
    </xf>
    <xf numFmtId="0" fontId="10" fillId="16" borderId="1" xfId="1" applyFont="1" applyBorder="1" applyAlignment="1" applyProtection="1">
      <alignment horizontal="center" vertical="center" shrinkToFit="1"/>
    </xf>
    <xf numFmtId="0" fontId="0" fillId="0" borderId="8" xfId="0" applyBorder="1" applyAlignment="1">
      <alignment horizontal="left" vertical="center" shrinkToFit="1"/>
    </xf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 shrinkToFit="1"/>
    </xf>
    <xf numFmtId="49" fontId="10" fillId="16" borderId="1" xfId="1" applyNumberFormat="1" applyFont="1" applyBorder="1" applyAlignment="1" applyProtection="1">
      <alignment horizontal="center" vertical="center" shrinkToFit="1"/>
    </xf>
    <xf numFmtId="49" fontId="10" fillId="16" borderId="1" xfId="1" applyNumberFormat="1" applyFont="1" applyBorder="1" applyAlignment="1" applyProtection="1">
      <alignment horizontal="left" vertical="center" shrinkToFit="1"/>
    </xf>
    <xf numFmtId="0" fontId="6" fillId="0" borderId="1" xfId="0" applyFont="1" applyFill="1" applyBorder="1" applyAlignment="1">
      <alignment horizontal="center" vertical="center" shrinkToFit="1"/>
    </xf>
    <xf numFmtId="49" fontId="6" fillId="0" borderId="1" xfId="0" applyNumberFormat="1" applyFont="1" applyFill="1" applyBorder="1" applyAlignment="1">
      <alignment horizontal="center" vertical="center" shrinkToFit="1"/>
    </xf>
    <xf numFmtId="0" fontId="18" fillId="0" borderId="2" xfId="0" applyFont="1" applyFill="1" applyBorder="1" applyAlignment="1">
      <alignment horizontal="center" vertical="center" shrinkToFit="1"/>
    </xf>
    <xf numFmtId="0" fontId="6" fillId="0" borderId="2" xfId="0" applyFont="1" applyFill="1" applyBorder="1" applyAlignment="1">
      <alignment horizontal="center" vertical="center" shrinkToFit="1"/>
    </xf>
    <xf numFmtId="0" fontId="18" fillId="0" borderId="2" xfId="0" applyFont="1" applyFill="1" applyBorder="1" applyAlignment="1">
      <alignment vertical="center" shrinkToFit="1"/>
    </xf>
    <xf numFmtId="49" fontId="18" fillId="0" borderId="2" xfId="0" applyNumberFormat="1" applyFont="1" applyFill="1" applyBorder="1" applyAlignment="1">
      <alignment horizontal="center" vertical="center" shrinkToFit="1"/>
    </xf>
    <xf numFmtId="49" fontId="6" fillId="0" borderId="2" xfId="0" applyNumberFormat="1" applyFont="1" applyFill="1" applyBorder="1" applyAlignment="1">
      <alignment horizontal="center" vertical="center" shrinkToFit="1"/>
    </xf>
    <xf numFmtId="0" fontId="0" fillId="20" borderId="1" xfId="0" applyFill="1" applyBorder="1" applyAlignment="1">
      <alignment horizontal="left" vertical="center" shrinkToFit="1"/>
    </xf>
    <xf numFmtId="0" fontId="0" fillId="0" borderId="0" xfId="0" applyNumberFormat="1" applyAlignment="1">
      <alignment horizontal="center" vertical="center" shrinkToFit="1"/>
    </xf>
    <xf numFmtId="0" fontId="13" fillId="0" borderId="0" xfId="0" applyNumberFormat="1" applyFont="1" applyAlignment="1">
      <alignment vertical="center" shrinkToFit="1"/>
    </xf>
    <xf numFmtId="0" fontId="0" fillId="0" borderId="0" xfId="0" applyNumberFormat="1" applyAlignment="1" applyProtection="1">
      <alignment horizontal="center" vertical="center" shrinkToFit="1"/>
    </xf>
    <xf numFmtId="0" fontId="0" fillId="0" borderId="0" xfId="0" applyNumberFormat="1" applyAlignment="1" applyProtection="1">
      <alignment vertical="center" shrinkToFit="1"/>
    </xf>
    <xf numFmtId="0" fontId="10" fillId="19" borderId="1" xfId="1" applyNumberFormat="1" applyFont="1" applyFill="1" applyBorder="1" applyAlignment="1" applyProtection="1">
      <alignment horizontal="center" vertical="center" shrinkToFit="1"/>
    </xf>
    <xf numFmtId="0" fontId="0" fillId="19" borderId="1" xfId="0" applyNumberFormat="1" applyFill="1" applyBorder="1" applyAlignment="1">
      <alignment horizontal="center" vertical="center" shrinkToFit="1"/>
    </xf>
    <xf numFmtId="0" fontId="0" fillId="19" borderId="1" xfId="0" applyFill="1" applyBorder="1" applyAlignment="1">
      <alignment horizontal="center" vertical="center" shrinkToFit="1"/>
    </xf>
    <xf numFmtId="0" fontId="0" fillId="19" borderId="2" xfId="0" applyFill="1" applyBorder="1" applyAlignment="1">
      <alignment horizontal="center" vertical="center" shrinkToFit="1"/>
    </xf>
    <xf numFmtId="0" fontId="18" fillId="0" borderId="1" xfId="0" applyFont="1" applyFill="1" applyBorder="1" applyAlignment="1">
      <alignment horizontal="center" vertical="center" shrinkToFit="1"/>
    </xf>
    <xf numFmtId="0" fontId="6" fillId="0" borderId="5" xfId="0" applyFont="1" applyFill="1" applyBorder="1" applyAlignment="1">
      <alignment horizontal="center" vertical="center" shrinkToFit="1"/>
    </xf>
    <xf numFmtId="49" fontId="19" fillId="0" borderId="1" xfId="4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shrinkToFit="1"/>
    </xf>
    <xf numFmtId="176" fontId="13" fillId="21" borderId="10" xfId="0" applyNumberFormat="1" applyFont="1" applyFill="1" applyBorder="1" applyAlignment="1">
      <alignment horizontal="left" vertical="center"/>
    </xf>
    <xf numFmtId="176" fontId="13" fillId="21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0" fontId="0" fillId="6" borderId="1" xfId="0" applyFill="1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 shrinkToFit="1"/>
    </xf>
    <xf numFmtId="49" fontId="0" fillId="7" borderId="1" xfId="0" applyNumberFormat="1" applyFill="1" applyBorder="1" applyAlignment="1">
      <alignment horizontal="center" vertical="center" shrinkToFit="1"/>
    </xf>
    <xf numFmtId="0" fontId="13" fillId="22" borderId="9" xfId="0" applyFont="1" applyFill="1" applyBorder="1" applyAlignment="1">
      <alignment horizontal="right" vertical="center"/>
    </xf>
    <xf numFmtId="0" fontId="13" fillId="22" borderId="10" xfId="0" applyFont="1" applyFill="1" applyBorder="1" applyAlignment="1">
      <alignment horizontal="right" vertical="center"/>
    </xf>
    <xf numFmtId="176" fontId="13" fillId="22" borderId="10" xfId="0" applyNumberFormat="1" applyFont="1" applyFill="1" applyBorder="1" applyAlignment="1">
      <alignment vertical="center"/>
    </xf>
    <xf numFmtId="176" fontId="13" fillId="22" borderId="10" xfId="0" applyNumberFormat="1" applyFont="1" applyFill="1" applyBorder="1" applyAlignment="1">
      <alignment horizontal="left" vertical="center"/>
    </xf>
    <xf numFmtId="176" fontId="13" fillId="22" borderId="11" xfId="0" applyNumberFormat="1" applyFont="1" applyFill="1" applyBorder="1" applyAlignment="1">
      <alignment horizontal="left" vertical="center"/>
    </xf>
    <xf numFmtId="49" fontId="0" fillId="17" borderId="1" xfId="0" applyNumberFormat="1" applyFill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49" fontId="19" fillId="0" borderId="1" xfId="4" applyNumberFormat="1" applyFont="1" applyFill="1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23" fillId="23" borderId="0" xfId="0" applyFont="1" applyFill="1" applyAlignment="1" applyProtection="1">
      <alignment vertical="center" shrinkToFit="1"/>
    </xf>
    <xf numFmtId="0" fontId="24" fillId="23" borderId="0" xfId="0" applyFont="1" applyFill="1" applyAlignment="1" applyProtection="1">
      <alignment vertical="center" shrinkToFit="1"/>
    </xf>
    <xf numFmtId="0" fontId="22" fillId="0" borderId="0" xfId="0" applyFont="1" applyFill="1" applyAlignment="1" applyProtection="1">
      <alignment vertical="center" shrinkToFit="1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0" fontId="0" fillId="0" borderId="1" xfId="0" applyNumberFormat="1" applyBorder="1" applyAlignment="1">
      <alignment horizontal="center" vertical="center" shrinkToFit="1"/>
    </xf>
    <xf numFmtId="0" fontId="0" fillId="6" borderId="1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17" borderId="1" xfId="0" applyFill="1" applyBorder="1" applyAlignment="1">
      <alignment horizontal="center" vertical="center"/>
    </xf>
    <xf numFmtId="0" fontId="0" fillId="8" borderId="1" xfId="0" applyNumberFormat="1" applyFill="1" applyBorder="1" applyAlignment="1" applyProtection="1">
      <alignment horizontal="center" vertical="center" shrinkToFit="1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right" vertical="center"/>
    </xf>
    <xf numFmtId="0" fontId="0" fillId="11" borderId="7" xfId="0" applyFill="1" applyBorder="1" applyAlignment="1">
      <alignment horizontal="left" vertical="center"/>
    </xf>
    <xf numFmtId="0" fontId="0" fillId="11" borderId="7" xfId="0" applyFill="1" applyBorder="1" applyAlignment="1">
      <alignment horizontal="right" vertical="center"/>
    </xf>
    <xf numFmtId="0" fontId="0" fillId="11" borderId="8" xfId="0" applyFill="1" applyBorder="1" applyAlignment="1">
      <alignment horizontal="left" vertical="center"/>
    </xf>
    <xf numFmtId="0" fontId="0" fillId="17" borderId="1" xfId="0" applyNumberFormat="1" applyFill="1" applyBorder="1" applyAlignment="1">
      <alignment horizontal="center" vertical="center" shrinkToFit="1"/>
    </xf>
    <xf numFmtId="49" fontId="0" fillId="0" borderId="1" xfId="0" applyNumberFormat="1" applyBorder="1" applyAlignment="1" applyProtection="1">
      <alignment horizontal="center" vertical="center" shrinkToFit="1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shrinkToFit="1"/>
    </xf>
    <xf numFmtId="0" fontId="14" fillId="20" borderId="1" xfId="0" applyFont="1" applyFill="1" applyBorder="1" applyAlignment="1">
      <alignment horizontal="center" vertical="center" shrinkToFit="1"/>
    </xf>
    <xf numFmtId="0" fontId="17" fillId="0" borderId="2" xfId="0" applyFont="1" applyFill="1" applyBorder="1" applyAlignment="1">
      <alignment vertical="center" shrinkToFit="1"/>
    </xf>
    <xf numFmtId="49" fontId="17" fillId="0" borderId="2" xfId="0" applyNumberFormat="1" applyFont="1" applyFill="1" applyBorder="1" applyAlignment="1">
      <alignment horizontal="center" vertical="center" shrinkToFit="1"/>
    </xf>
    <xf numFmtId="0" fontId="0" fillId="0" borderId="1" xfId="0" applyFill="1" applyBorder="1" applyAlignment="1">
      <alignment horizontal="left" vertical="center" shrinkToFit="1"/>
    </xf>
    <xf numFmtId="0" fontId="0" fillId="0" borderId="2" xfId="0" applyFill="1" applyBorder="1" applyAlignment="1">
      <alignment vertical="center" shrinkToFit="1"/>
    </xf>
    <xf numFmtId="0" fontId="0" fillId="0" borderId="2" xfId="0" applyFill="1" applyBorder="1" applyAlignment="1">
      <alignment horizontal="center" vertical="center" shrinkToFit="1"/>
    </xf>
    <xf numFmtId="0" fontId="0" fillId="0" borderId="2" xfId="0" applyFill="1" applyBorder="1" applyAlignment="1">
      <alignment horizontal="left" vertical="center" shrinkToFit="1"/>
    </xf>
    <xf numFmtId="0" fontId="17" fillId="0" borderId="2" xfId="0" applyFont="1" applyFill="1" applyBorder="1" applyAlignment="1">
      <alignment horizontal="center" vertical="center" shrinkToFit="1"/>
    </xf>
    <xf numFmtId="177" fontId="17" fillId="0" borderId="2" xfId="0" quotePrefix="1" applyNumberFormat="1" applyFont="1" applyFill="1" applyBorder="1" applyAlignment="1">
      <alignment horizontal="center" vertical="center" shrinkToFit="1"/>
    </xf>
    <xf numFmtId="0" fontId="17" fillId="0" borderId="2" xfId="0" quotePrefix="1" applyFont="1" applyFill="1" applyBorder="1" applyAlignment="1">
      <alignment horizontal="center" vertical="center" shrinkToFit="1"/>
    </xf>
    <xf numFmtId="178" fontId="17" fillId="0" borderId="2" xfId="0" applyNumberFormat="1" applyFont="1" applyFill="1" applyBorder="1" applyAlignment="1">
      <alignment horizontal="center" vertical="center" shrinkToFit="1"/>
    </xf>
    <xf numFmtId="177" fontId="17" fillId="0" borderId="2" xfId="0" applyNumberFormat="1" applyFont="1" applyFill="1" applyBorder="1" applyAlignment="1">
      <alignment horizontal="center" vertical="center" shrinkToFit="1"/>
    </xf>
    <xf numFmtId="0" fontId="0" fillId="0" borderId="1" xfId="0" applyFill="1" applyBorder="1" applyAlignment="1">
      <alignment vertical="center" shrinkToFit="1"/>
    </xf>
    <xf numFmtId="0" fontId="17" fillId="0" borderId="1" xfId="0" applyFont="1" applyFill="1" applyBorder="1" applyAlignment="1">
      <alignment vertical="center" shrinkToFit="1"/>
    </xf>
    <xf numFmtId="0" fontId="17" fillId="0" borderId="1" xfId="0" applyFont="1" applyFill="1" applyBorder="1" applyAlignment="1">
      <alignment horizontal="center" vertical="center" shrinkToFit="1"/>
    </xf>
    <xf numFmtId="0" fontId="17" fillId="0" borderId="5" xfId="0" applyFont="1" applyFill="1" applyBorder="1" applyAlignment="1">
      <alignment vertical="center" shrinkToFit="1"/>
    </xf>
    <xf numFmtId="0" fontId="17" fillId="0" borderId="5" xfId="0" applyFont="1" applyFill="1" applyBorder="1" applyAlignment="1">
      <alignment horizontal="center" vertical="center" shrinkToFit="1"/>
    </xf>
    <xf numFmtId="0" fontId="0" fillId="0" borderId="1" xfId="0" quotePrefix="1" applyFill="1" applyBorder="1" applyAlignment="1">
      <alignment vertical="center" shrinkToFit="1"/>
    </xf>
    <xf numFmtId="0" fontId="17" fillId="0" borderId="1" xfId="0" quotePrefix="1" applyFont="1" applyFill="1" applyBorder="1" applyAlignment="1">
      <alignment horizontal="center" vertical="center" shrinkToFit="1"/>
    </xf>
    <xf numFmtId="0" fontId="0" fillId="0" borderId="8" xfId="0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1" borderId="1" xfId="0" applyFill="1" applyBorder="1" applyAlignment="1">
      <alignment horizontal="center" vertical="center" shrinkToFit="1"/>
    </xf>
    <xf numFmtId="0" fontId="14" fillId="21" borderId="1" xfId="0" applyFont="1" applyFill="1" applyBorder="1" applyAlignment="1">
      <alignment horizontal="center" vertical="center" shrinkToFit="1"/>
    </xf>
    <xf numFmtId="0" fontId="14" fillId="11" borderId="1" xfId="0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shrinkToFit="1"/>
    </xf>
    <xf numFmtId="0" fontId="0" fillId="8" borderId="2" xfId="0" applyNumberFormat="1" applyFill="1" applyBorder="1" applyAlignment="1" applyProtection="1">
      <alignment horizontal="center" vertical="center" shrinkToFit="1"/>
    </xf>
    <xf numFmtId="0" fontId="0" fillId="8" borderId="4" xfId="0" applyNumberFormat="1" applyFill="1" applyBorder="1" applyAlignment="1" applyProtection="1">
      <alignment horizontal="center" vertical="center" shrinkToFit="1"/>
    </xf>
    <xf numFmtId="0" fontId="0" fillId="13" borderId="18" xfId="0" applyFill="1" applyBorder="1" applyAlignment="1">
      <alignment horizontal="center" vertical="center"/>
    </xf>
    <xf numFmtId="0" fontId="0" fillId="13" borderId="19" xfId="0" applyFill="1" applyBorder="1" applyAlignment="1">
      <alignment horizontal="center" vertical="center"/>
    </xf>
    <xf numFmtId="0" fontId="0" fillId="14" borderId="18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2" xfId="0" applyNumberFormat="1" applyBorder="1" applyAlignment="1" applyProtection="1">
      <alignment horizontal="center" vertical="center" shrinkToFit="1"/>
    </xf>
    <xf numFmtId="0" fontId="0" fillId="0" borderId="4" xfId="0" applyNumberFormat="1" applyBorder="1" applyAlignment="1" applyProtection="1">
      <alignment horizontal="center" vertical="center" shrinkToFit="1"/>
    </xf>
    <xf numFmtId="0" fontId="9" fillId="7" borderId="1" xfId="0" applyFont="1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3" xfId="0" applyNumberFormat="1" applyFill="1" applyBorder="1" applyAlignment="1" applyProtection="1">
      <alignment horizontal="center" vertical="center"/>
    </xf>
    <xf numFmtId="0" fontId="0" fillId="3" borderId="7" xfId="0" applyNumberFormat="1" applyFill="1" applyBorder="1" applyAlignment="1" applyProtection="1">
      <alignment horizontal="center" vertical="center"/>
    </xf>
    <xf numFmtId="0" fontId="0" fillId="3" borderId="8" xfId="0" applyNumberFormat="1" applyFill="1" applyBorder="1" applyAlignment="1" applyProtection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0" fontId="0" fillId="8" borderId="3" xfId="0" applyNumberFormat="1" applyFill="1" applyBorder="1" applyAlignment="1" applyProtection="1">
      <alignment horizontal="center" vertical="center"/>
    </xf>
    <xf numFmtId="0" fontId="0" fillId="8" borderId="7" xfId="0" applyNumberFormat="1" applyFill="1" applyBorder="1" applyAlignment="1" applyProtection="1">
      <alignment horizontal="center" vertical="center"/>
    </xf>
    <xf numFmtId="0" fontId="0" fillId="8" borderId="8" xfId="0" applyNumberFormat="1" applyFill="1" applyBorder="1" applyAlignment="1" applyProtection="1">
      <alignment horizontal="center" vertical="center"/>
    </xf>
    <xf numFmtId="0" fontId="0" fillId="3" borderId="2" xfId="0" applyNumberFormat="1" applyFill="1" applyBorder="1" applyAlignment="1" applyProtection="1">
      <alignment horizontal="center" vertical="center" wrapText="1"/>
    </xf>
    <xf numFmtId="0" fontId="0" fillId="3" borderId="5" xfId="0" applyNumberFormat="1" applyFill="1" applyBorder="1" applyAlignment="1" applyProtection="1">
      <alignment horizontal="center" vertical="center" wrapText="1"/>
    </xf>
    <xf numFmtId="0" fontId="0" fillId="3" borderId="4" xfId="0" applyNumberFormat="1" applyFill="1" applyBorder="1" applyAlignment="1" applyProtection="1">
      <alignment horizontal="center" vertical="center" wrapText="1"/>
    </xf>
    <xf numFmtId="0" fontId="6" fillId="8" borderId="2" xfId="0" applyNumberFormat="1" applyFont="1" applyFill="1" applyBorder="1" applyAlignment="1" applyProtection="1">
      <alignment horizontal="center" vertical="center" wrapText="1"/>
    </xf>
    <xf numFmtId="0" fontId="6" fillId="8" borderId="5" xfId="0" applyNumberFormat="1" applyFont="1" applyFill="1" applyBorder="1" applyAlignment="1" applyProtection="1">
      <alignment horizontal="center" vertical="center" wrapText="1"/>
    </xf>
    <xf numFmtId="0" fontId="6" fillId="8" borderId="4" xfId="0" applyNumberFormat="1" applyFont="1" applyFill="1" applyBorder="1" applyAlignment="1" applyProtection="1">
      <alignment horizontal="center" vertical="center" wrapText="1"/>
    </xf>
    <xf numFmtId="0" fontId="0" fillId="17" borderId="2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shrinkToFit="1"/>
    </xf>
    <xf numFmtId="0" fontId="0" fillId="10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15" fillId="6" borderId="15" xfId="0" applyFont="1" applyFill="1" applyBorder="1" applyAlignment="1">
      <alignment horizontal="center" vertical="center"/>
    </xf>
    <xf numFmtId="0" fontId="15" fillId="6" borderId="16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15" fillId="6" borderId="17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0" fillId="18" borderId="15" xfId="0" applyFill="1" applyBorder="1" applyAlignment="1">
      <alignment horizontal="center" vertical="center"/>
    </xf>
    <xf numFmtId="0" fontId="0" fillId="18" borderId="17" xfId="0" applyFill="1" applyBorder="1" applyAlignment="1">
      <alignment horizontal="center" vertical="center"/>
    </xf>
    <xf numFmtId="0" fontId="0" fillId="18" borderId="18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8" borderId="3" xfId="0" applyFill="1" applyBorder="1" applyAlignment="1">
      <alignment horizontal="center" vertical="center" shrinkToFit="1"/>
    </xf>
    <xf numFmtId="0" fontId="0" fillId="8" borderId="7" xfId="0" applyFill="1" applyBorder="1" applyAlignment="1">
      <alignment horizontal="center" vertical="center" shrinkToFit="1"/>
    </xf>
    <xf numFmtId="0" fontId="0" fillId="8" borderId="8" xfId="0" applyFill="1" applyBorder="1" applyAlignment="1">
      <alignment horizontal="center" vertical="center" shrinkToFit="1"/>
    </xf>
    <xf numFmtId="0" fontId="6" fillId="8" borderId="2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shrinkToFit="1"/>
    </xf>
    <xf numFmtId="0" fontId="0" fillId="8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shrinkToFit="1"/>
    </xf>
    <xf numFmtId="0" fontId="0" fillId="17" borderId="4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0" fontId="0" fillId="0" borderId="1" xfId="0" applyNumberFormat="1" applyBorder="1" applyAlignment="1">
      <alignment horizontal="center" vertical="center" shrinkToFit="1"/>
    </xf>
    <xf numFmtId="0" fontId="0" fillId="14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 shrinkToFit="1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49" fontId="0" fillId="7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11" borderId="3" xfId="0" applyFill="1" applyBorder="1" applyAlignment="1">
      <alignment horizontal="right" vertical="center"/>
    </xf>
    <xf numFmtId="0" fontId="0" fillId="11" borderId="7" xfId="0" applyFill="1" applyBorder="1" applyAlignment="1">
      <alignment horizontal="right" vertical="center"/>
    </xf>
    <xf numFmtId="0" fontId="0" fillId="4" borderId="8" xfId="0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6" fillId="11" borderId="16" xfId="0" applyFont="1" applyFill="1" applyBorder="1" applyAlignment="1">
      <alignment horizontal="center" vertical="center"/>
    </xf>
    <xf numFmtId="0" fontId="16" fillId="11" borderId="12" xfId="0" applyFont="1" applyFill="1" applyBorder="1" applyAlignment="1">
      <alignment horizontal="center" vertical="center"/>
    </xf>
    <xf numFmtId="0" fontId="16" fillId="11" borderId="17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16" fillId="11" borderId="1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28" fillId="25" borderId="3" xfId="6" applyFont="1" applyBorder="1" applyAlignment="1">
      <alignment horizontal="center" vertical="center" shrinkToFit="1"/>
    </xf>
    <xf numFmtId="0" fontId="29" fillId="25" borderId="7" xfId="6" applyFont="1" applyBorder="1" applyAlignment="1">
      <alignment horizontal="center" vertical="center" shrinkToFit="1"/>
    </xf>
    <xf numFmtId="0" fontId="29" fillId="25" borderId="8" xfId="6" applyFont="1" applyBorder="1" applyAlignment="1">
      <alignment horizontal="center" vertical="center" shrinkToFit="1"/>
    </xf>
    <xf numFmtId="0" fontId="29" fillId="25" borderId="3" xfId="6" applyFont="1" applyBorder="1" applyAlignment="1">
      <alignment horizontal="center" vertical="center" shrinkToFit="1"/>
    </xf>
    <xf numFmtId="0" fontId="30" fillId="26" borderId="1" xfId="7" applyFont="1" applyBorder="1" applyAlignment="1">
      <alignment horizontal="center" vertical="center" shrinkToFit="1"/>
    </xf>
    <xf numFmtId="0" fontId="31" fillId="24" borderId="1" xfId="5" applyFont="1" applyBorder="1" applyAlignment="1">
      <alignment horizontal="center" vertical="center" shrinkToFit="1"/>
    </xf>
  </cellXfs>
  <cellStyles count="8">
    <cellStyle name="20% - 강조색4" xfId="1" builtinId="42"/>
    <cellStyle name="나쁨" xfId="6" builtinId="27"/>
    <cellStyle name="보통" xfId="7" builtinId="28"/>
    <cellStyle name="좋음" xfId="5" builtinId="26"/>
    <cellStyle name="표준" xfId="0" builtinId="0"/>
    <cellStyle name="표준 2" xfId="2"/>
    <cellStyle name="표준 3" xfId="3"/>
    <cellStyle name="표준 4" xfId="4"/>
  </cellStyles>
  <dxfs count="0"/>
  <tableStyles count="0" defaultTableStyle="TableStyleMedium9" defaultPivotStyle="PivotStyleLight16"/>
  <colors>
    <mruColors>
      <color rgb="FFFFCCCC"/>
      <color rgb="FFFF99CC"/>
      <color rgb="FFCCECFF"/>
      <color rgb="FF33CCCC"/>
      <color rgb="FFFFCC00"/>
      <color rgb="FFCCFCFC"/>
      <color rgb="FFFFFF66"/>
      <color rgb="FF00CC99"/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20" dropStyle="combo" dx="16" fmlaRange="'0.시간표데이터'!$BU$11:$BU$27" sel="1" val="0"/>
</file>

<file path=xl/ctrlProps/ctrlProp12.xml><?xml version="1.0" encoding="utf-8"?>
<formControlPr xmlns="http://schemas.microsoft.com/office/spreadsheetml/2009/9/main" objectType="Radio" checked="Checked" firstButton="1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Drop" dropLines="20" dropStyle="combo" dx="16" fmlaRange="'0.시간표데이터'!$BU$11:$BU$27" sel="1" val="0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0</xdr:colOff>
      <xdr:row>11</xdr:row>
      <xdr:rowOff>0</xdr:rowOff>
    </xdr:from>
    <xdr:to>
      <xdr:col>53</xdr:col>
      <xdr:colOff>228600</xdr:colOff>
      <xdr:row>22</xdr:row>
      <xdr:rowOff>9525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1422380" y="2034540"/>
          <a:ext cx="2545080" cy="2021205"/>
          <a:chOff x="12782550" y="2305050"/>
          <a:chExt cx="2819400" cy="1895475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12782550" y="2305050"/>
            <a:ext cx="2819400" cy="1895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800" b="1">
                <a:latin typeface="+mj-ea"/>
                <a:ea typeface="+mj-ea"/>
              </a:rPr>
              <a:t>PRODUCED</a:t>
            </a:r>
            <a:r>
              <a:rPr lang="en-US" altLang="ko-KR" sz="1800" b="1" baseline="0">
                <a:latin typeface="+mj-ea"/>
                <a:ea typeface="+mj-ea"/>
              </a:rPr>
              <a:t> BY</a:t>
            </a:r>
          </a:p>
          <a:p>
            <a:pPr algn="ctr"/>
            <a:endParaRPr lang="en-US" altLang="ko-KR" sz="1800" b="1" baseline="0">
              <a:latin typeface="+mj-ea"/>
              <a:ea typeface="+mj-ea"/>
            </a:endParaRPr>
          </a:p>
          <a:p>
            <a:pPr algn="ctr"/>
            <a:endParaRPr lang="en-US" altLang="ko-KR" sz="1800" b="1" baseline="0">
              <a:latin typeface="+mj-ea"/>
              <a:ea typeface="+mj-ea"/>
            </a:endParaRPr>
          </a:p>
          <a:p>
            <a:pPr algn="ctr"/>
            <a:endParaRPr lang="en-US" altLang="ko-KR" sz="1800" b="1" baseline="0">
              <a:latin typeface="+mj-ea"/>
              <a:ea typeface="+mj-ea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2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WWW.LUCKYTEMDOWN.COM</a:t>
            </a:r>
            <a:endParaRPr lang="ko-KR" altLang="ko-KR" sz="2000" b="1">
              <a:effectLst/>
            </a:endParaRPr>
          </a:p>
          <a:p>
            <a:pPr algn="ctr"/>
            <a:r>
              <a:rPr lang="en-US" altLang="ko-KR" sz="1800" b="1" baseline="0">
                <a:latin typeface="+mj-ea"/>
                <a:ea typeface="+mj-ea"/>
              </a:rPr>
              <a:t> </a:t>
            </a:r>
            <a:endParaRPr lang="ko-KR" altLang="en-US" sz="1800" b="1">
              <a:latin typeface="+mj-ea"/>
              <a:ea typeface="+mj-ea"/>
            </a:endParaRPr>
          </a:p>
        </xdr:txBody>
      </xdr:sp>
      <xdr:pic>
        <xdr:nvPicPr>
          <xdr:cNvPr id="7" name="그림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3551" y="2581275"/>
            <a:ext cx="2035114" cy="143083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0</xdr:rowOff>
    </xdr:from>
    <xdr:to>
      <xdr:col>14</xdr:col>
      <xdr:colOff>298549</xdr:colOff>
      <xdr:row>13</xdr:row>
      <xdr:rowOff>306228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0431780" y="3398520"/>
          <a:ext cx="908149" cy="306228"/>
          <a:chOff x="10827619" y="479542"/>
          <a:chExt cx="906547" cy="397767"/>
        </a:xfrm>
      </xdr:grpSpPr>
      <xdr:sp macro="" textlink="">
        <xdr:nvSpPr>
          <xdr:cNvPr id="383051" name="Button 75" hidden="1">
            <a:extLst>
              <a:ext uri="{63B3BB69-23CF-44E3-9099-C40C66FF867C}">
                <a14:compatExt xmlns:a14="http://schemas.microsoft.com/office/drawing/2010/main" spid="_x0000_s383051"/>
              </a:ext>
              <a:ext uri="{FF2B5EF4-FFF2-40B4-BE49-F238E27FC236}">
                <a16:creationId xmlns:a16="http://schemas.microsoft.com/office/drawing/2014/main" id="{00000000-0008-0000-0100-00004BD80500}"/>
              </a:ext>
            </a:extLst>
          </xdr:cNvPr>
          <xdr:cNvSpPr/>
        </xdr:nvSpPr>
        <xdr:spPr bwMode="auto">
          <a:xfrm>
            <a:off x="10834060" y="479542"/>
            <a:ext cx="900106" cy="180974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▲올리기</a:t>
            </a:r>
          </a:p>
        </xdr:txBody>
      </xdr:sp>
      <xdr:sp macro="" textlink="">
        <xdr:nvSpPr>
          <xdr:cNvPr id="383052" name="Button 76" hidden="1">
            <a:extLst>
              <a:ext uri="{63B3BB69-23CF-44E3-9099-C40C66FF867C}">
                <a14:compatExt xmlns:a14="http://schemas.microsoft.com/office/drawing/2010/main" spid="_x0000_s383052"/>
              </a:ext>
              <a:ext uri="{FF2B5EF4-FFF2-40B4-BE49-F238E27FC236}">
                <a16:creationId xmlns:a16="http://schemas.microsoft.com/office/drawing/2014/main" id="{00000000-0008-0000-0100-00004CD80500}"/>
              </a:ext>
            </a:extLst>
          </xdr:cNvPr>
          <xdr:cNvSpPr/>
        </xdr:nvSpPr>
        <xdr:spPr bwMode="auto">
          <a:xfrm>
            <a:off x="10827619" y="696335"/>
            <a:ext cx="900117" cy="180974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▼내리기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13</xdr:row>
          <xdr:rowOff>28575</xdr:rowOff>
        </xdr:from>
        <xdr:to>
          <xdr:col>12</xdr:col>
          <xdr:colOff>0</xdr:colOff>
          <xdr:row>13</xdr:row>
          <xdr:rowOff>314325</xdr:rowOff>
        </xdr:to>
        <xdr:sp macro="" textlink="">
          <xdr:nvSpPr>
            <xdr:cNvPr id="383060" name="Button 84" hidden="1">
              <a:extLst>
                <a:ext uri="{63B3BB69-23CF-44E3-9099-C40C66FF867C}">
                  <a14:compatExt spid="_x0000_s383060"/>
                </a:ext>
                <a:ext uri="{FF2B5EF4-FFF2-40B4-BE49-F238E27FC236}">
                  <a16:creationId xmlns:a16="http://schemas.microsoft.com/office/drawing/2014/main" id="{00000000-0008-0000-0100-00005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학습내용 연간진도표에 저장하기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566765</xdr:colOff>
      <xdr:row>2</xdr:row>
      <xdr:rowOff>99544</xdr:rowOff>
    </xdr:from>
    <xdr:to>
      <xdr:col>11</xdr:col>
      <xdr:colOff>3441710</xdr:colOff>
      <xdr:row>3</xdr:row>
      <xdr:rowOff>316949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5039705" y="632944"/>
          <a:ext cx="4703745" cy="560305"/>
          <a:chOff x="5076012" y="619498"/>
          <a:chExt cx="4703745" cy="558063"/>
        </a:xfrm>
      </xdr:grpSpPr>
      <xdr:sp macro="" textlink="">
        <xdr:nvSpPr>
          <xdr:cNvPr id="27" name="DropDownSS" hidden="1">
            <a:extLst>
              <a:ext uri="{63B3BB69-23CF-44E3-9099-C40C66FF867C}">
                <a14:compatExt xmlns:a14="http://schemas.microsoft.com/office/drawing/2010/main" spid="_x0000_s12354"/>
              </a:ex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6464746" y="619498"/>
            <a:ext cx="1338803" cy="181738"/>
          </a:xfrm>
          <a:prstGeom prst="rect">
            <a:avLst/>
          </a:prstGeom>
        </xdr:spPr>
      </xdr:sp>
      <xdr:sp macro="" textlink="">
        <xdr:nvSpPr>
          <xdr:cNvPr id="28" name="DropDownSS2" hidden="1">
            <a:extLst>
              <a:ext uri="{63B3BB69-23CF-44E3-9099-C40C66FF867C}">
                <a14:compatExt xmlns:a14="http://schemas.microsoft.com/office/drawing/2010/main" spid="_x0000_s12355"/>
              </a:ex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8420926" y="628464"/>
            <a:ext cx="1338804" cy="181738"/>
          </a:xfrm>
          <a:prstGeom prst="rect">
            <a:avLst/>
          </a:prstGeom>
        </xdr:spPr>
      </xdr:sp>
      <xdr:sp macro="" textlink="">
        <xdr:nvSpPr>
          <xdr:cNvPr id="29" name="dropdown" hidden="1">
            <a:extLst>
              <a:ext uri="{63B3BB69-23CF-44E3-9099-C40C66FF867C}">
                <a14:compatExt xmlns:a14="http://schemas.microsoft.com/office/drawing/2010/main" spid="_x0000_s12356"/>
              </a:ex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5076012" y="934250"/>
            <a:ext cx="1191120" cy="216589"/>
          </a:xfrm>
          <a:prstGeom prst="rect">
            <a:avLst/>
          </a:prstGeom>
        </xdr:spPr>
      </xdr:sp>
      <xdr:grpSp>
        <xdr:nvGrpSpPr>
          <xdr:cNvPr id="30" name="그룹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GrpSpPr/>
        </xdr:nvGrpSpPr>
        <xdr:grpSpPr>
          <a:xfrm>
            <a:off x="7548282" y="896470"/>
            <a:ext cx="2231475" cy="281091"/>
            <a:chOff x="7561649" y="887793"/>
            <a:chExt cx="2231475" cy="281091"/>
          </a:xfrm>
        </xdr:grpSpPr>
        <xdr:sp macro="" textlink="">
          <xdr:nvSpPr>
            <xdr:cNvPr id="31" name="Option Button 82" hidden="1">
              <a:extLst>
                <a:ext uri="{63B3BB69-23CF-44E3-9099-C40C66FF867C}">
                  <a14:compatExt xmlns:a14="http://schemas.microsoft.com/office/drawing/2010/main" spid="_x0000_s12370"/>
                </a:ex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/>
          </xdr:nvSpPr>
          <xdr:spPr>
            <a:xfrm>
              <a:off x="8335502" y="900355"/>
              <a:ext cx="656552" cy="255966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모아 보기</a:t>
              </a:r>
            </a:p>
          </xdr:txBody>
        </xdr:sp>
        <xdr:sp macro="" textlink="">
          <xdr:nvSpPr>
            <xdr:cNvPr id="32" name="Option Button 83" hidden="1">
              <a:extLst>
                <a:ext uri="{63B3BB69-23CF-44E3-9099-C40C66FF867C}">
                  <a14:compatExt xmlns:a14="http://schemas.microsoft.com/office/drawing/2010/main" spid="_x0000_s12371"/>
                </a:ex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/>
          </xdr:nvSpPr>
          <xdr:spPr>
            <a:xfrm>
              <a:off x="9096817" y="900355"/>
              <a:ext cx="696307" cy="255967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제외 보기</a:t>
              </a:r>
            </a:p>
          </xdr:txBody>
        </xdr:sp>
        <xdr:sp macro="" textlink="">
          <xdr:nvSpPr>
            <xdr:cNvPr id="33" name="Option Button 84" hidden="1">
              <a:extLst>
                <a:ext uri="{63B3BB69-23CF-44E3-9099-C40C66FF867C}">
                  <a14:compatExt xmlns:a14="http://schemas.microsoft.com/office/drawing/2010/main" spid="_x0000_s12372"/>
                </a:ex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/>
          </xdr:nvSpPr>
          <xdr:spPr>
            <a:xfrm>
              <a:off x="7561649" y="887793"/>
              <a:ext cx="669091" cy="281091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기본 보기</a:t>
              </a:r>
            </a:p>
          </xdr:txBody>
        </xdr:sp>
      </xdr:grpSp>
    </xdr:grpSp>
    <xdr:clientData/>
  </xdr:twoCellAnchor>
  <xdr:twoCellAnchor>
    <xdr:from>
      <xdr:col>10</xdr:col>
      <xdr:colOff>566765</xdr:colOff>
      <xdr:row>12</xdr:row>
      <xdr:rowOff>99544</xdr:rowOff>
    </xdr:from>
    <xdr:to>
      <xdr:col>11</xdr:col>
      <xdr:colOff>3441710</xdr:colOff>
      <xdr:row>13</xdr:row>
      <xdr:rowOff>316949</xdr:rowOff>
    </xdr:to>
    <xdr:grpSp>
      <xdr:nvGrpSpPr>
        <xdr:cNvPr id="36" name="그룹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5039705" y="3155164"/>
          <a:ext cx="4703745" cy="560305"/>
          <a:chOff x="5076012" y="619498"/>
          <a:chExt cx="4703745" cy="558063"/>
        </a:xfrm>
      </xdr:grpSpPr>
      <xdr:sp macro="" textlink="">
        <xdr:nvSpPr>
          <xdr:cNvPr id="37" name="DropDownSS" hidden="1">
            <a:extLst>
              <a:ext uri="{63B3BB69-23CF-44E3-9099-C40C66FF867C}">
                <a14:compatExt xmlns:a14="http://schemas.microsoft.com/office/drawing/2010/main" spid="_x0000_s12354"/>
              </a:ex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6464746" y="619498"/>
            <a:ext cx="1338803" cy="181738"/>
          </a:xfrm>
          <a:prstGeom prst="rect">
            <a:avLst/>
          </a:prstGeom>
        </xdr:spPr>
      </xdr:sp>
      <xdr:sp macro="" textlink="">
        <xdr:nvSpPr>
          <xdr:cNvPr id="38" name="DropDownSS2" hidden="1">
            <a:extLst>
              <a:ext uri="{63B3BB69-23CF-44E3-9099-C40C66FF867C}">
                <a14:compatExt xmlns:a14="http://schemas.microsoft.com/office/drawing/2010/main" spid="_x0000_s12355"/>
              </a:ex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8420926" y="628464"/>
            <a:ext cx="1338804" cy="181738"/>
          </a:xfrm>
          <a:prstGeom prst="rect">
            <a:avLst/>
          </a:prstGeom>
        </xdr:spPr>
      </xdr:sp>
      <xdr:sp macro="" textlink="">
        <xdr:nvSpPr>
          <xdr:cNvPr id="39" name="dropdown" hidden="1">
            <a:extLst>
              <a:ext uri="{63B3BB69-23CF-44E3-9099-C40C66FF867C}">
                <a14:compatExt xmlns:a14="http://schemas.microsoft.com/office/drawing/2010/main" spid="_x0000_s12356"/>
              </a:ex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5076012" y="934250"/>
            <a:ext cx="1191120" cy="216589"/>
          </a:xfrm>
          <a:prstGeom prst="rect">
            <a:avLst/>
          </a:prstGeom>
        </xdr:spPr>
      </xdr:sp>
      <xdr:grpSp>
        <xdr:nvGrpSpPr>
          <xdr:cNvPr id="40" name="그룹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GrpSpPr/>
        </xdr:nvGrpSpPr>
        <xdr:grpSpPr>
          <a:xfrm>
            <a:off x="7548282" y="896470"/>
            <a:ext cx="2231475" cy="281091"/>
            <a:chOff x="7561649" y="887793"/>
            <a:chExt cx="2231475" cy="281091"/>
          </a:xfrm>
        </xdr:grpSpPr>
        <xdr:sp macro="" textlink="">
          <xdr:nvSpPr>
            <xdr:cNvPr id="41" name="Option Button 82" hidden="1">
              <a:extLst>
                <a:ext uri="{63B3BB69-23CF-44E3-9099-C40C66FF867C}">
                  <a14:compatExt xmlns:a14="http://schemas.microsoft.com/office/drawing/2010/main" spid="_x0000_s12370"/>
                </a:ex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/>
          </xdr:nvSpPr>
          <xdr:spPr>
            <a:xfrm>
              <a:off x="8335502" y="900355"/>
              <a:ext cx="656552" cy="255966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모아 보기</a:t>
              </a:r>
            </a:p>
          </xdr:txBody>
        </xdr:sp>
        <xdr:sp macro="" textlink="">
          <xdr:nvSpPr>
            <xdr:cNvPr id="42" name="Option Button 83" hidden="1">
              <a:extLst>
                <a:ext uri="{63B3BB69-23CF-44E3-9099-C40C66FF867C}">
                  <a14:compatExt xmlns:a14="http://schemas.microsoft.com/office/drawing/2010/main" spid="_x0000_s12371"/>
                </a:ex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/>
          </xdr:nvSpPr>
          <xdr:spPr>
            <a:xfrm>
              <a:off x="9096817" y="900355"/>
              <a:ext cx="696307" cy="255967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제외 보기</a:t>
              </a:r>
            </a:p>
          </xdr:txBody>
        </xdr:sp>
        <xdr:sp macro="" textlink="">
          <xdr:nvSpPr>
            <xdr:cNvPr id="43" name="Option Button 84" hidden="1">
              <a:extLst>
                <a:ext uri="{63B3BB69-23CF-44E3-9099-C40C66FF867C}">
                  <a14:compatExt xmlns:a14="http://schemas.microsoft.com/office/drawing/2010/main" spid="_x0000_s12372"/>
                </a:ex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7561649" y="887793"/>
              <a:ext cx="669091" cy="281091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기본 보기</a:t>
              </a:r>
            </a:p>
          </xdr:txBody>
        </xdr:sp>
      </xdr:grpSp>
    </xdr:grp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298549</xdr:colOff>
      <xdr:row>3</xdr:row>
      <xdr:rowOff>306228</xdr:rowOff>
    </xdr:to>
    <xdr:grpSp>
      <xdr:nvGrpSpPr>
        <xdr:cNvPr id="46" name="그룹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10431780" y="876300"/>
          <a:ext cx="908149" cy="306228"/>
          <a:chOff x="10827621" y="479542"/>
          <a:chExt cx="906547" cy="397767"/>
        </a:xfrm>
      </xdr:grpSpPr>
      <xdr:sp macro="" textlink="">
        <xdr:nvSpPr>
          <xdr:cNvPr id="383065" name="Button 89" hidden="1">
            <a:extLst>
              <a:ext uri="{63B3BB69-23CF-44E3-9099-C40C66FF867C}">
                <a14:compatExt xmlns:a14="http://schemas.microsoft.com/office/drawing/2010/main" spid="_x0000_s383065"/>
              </a:ext>
              <a:ext uri="{FF2B5EF4-FFF2-40B4-BE49-F238E27FC236}">
                <a16:creationId xmlns:a16="http://schemas.microsoft.com/office/drawing/2014/main" id="{00000000-0008-0000-0100-000059D80500}"/>
              </a:ext>
            </a:extLst>
          </xdr:cNvPr>
          <xdr:cNvSpPr/>
        </xdr:nvSpPr>
        <xdr:spPr bwMode="auto">
          <a:xfrm>
            <a:off x="10834062" y="479542"/>
            <a:ext cx="900106" cy="180974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▲올리기</a:t>
            </a:r>
          </a:p>
        </xdr:txBody>
      </xdr:sp>
      <xdr:sp macro="" textlink="">
        <xdr:nvSpPr>
          <xdr:cNvPr id="383066" name="Button 90" hidden="1">
            <a:extLst>
              <a:ext uri="{63B3BB69-23CF-44E3-9099-C40C66FF867C}">
                <a14:compatExt xmlns:a14="http://schemas.microsoft.com/office/drawing/2010/main" spid="_x0000_s383066"/>
              </a:ext>
              <a:ext uri="{FF2B5EF4-FFF2-40B4-BE49-F238E27FC236}">
                <a16:creationId xmlns:a16="http://schemas.microsoft.com/office/drawing/2014/main" id="{00000000-0008-0000-0100-00005AD80500}"/>
              </a:ext>
            </a:extLst>
          </xdr:cNvPr>
          <xdr:cNvSpPr/>
        </xdr:nvSpPr>
        <xdr:spPr bwMode="auto">
          <a:xfrm>
            <a:off x="10827621" y="696335"/>
            <a:ext cx="900117" cy="180974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▼내리기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28575</xdr:rowOff>
        </xdr:from>
        <xdr:to>
          <xdr:col>12</xdr:col>
          <xdr:colOff>0</xdr:colOff>
          <xdr:row>3</xdr:row>
          <xdr:rowOff>314325</xdr:rowOff>
        </xdr:to>
        <xdr:sp macro="" textlink="">
          <xdr:nvSpPr>
            <xdr:cNvPr id="383103" name="Button 127" hidden="1">
              <a:extLst>
                <a:ext uri="{63B3BB69-23CF-44E3-9099-C40C66FF867C}">
                  <a14:compatExt spid="_x0000_s383103"/>
                </a:ext>
                <a:ext uri="{FF2B5EF4-FFF2-40B4-BE49-F238E27FC236}">
                  <a16:creationId xmlns:a16="http://schemas.microsoft.com/office/drawing/2014/main" id="{00000000-0008-0000-0100-00007F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학습내용 연간진도표에 저장하기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566765</xdr:colOff>
      <xdr:row>2</xdr:row>
      <xdr:rowOff>99544</xdr:rowOff>
    </xdr:from>
    <xdr:to>
      <xdr:col>11</xdr:col>
      <xdr:colOff>3441710</xdr:colOff>
      <xdr:row>3</xdr:row>
      <xdr:rowOff>316949</xdr:rowOff>
    </xdr:to>
    <xdr:grpSp>
      <xdr:nvGrpSpPr>
        <xdr:cNvPr id="50" name="그룹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5039705" y="632944"/>
          <a:ext cx="4703745" cy="560305"/>
          <a:chOff x="5076012" y="619498"/>
          <a:chExt cx="4703745" cy="558063"/>
        </a:xfrm>
      </xdr:grpSpPr>
      <xdr:sp macro="" textlink="">
        <xdr:nvSpPr>
          <xdr:cNvPr id="51" name="DropDownSS" hidden="1">
            <a:extLst>
              <a:ext uri="{63B3BB69-23CF-44E3-9099-C40C66FF867C}">
                <a14:compatExt xmlns:a14="http://schemas.microsoft.com/office/drawing/2010/main" spid="_x0000_s12354"/>
              </a:ex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6464746" y="619498"/>
            <a:ext cx="1338803" cy="181738"/>
          </a:xfrm>
          <a:prstGeom prst="rect">
            <a:avLst/>
          </a:prstGeom>
        </xdr:spPr>
      </xdr:sp>
      <xdr:sp macro="" textlink="">
        <xdr:nvSpPr>
          <xdr:cNvPr id="52" name="DropDownSS2" hidden="1">
            <a:extLst>
              <a:ext uri="{63B3BB69-23CF-44E3-9099-C40C66FF867C}">
                <a14:compatExt xmlns:a14="http://schemas.microsoft.com/office/drawing/2010/main" spid="_x0000_s12355"/>
              </a:ex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8420926" y="628464"/>
            <a:ext cx="1338804" cy="181738"/>
          </a:xfrm>
          <a:prstGeom prst="rect">
            <a:avLst/>
          </a:prstGeom>
        </xdr:spPr>
      </xdr:sp>
      <xdr:sp macro="" textlink="">
        <xdr:nvSpPr>
          <xdr:cNvPr id="53" name="dropdown" hidden="1">
            <a:extLst>
              <a:ext uri="{63B3BB69-23CF-44E3-9099-C40C66FF867C}">
                <a14:compatExt xmlns:a14="http://schemas.microsoft.com/office/drawing/2010/main" spid="_x0000_s12356"/>
              </a:ex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5076012" y="934250"/>
            <a:ext cx="1191120" cy="216589"/>
          </a:xfrm>
          <a:prstGeom prst="rect">
            <a:avLst/>
          </a:prstGeom>
        </xdr:spPr>
      </xdr:sp>
      <xdr:grpSp>
        <xdr:nvGrpSpPr>
          <xdr:cNvPr id="54" name="그룹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548282" y="896470"/>
            <a:ext cx="2231475" cy="281091"/>
            <a:chOff x="7561649" y="887793"/>
            <a:chExt cx="2231475" cy="281091"/>
          </a:xfrm>
        </xdr:grpSpPr>
        <xdr:sp macro="" textlink="">
          <xdr:nvSpPr>
            <xdr:cNvPr id="55" name="Option Button 82" hidden="1">
              <a:extLst>
                <a:ext uri="{63B3BB69-23CF-44E3-9099-C40C66FF867C}">
                  <a14:compatExt xmlns:a14="http://schemas.microsoft.com/office/drawing/2010/main" spid="_x0000_s12370"/>
                </a:ex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SpPr/>
          </xdr:nvSpPr>
          <xdr:spPr>
            <a:xfrm>
              <a:off x="8335502" y="900355"/>
              <a:ext cx="656552" cy="255966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모아 보기</a:t>
              </a:r>
            </a:p>
          </xdr:txBody>
        </xdr:sp>
        <xdr:sp macro="" textlink="">
          <xdr:nvSpPr>
            <xdr:cNvPr id="56" name="Option Button 83" hidden="1">
              <a:extLst>
                <a:ext uri="{63B3BB69-23CF-44E3-9099-C40C66FF867C}">
                  <a14:compatExt xmlns:a14="http://schemas.microsoft.com/office/drawing/2010/main" spid="_x0000_s12371"/>
                </a:ex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SpPr/>
          </xdr:nvSpPr>
          <xdr:spPr>
            <a:xfrm>
              <a:off x="9096817" y="900355"/>
              <a:ext cx="696307" cy="255967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제외 보기</a:t>
              </a:r>
            </a:p>
          </xdr:txBody>
        </xdr:sp>
        <xdr:sp macro="" textlink="">
          <xdr:nvSpPr>
            <xdr:cNvPr id="57" name="Option Button 84" hidden="1">
              <a:extLst>
                <a:ext uri="{63B3BB69-23CF-44E3-9099-C40C66FF867C}">
                  <a14:compatExt xmlns:a14="http://schemas.microsoft.com/office/drawing/2010/main" spid="_x0000_s12372"/>
                </a:ext>
                <a:ext uri="{FF2B5EF4-FFF2-40B4-BE49-F238E27FC236}">
                  <a16:creationId xmlns:a16="http://schemas.microsoft.com/office/drawing/2014/main" id="{00000000-0008-0000-0100-000039000000}"/>
                </a:ext>
              </a:extLst>
            </xdr:cNvPr>
            <xdr:cNvSpPr/>
          </xdr:nvSpPr>
          <xdr:spPr>
            <a:xfrm>
              <a:off x="7561649" y="887793"/>
              <a:ext cx="669091" cy="281091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기본 보기</a:t>
              </a:r>
            </a:p>
          </xdr:txBody>
        </xdr:sp>
      </xdr:grpSp>
    </xdr:grpSp>
    <xdr:clientData/>
  </xdr:twoCellAnchor>
  <xdr:twoCellAnchor>
    <xdr:from>
      <xdr:col>10</xdr:col>
      <xdr:colOff>571500</xdr:colOff>
      <xdr:row>12</xdr:row>
      <xdr:rowOff>95250</xdr:rowOff>
    </xdr:from>
    <xdr:to>
      <xdr:col>11</xdr:col>
      <xdr:colOff>3438525</xdr:colOff>
      <xdr:row>13</xdr:row>
      <xdr:rowOff>314325</xdr:rowOff>
    </xdr:to>
    <xdr:grpSp>
      <xdr:nvGrpSpPr>
        <xdr:cNvPr id="383113" name="그룹 35">
          <a:extLst>
            <a:ext uri="{FF2B5EF4-FFF2-40B4-BE49-F238E27FC236}">
              <a16:creationId xmlns:a16="http://schemas.microsoft.com/office/drawing/2014/main" id="{00000000-0008-0000-0100-000089D80500}"/>
            </a:ext>
          </a:extLst>
        </xdr:cNvPr>
        <xdr:cNvGrpSpPr>
          <a:grpSpLocks/>
        </xdr:cNvGrpSpPr>
      </xdr:nvGrpSpPr>
      <xdr:grpSpPr bwMode="auto">
        <a:xfrm>
          <a:off x="5044440" y="3150870"/>
          <a:ext cx="4695825" cy="561975"/>
          <a:chOff x="50760" y="6194"/>
          <a:chExt cx="47037" cy="5580"/>
        </a:xfrm>
      </xdr:grpSpPr>
      <xdr:pic>
        <xdr:nvPicPr>
          <xdr:cNvPr id="383114" name="Picture 138" hidden="1">
            <a:extLst>
              <a:ext uri="{FF2B5EF4-FFF2-40B4-BE49-F238E27FC236}">
                <a16:creationId xmlns:a16="http://schemas.microsoft.com/office/drawing/2014/main" id="{00000000-0008-0000-0100-00008A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176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15" name="Picture 139" hidden="1">
            <a:extLst>
              <a:ext uri="{FF2B5EF4-FFF2-40B4-BE49-F238E27FC236}">
                <a16:creationId xmlns:a16="http://schemas.microsoft.com/office/drawing/2014/main" id="{00000000-0008-0000-0100-00008B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97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16" name="dropdown" hidden="1">
            <a:extLst>
              <a:ext uri="{FF2B5EF4-FFF2-40B4-BE49-F238E27FC236}">
                <a16:creationId xmlns:a16="http://schemas.microsoft.com/office/drawing/2014/main" id="{00000000-0008-0000-0100-00008C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69"/>
            <a:ext cx="11907" cy="21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117" name="그룹 39">
            <a:extLst>
              <a:ext uri="{FF2B5EF4-FFF2-40B4-BE49-F238E27FC236}">
                <a16:creationId xmlns:a16="http://schemas.microsoft.com/office/drawing/2014/main" id="{00000000-0008-0000-0100-00008D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118" name="Option Button 82" hidden="1">
              <a:extLst>
                <a:ext uri="{FF2B5EF4-FFF2-40B4-BE49-F238E27FC236}">
                  <a16:creationId xmlns:a16="http://schemas.microsoft.com/office/drawing/2014/main" id="{00000000-0008-0000-0100-00008E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81"/>
              <a:ext cx="7319" cy="259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19" name="Option Button 83" hidden="1">
              <a:extLst>
                <a:ext uri="{FF2B5EF4-FFF2-40B4-BE49-F238E27FC236}">
                  <a16:creationId xmlns:a16="http://schemas.microsoft.com/office/drawing/2014/main" id="{00000000-0008-0000-0100-00008F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81"/>
              <a:ext cx="7725" cy="259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20" name="Option Button 84" hidden="1">
              <a:extLst>
                <a:ext uri="{FF2B5EF4-FFF2-40B4-BE49-F238E27FC236}">
                  <a16:creationId xmlns:a16="http://schemas.microsoft.com/office/drawing/2014/main" id="{00000000-0008-0000-0100-000090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60"/>
              <a:ext cx="7435" cy="283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295275</xdr:colOff>
      <xdr:row>13</xdr:row>
      <xdr:rowOff>304800</xdr:rowOff>
    </xdr:to>
    <xdr:grpSp>
      <xdr:nvGrpSpPr>
        <xdr:cNvPr id="383121" name="Group 145">
          <a:extLst>
            <a:ext uri="{FF2B5EF4-FFF2-40B4-BE49-F238E27FC236}">
              <a16:creationId xmlns:a16="http://schemas.microsoft.com/office/drawing/2014/main" id="{00000000-0008-0000-0100-000091D80500}"/>
            </a:ext>
          </a:extLst>
        </xdr:cNvPr>
        <xdr:cNvGrpSpPr>
          <a:grpSpLocks/>
        </xdr:cNvGrpSpPr>
      </xdr:nvGrpSpPr>
      <xdr:grpSpPr bwMode="auto">
        <a:xfrm>
          <a:off x="10431780" y="3398520"/>
          <a:ext cx="904875" cy="304800"/>
          <a:chOff x="108276" y="4795"/>
          <a:chExt cx="9065" cy="3978"/>
        </a:xfrm>
      </xdr:grpSpPr>
      <xdr:sp macro="" textlink="">
        <xdr:nvSpPr>
          <xdr:cNvPr id="2" name="Button 75" hidden="1">
            <a:extLst>
              <a:ext uri="{63B3BB69-23CF-44E3-9099-C40C66FF867C}">
                <a14:compatExt xmlns:a14="http://schemas.microsoft.com/office/drawing/2010/main" spid="_x0000_s383051"/>
              </a:ex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 bwMode="auto">
          <a:xfrm>
            <a:off x="108340" y="4795"/>
            <a:ext cx="9001" cy="181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▲올리기</a:t>
            </a:r>
          </a:p>
        </xdr:txBody>
      </xdr:sp>
      <xdr:sp macro="" textlink="">
        <xdr:nvSpPr>
          <xdr:cNvPr id="3" name="Button 76" hidden="1">
            <a:extLst>
              <a:ext uri="{63B3BB69-23CF-44E3-9099-C40C66FF867C}">
                <a14:compatExt xmlns:a14="http://schemas.microsoft.com/office/drawing/2010/main" spid="_x0000_s383052"/>
              </a:ex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 bwMode="auto">
          <a:xfrm>
            <a:off x="108276" y="6963"/>
            <a:ext cx="9001" cy="181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▼내리기</a:t>
            </a:r>
          </a:p>
        </xdr:txBody>
      </xdr:sp>
    </xdr:grpSp>
    <xdr:clientData/>
  </xdr:twoCellAnchor>
  <xdr:twoCellAnchor>
    <xdr:from>
      <xdr:col>10</xdr:col>
      <xdr:colOff>571500</xdr:colOff>
      <xdr:row>12</xdr:row>
      <xdr:rowOff>95250</xdr:rowOff>
    </xdr:from>
    <xdr:to>
      <xdr:col>11</xdr:col>
      <xdr:colOff>3438525</xdr:colOff>
      <xdr:row>13</xdr:row>
      <xdr:rowOff>314325</xdr:rowOff>
    </xdr:to>
    <xdr:grpSp>
      <xdr:nvGrpSpPr>
        <xdr:cNvPr id="383122" name="Group 146">
          <a:extLst>
            <a:ext uri="{FF2B5EF4-FFF2-40B4-BE49-F238E27FC236}">
              <a16:creationId xmlns:a16="http://schemas.microsoft.com/office/drawing/2014/main" id="{00000000-0008-0000-0100-000092D80500}"/>
            </a:ext>
          </a:extLst>
        </xdr:cNvPr>
        <xdr:cNvGrpSpPr>
          <a:grpSpLocks/>
        </xdr:cNvGrpSpPr>
      </xdr:nvGrpSpPr>
      <xdr:grpSpPr bwMode="auto">
        <a:xfrm>
          <a:off x="5044440" y="3150870"/>
          <a:ext cx="4695825" cy="561975"/>
          <a:chOff x="50760" y="6194"/>
          <a:chExt cx="47037" cy="5580"/>
        </a:xfrm>
      </xdr:grpSpPr>
      <xdr:pic>
        <xdr:nvPicPr>
          <xdr:cNvPr id="383123" name="Picture 147" hidden="1">
            <a:extLst>
              <a:ext uri="{FF2B5EF4-FFF2-40B4-BE49-F238E27FC236}">
                <a16:creationId xmlns:a16="http://schemas.microsoft.com/office/drawing/2014/main" id="{00000000-0008-0000-0100-000093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176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24" name="Picture 148" hidden="1">
            <a:extLst>
              <a:ext uri="{FF2B5EF4-FFF2-40B4-BE49-F238E27FC236}">
                <a16:creationId xmlns:a16="http://schemas.microsoft.com/office/drawing/2014/main" id="{00000000-0008-0000-0100-000094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97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25" name="dropdown" hidden="1">
            <a:extLst>
              <a:ext uri="{FF2B5EF4-FFF2-40B4-BE49-F238E27FC236}">
                <a16:creationId xmlns:a16="http://schemas.microsoft.com/office/drawing/2014/main" id="{00000000-0008-0000-0100-000095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69"/>
            <a:ext cx="11907" cy="21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126" name="그룹 39">
            <a:extLst>
              <a:ext uri="{FF2B5EF4-FFF2-40B4-BE49-F238E27FC236}">
                <a16:creationId xmlns:a16="http://schemas.microsoft.com/office/drawing/2014/main" id="{00000000-0008-0000-0100-000096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127" name="Option Button 82" hidden="1">
              <a:extLst>
                <a:ext uri="{FF2B5EF4-FFF2-40B4-BE49-F238E27FC236}">
                  <a16:creationId xmlns:a16="http://schemas.microsoft.com/office/drawing/2014/main" id="{00000000-0008-0000-0100-000097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81"/>
              <a:ext cx="7319" cy="259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28" name="Option Button 83" hidden="1">
              <a:extLst>
                <a:ext uri="{FF2B5EF4-FFF2-40B4-BE49-F238E27FC236}">
                  <a16:creationId xmlns:a16="http://schemas.microsoft.com/office/drawing/2014/main" id="{00000000-0008-0000-0100-000098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81"/>
              <a:ext cx="7725" cy="259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29" name="Option Button 84" hidden="1">
              <a:extLst>
                <a:ext uri="{FF2B5EF4-FFF2-40B4-BE49-F238E27FC236}">
                  <a16:creationId xmlns:a16="http://schemas.microsoft.com/office/drawing/2014/main" id="{00000000-0008-0000-0100-000099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60"/>
              <a:ext cx="7435" cy="283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566765</xdr:colOff>
      <xdr:row>2</xdr:row>
      <xdr:rowOff>99544</xdr:rowOff>
    </xdr:from>
    <xdr:to>
      <xdr:col>11</xdr:col>
      <xdr:colOff>3441710</xdr:colOff>
      <xdr:row>3</xdr:row>
      <xdr:rowOff>316949</xdr:rowOff>
    </xdr:to>
    <xdr:grpSp>
      <xdr:nvGrpSpPr>
        <xdr:cNvPr id="74" name="그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GrpSpPr/>
      </xdr:nvGrpSpPr>
      <xdr:grpSpPr>
        <a:xfrm>
          <a:off x="5039705" y="632944"/>
          <a:ext cx="4703745" cy="560305"/>
          <a:chOff x="5076012" y="619498"/>
          <a:chExt cx="4703745" cy="558063"/>
        </a:xfrm>
      </xdr:grpSpPr>
      <xdr:sp macro="" textlink="">
        <xdr:nvSpPr>
          <xdr:cNvPr id="75" name="DropDownSS" hidden="1">
            <a:extLst>
              <a:ext uri="{63B3BB69-23CF-44E3-9099-C40C66FF867C}">
                <a14:compatExt xmlns:a14="http://schemas.microsoft.com/office/drawing/2010/main" spid="_x0000_s12354"/>
              </a:ex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6464746" y="619498"/>
            <a:ext cx="1338803" cy="181738"/>
          </a:xfrm>
          <a:prstGeom prst="rect">
            <a:avLst/>
          </a:prstGeom>
        </xdr:spPr>
      </xdr:sp>
      <xdr:sp macro="" textlink="">
        <xdr:nvSpPr>
          <xdr:cNvPr id="76" name="DropDownSS2" hidden="1">
            <a:extLst>
              <a:ext uri="{63B3BB69-23CF-44E3-9099-C40C66FF867C}">
                <a14:compatExt xmlns:a14="http://schemas.microsoft.com/office/drawing/2010/main" spid="_x0000_s12355"/>
              </a:ex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8420926" y="628464"/>
            <a:ext cx="1338804" cy="181738"/>
          </a:xfrm>
          <a:prstGeom prst="rect">
            <a:avLst/>
          </a:prstGeom>
        </xdr:spPr>
      </xdr:sp>
      <xdr:sp macro="" textlink="">
        <xdr:nvSpPr>
          <xdr:cNvPr id="77" name="dropdown" hidden="1">
            <a:extLst>
              <a:ext uri="{63B3BB69-23CF-44E3-9099-C40C66FF867C}">
                <a14:compatExt xmlns:a14="http://schemas.microsoft.com/office/drawing/2010/main" spid="_x0000_s12356"/>
              </a:ex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>
            <a:off x="5076012" y="934250"/>
            <a:ext cx="1191120" cy="216589"/>
          </a:xfrm>
          <a:prstGeom prst="rect">
            <a:avLst/>
          </a:prstGeom>
        </xdr:spPr>
      </xdr:sp>
      <xdr:grpSp>
        <xdr:nvGrpSpPr>
          <xdr:cNvPr id="78" name="그룹 77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GrpSpPr/>
        </xdr:nvGrpSpPr>
        <xdr:grpSpPr>
          <a:xfrm>
            <a:off x="7548282" y="896470"/>
            <a:ext cx="2231475" cy="281091"/>
            <a:chOff x="7561649" y="887793"/>
            <a:chExt cx="2231475" cy="281091"/>
          </a:xfrm>
        </xdr:grpSpPr>
        <xdr:sp macro="" textlink="">
          <xdr:nvSpPr>
            <xdr:cNvPr id="79" name="Option Button 82" hidden="1">
              <a:extLst>
                <a:ext uri="{63B3BB69-23CF-44E3-9099-C40C66FF867C}">
                  <a14:compatExt xmlns:a14="http://schemas.microsoft.com/office/drawing/2010/main" spid="_x0000_s12370"/>
                </a:ext>
                <a:ext uri="{FF2B5EF4-FFF2-40B4-BE49-F238E27FC236}">
                  <a16:creationId xmlns:a16="http://schemas.microsoft.com/office/drawing/2014/main" id="{00000000-0008-0000-0100-00004F000000}"/>
                </a:ext>
              </a:extLst>
            </xdr:cNvPr>
            <xdr:cNvSpPr/>
          </xdr:nvSpPr>
          <xdr:spPr>
            <a:xfrm>
              <a:off x="8335502" y="900355"/>
              <a:ext cx="656552" cy="255966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모아 보기</a:t>
              </a:r>
            </a:p>
          </xdr:txBody>
        </xdr:sp>
        <xdr:sp macro="" textlink="">
          <xdr:nvSpPr>
            <xdr:cNvPr id="80" name="Option Button 83" hidden="1">
              <a:extLst>
                <a:ext uri="{63B3BB69-23CF-44E3-9099-C40C66FF867C}">
                  <a14:compatExt xmlns:a14="http://schemas.microsoft.com/office/drawing/2010/main" spid="_x0000_s12371"/>
                </a:ext>
                <a:ext uri="{FF2B5EF4-FFF2-40B4-BE49-F238E27FC236}">
                  <a16:creationId xmlns:a16="http://schemas.microsoft.com/office/drawing/2014/main" id="{00000000-0008-0000-0100-000050000000}"/>
                </a:ext>
              </a:extLst>
            </xdr:cNvPr>
            <xdr:cNvSpPr/>
          </xdr:nvSpPr>
          <xdr:spPr>
            <a:xfrm>
              <a:off x="9096817" y="900355"/>
              <a:ext cx="696307" cy="255967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제외 보기</a:t>
              </a:r>
            </a:p>
          </xdr:txBody>
        </xdr:sp>
        <xdr:sp macro="" textlink="">
          <xdr:nvSpPr>
            <xdr:cNvPr id="81" name="Option Button 84" hidden="1">
              <a:extLst>
                <a:ext uri="{63B3BB69-23CF-44E3-9099-C40C66FF867C}">
                  <a14:compatExt xmlns:a14="http://schemas.microsoft.com/office/drawing/2010/main" spid="_x0000_s12372"/>
                </a:ext>
                <a:ext uri="{FF2B5EF4-FFF2-40B4-BE49-F238E27FC236}">
                  <a16:creationId xmlns:a16="http://schemas.microsoft.com/office/drawing/2014/main" id="{00000000-0008-0000-0100-000051000000}"/>
                </a:ext>
              </a:extLst>
            </xdr:cNvPr>
            <xdr:cNvSpPr/>
          </xdr:nvSpPr>
          <xdr:spPr>
            <a:xfrm>
              <a:off x="7561649" y="887793"/>
              <a:ext cx="669091" cy="281091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기본 보기</a:t>
              </a:r>
            </a:p>
          </xdr:txBody>
        </xdr:sp>
      </xdr:grpSp>
    </xdr:grpSp>
    <xdr:clientData/>
  </xdr:twoCellAnchor>
  <xdr:twoCellAnchor>
    <xdr:from>
      <xdr:col>10</xdr:col>
      <xdr:colOff>566765</xdr:colOff>
      <xdr:row>12</xdr:row>
      <xdr:rowOff>99544</xdr:rowOff>
    </xdr:from>
    <xdr:to>
      <xdr:col>11</xdr:col>
      <xdr:colOff>3441710</xdr:colOff>
      <xdr:row>13</xdr:row>
      <xdr:rowOff>316949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GrpSpPr/>
      </xdr:nvGrpSpPr>
      <xdr:grpSpPr>
        <a:xfrm>
          <a:off x="5039705" y="3155164"/>
          <a:ext cx="4703745" cy="560305"/>
          <a:chOff x="5076012" y="619498"/>
          <a:chExt cx="4703745" cy="558063"/>
        </a:xfrm>
      </xdr:grpSpPr>
      <xdr:sp macro="" textlink="">
        <xdr:nvSpPr>
          <xdr:cNvPr id="84" name="DropDownSS" hidden="1">
            <a:extLst>
              <a:ext uri="{63B3BB69-23CF-44E3-9099-C40C66FF867C}">
                <a14:compatExt xmlns:a14="http://schemas.microsoft.com/office/drawing/2010/main" spid="_x0000_s12354"/>
              </a:ex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SpPr/>
        </xdr:nvSpPr>
        <xdr:spPr>
          <a:xfrm>
            <a:off x="6464746" y="619498"/>
            <a:ext cx="1338803" cy="181738"/>
          </a:xfrm>
          <a:prstGeom prst="rect">
            <a:avLst/>
          </a:prstGeom>
        </xdr:spPr>
      </xdr:sp>
      <xdr:sp macro="" textlink="">
        <xdr:nvSpPr>
          <xdr:cNvPr id="85" name="DropDownSS2" hidden="1">
            <a:extLst>
              <a:ext uri="{63B3BB69-23CF-44E3-9099-C40C66FF867C}">
                <a14:compatExt xmlns:a14="http://schemas.microsoft.com/office/drawing/2010/main" spid="_x0000_s12355"/>
              </a:ext>
              <a:ext uri="{FF2B5EF4-FFF2-40B4-BE49-F238E27FC236}">
                <a16:creationId xmlns:a16="http://schemas.microsoft.com/office/drawing/2014/main" id="{00000000-0008-0000-0100-000055000000}"/>
              </a:ext>
            </a:extLst>
          </xdr:cNvPr>
          <xdr:cNvSpPr/>
        </xdr:nvSpPr>
        <xdr:spPr>
          <a:xfrm>
            <a:off x="8420926" y="628464"/>
            <a:ext cx="1338804" cy="181738"/>
          </a:xfrm>
          <a:prstGeom prst="rect">
            <a:avLst/>
          </a:prstGeom>
        </xdr:spPr>
      </xdr:sp>
      <xdr:sp macro="" textlink="">
        <xdr:nvSpPr>
          <xdr:cNvPr id="86" name="dropdown" hidden="1">
            <a:extLst>
              <a:ext uri="{63B3BB69-23CF-44E3-9099-C40C66FF867C}">
                <a14:compatExt xmlns:a14="http://schemas.microsoft.com/office/drawing/2010/main" spid="_x0000_s12356"/>
              </a:ex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5076012" y="934250"/>
            <a:ext cx="1191120" cy="216589"/>
          </a:xfrm>
          <a:prstGeom prst="rect">
            <a:avLst/>
          </a:prstGeom>
        </xdr:spPr>
      </xdr:sp>
      <xdr:grpSp>
        <xdr:nvGrpSpPr>
          <xdr:cNvPr id="87" name="그룹 86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GrpSpPr/>
        </xdr:nvGrpSpPr>
        <xdr:grpSpPr>
          <a:xfrm>
            <a:off x="7548282" y="896470"/>
            <a:ext cx="2231475" cy="281091"/>
            <a:chOff x="7561649" y="887793"/>
            <a:chExt cx="2231475" cy="281091"/>
          </a:xfrm>
        </xdr:grpSpPr>
        <xdr:sp macro="" textlink="">
          <xdr:nvSpPr>
            <xdr:cNvPr id="88" name="Option Button 82" hidden="1">
              <a:extLst>
                <a:ext uri="{63B3BB69-23CF-44E3-9099-C40C66FF867C}">
                  <a14:compatExt xmlns:a14="http://schemas.microsoft.com/office/drawing/2010/main" spid="_x0000_s12370"/>
                </a:ex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SpPr/>
          </xdr:nvSpPr>
          <xdr:spPr>
            <a:xfrm>
              <a:off x="8335502" y="900355"/>
              <a:ext cx="656552" cy="255966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모아 보기</a:t>
              </a:r>
            </a:p>
          </xdr:txBody>
        </xdr:sp>
        <xdr:sp macro="" textlink="">
          <xdr:nvSpPr>
            <xdr:cNvPr id="89" name="Option Button 83" hidden="1">
              <a:extLst>
                <a:ext uri="{63B3BB69-23CF-44E3-9099-C40C66FF867C}">
                  <a14:compatExt xmlns:a14="http://schemas.microsoft.com/office/drawing/2010/main" spid="_x0000_s12371"/>
                </a:ext>
                <a:ext uri="{FF2B5EF4-FFF2-40B4-BE49-F238E27FC236}">
                  <a16:creationId xmlns:a16="http://schemas.microsoft.com/office/drawing/2014/main" id="{00000000-0008-0000-0100-000059000000}"/>
                </a:ext>
              </a:extLst>
            </xdr:cNvPr>
            <xdr:cNvSpPr/>
          </xdr:nvSpPr>
          <xdr:spPr>
            <a:xfrm>
              <a:off x="9096817" y="900355"/>
              <a:ext cx="696307" cy="255967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제외 보기</a:t>
              </a:r>
            </a:p>
          </xdr:txBody>
        </xdr:sp>
        <xdr:sp macro="" textlink="">
          <xdr:nvSpPr>
            <xdr:cNvPr id="90" name="Option Button 84" hidden="1">
              <a:extLst>
                <a:ext uri="{63B3BB69-23CF-44E3-9099-C40C66FF867C}">
                  <a14:compatExt xmlns:a14="http://schemas.microsoft.com/office/drawing/2010/main" spid="_x0000_s12372"/>
                </a:ext>
                <a:ext uri="{FF2B5EF4-FFF2-40B4-BE49-F238E27FC236}">
                  <a16:creationId xmlns:a16="http://schemas.microsoft.com/office/drawing/2014/main" id="{00000000-0008-0000-0100-00005A000000}"/>
                </a:ext>
              </a:extLst>
            </xdr:cNvPr>
            <xdr:cNvSpPr/>
          </xdr:nvSpPr>
          <xdr:spPr>
            <a:xfrm>
              <a:off x="7561649" y="887793"/>
              <a:ext cx="669091" cy="281091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기본 보기</a:t>
              </a:r>
            </a:p>
          </xdr:txBody>
        </xdr:sp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4" name="그룹 49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5" name="Picture 147" hidden="1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" name="Picture 148" hidden="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dropdown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8" name="그룹 53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9" name="Option Button 82" hidden="1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1" name="Option Button 83" hidden="1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2" name="Option Button 84" hidden="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13" name="그룹 7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14" name="Picture 140" hidden="1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Picture 141" hidden="1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6" name="dropdown" hidden="1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7" name="그룹 77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18" name="Option Button 82" hidden="1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9" name="Option Button 83" hidden="1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20" name="Option Button 84" hidden="1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132" name="Group 156">
          <a:extLst>
            <a:ext uri="{FF2B5EF4-FFF2-40B4-BE49-F238E27FC236}">
              <a16:creationId xmlns:a16="http://schemas.microsoft.com/office/drawing/2014/main" id="{00000000-0008-0000-0100-00009C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141" name="Picture 165" hidden="1">
            <a:extLst>
              <a:ext uri="{FF2B5EF4-FFF2-40B4-BE49-F238E27FC236}">
                <a16:creationId xmlns:a16="http://schemas.microsoft.com/office/drawing/2014/main" id="{00000000-0008-0000-0100-0000A5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42" name="Picture 166" hidden="1">
            <a:extLst>
              <a:ext uri="{FF2B5EF4-FFF2-40B4-BE49-F238E27FC236}">
                <a16:creationId xmlns:a16="http://schemas.microsoft.com/office/drawing/2014/main" id="{00000000-0008-0000-0100-0000A6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43" name="dropdown" hidden="1">
            <a:extLst>
              <a:ext uri="{FF2B5EF4-FFF2-40B4-BE49-F238E27FC236}">
                <a16:creationId xmlns:a16="http://schemas.microsoft.com/office/drawing/2014/main" id="{00000000-0008-0000-0100-0000A7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144" name="그룹 53">
            <a:extLst>
              <a:ext uri="{FF2B5EF4-FFF2-40B4-BE49-F238E27FC236}">
                <a16:creationId xmlns:a16="http://schemas.microsoft.com/office/drawing/2014/main" id="{00000000-0008-0000-0100-0000A8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145" name="Option Button 82" hidden="1">
              <a:extLst>
                <a:ext uri="{FF2B5EF4-FFF2-40B4-BE49-F238E27FC236}">
                  <a16:creationId xmlns:a16="http://schemas.microsoft.com/office/drawing/2014/main" id="{00000000-0008-0000-0100-0000A9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46" name="Option Button 83" hidden="1">
              <a:extLst>
                <a:ext uri="{FF2B5EF4-FFF2-40B4-BE49-F238E27FC236}">
                  <a16:creationId xmlns:a16="http://schemas.microsoft.com/office/drawing/2014/main" id="{00000000-0008-0000-0100-0000AA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47" name="Option Button 84" hidden="1">
              <a:extLst>
                <a:ext uri="{FF2B5EF4-FFF2-40B4-BE49-F238E27FC236}">
                  <a16:creationId xmlns:a16="http://schemas.microsoft.com/office/drawing/2014/main" id="{00000000-0008-0000-0100-0000AB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133" name="Group 157">
          <a:extLst>
            <a:ext uri="{FF2B5EF4-FFF2-40B4-BE49-F238E27FC236}">
              <a16:creationId xmlns:a16="http://schemas.microsoft.com/office/drawing/2014/main" id="{00000000-0008-0000-0100-00009D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134" name="Picture 158" hidden="1">
            <a:extLst>
              <a:ext uri="{FF2B5EF4-FFF2-40B4-BE49-F238E27FC236}">
                <a16:creationId xmlns:a16="http://schemas.microsoft.com/office/drawing/2014/main" id="{00000000-0008-0000-0100-00009E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35" name="Picture 159" hidden="1">
            <a:extLst>
              <a:ext uri="{FF2B5EF4-FFF2-40B4-BE49-F238E27FC236}">
                <a16:creationId xmlns:a16="http://schemas.microsoft.com/office/drawing/2014/main" id="{00000000-0008-0000-0100-00009F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36" name="dropdown" hidden="1">
            <a:extLst>
              <a:ext uri="{FF2B5EF4-FFF2-40B4-BE49-F238E27FC236}">
                <a16:creationId xmlns:a16="http://schemas.microsoft.com/office/drawing/2014/main" id="{00000000-0008-0000-0100-0000A0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137" name="그룹 77">
            <a:extLst>
              <a:ext uri="{FF2B5EF4-FFF2-40B4-BE49-F238E27FC236}">
                <a16:creationId xmlns:a16="http://schemas.microsoft.com/office/drawing/2014/main" id="{00000000-0008-0000-0100-0000A1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138" name="Option Button 82" hidden="1">
              <a:extLst>
                <a:ext uri="{FF2B5EF4-FFF2-40B4-BE49-F238E27FC236}">
                  <a16:creationId xmlns:a16="http://schemas.microsoft.com/office/drawing/2014/main" id="{00000000-0008-0000-0100-0000A2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39" name="Option Button 83" hidden="1">
              <a:extLst>
                <a:ext uri="{FF2B5EF4-FFF2-40B4-BE49-F238E27FC236}">
                  <a16:creationId xmlns:a16="http://schemas.microsoft.com/office/drawing/2014/main" id="{00000000-0008-0000-0100-0000A3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40" name="Option Button 84" hidden="1">
              <a:extLst>
                <a:ext uri="{FF2B5EF4-FFF2-40B4-BE49-F238E27FC236}">
                  <a16:creationId xmlns:a16="http://schemas.microsoft.com/office/drawing/2014/main" id="{00000000-0008-0000-0100-0000A4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150" name="Group 174">
          <a:extLst>
            <a:ext uri="{FF2B5EF4-FFF2-40B4-BE49-F238E27FC236}">
              <a16:creationId xmlns:a16="http://schemas.microsoft.com/office/drawing/2014/main" id="{00000000-0008-0000-0100-0000AE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159" name="Picture 183" hidden="1">
            <a:extLst>
              <a:ext uri="{FF2B5EF4-FFF2-40B4-BE49-F238E27FC236}">
                <a16:creationId xmlns:a16="http://schemas.microsoft.com/office/drawing/2014/main" id="{00000000-0008-0000-0100-0000B7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60" name="Picture 184" hidden="1">
            <a:extLst>
              <a:ext uri="{FF2B5EF4-FFF2-40B4-BE49-F238E27FC236}">
                <a16:creationId xmlns:a16="http://schemas.microsoft.com/office/drawing/2014/main" id="{00000000-0008-0000-0100-0000B8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61" name="dropdown" hidden="1">
            <a:extLst>
              <a:ext uri="{FF2B5EF4-FFF2-40B4-BE49-F238E27FC236}">
                <a16:creationId xmlns:a16="http://schemas.microsoft.com/office/drawing/2014/main" id="{00000000-0008-0000-0100-0000B9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162" name="그룹 53">
            <a:extLst>
              <a:ext uri="{FF2B5EF4-FFF2-40B4-BE49-F238E27FC236}">
                <a16:creationId xmlns:a16="http://schemas.microsoft.com/office/drawing/2014/main" id="{00000000-0008-0000-0100-0000BA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163" name="Option Button 82" hidden="1">
              <a:extLst>
                <a:ext uri="{FF2B5EF4-FFF2-40B4-BE49-F238E27FC236}">
                  <a16:creationId xmlns:a16="http://schemas.microsoft.com/office/drawing/2014/main" id="{00000000-0008-0000-0100-0000BB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64" name="Option Button 83" hidden="1">
              <a:extLst>
                <a:ext uri="{FF2B5EF4-FFF2-40B4-BE49-F238E27FC236}">
                  <a16:creationId xmlns:a16="http://schemas.microsoft.com/office/drawing/2014/main" id="{00000000-0008-0000-0100-0000BC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65" name="Option Button 84" hidden="1">
              <a:extLst>
                <a:ext uri="{FF2B5EF4-FFF2-40B4-BE49-F238E27FC236}">
                  <a16:creationId xmlns:a16="http://schemas.microsoft.com/office/drawing/2014/main" id="{00000000-0008-0000-0100-0000BD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151" name="Group 175">
          <a:extLst>
            <a:ext uri="{FF2B5EF4-FFF2-40B4-BE49-F238E27FC236}">
              <a16:creationId xmlns:a16="http://schemas.microsoft.com/office/drawing/2014/main" id="{00000000-0008-0000-0100-0000AF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152" name="Picture 176" hidden="1">
            <a:extLst>
              <a:ext uri="{FF2B5EF4-FFF2-40B4-BE49-F238E27FC236}">
                <a16:creationId xmlns:a16="http://schemas.microsoft.com/office/drawing/2014/main" id="{00000000-0008-0000-0100-0000B0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53" name="Picture 177" hidden="1">
            <a:extLst>
              <a:ext uri="{FF2B5EF4-FFF2-40B4-BE49-F238E27FC236}">
                <a16:creationId xmlns:a16="http://schemas.microsoft.com/office/drawing/2014/main" id="{00000000-0008-0000-0100-0000B1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54" name="dropdown" hidden="1">
            <a:extLst>
              <a:ext uri="{FF2B5EF4-FFF2-40B4-BE49-F238E27FC236}">
                <a16:creationId xmlns:a16="http://schemas.microsoft.com/office/drawing/2014/main" id="{00000000-0008-0000-0100-0000B2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155" name="그룹 77">
            <a:extLst>
              <a:ext uri="{FF2B5EF4-FFF2-40B4-BE49-F238E27FC236}">
                <a16:creationId xmlns:a16="http://schemas.microsoft.com/office/drawing/2014/main" id="{00000000-0008-0000-0100-0000B3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156" name="Option Button 82" hidden="1">
              <a:extLst>
                <a:ext uri="{FF2B5EF4-FFF2-40B4-BE49-F238E27FC236}">
                  <a16:creationId xmlns:a16="http://schemas.microsoft.com/office/drawing/2014/main" id="{00000000-0008-0000-0100-0000B4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57" name="Option Button 83" hidden="1">
              <a:extLst>
                <a:ext uri="{FF2B5EF4-FFF2-40B4-BE49-F238E27FC236}">
                  <a16:creationId xmlns:a16="http://schemas.microsoft.com/office/drawing/2014/main" id="{00000000-0008-0000-0100-0000B5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58" name="Option Button 84" hidden="1">
              <a:extLst>
                <a:ext uri="{FF2B5EF4-FFF2-40B4-BE49-F238E27FC236}">
                  <a16:creationId xmlns:a16="http://schemas.microsoft.com/office/drawing/2014/main" id="{00000000-0008-0000-0100-0000B6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168" name="Group 192">
          <a:extLst>
            <a:ext uri="{FF2B5EF4-FFF2-40B4-BE49-F238E27FC236}">
              <a16:creationId xmlns:a16="http://schemas.microsoft.com/office/drawing/2014/main" id="{00000000-0008-0000-0100-0000C0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177" name="Picture 201" hidden="1">
            <a:extLst>
              <a:ext uri="{FF2B5EF4-FFF2-40B4-BE49-F238E27FC236}">
                <a16:creationId xmlns:a16="http://schemas.microsoft.com/office/drawing/2014/main" id="{00000000-0008-0000-0100-0000C9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78" name="Picture 202" hidden="1">
            <a:extLst>
              <a:ext uri="{FF2B5EF4-FFF2-40B4-BE49-F238E27FC236}">
                <a16:creationId xmlns:a16="http://schemas.microsoft.com/office/drawing/2014/main" id="{00000000-0008-0000-0100-0000CA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79" name="dropdown" hidden="1">
            <a:extLst>
              <a:ext uri="{FF2B5EF4-FFF2-40B4-BE49-F238E27FC236}">
                <a16:creationId xmlns:a16="http://schemas.microsoft.com/office/drawing/2014/main" id="{00000000-0008-0000-0100-0000CB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180" name="그룹 53">
            <a:extLst>
              <a:ext uri="{FF2B5EF4-FFF2-40B4-BE49-F238E27FC236}">
                <a16:creationId xmlns:a16="http://schemas.microsoft.com/office/drawing/2014/main" id="{00000000-0008-0000-0100-0000CC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181" name="Option Button 82" hidden="1">
              <a:extLst>
                <a:ext uri="{FF2B5EF4-FFF2-40B4-BE49-F238E27FC236}">
                  <a16:creationId xmlns:a16="http://schemas.microsoft.com/office/drawing/2014/main" id="{00000000-0008-0000-0100-0000CD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82" name="Option Button 83" hidden="1">
              <a:extLst>
                <a:ext uri="{FF2B5EF4-FFF2-40B4-BE49-F238E27FC236}">
                  <a16:creationId xmlns:a16="http://schemas.microsoft.com/office/drawing/2014/main" id="{00000000-0008-0000-0100-0000CE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83" name="Option Button 84" hidden="1">
              <a:extLst>
                <a:ext uri="{FF2B5EF4-FFF2-40B4-BE49-F238E27FC236}">
                  <a16:creationId xmlns:a16="http://schemas.microsoft.com/office/drawing/2014/main" id="{00000000-0008-0000-0100-0000CF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169" name="Group 193">
          <a:extLst>
            <a:ext uri="{FF2B5EF4-FFF2-40B4-BE49-F238E27FC236}">
              <a16:creationId xmlns:a16="http://schemas.microsoft.com/office/drawing/2014/main" id="{00000000-0008-0000-0100-0000C1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170" name="Picture 194" hidden="1">
            <a:extLst>
              <a:ext uri="{FF2B5EF4-FFF2-40B4-BE49-F238E27FC236}">
                <a16:creationId xmlns:a16="http://schemas.microsoft.com/office/drawing/2014/main" id="{00000000-0008-0000-0100-0000C2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71" name="Picture 195" hidden="1">
            <a:extLst>
              <a:ext uri="{FF2B5EF4-FFF2-40B4-BE49-F238E27FC236}">
                <a16:creationId xmlns:a16="http://schemas.microsoft.com/office/drawing/2014/main" id="{00000000-0008-0000-0100-0000C3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72" name="dropdown" hidden="1">
            <a:extLst>
              <a:ext uri="{FF2B5EF4-FFF2-40B4-BE49-F238E27FC236}">
                <a16:creationId xmlns:a16="http://schemas.microsoft.com/office/drawing/2014/main" id="{00000000-0008-0000-0100-0000C4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173" name="그룹 77">
            <a:extLst>
              <a:ext uri="{FF2B5EF4-FFF2-40B4-BE49-F238E27FC236}">
                <a16:creationId xmlns:a16="http://schemas.microsoft.com/office/drawing/2014/main" id="{00000000-0008-0000-0100-0000C5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174" name="Option Button 82" hidden="1">
              <a:extLst>
                <a:ext uri="{FF2B5EF4-FFF2-40B4-BE49-F238E27FC236}">
                  <a16:creationId xmlns:a16="http://schemas.microsoft.com/office/drawing/2014/main" id="{00000000-0008-0000-0100-0000C6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75" name="Option Button 83" hidden="1">
              <a:extLst>
                <a:ext uri="{FF2B5EF4-FFF2-40B4-BE49-F238E27FC236}">
                  <a16:creationId xmlns:a16="http://schemas.microsoft.com/office/drawing/2014/main" id="{00000000-0008-0000-0100-0000C7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76" name="Option Button 84" hidden="1">
              <a:extLst>
                <a:ext uri="{FF2B5EF4-FFF2-40B4-BE49-F238E27FC236}">
                  <a16:creationId xmlns:a16="http://schemas.microsoft.com/office/drawing/2014/main" id="{00000000-0008-0000-0100-0000C8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186" name="Group 210">
          <a:extLst>
            <a:ext uri="{FF2B5EF4-FFF2-40B4-BE49-F238E27FC236}">
              <a16:creationId xmlns:a16="http://schemas.microsoft.com/office/drawing/2014/main" id="{00000000-0008-0000-0100-0000D2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195" name="Picture 219" hidden="1">
            <a:extLst>
              <a:ext uri="{FF2B5EF4-FFF2-40B4-BE49-F238E27FC236}">
                <a16:creationId xmlns:a16="http://schemas.microsoft.com/office/drawing/2014/main" id="{00000000-0008-0000-0100-0000DB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96" name="Picture 220" hidden="1">
            <a:extLst>
              <a:ext uri="{FF2B5EF4-FFF2-40B4-BE49-F238E27FC236}">
                <a16:creationId xmlns:a16="http://schemas.microsoft.com/office/drawing/2014/main" id="{00000000-0008-0000-0100-0000DC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97" name="dropdown" hidden="1">
            <a:extLst>
              <a:ext uri="{FF2B5EF4-FFF2-40B4-BE49-F238E27FC236}">
                <a16:creationId xmlns:a16="http://schemas.microsoft.com/office/drawing/2014/main" id="{00000000-0008-0000-0100-0000DD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198" name="그룹 53">
            <a:extLst>
              <a:ext uri="{FF2B5EF4-FFF2-40B4-BE49-F238E27FC236}">
                <a16:creationId xmlns:a16="http://schemas.microsoft.com/office/drawing/2014/main" id="{00000000-0008-0000-0100-0000DE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199" name="Option Button 82" hidden="1">
              <a:extLst>
                <a:ext uri="{FF2B5EF4-FFF2-40B4-BE49-F238E27FC236}">
                  <a16:creationId xmlns:a16="http://schemas.microsoft.com/office/drawing/2014/main" id="{00000000-0008-0000-0100-0000DF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00" name="Option Button 83" hidden="1">
              <a:extLst>
                <a:ext uri="{FF2B5EF4-FFF2-40B4-BE49-F238E27FC236}">
                  <a16:creationId xmlns:a16="http://schemas.microsoft.com/office/drawing/2014/main" id="{00000000-0008-0000-0100-0000E0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01" name="Option Button 84" hidden="1">
              <a:extLst>
                <a:ext uri="{FF2B5EF4-FFF2-40B4-BE49-F238E27FC236}">
                  <a16:creationId xmlns:a16="http://schemas.microsoft.com/office/drawing/2014/main" id="{00000000-0008-0000-0100-0000E1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187" name="Group 211">
          <a:extLst>
            <a:ext uri="{FF2B5EF4-FFF2-40B4-BE49-F238E27FC236}">
              <a16:creationId xmlns:a16="http://schemas.microsoft.com/office/drawing/2014/main" id="{00000000-0008-0000-0100-0000D3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188" name="Picture 212" hidden="1">
            <a:extLst>
              <a:ext uri="{FF2B5EF4-FFF2-40B4-BE49-F238E27FC236}">
                <a16:creationId xmlns:a16="http://schemas.microsoft.com/office/drawing/2014/main" id="{00000000-0008-0000-0100-0000D4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89" name="Picture 213" hidden="1">
            <a:extLst>
              <a:ext uri="{FF2B5EF4-FFF2-40B4-BE49-F238E27FC236}">
                <a16:creationId xmlns:a16="http://schemas.microsoft.com/office/drawing/2014/main" id="{00000000-0008-0000-0100-0000D5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190" name="dropdown" hidden="1">
            <a:extLst>
              <a:ext uri="{FF2B5EF4-FFF2-40B4-BE49-F238E27FC236}">
                <a16:creationId xmlns:a16="http://schemas.microsoft.com/office/drawing/2014/main" id="{00000000-0008-0000-0100-0000D6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191" name="그룹 77">
            <a:extLst>
              <a:ext uri="{FF2B5EF4-FFF2-40B4-BE49-F238E27FC236}">
                <a16:creationId xmlns:a16="http://schemas.microsoft.com/office/drawing/2014/main" id="{00000000-0008-0000-0100-0000D7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192" name="Option Button 82" hidden="1">
              <a:extLst>
                <a:ext uri="{FF2B5EF4-FFF2-40B4-BE49-F238E27FC236}">
                  <a16:creationId xmlns:a16="http://schemas.microsoft.com/office/drawing/2014/main" id="{00000000-0008-0000-0100-0000D8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93" name="Option Button 83" hidden="1">
              <a:extLst>
                <a:ext uri="{FF2B5EF4-FFF2-40B4-BE49-F238E27FC236}">
                  <a16:creationId xmlns:a16="http://schemas.microsoft.com/office/drawing/2014/main" id="{00000000-0008-0000-0100-0000D9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194" name="Option Button 84" hidden="1">
              <a:extLst>
                <a:ext uri="{FF2B5EF4-FFF2-40B4-BE49-F238E27FC236}">
                  <a16:creationId xmlns:a16="http://schemas.microsoft.com/office/drawing/2014/main" id="{00000000-0008-0000-0100-0000DA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04" name="Group 228">
          <a:extLst>
            <a:ext uri="{FF2B5EF4-FFF2-40B4-BE49-F238E27FC236}">
              <a16:creationId xmlns:a16="http://schemas.microsoft.com/office/drawing/2014/main" id="{00000000-0008-0000-0100-0000E4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13" name="Picture 237" hidden="1">
            <a:extLst>
              <a:ext uri="{FF2B5EF4-FFF2-40B4-BE49-F238E27FC236}">
                <a16:creationId xmlns:a16="http://schemas.microsoft.com/office/drawing/2014/main" id="{00000000-0008-0000-0100-0000ED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14" name="Picture 238" hidden="1">
            <a:extLst>
              <a:ext uri="{FF2B5EF4-FFF2-40B4-BE49-F238E27FC236}">
                <a16:creationId xmlns:a16="http://schemas.microsoft.com/office/drawing/2014/main" id="{00000000-0008-0000-0100-0000EE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15" name="dropdown" hidden="1">
            <a:extLst>
              <a:ext uri="{FF2B5EF4-FFF2-40B4-BE49-F238E27FC236}">
                <a16:creationId xmlns:a16="http://schemas.microsoft.com/office/drawing/2014/main" id="{00000000-0008-0000-0100-0000EF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16" name="그룹 53">
            <a:extLst>
              <a:ext uri="{FF2B5EF4-FFF2-40B4-BE49-F238E27FC236}">
                <a16:creationId xmlns:a16="http://schemas.microsoft.com/office/drawing/2014/main" id="{00000000-0008-0000-0100-0000F0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217" name="Option Button 82" hidden="1">
              <a:extLst>
                <a:ext uri="{FF2B5EF4-FFF2-40B4-BE49-F238E27FC236}">
                  <a16:creationId xmlns:a16="http://schemas.microsoft.com/office/drawing/2014/main" id="{00000000-0008-0000-0100-0000F1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18" name="Option Button 83" hidden="1">
              <a:extLst>
                <a:ext uri="{FF2B5EF4-FFF2-40B4-BE49-F238E27FC236}">
                  <a16:creationId xmlns:a16="http://schemas.microsoft.com/office/drawing/2014/main" id="{00000000-0008-0000-0100-0000F2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19" name="Option Button 84" hidden="1">
              <a:extLst>
                <a:ext uri="{FF2B5EF4-FFF2-40B4-BE49-F238E27FC236}">
                  <a16:creationId xmlns:a16="http://schemas.microsoft.com/office/drawing/2014/main" id="{00000000-0008-0000-0100-0000F3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05" name="Group 229">
          <a:extLst>
            <a:ext uri="{FF2B5EF4-FFF2-40B4-BE49-F238E27FC236}">
              <a16:creationId xmlns:a16="http://schemas.microsoft.com/office/drawing/2014/main" id="{00000000-0008-0000-0100-0000E5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06" name="Picture 230" hidden="1">
            <a:extLst>
              <a:ext uri="{FF2B5EF4-FFF2-40B4-BE49-F238E27FC236}">
                <a16:creationId xmlns:a16="http://schemas.microsoft.com/office/drawing/2014/main" id="{00000000-0008-0000-0100-0000E6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07" name="Picture 231" hidden="1">
            <a:extLst>
              <a:ext uri="{FF2B5EF4-FFF2-40B4-BE49-F238E27FC236}">
                <a16:creationId xmlns:a16="http://schemas.microsoft.com/office/drawing/2014/main" id="{00000000-0008-0000-0100-0000E7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08" name="dropdown" hidden="1">
            <a:extLst>
              <a:ext uri="{FF2B5EF4-FFF2-40B4-BE49-F238E27FC236}">
                <a16:creationId xmlns:a16="http://schemas.microsoft.com/office/drawing/2014/main" id="{00000000-0008-0000-0100-0000E8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09" name="그룹 77">
            <a:extLst>
              <a:ext uri="{FF2B5EF4-FFF2-40B4-BE49-F238E27FC236}">
                <a16:creationId xmlns:a16="http://schemas.microsoft.com/office/drawing/2014/main" id="{00000000-0008-0000-0100-0000E9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210" name="Option Button 82" hidden="1">
              <a:extLst>
                <a:ext uri="{FF2B5EF4-FFF2-40B4-BE49-F238E27FC236}">
                  <a16:creationId xmlns:a16="http://schemas.microsoft.com/office/drawing/2014/main" id="{00000000-0008-0000-0100-0000EA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11" name="Option Button 83" hidden="1">
              <a:extLst>
                <a:ext uri="{FF2B5EF4-FFF2-40B4-BE49-F238E27FC236}">
                  <a16:creationId xmlns:a16="http://schemas.microsoft.com/office/drawing/2014/main" id="{00000000-0008-0000-0100-0000EB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12" name="Option Button 84" hidden="1">
              <a:extLst>
                <a:ext uri="{FF2B5EF4-FFF2-40B4-BE49-F238E27FC236}">
                  <a16:creationId xmlns:a16="http://schemas.microsoft.com/office/drawing/2014/main" id="{00000000-0008-0000-0100-0000EC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22" name="Group 246">
          <a:extLst>
            <a:ext uri="{FF2B5EF4-FFF2-40B4-BE49-F238E27FC236}">
              <a16:creationId xmlns:a16="http://schemas.microsoft.com/office/drawing/2014/main" id="{00000000-0008-0000-0100-0000F6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31" name="Picture 255" hidden="1">
            <a:extLst>
              <a:ext uri="{FF2B5EF4-FFF2-40B4-BE49-F238E27FC236}">
                <a16:creationId xmlns:a16="http://schemas.microsoft.com/office/drawing/2014/main" id="{00000000-0008-0000-0100-0000FF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32" name="Picture 256" hidden="1">
            <a:extLst>
              <a:ext uri="{FF2B5EF4-FFF2-40B4-BE49-F238E27FC236}">
                <a16:creationId xmlns:a16="http://schemas.microsoft.com/office/drawing/2014/main" id="{00000000-0008-0000-0100-000000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33" name="dropdown" hidden="1">
            <a:extLst>
              <a:ext uri="{FF2B5EF4-FFF2-40B4-BE49-F238E27FC236}">
                <a16:creationId xmlns:a16="http://schemas.microsoft.com/office/drawing/2014/main" id="{00000000-0008-0000-0100-000001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34" name="그룹 53">
            <a:extLst>
              <a:ext uri="{FF2B5EF4-FFF2-40B4-BE49-F238E27FC236}">
                <a16:creationId xmlns:a16="http://schemas.microsoft.com/office/drawing/2014/main" id="{00000000-0008-0000-0100-000002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235" name="Option Button 82" hidden="1">
              <a:extLst>
                <a:ext uri="{FF2B5EF4-FFF2-40B4-BE49-F238E27FC236}">
                  <a16:creationId xmlns:a16="http://schemas.microsoft.com/office/drawing/2014/main" id="{00000000-0008-0000-0100-000003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36" name="Option Button 83" hidden="1">
              <a:extLst>
                <a:ext uri="{FF2B5EF4-FFF2-40B4-BE49-F238E27FC236}">
                  <a16:creationId xmlns:a16="http://schemas.microsoft.com/office/drawing/2014/main" id="{00000000-0008-0000-0100-000004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37" name="Option Button 84" hidden="1">
              <a:extLst>
                <a:ext uri="{FF2B5EF4-FFF2-40B4-BE49-F238E27FC236}">
                  <a16:creationId xmlns:a16="http://schemas.microsoft.com/office/drawing/2014/main" id="{00000000-0008-0000-0100-000005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23" name="Group 247">
          <a:extLst>
            <a:ext uri="{FF2B5EF4-FFF2-40B4-BE49-F238E27FC236}">
              <a16:creationId xmlns:a16="http://schemas.microsoft.com/office/drawing/2014/main" id="{00000000-0008-0000-0100-0000F7D8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24" name="Picture 248" hidden="1">
            <a:extLst>
              <a:ext uri="{FF2B5EF4-FFF2-40B4-BE49-F238E27FC236}">
                <a16:creationId xmlns:a16="http://schemas.microsoft.com/office/drawing/2014/main" id="{00000000-0008-0000-0100-0000F8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25" name="Picture 249" hidden="1">
            <a:extLst>
              <a:ext uri="{FF2B5EF4-FFF2-40B4-BE49-F238E27FC236}">
                <a16:creationId xmlns:a16="http://schemas.microsoft.com/office/drawing/2014/main" id="{00000000-0008-0000-0100-0000F9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26" name="dropdown" hidden="1">
            <a:extLst>
              <a:ext uri="{FF2B5EF4-FFF2-40B4-BE49-F238E27FC236}">
                <a16:creationId xmlns:a16="http://schemas.microsoft.com/office/drawing/2014/main" id="{00000000-0008-0000-0100-0000FAD8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27" name="그룹 77">
            <a:extLst>
              <a:ext uri="{FF2B5EF4-FFF2-40B4-BE49-F238E27FC236}">
                <a16:creationId xmlns:a16="http://schemas.microsoft.com/office/drawing/2014/main" id="{00000000-0008-0000-0100-0000FBD8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228" name="Option Button 82" hidden="1">
              <a:extLst>
                <a:ext uri="{FF2B5EF4-FFF2-40B4-BE49-F238E27FC236}">
                  <a16:creationId xmlns:a16="http://schemas.microsoft.com/office/drawing/2014/main" id="{00000000-0008-0000-0100-0000FC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29" name="Option Button 83" hidden="1">
              <a:extLst>
                <a:ext uri="{FF2B5EF4-FFF2-40B4-BE49-F238E27FC236}">
                  <a16:creationId xmlns:a16="http://schemas.microsoft.com/office/drawing/2014/main" id="{00000000-0008-0000-0100-0000FD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30" name="Option Button 84" hidden="1">
              <a:extLst>
                <a:ext uri="{FF2B5EF4-FFF2-40B4-BE49-F238E27FC236}">
                  <a16:creationId xmlns:a16="http://schemas.microsoft.com/office/drawing/2014/main" id="{00000000-0008-0000-0100-0000FED8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40" name="Group 264">
          <a:extLst>
            <a:ext uri="{FF2B5EF4-FFF2-40B4-BE49-F238E27FC236}">
              <a16:creationId xmlns:a16="http://schemas.microsoft.com/office/drawing/2014/main" id="{00000000-0008-0000-0100-000008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49" name="Picture 273" hidden="1">
            <a:extLst>
              <a:ext uri="{FF2B5EF4-FFF2-40B4-BE49-F238E27FC236}">
                <a16:creationId xmlns:a16="http://schemas.microsoft.com/office/drawing/2014/main" id="{00000000-0008-0000-0100-000011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50" name="Picture 274" hidden="1">
            <a:extLst>
              <a:ext uri="{FF2B5EF4-FFF2-40B4-BE49-F238E27FC236}">
                <a16:creationId xmlns:a16="http://schemas.microsoft.com/office/drawing/2014/main" id="{00000000-0008-0000-0100-000012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51" name="dropdown" hidden="1">
            <a:extLst>
              <a:ext uri="{FF2B5EF4-FFF2-40B4-BE49-F238E27FC236}">
                <a16:creationId xmlns:a16="http://schemas.microsoft.com/office/drawing/2014/main" id="{00000000-0008-0000-0100-000013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52" name="그룹 53">
            <a:extLst>
              <a:ext uri="{FF2B5EF4-FFF2-40B4-BE49-F238E27FC236}">
                <a16:creationId xmlns:a16="http://schemas.microsoft.com/office/drawing/2014/main" id="{00000000-0008-0000-0100-000014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253" name="Option Button 82" hidden="1">
              <a:extLst>
                <a:ext uri="{FF2B5EF4-FFF2-40B4-BE49-F238E27FC236}">
                  <a16:creationId xmlns:a16="http://schemas.microsoft.com/office/drawing/2014/main" id="{00000000-0008-0000-0100-000015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54" name="Option Button 83" hidden="1">
              <a:extLst>
                <a:ext uri="{FF2B5EF4-FFF2-40B4-BE49-F238E27FC236}">
                  <a16:creationId xmlns:a16="http://schemas.microsoft.com/office/drawing/2014/main" id="{00000000-0008-0000-0100-000016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55" name="Option Button 84" hidden="1">
              <a:extLst>
                <a:ext uri="{FF2B5EF4-FFF2-40B4-BE49-F238E27FC236}">
                  <a16:creationId xmlns:a16="http://schemas.microsoft.com/office/drawing/2014/main" id="{00000000-0008-0000-0100-000017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41" name="Group 265">
          <a:extLst>
            <a:ext uri="{FF2B5EF4-FFF2-40B4-BE49-F238E27FC236}">
              <a16:creationId xmlns:a16="http://schemas.microsoft.com/office/drawing/2014/main" id="{00000000-0008-0000-0100-000009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42" name="Picture 266" hidden="1">
            <a:extLst>
              <a:ext uri="{FF2B5EF4-FFF2-40B4-BE49-F238E27FC236}">
                <a16:creationId xmlns:a16="http://schemas.microsoft.com/office/drawing/2014/main" id="{00000000-0008-0000-0100-00000A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43" name="Picture 267" hidden="1">
            <a:extLst>
              <a:ext uri="{FF2B5EF4-FFF2-40B4-BE49-F238E27FC236}">
                <a16:creationId xmlns:a16="http://schemas.microsoft.com/office/drawing/2014/main" id="{00000000-0008-0000-0100-00000B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44" name="dropdown" hidden="1">
            <a:extLst>
              <a:ext uri="{FF2B5EF4-FFF2-40B4-BE49-F238E27FC236}">
                <a16:creationId xmlns:a16="http://schemas.microsoft.com/office/drawing/2014/main" id="{00000000-0008-0000-0100-00000C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45" name="그룹 77">
            <a:extLst>
              <a:ext uri="{FF2B5EF4-FFF2-40B4-BE49-F238E27FC236}">
                <a16:creationId xmlns:a16="http://schemas.microsoft.com/office/drawing/2014/main" id="{00000000-0008-0000-0100-00000D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246" name="Option Button 82" hidden="1">
              <a:extLst>
                <a:ext uri="{FF2B5EF4-FFF2-40B4-BE49-F238E27FC236}">
                  <a16:creationId xmlns:a16="http://schemas.microsoft.com/office/drawing/2014/main" id="{00000000-0008-0000-0100-00000E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47" name="Option Button 83" hidden="1">
              <a:extLst>
                <a:ext uri="{FF2B5EF4-FFF2-40B4-BE49-F238E27FC236}">
                  <a16:creationId xmlns:a16="http://schemas.microsoft.com/office/drawing/2014/main" id="{00000000-0008-0000-0100-00000F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48" name="Option Button 84" hidden="1">
              <a:extLst>
                <a:ext uri="{FF2B5EF4-FFF2-40B4-BE49-F238E27FC236}">
                  <a16:creationId xmlns:a16="http://schemas.microsoft.com/office/drawing/2014/main" id="{00000000-0008-0000-0100-000010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58" name="Group 282">
          <a:extLst>
            <a:ext uri="{FF2B5EF4-FFF2-40B4-BE49-F238E27FC236}">
              <a16:creationId xmlns:a16="http://schemas.microsoft.com/office/drawing/2014/main" id="{00000000-0008-0000-0100-00001A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67" name="Picture 291" hidden="1">
            <a:extLst>
              <a:ext uri="{FF2B5EF4-FFF2-40B4-BE49-F238E27FC236}">
                <a16:creationId xmlns:a16="http://schemas.microsoft.com/office/drawing/2014/main" id="{00000000-0008-0000-0100-000023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68" name="Picture 292" hidden="1">
            <a:extLst>
              <a:ext uri="{FF2B5EF4-FFF2-40B4-BE49-F238E27FC236}">
                <a16:creationId xmlns:a16="http://schemas.microsoft.com/office/drawing/2014/main" id="{00000000-0008-0000-0100-000024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69" name="dropdown" hidden="1">
            <a:extLst>
              <a:ext uri="{FF2B5EF4-FFF2-40B4-BE49-F238E27FC236}">
                <a16:creationId xmlns:a16="http://schemas.microsoft.com/office/drawing/2014/main" id="{00000000-0008-0000-0100-000025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70" name="그룹 53">
            <a:extLst>
              <a:ext uri="{FF2B5EF4-FFF2-40B4-BE49-F238E27FC236}">
                <a16:creationId xmlns:a16="http://schemas.microsoft.com/office/drawing/2014/main" id="{00000000-0008-0000-0100-000026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271" name="Option Button 82" hidden="1">
              <a:extLst>
                <a:ext uri="{FF2B5EF4-FFF2-40B4-BE49-F238E27FC236}">
                  <a16:creationId xmlns:a16="http://schemas.microsoft.com/office/drawing/2014/main" id="{00000000-0008-0000-0100-000027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72" name="Option Button 83" hidden="1">
              <a:extLst>
                <a:ext uri="{FF2B5EF4-FFF2-40B4-BE49-F238E27FC236}">
                  <a16:creationId xmlns:a16="http://schemas.microsoft.com/office/drawing/2014/main" id="{00000000-0008-0000-0100-000028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73" name="Option Button 84" hidden="1">
              <a:extLst>
                <a:ext uri="{FF2B5EF4-FFF2-40B4-BE49-F238E27FC236}">
                  <a16:creationId xmlns:a16="http://schemas.microsoft.com/office/drawing/2014/main" id="{00000000-0008-0000-0100-000029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59" name="Group 283">
          <a:extLst>
            <a:ext uri="{FF2B5EF4-FFF2-40B4-BE49-F238E27FC236}">
              <a16:creationId xmlns:a16="http://schemas.microsoft.com/office/drawing/2014/main" id="{00000000-0008-0000-0100-00001B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60" name="Picture 284" hidden="1">
            <a:extLst>
              <a:ext uri="{FF2B5EF4-FFF2-40B4-BE49-F238E27FC236}">
                <a16:creationId xmlns:a16="http://schemas.microsoft.com/office/drawing/2014/main" id="{00000000-0008-0000-0100-00001C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61" name="Picture 285" hidden="1">
            <a:extLst>
              <a:ext uri="{FF2B5EF4-FFF2-40B4-BE49-F238E27FC236}">
                <a16:creationId xmlns:a16="http://schemas.microsoft.com/office/drawing/2014/main" id="{00000000-0008-0000-0100-00001D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62" name="dropdown" hidden="1">
            <a:extLst>
              <a:ext uri="{FF2B5EF4-FFF2-40B4-BE49-F238E27FC236}">
                <a16:creationId xmlns:a16="http://schemas.microsoft.com/office/drawing/2014/main" id="{00000000-0008-0000-0100-00001E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63" name="그룹 77">
            <a:extLst>
              <a:ext uri="{FF2B5EF4-FFF2-40B4-BE49-F238E27FC236}">
                <a16:creationId xmlns:a16="http://schemas.microsoft.com/office/drawing/2014/main" id="{00000000-0008-0000-0100-00001F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264" name="Option Button 82" hidden="1">
              <a:extLst>
                <a:ext uri="{FF2B5EF4-FFF2-40B4-BE49-F238E27FC236}">
                  <a16:creationId xmlns:a16="http://schemas.microsoft.com/office/drawing/2014/main" id="{00000000-0008-0000-0100-000020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65" name="Option Button 83" hidden="1">
              <a:extLst>
                <a:ext uri="{FF2B5EF4-FFF2-40B4-BE49-F238E27FC236}">
                  <a16:creationId xmlns:a16="http://schemas.microsoft.com/office/drawing/2014/main" id="{00000000-0008-0000-0100-000021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66" name="Option Button 84" hidden="1">
              <a:extLst>
                <a:ext uri="{FF2B5EF4-FFF2-40B4-BE49-F238E27FC236}">
                  <a16:creationId xmlns:a16="http://schemas.microsoft.com/office/drawing/2014/main" id="{00000000-0008-0000-0100-000022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76" name="Group 300">
          <a:extLst>
            <a:ext uri="{FF2B5EF4-FFF2-40B4-BE49-F238E27FC236}">
              <a16:creationId xmlns:a16="http://schemas.microsoft.com/office/drawing/2014/main" id="{00000000-0008-0000-0100-00002C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85" name="Picture 309" hidden="1">
            <a:extLst>
              <a:ext uri="{FF2B5EF4-FFF2-40B4-BE49-F238E27FC236}">
                <a16:creationId xmlns:a16="http://schemas.microsoft.com/office/drawing/2014/main" id="{00000000-0008-0000-0100-000035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86" name="Picture 310" hidden="1">
            <a:extLst>
              <a:ext uri="{FF2B5EF4-FFF2-40B4-BE49-F238E27FC236}">
                <a16:creationId xmlns:a16="http://schemas.microsoft.com/office/drawing/2014/main" id="{00000000-0008-0000-0100-000036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87" name="dropdown" hidden="1">
            <a:extLst>
              <a:ext uri="{FF2B5EF4-FFF2-40B4-BE49-F238E27FC236}">
                <a16:creationId xmlns:a16="http://schemas.microsoft.com/office/drawing/2014/main" id="{00000000-0008-0000-0100-000037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88" name="그룹 53">
            <a:extLst>
              <a:ext uri="{FF2B5EF4-FFF2-40B4-BE49-F238E27FC236}">
                <a16:creationId xmlns:a16="http://schemas.microsoft.com/office/drawing/2014/main" id="{00000000-0008-0000-0100-000038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289" name="Option Button 82" hidden="1">
              <a:extLst>
                <a:ext uri="{FF2B5EF4-FFF2-40B4-BE49-F238E27FC236}">
                  <a16:creationId xmlns:a16="http://schemas.microsoft.com/office/drawing/2014/main" id="{00000000-0008-0000-0100-000039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90" name="Option Button 83" hidden="1">
              <a:extLst>
                <a:ext uri="{FF2B5EF4-FFF2-40B4-BE49-F238E27FC236}">
                  <a16:creationId xmlns:a16="http://schemas.microsoft.com/office/drawing/2014/main" id="{00000000-0008-0000-0100-00003A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91" name="Option Button 84" hidden="1">
              <a:extLst>
                <a:ext uri="{FF2B5EF4-FFF2-40B4-BE49-F238E27FC236}">
                  <a16:creationId xmlns:a16="http://schemas.microsoft.com/office/drawing/2014/main" id="{00000000-0008-0000-0100-00003B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77" name="Group 301">
          <a:extLst>
            <a:ext uri="{FF2B5EF4-FFF2-40B4-BE49-F238E27FC236}">
              <a16:creationId xmlns:a16="http://schemas.microsoft.com/office/drawing/2014/main" id="{00000000-0008-0000-0100-00002D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78" name="Picture 302" hidden="1">
            <a:extLst>
              <a:ext uri="{FF2B5EF4-FFF2-40B4-BE49-F238E27FC236}">
                <a16:creationId xmlns:a16="http://schemas.microsoft.com/office/drawing/2014/main" id="{00000000-0008-0000-0100-00002E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79" name="Picture 303" hidden="1">
            <a:extLst>
              <a:ext uri="{FF2B5EF4-FFF2-40B4-BE49-F238E27FC236}">
                <a16:creationId xmlns:a16="http://schemas.microsoft.com/office/drawing/2014/main" id="{00000000-0008-0000-0100-00002F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80" name="dropdown" hidden="1">
            <a:extLst>
              <a:ext uri="{FF2B5EF4-FFF2-40B4-BE49-F238E27FC236}">
                <a16:creationId xmlns:a16="http://schemas.microsoft.com/office/drawing/2014/main" id="{00000000-0008-0000-0100-000030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81" name="그룹 77">
            <a:extLst>
              <a:ext uri="{FF2B5EF4-FFF2-40B4-BE49-F238E27FC236}">
                <a16:creationId xmlns:a16="http://schemas.microsoft.com/office/drawing/2014/main" id="{00000000-0008-0000-0100-000031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282" name="Option Button 82" hidden="1">
              <a:extLst>
                <a:ext uri="{FF2B5EF4-FFF2-40B4-BE49-F238E27FC236}">
                  <a16:creationId xmlns:a16="http://schemas.microsoft.com/office/drawing/2014/main" id="{00000000-0008-0000-0100-000032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83" name="Option Button 83" hidden="1">
              <a:extLst>
                <a:ext uri="{FF2B5EF4-FFF2-40B4-BE49-F238E27FC236}">
                  <a16:creationId xmlns:a16="http://schemas.microsoft.com/office/drawing/2014/main" id="{00000000-0008-0000-0100-000033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284" name="Option Button 84" hidden="1">
              <a:extLst>
                <a:ext uri="{FF2B5EF4-FFF2-40B4-BE49-F238E27FC236}">
                  <a16:creationId xmlns:a16="http://schemas.microsoft.com/office/drawing/2014/main" id="{00000000-0008-0000-0100-000034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94" name="Group 318">
          <a:extLst>
            <a:ext uri="{FF2B5EF4-FFF2-40B4-BE49-F238E27FC236}">
              <a16:creationId xmlns:a16="http://schemas.microsoft.com/office/drawing/2014/main" id="{00000000-0008-0000-0100-00003E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03" name="Picture 327" hidden="1">
            <a:extLst>
              <a:ext uri="{FF2B5EF4-FFF2-40B4-BE49-F238E27FC236}">
                <a16:creationId xmlns:a16="http://schemas.microsoft.com/office/drawing/2014/main" id="{00000000-0008-0000-0100-000047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04" name="Picture 328" hidden="1">
            <a:extLst>
              <a:ext uri="{FF2B5EF4-FFF2-40B4-BE49-F238E27FC236}">
                <a16:creationId xmlns:a16="http://schemas.microsoft.com/office/drawing/2014/main" id="{00000000-0008-0000-0100-000048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05" name="dropdown" hidden="1">
            <a:extLst>
              <a:ext uri="{FF2B5EF4-FFF2-40B4-BE49-F238E27FC236}">
                <a16:creationId xmlns:a16="http://schemas.microsoft.com/office/drawing/2014/main" id="{00000000-0008-0000-0100-000049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06" name="그룹 53">
            <a:extLst>
              <a:ext uri="{FF2B5EF4-FFF2-40B4-BE49-F238E27FC236}">
                <a16:creationId xmlns:a16="http://schemas.microsoft.com/office/drawing/2014/main" id="{00000000-0008-0000-0100-00004A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07" name="Option Button 82" hidden="1">
              <a:extLst>
                <a:ext uri="{FF2B5EF4-FFF2-40B4-BE49-F238E27FC236}">
                  <a16:creationId xmlns:a16="http://schemas.microsoft.com/office/drawing/2014/main" id="{00000000-0008-0000-0100-00004B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08" name="Option Button 83" hidden="1">
              <a:extLst>
                <a:ext uri="{FF2B5EF4-FFF2-40B4-BE49-F238E27FC236}">
                  <a16:creationId xmlns:a16="http://schemas.microsoft.com/office/drawing/2014/main" id="{00000000-0008-0000-0100-00004C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09" name="Option Button 84" hidden="1">
              <a:extLst>
                <a:ext uri="{FF2B5EF4-FFF2-40B4-BE49-F238E27FC236}">
                  <a16:creationId xmlns:a16="http://schemas.microsoft.com/office/drawing/2014/main" id="{00000000-0008-0000-0100-00004D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295" name="Group 319">
          <a:extLst>
            <a:ext uri="{FF2B5EF4-FFF2-40B4-BE49-F238E27FC236}">
              <a16:creationId xmlns:a16="http://schemas.microsoft.com/office/drawing/2014/main" id="{00000000-0008-0000-0100-00003F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296" name="Picture 320" hidden="1">
            <a:extLst>
              <a:ext uri="{FF2B5EF4-FFF2-40B4-BE49-F238E27FC236}">
                <a16:creationId xmlns:a16="http://schemas.microsoft.com/office/drawing/2014/main" id="{00000000-0008-0000-0100-000040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97" name="Picture 321" hidden="1">
            <a:extLst>
              <a:ext uri="{FF2B5EF4-FFF2-40B4-BE49-F238E27FC236}">
                <a16:creationId xmlns:a16="http://schemas.microsoft.com/office/drawing/2014/main" id="{00000000-0008-0000-0100-000041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298" name="dropdown" hidden="1">
            <a:extLst>
              <a:ext uri="{FF2B5EF4-FFF2-40B4-BE49-F238E27FC236}">
                <a16:creationId xmlns:a16="http://schemas.microsoft.com/office/drawing/2014/main" id="{00000000-0008-0000-0100-000042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299" name="그룹 77">
            <a:extLst>
              <a:ext uri="{FF2B5EF4-FFF2-40B4-BE49-F238E27FC236}">
                <a16:creationId xmlns:a16="http://schemas.microsoft.com/office/drawing/2014/main" id="{00000000-0008-0000-0100-000043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00" name="Option Button 82" hidden="1">
              <a:extLst>
                <a:ext uri="{FF2B5EF4-FFF2-40B4-BE49-F238E27FC236}">
                  <a16:creationId xmlns:a16="http://schemas.microsoft.com/office/drawing/2014/main" id="{00000000-0008-0000-0100-000044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01" name="Option Button 83" hidden="1">
              <a:extLst>
                <a:ext uri="{FF2B5EF4-FFF2-40B4-BE49-F238E27FC236}">
                  <a16:creationId xmlns:a16="http://schemas.microsoft.com/office/drawing/2014/main" id="{00000000-0008-0000-0100-000045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02" name="Option Button 84" hidden="1">
              <a:extLst>
                <a:ext uri="{FF2B5EF4-FFF2-40B4-BE49-F238E27FC236}">
                  <a16:creationId xmlns:a16="http://schemas.microsoft.com/office/drawing/2014/main" id="{00000000-0008-0000-0100-000046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312" name="Group 336">
          <a:extLst>
            <a:ext uri="{FF2B5EF4-FFF2-40B4-BE49-F238E27FC236}">
              <a16:creationId xmlns:a16="http://schemas.microsoft.com/office/drawing/2014/main" id="{00000000-0008-0000-0100-000050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21" name="Picture 345" hidden="1">
            <a:extLst>
              <a:ext uri="{FF2B5EF4-FFF2-40B4-BE49-F238E27FC236}">
                <a16:creationId xmlns:a16="http://schemas.microsoft.com/office/drawing/2014/main" id="{00000000-0008-0000-0100-000059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22" name="Picture 346" hidden="1">
            <a:extLst>
              <a:ext uri="{FF2B5EF4-FFF2-40B4-BE49-F238E27FC236}">
                <a16:creationId xmlns:a16="http://schemas.microsoft.com/office/drawing/2014/main" id="{00000000-0008-0000-0100-00005A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23" name="dropdown" hidden="1">
            <a:extLst>
              <a:ext uri="{FF2B5EF4-FFF2-40B4-BE49-F238E27FC236}">
                <a16:creationId xmlns:a16="http://schemas.microsoft.com/office/drawing/2014/main" id="{00000000-0008-0000-0100-00005B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24" name="그룹 53">
            <a:extLst>
              <a:ext uri="{FF2B5EF4-FFF2-40B4-BE49-F238E27FC236}">
                <a16:creationId xmlns:a16="http://schemas.microsoft.com/office/drawing/2014/main" id="{00000000-0008-0000-0100-00005C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25" name="Option Button 82" hidden="1">
              <a:extLst>
                <a:ext uri="{FF2B5EF4-FFF2-40B4-BE49-F238E27FC236}">
                  <a16:creationId xmlns:a16="http://schemas.microsoft.com/office/drawing/2014/main" id="{00000000-0008-0000-0100-00005D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26" name="Option Button 83" hidden="1">
              <a:extLst>
                <a:ext uri="{FF2B5EF4-FFF2-40B4-BE49-F238E27FC236}">
                  <a16:creationId xmlns:a16="http://schemas.microsoft.com/office/drawing/2014/main" id="{00000000-0008-0000-0100-00005E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27" name="Option Button 84" hidden="1">
              <a:extLst>
                <a:ext uri="{FF2B5EF4-FFF2-40B4-BE49-F238E27FC236}">
                  <a16:creationId xmlns:a16="http://schemas.microsoft.com/office/drawing/2014/main" id="{00000000-0008-0000-0100-00005F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313" name="Group 337">
          <a:extLst>
            <a:ext uri="{FF2B5EF4-FFF2-40B4-BE49-F238E27FC236}">
              <a16:creationId xmlns:a16="http://schemas.microsoft.com/office/drawing/2014/main" id="{00000000-0008-0000-0100-000051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14" name="Picture 338" hidden="1">
            <a:extLst>
              <a:ext uri="{FF2B5EF4-FFF2-40B4-BE49-F238E27FC236}">
                <a16:creationId xmlns:a16="http://schemas.microsoft.com/office/drawing/2014/main" id="{00000000-0008-0000-0100-000052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15" name="Picture 339" hidden="1">
            <a:extLst>
              <a:ext uri="{FF2B5EF4-FFF2-40B4-BE49-F238E27FC236}">
                <a16:creationId xmlns:a16="http://schemas.microsoft.com/office/drawing/2014/main" id="{00000000-0008-0000-0100-000053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16" name="dropdown" hidden="1">
            <a:extLst>
              <a:ext uri="{FF2B5EF4-FFF2-40B4-BE49-F238E27FC236}">
                <a16:creationId xmlns:a16="http://schemas.microsoft.com/office/drawing/2014/main" id="{00000000-0008-0000-0100-000054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17" name="그룹 77">
            <a:extLst>
              <a:ext uri="{FF2B5EF4-FFF2-40B4-BE49-F238E27FC236}">
                <a16:creationId xmlns:a16="http://schemas.microsoft.com/office/drawing/2014/main" id="{00000000-0008-0000-0100-000055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18" name="Option Button 82" hidden="1">
              <a:extLst>
                <a:ext uri="{FF2B5EF4-FFF2-40B4-BE49-F238E27FC236}">
                  <a16:creationId xmlns:a16="http://schemas.microsoft.com/office/drawing/2014/main" id="{00000000-0008-0000-0100-000056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19" name="Option Button 83" hidden="1">
              <a:extLst>
                <a:ext uri="{FF2B5EF4-FFF2-40B4-BE49-F238E27FC236}">
                  <a16:creationId xmlns:a16="http://schemas.microsoft.com/office/drawing/2014/main" id="{00000000-0008-0000-0100-000057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20" name="Option Button 84" hidden="1">
              <a:extLst>
                <a:ext uri="{FF2B5EF4-FFF2-40B4-BE49-F238E27FC236}">
                  <a16:creationId xmlns:a16="http://schemas.microsoft.com/office/drawing/2014/main" id="{00000000-0008-0000-0100-000058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330" name="Group 354">
          <a:extLst>
            <a:ext uri="{FF2B5EF4-FFF2-40B4-BE49-F238E27FC236}">
              <a16:creationId xmlns:a16="http://schemas.microsoft.com/office/drawing/2014/main" id="{00000000-0008-0000-0100-000062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39" name="Picture 363" hidden="1">
            <a:extLst>
              <a:ext uri="{FF2B5EF4-FFF2-40B4-BE49-F238E27FC236}">
                <a16:creationId xmlns:a16="http://schemas.microsoft.com/office/drawing/2014/main" id="{00000000-0008-0000-0100-00006B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40" name="Picture 364" hidden="1">
            <a:extLst>
              <a:ext uri="{FF2B5EF4-FFF2-40B4-BE49-F238E27FC236}">
                <a16:creationId xmlns:a16="http://schemas.microsoft.com/office/drawing/2014/main" id="{00000000-0008-0000-0100-00006C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41" name="dropdown" hidden="1">
            <a:extLst>
              <a:ext uri="{FF2B5EF4-FFF2-40B4-BE49-F238E27FC236}">
                <a16:creationId xmlns:a16="http://schemas.microsoft.com/office/drawing/2014/main" id="{00000000-0008-0000-0100-00006D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42" name="그룹 53">
            <a:extLst>
              <a:ext uri="{FF2B5EF4-FFF2-40B4-BE49-F238E27FC236}">
                <a16:creationId xmlns:a16="http://schemas.microsoft.com/office/drawing/2014/main" id="{00000000-0008-0000-0100-00006E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43" name="Option Button 82" hidden="1">
              <a:extLst>
                <a:ext uri="{FF2B5EF4-FFF2-40B4-BE49-F238E27FC236}">
                  <a16:creationId xmlns:a16="http://schemas.microsoft.com/office/drawing/2014/main" id="{00000000-0008-0000-0100-00006F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44" name="Option Button 83" hidden="1">
              <a:extLst>
                <a:ext uri="{FF2B5EF4-FFF2-40B4-BE49-F238E27FC236}">
                  <a16:creationId xmlns:a16="http://schemas.microsoft.com/office/drawing/2014/main" id="{00000000-0008-0000-0100-000070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45" name="Option Button 84" hidden="1">
              <a:extLst>
                <a:ext uri="{FF2B5EF4-FFF2-40B4-BE49-F238E27FC236}">
                  <a16:creationId xmlns:a16="http://schemas.microsoft.com/office/drawing/2014/main" id="{00000000-0008-0000-0100-000071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331" name="Group 355">
          <a:extLst>
            <a:ext uri="{FF2B5EF4-FFF2-40B4-BE49-F238E27FC236}">
              <a16:creationId xmlns:a16="http://schemas.microsoft.com/office/drawing/2014/main" id="{00000000-0008-0000-0100-000063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32" name="Picture 356" hidden="1">
            <a:extLst>
              <a:ext uri="{FF2B5EF4-FFF2-40B4-BE49-F238E27FC236}">
                <a16:creationId xmlns:a16="http://schemas.microsoft.com/office/drawing/2014/main" id="{00000000-0008-0000-0100-000064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33" name="Picture 357" hidden="1">
            <a:extLst>
              <a:ext uri="{FF2B5EF4-FFF2-40B4-BE49-F238E27FC236}">
                <a16:creationId xmlns:a16="http://schemas.microsoft.com/office/drawing/2014/main" id="{00000000-0008-0000-0100-000065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34" name="dropdown" hidden="1">
            <a:extLst>
              <a:ext uri="{FF2B5EF4-FFF2-40B4-BE49-F238E27FC236}">
                <a16:creationId xmlns:a16="http://schemas.microsoft.com/office/drawing/2014/main" id="{00000000-0008-0000-0100-000066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35" name="그룹 77">
            <a:extLst>
              <a:ext uri="{FF2B5EF4-FFF2-40B4-BE49-F238E27FC236}">
                <a16:creationId xmlns:a16="http://schemas.microsoft.com/office/drawing/2014/main" id="{00000000-0008-0000-0100-000067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36" name="Option Button 82" hidden="1">
              <a:extLst>
                <a:ext uri="{FF2B5EF4-FFF2-40B4-BE49-F238E27FC236}">
                  <a16:creationId xmlns:a16="http://schemas.microsoft.com/office/drawing/2014/main" id="{00000000-0008-0000-0100-000068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37" name="Option Button 83" hidden="1">
              <a:extLst>
                <a:ext uri="{FF2B5EF4-FFF2-40B4-BE49-F238E27FC236}">
                  <a16:creationId xmlns:a16="http://schemas.microsoft.com/office/drawing/2014/main" id="{00000000-0008-0000-0100-000069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38" name="Option Button 84" hidden="1">
              <a:extLst>
                <a:ext uri="{FF2B5EF4-FFF2-40B4-BE49-F238E27FC236}">
                  <a16:creationId xmlns:a16="http://schemas.microsoft.com/office/drawing/2014/main" id="{00000000-0008-0000-0100-00006A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348" name="Group 372">
          <a:extLst>
            <a:ext uri="{FF2B5EF4-FFF2-40B4-BE49-F238E27FC236}">
              <a16:creationId xmlns:a16="http://schemas.microsoft.com/office/drawing/2014/main" id="{00000000-0008-0000-0100-000074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57" name="Picture 381" hidden="1">
            <a:extLst>
              <a:ext uri="{FF2B5EF4-FFF2-40B4-BE49-F238E27FC236}">
                <a16:creationId xmlns:a16="http://schemas.microsoft.com/office/drawing/2014/main" id="{00000000-0008-0000-0100-00007D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58" name="Picture 382" hidden="1">
            <a:extLst>
              <a:ext uri="{FF2B5EF4-FFF2-40B4-BE49-F238E27FC236}">
                <a16:creationId xmlns:a16="http://schemas.microsoft.com/office/drawing/2014/main" id="{00000000-0008-0000-0100-00007E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59" name="dropdown" hidden="1">
            <a:extLst>
              <a:ext uri="{FF2B5EF4-FFF2-40B4-BE49-F238E27FC236}">
                <a16:creationId xmlns:a16="http://schemas.microsoft.com/office/drawing/2014/main" id="{00000000-0008-0000-0100-00007F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60" name="그룹 53">
            <a:extLst>
              <a:ext uri="{FF2B5EF4-FFF2-40B4-BE49-F238E27FC236}">
                <a16:creationId xmlns:a16="http://schemas.microsoft.com/office/drawing/2014/main" id="{00000000-0008-0000-0100-000080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61" name="Option Button 82" hidden="1">
              <a:extLst>
                <a:ext uri="{FF2B5EF4-FFF2-40B4-BE49-F238E27FC236}">
                  <a16:creationId xmlns:a16="http://schemas.microsoft.com/office/drawing/2014/main" id="{00000000-0008-0000-0100-000081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62" name="Option Button 83" hidden="1">
              <a:extLst>
                <a:ext uri="{FF2B5EF4-FFF2-40B4-BE49-F238E27FC236}">
                  <a16:creationId xmlns:a16="http://schemas.microsoft.com/office/drawing/2014/main" id="{00000000-0008-0000-0100-000082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63" name="Option Button 84" hidden="1">
              <a:extLst>
                <a:ext uri="{FF2B5EF4-FFF2-40B4-BE49-F238E27FC236}">
                  <a16:creationId xmlns:a16="http://schemas.microsoft.com/office/drawing/2014/main" id="{00000000-0008-0000-0100-000083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349" name="Group 373">
          <a:extLst>
            <a:ext uri="{FF2B5EF4-FFF2-40B4-BE49-F238E27FC236}">
              <a16:creationId xmlns:a16="http://schemas.microsoft.com/office/drawing/2014/main" id="{00000000-0008-0000-0100-000075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50" name="Picture 374" hidden="1">
            <a:extLst>
              <a:ext uri="{FF2B5EF4-FFF2-40B4-BE49-F238E27FC236}">
                <a16:creationId xmlns:a16="http://schemas.microsoft.com/office/drawing/2014/main" id="{00000000-0008-0000-0100-000076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51" name="Picture 375" hidden="1">
            <a:extLst>
              <a:ext uri="{FF2B5EF4-FFF2-40B4-BE49-F238E27FC236}">
                <a16:creationId xmlns:a16="http://schemas.microsoft.com/office/drawing/2014/main" id="{00000000-0008-0000-0100-000077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52" name="dropdown" hidden="1">
            <a:extLst>
              <a:ext uri="{FF2B5EF4-FFF2-40B4-BE49-F238E27FC236}">
                <a16:creationId xmlns:a16="http://schemas.microsoft.com/office/drawing/2014/main" id="{00000000-0008-0000-0100-000078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53" name="그룹 77">
            <a:extLst>
              <a:ext uri="{FF2B5EF4-FFF2-40B4-BE49-F238E27FC236}">
                <a16:creationId xmlns:a16="http://schemas.microsoft.com/office/drawing/2014/main" id="{00000000-0008-0000-0100-000079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54" name="Option Button 82" hidden="1">
              <a:extLst>
                <a:ext uri="{FF2B5EF4-FFF2-40B4-BE49-F238E27FC236}">
                  <a16:creationId xmlns:a16="http://schemas.microsoft.com/office/drawing/2014/main" id="{00000000-0008-0000-0100-00007A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55" name="Option Button 83" hidden="1">
              <a:extLst>
                <a:ext uri="{FF2B5EF4-FFF2-40B4-BE49-F238E27FC236}">
                  <a16:creationId xmlns:a16="http://schemas.microsoft.com/office/drawing/2014/main" id="{00000000-0008-0000-0100-00007B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56" name="Option Button 84" hidden="1">
              <a:extLst>
                <a:ext uri="{FF2B5EF4-FFF2-40B4-BE49-F238E27FC236}">
                  <a16:creationId xmlns:a16="http://schemas.microsoft.com/office/drawing/2014/main" id="{00000000-0008-0000-0100-00007C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366" name="Group 390">
          <a:extLst>
            <a:ext uri="{FF2B5EF4-FFF2-40B4-BE49-F238E27FC236}">
              <a16:creationId xmlns:a16="http://schemas.microsoft.com/office/drawing/2014/main" id="{00000000-0008-0000-0100-000086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75" name="Picture 399" hidden="1">
            <a:extLst>
              <a:ext uri="{FF2B5EF4-FFF2-40B4-BE49-F238E27FC236}">
                <a16:creationId xmlns:a16="http://schemas.microsoft.com/office/drawing/2014/main" id="{00000000-0008-0000-0100-00008F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76" name="Picture 400" hidden="1">
            <a:extLst>
              <a:ext uri="{FF2B5EF4-FFF2-40B4-BE49-F238E27FC236}">
                <a16:creationId xmlns:a16="http://schemas.microsoft.com/office/drawing/2014/main" id="{00000000-0008-0000-0100-000090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77" name="dropdown" hidden="1">
            <a:extLst>
              <a:ext uri="{FF2B5EF4-FFF2-40B4-BE49-F238E27FC236}">
                <a16:creationId xmlns:a16="http://schemas.microsoft.com/office/drawing/2014/main" id="{00000000-0008-0000-0100-000091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78" name="그룹 53">
            <a:extLst>
              <a:ext uri="{FF2B5EF4-FFF2-40B4-BE49-F238E27FC236}">
                <a16:creationId xmlns:a16="http://schemas.microsoft.com/office/drawing/2014/main" id="{00000000-0008-0000-0100-000092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79" name="Option Button 82" hidden="1">
              <a:extLst>
                <a:ext uri="{FF2B5EF4-FFF2-40B4-BE49-F238E27FC236}">
                  <a16:creationId xmlns:a16="http://schemas.microsoft.com/office/drawing/2014/main" id="{00000000-0008-0000-0100-000093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80" name="Option Button 83" hidden="1">
              <a:extLst>
                <a:ext uri="{FF2B5EF4-FFF2-40B4-BE49-F238E27FC236}">
                  <a16:creationId xmlns:a16="http://schemas.microsoft.com/office/drawing/2014/main" id="{00000000-0008-0000-0100-000094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81" name="Option Button 84" hidden="1">
              <a:extLst>
                <a:ext uri="{FF2B5EF4-FFF2-40B4-BE49-F238E27FC236}">
                  <a16:creationId xmlns:a16="http://schemas.microsoft.com/office/drawing/2014/main" id="{00000000-0008-0000-0100-000095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367" name="Group 391">
          <a:extLst>
            <a:ext uri="{FF2B5EF4-FFF2-40B4-BE49-F238E27FC236}">
              <a16:creationId xmlns:a16="http://schemas.microsoft.com/office/drawing/2014/main" id="{00000000-0008-0000-0100-000087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68" name="Picture 392" hidden="1">
            <a:extLst>
              <a:ext uri="{FF2B5EF4-FFF2-40B4-BE49-F238E27FC236}">
                <a16:creationId xmlns:a16="http://schemas.microsoft.com/office/drawing/2014/main" id="{00000000-0008-0000-0100-000088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69" name="Picture 393" hidden="1">
            <a:extLst>
              <a:ext uri="{FF2B5EF4-FFF2-40B4-BE49-F238E27FC236}">
                <a16:creationId xmlns:a16="http://schemas.microsoft.com/office/drawing/2014/main" id="{00000000-0008-0000-0100-000089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70" name="dropdown" hidden="1">
            <a:extLst>
              <a:ext uri="{FF2B5EF4-FFF2-40B4-BE49-F238E27FC236}">
                <a16:creationId xmlns:a16="http://schemas.microsoft.com/office/drawing/2014/main" id="{00000000-0008-0000-0100-00008A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71" name="그룹 77">
            <a:extLst>
              <a:ext uri="{FF2B5EF4-FFF2-40B4-BE49-F238E27FC236}">
                <a16:creationId xmlns:a16="http://schemas.microsoft.com/office/drawing/2014/main" id="{00000000-0008-0000-0100-00008B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72" name="Option Button 82" hidden="1">
              <a:extLst>
                <a:ext uri="{FF2B5EF4-FFF2-40B4-BE49-F238E27FC236}">
                  <a16:creationId xmlns:a16="http://schemas.microsoft.com/office/drawing/2014/main" id="{00000000-0008-0000-0100-00008C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73" name="Option Button 83" hidden="1">
              <a:extLst>
                <a:ext uri="{FF2B5EF4-FFF2-40B4-BE49-F238E27FC236}">
                  <a16:creationId xmlns:a16="http://schemas.microsoft.com/office/drawing/2014/main" id="{00000000-0008-0000-0100-00008D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74" name="Option Button 84" hidden="1">
              <a:extLst>
                <a:ext uri="{FF2B5EF4-FFF2-40B4-BE49-F238E27FC236}">
                  <a16:creationId xmlns:a16="http://schemas.microsoft.com/office/drawing/2014/main" id="{00000000-0008-0000-0100-00008E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384" name="Group 408">
          <a:extLst>
            <a:ext uri="{FF2B5EF4-FFF2-40B4-BE49-F238E27FC236}">
              <a16:creationId xmlns:a16="http://schemas.microsoft.com/office/drawing/2014/main" id="{00000000-0008-0000-0100-000098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93" name="Picture 417" hidden="1">
            <a:extLst>
              <a:ext uri="{FF2B5EF4-FFF2-40B4-BE49-F238E27FC236}">
                <a16:creationId xmlns:a16="http://schemas.microsoft.com/office/drawing/2014/main" id="{00000000-0008-0000-0100-0000A1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94" name="Picture 418" hidden="1">
            <a:extLst>
              <a:ext uri="{FF2B5EF4-FFF2-40B4-BE49-F238E27FC236}">
                <a16:creationId xmlns:a16="http://schemas.microsoft.com/office/drawing/2014/main" id="{00000000-0008-0000-0100-0000A2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95" name="dropdown" hidden="1">
            <a:extLst>
              <a:ext uri="{FF2B5EF4-FFF2-40B4-BE49-F238E27FC236}">
                <a16:creationId xmlns:a16="http://schemas.microsoft.com/office/drawing/2014/main" id="{00000000-0008-0000-0100-0000A3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96" name="그룹 53">
            <a:extLst>
              <a:ext uri="{FF2B5EF4-FFF2-40B4-BE49-F238E27FC236}">
                <a16:creationId xmlns:a16="http://schemas.microsoft.com/office/drawing/2014/main" id="{00000000-0008-0000-0100-0000A4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97" name="Option Button 82" hidden="1">
              <a:extLst>
                <a:ext uri="{FF2B5EF4-FFF2-40B4-BE49-F238E27FC236}">
                  <a16:creationId xmlns:a16="http://schemas.microsoft.com/office/drawing/2014/main" id="{00000000-0008-0000-0100-0000A5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98" name="Option Button 83" hidden="1">
              <a:extLst>
                <a:ext uri="{FF2B5EF4-FFF2-40B4-BE49-F238E27FC236}">
                  <a16:creationId xmlns:a16="http://schemas.microsoft.com/office/drawing/2014/main" id="{00000000-0008-0000-0100-0000A6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99" name="Option Button 84" hidden="1">
              <a:extLst>
                <a:ext uri="{FF2B5EF4-FFF2-40B4-BE49-F238E27FC236}">
                  <a16:creationId xmlns:a16="http://schemas.microsoft.com/office/drawing/2014/main" id="{00000000-0008-0000-0100-0000A7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385" name="Group 409">
          <a:extLst>
            <a:ext uri="{FF2B5EF4-FFF2-40B4-BE49-F238E27FC236}">
              <a16:creationId xmlns:a16="http://schemas.microsoft.com/office/drawing/2014/main" id="{00000000-0008-0000-0100-000099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386" name="Picture 410" hidden="1">
            <a:extLst>
              <a:ext uri="{FF2B5EF4-FFF2-40B4-BE49-F238E27FC236}">
                <a16:creationId xmlns:a16="http://schemas.microsoft.com/office/drawing/2014/main" id="{00000000-0008-0000-0100-00009A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87" name="Picture 411" hidden="1">
            <a:extLst>
              <a:ext uri="{FF2B5EF4-FFF2-40B4-BE49-F238E27FC236}">
                <a16:creationId xmlns:a16="http://schemas.microsoft.com/office/drawing/2014/main" id="{00000000-0008-0000-0100-00009B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388" name="dropdown" hidden="1">
            <a:extLst>
              <a:ext uri="{FF2B5EF4-FFF2-40B4-BE49-F238E27FC236}">
                <a16:creationId xmlns:a16="http://schemas.microsoft.com/office/drawing/2014/main" id="{00000000-0008-0000-0100-00009C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389" name="그룹 77">
            <a:extLst>
              <a:ext uri="{FF2B5EF4-FFF2-40B4-BE49-F238E27FC236}">
                <a16:creationId xmlns:a16="http://schemas.microsoft.com/office/drawing/2014/main" id="{00000000-0008-0000-0100-00009D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390" name="Option Button 82" hidden="1">
              <a:extLst>
                <a:ext uri="{FF2B5EF4-FFF2-40B4-BE49-F238E27FC236}">
                  <a16:creationId xmlns:a16="http://schemas.microsoft.com/office/drawing/2014/main" id="{00000000-0008-0000-0100-00009E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91" name="Option Button 83" hidden="1">
              <a:extLst>
                <a:ext uri="{FF2B5EF4-FFF2-40B4-BE49-F238E27FC236}">
                  <a16:creationId xmlns:a16="http://schemas.microsoft.com/office/drawing/2014/main" id="{00000000-0008-0000-0100-00009F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392" name="Option Button 84" hidden="1">
              <a:extLst>
                <a:ext uri="{FF2B5EF4-FFF2-40B4-BE49-F238E27FC236}">
                  <a16:creationId xmlns:a16="http://schemas.microsoft.com/office/drawing/2014/main" id="{00000000-0008-0000-0100-0000A0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02" name="Group 426">
          <a:extLst>
            <a:ext uri="{FF2B5EF4-FFF2-40B4-BE49-F238E27FC236}">
              <a16:creationId xmlns:a16="http://schemas.microsoft.com/office/drawing/2014/main" id="{00000000-0008-0000-0100-0000AA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11" name="Picture 435" hidden="1">
            <a:extLst>
              <a:ext uri="{FF2B5EF4-FFF2-40B4-BE49-F238E27FC236}">
                <a16:creationId xmlns:a16="http://schemas.microsoft.com/office/drawing/2014/main" id="{00000000-0008-0000-0100-0000B3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12" name="Picture 436" hidden="1">
            <a:extLst>
              <a:ext uri="{FF2B5EF4-FFF2-40B4-BE49-F238E27FC236}">
                <a16:creationId xmlns:a16="http://schemas.microsoft.com/office/drawing/2014/main" id="{00000000-0008-0000-0100-0000B4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13" name="dropdown" hidden="1">
            <a:extLst>
              <a:ext uri="{FF2B5EF4-FFF2-40B4-BE49-F238E27FC236}">
                <a16:creationId xmlns:a16="http://schemas.microsoft.com/office/drawing/2014/main" id="{00000000-0008-0000-0100-0000B5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14" name="그룹 53">
            <a:extLst>
              <a:ext uri="{FF2B5EF4-FFF2-40B4-BE49-F238E27FC236}">
                <a16:creationId xmlns:a16="http://schemas.microsoft.com/office/drawing/2014/main" id="{00000000-0008-0000-0100-0000B6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15" name="Option Button 82" hidden="1">
              <a:extLst>
                <a:ext uri="{FF2B5EF4-FFF2-40B4-BE49-F238E27FC236}">
                  <a16:creationId xmlns:a16="http://schemas.microsoft.com/office/drawing/2014/main" id="{00000000-0008-0000-0100-0000B7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16" name="Option Button 83" hidden="1">
              <a:extLst>
                <a:ext uri="{FF2B5EF4-FFF2-40B4-BE49-F238E27FC236}">
                  <a16:creationId xmlns:a16="http://schemas.microsoft.com/office/drawing/2014/main" id="{00000000-0008-0000-0100-0000B8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17" name="Option Button 84" hidden="1">
              <a:extLst>
                <a:ext uri="{FF2B5EF4-FFF2-40B4-BE49-F238E27FC236}">
                  <a16:creationId xmlns:a16="http://schemas.microsoft.com/office/drawing/2014/main" id="{00000000-0008-0000-0100-0000B9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03" name="Group 427">
          <a:extLst>
            <a:ext uri="{FF2B5EF4-FFF2-40B4-BE49-F238E27FC236}">
              <a16:creationId xmlns:a16="http://schemas.microsoft.com/office/drawing/2014/main" id="{00000000-0008-0000-0100-0000AB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04" name="Picture 428" hidden="1">
            <a:extLst>
              <a:ext uri="{FF2B5EF4-FFF2-40B4-BE49-F238E27FC236}">
                <a16:creationId xmlns:a16="http://schemas.microsoft.com/office/drawing/2014/main" id="{00000000-0008-0000-0100-0000AC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05" name="Picture 429" hidden="1">
            <a:extLst>
              <a:ext uri="{FF2B5EF4-FFF2-40B4-BE49-F238E27FC236}">
                <a16:creationId xmlns:a16="http://schemas.microsoft.com/office/drawing/2014/main" id="{00000000-0008-0000-0100-0000AD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06" name="dropdown" hidden="1">
            <a:extLst>
              <a:ext uri="{FF2B5EF4-FFF2-40B4-BE49-F238E27FC236}">
                <a16:creationId xmlns:a16="http://schemas.microsoft.com/office/drawing/2014/main" id="{00000000-0008-0000-0100-0000AE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07" name="그룹 77">
            <a:extLst>
              <a:ext uri="{FF2B5EF4-FFF2-40B4-BE49-F238E27FC236}">
                <a16:creationId xmlns:a16="http://schemas.microsoft.com/office/drawing/2014/main" id="{00000000-0008-0000-0100-0000AF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08" name="Option Button 82" hidden="1">
              <a:extLst>
                <a:ext uri="{FF2B5EF4-FFF2-40B4-BE49-F238E27FC236}">
                  <a16:creationId xmlns:a16="http://schemas.microsoft.com/office/drawing/2014/main" id="{00000000-0008-0000-0100-0000B0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09" name="Option Button 83" hidden="1">
              <a:extLst>
                <a:ext uri="{FF2B5EF4-FFF2-40B4-BE49-F238E27FC236}">
                  <a16:creationId xmlns:a16="http://schemas.microsoft.com/office/drawing/2014/main" id="{00000000-0008-0000-0100-0000B1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10" name="Option Button 84" hidden="1">
              <a:extLst>
                <a:ext uri="{FF2B5EF4-FFF2-40B4-BE49-F238E27FC236}">
                  <a16:creationId xmlns:a16="http://schemas.microsoft.com/office/drawing/2014/main" id="{00000000-0008-0000-0100-0000B2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20" name="Group 444">
          <a:extLst>
            <a:ext uri="{FF2B5EF4-FFF2-40B4-BE49-F238E27FC236}">
              <a16:creationId xmlns:a16="http://schemas.microsoft.com/office/drawing/2014/main" id="{00000000-0008-0000-0100-0000BC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29" name="Picture 453" hidden="1">
            <a:extLst>
              <a:ext uri="{FF2B5EF4-FFF2-40B4-BE49-F238E27FC236}">
                <a16:creationId xmlns:a16="http://schemas.microsoft.com/office/drawing/2014/main" id="{00000000-0008-0000-0100-0000C5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30" name="Picture 454" hidden="1">
            <a:extLst>
              <a:ext uri="{FF2B5EF4-FFF2-40B4-BE49-F238E27FC236}">
                <a16:creationId xmlns:a16="http://schemas.microsoft.com/office/drawing/2014/main" id="{00000000-0008-0000-0100-0000C6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31" name="dropdown" hidden="1">
            <a:extLst>
              <a:ext uri="{FF2B5EF4-FFF2-40B4-BE49-F238E27FC236}">
                <a16:creationId xmlns:a16="http://schemas.microsoft.com/office/drawing/2014/main" id="{00000000-0008-0000-0100-0000C7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32" name="그룹 53">
            <a:extLst>
              <a:ext uri="{FF2B5EF4-FFF2-40B4-BE49-F238E27FC236}">
                <a16:creationId xmlns:a16="http://schemas.microsoft.com/office/drawing/2014/main" id="{00000000-0008-0000-0100-0000C8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33" name="Option Button 82" hidden="1">
              <a:extLst>
                <a:ext uri="{FF2B5EF4-FFF2-40B4-BE49-F238E27FC236}">
                  <a16:creationId xmlns:a16="http://schemas.microsoft.com/office/drawing/2014/main" id="{00000000-0008-0000-0100-0000C9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34" name="Option Button 83" hidden="1">
              <a:extLst>
                <a:ext uri="{FF2B5EF4-FFF2-40B4-BE49-F238E27FC236}">
                  <a16:creationId xmlns:a16="http://schemas.microsoft.com/office/drawing/2014/main" id="{00000000-0008-0000-0100-0000CA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35" name="Option Button 84" hidden="1">
              <a:extLst>
                <a:ext uri="{FF2B5EF4-FFF2-40B4-BE49-F238E27FC236}">
                  <a16:creationId xmlns:a16="http://schemas.microsoft.com/office/drawing/2014/main" id="{00000000-0008-0000-0100-0000CB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21" name="Group 445">
          <a:extLst>
            <a:ext uri="{FF2B5EF4-FFF2-40B4-BE49-F238E27FC236}">
              <a16:creationId xmlns:a16="http://schemas.microsoft.com/office/drawing/2014/main" id="{00000000-0008-0000-0100-0000BD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22" name="Picture 446" hidden="1">
            <a:extLst>
              <a:ext uri="{FF2B5EF4-FFF2-40B4-BE49-F238E27FC236}">
                <a16:creationId xmlns:a16="http://schemas.microsoft.com/office/drawing/2014/main" id="{00000000-0008-0000-0100-0000BE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23" name="Picture 447" hidden="1">
            <a:extLst>
              <a:ext uri="{FF2B5EF4-FFF2-40B4-BE49-F238E27FC236}">
                <a16:creationId xmlns:a16="http://schemas.microsoft.com/office/drawing/2014/main" id="{00000000-0008-0000-0100-0000BF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24" name="dropdown" hidden="1">
            <a:extLst>
              <a:ext uri="{FF2B5EF4-FFF2-40B4-BE49-F238E27FC236}">
                <a16:creationId xmlns:a16="http://schemas.microsoft.com/office/drawing/2014/main" id="{00000000-0008-0000-0100-0000C0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25" name="그룹 77">
            <a:extLst>
              <a:ext uri="{FF2B5EF4-FFF2-40B4-BE49-F238E27FC236}">
                <a16:creationId xmlns:a16="http://schemas.microsoft.com/office/drawing/2014/main" id="{00000000-0008-0000-0100-0000C1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26" name="Option Button 82" hidden="1">
              <a:extLst>
                <a:ext uri="{FF2B5EF4-FFF2-40B4-BE49-F238E27FC236}">
                  <a16:creationId xmlns:a16="http://schemas.microsoft.com/office/drawing/2014/main" id="{00000000-0008-0000-0100-0000C2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27" name="Option Button 83" hidden="1">
              <a:extLst>
                <a:ext uri="{FF2B5EF4-FFF2-40B4-BE49-F238E27FC236}">
                  <a16:creationId xmlns:a16="http://schemas.microsoft.com/office/drawing/2014/main" id="{00000000-0008-0000-0100-0000C3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28" name="Option Button 84" hidden="1">
              <a:extLst>
                <a:ext uri="{FF2B5EF4-FFF2-40B4-BE49-F238E27FC236}">
                  <a16:creationId xmlns:a16="http://schemas.microsoft.com/office/drawing/2014/main" id="{00000000-0008-0000-0100-0000C4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38" name="Group 462">
          <a:extLst>
            <a:ext uri="{FF2B5EF4-FFF2-40B4-BE49-F238E27FC236}">
              <a16:creationId xmlns:a16="http://schemas.microsoft.com/office/drawing/2014/main" id="{00000000-0008-0000-0100-0000CE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47" name="Picture 471" hidden="1">
            <a:extLst>
              <a:ext uri="{FF2B5EF4-FFF2-40B4-BE49-F238E27FC236}">
                <a16:creationId xmlns:a16="http://schemas.microsoft.com/office/drawing/2014/main" id="{00000000-0008-0000-0100-0000D7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48" name="Picture 472" hidden="1">
            <a:extLst>
              <a:ext uri="{FF2B5EF4-FFF2-40B4-BE49-F238E27FC236}">
                <a16:creationId xmlns:a16="http://schemas.microsoft.com/office/drawing/2014/main" id="{00000000-0008-0000-0100-0000D8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49" name="dropdown" hidden="1">
            <a:extLst>
              <a:ext uri="{FF2B5EF4-FFF2-40B4-BE49-F238E27FC236}">
                <a16:creationId xmlns:a16="http://schemas.microsoft.com/office/drawing/2014/main" id="{00000000-0008-0000-0100-0000D9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50" name="그룹 53">
            <a:extLst>
              <a:ext uri="{FF2B5EF4-FFF2-40B4-BE49-F238E27FC236}">
                <a16:creationId xmlns:a16="http://schemas.microsoft.com/office/drawing/2014/main" id="{00000000-0008-0000-0100-0000DA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51" name="Option Button 82" hidden="1">
              <a:extLst>
                <a:ext uri="{FF2B5EF4-FFF2-40B4-BE49-F238E27FC236}">
                  <a16:creationId xmlns:a16="http://schemas.microsoft.com/office/drawing/2014/main" id="{00000000-0008-0000-0100-0000DB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52" name="Option Button 83" hidden="1">
              <a:extLst>
                <a:ext uri="{FF2B5EF4-FFF2-40B4-BE49-F238E27FC236}">
                  <a16:creationId xmlns:a16="http://schemas.microsoft.com/office/drawing/2014/main" id="{00000000-0008-0000-0100-0000DC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53" name="Option Button 84" hidden="1">
              <a:extLst>
                <a:ext uri="{FF2B5EF4-FFF2-40B4-BE49-F238E27FC236}">
                  <a16:creationId xmlns:a16="http://schemas.microsoft.com/office/drawing/2014/main" id="{00000000-0008-0000-0100-0000DD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39" name="Group 463">
          <a:extLst>
            <a:ext uri="{FF2B5EF4-FFF2-40B4-BE49-F238E27FC236}">
              <a16:creationId xmlns:a16="http://schemas.microsoft.com/office/drawing/2014/main" id="{00000000-0008-0000-0100-0000CF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40" name="Picture 464" hidden="1">
            <a:extLst>
              <a:ext uri="{FF2B5EF4-FFF2-40B4-BE49-F238E27FC236}">
                <a16:creationId xmlns:a16="http://schemas.microsoft.com/office/drawing/2014/main" id="{00000000-0008-0000-0100-0000D0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41" name="Picture 465" hidden="1">
            <a:extLst>
              <a:ext uri="{FF2B5EF4-FFF2-40B4-BE49-F238E27FC236}">
                <a16:creationId xmlns:a16="http://schemas.microsoft.com/office/drawing/2014/main" id="{00000000-0008-0000-0100-0000D1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42" name="dropdown" hidden="1">
            <a:extLst>
              <a:ext uri="{FF2B5EF4-FFF2-40B4-BE49-F238E27FC236}">
                <a16:creationId xmlns:a16="http://schemas.microsoft.com/office/drawing/2014/main" id="{00000000-0008-0000-0100-0000D2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43" name="그룹 77">
            <a:extLst>
              <a:ext uri="{FF2B5EF4-FFF2-40B4-BE49-F238E27FC236}">
                <a16:creationId xmlns:a16="http://schemas.microsoft.com/office/drawing/2014/main" id="{00000000-0008-0000-0100-0000D3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44" name="Option Button 82" hidden="1">
              <a:extLst>
                <a:ext uri="{FF2B5EF4-FFF2-40B4-BE49-F238E27FC236}">
                  <a16:creationId xmlns:a16="http://schemas.microsoft.com/office/drawing/2014/main" id="{00000000-0008-0000-0100-0000D4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45" name="Option Button 83" hidden="1">
              <a:extLst>
                <a:ext uri="{FF2B5EF4-FFF2-40B4-BE49-F238E27FC236}">
                  <a16:creationId xmlns:a16="http://schemas.microsoft.com/office/drawing/2014/main" id="{00000000-0008-0000-0100-0000D5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46" name="Option Button 84" hidden="1">
              <a:extLst>
                <a:ext uri="{FF2B5EF4-FFF2-40B4-BE49-F238E27FC236}">
                  <a16:creationId xmlns:a16="http://schemas.microsoft.com/office/drawing/2014/main" id="{00000000-0008-0000-0100-0000D6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56" name="Group 480">
          <a:extLst>
            <a:ext uri="{FF2B5EF4-FFF2-40B4-BE49-F238E27FC236}">
              <a16:creationId xmlns:a16="http://schemas.microsoft.com/office/drawing/2014/main" id="{00000000-0008-0000-0100-0000E0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65" name="Picture 489" hidden="1">
            <a:extLst>
              <a:ext uri="{FF2B5EF4-FFF2-40B4-BE49-F238E27FC236}">
                <a16:creationId xmlns:a16="http://schemas.microsoft.com/office/drawing/2014/main" id="{00000000-0008-0000-0100-0000E9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66" name="Picture 490" hidden="1">
            <a:extLst>
              <a:ext uri="{FF2B5EF4-FFF2-40B4-BE49-F238E27FC236}">
                <a16:creationId xmlns:a16="http://schemas.microsoft.com/office/drawing/2014/main" id="{00000000-0008-0000-0100-0000EA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67" name="dropdown" hidden="1">
            <a:extLst>
              <a:ext uri="{FF2B5EF4-FFF2-40B4-BE49-F238E27FC236}">
                <a16:creationId xmlns:a16="http://schemas.microsoft.com/office/drawing/2014/main" id="{00000000-0008-0000-0100-0000EB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68" name="그룹 53">
            <a:extLst>
              <a:ext uri="{FF2B5EF4-FFF2-40B4-BE49-F238E27FC236}">
                <a16:creationId xmlns:a16="http://schemas.microsoft.com/office/drawing/2014/main" id="{00000000-0008-0000-0100-0000EC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69" name="Option Button 82" hidden="1">
              <a:extLst>
                <a:ext uri="{FF2B5EF4-FFF2-40B4-BE49-F238E27FC236}">
                  <a16:creationId xmlns:a16="http://schemas.microsoft.com/office/drawing/2014/main" id="{00000000-0008-0000-0100-0000ED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70" name="Option Button 83" hidden="1">
              <a:extLst>
                <a:ext uri="{FF2B5EF4-FFF2-40B4-BE49-F238E27FC236}">
                  <a16:creationId xmlns:a16="http://schemas.microsoft.com/office/drawing/2014/main" id="{00000000-0008-0000-0100-0000EE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71" name="Option Button 84" hidden="1">
              <a:extLst>
                <a:ext uri="{FF2B5EF4-FFF2-40B4-BE49-F238E27FC236}">
                  <a16:creationId xmlns:a16="http://schemas.microsoft.com/office/drawing/2014/main" id="{00000000-0008-0000-0100-0000EF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57" name="Group 481">
          <a:extLst>
            <a:ext uri="{FF2B5EF4-FFF2-40B4-BE49-F238E27FC236}">
              <a16:creationId xmlns:a16="http://schemas.microsoft.com/office/drawing/2014/main" id="{00000000-0008-0000-0100-0000E1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58" name="Picture 482" hidden="1">
            <a:extLst>
              <a:ext uri="{FF2B5EF4-FFF2-40B4-BE49-F238E27FC236}">
                <a16:creationId xmlns:a16="http://schemas.microsoft.com/office/drawing/2014/main" id="{00000000-0008-0000-0100-0000E2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59" name="Picture 483" hidden="1">
            <a:extLst>
              <a:ext uri="{FF2B5EF4-FFF2-40B4-BE49-F238E27FC236}">
                <a16:creationId xmlns:a16="http://schemas.microsoft.com/office/drawing/2014/main" id="{00000000-0008-0000-0100-0000E3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60" name="dropdown" hidden="1">
            <a:extLst>
              <a:ext uri="{FF2B5EF4-FFF2-40B4-BE49-F238E27FC236}">
                <a16:creationId xmlns:a16="http://schemas.microsoft.com/office/drawing/2014/main" id="{00000000-0008-0000-0100-0000E4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61" name="그룹 77">
            <a:extLst>
              <a:ext uri="{FF2B5EF4-FFF2-40B4-BE49-F238E27FC236}">
                <a16:creationId xmlns:a16="http://schemas.microsoft.com/office/drawing/2014/main" id="{00000000-0008-0000-0100-0000E5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62" name="Option Button 82" hidden="1">
              <a:extLst>
                <a:ext uri="{FF2B5EF4-FFF2-40B4-BE49-F238E27FC236}">
                  <a16:creationId xmlns:a16="http://schemas.microsoft.com/office/drawing/2014/main" id="{00000000-0008-0000-0100-0000E6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63" name="Option Button 83" hidden="1">
              <a:extLst>
                <a:ext uri="{FF2B5EF4-FFF2-40B4-BE49-F238E27FC236}">
                  <a16:creationId xmlns:a16="http://schemas.microsoft.com/office/drawing/2014/main" id="{00000000-0008-0000-0100-0000E7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64" name="Option Button 84" hidden="1">
              <a:extLst>
                <a:ext uri="{FF2B5EF4-FFF2-40B4-BE49-F238E27FC236}">
                  <a16:creationId xmlns:a16="http://schemas.microsoft.com/office/drawing/2014/main" id="{00000000-0008-0000-0100-0000E8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74" name="Group 498">
          <a:extLst>
            <a:ext uri="{FF2B5EF4-FFF2-40B4-BE49-F238E27FC236}">
              <a16:creationId xmlns:a16="http://schemas.microsoft.com/office/drawing/2014/main" id="{00000000-0008-0000-0100-0000F2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83" name="Picture 507" hidden="1">
            <a:extLst>
              <a:ext uri="{FF2B5EF4-FFF2-40B4-BE49-F238E27FC236}">
                <a16:creationId xmlns:a16="http://schemas.microsoft.com/office/drawing/2014/main" id="{00000000-0008-0000-0100-0000FB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84" name="Picture 508" hidden="1">
            <a:extLst>
              <a:ext uri="{FF2B5EF4-FFF2-40B4-BE49-F238E27FC236}">
                <a16:creationId xmlns:a16="http://schemas.microsoft.com/office/drawing/2014/main" id="{00000000-0008-0000-0100-0000FC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85" name="dropdown" hidden="1">
            <a:extLst>
              <a:ext uri="{FF2B5EF4-FFF2-40B4-BE49-F238E27FC236}">
                <a16:creationId xmlns:a16="http://schemas.microsoft.com/office/drawing/2014/main" id="{00000000-0008-0000-0100-0000FD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86" name="그룹 53">
            <a:extLst>
              <a:ext uri="{FF2B5EF4-FFF2-40B4-BE49-F238E27FC236}">
                <a16:creationId xmlns:a16="http://schemas.microsoft.com/office/drawing/2014/main" id="{00000000-0008-0000-0100-0000FE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87" name="Option Button 82" hidden="1">
              <a:extLst>
                <a:ext uri="{FF2B5EF4-FFF2-40B4-BE49-F238E27FC236}">
                  <a16:creationId xmlns:a16="http://schemas.microsoft.com/office/drawing/2014/main" id="{00000000-0008-0000-0100-0000FF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88" name="Option Button 83" hidden="1">
              <a:extLst>
                <a:ext uri="{FF2B5EF4-FFF2-40B4-BE49-F238E27FC236}">
                  <a16:creationId xmlns:a16="http://schemas.microsoft.com/office/drawing/2014/main" id="{00000000-0008-0000-0100-000000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89" name="Option Button 84" hidden="1">
              <a:extLst>
                <a:ext uri="{FF2B5EF4-FFF2-40B4-BE49-F238E27FC236}">
                  <a16:creationId xmlns:a16="http://schemas.microsoft.com/office/drawing/2014/main" id="{00000000-0008-0000-0100-000001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75" name="Group 499">
          <a:extLst>
            <a:ext uri="{FF2B5EF4-FFF2-40B4-BE49-F238E27FC236}">
              <a16:creationId xmlns:a16="http://schemas.microsoft.com/office/drawing/2014/main" id="{00000000-0008-0000-0100-0000F3D9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76" name="Picture 500" hidden="1">
            <a:extLst>
              <a:ext uri="{FF2B5EF4-FFF2-40B4-BE49-F238E27FC236}">
                <a16:creationId xmlns:a16="http://schemas.microsoft.com/office/drawing/2014/main" id="{00000000-0008-0000-0100-0000F4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77" name="Picture 501" hidden="1">
            <a:extLst>
              <a:ext uri="{FF2B5EF4-FFF2-40B4-BE49-F238E27FC236}">
                <a16:creationId xmlns:a16="http://schemas.microsoft.com/office/drawing/2014/main" id="{00000000-0008-0000-0100-0000F5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78" name="dropdown" hidden="1">
            <a:extLst>
              <a:ext uri="{FF2B5EF4-FFF2-40B4-BE49-F238E27FC236}">
                <a16:creationId xmlns:a16="http://schemas.microsoft.com/office/drawing/2014/main" id="{00000000-0008-0000-0100-0000F6D9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79" name="그룹 77">
            <a:extLst>
              <a:ext uri="{FF2B5EF4-FFF2-40B4-BE49-F238E27FC236}">
                <a16:creationId xmlns:a16="http://schemas.microsoft.com/office/drawing/2014/main" id="{00000000-0008-0000-0100-0000F7D9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80" name="Option Button 82" hidden="1">
              <a:extLst>
                <a:ext uri="{FF2B5EF4-FFF2-40B4-BE49-F238E27FC236}">
                  <a16:creationId xmlns:a16="http://schemas.microsoft.com/office/drawing/2014/main" id="{00000000-0008-0000-0100-0000F8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81" name="Option Button 83" hidden="1">
              <a:extLst>
                <a:ext uri="{FF2B5EF4-FFF2-40B4-BE49-F238E27FC236}">
                  <a16:creationId xmlns:a16="http://schemas.microsoft.com/office/drawing/2014/main" id="{00000000-0008-0000-0100-0000F9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82" name="Option Button 84" hidden="1">
              <a:extLst>
                <a:ext uri="{FF2B5EF4-FFF2-40B4-BE49-F238E27FC236}">
                  <a16:creationId xmlns:a16="http://schemas.microsoft.com/office/drawing/2014/main" id="{00000000-0008-0000-0100-0000FAD9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92" name="Group 516">
          <a:extLst>
            <a:ext uri="{FF2B5EF4-FFF2-40B4-BE49-F238E27FC236}">
              <a16:creationId xmlns:a16="http://schemas.microsoft.com/office/drawing/2014/main" id="{00000000-0008-0000-0100-000004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01" name="Picture 525" hidden="1">
            <a:extLst>
              <a:ext uri="{FF2B5EF4-FFF2-40B4-BE49-F238E27FC236}">
                <a16:creationId xmlns:a16="http://schemas.microsoft.com/office/drawing/2014/main" id="{00000000-0008-0000-0100-00000D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02" name="Picture 526" hidden="1">
            <a:extLst>
              <a:ext uri="{FF2B5EF4-FFF2-40B4-BE49-F238E27FC236}">
                <a16:creationId xmlns:a16="http://schemas.microsoft.com/office/drawing/2014/main" id="{00000000-0008-0000-0100-00000E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03" name="dropdown" hidden="1">
            <a:extLst>
              <a:ext uri="{FF2B5EF4-FFF2-40B4-BE49-F238E27FC236}">
                <a16:creationId xmlns:a16="http://schemas.microsoft.com/office/drawing/2014/main" id="{00000000-0008-0000-0100-00000F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04" name="그룹 53">
            <a:extLst>
              <a:ext uri="{FF2B5EF4-FFF2-40B4-BE49-F238E27FC236}">
                <a16:creationId xmlns:a16="http://schemas.microsoft.com/office/drawing/2014/main" id="{00000000-0008-0000-0100-000010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05" name="Option Button 82" hidden="1">
              <a:extLst>
                <a:ext uri="{FF2B5EF4-FFF2-40B4-BE49-F238E27FC236}">
                  <a16:creationId xmlns:a16="http://schemas.microsoft.com/office/drawing/2014/main" id="{00000000-0008-0000-0100-000011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06" name="Option Button 83" hidden="1">
              <a:extLst>
                <a:ext uri="{FF2B5EF4-FFF2-40B4-BE49-F238E27FC236}">
                  <a16:creationId xmlns:a16="http://schemas.microsoft.com/office/drawing/2014/main" id="{00000000-0008-0000-0100-000012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07" name="Option Button 84" hidden="1">
              <a:extLst>
                <a:ext uri="{FF2B5EF4-FFF2-40B4-BE49-F238E27FC236}">
                  <a16:creationId xmlns:a16="http://schemas.microsoft.com/office/drawing/2014/main" id="{00000000-0008-0000-0100-000013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493" name="Group 517">
          <a:extLst>
            <a:ext uri="{FF2B5EF4-FFF2-40B4-BE49-F238E27FC236}">
              <a16:creationId xmlns:a16="http://schemas.microsoft.com/office/drawing/2014/main" id="{00000000-0008-0000-0100-000005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494" name="Picture 518" hidden="1">
            <a:extLst>
              <a:ext uri="{FF2B5EF4-FFF2-40B4-BE49-F238E27FC236}">
                <a16:creationId xmlns:a16="http://schemas.microsoft.com/office/drawing/2014/main" id="{00000000-0008-0000-0100-000006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95" name="Picture 519" hidden="1">
            <a:extLst>
              <a:ext uri="{FF2B5EF4-FFF2-40B4-BE49-F238E27FC236}">
                <a16:creationId xmlns:a16="http://schemas.microsoft.com/office/drawing/2014/main" id="{00000000-0008-0000-0100-000007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496" name="dropdown" hidden="1">
            <a:extLst>
              <a:ext uri="{FF2B5EF4-FFF2-40B4-BE49-F238E27FC236}">
                <a16:creationId xmlns:a16="http://schemas.microsoft.com/office/drawing/2014/main" id="{00000000-0008-0000-0100-000008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497" name="그룹 77">
            <a:extLst>
              <a:ext uri="{FF2B5EF4-FFF2-40B4-BE49-F238E27FC236}">
                <a16:creationId xmlns:a16="http://schemas.microsoft.com/office/drawing/2014/main" id="{00000000-0008-0000-0100-000009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498" name="Option Button 82" hidden="1">
              <a:extLst>
                <a:ext uri="{FF2B5EF4-FFF2-40B4-BE49-F238E27FC236}">
                  <a16:creationId xmlns:a16="http://schemas.microsoft.com/office/drawing/2014/main" id="{00000000-0008-0000-0100-00000A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499" name="Option Button 83" hidden="1">
              <a:extLst>
                <a:ext uri="{FF2B5EF4-FFF2-40B4-BE49-F238E27FC236}">
                  <a16:creationId xmlns:a16="http://schemas.microsoft.com/office/drawing/2014/main" id="{00000000-0008-0000-0100-00000B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00" name="Option Button 84" hidden="1">
              <a:extLst>
                <a:ext uri="{FF2B5EF4-FFF2-40B4-BE49-F238E27FC236}">
                  <a16:creationId xmlns:a16="http://schemas.microsoft.com/office/drawing/2014/main" id="{00000000-0008-0000-0100-00000C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510" name="Group 534">
          <a:extLst>
            <a:ext uri="{FF2B5EF4-FFF2-40B4-BE49-F238E27FC236}">
              <a16:creationId xmlns:a16="http://schemas.microsoft.com/office/drawing/2014/main" id="{00000000-0008-0000-0100-000016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19" name="Picture 543" hidden="1">
            <a:extLst>
              <a:ext uri="{FF2B5EF4-FFF2-40B4-BE49-F238E27FC236}">
                <a16:creationId xmlns:a16="http://schemas.microsoft.com/office/drawing/2014/main" id="{00000000-0008-0000-0100-00001F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20" name="Picture 544" hidden="1">
            <a:extLst>
              <a:ext uri="{FF2B5EF4-FFF2-40B4-BE49-F238E27FC236}">
                <a16:creationId xmlns:a16="http://schemas.microsoft.com/office/drawing/2014/main" id="{00000000-0008-0000-0100-000020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21" name="dropdown" hidden="1">
            <a:extLst>
              <a:ext uri="{FF2B5EF4-FFF2-40B4-BE49-F238E27FC236}">
                <a16:creationId xmlns:a16="http://schemas.microsoft.com/office/drawing/2014/main" id="{00000000-0008-0000-0100-000021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22" name="그룹 53">
            <a:extLst>
              <a:ext uri="{FF2B5EF4-FFF2-40B4-BE49-F238E27FC236}">
                <a16:creationId xmlns:a16="http://schemas.microsoft.com/office/drawing/2014/main" id="{00000000-0008-0000-0100-000022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23" name="Option Button 82" hidden="1">
              <a:extLst>
                <a:ext uri="{FF2B5EF4-FFF2-40B4-BE49-F238E27FC236}">
                  <a16:creationId xmlns:a16="http://schemas.microsoft.com/office/drawing/2014/main" id="{00000000-0008-0000-0100-000023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24" name="Option Button 83" hidden="1">
              <a:extLst>
                <a:ext uri="{FF2B5EF4-FFF2-40B4-BE49-F238E27FC236}">
                  <a16:creationId xmlns:a16="http://schemas.microsoft.com/office/drawing/2014/main" id="{00000000-0008-0000-0100-000024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25" name="Option Button 84" hidden="1">
              <a:extLst>
                <a:ext uri="{FF2B5EF4-FFF2-40B4-BE49-F238E27FC236}">
                  <a16:creationId xmlns:a16="http://schemas.microsoft.com/office/drawing/2014/main" id="{00000000-0008-0000-0100-000025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511" name="Group 535">
          <a:extLst>
            <a:ext uri="{FF2B5EF4-FFF2-40B4-BE49-F238E27FC236}">
              <a16:creationId xmlns:a16="http://schemas.microsoft.com/office/drawing/2014/main" id="{00000000-0008-0000-0100-000017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12" name="Picture 536" hidden="1">
            <a:extLst>
              <a:ext uri="{FF2B5EF4-FFF2-40B4-BE49-F238E27FC236}">
                <a16:creationId xmlns:a16="http://schemas.microsoft.com/office/drawing/2014/main" id="{00000000-0008-0000-0100-000018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13" name="Picture 537" hidden="1">
            <a:extLst>
              <a:ext uri="{FF2B5EF4-FFF2-40B4-BE49-F238E27FC236}">
                <a16:creationId xmlns:a16="http://schemas.microsoft.com/office/drawing/2014/main" id="{00000000-0008-0000-0100-000019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14" name="dropdown" hidden="1">
            <a:extLst>
              <a:ext uri="{FF2B5EF4-FFF2-40B4-BE49-F238E27FC236}">
                <a16:creationId xmlns:a16="http://schemas.microsoft.com/office/drawing/2014/main" id="{00000000-0008-0000-0100-00001A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15" name="그룹 77">
            <a:extLst>
              <a:ext uri="{FF2B5EF4-FFF2-40B4-BE49-F238E27FC236}">
                <a16:creationId xmlns:a16="http://schemas.microsoft.com/office/drawing/2014/main" id="{00000000-0008-0000-0100-00001B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16" name="Option Button 82" hidden="1">
              <a:extLst>
                <a:ext uri="{FF2B5EF4-FFF2-40B4-BE49-F238E27FC236}">
                  <a16:creationId xmlns:a16="http://schemas.microsoft.com/office/drawing/2014/main" id="{00000000-0008-0000-0100-00001C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17" name="Option Button 83" hidden="1">
              <a:extLst>
                <a:ext uri="{FF2B5EF4-FFF2-40B4-BE49-F238E27FC236}">
                  <a16:creationId xmlns:a16="http://schemas.microsoft.com/office/drawing/2014/main" id="{00000000-0008-0000-0100-00001D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18" name="Option Button 84" hidden="1">
              <a:extLst>
                <a:ext uri="{FF2B5EF4-FFF2-40B4-BE49-F238E27FC236}">
                  <a16:creationId xmlns:a16="http://schemas.microsoft.com/office/drawing/2014/main" id="{00000000-0008-0000-0100-00001E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528" name="Group 552">
          <a:extLst>
            <a:ext uri="{FF2B5EF4-FFF2-40B4-BE49-F238E27FC236}">
              <a16:creationId xmlns:a16="http://schemas.microsoft.com/office/drawing/2014/main" id="{00000000-0008-0000-0100-000028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37" name="Picture 561" hidden="1">
            <a:extLst>
              <a:ext uri="{FF2B5EF4-FFF2-40B4-BE49-F238E27FC236}">
                <a16:creationId xmlns:a16="http://schemas.microsoft.com/office/drawing/2014/main" id="{00000000-0008-0000-0100-000031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38" name="Picture 562" hidden="1">
            <a:extLst>
              <a:ext uri="{FF2B5EF4-FFF2-40B4-BE49-F238E27FC236}">
                <a16:creationId xmlns:a16="http://schemas.microsoft.com/office/drawing/2014/main" id="{00000000-0008-0000-0100-000032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39" name="dropdown" hidden="1">
            <a:extLst>
              <a:ext uri="{FF2B5EF4-FFF2-40B4-BE49-F238E27FC236}">
                <a16:creationId xmlns:a16="http://schemas.microsoft.com/office/drawing/2014/main" id="{00000000-0008-0000-0100-000033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40" name="그룹 53">
            <a:extLst>
              <a:ext uri="{FF2B5EF4-FFF2-40B4-BE49-F238E27FC236}">
                <a16:creationId xmlns:a16="http://schemas.microsoft.com/office/drawing/2014/main" id="{00000000-0008-0000-0100-000034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41" name="Option Button 82" hidden="1">
              <a:extLst>
                <a:ext uri="{FF2B5EF4-FFF2-40B4-BE49-F238E27FC236}">
                  <a16:creationId xmlns:a16="http://schemas.microsoft.com/office/drawing/2014/main" id="{00000000-0008-0000-0100-000035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42" name="Option Button 83" hidden="1">
              <a:extLst>
                <a:ext uri="{FF2B5EF4-FFF2-40B4-BE49-F238E27FC236}">
                  <a16:creationId xmlns:a16="http://schemas.microsoft.com/office/drawing/2014/main" id="{00000000-0008-0000-0100-000036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43" name="Option Button 84" hidden="1">
              <a:extLst>
                <a:ext uri="{FF2B5EF4-FFF2-40B4-BE49-F238E27FC236}">
                  <a16:creationId xmlns:a16="http://schemas.microsoft.com/office/drawing/2014/main" id="{00000000-0008-0000-0100-000037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529" name="Group 553">
          <a:extLst>
            <a:ext uri="{FF2B5EF4-FFF2-40B4-BE49-F238E27FC236}">
              <a16:creationId xmlns:a16="http://schemas.microsoft.com/office/drawing/2014/main" id="{00000000-0008-0000-0100-000029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30" name="Picture 554" hidden="1">
            <a:extLst>
              <a:ext uri="{FF2B5EF4-FFF2-40B4-BE49-F238E27FC236}">
                <a16:creationId xmlns:a16="http://schemas.microsoft.com/office/drawing/2014/main" id="{00000000-0008-0000-0100-00002A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31" name="Picture 555" hidden="1">
            <a:extLst>
              <a:ext uri="{FF2B5EF4-FFF2-40B4-BE49-F238E27FC236}">
                <a16:creationId xmlns:a16="http://schemas.microsoft.com/office/drawing/2014/main" id="{00000000-0008-0000-0100-00002B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32" name="dropdown" hidden="1">
            <a:extLst>
              <a:ext uri="{FF2B5EF4-FFF2-40B4-BE49-F238E27FC236}">
                <a16:creationId xmlns:a16="http://schemas.microsoft.com/office/drawing/2014/main" id="{00000000-0008-0000-0100-00002C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33" name="그룹 77">
            <a:extLst>
              <a:ext uri="{FF2B5EF4-FFF2-40B4-BE49-F238E27FC236}">
                <a16:creationId xmlns:a16="http://schemas.microsoft.com/office/drawing/2014/main" id="{00000000-0008-0000-0100-00002D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34" name="Option Button 82" hidden="1">
              <a:extLst>
                <a:ext uri="{FF2B5EF4-FFF2-40B4-BE49-F238E27FC236}">
                  <a16:creationId xmlns:a16="http://schemas.microsoft.com/office/drawing/2014/main" id="{00000000-0008-0000-0100-00002E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35" name="Option Button 83" hidden="1">
              <a:extLst>
                <a:ext uri="{FF2B5EF4-FFF2-40B4-BE49-F238E27FC236}">
                  <a16:creationId xmlns:a16="http://schemas.microsoft.com/office/drawing/2014/main" id="{00000000-0008-0000-0100-00002F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36" name="Option Button 84" hidden="1">
              <a:extLst>
                <a:ext uri="{FF2B5EF4-FFF2-40B4-BE49-F238E27FC236}">
                  <a16:creationId xmlns:a16="http://schemas.microsoft.com/office/drawing/2014/main" id="{00000000-0008-0000-0100-000030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546" name="Group 570">
          <a:extLst>
            <a:ext uri="{FF2B5EF4-FFF2-40B4-BE49-F238E27FC236}">
              <a16:creationId xmlns:a16="http://schemas.microsoft.com/office/drawing/2014/main" id="{00000000-0008-0000-0100-00003A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55" name="Picture 579" hidden="1">
            <a:extLst>
              <a:ext uri="{FF2B5EF4-FFF2-40B4-BE49-F238E27FC236}">
                <a16:creationId xmlns:a16="http://schemas.microsoft.com/office/drawing/2014/main" id="{00000000-0008-0000-0100-000043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56" name="Picture 580" hidden="1">
            <a:extLst>
              <a:ext uri="{FF2B5EF4-FFF2-40B4-BE49-F238E27FC236}">
                <a16:creationId xmlns:a16="http://schemas.microsoft.com/office/drawing/2014/main" id="{00000000-0008-0000-0100-000044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57" name="dropdown" hidden="1">
            <a:extLst>
              <a:ext uri="{FF2B5EF4-FFF2-40B4-BE49-F238E27FC236}">
                <a16:creationId xmlns:a16="http://schemas.microsoft.com/office/drawing/2014/main" id="{00000000-0008-0000-0100-000045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58" name="그룹 53">
            <a:extLst>
              <a:ext uri="{FF2B5EF4-FFF2-40B4-BE49-F238E27FC236}">
                <a16:creationId xmlns:a16="http://schemas.microsoft.com/office/drawing/2014/main" id="{00000000-0008-0000-0100-000046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59" name="Option Button 82" hidden="1">
              <a:extLst>
                <a:ext uri="{FF2B5EF4-FFF2-40B4-BE49-F238E27FC236}">
                  <a16:creationId xmlns:a16="http://schemas.microsoft.com/office/drawing/2014/main" id="{00000000-0008-0000-0100-000047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60" name="Option Button 83" hidden="1">
              <a:extLst>
                <a:ext uri="{FF2B5EF4-FFF2-40B4-BE49-F238E27FC236}">
                  <a16:creationId xmlns:a16="http://schemas.microsoft.com/office/drawing/2014/main" id="{00000000-0008-0000-0100-000048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61" name="Option Button 84" hidden="1">
              <a:extLst>
                <a:ext uri="{FF2B5EF4-FFF2-40B4-BE49-F238E27FC236}">
                  <a16:creationId xmlns:a16="http://schemas.microsoft.com/office/drawing/2014/main" id="{00000000-0008-0000-0100-000049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547" name="Group 571">
          <a:extLst>
            <a:ext uri="{FF2B5EF4-FFF2-40B4-BE49-F238E27FC236}">
              <a16:creationId xmlns:a16="http://schemas.microsoft.com/office/drawing/2014/main" id="{00000000-0008-0000-0100-00003B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48" name="Picture 572" hidden="1">
            <a:extLst>
              <a:ext uri="{FF2B5EF4-FFF2-40B4-BE49-F238E27FC236}">
                <a16:creationId xmlns:a16="http://schemas.microsoft.com/office/drawing/2014/main" id="{00000000-0008-0000-0100-00003C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49" name="Picture 573" hidden="1">
            <a:extLst>
              <a:ext uri="{FF2B5EF4-FFF2-40B4-BE49-F238E27FC236}">
                <a16:creationId xmlns:a16="http://schemas.microsoft.com/office/drawing/2014/main" id="{00000000-0008-0000-0100-00003D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50" name="dropdown" hidden="1">
            <a:extLst>
              <a:ext uri="{FF2B5EF4-FFF2-40B4-BE49-F238E27FC236}">
                <a16:creationId xmlns:a16="http://schemas.microsoft.com/office/drawing/2014/main" id="{00000000-0008-0000-0100-00003E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51" name="그룹 77">
            <a:extLst>
              <a:ext uri="{FF2B5EF4-FFF2-40B4-BE49-F238E27FC236}">
                <a16:creationId xmlns:a16="http://schemas.microsoft.com/office/drawing/2014/main" id="{00000000-0008-0000-0100-00003F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52" name="Option Button 82" hidden="1">
              <a:extLst>
                <a:ext uri="{FF2B5EF4-FFF2-40B4-BE49-F238E27FC236}">
                  <a16:creationId xmlns:a16="http://schemas.microsoft.com/office/drawing/2014/main" id="{00000000-0008-0000-0100-000040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53" name="Option Button 83" hidden="1">
              <a:extLst>
                <a:ext uri="{FF2B5EF4-FFF2-40B4-BE49-F238E27FC236}">
                  <a16:creationId xmlns:a16="http://schemas.microsoft.com/office/drawing/2014/main" id="{00000000-0008-0000-0100-000041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54" name="Option Button 84" hidden="1">
              <a:extLst>
                <a:ext uri="{FF2B5EF4-FFF2-40B4-BE49-F238E27FC236}">
                  <a16:creationId xmlns:a16="http://schemas.microsoft.com/office/drawing/2014/main" id="{00000000-0008-0000-0100-000042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564" name="Group 588">
          <a:extLst>
            <a:ext uri="{FF2B5EF4-FFF2-40B4-BE49-F238E27FC236}">
              <a16:creationId xmlns:a16="http://schemas.microsoft.com/office/drawing/2014/main" id="{00000000-0008-0000-0100-00004C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73" name="Picture 597" hidden="1">
            <a:extLst>
              <a:ext uri="{FF2B5EF4-FFF2-40B4-BE49-F238E27FC236}">
                <a16:creationId xmlns:a16="http://schemas.microsoft.com/office/drawing/2014/main" id="{00000000-0008-0000-0100-000055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74" name="Picture 598" hidden="1">
            <a:extLst>
              <a:ext uri="{FF2B5EF4-FFF2-40B4-BE49-F238E27FC236}">
                <a16:creationId xmlns:a16="http://schemas.microsoft.com/office/drawing/2014/main" id="{00000000-0008-0000-0100-000056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75" name="dropdown" hidden="1">
            <a:extLst>
              <a:ext uri="{FF2B5EF4-FFF2-40B4-BE49-F238E27FC236}">
                <a16:creationId xmlns:a16="http://schemas.microsoft.com/office/drawing/2014/main" id="{00000000-0008-0000-0100-000057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76" name="그룹 53">
            <a:extLst>
              <a:ext uri="{FF2B5EF4-FFF2-40B4-BE49-F238E27FC236}">
                <a16:creationId xmlns:a16="http://schemas.microsoft.com/office/drawing/2014/main" id="{00000000-0008-0000-0100-000058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77" name="Option Button 82" hidden="1">
              <a:extLst>
                <a:ext uri="{FF2B5EF4-FFF2-40B4-BE49-F238E27FC236}">
                  <a16:creationId xmlns:a16="http://schemas.microsoft.com/office/drawing/2014/main" id="{00000000-0008-0000-0100-000059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78" name="Option Button 83" hidden="1">
              <a:extLst>
                <a:ext uri="{FF2B5EF4-FFF2-40B4-BE49-F238E27FC236}">
                  <a16:creationId xmlns:a16="http://schemas.microsoft.com/office/drawing/2014/main" id="{00000000-0008-0000-0100-00005A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79" name="Option Button 84" hidden="1">
              <a:extLst>
                <a:ext uri="{FF2B5EF4-FFF2-40B4-BE49-F238E27FC236}">
                  <a16:creationId xmlns:a16="http://schemas.microsoft.com/office/drawing/2014/main" id="{00000000-0008-0000-0100-00005B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565" name="Group 589">
          <a:extLst>
            <a:ext uri="{FF2B5EF4-FFF2-40B4-BE49-F238E27FC236}">
              <a16:creationId xmlns:a16="http://schemas.microsoft.com/office/drawing/2014/main" id="{00000000-0008-0000-0100-00004D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66" name="Picture 590" hidden="1">
            <a:extLst>
              <a:ext uri="{FF2B5EF4-FFF2-40B4-BE49-F238E27FC236}">
                <a16:creationId xmlns:a16="http://schemas.microsoft.com/office/drawing/2014/main" id="{00000000-0008-0000-0100-00004E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67" name="Picture 591" hidden="1">
            <a:extLst>
              <a:ext uri="{FF2B5EF4-FFF2-40B4-BE49-F238E27FC236}">
                <a16:creationId xmlns:a16="http://schemas.microsoft.com/office/drawing/2014/main" id="{00000000-0008-0000-0100-00004F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68" name="dropdown" hidden="1">
            <a:extLst>
              <a:ext uri="{FF2B5EF4-FFF2-40B4-BE49-F238E27FC236}">
                <a16:creationId xmlns:a16="http://schemas.microsoft.com/office/drawing/2014/main" id="{00000000-0008-0000-0100-000050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69" name="그룹 77">
            <a:extLst>
              <a:ext uri="{FF2B5EF4-FFF2-40B4-BE49-F238E27FC236}">
                <a16:creationId xmlns:a16="http://schemas.microsoft.com/office/drawing/2014/main" id="{00000000-0008-0000-0100-000051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70" name="Option Button 82" hidden="1">
              <a:extLst>
                <a:ext uri="{FF2B5EF4-FFF2-40B4-BE49-F238E27FC236}">
                  <a16:creationId xmlns:a16="http://schemas.microsoft.com/office/drawing/2014/main" id="{00000000-0008-0000-0100-000052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71" name="Option Button 83" hidden="1">
              <a:extLst>
                <a:ext uri="{FF2B5EF4-FFF2-40B4-BE49-F238E27FC236}">
                  <a16:creationId xmlns:a16="http://schemas.microsoft.com/office/drawing/2014/main" id="{00000000-0008-0000-0100-000053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72" name="Option Button 84" hidden="1">
              <a:extLst>
                <a:ext uri="{FF2B5EF4-FFF2-40B4-BE49-F238E27FC236}">
                  <a16:creationId xmlns:a16="http://schemas.microsoft.com/office/drawing/2014/main" id="{00000000-0008-0000-0100-000054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582" name="Group 606">
          <a:extLst>
            <a:ext uri="{FF2B5EF4-FFF2-40B4-BE49-F238E27FC236}">
              <a16:creationId xmlns:a16="http://schemas.microsoft.com/office/drawing/2014/main" id="{00000000-0008-0000-0100-00005E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91" name="Picture 615" hidden="1">
            <a:extLst>
              <a:ext uri="{FF2B5EF4-FFF2-40B4-BE49-F238E27FC236}">
                <a16:creationId xmlns:a16="http://schemas.microsoft.com/office/drawing/2014/main" id="{00000000-0008-0000-0100-000067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92" name="Picture 616" hidden="1">
            <a:extLst>
              <a:ext uri="{FF2B5EF4-FFF2-40B4-BE49-F238E27FC236}">
                <a16:creationId xmlns:a16="http://schemas.microsoft.com/office/drawing/2014/main" id="{00000000-0008-0000-0100-000068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93" name="dropdown" hidden="1">
            <a:extLst>
              <a:ext uri="{FF2B5EF4-FFF2-40B4-BE49-F238E27FC236}">
                <a16:creationId xmlns:a16="http://schemas.microsoft.com/office/drawing/2014/main" id="{00000000-0008-0000-0100-000069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94" name="그룹 53">
            <a:extLst>
              <a:ext uri="{FF2B5EF4-FFF2-40B4-BE49-F238E27FC236}">
                <a16:creationId xmlns:a16="http://schemas.microsoft.com/office/drawing/2014/main" id="{00000000-0008-0000-0100-00006A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95" name="Option Button 82" hidden="1">
              <a:extLst>
                <a:ext uri="{FF2B5EF4-FFF2-40B4-BE49-F238E27FC236}">
                  <a16:creationId xmlns:a16="http://schemas.microsoft.com/office/drawing/2014/main" id="{00000000-0008-0000-0100-00006B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96" name="Option Button 83" hidden="1">
              <a:extLst>
                <a:ext uri="{FF2B5EF4-FFF2-40B4-BE49-F238E27FC236}">
                  <a16:creationId xmlns:a16="http://schemas.microsoft.com/office/drawing/2014/main" id="{00000000-0008-0000-0100-00006C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97" name="Option Button 84" hidden="1">
              <a:extLst>
                <a:ext uri="{FF2B5EF4-FFF2-40B4-BE49-F238E27FC236}">
                  <a16:creationId xmlns:a16="http://schemas.microsoft.com/office/drawing/2014/main" id="{00000000-0008-0000-0100-00006D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583" name="Group 607">
          <a:extLst>
            <a:ext uri="{FF2B5EF4-FFF2-40B4-BE49-F238E27FC236}">
              <a16:creationId xmlns:a16="http://schemas.microsoft.com/office/drawing/2014/main" id="{00000000-0008-0000-0100-00005F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584" name="Picture 608" hidden="1">
            <a:extLst>
              <a:ext uri="{FF2B5EF4-FFF2-40B4-BE49-F238E27FC236}">
                <a16:creationId xmlns:a16="http://schemas.microsoft.com/office/drawing/2014/main" id="{00000000-0008-0000-0100-000060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85" name="Picture 609" hidden="1">
            <a:extLst>
              <a:ext uri="{FF2B5EF4-FFF2-40B4-BE49-F238E27FC236}">
                <a16:creationId xmlns:a16="http://schemas.microsoft.com/office/drawing/2014/main" id="{00000000-0008-0000-0100-000061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586" name="dropdown" hidden="1">
            <a:extLst>
              <a:ext uri="{FF2B5EF4-FFF2-40B4-BE49-F238E27FC236}">
                <a16:creationId xmlns:a16="http://schemas.microsoft.com/office/drawing/2014/main" id="{00000000-0008-0000-0100-000062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587" name="그룹 77">
            <a:extLst>
              <a:ext uri="{FF2B5EF4-FFF2-40B4-BE49-F238E27FC236}">
                <a16:creationId xmlns:a16="http://schemas.microsoft.com/office/drawing/2014/main" id="{00000000-0008-0000-0100-000063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588" name="Option Button 82" hidden="1">
              <a:extLst>
                <a:ext uri="{FF2B5EF4-FFF2-40B4-BE49-F238E27FC236}">
                  <a16:creationId xmlns:a16="http://schemas.microsoft.com/office/drawing/2014/main" id="{00000000-0008-0000-0100-000064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89" name="Option Button 83" hidden="1">
              <a:extLst>
                <a:ext uri="{FF2B5EF4-FFF2-40B4-BE49-F238E27FC236}">
                  <a16:creationId xmlns:a16="http://schemas.microsoft.com/office/drawing/2014/main" id="{00000000-0008-0000-0100-000065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590" name="Option Button 84" hidden="1">
              <a:extLst>
                <a:ext uri="{FF2B5EF4-FFF2-40B4-BE49-F238E27FC236}">
                  <a16:creationId xmlns:a16="http://schemas.microsoft.com/office/drawing/2014/main" id="{00000000-0008-0000-0100-000066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00" name="Group 624">
          <a:extLst>
            <a:ext uri="{FF2B5EF4-FFF2-40B4-BE49-F238E27FC236}">
              <a16:creationId xmlns:a16="http://schemas.microsoft.com/office/drawing/2014/main" id="{00000000-0008-0000-0100-000070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09" name="Picture 633" hidden="1">
            <a:extLst>
              <a:ext uri="{FF2B5EF4-FFF2-40B4-BE49-F238E27FC236}">
                <a16:creationId xmlns:a16="http://schemas.microsoft.com/office/drawing/2014/main" id="{00000000-0008-0000-0100-000079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10" name="Picture 634" hidden="1">
            <a:extLst>
              <a:ext uri="{FF2B5EF4-FFF2-40B4-BE49-F238E27FC236}">
                <a16:creationId xmlns:a16="http://schemas.microsoft.com/office/drawing/2014/main" id="{00000000-0008-0000-0100-00007A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11" name="dropdown" hidden="1">
            <a:extLst>
              <a:ext uri="{FF2B5EF4-FFF2-40B4-BE49-F238E27FC236}">
                <a16:creationId xmlns:a16="http://schemas.microsoft.com/office/drawing/2014/main" id="{00000000-0008-0000-0100-00007B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12" name="그룹 53">
            <a:extLst>
              <a:ext uri="{FF2B5EF4-FFF2-40B4-BE49-F238E27FC236}">
                <a16:creationId xmlns:a16="http://schemas.microsoft.com/office/drawing/2014/main" id="{00000000-0008-0000-0100-00007C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13" name="Option Button 82" hidden="1">
              <a:extLst>
                <a:ext uri="{FF2B5EF4-FFF2-40B4-BE49-F238E27FC236}">
                  <a16:creationId xmlns:a16="http://schemas.microsoft.com/office/drawing/2014/main" id="{00000000-0008-0000-0100-00007D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14" name="Option Button 83" hidden="1">
              <a:extLst>
                <a:ext uri="{FF2B5EF4-FFF2-40B4-BE49-F238E27FC236}">
                  <a16:creationId xmlns:a16="http://schemas.microsoft.com/office/drawing/2014/main" id="{00000000-0008-0000-0100-00007E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15" name="Option Button 84" hidden="1">
              <a:extLst>
                <a:ext uri="{FF2B5EF4-FFF2-40B4-BE49-F238E27FC236}">
                  <a16:creationId xmlns:a16="http://schemas.microsoft.com/office/drawing/2014/main" id="{00000000-0008-0000-0100-00007F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01" name="Group 625">
          <a:extLst>
            <a:ext uri="{FF2B5EF4-FFF2-40B4-BE49-F238E27FC236}">
              <a16:creationId xmlns:a16="http://schemas.microsoft.com/office/drawing/2014/main" id="{00000000-0008-0000-0100-000071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02" name="Picture 626" hidden="1">
            <a:extLst>
              <a:ext uri="{FF2B5EF4-FFF2-40B4-BE49-F238E27FC236}">
                <a16:creationId xmlns:a16="http://schemas.microsoft.com/office/drawing/2014/main" id="{00000000-0008-0000-0100-000072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03" name="Picture 627" hidden="1">
            <a:extLst>
              <a:ext uri="{FF2B5EF4-FFF2-40B4-BE49-F238E27FC236}">
                <a16:creationId xmlns:a16="http://schemas.microsoft.com/office/drawing/2014/main" id="{00000000-0008-0000-0100-000073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04" name="dropdown" hidden="1">
            <a:extLst>
              <a:ext uri="{FF2B5EF4-FFF2-40B4-BE49-F238E27FC236}">
                <a16:creationId xmlns:a16="http://schemas.microsoft.com/office/drawing/2014/main" id="{00000000-0008-0000-0100-000074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05" name="그룹 77">
            <a:extLst>
              <a:ext uri="{FF2B5EF4-FFF2-40B4-BE49-F238E27FC236}">
                <a16:creationId xmlns:a16="http://schemas.microsoft.com/office/drawing/2014/main" id="{00000000-0008-0000-0100-000075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06" name="Option Button 82" hidden="1">
              <a:extLst>
                <a:ext uri="{FF2B5EF4-FFF2-40B4-BE49-F238E27FC236}">
                  <a16:creationId xmlns:a16="http://schemas.microsoft.com/office/drawing/2014/main" id="{00000000-0008-0000-0100-000076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07" name="Option Button 83" hidden="1">
              <a:extLst>
                <a:ext uri="{FF2B5EF4-FFF2-40B4-BE49-F238E27FC236}">
                  <a16:creationId xmlns:a16="http://schemas.microsoft.com/office/drawing/2014/main" id="{00000000-0008-0000-0100-000077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08" name="Option Button 84" hidden="1">
              <a:extLst>
                <a:ext uri="{FF2B5EF4-FFF2-40B4-BE49-F238E27FC236}">
                  <a16:creationId xmlns:a16="http://schemas.microsoft.com/office/drawing/2014/main" id="{00000000-0008-0000-0100-000078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18" name="Group 642">
          <a:extLst>
            <a:ext uri="{FF2B5EF4-FFF2-40B4-BE49-F238E27FC236}">
              <a16:creationId xmlns:a16="http://schemas.microsoft.com/office/drawing/2014/main" id="{00000000-0008-0000-0100-000082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27" name="Picture 651" hidden="1">
            <a:extLst>
              <a:ext uri="{FF2B5EF4-FFF2-40B4-BE49-F238E27FC236}">
                <a16:creationId xmlns:a16="http://schemas.microsoft.com/office/drawing/2014/main" id="{00000000-0008-0000-0100-00008B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28" name="Picture 652" hidden="1">
            <a:extLst>
              <a:ext uri="{FF2B5EF4-FFF2-40B4-BE49-F238E27FC236}">
                <a16:creationId xmlns:a16="http://schemas.microsoft.com/office/drawing/2014/main" id="{00000000-0008-0000-0100-00008C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29" name="dropdown" hidden="1">
            <a:extLst>
              <a:ext uri="{FF2B5EF4-FFF2-40B4-BE49-F238E27FC236}">
                <a16:creationId xmlns:a16="http://schemas.microsoft.com/office/drawing/2014/main" id="{00000000-0008-0000-0100-00008D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30" name="그룹 53">
            <a:extLst>
              <a:ext uri="{FF2B5EF4-FFF2-40B4-BE49-F238E27FC236}">
                <a16:creationId xmlns:a16="http://schemas.microsoft.com/office/drawing/2014/main" id="{00000000-0008-0000-0100-00008E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31" name="Option Button 82" hidden="1">
              <a:extLst>
                <a:ext uri="{FF2B5EF4-FFF2-40B4-BE49-F238E27FC236}">
                  <a16:creationId xmlns:a16="http://schemas.microsoft.com/office/drawing/2014/main" id="{00000000-0008-0000-0100-00008F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32" name="Option Button 83" hidden="1">
              <a:extLst>
                <a:ext uri="{FF2B5EF4-FFF2-40B4-BE49-F238E27FC236}">
                  <a16:creationId xmlns:a16="http://schemas.microsoft.com/office/drawing/2014/main" id="{00000000-0008-0000-0100-000090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33" name="Option Button 84" hidden="1">
              <a:extLst>
                <a:ext uri="{FF2B5EF4-FFF2-40B4-BE49-F238E27FC236}">
                  <a16:creationId xmlns:a16="http://schemas.microsoft.com/office/drawing/2014/main" id="{00000000-0008-0000-0100-000091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19" name="Group 643">
          <a:extLst>
            <a:ext uri="{FF2B5EF4-FFF2-40B4-BE49-F238E27FC236}">
              <a16:creationId xmlns:a16="http://schemas.microsoft.com/office/drawing/2014/main" id="{00000000-0008-0000-0100-000083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20" name="Picture 644" hidden="1">
            <a:extLst>
              <a:ext uri="{FF2B5EF4-FFF2-40B4-BE49-F238E27FC236}">
                <a16:creationId xmlns:a16="http://schemas.microsoft.com/office/drawing/2014/main" id="{00000000-0008-0000-0100-000084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21" name="Picture 645" hidden="1">
            <a:extLst>
              <a:ext uri="{FF2B5EF4-FFF2-40B4-BE49-F238E27FC236}">
                <a16:creationId xmlns:a16="http://schemas.microsoft.com/office/drawing/2014/main" id="{00000000-0008-0000-0100-000085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22" name="dropdown" hidden="1">
            <a:extLst>
              <a:ext uri="{FF2B5EF4-FFF2-40B4-BE49-F238E27FC236}">
                <a16:creationId xmlns:a16="http://schemas.microsoft.com/office/drawing/2014/main" id="{00000000-0008-0000-0100-000086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23" name="그룹 77">
            <a:extLst>
              <a:ext uri="{FF2B5EF4-FFF2-40B4-BE49-F238E27FC236}">
                <a16:creationId xmlns:a16="http://schemas.microsoft.com/office/drawing/2014/main" id="{00000000-0008-0000-0100-000087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24" name="Option Button 82" hidden="1">
              <a:extLst>
                <a:ext uri="{FF2B5EF4-FFF2-40B4-BE49-F238E27FC236}">
                  <a16:creationId xmlns:a16="http://schemas.microsoft.com/office/drawing/2014/main" id="{00000000-0008-0000-0100-000088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25" name="Option Button 83" hidden="1">
              <a:extLst>
                <a:ext uri="{FF2B5EF4-FFF2-40B4-BE49-F238E27FC236}">
                  <a16:creationId xmlns:a16="http://schemas.microsoft.com/office/drawing/2014/main" id="{00000000-0008-0000-0100-000089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26" name="Option Button 84" hidden="1">
              <a:extLst>
                <a:ext uri="{FF2B5EF4-FFF2-40B4-BE49-F238E27FC236}">
                  <a16:creationId xmlns:a16="http://schemas.microsoft.com/office/drawing/2014/main" id="{00000000-0008-0000-0100-00008A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36" name="Group 660">
          <a:extLst>
            <a:ext uri="{FF2B5EF4-FFF2-40B4-BE49-F238E27FC236}">
              <a16:creationId xmlns:a16="http://schemas.microsoft.com/office/drawing/2014/main" id="{00000000-0008-0000-0100-000094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45" name="Picture 669" hidden="1">
            <a:extLst>
              <a:ext uri="{FF2B5EF4-FFF2-40B4-BE49-F238E27FC236}">
                <a16:creationId xmlns:a16="http://schemas.microsoft.com/office/drawing/2014/main" id="{00000000-0008-0000-0100-00009D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46" name="Picture 670" hidden="1">
            <a:extLst>
              <a:ext uri="{FF2B5EF4-FFF2-40B4-BE49-F238E27FC236}">
                <a16:creationId xmlns:a16="http://schemas.microsoft.com/office/drawing/2014/main" id="{00000000-0008-0000-0100-00009E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47" name="dropdown" hidden="1">
            <a:extLst>
              <a:ext uri="{FF2B5EF4-FFF2-40B4-BE49-F238E27FC236}">
                <a16:creationId xmlns:a16="http://schemas.microsoft.com/office/drawing/2014/main" id="{00000000-0008-0000-0100-00009F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48" name="그룹 53">
            <a:extLst>
              <a:ext uri="{FF2B5EF4-FFF2-40B4-BE49-F238E27FC236}">
                <a16:creationId xmlns:a16="http://schemas.microsoft.com/office/drawing/2014/main" id="{00000000-0008-0000-0100-0000A0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49" name="Option Button 82" hidden="1">
              <a:extLst>
                <a:ext uri="{FF2B5EF4-FFF2-40B4-BE49-F238E27FC236}">
                  <a16:creationId xmlns:a16="http://schemas.microsoft.com/office/drawing/2014/main" id="{00000000-0008-0000-0100-0000A1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50" name="Option Button 83" hidden="1">
              <a:extLst>
                <a:ext uri="{FF2B5EF4-FFF2-40B4-BE49-F238E27FC236}">
                  <a16:creationId xmlns:a16="http://schemas.microsoft.com/office/drawing/2014/main" id="{00000000-0008-0000-0100-0000A2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51" name="Option Button 84" hidden="1">
              <a:extLst>
                <a:ext uri="{FF2B5EF4-FFF2-40B4-BE49-F238E27FC236}">
                  <a16:creationId xmlns:a16="http://schemas.microsoft.com/office/drawing/2014/main" id="{00000000-0008-0000-0100-0000A3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37" name="Group 661">
          <a:extLst>
            <a:ext uri="{FF2B5EF4-FFF2-40B4-BE49-F238E27FC236}">
              <a16:creationId xmlns:a16="http://schemas.microsoft.com/office/drawing/2014/main" id="{00000000-0008-0000-0100-000095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38" name="Picture 662" hidden="1">
            <a:extLst>
              <a:ext uri="{FF2B5EF4-FFF2-40B4-BE49-F238E27FC236}">
                <a16:creationId xmlns:a16="http://schemas.microsoft.com/office/drawing/2014/main" id="{00000000-0008-0000-0100-000096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39" name="Picture 663" hidden="1">
            <a:extLst>
              <a:ext uri="{FF2B5EF4-FFF2-40B4-BE49-F238E27FC236}">
                <a16:creationId xmlns:a16="http://schemas.microsoft.com/office/drawing/2014/main" id="{00000000-0008-0000-0100-000097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40" name="dropdown" hidden="1">
            <a:extLst>
              <a:ext uri="{FF2B5EF4-FFF2-40B4-BE49-F238E27FC236}">
                <a16:creationId xmlns:a16="http://schemas.microsoft.com/office/drawing/2014/main" id="{00000000-0008-0000-0100-000098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41" name="그룹 77">
            <a:extLst>
              <a:ext uri="{FF2B5EF4-FFF2-40B4-BE49-F238E27FC236}">
                <a16:creationId xmlns:a16="http://schemas.microsoft.com/office/drawing/2014/main" id="{00000000-0008-0000-0100-000099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42" name="Option Button 82" hidden="1">
              <a:extLst>
                <a:ext uri="{FF2B5EF4-FFF2-40B4-BE49-F238E27FC236}">
                  <a16:creationId xmlns:a16="http://schemas.microsoft.com/office/drawing/2014/main" id="{00000000-0008-0000-0100-00009A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43" name="Option Button 83" hidden="1">
              <a:extLst>
                <a:ext uri="{FF2B5EF4-FFF2-40B4-BE49-F238E27FC236}">
                  <a16:creationId xmlns:a16="http://schemas.microsoft.com/office/drawing/2014/main" id="{00000000-0008-0000-0100-00009B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44" name="Option Button 84" hidden="1">
              <a:extLst>
                <a:ext uri="{FF2B5EF4-FFF2-40B4-BE49-F238E27FC236}">
                  <a16:creationId xmlns:a16="http://schemas.microsoft.com/office/drawing/2014/main" id="{00000000-0008-0000-0100-00009C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54" name="Group 678">
          <a:extLst>
            <a:ext uri="{FF2B5EF4-FFF2-40B4-BE49-F238E27FC236}">
              <a16:creationId xmlns:a16="http://schemas.microsoft.com/office/drawing/2014/main" id="{00000000-0008-0000-0100-0000A6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63" name="Picture 687" hidden="1">
            <a:extLst>
              <a:ext uri="{FF2B5EF4-FFF2-40B4-BE49-F238E27FC236}">
                <a16:creationId xmlns:a16="http://schemas.microsoft.com/office/drawing/2014/main" id="{00000000-0008-0000-0100-0000AF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64" name="Picture 688" hidden="1">
            <a:extLst>
              <a:ext uri="{FF2B5EF4-FFF2-40B4-BE49-F238E27FC236}">
                <a16:creationId xmlns:a16="http://schemas.microsoft.com/office/drawing/2014/main" id="{00000000-0008-0000-0100-0000B0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65" name="dropdown" hidden="1">
            <a:extLst>
              <a:ext uri="{FF2B5EF4-FFF2-40B4-BE49-F238E27FC236}">
                <a16:creationId xmlns:a16="http://schemas.microsoft.com/office/drawing/2014/main" id="{00000000-0008-0000-0100-0000B1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66" name="그룹 53">
            <a:extLst>
              <a:ext uri="{FF2B5EF4-FFF2-40B4-BE49-F238E27FC236}">
                <a16:creationId xmlns:a16="http://schemas.microsoft.com/office/drawing/2014/main" id="{00000000-0008-0000-0100-0000B2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67" name="Option Button 82" hidden="1">
              <a:extLst>
                <a:ext uri="{FF2B5EF4-FFF2-40B4-BE49-F238E27FC236}">
                  <a16:creationId xmlns:a16="http://schemas.microsoft.com/office/drawing/2014/main" id="{00000000-0008-0000-0100-0000B3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68" name="Option Button 83" hidden="1">
              <a:extLst>
                <a:ext uri="{FF2B5EF4-FFF2-40B4-BE49-F238E27FC236}">
                  <a16:creationId xmlns:a16="http://schemas.microsoft.com/office/drawing/2014/main" id="{00000000-0008-0000-0100-0000B4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69" name="Option Button 84" hidden="1">
              <a:extLst>
                <a:ext uri="{FF2B5EF4-FFF2-40B4-BE49-F238E27FC236}">
                  <a16:creationId xmlns:a16="http://schemas.microsoft.com/office/drawing/2014/main" id="{00000000-0008-0000-0100-0000B5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55" name="Group 679">
          <a:extLst>
            <a:ext uri="{FF2B5EF4-FFF2-40B4-BE49-F238E27FC236}">
              <a16:creationId xmlns:a16="http://schemas.microsoft.com/office/drawing/2014/main" id="{00000000-0008-0000-0100-0000A7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56" name="Picture 680" hidden="1">
            <a:extLst>
              <a:ext uri="{FF2B5EF4-FFF2-40B4-BE49-F238E27FC236}">
                <a16:creationId xmlns:a16="http://schemas.microsoft.com/office/drawing/2014/main" id="{00000000-0008-0000-0100-0000A8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57" name="Picture 681" hidden="1">
            <a:extLst>
              <a:ext uri="{FF2B5EF4-FFF2-40B4-BE49-F238E27FC236}">
                <a16:creationId xmlns:a16="http://schemas.microsoft.com/office/drawing/2014/main" id="{00000000-0008-0000-0100-0000A9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58" name="dropdown" hidden="1">
            <a:extLst>
              <a:ext uri="{FF2B5EF4-FFF2-40B4-BE49-F238E27FC236}">
                <a16:creationId xmlns:a16="http://schemas.microsoft.com/office/drawing/2014/main" id="{00000000-0008-0000-0100-0000AA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59" name="그룹 77">
            <a:extLst>
              <a:ext uri="{FF2B5EF4-FFF2-40B4-BE49-F238E27FC236}">
                <a16:creationId xmlns:a16="http://schemas.microsoft.com/office/drawing/2014/main" id="{00000000-0008-0000-0100-0000AB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60" name="Option Button 82" hidden="1">
              <a:extLst>
                <a:ext uri="{FF2B5EF4-FFF2-40B4-BE49-F238E27FC236}">
                  <a16:creationId xmlns:a16="http://schemas.microsoft.com/office/drawing/2014/main" id="{00000000-0008-0000-0100-0000AC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61" name="Option Button 83" hidden="1">
              <a:extLst>
                <a:ext uri="{FF2B5EF4-FFF2-40B4-BE49-F238E27FC236}">
                  <a16:creationId xmlns:a16="http://schemas.microsoft.com/office/drawing/2014/main" id="{00000000-0008-0000-0100-0000AD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62" name="Option Button 84" hidden="1">
              <a:extLst>
                <a:ext uri="{FF2B5EF4-FFF2-40B4-BE49-F238E27FC236}">
                  <a16:creationId xmlns:a16="http://schemas.microsoft.com/office/drawing/2014/main" id="{00000000-0008-0000-0100-0000AE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72" name="Group 696">
          <a:extLst>
            <a:ext uri="{FF2B5EF4-FFF2-40B4-BE49-F238E27FC236}">
              <a16:creationId xmlns:a16="http://schemas.microsoft.com/office/drawing/2014/main" id="{00000000-0008-0000-0100-0000B8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81" name="Picture 705" hidden="1">
            <a:extLst>
              <a:ext uri="{FF2B5EF4-FFF2-40B4-BE49-F238E27FC236}">
                <a16:creationId xmlns:a16="http://schemas.microsoft.com/office/drawing/2014/main" id="{00000000-0008-0000-0100-0000C1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82" name="Picture 706" hidden="1">
            <a:extLst>
              <a:ext uri="{FF2B5EF4-FFF2-40B4-BE49-F238E27FC236}">
                <a16:creationId xmlns:a16="http://schemas.microsoft.com/office/drawing/2014/main" id="{00000000-0008-0000-0100-0000C2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83" name="dropdown" hidden="1">
            <a:extLst>
              <a:ext uri="{FF2B5EF4-FFF2-40B4-BE49-F238E27FC236}">
                <a16:creationId xmlns:a16="http://schemas.microsoft.com/office/drawing/2014/main" id="{00000000-0008-0000-0100-0000C3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84" name="그룹 53">
            <a:extLst>
              <a:ext uri="{FF2B5EF4-FFF2-40B4-BE49-F238E27FC236}">
                <a16:creationId xmlns:a16="http://schemas.microsoft.com/office/drawing/2014/main" id="{00000000-0008-0000-0100-0000C4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85" name="Option Button 82" hidden="1">
              <a:extLst>
                <a:ext uri="{FF2B5EF4-FFF2-40B4-BE49-F238E27FC236}">
                  <a16:creationId xmlns:a16="http://schemas.microsoft.com/office/drawing/2014/main" id="{00000000-0008-0000-0100-0000C5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86" name="Option Button 83" hidden="1">
              <a:extLst>
                <a:ext uri="{FF2B5EF4-FFF2-40B4-BE49-F238E27FC236}">
                  <a16:creationId xmlns:a16="http://schemas.microsoft.com/office/drawing/2014/main" id="{00000000-0008-0000-0100-0000C6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87" name="Option Button 84" hidden="1">
              <a:extLst>
                <a:ext uri="{FF2B5EF4-FFF2-40B4-BE49-F238E27FC236}">
                  <a16:creationId xmlns:a16="http://schemas.microsoft.com/office/drawing/2014/main" id="{00000000-0008-0000-0100-0000C7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73" name="Group 697">
          <a:extLst>
            <a:ext uri="{FF2B5EF4-FFF2-40B4-BE49-F238E27FC236}">
              <a16:creationId xmlns:a16="http://schemas.microsoft.com/office/drawing/2014/main" id="{00000000-0008-0000-0100-0000B9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74" name="Picture 698" hidden="1">
            <a:extLst>
              <a:ext uri="{FF2B5EF4-FFF2-40B4-BE49-F238E27FC236}">
                <a16:creationId xmlns:a16="http://schemas.microsoft.com/office/drawing/2014/main" id="{00000000-0008-0000-0100-0000BA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75" name="Picture 699" hidden="1">
            <a:extLst>
              <a:ext uri="{FF2B5EF4-FFF2-40B4-BE49-F238E27FC236}">
                <a16:creationId xmlns:a16="http://schemas.microsoft.com/office/drawing/2014/main" id="{00000000-0008-0000-0100-0000BB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76" name="dropdown" hidden="1">
            <a:extLst>
              <a:ext uri="{FF2B5EF4-FFF2-40B4-BE49-F238E27FC236}">
                <a16:creationId xmlns:a16="http://schemas.microsoft.com/office/drawing/2014/main" id="{00000000-0008-0000-0100-0000BC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77" name="그룹 77">
            <a:extLst>
              <a:ext uri="{FF2B5EF4-FFF2-40B4-BE49-F238E27FC236}">
                <a16:creationId xmlns:a16="http://schemas.microsoft.com/office/drawing/2014/main" id="{00000000-0008-0000-0100-0000BD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78" name="Option Button 82" hidden="1">
              <a:extLst>
                <a:ext uri="{FF2B5EF4-FFF2-40B4-BE49-F238E27FC236}">
                  <a16:creationId xmlns:a16="http://schemas.microsoft.com/office/drawing/2014/main" id="{00000000-0008-0000-0100-0000BE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79" name="Option Button 83" hidden="1">
              <a:extLst>
                <a:ext uri="{FF2B5EF4-FFF2-40B4-BE49-F238E27FC236}">
                  <a16:creationId xmlns:a16="http://schemas.microsoft.com/office/drawing/2014/main" id="{00000000-0008-0000-0100-0000BF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80" name="Option Button 84" hidden="1">
              <a:extLst>
                <a:ext uri="{FF2B5EF4-FFF2-40B4-BE49-F238E27FC236}">
                  <a16:creationId xmlns:a16="http://schemas.microsoft.com/office/drawing/2014/main" id="{00000000-0008-0000-0100-0000C0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90" name="Group 714">
          <a:extLst>
            <a:ext uri="{FF2B5EF4-FFF2-40B4-BE49-F238E27FC236}">
              <a16:creationId xmlns:a16="http://schemas.microsoft.com/office/drawing/2014/main" id="{00000000-0008-0000-0100-0000CA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99" name="Picture 723" hidden="1">
            <a:extLst>
              <a:ext uri="{FF2B5EF4-FFF2-40B4-BE49-F238E27FC236}">
                <a16:creationId xmlns:a16="http://schemas.microsoft.com/office/drawing/2014/main" id="{00000000-0008-0000-0100-0000D3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00" name="Picture 724" hidden="1">
            <a:extLst>
              <a:ext uri="{FF2B5EF4-FFF2-40B4-BE49-F238E27FC236}">
                <a16:creationId xmlns:a16="http://schemas.microsoft.com/office/drawing/2014/main" id="{00000000-0008-0000-0100-0000D4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01" name="dropdown" hidden="1">
            <a:extLst>
              <a:ext uri="{FF2B5EF4-FFF2-40B4-BE49-F238E27FC236}">
                <a16:creationId xmlns:a16="http://schemas.microsoft.com/office/drawing/2014/main" id="{00000000-0008-0000-0100-0000D5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702" name="그룹 53">
            <a:extLst>
              <a:ext uri="{FF2B5EF4-FFF2-40B4-BE49-F238E27FC236}">
                <a16:creationId xmlns:a16="http://schemas.microsoft.com/office/drawing/2014/main" id="{00000000-0008-0000-0100-0000D6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703" name="Option Button 82" hidden="1">
              <a:extLst>
                <a:ext uri="{FF2B5EF4-FFF2-40B4-BE49-F238E27FC236}">
                  <a16:creationId xmlns:a16="http://schemas.microsoft.com/office/drawing/2014/main" id="{00000000-0008-0000-0100-0000D7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04" name="Option Button 83" hidden="1">
              <a:extLst>
                <a:ext uri="{FF2B5EF4-FFF2-40B4-BE49-F238E27FC236}">
                  <a16:creationId xmlns:a16="http://schemas.microsoft.com/office/drawing/2014/main" id="{00000000-0008-0000-0100-0000D8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05" name="Option Button 84" hidden="1">
              <a:extLst>
                <a:ext uri="{FF2B5EF4-FFF2-40B4-BE49-F238E27FC236}">
                  <a16:creationId xmlns:a16="http://schemas.microsoft.com/office/drawing/2014/main" id="{00000000-0008-0000-0100-0000D9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691" name="Group 715">
          <a:extLst>
            <a:ext uri="{FF2B5EF4-FFF2-40B4-BE49-F238E27FC236}">
              <a16:creationId xmlns:a16="http://schemas.microsoft.com/office/drawing/2014/main" id="{00000000-0008-0000-0100-0000CB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692" name="Picture 716" hidden="1">
            <a:extLst>
              <a:ext uri="{FF2B5EF4-FFF2-40B4-BE49-F238E27FC236}">
                <a16:creationId xmlns:a16="http://schemas.microsoft.com/office/drawing/2014/main" id="{00000000-0008-0000-0100-0000CC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93" name="Picture 717" hidden="1">
            <a:extLst>
              <a:ext uri="{FF2B5EF4-FFF2-40B4-BE49-F238E27FC236}">
                <a16:creationId xmlns:a16="http://schemas.microsoft.com/office/drawing/2014/main" id="{00000000-0008-0000-0100-0000CD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694" name="dropdown" hidden="1">
            <a:extLst>
              <a:ext uri="{FF2B5EF4-FFF2-40B4-BE49-F238E27FC236}">
                <a16:creationId xmlns:a16="http://schemas.microsoft.com/office/drawing/2014/main" id="{00000000-0008-0000-0100-0000CE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695" name="그룹 77">
            <a:extLst>
              <a:ext uri="{FF2B5EF4-FFF2-40B4-BE49-F238E27FC236}">
                <a16:creationId xmlns:a16="http://schemas.microsoft.com/office/drawing/2014/main" id="{00000000-0008-0000-0100-0000CF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696" name="Option Button 82" hidden="1">
              <a:extLst>
                <a:ext uri="{FF2B5EF4-FFF2-40B4-BE49-F238E27FC236}">
                  <a16:creationId xmlns:a16="http://schemas.microsoft.com/office/drawing/2014/main" id="{00000000-0008-0000-0100-0000D0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97" name="Option Button 83" hidden="1">
              <a:extLst>
                <a:ext uri="{FF2B5EF4-FFF2-40B4-BE49-F238E27FC236}">
                  <a16:creationId xmlns:a16="http://schemas.microsoft.com/office/drawing/2014/main" id="{00000000-0008-0000-0100-0000D1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698" name="Option Button 84" hidden="1">
              <a:extLst>
                <a:ext uri="{FF2B5EF4-FFF2-40B4-BE49-F238E27FC236}">
                  <a16:creationId xmlns:a16="http://schemas.microsoft.com/office/drawing/2014/main" id="{00000000-0008-0000-0100-0000D2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708" name="Group 732">
          <a:extLst>
            <a:ext uri="{FF2B5EF4-FFF2-40B4-BE49-F238E27FC236}">
              <a16:creationId xmlns:a16="http://schemas.microsoft.com/office/drawing/2014/main" id="{00000000-0008-0000-0100-0000DC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717" name="Picture 741" hidden="1">
            <a:extLst>
              <a:ext uri="{FF2B5EF4-FFF2-40B4-BE49-F238E27FC236}">
                <a16:creationId xmlns:a16="http://schemas.microsoft.com/office/drawing/2014/main" id="{00000000-0008-0000-0100-0000E5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18" name="Picture 742" hidden="1">
            <a:extLst>
              <a:ext uri="{FF2B5EF4-FFF2-40B4-BE49-F238E27FC236}">
                <a16:creationId xmlns:a16="http://schemas.microsoft.com/office/drawing/2014/main" id="{00000000-0008-0000-0100-0000E6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19" name="dropdown" hidden="1">
            <a:extLst>
              <a:ext uri="{FF2B5EF4-FFF2-40B4-BE49-F238E27FC236}">
                <a16:creationId xmlns:a16="http://schemas.microsoft.com/office/drawing/2014/main" id="{00000000-0008-0000-0100-0000E7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720" name="그룹 53">
            <a:extLst>
              <a:ext uri="{FF2B5EF4-FFF2-40B4-BE49-F238E27FC236}">
                <a16:creationId xmlns:a16="http://schemas.microsoft.com/office/drawing/2014/main" id="{00000000-0008-0000-0100-0000E8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721" name="Option Button 82" hidden="1">
              <a:extLst>
                <a:ext uri="{FF2B5EF4-FFF2-40B4-BE49-F238E27FC236}">
                  <a16:creationId xmlns:a16="http://schemas.microsoft.com/office/drawing/2014/main" id="{00000000-0008-0000-0100-0000E9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22" name="Option Button 83" hidden="1">
              <a:extLst>
                <a:ext uri="{FF2B5EF4-FFF2-40B4-BE49-F238E27FC236}">
                  <a16:creationId xmlns:a16="http://schemas.microsoft.com/office/drawing/2014/main" id="{00000000-0008-0000-0100-0000EA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23" name="Option Button 84" hidden="1">
              <a:extLst>
                <a:ext uri="{FF2B5EF4-FFF2-40B4-BE49-F238E27FC236}">
                  <a16:creationId xmlns:a16="http://schemas.microsoft.com/office/drawing/2014/main" id="{00000000-0008-0000-0100-0000EB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709" name="Group 733">
          <a:extLst>
            <a:ext uri="{FF2B5EF4-FFF2-40B4-BE49-F238E27FC236}">
              <a16:creationId xmlns:a16="http://schemas.microsoft.com/office/drawing/2014/main" id="{00000000-0008-0000-0100-0000DD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710" name="Picture 734" hidden="1">
            <a:extLst>
              <a:ext uri="{FF2B5EF4-FFF2-40B4-BE49-F238E27FC236}">
                <a16:creationId xmlns:a16="http://schemas.microsoft.com/office/drawing/2014/main" id="{00000000-0008-0000-0100-0000DE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11" name="Picture 735" hidden="1">
            <a:extLst>
              <a:ext uri="{FF2B5EF4-FFF2-40B4-BE49-F238E27FC236}">
                <a16:creationId xmlns:a16="http://schemas.microsoft.com/office/drawing/2014/main" id="{00000000-0008-0000-0100-0000DF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12" name="dropdown" hidden="1">
            <a:extLst>
              <a:ext uri="{FF2B5EF4-FFF2-40B4-BE49-F238E27FC236}">
                <a16:creationId xmlns:a16="http://schemas.microsoft.com/office/drawing/2014/main" id="{00000000-0008-0000-0100-0000E0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713" name="그룹 77">
            <a:extLst>
              <a:ext uri="{FF2B5EF4-FFF2-40B4-BE49-F238E27FC236}">
                <a16:creationId xmlns:a16="http://schemas.microsoft.com/office/drawing/2014/main" id="{00000000-0008-0000-0100-0000E1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714" name="Option Button 82" hidden="1">
              <a:extLst>
                <a:ext uri="{FF2B5EF4-FFF2-40B4-BE49-F238E27FC236}">
                  <a16:creationId xmlns:a16="http://schemas.microsoft.com/office/drawing/2014/main" id="{00000000-0008-0000-0100-0000E2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15" name="Option Button 83" hidden="1">
              <a:extLst>
                <a:ext uri="{FF2B5EF4-FFF2-40B4-BE49-F238E27FC236}">
                  <a16:creationId xmlns:a16="http://schemas.microsoft.com/office/drawing/2014/main" id="{00000000-0008-0000-0100-0000E3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16" name="Option Button 84" hidden="1">
              <a:extLst>
                <a:ext uri="{FF2B5EF4-FFF2-40B4-BE49-F238E27FC236}">
                  <a16:creationId xmlns:a16="http://schemas.microsoft.com/office/drawing/2014/main" id="{00000000-0008-0000-0100-0000E4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726" name="Group 750">
          <a:extLst>
            <a:ext uri="{FF2B5EF4-FFF2-40B4-BE49-F238E27FC236}">
              <a16:creationId xmlns:a16="http://schemas.microsoft.com/office/drawing/2014/main" id="{00000000-0008-0000-0100-0000EE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735" name="Picture 759" hidden="1">
            <a:extLst>
              <a:ext uri="{FF2B5EF4-FFF2-40B4-BE49-F238E27FC236}">
                <a16:creationId xmlns:a16="http://schemas.microsoft.com/office/drawing/2014/main" id="{00000000-0008-0000-0100-0000F7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36" name="Picture 760" hidden="1">
            <a:extLst>
              <a:ext uri="{FF2B5EF4-FFF2-40B4-BE49-F238E27FC236}">
                <a16:creationId xmlns:a16="http://schemas.microsoft.com/office/drawing/2014/main" id="{00000000-0008-0000-0100-0000F8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37" name="dropdown" hidden="1">
            <a:extLst>
              <a:ext uri="{FF2B5EF4-FFF2-40B4-BE49-F238E27FC236}">
                <a16:creationId xmlns:a16="http://schemas.microsoft.com/office/drawing/2014/main" id="{00000000-0008-0000-0100-0000F9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738" name="그룹 53">
            <a:extLst>
              <a:ext uri="{FF2B5EF4-FFF2-40B4-BE49-F238E27FC236}">
                <a16:creationId xmlns:a16="http://schemas.microsoft.com/office/drawing/2014/main" id="{00000000-0008-0000-0100-0000FA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739" name="Option Button 82" hidden="1">
              <a:extLst>
                <a:ext uri="{FF2B5EF4-FFF2-40B4-BE49-F238E27FC236}">
                  <a16:creationId xmlns:a16="http://schemas.microsoft.com/office/drawing/2014/main" id="{00000000-0008-0000-0100-0000FB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40" name="Option Button 83" hidden="1">
              <a:extLst>
                <a:ext uri="{FF2B5EF4-FFF2-40B4-BE49-F238E27FC236}">
                  <a16:creationId xmlns:a16="http://schemas.microsoft.com/office/drawing/2014/main" id="{00000000-0008-0000-0100-0000FC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41" name="Option Button 84" hidden="1">
              <a:extLst>
                <a:ext uri="{FF2B5EF4-FFF2-40B4-BE49-F238E27FC236}">
                  <a16:creationId xmlns:a16="http://schemas.microsoft.com/office/drawing/2014/main" id="{00000000-0008-0000-0100-0000FD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727" name="Group 751">
          <a:extLst>
            <a:ext uri="{FF2B5EF4-FFF2-40B4-BE49-F238E27FC236}">
              <a16:creationId xmlns:a16="http://schemas.microsoft.com/office/drawing/2014/main" id="{00000000-0008-0000-0100-0000EFDA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728" name="Picture 752" hidden="1">
            <a:extLst>
              <a:ext uri="{FF2B5EF4-FFF2-40B4-BE49-F238E27FC236}">
                <a16:creationId xmlns:a16="http://schemas.microsoft.com/office/drawing/2014/main" id="{00000000-0008-0000-0100-0000F0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29" name="Picture 753" hidden="1">
            <a:extLst>
              <a:ext uri="{FF2B5EF4-FFF2-40B4-BE49-F238E27FC236}">
                <a16:creationId xmlns:a16="http://schemas.microsoft.com/office/drawing/2014/main" id="{00000000-0008-0000-0100-0000F1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30" name="dropdown" hidden="1">
            <a:extLst>
              <a:ext uri="{FF2B5EF4-FFF2-40B4-BE49-F238E27FC236}">
                <a16:creationId xmlns:a16="http://schemas.microsoft.com/office/drawing/2014/main" id="{00000000-0008-0000-0100-0000F2DA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731" name="그룹 77">
            <a:extLst>
              <a:ext uri="{FF2B5EF4-FFF2-40B4-BE49-F238E27FC236}">
                <a16:creationId xmlns:a16="http://schemas.microsoft.com/office/drawing/2014/main" id="{00000000-0008-0000-0100-0000F3DA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732" name="Option Button 82" hidden="1">
              <a:extLst>
                <a:ext uri="{FF2B5EF4-FFF2-40B4-BE49-F238E27FC236}">
                  <a16:creationId xmlns:a16="http://schemas.microsoft.com/office/drawing/2014/main" id="{00000000-0008-0000-0100-0000F4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33" name="Option Button 83" hidden="1">
              <a:extLst>
                <a:ext uri="{FF2B5EF4-FFF2-40B4-BE49-F238E27FC236}">
                  <a16:creationId xmlns:a16="http://schemas.microsoft.com/office/drawing/2014/main" id="{00000000-0008-0000-0100-0000F5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34" name="Option Button 84" hidden="1">
              <a:extLst>
                <a:ext uri="{FF2B5EF4-FFF2-40B4-BE49-F238E27FC236}">
                  <a16:creationId xmlns:a16="http://schemas.microsoft.com/office/drawing/2014/main" id="{00000000-0008-0000-0100-0000F6DA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52178</xdr:colOff>
          <xdr:row>1</xdr:row>
          <xdr:rowOff>325684</xdr:rowOff>
        </xdr:from>
        <xdr:to>
          <xdr:col>0</xdr:col>
          <xdr:colOff>52178</xdr:colOff>
          <xdr:row>1</xdr:row>
          <xdr:rowOff>325684</xdr:rowOff>
        </xdr:to>
        <xdr:grpSp>
          <xdr:nvGrpSpPr>
            <xdr:cNvPr id="383743" name="Group 767">
              <a:extLst>
                <a:ext uri="{FF2B5EF4-FFF2-40B4-BE49-F238E27FC236}">
                  <a16:creationId xmlns:a16="http://schemas.microsoft.com/office/drawing/2014/main" id="{00000000-0008-0000-0100-0000FFDA05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2178" y="516184"/>
              <a:ext cx="0" cy="0"/>
              <a:chOff x="52178" y="516184"/>
              <a:chExt cx="0" cy="0"/>
            </a:xfrm>
          </xdr:grpSpPr>
        </xdr:grpSp>
        <xdr:clientData/>
      </xdr:twoCellAnchor>
    </mc:Choice>
    <mc:Fallback/>
  </mc:AlternateContent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744" name="Group 768">
          <a:extLst>
            <a:ext uri="{FF2B5EF4-FFF2-40B4-BE49-F238E27FC236}">
              <a16:creationId xmlns:a16="http://schemas.microsoft.com/office/drawing/2014/main" id="{00000000-0008-0000-0100-000000DB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753" name="Picture 777" hidden="1">
            <a:extLst>
              <a:ext uri="{FF2B5EF4-FFF2-40B4-BE49-F238E27FC236}">
                <a16:creationId xmlns:a16="http://schemas.microsoft.com/office/drawing/2014/main" id="{00000000-0008-0000-0100-000009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54" name="Picture 778" hidden="1">
            <a:extLst>
              <a:ext uri="{FF2B5EF4-FFF2-40B4-BE49-F238E27FC236}">
                <a16:creationId xmlns:a16="http://schemas.microsoft.com/office/drawing/2014/main" id="{00000000-0008-0000-0100-00000A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55" name="dropdown" hidden="1">
            <a:extLst>
              <a:ext uri="{FF2B5EF4-FFF2-40B4-BE49-F238E27FC236}">
                <a16:creationId xmlns:a16="http://schemas.microsoft.com/office/drawing/2014/main" id="{00000000-0008-0000-0100-00000B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756" name="그룹 53">
            <a:extLst>
              <a:ext uri="{FF2B5EF4-FFF2-40B4-BE49-F238E27FC236}">
                <a16:creationId xmlns:a16="http://schemas.microsoft.com/office/drawing/2014/main" id="{00000000-0008-0000-0100-00000CDB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757" name="Option Button 82" hidden="1">
              <a:extLst>
                <a:ext uri="{FF2B5EF4-FFF2-40B4-BE49-F238E27FC236}">
                  <a16:creationId xmlns:a16="http://schemas.microsoft.com/office/drawing/2014/main" id="{00000000-0008-0000-0100-00000D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58" name="Option Button 83" hidden="1">
              <a:extLst>
                <a:ext uri="{FF2B5EF4-FFF2-40B4-BE49-F238E27FC236}">
                  <a16:creationId xmlns:a16="http://schemas.microsoft.com/office/drawing/2014/main" id="{00000000-0008-0000-0100-00000E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59" name="Option Button 84" hidden="1">
              <a:extLst>
                <a:ext uri="{FF2B5EF4-FFF2-40B4-BE49-F238E27FC236}">
                  <a16:creationId xmlns:a16="http://schemas.microsoft.com/office/drawing/2014/main" id="{00000000-0008-0000-0100-00000F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745" name="Group 769">
          <a:extLst>
            <a:ext uri="{FF2B5EF4-FFF2-40B4-BE49-F238E27FC236}">
              <a16:creationId xmlns:a16="http://schemas.microsoft.com/office/drawing/2014/main" id="{00000000-0008-0000-0100-000001DB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746" name="Picture 770" hidden="1">
            <a:extLst>
              <a:ext uri="{FF2B5EF4-FFF2-40B4-BE49-F238E27FC236}">
                <a16:creationId xmlns:a16="http://schemas.microsoft.com/office/drawing/2014/main" id="{00000000-0008-0000-0100-000002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21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47" name="Picture 771" hidden="1">
            <a:extLst>
              <a:ext uri="{FF2B5EF4-FFF2-40B4-BE49-F238E27FC236}">
                <a16:creationId xmlns:a16="http://schemas.microsoft.com/office/drawing/2014/main" id="{00000000-0008-0000-0100-000003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71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48" name="dropdown" hidden="1">
            <a:extLst>
              <a:ext uri="{FF2B5EF4-FFF2-40B4-BE49-F238E27FC236}">
                <a16:creationId xmlns:a16="http://schemas.microsoft.com/office/drawing/2014/main" id="{00000000-0008-0000-0100-000004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43"/>
            <a:ext cx="11907" cy="216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749" name="그룹 77">
            <a:extLst>
              <a:ext uri="{FF2B5EF4-FFF2-40B4-BE49-F238E27FC236}">
                <a16:creationId xmlns:a16="http://schemas.microsoft.com/office/drawing/2014/main" id="{00000000-0008-0000-0100-000005DB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750" name="Option Button 82" hidden="1">
              <a:extLst>
                <a:ext uri="{FF2B5EF4-FFF2-40B4-BE49-F238E27FC236}">
                  <a16:creationId xmlns:a16="http://schemas.microsoft.com/office/drawing/2014/main" id="{00000000-0008-0000-0100-000006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55"/>
              <a:ext cx="7319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51" name="Option Button 83" hidden="1">
              <a:extLst>
                <a:ext uri="{FF2B5EF4-FFF2-40B4-BE49-F238E27FC236}">
                  <a16:creationId xmlns:a16="http://schemas.microsoft.com/office/drawing/2014/main" id="{00000000-0008-0000-0100-000007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55"/>
              <a:ext cx="7725" cy="265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52" name="Option Button 84" hidden="1">
              <a:extLst>
                <a:ext uri="{FF2B5EF4-FFF2-40B4-BE49-F238E27FC236}">
                  <a16:creationId xmlns:a16="http://schemas.microsoft.com/office/drawing/2014/main" id="{00000000-0008-0000-0100-000008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35"/>
              <a:ext cx="7435" cy="289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12</xdr:row>
      <xdr:rowOff>95250</xdr:rowOff>
    </xdr:from>
    <xdr:to>
      <xdr:col>11</xdr:col>
      <xdr:colOff>3438525</xdr:colOff>
      <xdr:row>13</xdr:row>
      <xdr:rowOff>314325</xdr:rowOff>
    </xdr:to>
    <xdr:grpSp>
      <xdr:nvGrpSpPr>
        <xdr:cNvPr id="383768" name="Group 146">
          <a:extLst>
            <a:ext uri="{FF2B5EF4-FFF2-40B4-BE49-F238E27FC236}">
              <a16:creationId xmlns:a16="http://schemas.microsoft.com/office/drawing/2014/main" id="{00000000-0008-0000-0100-000018DB0500}"/>
            </a:ext>
          </a:extLst>
        </xdr:cNvPr>
        <xdr:cNvGrpSpPr>
          <a:grpSpLocks/>
        </xdr:cNvGrpSpPr>
      </xdr:nvGrpSpPr>
      <xdr:grpSpPr bwMode="auto">
        <a:xfrm>
          <a:off x="5044440" y="3150870"/>
          <a:ext cx="4695825" cy="561975"/>
          <a:chOff x="50760" y="6194"/>
          <a:chExt cx="47037" cy="5580"/>
        </a:xfrm>
      </xdr:grpSpPr>
      <xdr:pic>
        <xdr:nvPicPr>
          <xdr:cNvPr id="383777" name="Picture 147" hidden="1">
            <a:extLst>
              <a:ext uri="{FF2B5EF4-FFF2-40B4-BE49-F238E27FC236}">
                <a16:creationId xmlns:a16="http://schemas.microsoft.com/office/drawing/2014/main" id="{00000000-0008-0000-0100-000021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599" y="6158"/>
            <a:ext cx="13438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78" name="Picture 148" hidden="1">
            <a:extLst>
              <a:ext uri="{FF2B5EF4-FFF2-40B4-BE49-F238E27FC236}">
                <a16:creationId xmlns:a16="http://schemas.microsoft.com/office/drawing/2014/main" id="{00000000-0008-0000-0100-000022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204" y="6278"/>
            <a:ext cx="13380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79" name="dropdown" hidden="1">
            <a:extLst>
              <a:ext uri="{FF2B5EF4-FFF2-40B4-BE49-F238E27FC236}">
                <a16:creationId xmlns:a16="http://schemas.microsoft.com/office/drawing/2014/main" id="{00000000-0008-0000-0100-000023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53" y="9341"/>
            <a:ext cx="11868" cy="22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780" name="그룹 39">
            <a:extLst>
              <a:ext uri="{FF2B5EF4-FFF2-40B4-BE49-F238E27FC236}">
                <a16:creationId xmlns:a16="http://schemas.microsoft.com/office/drawing/2014/main" id="{00000000-0008-0000-0100-000024DB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781" name="Option Button 82" hidden="1">
              <a:extLst>
                <a:ext uri="{FF2B5EF4-FFF2-40B4-BE49-F238E27FC236}">
                  <a16:creationId xmlns:a16="http://schemas.microsoft.com/office/drawing/2014/main" id="{00000000-0008-0000-0100-000025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92" y="8954"/>
              <a:ext cx="7330" cy="264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82" name="Option Button 83" hidden="1">
              <a:extLst>
                <a:ext uri="{FF2B5EF4-FFF2-40B4-BE49-F238E27FC236}">
                  <a16:creationId xmlns:a16="http://schemas.microsoft.com/office/drawing/2014/main" id="{00000000-0008-0000-0100-000026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213" y="8954"/>
              <a:ext cx="7679" cy="264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83" name="Option Button 84" hidden="1">
              <a:extLst>
                <a:ext uri="{FF2B5EF4-FFF2-40B4-BE49-F238E27FC236}">
                  <a16:creationId xmlns:a16="http://schemas.microsoft.com/office/drawing/2014/main" id="{00000000-0008-0000-0100-000027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55" y="8834"/>
              <a:ext cx="7446" cy="288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12</xdr:row>
      <xdr:rowOff>95250</xdr:rowOff>
    </xdr:from>
    <xdr:to>
      <xdr:col>11</xdr:col>
      <xdr:colOff>3438525</xdr:colOff>
      <xdr:row>13</xdr:row>
      <xdr:rowOff>314325</xdr:rowOff>
    </xdr:to>
    <xdr:grpSp>
      <xdr:nvGrpSpPr>
        <xdr:cNvPr id="383769" name="그룹 82">
          <a:extLst>
            <a:ext uri="{FF2B5EF4-FFF2-40B4-BE49-F238E27FC236}">
              <a16:creationId xmlns:a16="http://schemas.microsoft.com/office/drawing/2014/main" id="{00000000-0008-0000-0100-000019DB0500}"/>
            </a:ext>
          </a:extLst>
        </xdr:cNvPr>
        <xdr:cNvGrpSpPr>
          <a:grpSpLocks/>
        </xdr:cNvGrpSpPr>
      </xdr:nvGrpSpPr>
      <xdr:grpSpPr bwMode="auto">
        <a:xfrm>
          <a:off x="5044440" y="3150870"/>
          <a:ext cx="4695825" cy="561975"/>
          <a:chOff x="50760" y="6194"/>
          <a:chExt cx="47037" cy="5580"/>
        </a:xfrm>
      </xdr:grpSpPr>
      <xdr:pic>
        <xdr:nvPicPr>
          <xdr:cNvPr id="383770" name="Picture 794" hidden="1">
            <a:extLst>
              <a:ext uri="{FF2B5EF4-FFF2-40B4-BE49-F238E27FC236}">
                <a16:creationId xmlns:a16="http://schemas.microsoft.com/office/drawing/2014/main" id="{00000000-0008-0000-0100-00001A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176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71" name="Picture 795" hidden="1">
            <a:extLst>
              <a:ext uri="{FF2B5EF4-FFF2-40B4-BE49-F238E27FC236}">
                <a16:creationId xmlns:a16="http://schemas.microsoft.com/office/drawing/2014/main" id="{00000000-0008-0000-0100-00001B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97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72" name="dropdown" hidden="1">
            <a:extLst>
              <a:ext uri="{FF2B5EF4-FFF2-40B4-BE49-F238E27FC236}">
                <a16:creationId xmlns:a16="http://schemas.microsoft.com/office/drawing/2014/main" id="{00000000-0008-0000-0100-00001C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69"/>
            <a:ext cx="11907" cy="21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773" name="그룹 86">
            <a:extLst>
              <a:ext uri="{FF2B5EF4-FFF2-40B4-BE49-F238E27FC236}">
                <a16:creationId xmlns:a16="http://schemas.microsoft.com/office/drawing/2014/main" id="{00000000-0008-0000-0100-00001DDB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774" name="Option Button 82" hidden="1">
              <a:extLst>
                <a:ext uri="{FF2B5EF4-FFF2-40B4-BE49-F238E27FC236}">
                  <a16:creationId xmlns:a16="http://schemas.microsoft.com/office/drawing/2014/main" id="{00000000-0008-0000-0100-00001E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81"/>
              <a:ext cx="7319" cy="259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75" name="Option Button 83" hidden="1">
              <a:extLst>
                <a:ext uri="{FF2B5EF4-FFF2-40B4-BE49-F238E27FC236}">
                  <a16:creationId xmlns:a16="http://schemas.microsoft.com/office/drawing/2014/main" id="{00000000-0008-0000-0100-00001F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81"/>
              <a:ext cx="7725" cy="259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76" name="Option Button 84" hidden="1">
              <a:extLst>
                <a:ext uri="{FF2B5EF4-FFF2-40B4-BE49-F238E27FC236}">
                  <a16:creationId xmlns:a16="http://schemas.microsoft.com/office/drawing/2014/main" id="{00000000-0008-0000-0100-000020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60"/>
              <a:ext cx="7435" cy="283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295275</xdr:colOff>
      <xdr:row>13</xdr:row>
      <xdr:rowOff>304800</xdr:rowOff>
    </xdr:to>
    <xdr:grpSp>
      <xdr:nvGrpSpPr>
        <xdr:cNvPr id="383787" name="Group 811">
          <a:extLst>
            <a:ext uri="{FF2B5EF4-FFF2-40B4-BE49-F238E27FC236}">
              <a16:creationId xmlns:a16="http://schemas.microsoft.com/office/drawing/2014/main" id="{00000000-0008-0000-0100-00002BDB0500}"/>
            </a:ext>
          </a:extLst>
        </xdr:cNvPr>
        <xdr:cNvGrpSpPr>
          <a:grpSpLocks/>
        </xdr:cNvGrpSpPr>
      </xdr:nvGrpSpPr>
      <xdr:grpSpPr bwMode="auto">
        <a:xfrm>
          <a:off x="10431780" y="3398520"/>
          <a:ext cx="904875" cy="304800"/>
          <a:chOff x="108276" y="4795"/>
          <a:chExt cx="9065" cy="3978"/>
        </a:xfrm>
      </xdr:grpSpPr>
      <xdr:sp macro="" textlink="">
        <xdr:nvSpPr>
          <xdr:cNvPr id="21" name="Button 75" hidden="1">
            <a:extLst>
              <a:ext uri="{63B3BB69-23CF-44E3-9099-C40C66FF867C}">
                <a14:compatExt xmlns:a14="http://schemas.microsoft.com/office/drawing/2010/main" spid="_x0000_s383051"/>
              </a:ex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 bwMode="auto">
          <a:xfrm>
            <a:off x="108340" y="4795"/>
            <a:ext cx="9001" cy="181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▲올리기</a:t>
            </a:r>
          </a:p>
        </xdr:txBody>
      </xdr:sp>
      <xdr:sp macro="" textlink="">
        <xdr:nvSpPr>
          <xdr:cNvPr id="22" name="Button 76" hidden="1">
            <a:extLst>
              <a:ext uri="{63B3BB69-23CF-44E3-9099-C40C66FF867C}">
                <a14:compatExt xmlns:a14="http://schemas.microsoft.com/office/drawing/2010/main" spid="_x0000_s383052"/>
              </a:ex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 bwMode="auto">
          <a:xfrm>
            <a:off x="108276" y="6963"/>
            <a:ext cx="9001" cy="181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▼내리기</a:t>
            </a:r>
          </a:p>
        </xdr:txBody>
      </xdr:sp>
    </xdr:grpSp>
    <xdr:clientData/>
  </xdr:twoCellAnchor>
  <xdr:twoCellAnchor>
    <xdr:from>
      <xdr:col>10</xdr:col>
      <xdr:colOff>571500</xdr:colOff>
      <xdr:row>12</xdr:row>
      <xdr:rowOff>95250</xdr:rowOff>
    </xdr:from>
    <xdr:to>
      <xdr:col>11</xdr:col>
      <xdr:colOff>3438525</xdr:colOff>
      <xdr:row>13</xdr:row>
      <xdr:rowOff>314325</xdr:rowOff>
    </xdr:to>
    <xdr:grpSp>
      <xdr:nvGrpSpPr>
        <xdr:cNvPr id="383788" name="Group 812">
          <a:extLst>
            <a:ext uri="{FF2B5EF4-FFF2-40B4-BE49-F238E27FC236}">
              <a16:creationId xmlns:a16="http://schemas.microsoft.com/office/drawing/2014/main" id="{00000000-0008-0000-0100-00002CDB0500}"/>
            </a:ext>
          </a:extLst>
        </xdr:cNvPr>
        <xdr:cNvGrpSpPr>
          <a:grpSpLocks/>
        </xdr:cNvGrpSpPr>
      </xdr:nvGrpSpPr>
      <xdr:grpSpPr bwMode="auto">
        <a:xfrm>
          <a:off x="5044440" y="3150870"/>
          <a:ext cx="4695825" cy="561975"/>
          <a:chOff x="50760" y="6194"/>
          <a:chExt cx="47037" cy="5580"/>
        </a:xfrm>
      </xdr:grpSpPr>
      <xdr:pic>
        <xdr:nvPicPr>
          <xdr:cNvPr id="383797" name="Picture 147" hidden="1">
            <a:extLst>
              <a:ext uri="{FF2B5EF4-FFF2-40B4-BE49-F238E27FC236}">
                <a16:creationId xmlns:a16="http://schemas.microsoft.com/office/drawing/2014/main" id="{00000000-0008-0000-0100-000035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599" y="6158"/>
            <a:ext cx="13438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98" name="Picture 148" hidden="1">
            <a:extLst>
              <a:ext uri="{FF2B5EF4-FFF2-40B4-BE49-F238E27FC236}">
                <a16:creationId xmlns:a16="http://schemas.microsoft.com/office/drawing/2014/main" id="{00000000-0008-0000-0100-000036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204" y="6278"/>
            <a:ext cx="13380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99" name="dropdown" hidden="1">
            <a:extLst>
              <a:ext uri="{FF2B5EF4-FFF2-40B4-BE49-F238E27FC236}">
                <a16:creationId xmlns:a16="http://schemas.microsoft.com/office/drawing/2014/main" id="{00000000-0008-0000-0100-000037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53" y="9341"/>
            <a:ext cx="11868" cy="22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800" name="그룹 39">
            <a:extLst>
              <a:ext uri="{FF2B5EF4-FFF2-40B4-BE49-F238E27FC236}">
                <a16:creationId xmlns:a16="http://schemas.microsoft.com/office/drawing/2014/main" id="{00000000-0008-0000-0100-000038DB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801" name="Option Button 82" hidden="1">
              <a:extLst>
                <a:ext uri="{FF2B5EF4-FFF2-40B4-BE49-F238E27FC236}">
                  <a16:creationId xmlns:a16="http://schemas.microsoft.com/office/drawing/2014/main" id="{00000000-0008-0000-0100-000039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92" y="8954"/>
              <a:ext cx="7330" cy="264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802" name="Option Button 83" hidden="1">
              <a:extLst>
                <a:ext uri="{FF2B5EF4-FFF2-40B4-BE49-F238E27FC236}">
                  <a16:creationId xmlns:a16="http://schemas.microsoft.com/office/drawing/2014/main" id="{00000000-0008-0000-0100-00003A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213" y="8954"/>
              <a:ext cx="7679" cy="264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803" name="Option Button 84" hidden="1">
              <a:extLst>
                <a:ext uri="{FF2B5EF4-FFF2-40B4-BE49-F238E27FC236}">
                  <a16:creationId xmlns:a16="http://schemas.microsoft.com/office/drawing/2014/main" id="{00000000-0008-0000-0100-00003B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55" y="8834"/>
              <a:ext cx="7446" cy="288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12</xdr:row>
      <xdr:rowOff>95250</xdr:rowOff>
    </xdr:from>
    <xdr:to>
      <xdr:col>11</xdr:col>
      <xdr:colOff>3438525</xdr:colOff>
      <xdr:row>13</xdr:row>
      <xdr:rowOff>314325</xdr:rowOff>
    </xdr:to>
    <xdr:grpSp>
      <xdr:nvGrpSpPr>
        <xdr:cNvPr id="383789" name="Group 813">
          <a:extLst>
            <a:ext uri="{FF2B5EF4-FFF2-40B4-BE49-F238E27FC236}">
              <a16:creationId xmlns:a16="http://schemas.microsoft.com/office/drawing/2014/main" id="{00000000-0008-0000-0100-00002DDB0500}"/>
            </a:ext>
          </a:extLst>
        </xdr:cNvPr>
        <xdr:cNvGrpSpPr>
          <a:grpSpLocks/>
        </xdr:cNvGrpSpPr>
      </xdr:nvGrpSpPr>
      <xdr:grpSpPr bwMode="auto">
        <a:xfrm>
          <a:off x="5044440" y="3150870"/>
          <a:ext cx="4695825" cy="561975"/>
          <a:chOff x="50760" y="6194"/>
          <a:chExt cx="47037" cy="5580"/>
        </a:xfrm>
      </xdr:grpSpPr>
      <xdr:pic>
        <xdr:nvPicPr>
          <xdr:cNvPr id="383790" name="Picture 814" hidden="1">
            <a:extLst>
              <a:ext uri="{FF2B5EF4-FFF2-40B4-BE49-F238E27FC236}">
                <a16:creationId xmlns:a16="http://schemas.microsoft.com/office/drawing/2014/main" id="{00000000-0008-0000-0100-00002E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621" y="6176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91" name="Picture 815" hidden="1">
            <a:extLst>
              <a:ext uri="{FF2B5EF4-FFF2-40B4-BE49-F238E27FC236}">
                <a16:creationId xmlns:a16="http://schemas.microsoft.com/office/drawing/2014/main" id="{00000000-0008-0000-0100-00002F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195" y="6297"/>
            <a:ext cx="13417" cy="18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792" name="dropdown" hidden="1">
            <a:extLst>
              <a:ext uri="{FF2B5EF4-FFF2-40B4-BE49-F238E27FC236}">
                <a16:creationId xmlns:a16="http://schemas.microsoft.com/office/drawing/2014/main" id="{00000000-0008-0000-0100-000030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40" y="9369"/>
            <a:ext cx="11907" cy="216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793" name="그룹 86">
            <a:extLst>
              <a:ext uri="{FF2B5EF4-FFF2-40B4-BE49-F238E27FC236}">
                <a16:creationId xmlns:a16="http://schemas.microsoft.com/office/drawing/2014/main" id="{00000000-0008-0000-0100-000031DB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794" name="Option Button 82" hidden="1">
              <a:extLst>
                <a:ext uri="{FF2B5EF4-FFF2-40B4-BE49-F238E27FC236}">
                  <a16:creationId xmlns:a16="http://schemas.microsoft.com/office/drawing/2014/main" id="{00000000-0008-0000-0100-000032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86" y="8981"/>
              <a:ext cx="7319" cy="259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95" name="Option Button 83" hidden="1">
              <a:extLst>
                <a:ext uri="{FF2B5EF4-FFF2-40B4-BE49-F238E27FC236}">
                  <a16:creationId xmlns:a16="http://schemas.microsoft.com/office/drawing/2014/main" id="{00000000-0008-0000-0100-000033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195" y="8981"/>
              <a:ext cx="7725" cy="259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796" name="Option Button 84" hidden="1">
              <a:extLst>
                <a:ext uri="{FF2B5EF4-FFF2-40B4-BE49-F238E27FC236}">
                  <a16:creationId xmlns:a16="http://schemas.microsoft.com/office/drawing/2014/main" id="{00000000-0008-0000-0100-000034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61" y="8860"/>
              <a:ext cx="7435" cy="283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879" name="Group 768">
          <a:extLst>
            <a:ext uri="{FF2B5EF4-FFF2-40B4-BE49-F238E27FC236}">
              <a16:creationId xmlns:a16="http://schemas.microsoft.com/office/drawing/2014/main" id="{00000000-0008-0000-0100-000087DB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888" name="Picture 777" hidden="1">
            <a:extLst>
              <a:ext uri="{FF2B5EF4-FFF2-40B4-BE49-F238E27FC236}">
                <a16:creationId xmlns:a16="http://schemas.microsoft.com/office/drawing/2014/main" id="{00000000-0008-0000-0100-000090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599" y="6193"/>
            <a:ext cx="13438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889" name="Picture 778" hidden="1">
            <a:extLst>
              <a:ext uri="{FF2B5EF4-FFF2-40B4-BE49-F238E27FC236}">
                <a16:creationId xmlns:a16="http://schemas.microsoft.com/office/drawing/2014/main" id="{00000000-0008-0000-0100-000091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204" y="6253"/>
            <a:ext cx="13380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890" name="dropdown" hidden="1">
            <a:extLst>
              <a:ext uri="{FF2B5EF4-FFF2-40B4-BE49-F238E27FC236}">
                <a16:creationId xmlns:a16="http://schemas.microsoft.com/office/drawing/2014/main" id="{00000000-0008-0000-0100-000092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53" y="9315"/>
            <a:ext cx="11868" cy="22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891" name="그룹 53">
            <a:extLst>
              <a:ext uri="{FF2B5EF4-FFF2-40B4-BE49-F238E27FC236}">
                <a16:creationId xmlns:a16="http://schemas.microsoft.com/office/drawing/2014/main" id="{00000000-0008-0000-0100-000093DB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892" name="Option Button 82" hidden="1">
              <a:extLst>
                <a:ext uri="{FF2B5EF4-FFF2-40B4-BE49-F238E27FC236}">
                  <a16:creationId xmlns:a16="http://schemas.microsoft.com/office/drawing/2014/main" id="{00000000-0008-0000-0100-000094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92" y="8928"/>
              <a:ext cx="7330" cy="270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893" name="Option Button 83" hidden="1">
              <a:extLst>
                <a:ext uri="{FF2B5EF4-FFF2-40B4-BE49-F238E27FC236}">
                  <a16:creationId xmlns:a16="http://schemas.microsoft.com/office/drawing/2014/main" id="{00000000-0008-0000-0100-000095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213" y="8928"/>
              <a:ext cx="7679" cy="270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894" name="Option Button 84" hidden="1">
              <a:extLst>
                <a:ext uri="{FF2B5EF4-FFF2-40B4-BE49-F238E27FC236}">
                  <a16:creationId xmlns:a16="http://schemas.microsoft.com/office/drawing/2014/main" id="{00000000-0008-0000-0100-000096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55" y="8808"/>
              <a:ext cx="7446" cy="294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880" name="Group 769">
          <a:extLst>
            <a:ext uri="{FF2B5EF4-FFF2-40B4-BE49-F238E27FC236}">
              <a16:creationId xmlns:a16="http://schemas.microsoft.com/office/drawing/2014/main" id="{00000000-0008-0000-0100-000088DB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881" name="Picture 770" hidden="1">
            <a:extLst>
              <a:ext uri="{FF2B5EF4-FFF2-40B4-BE49-F238E27FC236}">
                <a16:creationId xmlns:a16="http://schemas.microsoft.com/office/drawing/2014/main" id="{00000000-0008-0000-0100-000089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599" y="6193"/>
            <a:ext cx="13438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882" name="Picture 771" hidden="1">
            <a:extLst>
              <a:ext uri="{FF2B5EF4-FFF2-40B4-BE49-F238E27FC236}">
                <a16:creationId xmlns:a16="http://schemas.microsoft.com/office/drawing/2014/main" id="{00000000-0008-0000-0100-00008A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204" y="6253"/>
            <a:ext cx="13380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883" name="dropdown" hidden="1">
            <a:extLst>
              <a:ext uri="{FF2B5EF4-FFF2-40B4-BE49-F238E27FC236}">
                <a16:creationId xmlns:a16="http://schemas.microsoft.com/office/drawing/2014/main" id="{00000000-0008-0000-0100-00008B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53" y="9315"/>
            <a:ext cx="11868" cy="22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884" name="그룹 77">
            <a:extLst>
              <a:ext uri="{FF2B5EF4-FFF2-40B4-BE49-F238E27FC236}">
                <a16:creationId xmlns:a16="http://schemas.microsoft.com/office/drawing/2014/main" id="{00000000-0008-0000-0100-00008CDB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885" name="Option Button 82" hidden="1">
              <a:extLst>
                <a:ext uri="{FF2B5EF4-FFF2-40B4-BE49-F238E27FC236}">
                  <a16:creationId xmlns:a16="http://schemas.microsoft.com/office/drawing/2014/main" id="{00000000-0008-0000-0100-00008D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92" y="8928"/>
              <a:ext cx="7330" cy="270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886" name="Option Button 83" hidden="1">
              <a:extLst>
                <a:ext uri="{FF2B5EF4-FFF2-40B4-BE49-F238E27FC236}">
                  <a16:creationId xmlns:a16="http://schemas.microsoft.com/office/drawing/2014/main" id="{00000000-0008-0000-0100-00008E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213" y="8928"/>
              <a:ext cx="7679" cy="270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887" name="Option Button 84" hidden="1">
              <a:extLst>
                <a:ext uri="{FF2B5EF4-FFF2-40B4-BE49-F238E27FC236}">
                  <a16:creationId xmlns:a16="http://schemas.microsoft.com/office/drawing/2014/main" id="{00000000-0008-0000-0100-00008F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55" y="8808"/>
              <a:ext cx="7446" cy="294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295275</xdr:colOff>
          <xdr:row>3</xdr:row>
          <xdr:rowOff>304800</xdr:rowOff>
        </xdr:to>
        <xdr:grpSp>
          <xdr:nvGrpSpPr>
            <xdr:cNvPr id="383969" name="Group 993">
              <a:extLst>
                <a:ext uri="{FF2B5EF4-FFF2-40B4-BE49-F238E27FC236}">
                  <a16:creationId xmlns:a16="http://schemas.microsoft.com/office/drawing/2014/main" id="{00000000-0008-0000-0100-0000E1DB05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431780" y="876300"/>
              <a:ext cx="904875" cy="304800"/>
              <a:chOff x="108276" y="4795"/>
              <a:chExt cx="9065" cy="3978"/>
            </a:xfrm>
          </xdr:grpSpPr>
        </xdr:grpSp>
        <xdr:clientData/>
      </xdr:twoCellAnchor>
    </mc:Choice>
    <mc:Fallback/>
  </mc:AlternateContent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970" name="Group 994">
          <a:extLst>
            <a:ext uri="{FF2B5EF4-FFF2-40B4-BE49-F238E27FC236}">
              <a16:creationId xmlns:a16="http://schemas.microsoft.com/office/drawing/2014/main" id="{00000000-0008-0000-0100-0000E2DB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979" name="Picture 777" hidden="1">
            <a:extLst>
              <a:ext uri="{FF2B5EF4-FFF2-40B4-BE49-F238E27FC236}">
                <a16:creationId xmlns:a16="http://schemas.microsoft.com/office/drawing/2014/main" id="{00000000-0008-0000-0100-0000EB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599" y="6193"/>
            <a:ext cx="13438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980" name="Picture 778" hidden="1">
            <a:extLst>
              <a:ext uri="{FF2B5EF4-FFF2-40B4-BE49-F238E27FC236}">
                <a16:creationId xmlns:a16="http://schemas.microsoft.com/office/drawing/2014/main" id="{00000000-0008-0000-0100-0000EC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204" y="6253"/>
            <a:ext cx="13380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981" name="dropdown" hidden="1">
            <a:extLst>
              <a:ext uri="{FF2B5EF4-FFF2-40B4-BE49-F238E27FC236}">
                <a16:creationId xmlns:a16="http://schemas.microsoft.com/office/drawing/2014/main" id="{00000000-0008-0000-0100-0000ED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53" y="9315"/>
            <a:ext cx="11868" cy="22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982" name="그룹 53">
            <a:extLst>
              <a:ext uri="{FF2B5EF4-FFF2-40B4-BE49-F238E27FC236}">
                <a16:creationId xmlns:a16="http://schemas.microsoft.com/office/drawing/2014/main" id="{00000000-0008-0000-0100-0000EEDB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983" name="Option Button 82" hidden="1">
              <a:extLst>
                <a:ext uri="{FF2B5EF4-FFF2-40B4-BE49-F238E27FC236}">
                  <a16:creationId xmlns:a16="http://schemas.microsoft.com/office/drawing/2014/main" id="{00000000-0008-0000-0100-0000EF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92" y="8928"/>
              <a:ext cx="7330" cy="270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984" name="Option Button 83" hidden="1">
              <a:extLst>
                <a:ext uri="{FF2B5EF4-FFF2-40B4-BE49-F238E27FC236}">
                  <a16:creationId xmlns:a16="http://schemas.microsoft.com/office/drawing/2014/main" id="{00000000-0008-0000-0100-0000F0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213" y="8928"/>
              <a:ext cx="7679" cy="270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985" name="Option Button 84" hidden="1">
              <a:extLst>
                <a:ext uri="{FF2B5EF4-FFF2-40B4-BE49-F238E27FC236}">
                  <a16:creationId xmlns:a16="http://schemas.microsoft.com/office/drawing/2014/main" id="{00000000-0008-0000-0100-0000F1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55" y="8808"/>
              <a:ext cx="7446" cy="294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10</xdr:col>
      <xdr:colOff>571500</xdr:colOff>
      <xdr:row>2</xdr:row>
      <xdr:rowOff>95250</xdr:rowOff>
    </xdr:from>
    <xdr:to>
      <xdr:col>11</xdr:col>
      <xdr:colOff>3438525</xdr:colOff>
      <xdr:row>3</xdr:row>
      <xdr:rowOff>314325</xdr:rowOff>
    </xdr:to>
    <xdr:grpSp>
      <xdr:nvGrpSpPr>
        <xdr:cNvPr id="383971" name="Group 995">
          <a:extLst>
            <a:ext uri="{FF2B5EF4-FFF2-40B4-BE49-F238E27FC236}">
              <a16:creationId xmlns:a16="http://schemas.microsoft.com/office/drawing/2014/main" id="{00000000-0008-0000-0100-0000E3DB0500}"/>
            </a:ext>
          </a:extLst>
        </xdr:cNvPr>
        <xdr:cNvGrpSpPr>
          <a:grpSpLocks/>
        </xdr:cNvGrpSpPr>
      </xdr:nvGrpSpPr>
      <xdr:grpSpPr bwMode="auto">
        <a:xfrm>
          <a:off x="5044440" y="628650"/>
          <a:ext cx="4695825" cy="561975"/>
          <a:chOff x="50760" y="6194"/>
          <a:chExt cx="47037" cy="5580"/>
        </a:xfrm>
      </xdr:grpSpPr>
      <xdr:pic>
        <xdr:nvPicPr>
          <xdr:cNvPr id="383972" name="Picture 770" hidden="1">
            <a:extLst>
              <a:ext uri="{FF2B5EF4-FFF2-40B4-BE49-F238E27FC236}">
                <a16:creationId xmlns:a16="http://schemas.microsoft.com/office/drawing/2014/main" id="{00000000-0008-0000-0100-0000E4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599" y="6193"/>
            <a:ext cx="13438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973" name="Picture 771" hidden="1">
            <a:extLst>
              <a:ext uri="{FF2B5EF4-FFF2-40B4-BE49-F238E27FC236}">
                <a16:creationId xmlns:a16="http://schemas.microsoft.com/office/drawing/2014/main" id="{00000000-0008-0000-0100-0000E5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4204" y="6253"/>
            <a:ext cx="13380" cy="18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3974" name="dropdown" hidden="1">
            <a:extLst>
              <a:ext uri="{FF2B5EF4-FFF2-40B4-BE49-F238E27FC236}">
                <a16:creationId xmlns:a16="http://schemas.microsoft.com/office/drawing/2014/main" id="{00000000-0008-0000-0100-0000E6DB05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753" y="9315"/>
            <a:ext cx="11868" cy="22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83975" name="그룹 77">
            <a:extLst>
              <a:ext uri="{FF2B5EF4-FFF2-40B4-BE49-F238E27FC236}">
                <a16:creationId xmlns:a16="http://schemas.microsoft.com/office/drawing/2014/main" id="{00000000-0008-0000-0100-0000E7DB0500}"/>
              </a:ext>
            </a:extLst>
          </xdr:cNvPr>
          <xdr:cNvGrpSpPr>
            <a:grpSpLocks/>
          </xdr:cNvGrpSpPr>
        </xdr:nvGrpSpPr>
        <xdr:grpSpPr bwMode="auto">
          <a:xfrm>
            <a:off x="75482" y="8964"/>
            <a:ext cx="22315" cy="2811"/>
            <a:chOff x="75616" y="8877"/>
            <a:chExt cx="22314" cy="2810"/>
          </a:xfrm>
        </xdr:grpSpPr>
        <xdr:pic>
          <xdr:nvPicPr>
            <xdr:cNvPr id="383976" name="Option Button 82" hidden="1">
              <a:extLst>
                <a:ext uri="{FF2B5EF4-FFF2-40B4-BE49-F238E27FC236}">
                  <a16:creationId xmlns:a16="http://schemas.microsoft.com/office/drawing/2014/main" id="{00000000-0008-0000-0100-0000E8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2592" y="8928"/>
              <a:ext cx="7330" cy="270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977" name="Option Button 83" hidden="1">
              <a:extLst>
                <a:ext uri="{FF2B5EF4-FFF2-40B4-BE49-F238E27FC236}">
                  <a16:creationId xmlns:a16="http://schemas.microsoft.com/office/drawing/2014/main" id="{00000000-0008-0000-0100-0000E9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0213" y="8928"/>
              <a:ext cx="7679" cy="270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383978" name="Option Button 84" hidden="1">
              <a:extLst>
                <a:ext uri="{FF2B5EF4-FFF2-40B4-BE49-F238E27FC236}">
                  <a16:creationId xmlns:a16="http://schemas.microsoft.com/office/drawing/2014/main" id="{00000000-0008-0000-0100-0000EADB0500}"/>
                </a:ext>
              </a:extLst>
            </xdr:cNvPr>
            <xdr:cNvPicPr>
              <a:picLocks noChangeArrowheads="1"/>
            </xdr:cNvPicPr>
          </xdr:nvPicPr>
          <xdr:blipFill>
            <a:blip xmlns:r="http://schemas.openxmlformats.org/officeDocument/2006/relationships" r:embed="rId1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4855" y="8808"/>
              <a:ext cx="7446" cy="294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295275</xdr:colOff>
          <xdr:row>3</xdr:row>
          <xdr:rowOff>304800</xdr:rowOff>
        </xdr:to>
        <xdr:grpSp>
          <xdr:nvGrpSpPr>
            <xdr:cNvPr id="600196" name="Group 811">
              <a:extLst>
                <a:ext uri="{FF2B5EF4-FFF2-40B4-BE49-F238E27FC236}">
                  <a16:creationId xmlns:a16="http://schemas.microsoft.com/office/drawing/2014/main" id="{00000000-0008-0000-0100-0000842809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431780" y="876301"/>
              <a:ext cx="904875" cy="304801"/>
              <a:chOff x="108276" y="4795"/>
              <a:chExt cx="9065" cy="3978"/>
            </a:xfrm>
          </xdr:grpSpPr>
          <xdr:sp macro="" textlink="">
            <xdr:nvSpPr>
              <xdr:cNvPr id="600197" name="Button 10373" hidden="1">
                <a:extLst>
                  <a:ext uri="{63B3BB69-23CF-44E3-9099-C40C66FF867C}">
                    <a14:compatExt spid="_x0000_s600197"/>
                  </a:ext>
                  <a:ext uri="{FF2B5EF4-FFF2-40B4-BE49-F238E27FC236}">
                    <a16:creationId xmlns:a16="http://schemas.microsoft.com/office/drawing/2014/main" id="{00000000-0008-0000-0100-000085280900}"/>
                  </a:ext>
                </a:extLst>
              </xdr:cNvPr>
              <xdr:cNvSpPr/>
            </xdr:nvSpPr>
            <xdr:spPr bwMode="auto">
              <a:xfrm>
                <a:off x="108340" y="4795"/>
                <a:ext cx="9001" cy="18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▲올리기</a:t>
                </a:r>
              </a:p>
            </xdr:txBody>
          </xdr:sp>
          <xdr:sp macro="" textlink="">
            <xdr:nvSpPr>
              <xdr:cNvPr id="600198" name="Button 10374" hidden="1">
                <a:extLst>
                  <a:ext uri="{63B3BB69-23CF-44E3-9099-C40C66FF867C}">
                    <a14:compatExt spid="_x0000_s600198"/>
                  </a:ext>
                  <a:ext uri="{FF2B5EF4-FFF2-40B4-BE49-F238E27FC236}">
                    <a16:creationId xmlns:a16="http://schemas.microsoft.com/office/drawing/2014/main" id="{00000000-0008-0000-0100-000086280900}"/>
                  </a:ext>
                </a:extLst>
              </xdr:cNvPr>
              <xdr:cNvSpPr/>
            </xdr:nvSpPr>
            <xdr:spPr bwMode="auto">
              <a:xfrm>
                <a:off x="108276" y="6963"/>
                <a:ext cx="9001" cy="18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▼내리기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13</xdr:col>
      <xdr:colOff>0</xdr:colOff>
      <xdr:row>13</xdr:row>
      <xdr:rowOff>0</xdr:rowOff>
    </xdr:from>
    <xdr:to>
      <xdr:col>14</xdr:col>
      <xdr:colOff>295275</xdr:colOff>
      <xdr:row>13</xdr:row>
      <xdr:rowOff>304800</xdr:rowOff>
    </xdr:to>
    <xdr:grpSp>
      <xdr:nvGrpSpPr>
        <xdr:cNvPr id="600190" name="Group 10366">
          <a:extLst>
            <a:ext uri="{FF2B5EF4-FFF2-40B4-BE49-F238E27FC236}">
              <a16:creationId xmlns:a16="http://schemas.microsoft.com/office/drawing/2014/main" id="{00000000-0008-0000-0100-00007E280900}"/>
            </a:ext>
          </a:extLst>
        </xdr:cNvPr>
        <xdr:cNvGrpSpPr>
          <a:grpSpLocks/>
        </xdr:cNvGrpSpPr>
      </xdr:nvGrpSpPr>
      <xdr:grpSpPr bwMode="auto">
        <a:xfrm>
          <a:off x="10431780" y="3398520"/>
          <a:ext cx="904875" cy="304800"/>
          <a:chOff x="108276" y="4795"/>
          <a:chExt cx="9065" cy="3978"/>
        </a:xfrm>
      </xdr:grpSpPr>
      <xdr:sp macro="" textlink="">
        <xdr:nvSpPr>
          <xdr:cNvPr id="23" name="Button 75" hidden="1">
            <a:extLst>
              <a:ext uri="{63B3BB69-23CF-44E3-9099-C40C66FF867C}">
                <a14:compatExt xmlns:a14="http://schemas.microsoft.com/office/drawing/2010/main" spid="_x0000_s383051"/>
              </a:ex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 bwMode="auto">
          <a:xfrm>
            <a:off x="108340" y="4795"/>
            <a:ext cx="9001" cy="181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▲올리기</a:t>
            </a:r>
          </a:p>
        </xdr:txBody>
      </xdr:sp>
      <xdr:sp macro="" textlink="">
        <xdr:nvSpPr>
          <xdr:cNvPr id="24" name="Button 76" hidden="1">
            <a:extLst>
              <a:ext uri="{63B3BB69-23CF-44E3-9099-C40C66FF867C}">
                <a14:compatExt xmlns:a14="http://schemas.microsoft.com/office/drawing/2010/main" spid="_x0000_s383052"/>
              </a:ex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 bwMode="auto">
          <a:xfrm>
            <a:off x="108276" y="6963"/>
            <a:ext cx="9001" cy="181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▼내리기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13</xdr:row>
          <xdr:rowOff>0</xdr:rowOff>
        </xdr:from>
        <xdr:to>
          <xdr:col>14</xdr:col>
          <xdr:colOff>295275</xdr:colOff>
          <xdr:row>13</xdr:row>
          <xdr:rowOff>304800</xdr:rowOff>
        </xdr:to>
        <xdr:grpSp>
          <xdr:nvGrpSpPr>
            <xdr:cNvPr id="600222" name="Group 10398">
              <a:extLst>
                <a:ext uri="{FF2B5EF4-FFF2-40B4-BE49-F238E27FC236}">
                  <a16:creationId xmlns:a16="http://schemas.microsoft.com/office/drawing/2014/main" id="{00000000-0008-0000-0100-00009E2809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431780" y="3398521"/>
              <a:ext cx="904875" cy="304801"/>
              <a:chOff x="108276" y="4795"/>
              <a:chExt cx="9065" cy="3978"/>
            </a:xfrm>
          </xdr:grpSpPr>
          <xdr:sp macro="" textlink="">
            <xdr:nvSpPr>
              <xdr:cNvPr id="25" name="Button 75" hidden="1">
                <a:extLst>
                  <a:ext uri="{63B3BB69-23CF-44E3-9099-C40C66FF867C}">
                    <a14:compatExt spid="_x0000_s383051"/>
                  </a:ext>
                  <a:ext uri="{FF2B5EF4-FFF2-40B4-BE49-F238E27FC236}">
                    <a16:creationId xmlns:a16="http://schemas.microsoft.com/office/drawing/2014/main" id="{00000000-0008-0000-0100-000019000000}"/>
                  </a:ext>
                </a:extLst>
              </xdr:cNvPr>
              <xdr:cNvSpPr/>
            </xdr:nvSpPr>
            <xdr:spPr bwMode="auto">
              <a:xfrm>
                <a:off x="108340" y="4795"/>
                <a:ext cx="9001" cy="18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▲올리기</a:t>
                </a:r>
              </a:p>
            </xdr:txBody>
          </xdr:sp>
          <xdr:sp macro="" textlink="">
            <xdr:nvSpPr>
              <xdr:cNvPr id="34" name="Button 76" hidden="1">
                <a:extLst>
                  <a:ext uri="{63B3BB69-23CF-44E3-9099-C40C66FF867C}">
                    <a14:compatExt spid="_x0000_s383052"/>
                  </a:ext>
                  <a:ext uri="{FF2B5EF4-FFF2-40B4-BE49-F238E27FC236}">
                    <a16:creationId xmlns:a16="http://schemas.microsoft.com/office/drawing/2014/main" id="{00000000-0008-0000-0100-000022000000}"/>
                  </a:ext>
                </a:extLst>
              </xdr:cNvPr>
              <xdr:cNvSpPr/>
            </xdr:nvSpPr>
            <xdr:spPr bwMode="auto">
              <a:xfrm>
                <a:off x="108276" y="6963"/>
                <a:ext cx="9001" cy="18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▼내리기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10</xdr:col>
      <xdr:colOff>0</xdr:colOff>
      <xdr:row>18</xdr:row>
      <xdr:rowOff>0</xdr:rowOff>
    </xdr:from>
    <xdr:to>
      <xdr:col>11</xdr:col>
      <xdr:colOff>762000</xdr:colOff>
      <xdr:row>29</xdr:row>
      <xdr:rowOff>9525</xdr:rowOff>
    </xdr:to>
    <xdr:grpSp>
      <xdr:nvGrpSpPr>
        <xdr:cNvPr id="723" name="그룹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GrpSpPr/>
      </xdr:nvGrpSpPr>
      <xdr:grpSpPr>
        <a:xfrm>
          <a:off x="4472940" y="4678680"/>
          <a:ext cx="2590800" cy="2021205"/>
          <a:chOff x="12782550" y="2305050"/>
          <a:chExt cx="2819400" cy="1895475"/>
        </a:xfrm>
      </xdr:grpSpPr>
      <xdr:sp macro="" textlink="">
        <xdr:nvSpPr>
          <xdr:cNvPr id="724" name="TextBox 723">
            <a:extLst>
              <a:ext uri="{FF2B5EF4-FFF2-40B4-BE49-F238E27FC236}">
                <a16:creationId xmlns:a16="http://schemas.microsoft.com/office/drawing/2014/main" id="{00000000-0008-0000-0100-0000D4020000}"/>
              </a:ext>
            </a:extLst>
          </xdr:cNvPr>
          <xdr:cNvSpPr txBox="1"/>
        </xdr:nvSpPr>
        <xdr:spPr>
          <a:xfrm>
            <a:off x="12782550" y="2305050"/>
            <a:ext cx="2819400" cy="1895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800" b="1">
                <a:latin typeface="+mj-ea"/>
                <a:ea typeface="+mj-ea"/>
              </a:rPr>
              <a:t>PRODUCED</a:t>
            </a:r>
            <a:r>
              <a:rPr lang="en-US" altLang="ko-KR" sz="1800" b="1" baseline="0">
                <a:latin typeface="+mj-ea"/>
                <a:ea typeface="+mj-ea"/>
              </a:rPr>
              <a:t> BY</a:t>
            </a:r>
          </a:p>
          <a:p>
            <a:pPr algn="ctr"/>
            <a:endParaRPr lang="en-US" altLang="ko-KR" sz="1800" b="1" baseline="0">
              <a:latin typeface="+mj-ea"/>
              <a:ea typeface="+mj-ea"/>
            </a:endParaRPr>
          </a:p>
          <a:p>
            <a:pPr algn="ctr"/>
            <a:endParaRPr lang="en-US" altLang="ko-KR" sz="1800" b="1" baseline="0">
              <a:latin typeface="+mj-ea"/>
              <a:ea typeface="+mj-ea"/>
            </a:endParaRPr>
          </a:p>
          <a:p>
            <a:pPr algn="ctr"/>
            <a:endParaRPr lang="en-US" altLang="ko-KR" sz="1800" b="1" baseline="0">
              <a:latin typeface="+mj-ea"/>
              <a:ea typeface="+mj-ea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2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WWW.LUCKYTEMDOWN.COM</a:t>
            </a:r>
            <a:endParaRPr lang="ko-KR" altLang="ko-KR" sz="2000" b="1">
              <a:effectLst/>
            </a:endParaRPr>
          </a:p>
          <a:p>
            <a:pPr algn="ctr"/>
            <a:r>
              <a:rPr lang="en-US" altLang="ko-KR" sz="1800" b="1" baseline="0">
                <a:latin typeface="+mj-ea"/>
                <a:ea typeface="+mj-ea"/>
              </a:rPr>
              <a:t> </a:t>
            </a:r>
            <a:endParaRPr lang="ko-KR" altLang="en-US" sz="1800" b="1">
              <a:latin typeface="+mj-ea"/>
              <a:ea typeface="+mj-ea"/>
            </a:endParaRPr>
          </a:p>
        </xdr:txBody>
      </xdr:sp>
      <xdr:pic>
        <xdr:nvPicPr>
          <xdr:cNvPr id="725" name="그림 724">
            <a:extLst>
              <a:ext uri="{FF2B5EF4-FFF2-40B4-BE49-F238E27FC236}">
                <a16:creationId xmlns:a16="http://schemas.microsoft.com/office/drawing/2014/main" id="{00000000-0008-0000-0100-0000D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63551" y="2581275"/>
            <a:ext cx="2035114" cy="1430831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272143</xdr:colOff>
      <xdr:row>1</xdr:row>
      <xdr:rowOff>89647</xdr:rowOff>
    </xdr:from>
    <xdr:to>
      <xdr:col>72</xdr:col>
      <xdr:colOff>1600</xdr:colOff>
      <xdr:row>2</xdr:row>
      <xdr:rowOff>162159</xdr:rowOff>
    </xdr:to>
    <xdr:sp macro="[0]!msg_Sheets_Make" textlink="">
      <xdr:nvSpPr>
        <xdr:cNvPr id="15" name="모서리가 둥근 직사각형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8927536" y="266540"/>
          <a:ext cx="2777457" cy="33104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 b="1">
              <a:latin typeface="+mj-ea"/>
              <a:ea typeface="+mj-ea"/>
            </a:rPr>
            <a:t>편제별 학습내용 입력 시트 생성하기</a:t>
          </a:r>
        </a:p>
      </xdr:txBody>
    </xdr:sp>
    <xdr:clientData/>
  </xdr:twoCellAnchor>
  <xdr:twoCellAnchor>
    <xdr:from>
      <xdr:col>28</xdr:col>
      <xdr:colOff>0</xdr:colOff>
      <xdr:row>79</xdr:row>
      <xdr:rowOff>0</xdr:rowOff>
    </xdr:from>
    <xdr:to>
      <xdr:col>35</xdr:col>
      <xdr:colOff>102881</xdr:colOff>
      <xdr:row>86</xdr:row>
      <xdr:rowOff>145675</xdr:rowOff>
    </xdr:to>
    <xdr:grpSp>
      <xdr:nvGrpSpPr>
        <xdr:cNvPr id="13" name="그룹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591550" y="14039850"/>
          <a:ext cx="1769756" cy="1345825"/>
          <a:chOff x="8045824" y="5804648"/>
          <a:chExt cx="1750145" cy="1322293"/>
        </a:xfrm>
      </xdr:grpSpPr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8045824" y="5804648"/>
            <a:ext cx="1750145" cy="132229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050" b="1">
                <a:latin typeface="+mj-ea"/>
                <a:ea typeface="+mj-ea"/>
              </a:rPr>
              <a:t>PRODUCED</a:t>
            </a:r>
            <a:r>
              <a:rPr lang="en-US" altLang="ko-KR" sz="1050" b="1" baseline="0">
                <a:latin typeface="+mj-ea"/>
                <a:ea typeface="+mj-ea"/>
              </a:rPr>
              <a:t> BY</a:t>
            </a:r>
          </a:p>
          <a:p>
            <a:pPr algn="ctr"/>
            <a:endParaRPr lang="en-US" altLang="ko-KR" sz="1050" b="1" baseline="0">
              <a:latin typeface="+mj-ea"/>
              <a:ea typeface="+mj-ea"/>
            </a:endParaRPr>
          </a:p>
          <a:p>
            <a:pPr algn="ctr"/>
            <a:endParaRPr lang="en-US" altLang="ko-KR" sz="1050" b="1" baseline="0">
              <a:latin typeface="+mj-ea"/>
              <a:ea typeface="+mj-ea"/>
            </a:endParaRPr>
          </a:p>
          <a:p>
            <a:pPr algn="ctr"/>
            <a:endParaRPr lang="en-US" altLang="ko-KR" sz="1050" b="1" baseline="0">
              <a:latin typeface="+mj-ea"/>
              <a:ea typeface="+mj-ea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8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WWW.LUCKYTEMDOWN.COM</a:t>
            </a:r>
            <a:endParaRPr lang="ko-KR" altLang="en-US" sz="1050" b="1">
              <a:latin typeface="+mj-ea"/>
              <a:ea typeface="+mj-ea"/>
            </a:endParaRPr>
          </a:p>
        </xdr:txBody>
      </xdr:sp>
      <xdr:pic>
        <xdr:nvPicPr>
          <xdr:cNvPr id="16" name="그림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71125" y="5942495"/>
            <a:ext cx="1263299" cy="88819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44825</xdr:rowOff>
    </xdr:from>
    <xdr:to>
      <xdr:col>9</xdr:col>
      <xdr:colOff>152400</xdr:colOff>
      <xdr:row>2</xdr:row>
      <xdr:rowOff>329749</xdr:rowOff>
    </xdr:to>
    <xdr:sp macro="[0]!msg_Del_Except_Project" textlink="">
      <xdr:nvSpPr>
        <xdr:cNvPr id="30" name="모서리가 둥근 직사각형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" y="584087"/>
          <a:ext cx="4108937" cy="284924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프로젝트 행사 내용을 제외한 </a:t>
          </a: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연간진도표의</a:t>
          </a:r>
          <a:r>
            <a:rPr kumimoji="0" lang="ko-KR" altLang="en-US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 학습내용 초기화</a:t>
          </a:r>
          <a:r>
            <a:rPr kumimoji="0" lang="en-US" altLang="ko-KR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(</a:t>
          </a:r>
          <a:r>
            <a:rPr kumimoji="0" lang="ko-KR" altLang="en-US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삭제</a:t>
          </a:r>
          <a:r>
            <a:rPr kumimoji="0" lang="en-US" altLang="ko-KR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)</a:t>
          </a:r>
          <a:endParaRPr kumimoji="0" lang="ko-KR" altLang="en-US" sz="1050" b="1" i="0" u="none" strike="noStrike" kern="0" cap="none" spc="-10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맑은 고딕" panose="020B0503020000020004" pitchFamily="50" charset="-127"/>
            <a:ea typeface="맑은 고딕" panose="020B0503020000020004" pitchFamily="50" charset="-127"/>
            <a:cs typeface="+mn-cs"/>
          </a:endParaRPr>
        </a:p>
      </xdr:txBody>
    </xdr:sp>
    <xdr:clientData/>
  </xdr:twoCellAnchor>
  <xdr:twoCellAnchor>
    <xdr:from>
      <xdr:col>0</xdr:col>
      <xdr:colOff>0</xdr:colOff>
      <xdr:row>3</xdr:row>
      <xdr:rowOff>3240</xdr:rowOff>
    </xdr:from>
    <xdr:to>
      <xdr:col>4</xdr:col>
      <xdr:colOff>80682</xdr:colOff>
      <xdr:row>4</xdr:row>
      <xdr:rowOff>981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0" y="879540"/>
          <a:ext cx="1802802" cy="340641"/>
          <a:chOff x="0" y="877299"/>
          <a:chExt cx="2030506" cy="345123"/>
        </a:xfrm>
      </xdr:grpSpPr>
      <xdr:sp macro="[0]!msg_Color_Update" textlink="">
        <xdr:nvSpPr>
          <xdr:cNvPr id="54" name="모서리가 둥근 직사각형 53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0" y="877299"/>
            <a:ext cx="2030506" cy="345123"/>
          </a:xfrm>
          <a:prstGeom prst="roundRect">
            <a:avLst/>
          </a:prstGeom>
          <a:solidFill>
            <a:srgbClr val="FF5050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1</a:t>
            </a: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학기 시간표 셀색 가져오기</a:t>
            </a:r>
          </a:p>
        </xdr:txBody>
      </xdr:sp>
      <xdr:sp macro="[0]!msg_Color_Update" textlink="">
        <xdr:nvSpPr>
          <xdr:cNvPr id="41" name="오른쪽 화살표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 rot="5400000" flipV="1">
            <a:off x="1767947" y="979575"/>
            <a:ext cx="168427" cy="151552"/>
          </a:xfrm>
          <a:prstGeom prst="rightArrow">
            <a:avLst/>
          </a:prstGeom>
          <a:solidFill>
            <a:srgbClr val="FFCC00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ko-KR" alt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endParaRPr>
          </a:p>
        </xdr:txBody>
      </xdr:sp>
    </xdr:grpSp>
    <xdr:clientData/>
  </xdr:twoCellAnchor>
  <xdr:twoCellAnchor>
    <xdr:from>
      <xdr:col>10</xdr:col>
      <xdr:colOff>566765</xdr:colOff>
      <xdr:row>2</xdr:row>
      <xdr:rowOff>99544</xdr:rowOff>
    </xdr:from>
    <xdr:to>
      <xdr:col>11</xdr:col>
      <xdr:colOff>3441710</xdr:colOff>
      <xdr:row>3</xdr:row>
      <xdr:rowOff>316949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039705" y="632944"/>
          <a:ext cx="4703745" cy="560305"/>
          <a:chOff x="5076012" y="619498"/>
          <a:chExt cx="4703745" cy="558063"/>
        </a:xfrm>
      </xdr:grpSpPr>
      <xdr:sp macro="" textlink="">
        <xdr:nvSpPr>
          <xdr:cNvPr id="12354" name="DropDownSS" hidden="1">
            <a:extLst>
              <a:ext uri="{63B3BB69-23CF-44E3-9099-C40C66FF867C}">
                <a14:compatExt xmlns:a14="http://schemas.microsoft.com/office/drawing/2010/main" spid="_x0000_s12354"/>
              </a:ext>
              <a:ext uri="{FF2B5EF4-FFF2-40B4-BE49-F238E27FC236}">
                <a16:creationId xmlns:a16="http://schemas.microsoft.com/office/drawing/2014/main" id="{00000000-0008-0000-0300-000042300000}"/>
              </a:ext>
            </a:extLst>
          </xdr:cNvPr>
          <xdr:cNvSpPr/>
        </xdr:nvSpPr>
        <xdr:spPr>
          <a:xfrm>
            <a:off x="6464746" y="619498"/>
            <a:ext cx="1338803" cy="181738"/>
          </a:xfrm>
          <a:prstGeom prst="rect">
            <a:avLst/>
          </a:prstGeom>
        </xdr:spPr>
      </xdr:sp>
      <xdr:sp macro="" textlink="">
        <xdr:nvSpPr>
          <xdr:cNvPr id="12355" name="DropDownSS2" hidden="1">
            <a:extLst>
              <a:ext uri="{63B3BB69-23CF-44E3-9099-C40C66FF867C}">
                <a14:compatExt xmlns:a14="http://schemas.microsoft.com/office/drawing/2010/main" spid="_x0000_s12355"/>
              </a:ext>
              <a:ext uri="{FF2B5EF4-FFF2-40B4-BE49-F238E27FC236}">
                <a16:creationId xmlns:a16="http://schemas.microsoft.com/office/drawing/2014/main" id="{00000000-0008-0000-0300-000043300000}"/>
              </a:ext>
            </a:extLst>
          </xdr:cNvPr>
          <xdr:cNvSpPr/>
        </xdr:nvSpPr>
        <xdr:spPr>
          <a:xfrm>
            <a:off x="8420926" y="628464"/>
            <a:ext cx="1338804" cy="181738"/>
          </a:xfrm>
          <a:prstGeom prst="rect">
            <a:avLst/>
          </a:prstGeom>
        </xdr:spPr>
      </xdr:sp>
      <xdr:sp macro="" textlink="">
        <xdr:nvSpPr>
          <xdr:cNvPr id="12356" name="dropdown" hidden="1">
            <a:extLst>
              <a:ext uri="{63B3BB69-23CF-44E3-9099-C40C66FF867C}">
                <a14:compatExt xmlns:a14="http://schemas.microsoft.com/office/drawing/2010/main" spid="_x0000_s12356"/>
              </a:ext>
              <a:ext uri="{FF2B5EF4-FFF2-40B4-BE49-F238E27FC236}">
                <a16:creationId xmlns:a16="http://schemas.microsoft.com/office/drawing/2014/main" id="{00000000-0008-0000-0300-000044300000}"/>
              </a:ext>
            </a:extLst>
          </xdr:cNvPr>
          <xdr:cNvSpPr/>
        </xdr:nvSpPr>
        <xdr:spPr>
          <a:xfrm>
            <a:off x="5076012" y="934250"/>
            <a:ext cx="1191120" cy="216589"/>
          </a:xfrm>
          <a:prstGeom prst="rect">
            <a:avLst/>
          </a:prstGeom>
        </xdr:spPr>
      </xdr:sp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GrpSpPr/>
        </xdr:nvGrpSpPr>
        <xdr:grpSpPr>
          <a:xfrm>
            <a:off x="7548282" y="896470"/>
            <a:ext cx="2231475" cy="281091"/>
            <a:chOff x="7561649" y="887793"/>
            <a:chExt cx="2231475" cy="281091"/>
          </a:xfrm>
        </xdr:grpSpPr>
        <xdr:sp macro="" textlink="">
          <xdr:nvSpPr>
            <xdr:cNvPr id="12370" name="Option Button 82" hidden="1">
              <a:extLst>
                <a:ext uri="{63B3BB69-23CF-44E3-9099-C40C66FF867C}">
                  <a14:compatExt xmlns:a14="http://schemas.microsoft.com/office/drawing/2010/main" spid="_x0000_s12370"/>
                </a:ext>
                <a:ext uri="{FF2B5EF4-FFF2-40B4-BE49-F238E27FC236}">
                  <a16:creationId xmlns:a16="http://schemas.microsoft.com/office/drawing/2014/main" id="{00000000-0008-0000-0300-000052300000}"/>
                </a:ext>
              </a:extLst>
            </xdr:cNvPr>
            <xdr:cNvSpPr/>
          </xdr:nvSpPr>
          <xdr:spPr>
            <a:xfrm>
              <a:off x="8335502" y="900355"/>
              <a:ext cx="656552" cy="255966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모아 보기</a:t>
              </a:r>
            </a:p>
          </xdr:txBody>
        </xdr:sp>
        <xdr:sp macro="" textlink="">
          <xdr:nvSpPr>
            <xdr:cNvPr id="12371" name="Option Button 83" hidden="1">
              <a:extLst>
                <a:ext uri="{63B3BB69-23CF-44E3-9099-C40C66FF867C}">
                  <a14:compatExt xmlns:a14="http://schemas.microsoft.com/office/drawing/2010/main" spid="_x0000_s12371"/>
                </a:ext>
                <a:ext uri="{FF2B5EF4-FFF2-40B4-BE49-F238E27FC236}">
                  <a16:creationId xmlns:a16="http://schemas.microsoft.com/office/drawing/2014/main" id="{00000000-0008-0000-0300-000053300000}"/>
                </a:ext>
              </a:extLst>
            </xdr:cNvPr>
            <xdr:cNvSpPr/>
          </xdr:nvSpPr>
          <xdr:spPr>
            <a:xfrm>
              <a:off x="9096817" y="900355"/>
              <a:ext cx="696307" cy="255967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제외 보기</a:t>
              </a:r>
            </a:p>
          </xdr:txBody>
        </xdr:sp>
        <xdr:sp macro="" textlink="">
          <xdr:nvSpPr>
            <xdr:cNvPr id="12372" name="Option Button 84" hidden="1">
              <a:extLst>
                <a:ext uri="{63B3BB69-23CF-44E3-9099-C40C66FF867C}">
                  <a14:compatExt xmlns:a14="http://schemas.microsoft.com/office/drawing/2010/main" spid="_x0000_s12372"/>
                </a:ext>
                <a:ext uri="{FF2B5EF4-FFF2-40B4-BE49-F238E27FC236}">
                  <a16:creationId xmlns:a16="http://schemas.microsoft.com/office/drawing/2014/main" id="{00000000-0008-0000-0300-000054300000}"/>
                </a:ext>
              </a:extLst>
            </xdr:cNvPr>
            <xdr:cNvSpPr/>
          </xdr:nvSpPr>
          <xdr:spPr>
            <a:xfrm>
              <a:off x="7561649" y="887793"/>
              <a:ext cx="669091" cy="281091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기본 보기</a:t>
              </a:r>
            </a:p>
          </xdr:txBody>
        </xdr:sp>
      </xdr:grpSp>
    </xdr:grpSp>
    <xdr:clientData/>
  </xdr:twoCellAnchor>
  <xdr:twoCellAnchor>
    <xdr:from>
      <xdr:col>5</xdr:col>
      <xdr:colOff>0</xdr:colOff>
      <xdr:row>3</xdr:row>
      <xdr:rowOff>0</xdr:rowOff>
    </xdr:from>
    <xdr:to>
      <xdr:col>9</xdr:col>
      <xdr:colOff>156623</xdr:colOff>
      <xdr:row>3</xdr:row>
      <xdr:rowOff>338400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2095500" y="876300"/>
          <a:ext cx="1993043" cy="338400"/>
          <a:chOff x="2363391" y="869156"/>
          <a:chExt cx="2222357" cy="338400"/>
        </a:xfrm>
      </xdr:grpSpPr>
      <xdr:sp macro="[0]!msg_Subject_Update" textlink="">
        <xdr:nvSpPr>
          <xdr:cNvPr id="73" name="모서리가 둥근 직사각형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/>
        </xdr:nvSpPr>
        <xdr:spPr>
          <a:xfrm>
            <a:off x="2363391" y="869156"/>
            <a:ext cx="2222357" cy="338400"/>
          </a:xfrm>
          <a:prstGeom prst="roundRect">
            <a:avLst/>
          </a:prstGeom>
          <a:solidFill>
            <a:srgbClr val="FF5050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05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과목별 </a:t>
            </a: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진도표</a:t>
            </a:r>
            <a:r>
              <a:rPr kumimoji="0" lang="ko-KR" altLang="en-US" sz="105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 생성</a:t>
            </a:r>
            <a:r>
              <a:rPr kumimoji="0" lang="en-US" altLang="ko-KR" sz="105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(</a:t>
            </a:r>
            <a:r>
              <a:rPr kumimoji="0" lang="ko-KR" altLang="en-US" sz="105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업데이트</a:t>
            </a:r>
            <a:r>
              <a:rPr kumimoji="0" lang="en-US" altLang="ko-KR" sz="105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)</a:t>
            </a:r>
            <a:endParaRPr kumimoji="0" lang="ko-KR" altLang="en-US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endParaRPr>
          </a:p>
        </xdr:txBody>
      </xdr:sp>
      <xdr:sp macro="[0]!msg_Subject_Update" textlink="">
        <xdr:nvSpPr>
          <xdr:cNvPr id="74" name="오른쪽 화살표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SpPr/>
        </xdr:nvSpPr>
        <xdr:spPr>
          <a:xfrm rot="16200000">
            <a:off x="4327913" y="964240"/>
            <a:ext cx="165146" cy="150824"/>
          </a:xfrm>
          <a:prstGeom prst="rightArrow">
            <a:avLst/>
          </a:prstGeom>
          <a:solidFill>
            <a:srgbClr val="FFCCCC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ko-KR" alt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endParaRPr>
          </a:p>
        </xdr:txBody>
      </xdr:sp>
    </xdr:grp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1346749</xdr:colOff>
      <xdr:row>1</xdr:row>
      <xdr:rowOff>283549</xdr:rowOff>
    </xdr:to>
    <xdr:sp macro="[0]!msg_NEIS_SAVE" textlink="">
      <xdr:nvSpPr>
        <xdr:cNvPr id="77" name="모서리가 둥근 직사각형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12121662" y="193431"/>
          <a:ext cx="2853164" cy="283549"/>
        </a:xfrm>
        <a:prstGeom prst="roundRect">
          <a:avLst/>
        </a:prstGeom>
        <a:solidFill>
          <a:schemeClr val="accent3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ko-KR" sz="9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NEIS </a:t>
          </a:r>
          <a:r>
            <a:rPr kumimoji="0" lang="ko-KR" altLang="en-US" sz="9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업로드용 전교과 엑셀파일 만들기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298549</xdr:colOff>
          <xdr:row>3</xdr:row>
          <xdr:rowOff>306228</xdr:rowOff>
        </xdr:to>
        <xdr:grpSp>
          <xdr:nvGrpSpPr>
            <xdr:cNvPr id="81" name="그룹 80">
              <a:extLst>
                <a:ext uri="{FF2B5EF4-FFF2-40B4-BE49-F238E27FC236}">
                  <a16:creationId xmlns:a16="http://schemas.microsoft.com/office/drawing/2014/main" id="{00000000-0008-0000-0300-000051000000}"/>
                </a:ext>
              </a:extLst>
            </xdr:cNvPr>
            <xdr:cNvGrpSpPr/>
          </xdr:nvGrpSpPr>
          <xdr:grpSpPr>
            <a:xfrm>
              <a:off x="10431765" y="876300"/>
              <a:ext cx="908152" cy="306228"/>
              <a:chOff x="10827612" y="479542"/>
              <a:chExt cx="906554" cy="397767"/>
            </a:xfrm>
          </xdr:grpSpPr>
          <xdr:sp macro="" textlink="">
            <xdr:nvSpPr>
              <xdr:cNvPr id="385111" name="Button 87" hidden="1">
                <a:extLst>
                  <a:ext uri="{63B3BB69-23CF-44E3-9099-C40C66FF867C}">
                    <a14:compatExt spid="_x0000_s385111"/>
                  </a:ext>
                  <a:ext uri="{FF2B5EF4-FFF2-40B4-BE49-F238E27FC236}">
                    <a16:creationId xmlns:a16="http://schemas.microsoft.com/office/drawing/2014/main" id="{00000000-0008-0000-0300-000057E00500}"/>
                  </a:ext>
                </a:extLst>
              </xdr:cNvPr>
              <xdr:cNvSpPr/>
            </xdr:nvSpPr>
            <xdr:spPr bwMode="auto">
              <a:xfrm>
                <a:off x="10834060" y="479542"/>
                <a:ext cx="900106" cy="1809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▲올리기</a:t>
                </a:r>
              </a:p>
            </xdr:txBody>
          </xdr:sp>
          <xdr:sp macro="" textlink="">
            <xdr:nvSpPr>
              <xdr:cNvPr id="385112" name="Button 88" hidden="1">
                <a:extLst>
                  <a:ext uri="{63B3BB69-23CF-44E3-9099-C40C66FF867C}">
                    <a14:compatExt spid="_x0000_s385112"/>
                  </a:ext>
                  <a:ext uri="{FF2B5EF4-FFF2-40B4-BE49-F238E27FC236}">
                    <a16:creationId xmlns:a16="http://schemas.microsoft.com/office/drawing/2014/main" id="{00000000-0008-0000-0300-000058E00500}"/>
                  </a:ext>
                </a:extLst>
              </xdr:cNvPr>
              <xdr:cNvSpPr/>
            </xdr:nvSpPr>
            <xdr:spPr bwMode="auto">
              <a:xfrm>
                <a:off x="10827612" y="696335"/>
                <a:ext cx="900117" cy="1809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▼내리기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866775</xdr:colOff>
          <xdr:row>3</xdr:row>
          <xdr:rowOff>57150</xdr:rowOff>
        </xdr:from>
        <xdr:to>
          <xdr:col>11</xdr:col>
          <xdr:colOff>0</xdr:colOff>
          <xdr:row>3</xdr:row>
          <xdr:rowOff>276225</xdr:rowOff>
        </xdr:to>
        <xdr:sp macro="" textlink="">
          <xdr:nvSpPr>
            <xdr:cNvPr id="385143" name="dropdown" hidden="1">
              <a:extLst>
                <a:ext uri="{63B3BB69-23CF-44E3-9099-C40C66FF867C}">
                  <a14:compatExt spid="_x0000_s385143"/>
                </a:ext>
                <a:ext uri="{FF2B5EF4-FFF2-40B4-BE49-F238E27FC236}">
                  <a16:creationId xmlns:a16="http://schemas.microsoft.com/office/drawing/2014/main" id="{00000000-0008-0000-0300-00007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2419350</xdr:colOff>
          <xdr:row>3</xdr:row>
          <xdr:rowOff>47625</xdr:rowOff>
        </xdr:from>
        <xdr:to>
          <xdr:col>11</xdr:col>
          <xdr:colOff>3076575</xdr:colOff>
          <xdr:row>3</xdr:row>
          <xdr:rowOff>295275</xdr:rowOff>
        </xdr:to>
        <xdr:sp macro="" textlink="">
          <xdr:nvSpPr>
            <xdr:cNvPr id="385144" name="Option Button 120" descr="전체보기" hidden="1">
              <a:extLst>
                <a:ext uri="{63B3BB69-23CF-44E3-9099-C40C66FF867C}">
                  <a14:compatExt spid="_x0000_s385144"/>
                </a:ext>
                <a:ext uri="{FF2B5EF4-FFF2-40B4-BE49-F238E27FC236}">
                  <a16:creationId xmlns:a16="http://schemas.microsoft.com/office/drawing/2014/main" id="{00000000-0008-0000-0300-00007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모아 보기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3171825</xdr:colOff>
          <xdr:row>3</xdr:row>
          <xdr:rowOff>47625</xdr:rowOff>
        </xdr:from>
        <xdr:to>
          <xdr:col>11</xdr:col>
          <xdr:colOff>3867150</xdr:colOff>
          <xdr:row>3</xdr:row>
          <xdr:rowOff>295275</xdr:rowOff>
        </xdr:to>
        <xdr:sp macro="" textlink="">
          <xdr:nvSpPr>
            <xdr:cNvPr id="385145" name="Option Button 121" hidden="1">
              <a:extLst>
                <a:ext uri="{63B3BB69-23CF-44E3-9099-C40C66FF867C}">
                  <a14:compatExt spid="_x0000_s385145"/>
                </a:ext>
                <a:ext uri="{FF2B5EF4-FFF2-40B4-BE49-F238E27FC236}">
                  <a16:creationId xmlns:a16="http://schemas.microsoft.com/office/drawing/2014/main" id="{00000000-0008-0000-0300-00007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제외 보기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1647825</xdr:colOff>
          <xdr:row>3</xdr:row>
          <xdr:rowOff>28575</xdr:rowOff>
        </xdr:from>
        <xdr:to>
          <xdr:col>11</xdr:col>
          <xdr:colOff>2324100</xdr:colOff>
          <xdr:row>3</xdr:row>
          <xdr:rowOff>314325</xdr:rowOff>
        </xdr:to>
        <xdr:sp macro="" textlink="">
          <xdr:nvSpPr>
            <xdr:cNvPr id="385146" name="Option Button 122" hidden="1">
              <a:extLst>
                <a:ext uri="{63B3BB69-23CF-44E3-9099-C40C66FF867C}">
                  <a14:compatExt spid="_x0000_s385146"/>
                </a:ext>
                <a:ext uri="{FF2B5EF4-FFF2-40B4-BE49-F238E27FC236}">
                  <a16:creationId xmlns:a16="http://schemas.microsoft.com/office/drawing/2014/main" id="{00000000-0008-0000-0300-00007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기본 보기</a:t>
              </a:r>
            </a:p>
          </xdr:txBody>
        </xdr:sp>
        <xdr:clientData/>
      </xdr:twoCellAnchor>
    </mc:Choice>
    <mc:Fallback/>
  </mc:AlternateContent>
  <xdr:twoCellAnchor>
    <xdr:from>
      <xdr:col>14</xdr:col>
      <xdr:colOff>589359</xdr:colOff>
      <xdr:row>2</xdr:row>
      <xdr:rowOff>0</xdr:rowOff>
    </xdr:from>
    <xdr:to>
      <xdr:col>17</xdr:col>
      <xdr:colOff>1331324</xdr:colOff>
      <xdr:row>2</xdr:row>
      <xdr:rowOff>328935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1569779" y="533400"/>
          <a:ext cx="3363245" cy="328935"/>
          <a:chOff x="13019484" y="523875"/>
          <a:chExt cx="3617324" cy="328935"/>
        </a:xfrm>
      </xdr:grpSpPr>
      <xdr:sp macro="[0]!msg_content_Update" textlink="">
        <xdr:nvSpPr>
          <xdr:cNvPr id="79" name="모서리가 둥근 직사각형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13019484" y="523875"/>
            <a:ext cx="3617324" cy="328935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900" b="1" spc="-100" baseline="0">
                <a:latin typeface="+mj-ea"/>
                <a:ea typeface="+mj-ea"/>
              </a:rPr>
              <a:t>연간진도표 학습내용</a:t>
            </a:r>
            <a:r>
              <a:rPr lang="en-US" altLang="ko-KR" sz="900" b="1" spc="-100" baseline="0">
                <a:latin typeface="+mj-ea"/>
                <a:ea typeface="+mj-ea"/>
              </a:rPr>
              <a:t>(</a:t>
            </a:r>
            <a:r>
              <a:rPr lang="ko-KR" altLang="en-US" sz="900" b="1" spc="-100" baseline="0">
                <a:latin typeface="+mj-ea"/>
                <a:ea typeface="+mj-ea"/>
              </a:rPr>
              <a:t>수정사항</a:t>
            </a:r>
            <a:r>
              <a:rPr lang="en-US" altLang="ko-KR" sz="900" b="1" spc="-100" baseline="0">
                <a:latin typeface="+mj-ea"/>
                <a:ea typeface="+mj-ea"/>
              </a:rPr>
              <a:t>)</a:t>
            </a:r>
            <a:r>
              <a:rPr lang="ko-KR" altLang="en-US" sz="900" b="1" spc="-100" baseline="0">
                <a:latin typeface="+mj-ea"/>
                <a:ea typeface="+mj-ea"/>
              </a:rPr>
              <a:t>을 각 과목별 시트에 내보내기</a:t>
            </a:r>
          </a:p>
        </xdr:txBody>
      </xdr:sp>
      <xdr:sp macro="" textlink="">
        <xdr:nvSpPr>
          <xdr:cNvPr id="68" name="오른쪽 화살표 67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SpPr/>
        </xdr:nvSpPr>
        <xdr:spPr>
          <a:xfrm rot="16200000">
            <a:off x="16387746" y="608426"/>
            <a:ext cx="165146" cy="150824"/>
          </a:xfrm>
          <a:prstGeom prst="rightArrow">
            <a:avLst/>
          </a:prstGeom>
          <a:solidFill>
            <a:srgbClr val="FFCCCC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ko-KR" alt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endParaRPr>
          </a:p>
        </xdr:txBody>
      </xdr:sp>
    </xdr:grpSp>
    <xdr:clientData/>
  </xdr:twoCellAnchor>
  <xdr:twoCellAnchor>
    <xdr:from>
      <xdr:col>14</xdr:col>
      <xdr:colOff>589359</xdr:colOff>
      <xdr:row>3</xdr:row>
      <xdr:rowOff>0</xdr:rowOff>
    </xdr:from>
    <xdr:to>
      <xdr:col>17</xdr:col>
      <xdr:colOff>1337630</xdr:colOff>
      <xdr:row>3</xdr:row>
      <xdr:rowOff>328934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11569779" y="876300"/>
          <a:ext cx="3369551" cy="328934"/>
          <a:chOff x="13019484" y="869156"/>
          <a:chExt cx="3623630" cy="328934"/>
        </a:xfrm>
      </xdr:grpSpPr>
      <xdr:sp macro="[0]!msg_content_download" textlink="">
        <xdr:nvSpPr>
          <xdr:cNvPr id="78" name="모서리가 둥근 직사각형 75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13019484" y="869156"/>
            <a:ext cx="3623630" cy="328934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900" b="1">
                <a:latin typeface="+mj-ea"/>
                <a:ea typeface="+mj-ea"/>
              </a:rPr>
              <a:t>과목별 시트 학습내용을 연간진도표에 일괄 가져오기</a:t>
            </a:r>
          </a:p>
        </xdr:txBody>
      </xdr:sp>
      <xdr:sp macro="" textlink="">
        <xdr:nvSpPr>
          <xdr:cNvPr id="70" name="오른쪽 화살표 69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SpPr/>
        </xdr:nvSpPr>
        <xdr:spPr>
          <a:xfrm rot="5400000">
            <a:off x="16385750" y="965613"/>
            <a:ext cx="165146" cy="150824"/>
          </a:xfrm>
          <a:prstGeom prst="rightArrow">
            <a:avLst/>
          </a:prstGeom>
          <a:solidFill>
            <a:srgbClr val="FFCCCC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ko-KR" alt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endParaRPr>
          </a:p>
        </xdr:txBody>
      </xdr:sp>
    </xdr:grpSp>
    <xdr:clientData/>
  </xdr:twoCellAnchor>
  <xdr:twoCellAnchor>
    <xdr:from>
      <xdr:col>11</xdr:col>
      <xdr:colOff>566765</xdr:colOff>
      <xdr:row>2</xdr:row>
      <xdr:rowOff>99544</xdr:rowOff>
    </xdr:from>
    <xdr:to>
      <xdr:col>13</xdr:col>
      <xdr:colOff>3185</xdr:colOff>
      <xdr:row>3</xdr:row>
      <xdr:rowOff>316949</xdr:rowOff>
    </xdr:to>
    <xdr:grpSp>
      <xdr:nvGrpSpPr>
        <xdr:cNvPr id="50" name="그룹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pSpPr/>
      </xdr:nvGrpSpPr>
      <xdr:grpSpPr>
        <a:xfrm>
          <a:off x="6868505" y="632944"/>
          <a:ext cx="3566460" cy="560305"/>
          <a:chOff x="5076012" y="619498"/>
          <a:chExt cx="4703745" cy="558063"/>
        </a:xfrm>
      </xdr:grpSpPr>
      <xdr:sp macro="" textlink="">
        <xdr:nvSpPr>
          <xdr:cNvPr id="51" name="DropDownSS" hidden="1">
            <a:extLst>
              <a:ext uri="{63B3BB69-23CF-44E3-9099-C40C66FF867C}">
                <a14:compatExt xmlns:a14="http://schemas.microsoft.com/office/drawing/2010/main" spid="_x0000_s12354"/>
              </a:ex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/>
        </xdr:nvSpPr>
        <xdr:spPr>
          <a:xfrm>
            <a:off x="6464746" y="619498"/>
            <a:ext cx="1338803" cy="181738"/>
          </a:xfrm>
          <a:prstGeom prst="rect">
            <a:avLst/>
          </a:prstGeom>
        </xdr:spPr>
      </xdr:sp>
      <xdr:sp macro="" textlink="">
        <xdr:nvSpPr>
          <xdr:cNvPr id="52" name="DropDownSS2" hidden="1">
            <a:extLst>
              <a:ext uri="{63B3BB69-23CF-44E3-9099-C40C66FF867C}">
                <a14:compatExt xmlns:a14="http://schemas.microsoft.com/office/drawing/2010/main" spid="_x0000_s12355"/>
              </a:ex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/>
        </xdr:nvSpPr>
        <xdr:spPr>
          <a:xfrm>
            <a:off x="8420926" y="628464"/>
            <a:ext cx="1338804" cy="181738"/>
          </a:xfrm>
          <a:prstGeom prst="rect">
            <a:avLst/>
          </a:prstGeom>
        </xdr:spPr>
      </xdr:sp>
      <xdr:sp macro="" textlink="">
        <xdr:nvSpPr>
          <xdr:cNvPr id="62" name="dropdown" hidden="1">
            <a:extLst>
              <a:ext uri="{63B3BB69-23CF-44E3-9099-C40C66FF867C}">
                <a14:compatExt xmlns:a14="http://schemas.microsoft.com/office/drawing/2010/main" spid="_x0000_s12356"/>
              </a:ex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5076012" y="934250"/>
            <a:ext cx="1191120" cy="216589"/>
          </a:xfrm>
          <a:prstGeom prst="rect">
            <a:avLst/>
          </a:prstGeom>
        </xdr:spPr>
      </xdr:sp>
      <xdr:grpSp>
        <xdr:nvGrpSpPr>
          <xdr:cNvPr id="63" name="그룹 6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GrpSpPr/>
        </xdr:nvGrpSpPr>
        <xdr:grpSpPr>
          <a:xfrm>
            <a:off x="7548282" y="896470"/>
            <a:ext cx="2231475" cy="281091"/>
            <a:chOff x="7561649" y="887793"/>
            <a:chExt cx="2231475" cy="281091"/>
          </a:xfrm>
        </xdr:grpSpPr>
        <xdr:sp macro="" textlink="">
          <xdr:nvSpPr>
            <xdr:cNvPr id="65" name="Option Button 82" hidden="1">
              <a:extLst>
                <a:ext uri="{63B3BB69-23CF-44E3-9099-C40C66FF867C}">
                  <a14:compatExt xmlns:a14="http://schemas.microsoft.com/office/drawing/2010/main" spid="_x0000_s12370"/>
                </a:ext>
                <a:ext uri="{FF2B5EF4-FFF2-40B4-BE49-F238E27FC236}">
                  <a16:creationId xmlns:a16="http://schemas.microsoft.com/office/drawing/2014/main" id="{00000000-0008-0000-0300-000041000000}"/>
                </a:ext>
              </a:extLst>
            </xdr:cNvPr>
            <xdr:cNvSpPr/>
          </xdr:nvSpPr>
          <xdr:spPr>
            <a:xfrm>
              <a:off x="8335502" y="900355"/>
              <a:ext cx="656552" cy="255966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모아 보기</a:t>
              </a:r>
            </a:p>
          </xdr:txBody>
        </xdr:sp>
        <xdr:sp macro="" textlink="">
          <xdr:nvSpPr>
            <xdr:cNvPr id="66" name="Option Button 83" hidden="1">
              <a:extLst>
                <a:ext uri="{63B3BB69-23CF-44E3-9099-C40C66FF867C}">
                  <a14:compatExt xmlns:a14="http://schemas.microsoft.com/office/drawing/2010/main" spid="_x0000_s12371"/>
                </a:ext>
                <a:ext uri="{FF2B5EF4-FFF2-40B4-BE49-F238E27FC236}">
                  <a16:creationId xmlns:a16="http://schemas.microsoft.com/office/drawing/2014/main" id="{00000000-0008-0000-0300-000042000000}"/>
                </a:ext>
              </a:extLst>
            </xdr:cNvPr>
            <xdr:cNvSpPr/>
          </xdr:nvSpPr>
          <xdr:spPr>
            <a:xfrm>
              <a:off x="9096817" y="900355"/>
              <a:ext cx="696307" cy="255967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제외 보기</a:t>
              </a:r>
            </a:p>
          </xdr:txBody>
        </xdr:sp>
        <xdr:sp macro="" textlink="">
          <xdr:nvSpPr>
            <xdr:cNvPr id="67" name="Option Button 84" hidden="1">
              <a:extLst>
                <a:ext uri="{63B3BB69-23CF-44E3-9099-C40C66FF867C}">
                  <a14:compatExt xmlns:a14="http://schemas.microsoft.com/office/drawing/2010/main" spid="_x0000_s12372"/>
                </a:ext>
                <a:ext uri="{FF2B5EF4-FFF2-40B4-BE49-F238E27FC236}">
                  <a16:creationId xmlns:a16="http://schemas.microsoft.com/office/drawing/2014/main" id="{00000000-0008-0000-0300-000043000000}"/>
                </a:ext>
              </a:extLst>
            </xdr:cNvPr>
            <xdr:cNvSpPr/>
          </xdr:nvSpPr>
          <xdr:spPr>
            <a:xfrm>
              <a:off x="7561649" y="887793"/>
              <a:ext cx="669091" cy="281091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기본 보기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295275</xdr:colOff>
          <xdr:row>3</xdr:row>
          <xdr:rowOff>304800</xdr:rowOff>
        </xdr:to>
        <xdr:grpSp>
          <xdr:nvGrpSpPr>
            <xdr:cNvPr id="385198" name="그룹 75">
              <a:extLst>
                <a:ext uri="{FF2B5EF4-FFF2-40B4-BE49-F238E27FC236}">
                  <a16:creationId xmlns:a16="http://schemas.microsoft.com/office/drawing/2014/main" id="{00000000-0008-0000-0300-0000AEE005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431777" y="876300"/>
              <a:ext cx="904875" cy="304800"/>
              <a:chOff x="10827636" y="479541"/>
              <a:chExt cx="906551" cy="397768"/>
            </a:xfrm>
          </xdr:grpSpPr>
          <xdr:sp macro="" textlink="">
            <xdr:nvSpPr>
              <xdr:cNvPr id="385199" name="Button 175" hidden="1">
                <a:extLst>
                  <a:ext uri="{63B3BB69-23CF-44E3-9099-C40C66FF867C}">
                    <a14:compatExt spid="_x0000_s385199"/>
                  </a:ext>
                  <a:ext uri="{FF2B5EF4-FFF2-40B4-BE49-F238E27FC236}">
                    <a16:creationId xmlns:a16="http://schemas.microsoft.com/office/drawing/2014/main" id="{00000000-0008-0000-0300-0000AFE00500}"/>
                  </a:ext>
                </a:extLst>
              </xdr:cNvPr>
              <xdr:cNvSpPr/>
            </xdr:nvSpPr>
            <xdr:spPr bwMode="auto">
              <a:xfrm>
                <a:off x="10834081" y="479541"/>
                <a:ext cx="900106" cy="1809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▲올리기</a:t>
                </a:r>
              </a:p>
            </xdr:txBody>
          </xdr:sp>
          <xdr:sp macro="" textlink="">
            <xdr:nvSpPr>
              <xdr:cNvPr id="385200" name="Button 176" hidden="1">
                <a:extLst>
                  <a:ext uri="{63B3BB69-23CF-44E3-9099-C40C66FF867C}">
                    <a14:compatExt spid="_x0000_s385200"/>
                  </a:ext>
                  <a:ext uri="{FF2B5EF4-FFF2-40B4-BE49-F238E27FC236}">
                    <a16:creationId xmlns:a16="http://schemas.microsoft.com/office/drawing/2014/main" id="{00000000-0008-0000-0300-0000B0E00500}"/>
                  </a:ext>
                </a:extLst>
              </xdr:cNvPr>
              <xdr:cNvSpPr/>
            </xdr:nvSpPr>
            <xdr:spPr bwMode="auto">
              <a:xfrm>
                <a:off x="10827636" y="696335"/>
                <a:ext cx="900117" cy="1809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▼내리기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4</xdr:col>
      <xdr:colOff>84199</xdr:colOff>
      <xdr:row>4</xdr:row>
      <xdr:rowOff>672</xdr:rowOff>
    </xdr:to>
    <xdr:grpSp>
      <xdr:nvGrpSpPr>
        <xdr:cNvPr id="42" name="그룹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GrpSpPr/>
      </xdr:nvGrpSpPr>
      <xdr:grpSpPr>
        <a:xfrm>
          <a:off x="0" y="876300"/>
          <a:ext cx="1806319" cy="343572"/>
          <a:chOff x="0" y="872816"/>
          <a:chExt cx="1828800" cy="338400"/>
        </a:xfrm>
      </xdr:grpSpPr>
      <xdr:sp macro="[0]!msg_Color_Update" textlink="">
        <xdr:nvSpPr>
          <xdr:cNvPr id="43" name="모서리가 둥근 직사각형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SpPr/>
        </xdr:nvSpPr>
        <xdr:spPr>
          <a:xfrm>
            <a:off x="0" y="872816"/>
            <a:ext cx="1828800" cy="338400"/>
          </a:xfrm>
          <a:prstGeom prst="roundRect">
            <a:avLst/>
          </a:prstGeom>
          <a:solidFill>
            <a:srgbClr val="FF5050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2</a:t>
            </a: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학기 시간표 셀색 가져오기</a:t>
            </a:r>
          </a:p>
        </xdr:txBody>
      </xdr:sp>
      <xdr:sp macro="" textlink="">
        <xdr:nvSpPr>
          <xdr:cNvPr id="44" name="오른쪽 화살표 43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SpPr/>
        </xdr:nvSpPr>
        <xdr:spPr>
          <a:xfrm rot="5400000" flipV="1">
            <a:off x="1585598" y="979151"/>
            <a:ext cx="165146" cy="136497"/>
          </a:xfrm>
          <a:prstGeom prst="rightArrow">
            <a:avLst/>
          </a:prstGeom>
          <a:solidFill>
            <a:srgbClr val="FFCC00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ko-KR" alt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endParaRPr>
          </a:p>
        </xdr:txBody>
      </xdr:sp>
    </xdr:grpSp>
    <xdr:clientData/>
  </xdr:twoCellAnchor>
  <xdr:twoCellAnchor>
    <xdr:from>
      <xdr:col>5</xdr:col>
      <xdr:colOff>0</xdr:colOff>
      <xdr:row>3</xdr:row>
      <xdr:rowOff>0</xdr:rowOff>
    </xdr:from>
    <xdr:to>
      <xdr:col>9</xdr:col>
      <xdr:colOff>153106</xdr:colOff>
      <xdr:row>3</xdr:row>
      <xdr:rowOff>338400</xdr:rowOff>
    </xdr:to>
    <xdr:grpSp>
      <xdr:nvGrpSpPr>
        <xdr:cNvPr id="46" name="그룹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pSpPr/>
      </xdr:nvGrpSpPr>
      <xdr:grpSpPr>
        <a:xfrm>
          <a:off x="2095500" y="876300"/>
          <a:ext cx="1989526" cy="338400"/>
          <a:chOff x="2042488" y="869576"/>
          <a:chExt cx="2000594" cy="338400"/>
        </a:xfrm>
      </xdr:grpSpPr>
      <xdr:sp macro="[0]!msg_Subject_Update" textlink="">
        <xdr:nvSpPr>
          <xdr:cNvPr id="47" name="모서리가 둥근 직사각형 46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SpPr/>
        </xdr:nvSpPr>
        <xdr:spPr>
          <a:xfrm>
            <a:off x="2042488" y="869576"/>
            <a:ext cx="2000594" cy="338400"/>
          </a:xfrm>
          <a:prstGeom prst="roundRect">
            <a:avLst/>
          </a:prstGeom>
          <a:solidFill>
            <a:srgbClr val="FF5050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05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과목별 </a:t>
            </a: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진도표</a:t>
            </a:r>
            <a:r>
              <a:rPr kumimoji="0" lang="ko-KR" altLang="en-US" sz="105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 생성</a:t>
            </a:r>
            <a:r>
              <a:rPr kumimoji="0" lang="en-US" altLang="ko-KR" sz="105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(</a:t>
            </a:r>
            <a:r>
              <a:rPr kumimoji="0" lang="ko-KR" altLang="en-US" sz="105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업데이트</a:t>
            </a:r>
            <a:r>
              <a:rPr kumimoji="0" lang="en-US" altLang="ko-KR" sz="105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 panose="020B0503020000020004" pitchFamily="50" charset="-127"/>
                <a:ea typeface="맑은 고딕" panose="020B0503020000020004" pitchFamily="50" charset="-127"/>
                <a:cs typeface="+mn-cs"/>
              </a:rPr>
              <a:t>)</a:t>
            </a:r>
            <a:endParaRPr kumimoji="0" lang="ko-KR" altLang="en-US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endParaRPr>
          </a:p>
        </xdr:txBody>
      </xdr:sp>
      <xdr:sp macro="" textlink="">
        <xdr:nvSpPr>
          <xdr:cNvPr id="48" name="오른쪽 화살표 47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/>
        </xdr:nvSpPr>
        <xdr:spPr>
          <a:xfrm rot="16200000">
            <a:off x="3802736" y="972185"/>
            <a:ext cx="165146" cy="135774"/>
          </a:xfrm>
          <a:prstGeom prst="rightArrow">
            <a:avLst/>
          </a:prstGeom>
          <a:solidFill>
            <a:srgbClr val="CCEC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ko-KR" alt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154157</xdr:colOff>
      <xdr:row>2</xdr:row>
      <xdr:rowOff>323024</xdr:rowOff>
    </xdr:to>
    <xdr:sp macro="[0]!msg_Del_Except_Project" textlink="">
      <xdr:nvSpPr>
        <xdr:cNvPr id="49" name="모서리가 둥근 직사각형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0" y="571500"/>
          <a:ext cx="4108937" cy="284924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프로젝트 행사 내용을 제외한 </a:t>
          </a: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연간진도표의</a:t>
          </a:r>
          <a:r>
            <a:rPr kumimoji="0" lang="ko-KR" altLang="en-US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 학습내용 초기화</a:t>
          </a:r>
          <a:r>
            <a:rPr kumimoji="0" lang="en-US" altLang="ko-KR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(</a:t>
          </a:r>
          <a:r>
            <a:rPr kumimoji="0" lang="ko-KR" altLang="en-US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삭제</a:t>
          </a:r>
          <a:r>
            <a:rPr kumimoji="0" lang="en-US" altLang="ko-KR" sz="105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)</a:t>
          </a:r>
          <a:endParaRPr kumimoji="0" lang="ko-KR" altLang="en-US" sz="1050" b="1" i="0" u="none" strike="noStrike" kern="0" cap="none" spc="-10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맑은 고딕" panose="020B0503020000020004" pitchFamily="50" charset="-127"/>
            <a:ea typeface="맑은 고딕" panose="020B0503020000020004" pitchFamily="50" charset="-127"/>
            <a:cs typeface="+mn-cs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1344930</xdr:colOff>
      <xdr:row>1</xdr:row>
      <xdr:rowOff>283549</xdr:rowOff>
    </xdr:to>
    <xdr:sp macro="[0]!msg_NEIS_SAVE" textlink="">
      <xdr:nvSpPr>
        <xdr:cNvPr id="53" name="모서리가 둥근 직사각형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2123683" y="189186"/>
          <a:ext cx="2853164" cy="283549"/>
        </a:xfrm>
        <a:prstGeom prst="roundRect">
          <a:avLst/>
        </a:prstGeom>
        <a:solidFill>
          <a:schemeClr val="accent3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ko-KR" sz="9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NEIS </a:t>
          </a:r>
          <a:r>
            <a:rPr kumimoji="0" lang="ko-KR" altLang="en-US" sz="9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rPr>
            <a:t>업로드용 전교과 엑셀파일 만들기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298549</xdr:colOff>
      <xdr:row>3</xdr:row>
      <xdr:rowOff>306228</xdr:rowOff>
    </xdr:to>
    <xdr:grpSp>
      <xdr:nvGrpSpPr>
        <xdr:cNvPr id="23" name="그룹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10431780" y="876300"/>
          <a:ext cx="908149" cy="306228"/>
          <a:chOff x="10827617" y="479541"/>
          <a:chExt cx="906547" cy="397768"/>
        </a:xfrm>
      </xdr:grpSpPr>
      <xdr:sp macro="" textlink="">
        <xdr:nvSpPr>
          <xdr:cNvPr id="228395" name="Button 43" hidden="1">
            <a:extLst>
              <a:ext uri="{63B3BB69-23CF-44E3-9099-C40C66FF867C}">
                <a14:compatExt xmlns:a14="http://schemas.microsoft.com/office/drawing/2010/main" spid="_x0000_s228395"/>
              </a:ext>
              <a:ext uri="{FF2B5EF4-FFF2-40B4-BE49-F238E27FC236}">
                <a16:creationId xmlns:a16="http://schemas.microsoft.com/office/drawing/2014/main" id="{00000000-0008-0000-0400-00002B7C0300}"/>
              </a:ext>
            </a:extLst>
          </xdr:cNvPr>
          <xdr:cNvSpPr/>
        </xdr:nvSpPr>
        <xdr:spPr bwMode="auto">
          <a:xfrm>
            <a:off x="10834058" y="479541"/>
            <a:ext cx="900106" cy="180974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▲올리기</a:t>
            </a:r>
          </a:p>
        </xdr:txBody>
      </xdr:sp>
      <xdr:sp macro="" textlink="">
        <xdr:nvSpPr>
          <xdr:cNvPr id="228396" name="Button 44" hidden="1">
            <a:extLst>
              <a:ext uri="{63B3BB69-23CF-44E3-9099-C40C66FF867C}">
                <a14:compatExt xmlns:a14="http://schemas.microsoft.com/office/drawing/2010/main" spid="_x0000_s228396"/>
              </a:ext>
              <a:ext uri="{FF2B5EF4-FFF2-40B4-BE49-F238E27FC236}">
                <a16:creationId xmlns:a16="http://schemas.microsoft.com/office/drawing/2014/main" id="{00000000-0008-0000-0400-00002C7C0300}"/>
              </a:ext>
            </a:extLst>
          </xdr:cNvPr>
          <xdr:cNvSpPr/>
        </xdr:nvSpPr>
        <xdr:spPr bwMode="auto">
          <a:xfrm>
            <a:off x="10827617" y="696335"/>
            <a:ext cx="900117" cy="180974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▼내리기</a:t>
            </a:r>
          </a:p>
        </xdr:txBody>
      </xdr:sp>
    </xdr:grpSp>
    <xdr:clientData/>
  </xdr:twoCellAnchor>
  <xdr:twoCellAnchor>
    <xdr:from>
      <xdr:col>15</xdr:col>
      <xdr:colOff>0</xdr:colOff>
      <xdr:row>2</xdr:row>
      <xdr:rowOff>0</xdr:rowOff>
    </xdr:from>
    <xdr:to>
      <xdr:col>17</xdr:col>
      <xdr:colOff>1331324</xdr:colOff>
      <xdr:row>2</xdr:row>
      <xdr:rowOff>328935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pSpPr/>
      </xdr:nvGrpSpPr>
      <xdr:grpSpPr>
        <a:xfrm>
          <a:off x="11567160" y="533400"/>
          <a:ext cx="3365864" cy="328935"/>
          <a:chOff x="13019484" y="523875"/>
          <a:chExt cx="3617324" cy="328935"/>
        </a:xfrm>
      </xdr:grpSpPr>
      <xdr:sp macro="[0]!msg_content_Update" textlink="">
        <xdr:nvSpPr>
          <xdr:cNvPr id="41" name="모서리가 둥근 직사각형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13019484" y="523875"/>
            <a:ext cx="3617324" cy="328935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900" b="1" spc="-100" baseline="0">
                <a:latin typeface="+mj-ea"/>
                <a:ea typeface="+mj-ea"/>
              </a:rPr>
              <a:t>연간진도표 학습내용</a:t>
            </a:r>
            <a:r>
              <a:rPr lang="en-US" altLang="ko-KR" sz="900" b="1" spc="-100" baseline="0">
                <a:latin typeface="+mj-ea"/>
                <a:ea typeface="+mj-ea"/>
              </a:rPr>
              <a:t>(</a:t>
            </a:r>
            <a:r>
              <a:rPr lang="ko-KR" altLang="en-US" sz="900" b="1" spc="-100" baseline="0">
                <a:latin typeface="+mj-ea"/>
                <a:ea typeface="+mj-ea"/>
              </a:rPr>
              <a:t>수정사항</a:t>
            </a:r>
            <a:r>
              <a:rPr lang="en-US" altLang="ko-KR" sz="900" b="1" spc="-100" baseline="0">
                <a:latin typeface="+mj-ea"/>
                <a:ea typeface="+mj-ea"/>
              </a:rPr>
              <a:t>)</a:t>
            </a:r>
            <a:r>
              <a:rPr lang="ko-KR" altLang="en-US" sz="900" b="1" spc="-100" baseline="0">
                <a:latin typeface="+mj-ea"/>
                <a:ea typeface="+mj-ea"/>
              </a:rPr>
              <a:t>을 각 과목별 시트에 내보내기</a:t>
            </a:r>
          </a:p>
        </xdr:txBody>
      </xdr:sp>
      <xdr:sp macro="" textlink="">
        <xdr:nvSpPr>
          <xdr:cNvPr id="45" name="오른쪽 화살표 44">
            <a:extLst>
              <a:ext uri="{FF2B5EF4-FFF2-40B4-BE49-F238E27FC236}">
                <a16:creationId xmlns:a16="http://schemas.microsoft.com/office/drawing/2014/main" id="{00000000-0008-0000-0400-00002D000000}"/>
              </a:ext>
            </a:extLst>
          </xdr:cNvPr>
          <xdr:cNvSpPr/>
        </xdr:nvSpPr>
        <xdr:spPr>
          <a:xfrm rot="16200000">
            <a:off x="16387746" y="608426"/>
            <a:ext cx="165146" cy="150824"/>
          </a:xfrm>
          <a:prstGeom prst="rightArrow">
            <a:avLst/>
          </a:prstGeom>
          <a:solidFill>
            <a:srgbClr val="CCEC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ko-KR" alt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endParaRPr>
          </a:p>
        </xdr:txBody>
      </xdr:sp>
    </xdr:grpSp>
    <xdr:clientData/>
  </xdr:twoCellAnchor>
  <xdr:twoCellAnchor>
    <xdr:from>
      <xdr:col>15</xdr:col>
      <xdr:colOff>0</xdr:colOff>
      <xdr:row>3</xdr:row>
      <xdr:rowOff>0</xdr:rowOff>
    </xdr:from>
    <xdr:to>
      <xdr:col>17</xdr:col>
      <xdr:colOff>1337630</xdr:colOff>
      <xdr:row>3</xdr:row>
      <xdr:rowOff>328934</xdr:rowOff>
    </xdr:to>
    <xdr:grpSp>
      <xdr:nvGrpSpPr>
        <xdr:cNvPr id="50" name="그룹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11567160" y="876300"/>
          <a:ext cx="3372170" cy="328934"/>
          <a:chOff x="13019484" y="869156"/>
          <a:chExt cx="3623630" cy="328934"/>
        </a:xfrm>
      </xdr:grpSpPr>
      <xdr:sp macro="[0]!msg_content_download" textlink="">
        <xdr:nvSpPr>
          <xdr:cNvPr id="54" name="모서리가 둥근 직사각형 75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/>
        </xdr:nvSpPr>
        <xdr:spPr>
          <a:xfrm>
            <a:off x="13019484" y="869156"/>
            <a:ext cx="3623630" cy="328934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900" b="1">
                <a:latin typeface="+mj-ea"/>
                <a:ea typeface="+mj-ea"/>
              </a:rPr>
              <a:t>과목별 시트 학습내용을 연간진도표에 일괄 가져오기</a:t>
            </a:r>
          </a:p>
        </xdr:txBody>
      </xdr:sp>
      <xdr:sp macro="" textlink="">
        <xdr:nvSpPr>
          <xdr:cNvPr id="55" name="오른쪽 화살표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SpPr/>
        </xdr:nvSpPr>
        <xdr:spPr>
          <a:xfrm rot="5400000">
            <a:off x="16385750" y="965613"/>
            <a:ext cx="165146" cy="150824"/>
          </a:xfrm>
          <a:prstGeom prst="rightArrow">
            <a:avLst/>
          </a:prstGeom>
          <a:solidFill>
            <a:srgbClr val="CCEC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ko-KR" altLang="en-US" sz="11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 panose="020B0503020000020004" pitchFamily="50" charset="-127"/>
              <a:ea typeface="맑은 고딕" panose="020B0503020000020004" pitchFamily="50" charset="-127"/>
              <a:cs typeface="+mn-cs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295275</xdr:colOff>
          <xdr:row>3</xdr:row>
          <xdr:rowOff>304800</xdr:rowOff>
        </xdr:to>
        <xdr:grpSp>
          <xdr:nvGrpSpPr>
            <xdr:cNvPr id="228404" name="Group 52">
              <a:extLst>
                <a:ext uri="{FF2B5EF4-FFF2-40B4-BE49-F238E27FC236}">
                  <a16:creationId xmlns:a16="http://schemas.microsoft.com/office/drawing/2014/main" id="{00000000-0008-0000-0400-0000347C0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431780" y="876301"/>
              <a:ext cx="904875" cy="304801"/>
              <a:chOff x="108276" y="4795"/>
              <a:chExt cx="9065" cy="3978"/>
            </a:xfrm>
          </xdr:grpSpPr>
          <xdr:sp macro="" textlink="">
            <xdr:nvSpPr>
              <xdr:cNvPr id="2" name="Button 43" hidden="1">
                <a:extLst>
                  <a:ext uri="{63B3BB69-23CF-44E3-9099-C40C66FF867C}">
                    <a14:compatExt spid="_x0000_s228395"/>
                  </a:ext>
                  <a:ext uri="{FF2B5EF4-FFF2-40B4-BE49-F238E27FC236}">
                    <a16:creationId xmlns:a16="http://schemas.microsoft.com/office/drawing/2014/main" id="{00000000-0008-0000-0400-000002000000}"/>
                  </a:ext>
                </a:extLst>
              </xdr:cNvPr>
              <xdr:cNvSpPr/>
            </xdr:nvSpPr>
            <xdr:spPr bwMode="auto">
              <a:xfrm>
                <a:off x="108340" y="4795"/>
                <a:ext cx="9001" cy="18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▲올리기</a:t>
                </a:r>
              </a:p>
            </xdr:txBody>
          </xdr:sp>
          <xdr:sp macro="" textlink="">
            <xdr:nvSpPr>
              <xdr:cNvPr id="3" name="Button 44" hidden="1">
                <a:extLst>
                  <a:ext uri="{63B3BB69-23CF-44E3-9099-C40C66FF867C}">
                    <a14:compatExt spid="_x0000_s228396"/>
                  </a:ext>
                  <a:ext uri="{FF2B5EF4-FFF2-40B4-BE49-F238E27FC236}">
                    <a16:creationId xmlns:a16="http://schemas.microsoft.com/office/drawing/2014/main" id="{00000000-0008-0000-0400-000003000000}"/>
                  </a:ext>
                </a:extLst>
              </xdr:cNvPr>
              <xdr:cNvSpPr/>
            </xdr:nvSpPr>
            <xdr:spPr bwMode="auto">
              <a:xfrm>
                <a:off x="108276" y="6963"/>
                <a:ext cx="9001" cy="18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▼내리기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10</xdr:col>
      <xdr:colOff>566765</xdr:colOff>
      <xdr:row>2</xdr:row>
      <xdr:rowOff>99544</xdr:rowOff>
    </xdr:from>
    <xdr:to>
      <xdr:col>11</xdr:col>
      <xdr:colOff>3441710</xdr:colOff>
      <xdr:row>3</xdr:row>
      <xdr:rowOff>316949</xdr:rowOff>
    </xdr:to>
    <xdr:grpSp>
      <xdr:nvGrpSpPr>
        <xdr:cNvPr id="57" name="그룹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pSpPr/>
      </xdr:nvGrpSpPr>
      <xdr:grpSpPr>
        <a:xfrm>
          <a:off x="5039705" y="632944"/>
          <a:ext cx="4703745" cy="560305"/>
          <a:chOff x="5076012" y="619498"/>
          <a:chExt cx="4703745" cy="558063"/>
        </a:xfrm>
      </xdr:grpSpPr>
      <xdr:sp macro="" textlink="">
        <xdr:nvSpPr>
          <xdr:cNvPr id="58" name="DropDownSS" hidden="1">
            <a:extLst>
              <a:ext uri="{63B3BB69-23CF-44E3-9099-C40C66FF867C}">
                <a14:compatExt xmlns:a14="http://schemas.microsoft.com/office/drawing/2010/main" spid="_x0000_s12354"/>
              </a:ex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/>
        </xdr:nvSpPr>
        <xdr:spPr>
          <a:xfrm>
            <a:off x="6464746" y="619498"/>
            <a:ext cx="1338803" cy="181738"/>
          </a:xfrm>
          <a:prstGeom prst="rect">
            <a:avLst/>
          </a:prstGeom>
        </xdr:spPr>
      </xdr:sp>
      <xdr:sp macro="" textlink="">
        <xdr:nvSpPr>
          <xdr:cNvPr id="59" name="DropDownSS2" hidden="1">
            <a:extLst>
              <a:ext uri="{63B3BB69-23CF-44E3-9099-C40C66FF867C}">
                <a14:compatExt xmlns:a14="http://schemas.microsoft.com/office/drawing/2010/main" spid="_x0000_s12355"/>
              </a:ex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/>
        </xdr:nvSpPr>
        <xdr:spPr>
          <a:xfrm>
            <a:off x="8420926" y="628464"/>
            <a:ext cx="1338804" cy="181738"/>
          </a:xfrm>
          <a:prstGeom prst="rect">
            <a:avLst/>
          </a:prstGeom>
        </xdr:spPr>
      </xdr:sp>
      <xdr:sp macro="" textlink="">
        <xdr:nvSpPr>
          <xdr:cNvPr id="60" name="dropdown" hidden="1">
            <a:extLst>
              <a:ext uri="{63B3BB69-23CF-44E3-9099-C40C66FF867C}">
                <a14:compatExt xmlns:a14="http://schemas.microsoft.com/office/drawing/2010/main" spid="_x0000_s12356"/>
              </a:ex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/>
        </xdr:nvSpPr>
        <xdr:spPr>
          <a:xfrm>
            <a:off x="5076012" y="934250"/>
            <a:ext cx="1191120" cy="216589"/>
          </a:xfrm>
          <a:prstGeom prst="rect">
            <a:avLst/>
          </a:prstGeom>
        </xdr:spPr>
      </xdr:sp>
      <xdr:grpSp>
        <xdr:nvGrpSpPr>
          <xdr:cNvPr id="61" name="그룹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GrpSpPr/>
        </xdr:nvGrpSpPr>
        <xdr:grpSpPr>
          <a:xfrm>
            <a:off x="7548282" y="896470"/>
            <a:ext cx="2231475" cy="281091"/>
            <a:chOff x="7561649" y="887793"/>
            <a:chExt cx="2231475" cy="281091"/>
          </a:xfrm>
        </xdr:grpSpPr>
        <xdr:sp macro="" textlink="">
          <xdr:nvSpPr>
            <xdr:cNvPr id="62" name="Option Button 82" hidden="1">
              <a:extLst>
                <a:ext uri="{63B3BB69-23CF-44E3-9099-C40C66FF867C}">
                  <a14:compatExt xmlns:a14="http://schemas.microsoft.com/office/drawing/2010/main" spid="_x0000_s12370"/>
                </a:ex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/>
          </xdr:nvSpPr>
          <xdr:spPr>
            <a:xfrm>
              <a:off x="8335502" y="900355"/>
              <a:ext cx="656552" cy="255966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모아 보기</a:t>
              </a:r>
            </a:p>
          </xdr:txBody>
        </xdr:sp>
        <xdr:sp macro="" textlink="">
          <xdr:nvSpPr>
            <xdr:cNvPr id="63" name="Option Button 83" hidden="1">
              <a:extLst>
                <a:ext uri="{63B3BB69-23CF-44E3-9099-C40C66FF867C}">
                  <a14:compatExt xmlns:a14="http://schemas.microsoft.com/office/drawing/2010/main" spid="_x0000_s12371"/>
                </a:ex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/>
          </xdr:nvSpPr>
          <xdr:spPr>
            <a:xfrm>
              <a:off x="9096817" y="900355"/>
              <a:ext cx="696307" cy="255967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제외 보기</a:t>
              </a:r>
            </a:p>
          </xdr:txBody>
        </xdr:sp>
        <xdr:sp macro="" textlink="">
          <xdr:nvSpPr>
            <xdr:cNvPr id="64" name="Option Button 84" hidden="1">
              <a:extLst>
                <a:ext uri="{63B3BB69-23CF-44E3-9099-C40C66FF867C}">
                  <a14:compatExt xmlns:a14="http://schemas.microsoft.com/office/drawing/2010/main" spid="_x0000_s12372"/>
                </a:ex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/>
          </xdr:nvSpPr>
          <xdr:spPr>
            <a:xfrm>
              <a:off x="7561649" y="887793"/>
              <a:ext cx="669091" cy="281091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기본 보기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866775</xdr:colOff>
          <xdr:row>3</xdr:row>
          <xdr:rowOff>57150</xdr:rowOff>
        </xdr:from>
        <xdr:to>
          <xdr:col>11</xdr:col>
          <xdr:colOff>0</xdr:colOff>
          <xdr:row>3</xdr:row>
          <xdr:rowOff>276225</xdr:rowOff>
        </xdr:to>
        <xdr:sp macro="" textlink="">
          <xdr:nvSpPr>
            <xdr:cNvPr id="228409" name="dropdown" hidden="1">
              <a:extLst>
                <a:ext uri="{63B3BB69-23CF-44E3-9099-C40C66FF867C}">
                  <a14:compatExt spid="_x0000_s228409"/>
                </a:ext>
                <a:ext uri="{FF2B5EF4-FFF2-40B4-BE49-F238E27FC236}">
                  <a16:creationId xmlns:a16="http://schemas.microsoft.com/office/drawing/2014/main" id="{00000000-0008-0000-0400-000039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2419350</xdr:colOff>
          <xdr:row>3</xdr:row>
          <xdr:rowOff>47625</xdr:rowOff>
        </xdr:from>
        <xdr:to>
          <xdr:col>11</xdr:col>
          <xdr:colOff>3076575</xdr:colOff>
          <xdr:row>3</xdr:row>
          <xdr:rowOff>295275</xdr:rowOff>
        </xdr:to>
        <xdr:sp macro="" textlink="">
          <xdr:nvSpPr>
            <xdr:cNvPr id="228410" name="Option Button 58" descr="전체보기" hidden="1">
              <a:extLst>
                <a:ext uri="{63B3BB69-23CF-44E3-9099-C40C66FF867C}">
                  <a14:compatExt spid="_x0000_s228410"/>
                </a:ext>
                <a:ext uri="{FF2B5EF4-FFF2-40B4-BE49-F238E27FC236}">
                  <a16:creationId xmlns:a16="http://schemas.microsoft.com/office/drawing/2014/main" id="{00000000-0008-0000-0400-00003A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모아 보기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3171825</xdr:colOff>
          <xdr:row>3</xdr:row>
          <xdr:rowOff>47625</xdr:rowOff>
        </xdr:from>
        <xdr:to>
          <xdr:col>11</xdr:col>
          <xdr:colOff>3867150</xdr:colOff>
          <xdr:row>3</xdr:row>
          <xdr:rowOff>295275</xdr:rowOff>
        </xdr:to>
        <xdr:sp macro="" textlink="">
          <xdr:nvSpPr>
            <xdr:cNvPr id="228411" name="Option Button 59" hidden="1">
              <a:extLst>
                <a:ext uri="{63B3BB69-23CF-44E3-9099-C40C66FF867C}">
                  <a14:compatExt spid="_x0000_s228411"/>
                </a:ext>
                <a:ext uri="{FF2B5EF4-FFF2-40B4-BE49-F238E27FC236}">
                  <a16:creationId xmlns:a16="http://schemas.microsoft.com/office/drawing/2014/main" id="{00000000-0008-0000-0400-00003B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제외 보기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1647825</xdr:colOff>
          <xdr:row>3</xdr:row>
          <xdr:rowOff>28575</xdr:rowOff>
        </xdr:from>
        <xdr:to>
          <xdr:col>11</xdr:col>
          <xdr:colOff>2324100</xdr:colOff>
          <xdr:row>3</xdr:row>
          <xdr:rowOff>314325</xdr:rowOff>
        </xdr:to>
        <xdr:sp macro="" textlink="">
          <xdr:nvSpPr>
            <xdr:cNvPr id="228412" name="Option Button 60" hidden="1">
              <a:extLst>
                <a:ext uri="{63B3BB69-23CF-44E3-9099-C40C66FF867C}">
                  <a14:compatExt spid="_x0000_s228412"/>
                </a:ext>
                <a:ext uri="{FF2B5EF4-FFF2-40B4-BE49-F238E27FC236}">
                  <a16:creationId xmlns:a16="http://schemas.microsoft.com/office/drawing/2014/main" id="{00000000-0008-0000-0400-00003C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기본 보기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5050"/>
        </a:solidFill>
        <a:ln w="25400" cap="flat" cmpd="sng" algn="ctr">
          <a:noFill/>
          <a:prstDash val="solid"/>
        </a:ln>
        <a:effectLst/>
      </a:spPr>
      <a:bodyPr vertOverflow="clip" horzOverflow="clip" rtlCol="0" anchor="ctr"/>
      <a:lstStyle>
        <a:defPPr marL="0" marR="0" indent="0" algn="ctr" defTabSz="91440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맑은 고딕" panose="020B0503020000020004" pitchFamily="50" charset="-127"/>
            <a:ea typeface="맑은 고딕" panose="020B0503020000020004" pitchFamily="50" charset="-127"/>
            <a:cs typeface="+mn-cs"/>
          </a:defRPr>
        </a:defPPr>
      </a:lst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 tint="0.499984740745262"/>
    <pageSetUpPr fitToPage="1"/>
  </sheetPr>
  <dimension ref="B3:BV78"/>
  <sheetViews>
    <sheetView zoomScaleNormal="100" workbookViewId="0">
      <selection activeCell="E10" sqref="E10"/>
    </sheetView>
  </sheetViews>
  <sheetFormatPr defaultColWidth="8.88671875" defaultRowHeight="13.5"/>
  <cols>
    <col min="1" max="1" width="19.109375" style="1" customWidth="1"/>
    <col min="2" max="2" width="4.109375" style="1" customWidth="1"/>
    <col min="3" max="3" width="4.21875" style="1" customWidth="1"/>
    <col min="4" max="4" width="6.109375" style="1" customWidth="1"/>
    <col min="5" max="44" width="2.77734375" style="1" customWidth="1"/>
    <col min="45" max="45" width="4.44140625" style="1" customWidth="1"/>
    <col min="46" max="71" width="3.77734375" style="121" customWidth="1"/>
    <col min="72" max="72" width="4.33203125" style="121" customWidth="1"/>
    <col min="73" max="73" width="16.44140625" style="121" customWidth="1"/>
    <col min="74" max="74" width="19.21875" style="121" customWidth="1"/>
    <col min="75" max="16384" width="8.88671875" style="1"/>
  </cols>
  <sheetData>
    <row r="3" spans="2:74">
      <c r="E3" s="1" t="s">
        <v>68</v>
      </c>
    </row>
    <row r="4" spans="2:74" ht="20.100000000000001" customHeight="1">
      <c r="B4" s="192" t="s">
        <v>0</v>
      </c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/>
      <c r="AG4" s="193"/>
      <c r="AH4" s="193"/>
      <c r="AI4" s="193"/>
      <c r="AJ4" s="193"/>
      <c r="AK4" s="193"/>
      <c r="AL4" s="193"/>
      <c r="AM4" s="193"/>
      <c r="AN4" s="193"/>
      <c r="AO4" s="193"/>
      <c r="AP4" s="193"/>
      <c r="AQ4" s="193"/>
      <c r="AR4" s="193"/>
      <c r="AT4" s="206" t="s">
        <v>49</v>
      </c>
      <c r="AU4" s="206"/>
      <c r="AV4" s="206"/>
      <c r="AW4" s="206"/>
      <c r="AX4" s="206"/>
      <c r="AY4" s="206"/>
      <c r="AZ4" s="206"/>
      <c r="BA4" s="206"/>
      <c r="BB4" s="206"/>
      <c r="BC4" s="206"/>
      <c r="BD4" s="206"/>
      <c r="BE4" s="206"/>
      <c r="BF4" s="206"/>
      <c r="BG4" s="206"/>
      <c r="BH4" s="206"/>
      <c r="BI4" s="206"/>
      <c r="BJ4" s="206"/>
      <c r="BK4" s="206"/>
      <c r="BL4" s="206"/>
      <c r="BM4" s="206"/>
      <c r="BN4" s="206"/>
      <c r="BO4" s="206"/>
      <c r="BP4" s="206"/>
      <c r="BQ4" s="206"/>
      <c r="BR4" s="206"/>
      <c r="BS4" s="206"/>
      <c r="BU4" s="27" t="s">
        <v>71</v>
      </c>
    </row>
    <row r="5" spans="2:74" ht="13.5" customHeight="1">
      <c r="B5" s="194" t="s">
        <v>8</v>
      </c>
      <c r="C5" s="194" t="s">
        <v>9</v>
      </c>
      <c r="D5" s="194" t="s">
        <v>10</v>
      </c>
      <c r="E5" s="196" t="s">
        <v>2</v>
      </c>
      <c r="F5" s="197"/>
      <c r="G5" s="197"/>
      <c r="H5" s="197"/>
      <c r="I5" s="197"/>
      <c r="J5" s="197"/>
      <c r="K5" s="197"/>
      <c r="L5" s="198"/>
      <c r="M5" s="196" t="s">
        <v>13</v>
      </c>
      <c r="N5" s="197"/>
      <c r="O5" s="197"/>
      <c r="P5" s="197"/>
      <c r="Q5" s="197"/>
      <c r="R5" s="197"/>
      <c r="S5" s="197"/>
      <c r="T5" s="198"/>
      <c r="U5" s="196" t="s">
        <v>14</v>
      </c>
      <c r="V5" s="197"/>
      <c r="W5" s="197"/>
      <c r="X5" s="197"/>
      <c r="Y5" s="197"/>
      <c r="Z5" s="197"/>
      <c r="AA5" s="197"/>
      <c r="AB5" s="198"/>
      <c r="AC5" s="196" t="s">
        <v>16</v>
      </c>
      <c r="AD5" s="197"/>
      <c r="AE5" s="197"/>
      <c r="AF5" s="197"/>
      <c r="AG5" s="197"/>
      <c r="AH5" s="197"/>
      <c r="AI5" s="197"/>
      <c r="AJ5" s="198"/>
      <c r="AK5" s="196" t="s">
        <v>12</v>
      </c>
      <c r="AL5" s="197"/>
      <c r="AM5" s="197"/>
      <c r="AN5" s="197"/>
      <c r="AO5" s="197"/>
      <c r="AP5" s="197"/>
      <c r="AQ5" s="197"/>
      <c r="AR5" s="198"/>
      <c r="AT5" s="207" t="s">
        <v>1</v>
      </c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8" t="s">
        <v>23</v>
      </c>
      <c r="BG5" s="209"/>
      <c r="BH5" s="209"/>
      <c r="BI5" s="209"/>
      <c r="BJ5" s="209"/>
      <c r="BK5" s="209"/>
      <c r="BL5" s="209"/>
      <c r="BM5" s="209"/>
      <c r="BN5" s="209"/>
      <c r="BO5" s="209"/>
      <c r="BP5" s="209"/>
      <c r="BQ5" s="209"/>
      <c r="BR5" s="209"/>
      <c r="BS5" s="210"/>
      <c r="BU5" s="142"/>
    </row>
    <row r="6" spans="2:74" ht="13.5" customHeight="1">
      <c r="B6" s="194"/>
      <c r="C6" s="194"/>
      <c r="D6" s="194"/>
      <c r="E6" s="199"/>
      <c r="F6" s="200"/>
      <c r="G6" s="200"/>
      <c r="H6" s="200"/>
      <c r="I6" s="200"/>
      <c r="J6" s="200"/>
      <c r="K6" s="200"/>
      <c r="L6" s="201"/>
      <c r="M6" s="199"/>
      <c r="N6" s="200"/>
      <c r="O6" s="200"/>
      <c r="P6" s="200"/>
      <c r="Q6" s="200"/>
      <c r="R6" s="200"/>
      <c r="S6" s="200"/>
      <c r="T6" s="201"/>
      <c r="U6" s="199"/>
      <c r="V6" s="200"/>
      <c r="W6" s="200"/>
      <c r="X6" s="200"/>
      <c r="Y6" s="200"/>
      <c r="Z6" s="200"/>
      <c r="AA6" s="200"/>
      <c r="AB6" s="201"/>
      <c r="AC6" s="199"/>
      <c r="AD6" s="200"/>
      <c r="AE6" s="200"/>
      <c r="AF6" s="200"/>
      <c r="AG6" s="200"/>
      <c r="AH6" s="200"/>
      <c r="AI6" s="200"/>
      <c r="AJ6" s="201"/>
      <c r="AK6" s="199"/>
      <c r="AL6" s="200"/>
      <c r="AM6" s="200"/>
      <c r="AN6" s="200"/>
      <c r="AO6" s="200"/>
      <c r="AP6" s="200"/>
      <c r="AQ6" s="200"/>
      <c r="AR6" s="201"/>
      <c r="AT6" s="149" t="str">
        <f>'1.연간시수표'!AT6</f>
        <v>국어</v>
      </c>
      <c r="AU6" s="149" t="str">
        <f>'1.연간시수표'!AU6</f>
        <v>사회</v>
      </c>
      <c r="AV6" s="149" t="str">
        <f>'1.연간시수표'!AV6</f>
        <v>도덕</v>
      </c>
      <c r="AW6" s="149" t="str">
        <f>'1.연간시수표'!AW6</f>
        <v>수학</v>
      </c>
      <c r="AX6" s="149" t="str">
        <f>'1.연간시수표'!AX6</f>
        <v>과학</v>
      </c>
      <c r="AY6" s="149" t="str">
        <f>'1.연간시수표'!AY6</f>
        <v>실과</v>
      </c>
      <c r="AZ6" s="149" t="str">
        <f>'1.연간시수표'!AZ6</f>
        <v>체육</v>
      </c>
      <c r="BA6" s="149" t="str">
        <f>'1.연간시수표'!BA6</f>
        <v>음악</v>
      </c>
      <c r="BB6" s="149" t="str">
        <f>'1.연간시수표'!BB6</f>
        <v>미술</v>
      </c>
      <c r="BC6" s="149" t="str">
        <f>'1.연간시수표'!BC6</f>
        <v>영어</v>
      </c>
      <c r="BD6" s="149" t="str">
        <f>'1.연간시수표'!BD6</f>
        <v>교과</v>
      </c>
      <c r="BE6" s="211" t="s">
        <v>27</v>
      </c>
      <c r="BF6" s="212" t="str">
        <f>'1.연간시수표'!BF6:BN6</f>
        <v>자율활동</v>
      </c>
      <c r="BG6" s="213"/>
      <c r="BH6" s="213"/>
      <c r="BI6" s="213"/>
      <c r="BJ6" s="213"/>
      <c r="BK6" s="213"/>
      <c r="BL6" s="213"/>
      <c r="BM6" s="213"/>
      <c r="BN6" s="214"/>
      <c r="BO6" s="150" t="str">
        <f>'1.연간시수표'!BO6</f>
        <v>동아리활동</v>
      </c>
      <c r="BP6" s="150" t="str">
        <f>'1.연간시수표'!BP6</f>
        <v>봉사활동</v>
      </c>
      <c r="BQ6" s="150" t="str">
        <f>'1.연간시수표'!BQ6</f>
        <v>진로활동</v>
      </c>
      <c r="BR6" s="150">
        <f>'1.연간시수표'!BR6</f>
        <v>0</v>
      </c>
      <c r="BS6" s="215" t="s">
        <v>26</v>
      </c>
      <c r="BU6" s="142" t="s">
        <v>93</v>
      </c>
    </row>
    <row r="7" spans="2:74" ht="13.5" customHeight="1">
      <c r="B7" s="194"/>
      <c r="C7" s="194"/>
      <c r="D7" s="194"/>
      <c r="E7" s="194">
        <v>1</v>
      </c>
      <c r="F7" s="194">
        <v>2</v>
      </c>
      <c r="G7" s="194">
        <v>3</v>
      </c>
      <c r="H7" s="194">
        <v>4</v>
      </c>
      <c r="I7" s="194">
        <v>5</v>
      </c>
      <c r="J7" s="194">
        <v>6</v>
      </c>
      <c r="K7" s="195">
        <v>7</v>
      </c>
      <c r="L7" s="195">
        <v>8</v>
      </c>
      <c r="M7" s="194">
        <v>1</v>
      </c>
      <c r="N7" s="194">
        <v>2</v>
      </c>
      <c r="O7" s="194">
        <v>3</v>
      </c>
      <c r="P7" s="194">
        <v>4</v>
      </c>
      <c r="Q7" s="194">
        <v>5</v>
      </c>
      <c r="R7" s="194">
        <v>6</v>
      </c>
      <c r="S7" s="195">
        <v>7</v>
      </c>
      <c r="T7" s="195">
        <v>8</v>
      </c>
      <c r="U7" s="194">
        <v>1</v>
      </c>
      <c r="V7" s="194">
        <v>2</v>
      </c>
      <c r="W7" s="194">
        <v>3</v>
      </c>
      <c r="X7" s="194">
        <v>4</v>
      </c>
      <c r="Y7" s="194">
        <v>5</v>
      </c>
      <c r="Z7" s="194">
        <v>6</v>
      </c>
      <c r="AA7" s="195">
        <v>7</v>
      </c>
      <c r="AB7" s="195">
        <v>8</v>
      </c>
      <c r="AC7" s="194">
        <v>1</v>
      </c>
      <c r="AD7" s="194">
        <v>2</v>
      </c>
      <c r="AE7" s="194">
        <v>3</v>
      </c>
      <c r="AF7" s="194">
        <v>4</v>
      </c>
      <c r="AG7" s="194">
        <v>5</v>
      </c>
      <c r="AH7" s="194">
        <v>6</v>
      </c>
      <c r="AI7" s="195">
        <v>7</v>
      </c>
      <c r="AJ7" s="195">
        <v>8</v>
      </c>
      <c r="AK7" s="194">
        <v>1</v>
      </c>
      <c r="AL7" s="194">
        <v>2</v>
      </c>
      <c r="AM7" s="194">
        <v>3</v>
      </c>
      <c r="AN7" s="194">
        <v>4</v>
      </c>
      <c r="AO7" s="194">
        <v>5</v>
      </c>
      <c r="AP7" s="194">
        <v>6</v>
      </c>
      <c r="AQ7" s="195">
        <v>7</v>
      </c>
      <c r="AR7" s="195">
        <v>8</v>
      </c>
      <c r="AT7" s="194" t="str">
        <f>'1.연간시수표'!AT7:AT8</f>
        <v>국어</v>
      </c>
      <c r="AU7" s="195" t="str">
        <f>'1.연간시수표'!AU7:AU8</f>
        <v>사회</v>
      </c>
      <c r="AV7" s="195" t="str">
        <f>'1.연간시수표'!AV7:AV8</f>
        <v>도덕</v>
      </c>
      <c r="AW7" s="195" t="str">
        <f>'1.연간시수표'!AW7:AW8</f>
        <v>수학</v>
      </c>
      <c r="AX7" s="195" t="str">
        <f>'1.연간시수표'!AX7:AX8</f>
        <v>과학</v>
      </c>
      <c r="AY7" s="195" t="str">
        <f>'1.연간시수표'!AY7:AY8</f>
        <v>실과</v>
      </c>
      <c r="AZ7" s="195" t="str">
        <f>'1.연간시수표'!AZ7:AZ8</f>
        <v>체육</v>
      </c>
      <c r="BA7" s="195" t="str">
        <f>'1.연간시수표'!BA7:BA8</f>
        <v>음악</v>
      </c>
      <c r="BB7" s="195" t="str">
        <f>'1.연간시수표'!BB7:BB8</f>
        <v>미술</v>
      </c>
      <c r="BC7" s="195" t="str">
        <f>'1.연간시수표'!BC7:BC8</f>
        <v>영어</v>
      </c>
      <c r="BD7" s="221" t="str">
        <f>'1.연간시수표'!BD7:BD8</f>
        <v>교과</v>
      </c>
      <c r="BE7" s="211"/>
      <c r="BF7" s="204" t="str">
        <f>'1.연간시수표'!BF7</f>
        <v>자치</v>
      </c>
      <c r="BG7" s="204" t="str">
        <f>'1.연간시수표'!BG7</f>
        <v>적응</v>
      </c>
      <c r="BH7" s="204" t="str">
        <f>'1.연간시수표'!BH7</f>
        <v>행사</v>
      </c>
      <c r="BI7" s="204" t="str">
        <f>'1.연간시수표'!BI7</f>
        <v>창주</v>
      </c>
      <c r="BJ7" s="204" t="str">
        <f>'1.연간시수표'!BJ7</f>
        <v>범교</v>
      </c>
      <c r="BK7" s="204" t="str">
        <f>'1.연간시수표'!BK7</f>
        <v>선택3</v>
      </c>
      <c r="BL7" s="204" t="str">
        <f>'1.연간시수표'!BL7</f>
        <v>선택4</v>
      </c>
      <c r="BM7" s="204" t="str">
        <f>'1.연간시수표'!BM7</f>
        <v>선택5</v>
      </c>
      <c r="BN7" s="218" t="s">
        <v>28</v>
      </c>
      <c r="BO7" s="188" t="str">
        <f>'1.연간시수표'!BO7:BO8</f>
        <v>동아리</v>
      </c>
      <c r="BP7" s="188" t="str">
        <f>'1.연간시수표'!BP7:BP8</f>
        <v>봉사</v>
      </c>
      <c r="BQ7" s="188" t="str">
        <f>'1.연간시수표'!BQ7:BQ8</f>
        <v>진로</v>
      </c>
      <c r="BR7" s="188">
        <f>'1.연간시수표'!BR7:BR8</f>
        <v>0</v>
      </c>
      <c r="BS7" s="216"/>
      <c r="BU7" s="142" t="s">
        <v>72</v>
      </c>
    </row>
    <row r="8" spans="2:74">
      <c r="B8" s="194"/>
      <c r="C8" s="194"/>
      <c r="D8" s="194"/>
      <c r="E8" s="194"/>
      <c r="F8" s="194"/>
      <c r="G8" s="194"/>
      <c r="H8" s="194"/>
      <c r="I8" s="194"/>
      <c r="J8" s="194"/>
      <c r="K8" s="202"/>
      <c r="L8" s="202"/>
      <c r="M8" s="194"/>
      <c r="N8" s="194"/>
      <c r="O8" s="194"/>
      <c r="P8" s="194"/>
      <c r="Q8" s="194"/>
      <c r="R8" s="194"/>
      <c r="S8" s="202"/>
      <c r="T8" s="202"/>
      <c r="U8" s="194"/>
      <c r="V8" s="194"/>
      <c r="W8" s="194"/>
      <c r="X8" s="194"/>
      <c r="Y8" s="194"/>
      <c r="Z8" s="194"/>
      <c r="AA8" s="202"/>
      <c r="AB8" s="202"/>
      <c r="AC8" s="194"/>
      <c r="AD8" s="194"/>
      <c r="AE8" s="194"/>
      <c r="AF8" s="194"/>
      <c r="AG8" s="194"/>
      <c r="AH8" s="194"/>
      <c r="AI8" s="202"/>
      <c r="AJ8" s="202"/>
      <c r="AK8" s="194"/>
      <c r="AL8" s="194"/>
      <c r="AM8" s="194"/>
      <c r="AN8" s="194"/>
      <c r="AO8" s="194"/>
      <c r="AP8" s="194"/>
      <c r="AQ8" s="202"/>
      <c r="AR8" s="202"/>
      <c r="AT8" s="194"/>
      <c r="AU8" s="203"/>
      <c r="AV8" s="203"/>
      <c r="AW8" s="203"/>
      <c r="AX8" s="203"/>
      <c r="AY8" s="203"/>
      <c r="AZ8" s="203"/>
      <c r="BA8" s="203"/>
      <c r="BB8" s="203"/>
      <c r="BC8" s="203"/>
      <c r="BD8" s="222"/>
      <c r="BE8" s="211"/>
      <c r="BF8" s="205"/>
      <c r="BG8" s="205"/>
      <c r="BH8" s="205"/>
      <c r="BI8" s="205"/>
      <c r="BJ8" s="205"/>
      <c r="BK8" s="205"/>
      <c r="BL8" s="205"/>
      <c r="BM8" s="205"/>
      <c r="BN8" s="219"/>
      <c r="BO8" s="189"/>
      <c r="BP8" s="189"/>
      <c r="BQ8" s="189"/>
      <c r="BR8" s="189"/>
      <c r="BS8" s="216"/>
      <c r="BU8" s="142" t="s">
        <v>90</v>
      </c>
    </row>
    <row r="9" spans="2:74">
      <c r="B9" s="194"/>
      <c r="C9" s="194"/>
      <c r="D9" s="5" t="s">
        <v>11</v>
      </c>
      <c r="E9" s="195"/>
      <c r="F9" s="195"/>
      <c r="G9" s="195"/>
      <c r="H9" s="195"/>
      <c r="I9" s="195"/>
      <c r="J9" s="195"/>
      <c r="K9" s="203"/>
      <c r="L9" s="203"/>
      <c r="M9" s="195"/>
      <c r="N9" s="195"/>
      <c r="O9" s="195"/>
      <c r="P9" s="195"/>
      <c r="Q9" s="195"/>
      <c r="R9" s="195"/>
      <c r="S9" s="203"/>
      <c r="T9" s="203"/>
      <c r="U9" s="195"/>
      <c r="V9" s="195"/>
      <c r="W9" s="195"/>
      <c r="X9" s="195"/>
      <c r="Y9" s="195"/>
      <c r="Z9" s="195"/>
      <c r="AA9" s="203"/>
      <c r="AB9" s="203"/>
      <c r="AC9" s="195"/>
      <c r="AD9" s="195"/>
      <c r="AE9" s="195"/>
      <c r="AF9" s="195"/>
      <c r="AG9" s="195"/>
      <c r="AH9" s="195"/>
      <c r="AI9" s="203"/>
      <c r="AJ9" s="203"/>
      <c r="AK9" s="195"/>
      <c r="AL9" s="195"/>
      <c r="AM9" s="195"/>
      <c r="AN9" s="195"/>
      <c r="AO9" s="195"/>
      <c r="AP9" s="195"/>
      <c r="AQ9" s="203"/>
      <c r="AR9" s="203"/>
      <c r="AT9" s="146" t="str">
        <f>'1.연간시수표'!AT9</f>
        <v>*(국)</v>
      </c>
      <c r="AU9" s="146" t="str">
        <f>'1.연간시수표'!AU9</f>
        <v>*(사)</v>
      </c>
      <c r="AV9" s="146" t="str">
        <f>'1.연간시수표'!AV9</f>
        <v>*(도)</v>
      </c>
      <c r="AW9" s="146" t="str">
        <f>'1.연간시수표'!AW9</f>
        <v>*(수)</v>
      </c>
      <c r="AX9" s="146" t="str">
        <f>'1.연간시수표'!AX9</f>
        <v>*(과)</v>
      </c>
      <c r="AY9" s="146" t="str">
        <f>'1.연간시수표'!AY9</f>
        <v>*(실)</v>
      </c>
      <c r="AZ9" s="146" t="str">
        <f>'1.연간시수표'!AZ9</f>
        <v>*(체)</v>
      </c>
      <c r="BA9" s="146" t="str">
        <f>'1.연간시수표'!BA9</f>
        <v>*(음)</v>
      </c>
      <c r="BB9" s="146" t="str">
        <f>'1.연간시수표'!BB9</f>
        <v>*(미)</v>
      </c>
      <c r="BC9" s="146" t="str">
        <f>'1.연간시수표'!BC9</f>
        <v>*(영)</v>
      </c>
      <c r="BD9" s="157" t="str">
        <f>'1.연간시수표'!BD9</f>
        <v>*(교)</v>
      </c>
      <c r="BE9" s="211"/>
      <c r="BF9" s="158" t="str">
        <f>'1.연간시수표'!BF9</f>
        <v>*(자)</v>
      </c>
      <c r="BG9" s="158" t="str">
        <f>'1.연간시수표'!BG9</f>
        <v>*(적)</v>
      </c>
      <c r="BH9" s="158" t="str">
        <f>'1.연간시수표'!BH9</f>
        <v>*(행)</v>
      </c>
      <c r="BI9" s="158" t="str">
        <f>'1.연간시수표'!BI9</f>
        <v>*(주)</v>
      </c>
      <c r="BJ9" s="158" t="str">
        <f>'1.연간시수표'!BJ9</f>
        <v>*(범)</v>
      </c>
      <c r="BK9" s="158" t="str">
        <f>'1.연간시수표'!BK9</f>
        <v>*(선3)</v>
      </c>
      <c r="BL9" s="158" t="str">
        <f>'1.연간시수표'!BL9</f>
        <v>*(선4)</v>
      </c>
      <c r="BM9" s="158" t="str">
        <f>'1.연간시수표'!BM9</f>
        <v>*(선5)</v>
      </c>
      <c r="BN9" s="220"/>
      <c r="BO9" s="158" t="str">
        <f>'1.연간시수표'!BO9</f>
        <v>*(동)</v>
      </c>
      <c r="BP9" s="158" t="str">
        <f>'1.연간시수표'!BP9</f>
        <v>*(봉)</v>
      </c>
      <c r="BQ9" s="158" t="str">
        <f>'1.연간시수표'!BQ9</f>
        <v>*(진)</v>
      </c>
      <c r="BR9" s="158">
        <f>'1.연간시수표'!BR9</f>
        <v>0</v>
      </c>
      <c r="BS9" s="217"/>
    </row>
    <row r="10" spans="2:74">
      <c r="B10" s="6"/>
      <c r="C10" s="5">
        <f>'1.연간시수표'!C10</f>
        <v>1</v>
      </c>
      <c r="D10" s="3"/>
      <c r="E10" s="148" t="str">
        <f>IF(OR(COUNTIF('1.연간시수표'!E10,$AT$9),COUNTIF('1.연간시수표'!E10,$AT$7)),$AT$6,IF(OR(COUNTIF('1.연간시수표'!E10,$AU$9),COUNTIF('1.연간시수표'!E10,$AU$7)),$AU$6,IF(OR(COUNTIF('1.연간시수표'!E10,$AV$9),COUNTIF('1.연간시수표'!E10,$AV$7)),$AV$6,IF(OR(COUNTIF('1.연간시수표'!E10,$AW$9),COUNTIF('1.연간시수표'!E10,$AW$7)),$AW$6,IF(OR(COUNTIF('1.연간시수표'!E10,$AX$9),COUNTIF('1.연간시수표'!E10,$AX$7)),$AX$6,IF(OR(COUNTIF('1.연간시수표'!E10,$AY$9),COUNTIF('1.연간시수표'!E10,$AY$7)),$AY$6,IF(OR(COUNTIF('1.연간시수표'!E10,$AZ$9),COUNTIF('1.연간시수표'!E10,$AZ$7)),$AZ$6,IF(OR(COUNTIF('1.연간시수표'!E10,$BA$9),COUNTIF('1.연간시수표'!E10,$BA$7)),$BA$6,IF(OR(COUNTIF('1.연간시수표'!E10,$BB$9),COUNTIF('1.연간시수표'!E10,$BB$7)),$BB$6,IF(OR(COUNTIF('1.연간시수표'!E10,$BC$9),COUNTIF('1.연간시수표'!E10,$BC$7)),$BC$6,IF(OR(COUNTIF('1.연간시수표'!E10,$BF$9),COUNTIF('1.연간시수표'!E10,$BF$7),COUNTIF('1.연간시수표'!E10,$BG$9),COUNTIF('1.연간시수표'!E10,$BG$7),COUNTIF('1.연간시수표'!E10,$BH$9),COUNTIF('1.연간시수표'!E10,$BH$7),COUNTIF('1.연간시수표'!E10,$BI$9),COUNTIF('1.연간시수표'!E10,$BI$7),COUNTIF('1.연간시수표'!E10,$BJ$9),COUNTIF('1.연간시수표'!E10,$BJ$7),COUNTIF('1.연간시수표'!E10,$BK$9),COUNTIF('1.연간시수표'!E10,$BK$7),COUNTIF('1.연간시수표'!E10,$BL$9),COUNTIF('1.연간시수표'!E10,$BL$7),COUNTIF('1.연간시수표'!E10,$BM$9),COUNTIF('1.연간시수표'!E10,$BM$7)),$BF$6,IF(OR(COUNTIF('1.연간시수표'!E10,$BO$9),COUNTIF('1.연간시수표'!E10,$BO$7)),$BO$6,IF(OR(COUNTIF('1.연간시수표'!E10,$BP$9),COUNTIF('1.연간시수표'!E10,$BP$7)),$BP$6,IF(OR(COUNTIF('1.연간시수표'!E10,$BQ$9),COUNTIF('1.연간시수표'!E10,$BQ$7)),$BQ$6,IF(OR(COUNTIF('1.연간시수표'!E10,$BR$9),COUNTIF('1.연간시수표'!E10,$BR$7)),$BR$6,"_")))))))))))))))</f>
        <v>_</v>
      </c>
      <c r="F10" s="148" t="str">
        <f>IF(OR(COUNTIF('1.연간시수표'!F10,$AT$9),COUNTIF('1.연간시수표'!F10,$AT$7)),$AT$6,IF(OR(COUNTIF('1.연간시수표'!F10,$AU$9),COUNTIF('1.연간시수표'!F10,$AU$7)),$AU$6,IF(OR(COUNTIF('1.연간시수표'!F10,$AV$9),COUNTIF('1.연간시수표'!F10,$AV$7)),$AV$6,IF(OR(COUNTIF('1.연간시수표'!F10,$AW$9),COUNTIF('1.연간시수표'!F10,$AW$7)),$AW$6,IF(OR(COUNTIF('1.연간시수표'!F10,$AX$9),COUNTIF('1.연간시수표'!F10,$AX$7)),$AX$6,IF(OR(COUNTIF('1.연간시수표'!F10,$AY$9),COUNTIF('1.연간시수표'!F10,$AY$7)),$AY$6,IF(OR(COUNTIF('1.연간시수표'!F10,$AZ$9),COUNTIF('1.연간시수표'!F10,$AZ$7)),$AZ$6,IF(OR(COUNTIF('1.연간시수표'!F10,$BA$9),COUNTIF('1.연간시수표'!F10,$BA$7)),$BA$6,IF(OR(COUNTIF('1.연간시수표'!F10,$BB$9),COUNTIF('1.연간시수표'!F10,$BB$7)),$BB$6,IF(OR(COUNTIF('1.연간시수표'!F10,$BC$9),COUNTIF('1.연간시수표'!F10,$BC$7)),$BC$6,IF(OR(COUNTIF('1.연간시수표'!F10,$BF$9),COUNTIF('1.연간시수표'!F10,$BF$7),COUNTIF('1.연간시수표'!F10,$BG$9),COUNTIF('1.연간시수표'!F10,$BG$7),COUNTIF('1.연간시수표'!F10,$BH$9),COUNTIF('1.연간시수표'!F10,$BH$7),COUNTIF('1.연간시수표'!F10,$BI$9),COUNTIF('1.연간시수표'!F10,$BI$7),COUNTIF('1.연간시수표'!F10,$BJ$9),COUNTIF('1.연간시수표'!F10,$BJ$7),COUNTIF('1.연간시수표'!F10,$BK$9),COUNTIF('1.연간시수표'!F10,$BK$7),COUNTIF('1.연간시수표'!F10,$BL$9),COUNTIF('1.연간시수표'!F10,$BL$7),COUNTIF('1.연간시수표'!F10,$BM$9),COUNTIF('1.연간시수표'!F10,$BM$7)),$BF$6,IF(OR(COUNTIF('1.연간시수표'!F10,$BO$9),COUNTIF('1.연간시수표'!F10,$BO$7)),$BO$6,IF(OR(COUNTIF('1.연간시수표'!F10,$BP$9),COUNTIF('1.연간시수표'!F10,$BP$7)),$BP$6,IF(OR(COUNTIF('1.연간시수표'!F10,$BQ$9),COUNTIF('1.연간시수표'!F10,$BQ$7)),$BQ$6,IF(OR(COUNTIF('1.연간시수표'!F10,$BR$9),COUNTIF('1.연간시수표'!F10,$BR$7)),$BR$6,"_")))))))))))))))</f>
        <v>_</v>
      </c>
      <c r="G10" s="148" t="str">
        <f>IF(OR(COUNTIF('1.연간시수표'!G10,$AT$9),COUNTIF('1.연간시수표'!G10,$AT$7)),$AT$6,IF(OR(COUNTIF('1.연간시수표'!G10,$AU$9),COUNTIF('1.연간시수표'!G10,$AU$7)),$AU$6,IF(OR(COUNTIF('1.연간시수표'!G10,$AV$9),COUNTIF('1.연간시수표'!G10,$AV$7)),$AV$6,IF(OR(COUNTIF('1.연간시수표'!G10,$AW$9),COUNTIF('1.연간시수표'!G10,$AW$7)),$AW$6,IF(OR(COUNTIF('1.연간시수표'!G10,$AX$9),COUNTIF('1.연간시수표'!G10,$AX$7)),$AX$6,IF(OR(COUNTIF('1.연간시수표'!G10,$AY$9),COUNTIF('1.연간시수표'!G10,$AY$7)),$AY$6,IF(OR(COUNTIF('1.연간시수표'!G10,$AZ$9),COUNTIF('1.연간시수표'!G10,$AZ$7)),$AZ$6,IF(OR(COUNTIF('1.연간시수표'!G10,$BA$9),COUNTIF('1.연간시수표'!G10,$BA$7)),$BA$6,IF(OR(COUNTIF('1.연간시수표'!G10,$BB$9),COUNTIF('1.연간시수표'!G10,$BB$7)),$BB$6,IF(OR(COUNTIF('1.연간시수표'!G10,$BC$9),COUNTIF('1.연간시수표'!G10,$BC$7)),$BC$6,IF(OR(COUNTIF('1.연간시수표'!G10,$BF$9),COUNTIF('1.연간시수표'!G10,$BF$7),COUNTIF('1.연간시수표'!G10,$BG$9),COUNTIF('1.연간시수표'!G10,$BG$7),COUNTIF('1.연간시수표'!G10,$BH$9),COUNTIF('1.연간시수표'!G10,$BH$7),COUNTIF('1.연간시수표'!G10,$BI$9),COUNTIF('1.연간시수표'!G10,$BI$7),COUNTIF('1.연간시수표'!G10,$BJ$9),COUNTIF('1.연간시수표'!G10,$BJ$7),COUNTIF('1.연간시수표'!G10,$BK$9),COUNTIF('1.연간시수표'!G10,$BK$7),COUNTIF('1.연간시수표'!G10,$BL$9),COUNTIF('1.연간시수표'!G10,$BL$7),COUNTIF('1.연간시수표'!G10,$BM$9),COUNTIF('1.연간시수표'!G10,$BM$7)),$BF$6,IF(OR(COUNTIF('1.연간시수표'!G10,$BO$9),COUNTIF('1.연간시수표'!G10,$BO$7)),$BO$6,IF(OR(COUNTIF('1.연간시수표'!G10,$BP$9),COUNTIF('1.연간시수표'!G10,$BP$7)),$BP$6,IF(OR(COUNTIF('1.연간시수표'!G10,$BQ$9),COUNTIF('1.연간시수표'!G10,$BQ$7)),$BQ$6,IF(OR(COUNTIF('1.연간시수표'!G10,$BR$9),COUNTIF('1.연간시수표'!G10,$BR$7)),$BR$6,"_")))))))))))))))</f>
        <v>_</v>
      </c>
      <c r="H10" s="148" t="str">
        <f>IF(OR(COUNTIF('1.연간시수표'!H10,$AT$9),COUNTIF('1.연간시수표'!H10,$AT$7)),$AT$6,IF(OR(COUNTIF('1.연간시수표'!H10,$AU$9),COUNTIF('1.연간시수표'!H10,$AU$7)),$AU$6,IF(OR(COUNTIF('1.연간시수표'!H10,$AV$9),COUNTIF('1.연간시수표'!H10,$AV$7)),$AV$6,IF(OR(COUNTIF('1.연간시수표'!H10,$AW$9),COUNTIF('1.연간시수표'!H10,$AW$7)),$AW$6,IF(OR(COUNTIF('1.연간시수표'!H10,$AX$9),COUNTIF('1.연간시수표'!H10,$AX$7)),$AX$6,IF(OR(COUNTIF('1.연간시수표'!H10,$AY$9),COUNTIF('1.연간시수표'!H10,$AY$7)),$AY$6,IF(OR(COUNTIF('1.연간시수표'!H10,$AZ$9),COUNTIF('1.연간시수표'!H10,$AZ$7)),$AZ$6,IF(OR(COUNTIF('1.연간시수표'!H10,$BA$9),COUNTIF('1.연간시수표'!H10,$BA$7)),$BA$6,IF(OR(COUNTIF('1.연간시수표'!H10,$BB$9),COUNTIF('1.연간시수표'!H10,$BB$7)),$BB$6,IF(OR(COUNTIF('1.연간시수표'!H10,$BC$9),COUNTIF('1.연간시수표'!H10,$BC$7)),$BC$6,IF(OR(COUNTIF('1.연간시수표'!H10,$BF$9),COUNTIF('1.연간시수표'!H10,$BF$7),COUNTIF('1.연간시수표'!H10,$BG$9),COUNTIF('1.연간시수표'!H10,$BG$7),COUNTIF('1.연간시수표'!H10,$BH$9),COUNTIF('1.연간시수표'!H10,$BH$7),COUNTIF('1.연간시수표'!H10,$BI$9),COUNTIF('1.연간시수표'!H10,$BI$7),COUNTIF('1.연간시수표'!H10,$BJ$9),COUNTIF('1.연간시수표'!H10,$BJ$7),COUNTIF('1.연간시수표'!H10,$BK$9),COUNTIF('1.연간시수표'!H10,$BK$7),COUNTIF('1.연간시수표'!H10,$BL$9),COUNTIF('1.연간시수표'!H10,$BL$7),COUNTIF('1.연간시수표'!H10,$BM$9),COUNTIF('1.연간시수표'!H10,$BM$7)),$BF$6,IF(OR(COUNTIF('1.연간시수표'!H10,$BO$9),COUNTIF('1.연간시수표'!H10,$BO$7)),$BO$6,IF(OR(COUNTIF('1.연간시수표'!H10,$BP$9),COUNTIF('1.연간시수표'!H10,$BP$7)),$BP$6,IF(OR(COUNTIF('1.연간시수표'!H10,$BQ$9),COUNTIF('1.연간시수표'!H10,$BQ$7)),$BQ$6,IF(OR(COUNTIF('1.연간시수표'!H10,$BR$9),COUNTIF('1.연간시수표'!H10,$BR$7)),$BR$6,"_")))))))))))))))</f>
        <v>_</v>
      </c>
      <c r="I10" s="148" t="str">
        <f>IF(OR(COUNTIF('1.연간시수표'!I10,$AT$9),COUNTIF('1.연간시수표'!I10,$AT$7)),$AT$6,IF(OR(COUNTIF('1.연간시수표'!I10,$AU$9),COUNTIF('1.연간시수표'!I10,$AU$7)),$AU$6,IF(OR(COUNTIF('1.연간시수표'!I10,$AV$9),COUNTIF('1.연간시수표'!I10,$AV$7)),$AV$6,IF(OR(COUNTIF('1.연간시수표'!I10,$AW$9),COUNTIF('1.연간시수표'!I10,$AW$7)),$AW$6,IF(OR(COUNTIF('1.연간시수표'!I10,$AX$9),COUNTIF('1.연간시수표'!I10,$AX$7)),$AX$6,IF(OR(COUNTIF('1.연간시수표'!I10,$AY$9),COUNTIF('1.연간시수표'!I10,$AY$7)),$AY$6,IF(OR(COUNTIF('1.연간시수표'!I10,$AZ$9),COUNTIF('1.연간시수표'!I10,$AZ$7)),$AZ$6,IF(OR(COUNTIF('1.연간시수표'!I10,$BA$9),COUNTIF('1.연간시수표'!I10,$BA$7)),$BA$6,IF(OR(COUNTIF('1.연간시수표'!I10,$BB$9),COUNTIF('1.연간시수표'!I10,$BB$7)),$BB$6,IF(OR(COUNTIF('1.연간시수표'!I10,$BC$9),COUNTIF('1.연간시수표'!I10,$BC$7)),$BC$6,IF(OR(COUNTIF('1.연간시수표'!I10,$BF$9),COUNTIF('1.연간시수표'!I10,$BF$7),COUNTIF('1.연간시수표'!I10,$BG$9),COUNTIF('1.연간시수표'!I10,$BG$7),COUNTIF('1.연간시수표'!I10,$BH$9),COUNTIF('1.연간시수표'!I10,$BH$7),COUNTIF('1.연간시수표'!I10,$BI$9),COUNTIF('1.연간시수표'!I10,$BI$7),COUNTIF('1.연간시수표'!I10,$BJ$9),COUNTIF('1.연간시수표'!I10,$BJ$7),COUNTIF('1.연간시수표'!I10,$BK$9),COUNTIF('1.연간시수표'!I10,$BK$7),COUNTIF('1.연간시수표'!I10,$BL$9),COUNTIF('1.연간시수표'!I10,$BL$7),COUNTIF('1.연간시수표'!I10,$BM$9),COUNTIF('1.연간시수표'!I10,$BM$7)),$BF$6,IF(OR(COUNTIF('1.연간시수표'!I10,$BO$9),COUNTIF('1.연간시수표'!I10,$BO$7)),$BO$6,IF(OR(COUNTIF('1.연간시수표'!I10,$BP$9),COUNTIF('1.연간시수표'!I10,$BP$7)),$BP$6,IF(OR(COUNTIF('1.연간시수표'!I10,$BQ$9),COUNTIF('1.연간시수표'!I10,$BQ$7)),$BQ$6,IF(OR(COUNTIF('1.연간시수표'!I10,$BR$9),COUNTIF('1.연간시수표'!I10,$BR$7)),$BR$6,"_")))))))))))))))</f>
        <v>_</v>
      </c>
      <c r="J10" s="148" t="str">
        <f>IF(OR(COUNTIF('1.연간시수표'!J10,$AT$9),COUNTIF('1.연간시수표'!J10,$AT$7)),$AT$6,IF(OR(COUNTIF('1.연간시수표'!J10,$AU$9),COUNTIF('1.연간시수표'!J10,$AU$7)),$AU$6,IF(OR(COUNTIF('1.연간시수표'!J10,$AV$9),COUNTIF('1.연간시수표'!J10,$AV$7)),$AV$6,IF(OR(COUNTIF('1.연간시수표'!J10,$AW$9),COUNTIF('1.연간시수표'!J10,$AW$7)),$AW$6,IF(OR(COUNTIF('1.연간시수표'!J10,$AX$9),COUNTIF('1.연간시수표'!J10,$AX$7)),$AX$6,IF(OR(COUNTIF('1.연간시수표'!J10,$AY$9),COUNTIF('1.연간시수표'!J10,$AY$7)),$AY$6,IF(OR(COUNTIF('1.연간시수표'!J10,$AZ$9),COUNTIF('1.연간시수표'!J10,$AZ$7)),$AZ$6,IF(OR(COUNTIF('1.연간시수표'!J10,$BA$9),COUNTIF('1.연간시수표'!J10,$BA$7)),$BA$6,IF(OR(COUNTIF('1.연간시수표'!J10,$BB$9),COUNTIF('1.연간시수표'!J10,$BB$7)),$BB$6,IF(OR(COUNTIF('1.연간시수표'!J10,$BC$9),COUNTIF('1.연간시수표'!J10,$BC$7)),$BC$6,IF(OR(COUNTIF('1.연간시수표'!J10,$BF$9),COUNTIF('1.연간시수표'!J10,$BF$7),COUNTIF('1.연간시수표'!J10,$BG$9),COUNTIF('1.연간시수표'!J10,$BG$7),COUNTIF('1.연간시수표'!J10,$BH$9),COUNTIF('1.연간시수표'!J10,$BH$7),COUNTIF('1.연간시수표'!J10,$BI$9),COUNTIF('1.연간시수표'!J10,$BI$7),COUNTIF('1.연간시수표'!J10,$BJ$9),COUNTIF('1.연간시수표'!J10,$BJ$7),COUNTIF('1.연간시수표'!J10,$BK$9),COUNTIF('1.연간시수표'!J10,$BK$7),COUNTIF('1.연간시수표'!J10,$BL$9),COUNTIF('1.연간시수표'!J10,$BL$7),COUNTIF('1.연간시수표'!J10,$BM$9),COUNTIF('1.연간시수표'!J10,$BM$7)),$BF$6,IF(OR(COUNTIF('1.연간시수표'!J10,$BO$9),COUNTIF('1.연간시수표'!J10,$BO$7)),$BO$6,IF(OR(COUNTIF('1.연간시수표'!J10,$BP$9),COUNTIF('1.연간시수표'!J10,$BP$7)),$BP$6,IF(OR(COUNTIF('1.연간시수표'!J10,$BQ$9),COUNTIF('1.연간시수표'!J10,$BQ$7)),$BQ$6,IF(OR(COUNTIF('1.연간시수표'!J10,$BR$9),COUNTIF('1.연간시수표'!J10,$BR$7)),$BR$6,"_")))))))))))))))</f>
        <v>_</v>
      </c>
      <c r="K10" s="148" t="str">
        <f>IF(OR(COUNTIF('1.연간시수표'!K10,$AT$9),COUNTIF('1.연간시수표'!K10,$AT$7)),$AT$6,IF(OR(COUNTIF('1.연간시수표'!K10,$AU$9),COUNTIF('1.연간시수표'!K10,$AU$7)),$AU$6,IF(OR(COUNTIF('1.연간시수표'!K10,$AV$9),COUNTIF('1.연간시수표'!K10,$AV$7)),$AV$6,IF(OR(COUNTIF('1.연간시수표'!K10,$AW$9),COUNTIF('1.연간시수표'!K10,$AW$7)),$AW$6,IF(OR(COUNTIF('1.연간시수표'!K10,$AX$9),COUNTIF('1.연간시수표'!K10,$AX$7)),$AX$6,IF(OR(COUNTIF('1.연간시수표'!K10,$AY$9),COUNTIF('1.연간시수표'!K10,$AY$7)),$AY$6,IF(OR(COUNTIF('1.연간시수표'!K10,$AZ$9),COUNTIF('1.연간시수표'!K10,$AZ$7)),$AZ$6,IF(OR(COUNTIF('1.연간시수표'!K10,$BA$9),COUNTIF('1.연간시수표'!K10,$BA$7)),$BA$6,IF(OR(COUNTIF('1.연간시수표'!K10,$BB$9),COUNTIF('1.연간시수표'!K10,$BB$7)),$BB$6,IF(OR(COUNTIF('1.연간시수표'!K10,$BC$9),COUNTIF('1.연간시수표'!K10,$BC$7)),$BC$6,IF(OR(COUNTIF('1.연간시수표'!K10,$BF$9),COUNTIF('1.연간시수표'!K10,$BF$7),COUNTIF('1.연간시수표'!K10,$BG$9),COUNTIF('1.연간시수표'!K10,$BG$7),COUNTIF('1.연간시수표'!K10,$BH$9),COUNTIF('1.연간시수표'!K10,$BH$7),COUNTIF('1.연간시수표'!K10,$BI$9),COUNTIF('1.연간시수표'!K10,$BI$7),COUNTIF('1.연간시수표'!K10,$BJ$9),COUNTIF('1.연간시수표'!K10,$BJ$7),COUNTIF('1.연간시수표'!K10,$BK$9),COUNTIF('1.연간시수표'!K10,$BK$7),COUNTIF('1.연간시수표'!K10,$BL$9),COUNTIF('1.연간시수표'!K10,$BL$7),COUNTIF('1.연간시수표'!K10,$BM$9),COUNTIF('1.연간시수표'!K10,$BM$7)),$BF$6,IF(OR(COUNTIF('1.연간시수표'!K10,$BO$9),COUNTIF('1.연간시수표'!K10,$BO$7)),$BO$6,IF(OR(COUNTIF('1.연간시수표'!K10,$BP$9),COUNTIF('1.연간시수표'!K10,$BP$7)),$BP$6,IF(OR(COUNTIF('1.연간시수표'!K10,$BQ$9),COUNTIF('1.연간시수표'!K10,$BQ$7)),$BQ$6,IF(OR(COUNTIF('1.연간시수표'!K10,$BR$9),COUNTIF('1.연간시수표'!K10,$BR$7)),$BR$6,"_")))))))))))))))</f>
        <v>_</v>
      </c>
      <c r="L10" s="148" t="str">
        <f>IF(OR(COUNTIF('1.연간시수표'!L10,$AT$9),COUNTIF('1.연간시수표'!L10,$AT$7)),$AT$6,IF(OR(COUNTIF('1.연간시수표'!L10,$AU$9),COUNTIF('1.연간시수표'!L10,$AU$7)),$AU$6,IF(OR(COUNTIF('1.연간시수표'!L10,$AV$9),COUNTIF('1.연간시수표'!L10,$AV$7)),$AV$6,IF(OR(COUNTIF('1.연간시수표'!L10,$AW$9),COUNTIF('1.연간시수표'!L10,$AW$7)),$AW$6,IF(OR(COUNTIF('1.연간시수표'!L10,$AX$9),COUNTIF('1.연간시수표'!L10,$AX$7)),$AX$6,IF(OR(COUNTIF('1.연간시수표'!L10,$AY$9),COUNTIF('1.연간시수표'!L10,$AY$7)),$AY$6,IF(OR(COUNTIF('1.연간시수표'!L10,$AZ$9),COUNTIF('1.연간시수표'!L10,$AZ$7)),$AZ$6,IF(OR(COUNTIF('1.연간시수표'!L10,$BA$9),COUNTIF('1.연간시수표'!L10,$BA$7)),$BA$6,IF(OR(COUNTIF('1.연간시수표'!L10,$BB$9),COUNTIF('1.연간시수표'!L10,$BB$7)),$BB$6,IF(OR(COUNTIF('1.연간시수표'!L10,$BC$9),COUNTIF('1.연간시수표'!L10,$BC$7)),$BC$6,IF(OR(COUNTIF('1.연간시수표'!L10,$BF$9),COUNTIF('1.연간시수표'!L10,$BF$7),COUNTIF('1.연간시수표'!L10,$BG$9),COUNTIF('1.연간시수표'!L10,$BG$7),COUNTIF('1.연간시수표'!L10,$BH$9),COUNTIF('1.연간시수표'!L10,$BH$7),COUNTIF('1.연간시수표'!L10,$BI$9),COUNTIF('1.연간시수표'!L10,$BI$7),COUNTIF('1.연간시수표'!L10,$BJ$9),COUNTIF('1.연간시수표'!L10,$BJ$7),COUNTIF('1.연간시수표'!L10,$BK$9),COUNTIF('1.연간시수표'!L10,$BK$7),COUNTIF('1.연간시수표'!L10,$BL$9),COUNTIF('1.연간시수표'!L10,$BL$7),COUNTIF('1.연간시수표'!L10,$BM$9),COUNTIF('1.연간시수표'!L10,$BM$7)),$BF$6,IF(OR(COUNTIF('1.연간시수표'!L10,$BO$9),COUNTIF('1.연간시수표'!L10,$BO$7)),$BO$6,IF(OR(COUNTIF('1.연간시수표'!L10,$BP$9),COUNTIF('1.연간시수표'!L10,$BP$7)),$BP$6,IF(OR(COUNTIF('1.연간시수표'!L10,$BQ$9),COUNTIF('1.연간시수표'!L10,$BQ$7)),$BQ$6,IF(OR(COUNTIF('1.연간시수표'!L10,$BR$9),COUNTIF('1.연간시수표'!L10,$BR$7)),$BR$6,"_")))))))))))))))</f>
        <v>_</v>
      </c>
      <c r="M10" s="148" t="str">
        <f>IF(OR(COUNTIF('1.연간시수표'!M10,$AT$9),COUNTIF('1.연간시수표'!M10,$AT$7)),$AT$6,IF(OR(COUNTIF('1.연간시수표'!M10,$AU$9),COUNTIF('1.연간시수표'!M10,$AU$7)),$AU$6,IF(OR(COUNTIF('1.연간시수표'!M10,$AV$9),COUNTIF('1.연간시수표'!M10,$AV$7)),$AV$6,IF(OR(COUNTIF('1.연간시수표'!M10,$AW$9),COUNTIF('1.연간시수표'!M10,$AW$7)),$AW$6,IF(OR(COUNTIF('1.연간시수표'!M10,$AX$9),COUNTIF('1.연간시수표'!M10,$AX$7)),$AX$6,IF(OR(COUNTIF('1.연간시수표'!M10,$AY$9),COUNTIF('1.연간시수표'!M10,$AY$7)),$AY$6,IF(OR(COUNTIF('1.연간시수표'!M10,$AZ$9),COUNTIF('1.연간시수표'!M10,$AZ$7)),$AZ$6,IF(OR(COUNTIF('1.연간시수표'!M10,$BA$9),COUNTIF('1.연간시수표'!M10,$BA$7)),$BA$6,IF(OR(COUNTIF('1.연간시수표'!M10,$BB$9),COUNTIF('1.연간시수표'!M10,$BB$7)),$BB$6,IF(OR(COUNTIF('1.연간시수표'!M10,$BC$9),COUNTIF('1.연간시수표'!M10,$BC$7)),$BC$6,IF(OR(COUNTIF('1.연간시수표'!M10,$BF$9),COUNTIF('1.연간시수표'!M10,$BF$7),COUNTIF('1.연간시수표'!M10,$BG$9),COUNTIF('1.연간시수표'!M10,$BG$7),COUNTIF('1.연간시수표'!M10,$BH$9),COUNTIF('1.연간시수표'!M10,$BH$7),COUNTIF('1.연간시수표'!M10,$BI$9),COUNTIF('1.연간시수표'!M10,$BI$7),COUNTIF('1.연간시수표'!M10,$BJ$9),COUNTIF('1.연간시수표'!M10,$BJ$7),COUNTIF('1.연간시수표'!M10,$BK$9),COUNTIF('1.연간시수표'!M10,$BK$7),COUNTIF('1.연간시수표'!M10,$BL$9),COUNTIF('1.연간시수표'!M10,$BL$7),COUNTIF('1.연간시수표'!M10,$BM$9),COUNTIF('1.연간시수표'!M10,$BM$7)),$BF$6,IF(OR(COUNTIF('1.연간시수표'!M10,$BO$9),COUNTIF('1.연간시수표'!M10,$BO$7)),$BO$6,IF(OR(COUNTIF('1.연간시수표'!M10,$BP$9),COUNTIF('1.연간시수표'!M10,$BP$7)),$BP$6,IF(OR(COUNTIF('1.연간시수표'!M10,$BQ$9),COUNTIF('1.연간시수표'!M10,$BQ$7)),$BQ$6,IF(OR(COUNTIF('1.연간시수표'!M10,$BR$9),COUNTIF('1.연간시수표'!M10,$BR$7)),$BR$6,"_")))))))))))))))</f>
        <v>_</v>
      </c>
      <c r="N10" s="148" t="str">
        <f>IF(OR(COUNTIF('1.연간시수표'!N10,$AT$9),COUNTIF('1.연간시수표'!N10,$AT$7)),$AT$6,IF(OR(COUNTIF('1.연간시수표'!N10,$AU$9),COUNTIF('1.연간시수표'!N10,$AU$7)),$AU$6,IF(OR(COUNTIF('1.연간시수표'!N10,$AV$9),COUNTIF('1.연간시수표'!N10,$AV$7)),$AV$6,IF(OR(COUNTIF('1.연간시수표'!N10,$AW$9),COUNTIF('1.연간시수표'!N10,$AW$7)),$AW$6,IF(OR(COUNTIF('1.연간시수표'!N10,$AX$9),COUNTIF('1.연간시수표'!N10,$AX$7)),$AX$6,IF(OR(COUNTIF('1.연간시수표'!N10,$AY$9),COUNTIF('1.연간시수표'!N10,$AY$7)),$AY$6,IF(OR(COUNTIF('1.연간시수표'!N10,$AZ$9),COUNTIF('1.연간시수표'!N10,$AZ$7)),$AZ$6,IF(OR(COUNTIF('1.연간시수표'!N10,$BA$9),COUNTIF('1.연간시수표'!N10,$BA$7)),$BA$6,IF(OR(COUNTIF('1.연간시수표'!N10,$BB$9),COUNTIF('1.연간시수표'!N10,$BB$7)),$BB$6,IF(OR(COUNTIF('1.연간시수표'!N10,$BC$9),COUNTIF('1.연간시수표'!N10,$BC$7)),$BC$6,IF(OR(COUNTIF('1.연간시수표'!N10,$BF$9),COUNTIF('1.연간시수표'!N10,$BF$7),COUNTIF('1.연간시수표'!N10,$BG$9),COUNTIF('1.연간시수표'!N10,$BG$7),COUNTIF('1.연간시수표'!N10,$BH$9),COUNTIF('1.연간시수표'!N10,$BH$7),COUNTIF('1.연간시수표'!N10,$BI$9),COUNTIF('1.연간시수표'!N10,$BI$7),COUNTIF('1.연간시수표'!N10,$BJ$9),COUNTIF('1.연간시수표'!N10,$BJ$7),COUNTIF('1.연간시수표'!N10,$BK$9),COUNTIF('1.연간시수표'!N10,$BK$7),COUNTIF('1.연간시수표'!N10,$BL$9),COUNTIF('1.연간시수표'!N10,$BL$7),COUNTIF('1.연간시수표'!N10,$BM$9),COUNTIF('1.연간시수표'!N10,$BM$7)),$BF$6,IF(OR(COUNTIF('1.연간시수표'!N10,$BO$9),COUNTIF('1.연간시수표'!N10,$BO$7)),$BO$6,IF(OR(COUNTIF('1.연간시수표'!N10,$BP$9),COUNTIF('1.연간시수표'!N10,$BP$7)),$BP$6,IF(OR(COUNTIF('1.연간시수표'!N10,$BQ$9),COUNTIF('1.연간시수표'!N10,$BQ$7)),$BQ$6,IF(OR(COUNTIF('1.연간시수표'!N10,$BR$9),COUNTIF('1.연간시수표'!N10,$BR$7)),$BR$6,"_")))))))))))))))</f>
        <v>_</v>
      </c>
      <c r="O10" s="148" t="str">
        <f>IF(OR(COUNTIF('1.연간시수표'!O10,$AT$9),COUNTIF('1.연간시수표'!O10,$AT$7)),$AT$6,IF(OR(COUNTIF('1.연간시수표'!O10,$AU$9),COUNTIF('1.연간시수표'!O10,$AU$7)),$AU$6,IF(OR(COUNTIF('1.연간시수표'!O10,$AV$9),COUNTIF('1.연간시수표'!O10,$AV$7)),$AV$6,IF(OR(COUNTIF('1.연간시수표'!O10,$AW$9),COUNTIF('1.연간시수표'!O10,$AW$7)),$AW$6,IF(OR(COUNTIF('1.연간시수표'!O10,$AX$9),COUNTIF('1.연간시수표'!O10,$AX$7)),$AX$6,IF(OR(COUNTIF('1.연간시수표'!O10,$AY$9),COUNTIF('1.연간시수표'!O10,$AY$7)),$AY$6,IF(OR(COUNTIF('1.연간시수표'!O10,$AZ$9),COUNTIF('1.연간시수표'!O10,$AZ$7)),$AZ$6,IF(OR(COUNTIF('1.연간시수표'!O10,$BA$9),COUNTIF('1.연간시수표'!O10,$BA$7)),$BA$6,IF(OR(COUNTIF('1.연간시수표'!O10,$BB$9),COUNTIF('1.연간시수표'!O10,$BB$7)),$BB$6,IF(OR(COUNTIF('1.연간시수표'!O10,$BC$9),COUNTIF('1.연간시수표'!O10,$BC$7)),$BC$6,IF(OR(COUNTIF('1.연간시수표'!O10,$BF$9),COUNTIF('1.연간시수표'!O10,$BF$7),COUNTIF('1.연간시수표'!O10,$BG$9),COUNTIF('1.연간시수표'!O10,$BG$7),COUNTIF('1.연간시수표'!O10,$BH$9),COUNTIF('1.연간시수표'!O10,$BH$7),COUNTIF('1.연간시수표'!O10,$BI$9),COUNTIF('1.연간시수표'!O10,$BI$7),COUNTIF('1.연간시수표'!O10,$BJ$9),COUNTIF('1.연간시수표'!O10,$BJ$7),COUNTIF('1.연간시수표'!O10,$BK$9),COUNTIF('1.연간시수표'!O10,$BK$7),COUNTIF('1.연간시수표'!O10,$BL$9),COUNTIF('1.연간시수표'!O10,$BL$7),COUNTIF('1.연간시수표'!O10,$BM$9),COUNTIF('1.연간시수표'!O10,$BM$7)),$BF$6,IF(OR(COUNTIF('1.연간시수표'!O10,$BO$9),COUNTIF('1.연간시수표'!O10,$BO$7)),$BO$6,IF(OR(COUNTIF('1.연간시수표'!O10,$BP$9),COUNTIF('1.연간시수표'!O10,$BP$7)),$BP$6,IF(OR(COUNTIF('1.연간시수표'!O10,$BQ$9),COUNTIF('1.연간시수표'!O10,$BQ$7)),$BQ$6,IF(OR(COUNTIF('1.연간시수표'!O10,$BR$9),COUNTIF('1.연간시수표'!O10,$BR$7)),$BR$6,"_")))))))))))))))</f>
        <v>_</v>
      </c>
      <c r="P10" s="148" t="str">
        <f>IF(OR(COUNTIF('1.연간시수표'!P10,$AT$9),COUNTIF('1.연간시수표'!P10,$AT$7)),$AT$6,IF(OR(COUNTIF('1.연간시수표'!P10,$AU$9),COUNTIF('1.연간시수표'!P10,$AU$7)),$AU$6,IF(OR(COUNTIF('1.연간시수표'!P10,$AV$9),COUNTIF('1.연간시수표'!P10,$AV$7)),$AV$6,IF(OR(COUNTIF('1.연간시수표'!P10,$AW$9),COUNTIF('1.연간시수표'!P10,$AW$7)),$AW$6,IF(OR(COUNTIF('1.연간시수표'!P10,$AX$9),COUNTIF('1.연간시수표'!P10,$AX$7)),$AX$6,IF(OR(COUNTIF('1.연간시수표'!P10,$AY$9),COUNTIF('1.연간시수표'!P10,$AY$7)),$AY$6,IF(OR(COUNTIF('1.연간시수표'!P10,$AZ$9),COUNTIF('1.연간시수표'!P10,$AZ$7)),$AZ$6,IF(OR(COUNTIF('1.연간시수표'!P10,$BA$9),COUNTIF('1.연간시수표'!P10,$BA$7)),$BA$6,IF(OR(COUNTIF('1.연간시수표'!P10,$BB$9),COUNTIF('1.연간시수표'!P10,$BB$7)),$BB$6,IF(OR(COUNTIF('1.연간시수표'!P10,$BC$9),COUNTIF('1.연간시수표'!P10,$BC$7)),$BC$6,IF(OR(COUNTIF('1.연간시수표'!P10,$BF$9),COUNTIF('1.연간시수표'!P10,$BF$7),COUNTIF('1.연간시수표'!P10,$BG$9),COUNTIF('1.연간시수표'!P10,$BG$7),COUNTIF('1.연간시수표'!P10,$BH$9),COUNTIF('1.연간시수표'!P10,$BH$7),COUNTIF('1.연간시수표'!P10,$BI$9),COUNTIF('1.연간시수표'!P10,$BI$7),COUNTIF('1.연간시수표'!P10,$BJ$9),COUNTIF('1.연간시수표'!P10,$BJ$7),COUNTIF('1.연간시수표'!P10,$BK$9),COUNTIF('1.연간시수표'!P10,$BK$7),COUNTIF('1.연간시수표'!P10,$BL$9),COUNTIF('1.연간시수표'!P10,$BL$7),COUNTIF('1.연간시수표'!P10,$BM$9),COUNTIF('1.연간시수표'!P10,$BM$7)),$BF$6,IF(OR(COUNTIF('1.연간시수표'!P10,$BO$9),COUNTIF('1.연간시수표'!P10,$BO$7)),$BO$6,IF(OR(COUNTIF('1.연간시수표'!P10,$BP$9),COUNTIF('1.연간시수표'!P10,$BP$7)),$BP$6,IF(OR(COUNTIF('1.연간시수표'!P10,$BQ$9),COUNTIF('1.연간시수표'!P10,$BQ$7)),$BQ$6,IF(OR(COUNTIF('1.연간시수표'!P10,$BR$9),COUNTIF('1.연간시수표'!P10,$BR$7)),$BR$6,"_")))))))))))))))</f>
        <v>_</v>
      </c>
      <c r="Q10" s="148" t="str">
        <f>IF(OR(COUNTIF('1.연간시수표'!Q10,$AT$9),COUNTIF('1.연간시수표'!Q10,$AT$7)),$AT$6,IF(OR(COUNTIF('1.연간시수표'!Q10,$AU$9),COUNTIF('1.연간시수표'!Q10,$AU$7)),$AU$6,IF(OR(COUNTIF('1.연간시수표'!Q10,$AV$9),COUNTIF('1.연간시수표'!Q10,$AV$7)),$AV$6,IF(OR(COUNTIF('1.연간시수표'!Q10,$AW$9),COUNTIF('1.연간시수표'!Q10,$AW$7)),$AW$6,IF(OR(COUNTIF('1.연간시수표'!Q10,$AX$9),COUNTIF('1.연간시수표'!Q10,$AX$7)),$AX$6,IF(OR(COUNTIF('1.연간시수표'!Q10,$AY$9),COUNTIF('1.연간시수표'!Q10,$AY$7)),$AY$6,IF(OR(COUNTIF('1.연간시수표'!Q10,$AZ$9),COUNTIF('1.연간시수표'!Q10,$AZ$7)),$AZ$6,IF(OR(COUNTIF('1.연간시수표'!Q10,$BA$9),COUNTIF('1.연간시수표'!Q10,$BA$7)),$BA$6,IF(OR(COUNTIF('1.연간시수표'!Q10,$BB$9),COUNTIF('1.연간시수표'!Q10,$BB$7)),$BB$6,IF(OR(COUNTIF('1.연간시수표'!Q10,$BC$9),COUNTIF('1.연간시수표'!Q10,$BC$7)),$BC$6,IF(OR(COUNTIF('1.연간시수표'!Q10,$BF$9),COUNTIF('1.연간시수표'!Q10,$BF$7),COUNTIF('1.연간시수표'!Q10,$BG$9),COUNTIF('1.연간시수표'!Q10,$BG$7),COUNTIF('1.연간시수표'!Q10,$BH$9),COUNTIF('1.연간시수표'!Q10,$BH$7),COUNTIF('1.연간시수표'!Q10,$BI$9),COUNTIF('1.연간시수표'!Q10,$BI$7),COUNTIF('1.연간시수표'!Q10,$BJ$9),COUNTIF('1.연간시수표'!Q10,$BJ$7),COUNTIF('1.연간시수표'!Q10,$BK$9),COUNTIF('1.연간시수표'!Q10,$BK$7),COUNTIF('1.연간시수표'!Q10,$BL$9),COUNTIF('1.연간시수표'!Q10,$BL$7),COUNTIF('1.연간시수표'!Q10,$BM$9),COUNTIF('1.연간시수표'!Q10,$BM$7)),$BF$6,IF(OR(COUNTIF('1.연간시수표'!Q10,$BO$9),COUNTIF('1.연간시수표'!Q10,$BO$7)),$BO$6,IF(OR(COUNTIF('1.연간시수표'!Q10,$BP$9),COUNTIF('1.연간시수표'!Q10,$BP$7)),$BP$6,IF(OR(COUNTIF('1.연간시수표'!Q10,$BQ$9),COUNTIF('1.연간시수표'!Q10,$BQ$7)),$BQ$6,IF(OR(COUNTIF('1.연간시수표'!Q10,$BR$9),COUNTIF('1.연간시수표'!Q10,$BR$7)),$BR$6,"_")))))))))))))))</f>
        <v>_</v>
      </c>
      <c r="R10" s="148" t="str">
        <f>IF(OR(COUNTIF('1.연간시수표'!R10,$AT$9),COUNTIF('1.연간시수표'!R10,$AT$7)),$AT$6,IF(OR(COUNTIF('1.연간시수표'!R10,$AU$9),COUNTIF('1.연간시수표'!R10,$AU$7)),$AU$6,IF(OR(COUNTIF('1.연간시수표'!R10,$AV$9),COUNTIF('1.연간시수표'!R10,$AV$7)),$AV$6,IF(OR(COUNTIF('1.연간시수표'!R10,$AW$9),COUNTIF('1.연간시수표'!R10,$AW$7)),$AW$6,IF(OR(COUNTIF('1.연간시수표'!R10,$AX$9),COUNTIF('1.연간시수표'!R10,$AX$7)),$AX$6,IF(OR(COUNTIF('1.연간시수표'!R10,$AY$9),COUNTIF('1.연간시수표'!R10,$AY$7)),$AY$6,IF(OR(COUNTIF('1.연간시수표'!R10,$AZ$9),COUNTIF('1.연간시수표'!R10,$AZ$7)),$AZ$6,IF(OR(COUNTIF('1.연간시수표'!R10,$BA$9),COUNTIF('1.연간시수표'!R10,$BA$7)),$BA$6,IF(OR(COUNTIF('1.연간시수표'!R10,$BB$9),COUNTIF('1.연간시수표'!R10,$BB$7)),$BB$6,IF(OR(COUNTIF('1.연간시수표'!R10,$BC$9),COUNTIF('1.연간시수표'!R10,$BC$7)),$BC$6,IF(OR(COUNTIF('1.연간시수표'!R10,$BF$9),COUNTIF('1.연간시수표'!R10,$BF$7),COUNTIF('1.연간시수표'!R10,$BG$9),COUNTIF('1.연간시수표'!R10,$BG$7),COUNTIF('1.연간시수표'!R10,$BH$9),COUNTIF('1.연간시수표'!R10,$BH$7),COUNTIF('1.연간시수표'!R10,$BI$9),COUNTIF('1.연간시수표'!R10,$BI$7),COUNTIF('1.연간시수표'!R10,$BJ$9),COUNTIF('1.연간시수표'!R10,$BJ$7),COUNTIF('1.연간시수표'!R10,$BK$9),COUNTIF('1.연간시수표'!R10,$BK$7),COUNTIF('1.연간시수표'!R10,$BL$9),COUNTIF('1.연간시수표'!R10,$BL$7),COUNTIF('1.연간시수표'!R10,$BM$9),COUNTIF('1.연간시수표'!R10,$BM$7)),$BF$6,IF(OR(COUNTIF('1.연간시수표'!R10,$BO$9),COUNTIF('1.연간시수표'!R10,$BO$7)),$BO$6,IF(OR(COUNTIF('1.연간시수표'!R10,$BP$9),COUNTIF('1.연간시수표'!R10,$BP$7)),$BP$6,IF(OR(COUNTIF('1.연간시수표'!R10,$BQ$9),COUNTIF('1.연간시수표'!R10,$BQ$7)),$BQ$6,IF(OR(COUNTIF('1.연간시수표'!R10,$BR$9),COUNTIF('1.연간시수표'!R10,$BR$7)),$BR$6,"_")))))))))))))))</f>
        <v>_</v>
      </c>
      <c r="S10" s="148" t="str">
        <f>IF(OR(COUNTIF('1.연간시수표'!S10,$AT$9),COUNTIF('1.연간시수표'!S10,$AT$7)),$AT$6,IF(OR(COUNTIF('1.연간시수표'!S10,$AU$9),COUNTIF('1.연간시수표'!S10,$AU$7)),$AU$6,IF(OR(COUNTIF('1.연간시수표'!S10,$AV$9),COUNTIF('1.연간시수표'!S10,$AV$7)),$AV$6,IF(OR(COUNTIF('1.연간시수표'!S10,$AW$9),COUNTIF('1.연간시수표'!S10,$AW$7)),$AW$6,IF(OR(COUNTIF('1.연간시수표'!S10,$AX$9),COUNTIF('1.연간시수표'!S10,$AX$7)),$AX$6,IF(OR(COUNTIF('1.연간시수표'!S10,$AY$9),COUNTIF('1.연간시수표'!S10,$AY$7)),$AY$6,IF(OR(COUNTIF('1.연간시수표'!S10,$AZ$9),COUNTIF('1.연간시수표'!S10,$AZ$7)),$AZ$6,IF(OR(COUNTIF('1.연간시수표'!S10,$BA$9),COUNTIF('1.연간시수표'!S10,$BA$7)),$BA$6,IF(OR(COUNTIF('1.연간시수표'!S10,$BB$9),COUNTIF('1.연간시수표'!S10,$BB$7)),$BB$6,IF(OR(COUNTIF('1.연간시수표'!S10,$BC$9),COUNTIF('1.연간시수표'!S10,$BC$7)),$BC$6,IF(OR(COUNTIF('1.연간시수표'!S10,$BF$9),COUNTIF('1.연간시수표'!S10,$BF$7),COUNTIF('1.연간시수표'!S10,$BG$9),COUNTIF('1.연간시수표'!S10,$BG$7),COUNTIF('1.연간시수표'!S10,$BH$9),COUNTIF('1.연간시수표'!S10,$BH$7),COUNTIF('1.연간시수표'!S10,$BI$9),COUNTIF('1.연간시수표'!S10,$BI$7),COUNTIF('1.연간시수표'!S10,$BJ$9),COUNTIF('1.연간시수표'!S10,$BJ$7),COUNTIF('1.연간시수표'!S10,$BK$9),COUNTIF('1.연간시수표'!S10,$BK$7),COUNTIF('1.연간시수표'!S10,$BL$9),COUNTIF('1.연간시수표'!S10,$BL$7),COUNTIF('1.연간시수표'!S10,$BM$9),COUNTIF('1.연간시수표'!S10,$BM$7)),$BF$6,IF(OR(COUNTIF('1.연간시수표'!S10,$BO$9),COUNTIF('1.연간시수표'!S10,$BO$7)),$BO$6,IF(OR(COUNTIF('1.연간시수표'!S10,$BP$9),COUNTIF('1.연간시수표'!S10,$BP$7)),$BP$6,IF(OR(COUNTIF('1.연간시수표'!S10,$BQ$9),COUNTIF('1.연간시수표'!S10,$BQ$7)),$BQ$6,IF(OR(COUNTIF('1.연간시수표'!S10,$BR$9),COUNTIF('1.연간시수표'!S10,$BR$7)),$BR$6,"_")))))))))))))))</f>
        <v>_</v>
      </c>
      <c r="T10" s="148" t="str">
        <f>IF(OR(COUNTIF('1.연간시수표'!T10,$AT$9),COUNTIF('1.연간시수표'!T10,$AT$7)),$AT$6,IF(OR(COUNTIF('1.연간시수표'!T10,$AU$9),COUNTIF('1.연간시수표'!T10,$AU$7)),$AU$6,IF(OR(COUNTIF('1.연간시수표'!T10,$AV$9),COUNTIF('1.연간시수표'!T10,$AV$7)),$AV$6,IF(OR(COUNTIF('1.연간시수표'!T10,$AW$9),COUNTIF('1.연간시수표'!T10,$AW$7)),$AW$6,IF(OR(COUNTIF('1.연간시수표'!T10,$AX$9),COUNTIF('1.연간시수표'!T10,$AX$7)),$AX$6,IF(OR(COUNTIF('1.연간시수표'!T10,$AY$9),COUNTIF('1.연간시수표'!T10,$AY$7)),$AY$6,IF(OR(COUNTIF('1.연간시수표'!T10,$AZ$9),COUNTIF('1.연간시수표'!T10,$AZ$7)),$AZ$6,IF(OR(COUNTIF('1.연간시수표'!T10,$BA$9),COUNTIF('1.연간시수표'!T10,$BA$7)),$BA$6,IF(OR(COUNTIF('1.연간시수표'!T10,$BB$9),COUNTIF('1.연간시수표'!T10,$BB$7)),$BB$6,IF(OR(COUNTIF('1.연간시수표'!T10,$BC$9),COUNTIF('1.연간시수표'!T10,$BC$7)),$BC$6,IF(OR(COUNTIF('1.연간시수표'!T10,$BF$9),COUNTIF('1.연간시수표'!T10,$BF$7),COUNTIF('1.연간시수표'!T10,$BG$9),COUNTIF('1.연간시수표'!T10,$BG$7),COUNTIF('1.연간시수표'!T10,$BH$9),COUNTIF('1.연간시수표'!T10,$BH$7),COUNTIF('1.연간시수표'!T10,$BI$9),COUNTIF('1.연간시수표'!T10,$BI$7),COUNTIF('1.연간시수표'!T10,$BJ$9),COUNTIF('1.연간시수표'!T10,$BJ$7),COUNTIF('1.연간시수표'!T10,$BK$9),COUNTIF('1.연간시수표'!T10,$BK$7),COUNTIF('1.연간시수표'!T10,$BL$9),COUNTIF('1.연간시수표'!T10,$BL$7),COUNTIF('1.연간시수표'!T10,$BM$9),COUNTIF('1.연간시수표'!T10,$BM$7)),$BF$6,IF(OR(COUNTIF('1.연간시수표'!T10,$BO$9),COUNTIF('1.연간시수표'!T10,$BO$7)),$BO$6,IF(OR(COUNTIF('1.연간시수표'!T10,$BP$9),COUNTIF('1.연간시수표'!T10,$BP$7)),$BP$6,IF(OR(COUNTIF('1.연간시수표'!T10,$BQ$9),COUNTIF('1.연간시수표'!T10,$BQ$7)),$BQ$6,IF(OR(COUNTIF('1.연간시수표'!T10,$BR$9),COUNTIF('1.연간시수표'!T10,$BR$7)),$BR$6,"_")))))))))))))))</f>
        <v>_</v>
      </c>
      <c r="U10" s="148" t="str">
        <f>IF(OR(COUNTIF('1.연간시수표'!U10,$AT$9),COUNTIF('1.연간시수표'!U10,$AT$7)),$AT$6,IF(OR(COUNTIF('1.연간시수표'!U10,$AU$9),COUNTIF('1.연간시수표'!U10,$AU$7)),$AU$6,IF(OR(COUNTIF('1.연간시수표'!U10,$AV$9),COUNTIF('1.연간시수표'!U10,$AV$7)),$AV$6,IF(OR(COUNTIF('1.연간시수표'!U10,$AW$9),COUNTIF('1.연간시수표'!U10,$AW$7)),$AW$6,IF(OR(COUNTIF('1.연간시수표'!U10,$AX$9),COUNTIF('1.연간시수표'!U10,$AX$7)),$AX$6,IF(OR(COUNTIF('1.연간시수표'!U10,$AY$9),COUNTIF('1.연간시수표'!U10,$AY$7)),$AY$6,IF(OR(COUNTIF('1.연간시수표'!U10,$AZ$9),COUNTIF('1.연간시수표'!U10,$AZ$7)),$AZ$6,IF(OR(COUNTIF('1.연간시수표'!U10,$BA$9),COUNTIF('1.연간시수표'!U10,$BA$7)),$BA$6,IF(OR(COUNTIF('1.연간시수표'!U10,$BB$9),COUNTIF('1.연간시수표'!U10,$BB$7)),$BB$6,IF(OR(COUNTIF('1.연간시수표'!U10,$BC$9),COUNTIF('1.연간시수표'!U10,$BC$7)),$BC$6,IF(OR(COUNTIF('1.연간시수표'!U10,$BF$9),COUNTIF('1.연간시수표'!U10,$BF$7),COUNTIF('1.연간시수표'!U10,$BG$9),COUNTIF('1.연간시수표'!U10,$BG$7),COUNTIF('1.연간시수표'!U10,$BH$9),COUNTIF('1.연간시수표'!U10,$BH$7),COUNTIF('1.연간시수표'!U10,$BI$9),COUNTIF('1.연간시수표'!U10,$BI$7),COUNTIF('1.연간시수표'!U10,$BJ$9),COUNTIF('1.연간시수표'!U10,$BJ$7),COUNTIF('1.연간시수표'!U10,$BK$9),COUNTIF('1.연간시수표'!U10,$BK$7),COUNTIF('1.연간시수표'!U10,$BL$9),COUNTIF('1.연간시수표'!U10,$BL$7),COUNTIF('1.연간시수표'!U10,$BM$9),COUNTIF('1.연간시수표'!U10,$BM$7)),$BF$6,IF(OR(COUNTIF('1.연간시수표'!U10,$BO$9),COUNTIF('1.연간시수표'!U10,$BO$7)),$BO$6,IF(OR(COUNTIF('1.연간시수표'!U10,$BP$9),COUNTIF('1.연간시수표'!U10,$BP$7)),$BP$6,IF(OR(COUNTIF('1.연간시수표'!U10,$BQ$9),COUNTIF('1.연간시수표'!U10,$BQ$7)),$BQ$6,IF(OR(COUNTIF('1.연간시수표'!U10,$BR$9),COUNTIF('1.연간시수표'!U10,$BR$7)),$BR$6,"_")))))))))))))))</f>
        <v>자율활동</v>
      </c>
      <c r="V10" s="148" t="str">
        <f>IF(OR(COUNTIF('1.연간시수표'!V10,$AT$9),COUNTIF('1.연간시수표'!V10,$AT$7)),$AT$6,IF(OR(COUNTIF('1.연간시수표'!V10,$AU$9),COUNTIF('1.연간시수표'!V10,$AU$7)),$AU$6,IF(OR(COUNTIF('1.연간시수표'!V10,$AV$9),COUNTIF('1.연간시수표'!V10,$AV$7)),$AV$6,IF(OR(COUNTIF('1.연간시수표'!V10,$AW$9),COUNTIF('1.연간시수표'!V10,$AW$7)),$AW$6,IF(OR(COUNTIF('1.연간시수표'!V10,$AX$9),COUNTIF('1.연간시수표'!V10,$AX$7)),$AX$6,IF(OR(COUNTIF('1.연간시수표'!V10,$AY$9),COUNTIF('1.연간시수표'!V10,$AY$7)),$AY$6,IF(OR(COUNTIF('1.연간시수표'!V10,$AZ$9),COUNTIF('1.연간시수표'!V10,$AZ$7)),$AZ$6,IF(OR(COUNTIF('1.연간시수표'!V10,$BA$9),COUNTIF('1.연간시수표'!V10,$BA$7)),$BA$6,IF(OR(COUNTIF('1.연간시수표'!V10,$BB$9),COUNTIF('1.연간시수표'!V10,$BB$7)),$BB$6,IF(OR(COUNTIF('1.연간시수표'!V10,$BC$9),COUNTIF('1.연간시수표'!V10,$BC$7)),$BC$6,IF(OR(COUNTIF('1.연간시수표'!V10,$BF$9),COUNTIF('1.연간시수표'!V10,$BF$7),COUNTIF('1.연간시수표'!V10,$BG$9),COUNTIF('1.연간시수표'!V10,$BG$7),COUNTIF('1.연간시수표'!V10,$BH$9),COUNTIF('1.연간시수표'!V10,$BH$7),COUNTIF('1.연간시수표'!V10,$BI$9),COUNTIF('1.연간시수표'!V10,$BI$7),COUNTIF('1.연간시수표'!V10,$BJ$9),COUNTIF('1.연간시수표'!V10,$BJ$7),COUNTIF('1.연간시수표'!V10,$BK$9),COUNTIF('1.연간시수표'!V10,$BK$7),COUNTIF('1.연간시수표'!V10,$BL$9),COUNTIF('1.연간시수표'!V10,$BL$7),COUNTIF('1.연간시수표'!V10,$BM$9),COUNTIF('1.연간시수표'!V10,$BM$7)),$BF$6,IF(OR(COUNTIF('1.연간시수표'!V10,$BO$9),COUNTIF('1.연간시수표'!V10,$BO$7)),$BO$6,IF(OR(COUNTIF('1.연간시수표'!V10,$BP$9),COUNTIF('1.연간시수표'!V10,$BP$7)),$BP$6,IF(OR(COUNTIF('1.연간시수표'!V10,$BQ$9),COUNTIF('1.연간시수표'!V10,$BQ$7)),$BQ$6,IF(OR(COUNTIF('1.연간시수표'!V10,$BR$9),COUNTIF('1.연간시수표'!V10,$BR$7)),$BR$6,"_")))))))))))))))</f>
        <v>자율활동</v>
      </c>
      <c r="W10" s="148" t="str">
        <f>IF(OR(COUNTIF('1.연간시수표'!W10,$AT$9),COUNTIF('1.연간시수표'!W10,$AT$7)),$AT$6,IF(OR(COUNTIF('1.연간시수표'!W10,$AU$9),COUNTIF('1.연간시수표'!W10,$AU$7)),$AU$6,IF(OR(COUNTIF('1.연간시수표'!W10,$AV$9),COUNTIF('1.연간시수표'!W10,$AV$7)),$AV$6,IF(OR(COUNTIF('1.연간시수표'!W10,$AW$9),COUNTIF('1.연간시수표'!W10,$AW$7)),$AW$6,IF(OR(COUNTIF('1.연간시수표'!W10,$AX$9),COUNTIF('1.연간시수표'!W10,$AX$7)),$AX$6,IF(OR(COUNTIF('1.연간시수표'!W10,$AY$9),COUNTIF('1.연간시수표'!W10,$AY$7)),$AY$6,IF(OR(COUNTIF('1.연간시수표'!W10,$AZ$9),COUNTIF('1.연간시수표'!W10,$AZ$7)),$AZ$6,IF(OR(COUNTIF('1.연간시수표'!W10,$BA$9),COUNTIF('1.연간시수표'!W10,$BA$7)),$BA$6,IF(OR(COUNTIF('1.연간시수표'!W10,$BB$9),COUNTIF('1.연간시수표'!W10,$BB$7)),$BB$6,IF(OR(COUNTIF('1.연간시수표'!W10,$BC$9),COUNTIF('1.연간시수표'!W10,$BC$7)),$BC$6,IF(OR(COUNTIF('1.연간시수표'!W10,$BF$9),COUNTIF('1.연간시수표'!W10,$BF$7),COUNTIF('1.연간시수표'!W10,$BG$9),COUNTIF('1.연간시수표'!W10,$BG$7),COUNTIF('1.연간시수표'!W10,$BH$9),COUNTIF('1.연간시수표'!W10,$BH$7),COUNTIF('1.연간시수표'!W10,$BI$9),COUNTIF('1.연간시수표'!W10,$BI$7),COUNTIF('1.연간시수표'!W10,$BJ$9),COUNTIF('1.연간시수표'!W10,$BJ$7),COUNTIF('1.연간시수표'!W10,$BK$9),COUNTIF('1.연간시수표'!W10,$BK$7),COUNTIF('1.연간시수표'!W10,$BL$9),COUNTIF('1.연간시수표'!W10,$BL$7),COUNTIF('1.연간시수표'!W10,$BM$9),COUNTIF('1.연간시수표'!W10,$BM$7)),$BF$6,IF(OR(COUNTIF('1.연간시수표'!W10,$BO$9),COUNTIF('1.연간시수표'!W10,$BO$7)),$BO$6,IF(OR(COUNTIF('1.연간시수표'!W10,$BP$9),COUNTIF('1.연간시수표'!W10,$BP$7)),$BP$6,IF(OR(COUNTIF('1.연간시수표'!W10,$BQ$9),COUNTIF('1.연간시수표'!W10,$BQ$7)),$BQ$6,IF(OR(COUNTIF('1.연간시수표'!W10,$BR$9),COUNTIF('1.연간시수표'!W10,$BR$7)),$BR$6,"_")))))))))))))))</f>
        <v>자율활동</v>
      </c>
      <c r="X10" s="148" t="str">
        <f>IF(OR(COUNTIF('1.연간시수표'!X10,$AT$9),COUNTIF('1.연간시수표'!X10,$AT$7)),$AT$6,IF(OR(COUNTIF('1.연간시수표'!X10,$AU$9),COUNTIF('1.연간시수표'!X10,$AU$7)),$AU$6,IF(OR(COUNTIF('1.연간시수표'!X10,$AV$9),COUNTIF('1.연간시수표'!X10,$AV$7)),$AV$6,IF(OR(COUNTIF('1.연간시수표'!X10,$AW$9),COUNTIF('1.연간시수표'!X10,$AW$7)),$AW$6,IF(OR(COUNTIF('1.연간시수표'!X10,$AX$9),COUNTIF('1.연간시수표'!X10,$AX$7)),$AX$6,IF(OR(COUNTIF('1.연간시수표'!X10,$AY$9),COUNTIF('1.연간시수표'!X10,$AY$7)),$AY$6,IF(OR(COUNTIF('1.연간시수표'!X10,$AZ$9),COUNTIF('1.연간시수표'!X10,$AZ$7)),$AZ$6,IF(OR(COUNTIF('1.연간시수표'!X10,$BA$9),COUNTIF('1.연간시수표'!X10,$BA$7)),$BA$6,IF(OR(COUNTIF('1.연간시수표'!X10,$BB$9),COUNTIF('1.연간시수표'!X10,$BB$7)),$BB$6,IF(OR(COUNTIF('1.연간시수표'!X10,$BC$9),COUNTIF('1.연간시수표'!X10,$BC$7)),$BC$6,IF(OR(COUNTIF('1.연간시수표'!X10,$BF$9),COUNTIF('1.연간시수표'!X10,$BF$7),COUNTIF('1.연간시수표'!X10,$BG$9),COUNTIF('1.연간시수표'!X10,$BG$7),COUNTIF('1.연간시수표'!X10,$BH$9),COUNTIF('1.연간시수표'!X10,$BH$7),COUNTIF('1.연간시수표'!X10,$BI$9),COUNTIF('1.연간시수표'!X10,$BI$7),COUNTIF('1.연간시수표'!X10,$BJ$9),COUNTIF('1.연간시수표'!X10,$BJ$7),COUNTIF('1.연간시수표'!X10,$BK$9),COUNTIF('1.연간시수표'!X10,$BK$7),COUNTIF('1.연간시수표'!X10,$BL$9),COUNTIF('1.연간시수표'!X10,$BL$7),COUNTIF('1.연간시수표'!X10,$BM$9),COUNTIF('1.연간시수표'!X10,$BM$7)),$BF$6,IF(OR(COUNTIF('1.연간시수표'!X10,$BO$9),COUNTIF('1.연간시수표'!X10,$BO$7)),$BO$6,IF(OR(COUNTIF('1.연간시수표'!X10,$BP$9),COUNTIF('1.연간시수표'!X10,$BP$7)),$BP$6,IF(OR(COUNTIF('1.연간시수표'!X10,$BQ$9),COUNTIF('1.연간시수표'!X10,$BQ$7)),$BQ$6,IF(OR(COUNTIF('1.연간시수표'!X10,$BR$9),COUNTIF('1.연간시수표'!X10,$BR$7)),$BR$6,"_")))))))))))))))</f>
        <v>도덕</v>
      </c>
      <c r="Y10" s="148" t="str">
        <f>IF(OR(COUNTIF('1.연간시수표'!Y10,$AT$9),COUNTIF('1.연간시수표'!Y10,$AT$7)),$AT$6,IF(OR(COUNTIF('1.연간시수표'!Y10,$AU$9),COUNTIF('1.연간시수표'!Y10,$AU$7)),$AU$6,IF(OR(COUNTIF('1.연간시수표'!Y10,$AV$9),COUNTIF('1.연간시수표'!Y10,$AV$7)),$AV$6,IF(OR(COUNTIF('1.연간시수표'!Y10,$AW$9),COUNTIF('1.연간시수표'!Y10,$AW$7)),$AW$6,IF(OR(COUNTIF('1.연간시수표'!Y10,$AX$9),COUNTIF('1.연간시수표'!Y10,$AX$7)),$AX$6,IF(OR(COUNTIF('1.연간시수표'!Y10,$AY$9),COUNTIF('1.연간시수표'!Y10,$AY$7)),$AY$6,IF(OR(COUNTIF('1.연간시수표'!Y10,$AZ$9),COUNTIF('1.연간시수표'!Y10,$AZ$7)),$AZ$6,IF(OR(COUNTIF('1.연간시수표'!Y10,$BA$9),COUNTIF('1.연간시수표'!Y10,$BA$7)),$BA$6,IF(OR(COUNTIF('1.연간시수표'!Y10,$BB$9),COUNTIF('1.연간시수표'!Y10,$BB$7)),$BB$6,IF(OR(COUNTIF('1.연간시수표'!Y10,$BC$9),COUNTIF('1.연간시수표'!Y10,$BC$7)),$BC$6,IF(OR(COUNTIF('1.연간시수표'!Y10,$BF$9),COUNTIF('1.연간시수표'!Y10,$BF$7),COUNTIF('1.연간시수표'!Y10,$BG$9),COUNTIF('1.연간시수표'!Y10,$BG$7),COUNTIF('1.연간시수표'!Y10,$BH$9),COUNTIF('1.연간시수표'!Y10,$BH$7),COUNTIF('1.연간시수표'!Y10,$BI$9),COUNTIF('1.연간시수표'!Y10,$BI$7),COUNTIF('1.연간시수표'!Y10,$BJ$9),COUNTIF('1.연간시수표'!Y10,$BJ$7),COUNTIF('1.연간시수표'!Y10,$BK$9),COUNTIF('1.연간시수표'!Y10,$BK$7),COUNTIF('1.연간시수표'!Y10,$BL$9),COUNTIF('1.연간시수표'!Y10,$BL$7),COUNTIF('1.연간시수표'!Y10,$BM$9),COUNTIF('1.연간시수표'!Y10,$BM$7)),$BF$6,IF(OR(COUNTIF('1.연간시수표'!Y10,$BO$9),COUNTIF('1.연간시수표'!Y10,$BO$7)),$BO$6,IF(OR(COUNTIF('1.연간시수표'!Y10,$BP$9),COUNTIF('1.연간시수표'!Y10,$BP$7)),$BP$6,IF(OR(COUNTIF('1.연간시수표'!Y10,$BQ$9),COUNTIF('1.연간시수표'!Y10,$BQ$7)),$BQ$6,IF(OR(COUNTIF('1.연간시수표'!Y10,$BR$9),COUNTIF('1.연간시수표'!Y10,$BR$7)),$BR$6,"_")))))))))))))))</f>
        <v>_</v>
      </c>
      <c r="Z10" s="148" t="str">
        <f>IF(OR(COUNTIF('1.연간시수표'!Z10,$AT$9),COUNTIF('1.연간시수표'!Z10,$AT$7)),$AT$6,IF(OR(COUNTIF('1.연간시수표'!Z10,$AU$9),COUNTIF('1.연간시수표'!Z10,$AU$7)),$AU$6,IF(OR(COUNTIF('1.연간시수표'!Z10,$AV$9),COUNTIF('1.연간시수표'!Z10,$AV$7)),$AV$6,IF(OR(COUNTIF('1.연간시수표'!Z10,$AW$9),COUNTIF('1.연간시수표'!Z10,$AW$7)),$AW$6,IF(OR(COUNTIF('1.연간시수표'!Z10,$AX$9),COUNTIF('1.연간시수표'!Z10,$AX$7)),$AX$6,IF(OR(COUNTIF('1.연간시수표'!Z10,$AY$9),COUNTIF('1.연간시수표'!Z10,$AY$7)),$AY$6,IF(OR(COUNTIF('1.연간시수표'!Z10,$AZ$9),COUNTIF('1.연간시수표'!Z10,$AZ$7)),$AZ$6,IF(OR(COUNTIF('1.연간시수표'!Z10,$BA$9),COUNTIF('1.연간시수표'!Z10,$BA$7)),$BA$6,IF(OR(COUNTIF('1.연간시수표'!Z10,$BB$9),COUNTIF('1.연간시수표'!Z10,$BB$7)),$BB$6,IF(OR(COUNTIF('1.연간시수표'!Z10,$BC$9),COUNTIF('1.연간시수표'!Z10,$BC$7)),$BC$6,IF(OR(COUNTIF('1.연간시수표'!Z10,$BF$9),COUNTIF('1.연간시수표'!Z10,$BF$7),COUNTIF('1.연간시수표'!Z10,$BG$9),COUNTIF('1.연간시수표'!Z10,$BG$7),COUNTIF('1.연간시수표'!Z10,$BH$9),COUNTIF('1.연간시수표'!Z10,$BH$7),COUNTIF('1.연간시수표'!Z10,$BI$9),COUNTIF('1.연간시수표'!Z10,$BI$7),COUNTIF('1.연간시수표'!Z10,$BJ$9),COUNTIF('1.연간시수표'!Z10,$BJ$7),COUNTIF('1.연간시수표'!Z10,$BK$9),COUNTIF('1.연간시수표'!Z10,$BK$7),COUNTIF('1.연간시수표'!Z10,$BL$9),COUNTIF('1.연간시수표'!Z10,$BL$7),COUNTIF('1.연간시수표'!Z10,$BM$9),COUNTIF('1.연간시수표'!Z10,$BM$7)),$BF$6,IF(OR(COUNTIF('1.연간시수표'!Z10,$BO$9),COUNTIF('1.연간시수표'!Z10,$BO$7)),$BO$6,IF(OR(COUNTIF('1.연간시수표'!Z10,$BP$9),COUNTIF('1.연간시수표'!Z10,$BP$7)),$BP$6,IF(OR(COUNTIF('1.연간시수표'!Z10,$BQ$9),COUNTIF('1.연간시수표'!Z10,$BQ$7)),$BQ$6,IF(OR(COUNTIF('1.연간시수표'!Z10,$BR$9),COUNTIF('1.연간시수표'!Z10,$BR$7)),$BR$6,"_")))))))))))))))</f>
        <v>_</v>
      </c>
      <c r="AA10" s="148" t="str">
        <f>IF(OR(COUNTIF('1.연간시수표'!AA10,$AT$9),COUNTIF('1.연간시수표'!AA10,$AT$7)),$AT$6,IF(OR(COUNTIF('1.연간시수표'!AA10,$AU$9),COUNTIF('1.연간시수표'!AA10,$AU$7)),$AU$6,IF(OR(COUNTIF('1.연간시수표'!AA10,$AV$9),COUNTIF('1.연간시수표'!AA10,$AV$7)),$AV$6,IF(OR(COUNTIF('1.연간시수표'!AA10,$AW$9),COUNTIF('1.연간시수표'!AA10,$AW$7)),$AW$6,IF(OR(COUNTIF('1.연간시수표'!AA10,$AX$9),COUNTIF('1.연간시수표'!AA10,$AX$7)),$AX$6,IF(OR(COUNTIF('1.연간시수표'!AA10,$AY$9),COUNTIF('1.연간시수표'!AA10,$AY$7)),$AY$6,IF(OR(COUNTIF('1.연간시수표'!AA10,$AZ$9),COUNTIF('1.연간시수표'!AA10,$AZ$7)),$AZ$6,IF(OR(COUNTIF('1.연간시수표'!AA10,$BA$9),COUNTIF('1.연간시수표'!AA10,$BA$7)),$BA$6,IF(OR(COUNTIF('1.연간시수표'!AA10,$BB$9),COUNTIF('1.연간시수표'!AA10,$BB$7)),$BB$6,IF(OR(COUNTIF('1.연간시수표'!AA10,$BC$9),COUNTIF('1.연간시수표'!AA10,$BC$7)),$BC$6,IF(OR(COUNTIF('1.연간시수표'!AA10,$BF$9),COUNTIF('1.연간시수표'!AA10,$BF$7),COUNTIF('1.연간시수표'!AA10,$BG$9),COUNTIF('1.연간시수표'!AA10,$BG$7),COUNTIF('1.연간시수표'!AA10,$BH$9),COUNTIF('1.연간시수표'!AA10,$BH$7),COUNTIF('1.연간시수표'!AA10,$BI$9),COUNTIF('1.연간시수표'!AA10,$BI$7),COUNTIF('1.연간시수표'!AA10,$BJ$9),COUNTIF('1.연간시수표'!AA10,$BJ$7),COUNTIF('1.연간시수표'!AA10,$BK$9),COUNTIF('1.연간시수표'!AA10,$BK$7),COUNTIF('1.연간시수표'!AA10,$BL$9),COUNTIF('1.연간시수표'!AA10,$BL$7),COUNTIF('1.연간시수표'!AA10,$BM$9),COUNTIF('1.연간시수표'!AA10,$BM$7)),$BF$6,IF(OR(COUNTIF('1.연간시수표'!AA10,$BO$9),COUNTIF('1.연간시수표'!AA10,$BO$7)),$BO$6,IF(OR(COUNTIF('1.연간시수표'!AA10,$BP$9),COUNTIF('1.연간시수표'!AA10,$BP$7)),$BP$6,IF(OR(COUNTIF('1.연간시수표'!AA10,$BQ$9),COUNTIF('1.연간시수표'!AA10,$BQ$7)),$BQ$6,IF(OR(COUNTIF('1.연간시수표'!AA10,$BR$9),COUNTIF('1.연간시수표'!AA10,$BR$7)),$BR$6,"_")))))))))))))))</f>
        <v>_</v>
      </c>
      <c r="AB10" s="148" t="str">
        <f>IF(OR(COUNTIF('1.연간시수표'!AB10,$AT$9),COUNTIF('1.연간시수표'!AB10,$AT$7)),$AT$6,IF(OR(COUNTIF('1.연간시수표'!AB10,$AU$9),COUNTIF('1.연간시수표'!AB10,$AU$7)),$AU$6,IF(OR(COUNTIF('1.연간시수표'!AB10,$AV$9),COUNTIF('1.연간시수표'!AB10,$AV$7)),$AV$6,IF(OR(COUNTIF('1.연간시수표'!AB10,$AW$9),COUNTIF('1.연간시수표'!AB10,$AW$7)),$AW$6,IF(OR(COUNTIF('1.연간시수표'!AB10,$AX$9),COUNTIF('1.연간시수표'!AB10,$AX$7)),$AX$6,IF(OR(COUNTIF('1.연간시수표'!AB10,$AY$9),COUNTIF('1.연간시수표'!AB10,$AY$7)),$AY$6,IF(OR(COUNTIF('1.연간시수표'!AB10,$AZ$9),COUNTIF('1.연간시수표'!AB10,$AZ$7)),$AZ$6,IF(OR(COUNTIF('1.연간시수표'!AB10,$BA$9),COUNTIF('1.연간시수표'!AB10,$BA$7)),$BA$6,IF(OR(COUNTIF('1.연간시수표'!AB10,$BB$9),COUNTIF('1.연간시수표'!AB10,$BB$7)),$BB$6,IF(OR(COUNTIF('1.연간시수표'!AB10,$BC$9),COUNTIF('1.연간시수표'!AB10,$BC$7)),$BC$6,IF(OR(COUNTIF('1.연간시수표'!AB10,$BF$9),COUNTIF('1.연간시수표'!AB10,$BF$7),COUNTIF('1.연간시수표'!AB10,$BG$9),COUNTIF('1.연간시수표'!AB10,$BG$7),COUNTIF('1.연간시수표'!AB10,$BH$9),COUNTIF('1.연간시수표'!AB10,$BH$7),COUNTIF('1.연간시수표'!AB10,$BI$9),COUNTIF('1.연간시수표'!AB10,$BI$7),COUNTIF('1.연간시수표'!AB10,$BJ$9),COUNTIF('1.연간시수표'!AB10,$BJ$7),COUNTIF('1.연간시수표'!AB10,$BK$9),COUNTIF('1.연간시수표'!AB10,$BK$7),COUNTIF('1.연간시수표'!AB10,$BL$9),COUNTIF('1.연간시수표'!AB10,$BL$7),COUNTIF('1.연간시수표'!AB10,$BM$9),COUNTIF('1.연간시수표'!AB10,$BM$7)),$BF$6,IF(OR(COUNTIF('1.연간시수표'!AB10,$BO$9),COUNTIF('1.연간시수표'!AB10,$BO$7)),$BO$6,IF(OR(COUNTIF('1.연간시수표'!AB10,$BP$9),COUNTIF('1.연간시수표'!AB10,$BP$7)),$BP$6,IF(OR(COUNTIF('1.연간시수표'!AB10,$BQ$9),COUNTIF('1.연간시수표'!AB10,$BQ$7)),$BQ$6,IF(OR(COUNTIF('1.연간시수표'!AB10,$BR$9),COUNTIF('1.연간시수표'!AB10,$BR$7)),$BR$6,"_")))))))))))))))</f>
        <v>_</v>
      </c>
      <c r="AC10" s="148" t="str">
        <f>IF(OR(COUNTIF('1.연간시수표'!AC10,$AT$9),COUNTIF('1.연간시수표'!AC10,$AT$7)),$AT$6,IF(OR(COUNTIF('1.연간시수표'!AC10,$AU$9),COUNTIF('1.연간시수표'!AC10,$AU$7)),$AU$6,IF(OR(COUNTIF('1.연간시수표'!AC10,$AV$9),COUNTIF('1.연간시수표'!AC10,$AV$7)),$AV$6,IF(OR(COUNTIF('1.연간시수표'!AC10,$AW$9),COUNTIF('1.연간시수표'!AC10,$AW$7)),$AW$6,IF(OR(COUNTIF('1.연간시수표'!AC10,$AX$9),COUNTIF('1.연간시수표'!AC10,$AX$7)),$AX$6,IF(OR(COUNTIF('1.연간시수표'!AC10,$AY$9),COUNTIF('1.연간시수표'!AC10,$AY$7)),$AY$6,IF(OR(COUNTIF('1.연간시수표'!AC10,$AZ$9),COUNTIF('1.연간시수표'!AC10,$AZ$7)),$AZ$6,IF(OR(COUNTIF('1.연간시수표'!AC10,$BA$9),COUNTIF('1.연간시수표'!AC10,$BA$7)),$BA$6,IF(OR(COUNTIF('1.연간시수표'!AC10,$BB$9),COUNTIF('1.연간시수표'!AC10,$BB$7)),$BB$6,IF(OR(COUNTIF('1.연간시수표'!AC10,$BC$9),COUNTIF('1.연간시수표'!AC10,$BC$7)),$BC$6,IF(OR(COUNTIF('1.연간시수표'!AC10,$BF$9),COUNTIF('1.연간시수표'!AC10,$BF$7),COUNTIF('1.연간시수표'!AC10,$BG$9),COUNTIF('1.연간시수표'!AC10,$BG$7),COUNTIF('1.연간시수표'!AC10,$BH$9),COUNTIF('1.연간시수표'!AC10,$BH$7),COUNTIF('1.연간시수표'!AC10,$BI$9),COUNTIF('1.연간시수표'!AC10,$BI$7),COUNTIF('1.연간시수표'!AC10,$BJ$9),COUNTIF('1.연간시수표'!AC10,$BJ$7),COUNTIF('1.연간시수표'!AC10,$BK$9),COUNTIF('1.연간시수표'!AC10,$BK$7),COUNTIF('1.연간시수표'!AC10,$BL$9),COUNTIF('1.연간시수표'!AC10,$BL$7),COUNTIF('1.연간시수표'!AC10,$BM$9),COUNTIF('1.연간시수표'!AC10,$BM$7)),$BF$6,IF(OR(COUNTIF('1.연간시수표'!AC10,$BO$9),COUNTIF('1.연간시수표'!AC10,$BO$7)),$BO$6,IF(OR(COUNTIF('1.연간시수표'!AC10,$BP$9),COUNTIF('1.연간시수표'!AC10,$BP$7)),$BP$6,IF(OR(COUNTIF('1.연간시수표'!AC10,$BQ$9),COUNTIF('1.연간시수표'!AC10,$BQ$7)),$BQ$6,IF(OR(COUNTIF('1.연간시수표'!AC10,$BR$9),COUNTIF('1.연간시수표'!AC10,$BR$7)),$BR$6,"_")))))))))))))))</f>
        <v>국어</v>
      </c>
      <c r="AD10" s="148" t="str">
        <f>IF(OR(COUNTIF('1.연간시수표'!AD10,$AT$9),COUNTIF('1.연간시수표'!AD10,$AT$7)),$AT$6,IF(OR(COUNTIF('1.연간시수표'!AD10,$AU$9),COUNTIF('1.연간시수표'!AD10,$AU$7)),$AU$6,IF(OR(COUNTIF('1.연간시수표'!AD10,$AV$9),COUNTIF('1.연간시수표'!AD10,$AV$7)),$AV$6,IF(OR(COUNTIF('1.연간시수표'!AD10,$AW$9),COUNTIF('1.연간시수표'!AD10,$AW$7)),$AW$6,IF(OR(COUNTIF('1.연간시수표'!AD10,$AX$9),COUNTIF('1.연간시수표'!AD10,$AX$7)),$AX$6,IF(OR(COUNTIF('1.연간시수표'!AD10,$AY$9),COUNTIF('1.연간시수표'!AD10,$AY$7)),$AY$6,IF(OR(COUNTIF('1.연간시수표'!AD10,$AZ$9),COUNTIF('1.연간시수표'!AD10,$AZ$7)),$AZ$6,IF(OR(COUNTIF('1.연간시수표'!AD10,$BA$9),COUNTIF('1.연간시수표'!AD10,$BA$7)),$BA$6,IF(OR(COUNTIF('1.연간시수표'!AD10,$BB$9),COUNTIF('1.연간시수표'!AD10,$BB$7)),$BB$6,IF(OR(COUNTIF('1.연간시수표'!AD10,$BC$9),COUNTIF('1.연간시수표'!AD10,$BC$7)),$BC$6,IF(OR(COUNTIF('1.연간시수표'!AD10,$BF$9),COUNTIF('1.연간시수표'!AD10,$BF$7),COUNTIF('1.연간시수표'!AD10,$BG$9),COUNTIF('1.연간시수표'!AD10,$BG$7),COUNTIF('1.연간시수표'!AD10,$BH$9),COUNTIF('1.연간시수표'!AD10,$BH$7),COUNTIF('1.연간시수표'!AD10,$BI$9),COUNTIF('1.연간시수표'!AD10,$BI$7),COUNTIF('1.연간시수표'!AD10,$BJ$9),COUNTIF('1.연간시수표'!AD10,$BJ$7),COUNTIF('1.연간시수표'!AD10,$BK$9),COUNTIF('1.연간시수표'!AD10,$BK$7),COUNTIF('1.연간시수표'!AD10,$BL$9),COUNTIF('1.연간시수표'!AD10,$BL$7),COUNTIF('1.연간시수표'!AD10,$BM$9),COUNTIF('1.연간시수표'!AD10,$BM$7)),$BF$6,IF(OR(COUNTIF('1.연간시수표'!AD10,$BO$9),COUNTIF('1.연간시수표'!AD10,$BO$7)),$BO$6,IF(OR(COUNTIF('1.연간시수표'!AD10,$BP$9),COUNTIF('1.연간시수표'!AD10,$BP$7)),$BP$6,IF(OR(COUNTIF('1.연간시수표'!AD10,$BQ$9),COUNTIF('1.연간시수표'!AD10,$BQ$7)),$BQ$6,IF(OR(COUNTIF('1.연간시수표'!AD10,$BR$9),COUNTIF('1.연간시수표'!AD10,$BR$7)),$BR$6,"_")))))))))))))))</f>
        <v>수학</v>
      </c>
      <c r="AE10" s="148" t="str">
        <f>IF(OR(COUNTIF('1.연간시수표'!AE10,$AT$9),COUNTIF('1.연간시수표'!AE10,$AT$7)),$AT$6,IF(OR(COUNTIF('1.연간시수표'!AE10,$AU$9),COUNTIF('1.연간시수표'!AE10,$AU$7)),$AU$6,IF(OR(COUNTIF('1.연간시수표'!AE10,$AV$9),COUNTIF('1.연간시수표'!AE10,$AV$7)),$AV$6,IF(OR(COUNTIF('1.연간시수표'!AE10,$AW$9),COUNTIF('1.연간시수표'!AE10,$AW$7)),$AW$6,IF(OR(COUNTIF('1.연간시수표'!AE10,$AX$9),COUNTIF('1.연간시수표'!AE10,$AX$7)),$AX$6,IF(OR(COUNTIF('1.연간시수표'!AE10,$AY$9),COUNTIF('1.연간시수표'!AE10,$AY$7)),$AY$6,IF(OR(COUNTIF('1.연간시수표'!AE10,$AZ$9),COUNTIF('1.연간시수표'!AE10,$AZ$7)),$AZ$6,IF(OR(COUNTIF('1.연간시수표'!AE10,$BA$9),COUNTIF('1.연간시수표'!AE10,$BA$7)),$BA$6,IF(OR(COUNTIF('1.연간시수표'!AE10,$BB$9),COUNTIF('1.연간시수표'!AE10,$BB$7)),$BB$6,IF(OR(COUNTIF('1.연간시수표'!AE10,$BC$9),COUNTIF('1.연간시수표'!AE10,$BC$7)),$BC$6,IF(OR(COUNTIF('1.연간시수표'!AE10,$BF$9),COUNTIF('1.연간시수표'!AE10,$BF$7),COUNTIF('1.연간시수표'!AE10,$BG$9),COUNTIF('1.연간시수표'!AE10,$BG$7),COUNTIF('1.연간시수표'!AE10,$BH$9),COUNTIF('1.연간시수표'!AE10,$BH$7),COUNTIF('1.연간시수표'!AE10,$BI$9),COUNTIF('1.연간시수표'!AE10,$BI$7),COUNTIF('1.연간시수표'!AE10,$BJ$9),COUNTIF('1.연간시수표'!AE10,$BJ$7),COUNTIF('1.연간시수표'!AE10,$BK$9),COUNTIF('1.연간시수표'!AE10,$BK$7),COUNTIF('1.연간시수표'!AE10,$BL$9),COUNTIF('1.연간시수표'!AE10,$BL$7),COUNTIF('1.연간시수표'!AE10,$BM$9),COUNTIF('1.연간시수표'!AE10,$BM$7)),$BF$6,IF(OR(COUNTIF('1.연간시수표'!AE10,$BO$9),COUNTIF('1.연간시수표'!AE10,$BO$7)),$BO$6,IF(OR(COUNTIF('1.연간시수표'!AE10,$BP$9),COUNTIF('1.연간시수표'!AE10,$BP$7)),$BP$6,IF(OR(COUNTIF('1.연간시수표'!AE10,$BQ$9),COUNTIF('1.연간시수표'!AE10,$BQ$7)),$BQ$6,IF(OR(COUNTIF('1.연간시수표'!AE10,$BR$9),COUNTIF('1.연간시수표'!AE10,$BR$7)),$BR$6,"_")))))))))))))))</f>
        <v>사회</v>
      </c>
      <c r="AF10" s="148" t="str">
        <f>IF(OR(COUNTIF('1.연간시수표'!AF10,$AT$9),COUNTIF('1.연간시수표'!AF10,$AT$7)),$AT$6,IF(OR(COUNTIF('1.연간시수표'!AF10,$AU$9),COUNTIF('1.연간시수표'!AF10,$AU$7)),$AU$6,IF(OR(COUNTIF('1.연간시수표'!AF10,$AV$9),COUNTIF('1.연간시수표'!AF10,$AV$7)),$AV$6,IF(OR(COUNTIF('1.연간시수표'!AF10,$AW$9),COUNTIF('1.연간시수표'!AF10,$AW$7)),$AW$6,IF(OR(COUNTIF('1.연간시수표'!AF10,$AX$9),COUNTIF('1.연간시수표'!AF10,$AX$7)),$AX$6,IF(OR(COUNTIF('1.연간시수표'!AF10,$AY$9),COUNTIF('1.연간시수표'!AF10,$AY$7)),$AY$6,IF(OR(COUNTIF('1.연간시수표'!AF10,$AZ$9),COUNTIF('1.연간시수표'!AF10,$AZ$7)),$AZ$6,IF(OR(COUNTIF('1.연간시수표'!AF10,$BA$9),COUNTIF('1.연간시수표'!AF10,$BA$7)),$BA$6,IF(OR(COUNTIF('1.연간시수표'!AF10,$BB$9),COUNTIF('1.연간시수표'!AF10,$BB$7)),$BB$6,IF(OR(COUNTIF('1.연간시수표'!AF10,$BC$9),COUNTIF('1.연간시수표'!AF10,$BC$7)),$BC$6,IF(OR(COUNTIF('1.연간시수표'!AF10,$BF$9),COUNTIF('1.연간시수표'!AF10,$BF$7),COUNTIF('1.연간시수표'!AF10,$BG$9),COUNTIF('1.연간시수표'!AF10,$BG$7),COUNTIF('1.연간시수표'!AF10,$BH$9),COUNTIF('1.연간시수표'!AF10,$BH$7),COUNTIF('1.연간시수표'!AF10,$BI$9),COUNTIF('1.연간시수표'!AF10,$BI$7),COUNTIF('1.연간시수표'!AF10,$BJ$9),COUNTIF('1.연간시수표'!AF10,$BJ$7),COUNTIF('1.연간시수표'!AF10,$BK$9),COUNTIF('1.연간시수표'!AF10,$BK$7),COUNTIF('1.연간시수표'!AF10,$BL$9),COUNTIF('1.연간시수표'!AF10,$BL$7),COUNTIF('1.연간시수표'!AF10,$BM$9),COUNTIF('1.연간시수표'!AF10,$BM$7)),$BF$6,IF(OR(COUNTIF('1.연간시수표'!AF10,$BO$9),COUNTIF('1.연간시수표'!AF10,$BO$7)),$BO$6,IF(OR(COUNTIF('1.연간시수표'!AF10,$BP$9),COUNTIF('1.연간시수표'!AF10,$BP$7)),$BP$6,IF(OR(COUNTIF('1.연간시수표'!AF10,$BQ$9),COUNTIF('1.연간시수표'!AF10,$BQ$7)),$BQ$6,IF(OR(COUNTIF('1.연간시수표'!AF10,$BR$9),COUNTIF('1.연간시수표'!AF10,$BR$7)),$BR$6,"_")))))))))))))))</f>
        <v>영어</v>
      </c>
      <c r="AG10" s="148" t="str">
        <f>IF(OR(COUNTIF('1.연간시수표'!AG10,$AT$9),COUNTIF('1.연간시수표'!AG10,$AT$7)),$AT$6,IF(OR(COUNTIF('1.연간시수표'!AG10,$AU$9),COUNTIF('1.연간시수표'!AG10,$AU$7)),$AU$6,IF(OR(COUNTIF('1.연간시수표'!AG10,$AV$9),COUNTIF('1.연간시수표'!AG10,$AV$7)),$AV$6,IF(OR(COUNTIF('1.연간시수표'!AG10,$AW$9),COUNTIF('1.연간시수표'!AG10,$AW$7)),$AW$6,IF(OR(COUNTIF('1.연간시수표'!AG10,$AX$9),COUNTIF('1.연간시수표'!AG10,$AX$7)),$AX$6,IF(OR(COUNTIF('1.연간시수표'!AG10,$AY$9),COUNTIF('1.연간시수표'!AG10,$AY$7)),$AY$6,IF(OR(COUNTIF('1.연간시수표'!AG10,$AZ$9),COUNTIF('1.연간시수표'!AG10,$AZ$7)),$AZ$6,IF(OR(COUNTIF('1.연간시수표'!AG10,$BA$9),COUNTIF('1.연간시수표'!AG10,$BA$7)),$BA$6,IF(OR(COUNTIF('1.연간시수표'!AG10,$BB$9),COUNTIF('1.연간시수표'!AG10,$BB$7)),$BB$6,IF(OR(COUNTIF('1.연간시수표'!AG10,$BC$9),COUNTIF('1.연간시수표'!AG10,$BC$7)),$BC$6,IF(OR(COUNTIF('1.연간시수표'!AG10,$BF$9),COUNTIF('1.연간시수표'!AG10,$BF$7),COUNTIF('1.연간시수표'!AG10,$BG$9),COUNTIF('1.연간시수표'!AG10,$BG$7),COUNTIF('1.연간시수표'!AG10,$BH$9),COUNTIF('1.연간시수표'!AG10,$BH$7),COUNTIF('1.연간시수표'!AG10,$BI$9),COUNTIF('1.연간시수표'!AG10,$BI$7),COUNTIF('1.연간시수표'!AG10,$BJ$9),COUNTIF('1.연간시수표'!AG10,$BJ$7),COUNTIF('1.연간시수표'!AG10,$BK$9),COUNTIF('1.연간시수표'!AG10,$BK$7),COUNTIF('1.연간시수표'!AG10,$BL$9),COUNTIF('1.연간시수표'!AG10,$BL$7),COUNTIF('1.연간시수표'!AG10,$BM$9),COUNTIF('1.연간시수표'!AG10,$BM$7)),$BF$6,IF(OR(COUNTIF('1.연간시수표'!AG10,$BO$9),COUNTIF('1.연간시수표'!AG10,$BO$7)),$BO$6,IF(OR(COUNTIF('1.연간시수표'!AG10,$BP$9),COUNTIF('1.연간시수표'!AG10,$BP$7)),$BP$6,IF(OR(COUNTIF('1.연간시수표'!AG10,$BQ$9),COUNTIF('1.연간시수표'!AG10,$BQ$7)),$BQ$6,IF(OR(COUNTIF('1.연간시수표'!AG10,$BR$9),COUNTIF('1.연간시수표'!AG10,$BR$7)),$BR$6,"_")))))))))))))))</f>
        <v>과학</v>
      </c>
      <c r="AH10" s="148" t="str">
        <f>IF(OR(COUNTIF('1.연간시수표'!AH10,$AT$9),COUNTIF('1.연간시수표'!AH10,$AT$7)),$AT$6,IF(OR(COUNTIF('1.연간시수표'!AH10,$AU$9),COUNTIF('1.연간시수표'!AH10,$AU$7)),$AU$6,IF(OR(COUNTIF('1.연간시수표'!AH10,$AV$9),COUNTIF('1.연간시수표'!AH10,$AV$7)),$AV$6,IF(OR(COUNTIF('1.연간시수표'!AH10,$AW$9),COUNTIF('1.연간시수표'!AH10,$AW$7)),$AW$6,IF(OR(COUNTIF('1.연간시수표'!AH10,$AX$9),COUNTIF('1.연간시수표'!AH10,$AX$7)),$AX$6,IF(OR(COUNTIF('1.연간시수표'!AH10,$AY$9),COUNTIF('1.연간시수표'!AH10,$AY$7)),$AY$6,IF(OR(COUNTIF('1.연간시수표'!AH10,$AZ$9),COUNTIF('1.연간시수표'!AH10,$AZ$7)),$AZ$6,IF(OR(COUNTIF('1.연간시수표'!AH10,$BA$9),COUNTIF('1.연간시수표'!AH10,$BA$7)),$BA$6,IF(OR(COUNTIF('1.연간시수표'!AH10,$BB$9),COUNTIF('1.연간시수표'!AH10,$BB$7)),$BB$6,IF(OR(COUNTIF('1.연간시수표'!AH10,$BC$9),COUNTIF('1.연간시수표'!AH10,$BC$7)),$BC$6,IF(OR(COUNTIF('1.연간시수표'!AH10,$BF$9),COUNTIF('1.연간시수표'!AH10,$BF$7),COUNTIF('1.연간시수표'!AH10,$BG$9),COUNTIF('1.연간시수표'!AH10,$BG$7),COUNTIF('1.연간시수표'!AH10,$BH$9),COUNTIF('1.연간시수표'!AH10,$BH$7),COUNTIF('1.연간시수표'!AH10,$BI$9),COUNTIF('1.연간시수표'!AH10,$BI$7),COUNTIF('1.연간시수표'!AH10,$BJ$9),COUNTIF('1.연간시수표'!AH10,$BJ$7),COUNTIF('1.연간시수표'!AH10,$BK$9),COUNTIF('1.연간시수표'!AH10,$BK$7),COUNTIF('1.연간시수표'!AH10,$BL$9),COUNTIF('1.연간시수표'!AH10,$BL$7),COUNTIF('1.연간시수표'!AH10,$BM$9),COUNTIF('1.연간시수표'!AH10,$BM$7)),$BF$6,IF(OR(COUNTIF('1.연간시수표'!AH10,$BO$9),COUNTIF('1.연간시수표'!AH10,$BO$7)),$BO$6,IF(OR(COUNTIF('1.연간시수표'!AH10,$BP$9),COUNTIF('1.연간시수표'!AH10,$BP$7)),$BP$6,IF(OR(COUNTIF('1.연간시수표'!AH10,$BQ$9),COUNTIF('1.연간시수표'!AH10,$BQ$7)),$BQ$6,IF(OR(COUNTIF('1.연간시수표'!AH10,$BR$9),COUNTIF('1.연간시수표'!AH10,$BR$7)),$BR$6,"_")))))))))))))))</f>
        <v>음악</v>
      </c>
      <c r="AI10" s="148" t="str">
        <f>IF(OR(COUNTIF('1.연간시수표'!AI10,$AT$9),COUNTIF('1.연간시수표'!AI10,$AT$7)),$AT$6,IF(OR(COUNTIF('1.연간시수표'!AI10,$AU$9),COUNTIF('1.연간시수표'!AI10,$AU$7)),$AU$6,IF(OR(COUNTIF('1.연간시수표'!AI10,$AV$9),COUNTIF('1.연간시수표'!AI10,$AV$7)),$AV$6,IF(OR(COUNTIF('1.연간시수표'!AI10,$AW$9),COUNTIF('1.연간시수표'!AI10,$AW$7)),$AW$6,IF(OR(COUNTIF('1.연간시수표'!AI10,$AX$9),COUNTIF('1.연간시수표'!AI10,$AX$7)),$AX$6,IF(OR(COUNTIF('1.연간시수표'!AI10,$AY$9),COUNTIF('1.연간시수표'!AI10,$AY$7)),$AY$6,IF(OR(COUNTIF('1.연간시수표'!AI10,$AZ$9),COUNTIF('1.연간시수표'!AI10,$AZ$7)),$AZ$6,IF(OR(COUNTIF('1.연간시수표'!AI10,$BA$9),COUNTIF('1.연간시수표'!AI10,$BA$7)),$BA$6,IF(OR(COUNTIF('1.연간시수표'!AI10,$BB$9),COUNTIF('1.연간시수표'!AI10,$BB$7)),$BB$6,IF(OR(COUNTIF('1.연간시수표'!AI10,$BC$9),COUNTIF('1.연간시수표'!AI10,$BC$7)),$BC$6,IF(OR(COUNTIF('1.연간시수표'!AI10,$BF$9),COUNTIF('1.연간시수표'!AI10,$BF$7),COUNTIF('1.연간시수표'!AI10,$BG$9),COUNTIF('1.연간시수표'!AI10,$BG$7),COUNTIF('1.연간시수표'!AI10,$BH$9),COUNTIF('1.연간시수표'!AI10,$BH$7),COUNTIF('1.연간시수표'!AI10,$BI$9),COUNTIF('1.연간시수표'!AI10,$BI$7),COUNTIF('1.연간시수표'!AI10,$BJ$9),COUNTIF('1.연간시수표'!AI10,$BJ$7),COUNTIF('1.연간시수표'!AI10,$BK$9),COUNTIF('1.연간시수표'!AI10,$BK$7),COUNTIF('1.연간시수표'!AI10,$BL$9),COUNTIF('1.연간시수표'!AI10,$BL$7),COUNTIF('1.연간시수표'!AI10,$BM$9),COUNTIF('1.연간시수표'!AI10,$BM$7)),$BF$6,IF(OR(COUNTIF('1.연간시수표'!AI10,$BO$9),COUNTIF('1.연간시수표'!AI10,$BO$7)),$BO$6,IF(OR(COUNTIF('1.연간시수표'!AI10,$BP$9),COUNTIF('1.연간시수표'!AI10,$BP$7)),$BP$6,IF(OR(COUNTIF('1.연간시수표'!AI10,$BQ$9),COUNTIF('1.연간시수표'!AI10,$BQ$7)),$BQ$6,IF(OR(COUNTIF('1.연간시수표'!AI10,$BR$9),COUNTIF('1.연간시수표'!AI10,$BR$7)),$BR$6,"_")))))))))))))))</f>
        <v>_</v>
      </c>
      <c r="AJ10" s="148" t="str">
        <f>IF(OR(COUNTIF('1.연간시수표'!AJ10,$AT$9),COUNTIF('1.연간시수표'!AJ10,$AT$7)),$AT$6,IF(OR(COUNTIF('1.연간시수표'!AJ10,$AU$9),COUNTIF('1.연간시수표'!AJ10,$AU$7)),$AU$6,IF(OR(COUNTIF('1.연간시수표'!AJ10,$AV$9),COUNTIF('1.연간시수표'!AJ10,$AV$7)),$AV$6,IF(OR(COUNTIF('1.연간시수표'!AJ10,$AW$9),COUNTIF('1.연간시수표'!AJ10,$AW$7)),$AW$6,IF(OR(COUNTIF('1.연간시수표'!AJ10,$AX$9),COUNTIF('1.연간시수표'!AJ10,$AX$7)),$AX$6,IF(OR(COUNTIF('1.연간시수표'!AJ10,$AY$9),COUNTIF('1.연간시수표'!AJ10,$AY$7)),$AY$6,IF(OR(COUNTIF('1.연간시수표'!AJ10,$AZ$9),COUNTIF('1.연간시수표'!AJ10,$AZ$7)),$AZ$6,IF(OR(COUNTIF('1.연간시수표'!AJ10,$BA$9),COUNTIF('1.연간시수표'!AJ10,$BA$7)),$BA$6,IF(OR(COUNTIF('1.연간시수표'!AJ10,$BB$9),COUNTIF('1.연간시수표'!AJ10,$BB$7)),$BB$6,IF(OR(COUNTIF('1.연간시수표'!AJ10,$BC$9),COUNTIF('1.연간시수표'!AJ10,$BC$7)),$BC$6,IF(OR(COUNTIF('1.연간시수표'!AJ10,$BF$9),COUNTIF('1.연간시수표'!AJ10,$BF$7),COUNTIF('1.연간시수표'!AJ10,$BG$9),COUNTIF('1.연간시수표'!AJ10,$BG$7),COUNTIF('1.연간시수표'!AJ10,$BH$9),COUNTIF('1.연간시수표'!AJ10,$BH$7),COUNTIF('1.연간시수표'!AJ10,$BI$9),COUNTIF('1.연간시수표'!AJ10,$BI$7),COUNTIF('1.연간시수표'!AJ10,$BJ$9),COUNTIF('1.연간시수표'!AJ10,$BJ$7),COUNTIF('1.연간시수표'!AJ10,$BK$9),COUNTIF('1.연간시수표'!AJ10,$BK$7),COUNTIF('1.연간시수표'!AJ10,$BL$9),COUNTIF('1.연간시수표'!AJ10,$BL$7),COUNTIF('1.연간시수표'!AJ10,$BM$9),COUNTIF('1.연간시수표'!AJ10,$BM$7)),$BF$6,IF(OR(COUNTIF('1.연간시수표'!AJ10,$BO$9),COUNTIF('1.연간시수표'!AJ10,$BO$7)),$BO$6,IF(OR(COUNTIF('1.연간시수표'!AJ10,$BP$9),COUNTIF('1.연간시수표'!AJ10,$BP$7)),$BP$6,IF(OR(COUNTIF('1.연간시수표'!AJ10,$BQ$9),COUNTIF('1.연간시수표'!AJ10,$BQ$7)),$BQ$6,IF(OR(COUNTIF('1.연간시수표'!AJ10,$BR$9),COUNTIF('1.연간시수표'!AJ10,$BR$7)),$BR$6,"_")))))))))))))))</f>
        <v>_</v>
      </c>
      <c r="AK10" s="148" t="str">
        <f>IF(OR(COUNTIF('1.연간시수표'!AK10,$AT$9),COUNTIF('1.연간시수표'!AK10,$AT$7)),$AT$6,IF(OR(COUNTIF('1.연간시수표'!AK10,$AU$9),COUNTIF('1.연간시수표'!AK10,$AU$7)),$AU$6,IF(OR(COUNTIF('1.연간시수표'!AK10,$AV$9),COUNTIF('1.연간시수표'!AK10,$AV$7)),$AV$6,IF(OR(COUNTIF('1.연간시수표'!AK10,$AW$9),COUNTIF('1.연간시수표'!AK10,$AW$7)),$AW$6,IF(OR(COUNTIF('1.연간시수표'!AK10,$AX$9),COUNTIF('1.연간시수표'!AK10,$AX$7)),$AX$6,IF(OR(COUNTIF('1.연간시수표'!AK10,$AY$9),COUNTIF('1.연간시수표'!AK10,$AY$7)),$AY$6,IF(OR(COUNTIF('1.연간시수표'!AK10,$AZ$9),COUNTIF('1.연간시수표'!AK10,$AZ$7)),$AZ$6,IF(OR(COUNTIF('1.연간시수표'!AK10,$BA$9),COUNTIF('1.연간시수표'!AK10,$BA$7)),$BA$6,IF(OR(COUNTIF('1.연간시수표'!AK10,$BB$9),COUNTIF('1.연간시수표'!AK10,$BB$7)),$BB$6,IF(OR(COUNTIF('1.연간시수표'!AK10,$BC$9),COUNTIF('1.연간시수표'!AK10,$BC$7)),$BC$6,IF(OR(COUNTIF('1.연간시수표'!AK10,$BF$9),COUNTIF('1.연간시수표'!AK10,$BF$7),COUNTIF('1.연간시수표'!AK10,$BG$9),COUNTIF('1.연간시수표'!AK10,$BG$7),COUNTIF('1.연간시수표'!AK10,$BH$9),COUNTIF('1.연간시수표'!AK10,$BH$7),COUNTIF('1.연간시수표'!AK10,$BI$9),COUNTIF('1.연간시수표'!AK10,$BI$7),COUNTIF('1.연간시수표'!AK10,$BJ$9),COUNTIF('1.연간시수표'!AK10,$BJ$7),COUNTIF('1.연간시수표'!AK10,$BK$9),COUNTIF('1.연간시수표'!AK10,$BK$7),COUNTIF('1.연간시수표'!AK10,$BL$9),COUNTIF('1.연간시수표'!AK10,$BL$7),COUNTIF('1.연간시수표'!AK10,$BM$9),COUNTIF('1.연간시수표'!AK10,$BM$7)),$BF$6,IF(OR(COUNTIF('1.연간시수표'!AK10,$BO$9),COUNTIF('1.연간시수표'!AK10,$BO$7)),$BO$6,IF(OR(COUNTIF('1.연간시수표'!AK10,$BP$9),COUNTIF('1.연간시수표'!AK10,$BP$7)),$BP$6,IF(OR(COUNTIF('1.연간시수표'!AK10,$BQ$9),COUNTIF('1.연간시수표'!AK10,$BQ$7)),$BQ$6,IF(OR(COUNTIF('1.연간시수표'!AK10,$BR$9),COUNTIF('1.연간시수표'!AK10,$BR$7)),$BR$6,"_")))))))))))))))</f>
        <v>자율활동</v>
      </c>
      <c r="AL10" s="148" t="str">
        <f>IF(OR(COUNTIF('1.연간시수표'!AL10,$AT$9),COUNTIF('1.연간시수표'!AL10,$AT$7)),$AT$6,IF(OR(COUNTIF('1.연간시수표'!AL10,$AU$9),COUNTIF('1.연간시수표'!AL10,$AU$7)),$AU$6,IF(OR(COUNTIF('1.연간시수표'!AL10,$AV$9),COUNTIF('1.연간시수표'!AL10,$AV$7)),$AV$6,IF(OR(COUNTIF('1.연간시수표'!AL10,$AW$9),COUNTIF('1.연간시수표'!AL10,$AW$7)),$AW$6,IF(OR(COUNTIF('1.연간시수표'!AL10,$AX$9),COUNTIF('1.연간시수표'!AL10,$AX$7)),$AX$6,IF(OR(COUNTIF('1.연간시수표'!AL10,$AY$9),COUNTIF('1.연간시수표'!AL10,$AY$7)),$AY$6,IF(OR(COUNTIF('1.연간시수표'!AL10,$AZ$9),COUNTIF('1.연간시수표'!AL10,$AZ$7)),$AZ$6,IF(OR(COUNTIF('1.연간시수표'!AL10,$BA$9),COUNTIF('1.연간시수표'!AL10,$BA$7)),$BA$6,IF(OR(COUNTIF('1.연간시수표'!AL10,$BB$9),COUNTIF('1.연간시수표'!AL10,$BB$7)),$BB$6,IF(OR(COUNTIF('1.연간시수표'!AL10,$BC$9),COUNTIF('1.연간시수표'!AL10,$BC$7)),$BC$6,IF(OR(COUNTIF('1.연간시수표'!AL10,$BF$9),COUNTIF('1.연간시수표'!AL10,$BF$7),COUNTIF('1.연간시수표'!AL10,$BG$9),COUNTIF('1.연간시수표'!AL10,$BG$7),COUNTIF('1.연간시수표'!AL10,$BH$9),COUNTIF('1.연간시수표'!AL10,$BH$7),COUNTIF('1.연간시수표'!AL10,$BI$9),COUNTIF('1.연간시수표'!AL10,$BI$7),COUNTIF('1.연간시수표'!AL10,$BJ$9),COUNTIF('1.연간시수표'!AL10,$BJ$7),COUNTIF('1.연간시수표'!AL10,$BK$9),COUNTIF('1.연간시수표'!AL10,$BK$7),COUNTIF('1.연간시수표'!AL10,$BL$9),COUNTIF('1.연간시수표'!AL10,$BL$7),COUNTIF('1.연간시수표'!AL10,$BM$9),COUNTIF('1.연간시수표'!AL10,$BM$7)),$BF$6,IF(OR(COUNTIF('1.연간시수표'!AL10,$BO$9),COUNTIF('1.연간시수표'!AL10,$BO$7)),$BO$6,IF(OR(COUNTIF('1.연간시수표'!AL10,$BP$9),COUNTIF('1.연간시수표'!AL10,$BP$7)),$BP$6,IF(OR(COUNTIF('1.연간시수표'!AL10,$BQ$9),COUNTIF('1.연간시수표'!AL10,$BQ$7)),$BQ$6,IF(OR(COUNTIF('1.연간시수표'!AL10,$BR$9),COUNTIF('1.연간시수표'!AL10,$BR$7)),$BR$6,"_")))))))))))))))</f>
        <v>수학</v>
      </c>
      <c r="AM10" s="148" t="str">
        <f>IF(OR(COUNTIF('1.연간시수표'!AM10,$AT$9),COUNTIF('1.연간시수표'!AM10,$AT$7)),$AT$6,IF(OR(COUNTIF('1.연간시수표'!AM10,$AU$9),COUNTIF('1.연간시수표'!AM10,$AU$7)),$AU$6,IF(OR(COUNTIF('1.연간시수표'!AM10,$AV$9),COUNTIF('1.연간시수표'!AM10,$AV$7)),$AV$6,IF(OR(COUNTIF('1.연간시수표'!AM10,$AW$9),COUNTIF('1.연간시수표'!AM10,$AW$7)),$AW$6,IF(OR(COUNTIF('1.연간시수표'!AM10,$AX$9),COUNTIF('1.연간시수표'!AM10,$AX$7)),$AX$6,IF(OR(COUNTIF('1.연간시수표'!AM10,$AY$9),COUNTIF('1.연간시수표'!AM10,$AY$7)),$AY$6,IF(OR(COUNTIF('1.연간시수표'!AM10,$AZ$9),COUNTIF('1.연간시수표'!AM10,$AZ$7)),$AZ$6,IF(OR(COUNTIF('1.연간시수표'!AM10,$BA$9),COUNTIF('1.연간시수표'!AM10,$BA$7)),$BA$6,IF(OR(COUNTIF('1.연간시수표'!AM10,$BB$9),COUNTIF('1.연간시수표'!AM10,$BB$7)),$BB$6,IF(OR(COUNTIF('1.연간시수표'!AM10,$BC$9),COUNTIF('1.연간시수표'!AM10,$BC$7)),$BC$6,IF(OR(COUNTIF('1.연간시수표'!AM10,$BF$9),COUNTIF('1.연간시수표'!AM10,$BF$7),COUNTIF('1.연간시수표'!AM10,$BG$9),COUNTIF('1.연간시수표'!AM10,$BG$7),COUNTIF('1.연간시수표'!AM10,$BH$9),COUNTIF('1.연간시수표'!AM10,$BH$7),COUNTIF('1.연간시수표'!AM10,$BI$9),COUNTIF('1.연간시수표'!AM10,$BI$7),COUNTIF('1.연간시수표'!AM10,$BJ$9),COUNTIF('1.연간시수표'!AM10,$BJ$7),COUNTIF('1.연간시수표'!AM10,$BK$9),COUNTIF('1.연간시수표'!AM10,$BK$7),COUNTIF('1.연간시수표'!AM10,$BL$9),COUNTIF('1.연간시수표'!AM10,$BL$7),COUNTIF('1.연간시수표'!AM10,$BM$9),COUNTIF('1.연간시수표'!AM10,$BM$7)),$BF$6,IF(OR(COUNTIF('1.연간시수표'!AM10,$BO$9),COUNTIF('1.연간시수표'!AM10,$BO$7)),$BO$6,IF(OR(COUNTIF('1.연간시수표'!AM10,$BP$9),COUNTIF('1.연간시수표'!AM10,$BP$7)),$BP$6,IF(OR(COUNTIF('1.연간시수표'!AM10,$BQ$9),COUNTIF('1.연간시수표'!AM10,$BQ$7)),$BQ$6,IF(OR(COUNTIF('1.연간시수표'!AM10,$BR$9),COUNTIF('1.연간시수표'!AM10,$BR$7)),$BR$6,"_")))))))))))))))</f>
        <v>수학</v>
      </c>
      <c r="AN10" s="148" t="str">
        <f>IF(OR(COUNTIF('1.연간시수표'!AN10,$AT$9),COUNTIF('1.연간시수표'!AN10,$AT$7)),$AT$6,IF(OR(COUNTIF('1.연간시수표'!AN10,$AU$9),COUNTIF('1.연간시수표'!AN10,$AU$7)),$AU$6,IF(OR(COUNTIF('1.연간시수표'!AN10,$AV$9),COUNTIF('1.연간시수표'!AN10,$AV$7)),$AV$6,IF(OR(COUNTIF('1.연간시수표'!AN10,$AW$9),COUNTIF('1.연간시수표'!AN10,$AW$7)),$AW$6,IF(OR(COUNTIF('1.연간시수표'!AN10,$AX$9),COUNTIF('1.연간시수표'!AN10,$AX$7)),$AX$6,IF(OR(COUNTIF('1.연간시수표'!AN10,$AY$9),COUNTIF('1.연간시수표'!AN10,$AY$7)),$AY$6,IF(OR(COUNTIF('1.연간시수표'!AN10,$AZ$9),COUNTIF('1.연간시수표'!AN10,$AZ$7)),$AZ$6,IF(OR(COUNTIF('1.연간시수표'!AN10,$BA$9),COUNTIF('1.연간시수표'!AN10,$BA$7)),$BA$6,IF(OR(COUNTIF('1.연간시수표'!AN10,$BB$9),COUNTIF('1.연간시수표'!AN10,$BB$7)),$BB$6,IF(OR(COUNTIF('1.연간시수표'!AN10,$BC$9),COUNTIF('1.연간시수표'!AN10,$BC$7)),$BC$6,IF(OR(COUNTIF('1.연간시수표'!AN10,$BF$9),COUNTIF('1.연간시수표'!AN10,$BF$7),COUNTIF('1.연간시수표'!AN10,$BG$9),COUNTIF('1.연간시수표'!AN10,$BG$7),COUNTIF('1.연간시수표'!AN10,$BH$9),COUNTIF('1.연간시수표'!AN10,$BH$7),COUNTIF('1.연간시수표'!AN10,$BI$9),COUNTIF('1.연간시수표'!AN10,$BI$7),COUNTIF('1.연간시수표'!AN10,$BJ$9),COUNTIF('1.연간시수표'!AN10,$BJ$7),COUNTIF('1.연간시수표'!AN10,$BK$9),COUNTIF('1.연간시수표'!AN10,$BK$7),COUNTIF('1.연간시수표'!AN10,$BL$9),COUNTIF('1.연간시수표'!AN10,$BL$7),COUNTIF('1.연간시수표'!AN10,$BM$9),COUNTIF('1.연간시수표'!AN10,$BM$7)),$BF$6,IF(OR(COUNTIF('1.연간시수표'!AN10,$BO$9),COUNTIF('1.연간시수표'!AN10,$BO$7)),$BO$6,IF(OR(COUNTIF('1.연간시수표'!AN10,$BP$9),COUNTIF('1.연간시수표'!AN10,$BP$7)),$BP$6,IF(OR(COUNTIF('1.연간시수표'!AN10,$BQ$9),COUNTIF('1.연간시수표'!AN10,$BQ$7)),$BQ$6,IF(OR(COUNTIF('1.연간시수표'!AN10,$BR$9),COUNTIF('1.연간시수표'!AN10,$BR$7)),$BR$6,"_")))))))))))))))</f>
        <v>국어</v>
      </c>
      <c r="AO10" s="148" t="str">
        <f>IF(OR(COUNTIF('1.연간시수표'!AO10,$AT$9),COUNTIF('1.연간시수표'!AO10,$AT$7)),$AT$6,IF(OR(COUNTIF('1.연간시수표'!AO10,$AU$9),COUNTIF('1.연간시수표'!AO10,$AU$7)),$AU$6,IF(OR(COUNTIF('1.연간시수표'!AO10,$AV$9),COUNTIF('1.연간시수표'!AO10,$AV$7)),$AV$6,IF(OR(COUNTIF('1.연간시수표'!AO10,$AW$9),COUNTIF('1.연간시수표'!AO10,$AW$7)),$AW$6,IF(OR(COUNTIF('1.연간시수표'!AO10,$AX$9),COUNTIF('1.연간시수표'!AO10,$AX$7)),$AX$6,IF(OR(COUNTIF('1.연간시수표'!AO10,$AY$9),COUNTIF('1.연간시수표'!AO10,$AY$7)),$AY$6,IF(OR(COUNTIF('1.연간시수표'!AO10,$AZ$9),COUNTIF('1.연간시수표'!AO10,$AZ$7)),$AZ$6,IF(OR(COUNTIF('1.연간시수표'!AO10,$BA$9),COUNTIF('1.연간시수표'!AO10,$BA$7)),$BA$6,IF(OR(COUNTIF('1.연간시수표'!AO10,$BB$9),COUNTIF('1.연간시수표'!AO10,$BB$7)),$BB$6,IF(OR(COUNTIF('1.연간시수표'!AO10,$BC$9),COUNTIF('1.연간시수표'!AO10,$BC$7)),$BC$6,IF(OR(COUNTIF('1.연간시수표'!AO10,$BF$9),COUNTIF('1.연간시수표'!AO10,$BF$7),COUNTIF('1.연간시수표'!AO10,$BG$9),COUNTIF('1.연간시수표'!AO10,$BG$7),COUNTIF('1.연간시수표'!AO10,$BH$9),COUNTIF('1.연간시수표'!AO10,$BH$7),COUNTIF('1.연간시수표'!AO10,$BI$9),COUNTIF('1.연간시수표'!AO10,$BI$7),COUNTIF('1.연간시수표'!AO10,$BJ$9),COUNTIF('1.연간시수표'!AO10,$BJ$7),COUNTIF('1.연간시수표'!AO10,$BK$9),COUNTIF('1.연간시수표'!AO10,$BK$7),COUNTIF('1.연간시수표'!AO10,$BL$9),COUNTIF('1.연간시수표'!AO10,$BL$7),COUNTIF('1.연간시수표'!AO10,$BM$9),COUNTIF('1.연간시수표'!AO10,$BM$7)),$BF$6,IF(OR(COUNTIF('1.연간시수표'!AO10,$BO$9),COUNTIF('1.연간시수표'!AO10,$BO$7)),$BO$6,IF(OR(COUNTIF('1.연간시수표'!AO10,$BP$9),COUNTIF('1.연간시수표'!AO10,$BP$7)),$BP$6,IF(OR(COUNTIF('1.연간시수표'!AO10,$BQ$9),COUNTIF('1.연간시수표'!AO10,$BQ$7)),$BQ$6,IF(OR(COUNTIF('1.연간시수표'!AO10,$BR$9),COUNTIF('1.연간시수표'!AO10,$BR$7)),$BR$6,"_")))))))))))))))</f>
        <v>사회</v>
      </c>
      <c r="AP10" s="148" t="str">
        <f>IF(OR(COUNTIF('1.연간시수표'!AP10,$AT$9),COUNTIF('1.연간시수표'!AP10,$AT$7)),$AT$6,IF(OR(COUNTIF('1.연간시수표'!AP10,$AU$9),COUNTIF('1.연간시수표'!AP10,$AU$7)),$AU$6,IF(OR(COUNTIF('1.연간시수표'!AP10,$AV$9),COUNTIF('1.연간시수표'!AP10,$AV$7)),$AV$6,IF(OR(COUNTIF('1.연간시수표'!AP10,$AW$9),COUNTIF('1.연간시수표'!AP10,$AW$7)),$AW$6,IF(OR(COUNTIF('1.연간시수표'!AP10,$AX$9),COUNTIF('1.연간시수표'!AP10,$AX$7)),$AX$6,IF(OR(COUNTIF('1.연간시수표'!AP10,$AY$9),COUNTIF('1.연간시수표'!AP10,$AY$7)),$AY$6,IF(OR(COUNTIF('1.연간시수표'!AP10,$AZ$9),COUNTIF('1.연간시수표'!AP10,$AZ$7)),$AZ$6,IF(OR(COUNTIF('1.연간시수표'!AP10,$BA$9),COUNTIF('1.연간시수표'!AP10,$BA$7)),$BA$6,IF(OR(COUNTIF('1.연간시수표'!AP10,$BB$9),COUNTIF('1.연간시수표'!AP10,$BB$7)),$BB$6,IF(OR(COUNTIF('1.연간시수표'!AP10,$BC$9),COUNTIF('1.연간시수표'!AP10,$BC$7)),$BC$6,IF(OR(COUNTIF('1.연간시수표'!AP10,$BF$9),COUNTIF('1.연간시수표'!AP10,$BF$7),COUNTIF('1.연간시수표'!AP10,$BG$9),COUNTIF('1.연간시수표'!AP10,$BG$7),COUNTIF('1.연간시수표'!AP10,$BH$9),COUNTIF('1.연간시수표'!AP10,$BH$7),COUNTIF('1.연간시수표'!AP10,$BI$9),COUNTIF('1.연간시수표'!AP10,$BI$7),COUNTIF('1.연간시수표'!AP10,$BJ$9),COUNTIF('1.연간시수표'!AP10,$BJ$7),COUNTIF('1.연간시수표'!AP10,$BK$9),COUNTIF('1.연간시수표'!AP10,$BK$7),COUNTIF('1.연간시수표'!AP10,$BL$9),COUNTIF('1.연간시수표'!AP10,$BL$7),COUNTIF('1.연간시수표'!AP10,$BM$9),COUNTIF('1.연간시수표'!AP10,$BM$7)),$BF$6,IF(OR(COUNTIF('1.연간시수표'!AP10,$BO$9),COUNTIF('1.연간시수표'!AP10,$BO$7)),$BO$6,IF(OR(COUNTIF('1.연간시수표'!AP10,$BP$9),COUNTIF('1.연간시수표'!AP10,$BP$7)),$BP$6,IF(OR(COUNTIF('1.연간시수표'!AP10,$BQ$9),COUNTIF('1.연간시수표'!AP10,$BQ$7)),$BQ$6,IF(OR(COUNTIF('1.연간시수표'!AP10,$BR$9),COUNTIF('1.연간시수표'!AP10,$BR$7)),$BR$6,"_")))))))))))))))</f>
        <v>실과</v>
      </c>
      <c r="AQ10" s="148" t="str">
        <f>IF(OR(COUNTIF('1.연간시수표'!AQ10,$AT$9),COUNTIF('1.연간시수표'!AQ10,$AT$7)),$AT$6,IF(OR(COUNTIF('1.연간시수표'!AQ10,$AU$9),COUNTIF('1.연간시수표'!AQ10,$AU$7)),$AU$6,IF(OR(COUNTIF('1.연간시수표'!AQ10,$AV$9),COUNTIF('1.연간시수표'!AQ10,$AV$7)),$AV$6,IF(OR(COUNTIF('1.연간시수표'!AQ10,$AW$9),COUNTIF('1.연간시수표'!AQ10,$AW$7)),$AW$6,IF(OR(COUNTIF('1.연간시수표'!AQ10,$AX$9),COUNTIF('1.연간시수표'!AQ10,$AX$7)),$AX$6,IF(OR(COUNTIF('1.연간시수표'!AQ10,$AY$9),COUNTIF('1.연간시수표'!AQ10,$AY$7)),$AY$6,IF(OR(COUNTIF('1.연간시수표'!AQ10,$AZ$9),COUNTIF('1.연간시수표'!AQ10,$AZ$7)),$AZ$6,IF(OR(COUNTIF('1.연간시수표'!AQ10,$BA$9),COUNTIF('1.연간시수표'!AQ10,$BA$7)),$BA$6,IF(OR(COUNTIF('1.연간시수표'!AQ10,$BB$9),COUNTIF('1.연간시수표'!AQ10,$BB$7)),$BB$6,IF(OR(COUNTIF('1.연간시수표'!AQ10,$BC$9),COUNTIF('1.연간시수표'!AQ10,$BC$7)),$BC$6,IF(OR(COUNTIF('1.연간시수표'!AQ10,$BF$9),COUNTIF('1.연간시수표'!AQ10,$BF$7),COUNTIF('1.연간시수표'!AQ10,$BG$9),COUNTIF('1.연간시수표'!AQ10,$BG$7),COUNTIF('1.연간시수표'!AQ10,$BH$9),COUNTIF('1.연간시수표'!AQ10,$BH$7),COUNTIF('1.연간시수표'!AQ10,$BI$9),COUNTIF('1.연간시수표'!AQ10,$BI$7),COUNTIF('1.연간시수표'!AQ10,$BJ$9),COUNTIF('1.연간시수표'!AQ10,$BJ$7),COUNTIF('1.연간시수표'!AQ10,$BK$9),COUNTIF('1.연간시수표'!AQ10,$BK$7),COUNTIF('1.연간시수표'!AQ10,$BL$9),COUNTIF('1.연간시수표'!AQ10,$BL$7),COUNTIF('1.연간시수표'!AQ10,$BM$9),COUNTIF('1.연간시수표'!AQ10,$BM$7)),$BF$6,IF(OR(COUNTIF('1.연간시수표'!AQ10,$BO$9),COUNTIF('1.연간시수표'!AQ10,$BO$7)),$BO$6,IF(OR(COUNTIF('1.연간시수표'!AQ10,$BP$9),COUNTIF('1.연간시수표'!AQ10,$BP$7)),$BP$6,IF(OR(COUNTIF('1.연간시수표'!AQ10,$BQ$9),COUNTIF('1.연간시수표'!AQ10,$BQ$7)),$BQ$6,IF(OR(COUNTIF('1.연간시수표'!AQ10,$BR$9),COUNTIF('1.연간시수표'!AQ10,$BR$7)),$BR$6,"_")))))))))))))))</f>
        <v>_</v>
      </c>
      <c r="AR10" s="148" t="str">
        <f>IF(OR(COUNTIF('1.연간시수표'!AR10,$AT$9),COUNTIF('1.연간시수표'!AR10,$AT$7)),$AT$6,IF(OR(COUNTIF('1.연간시수표'!AR10,$AU$9),COUNTIF('1.연간시수표'!AR10,$AU$7)),$AU$6,IF(OR(COUNTIF('1.연간시수표'!AR10,$AV$9),COUNTIF('1.연간시수표'!AR10,$AV$7)),$AV$6,IF(OR(COUNTIF('1.연간시수표'!AR10,$AW$9),COUNTIF('1.연간시수표'!AR10,$AW$7)),$AW$6,IF(OR(COUNTIF('1.연간시수표'!AR10,$AX$9),COUNTIF('1.연간시수표'!AR10,$AX$7)),$AX$6,IF(OR(COUNTIF('1.연간시수표'!AR10,$AY$9),COUNTIF('1.연간시수표'!AR10,$AY$7)),$AY$6,IF(OR(COUNTIF('1.연간시수표'!AR10,$AZ$9),COUNTIF('1.연간시수표'!AR10,$AZ$7)),$AZ$6,IF(OR(COUNTIF('1.연간시수표'!AR10,$BA$9),COUNTIF('1.연간시수표'!AR10,$BA$7)),$BA$6,IF(OR(COUNTIF('1.연간시수표'!AR10,$BB$9),COUNTIF('1.연간시수표'!AR10,$BB$7)),$BB$6,IF(OR(COUNTIF('1.연간시수표'!AR10,$BC$9),COUNTIF('1.연간시수표'!AR10,$BC$7)),$BC$6,IF(OR(COUNTIF('1.연간시수표'!AR10,$BF$9),COUNTIF('1.연간시수표'!AR10,$BF$7),COUNTIF('1.연간시수표'!AR10,$BG$9),COUNTIF('1.연간시수표'!AR10,$BG$7),COUNTIF('1.연간시수표'!AR10,$BH$9),COUNTIF('1.연간시수표'!AR10,$BH$7),COUNTIF('1.연간시수표'!AR10,$BI$9),COUNTIF('1.연간시수표'!AR10,$BI$7),COUNTIF('1.연간시수표'!AR10,$BJ$9),COUNTIF('1.연간시수표'!AR10,$BJ$7),COUNTIF('1.연간시수표'!AR10,$BK$9),COUNTIF('1.연간시수표'!AR10,$BK$7),COUNTIF('1.연간시수표'!AR10,$BL$9),COUNTIF('1.연간시수표'!AR10,$BL$7),COUNTIF('1.연간시수표'!AR10,$BM$9),COUNTIF('1.연간시수표'!AR10,$BM$7)),$BF$6,IF(OR(COUNTIF('1.연간시수표'!AR10,$BO$9),COUNTIF('1.연간시수표'!AR10,$BO$7)),$BO$6,IF(OR(COUNTIF('1.연간시수표'!AR10,$BP$9),COUNTIF('1.연간시수표'!AR10,$BP$7)),$BP$6,IF(OR(COUNTIF('1.연간시수표'!AR10,$BQ$9),COUNTIF('1.연간시수표'!AR10,$BQ$7)),$BQ$6,IF(OR(COUNTIF('1.연간시수표'!AR10,$BR$9),COUNTIF('1.연간시수표'!AR10,$BR$7)),$BR$6,"_")))))))))))))))</f>
        <v>_</v>
      </c>
      <c r="BU10" s="27" t="s">
        <v>83</v>
      </c>
      <c r="BV10" s="27" t="s">
        <v>82</v>
      </c>
    </row>
    <row r="11" spans="2:74">
      <c r="B11" s="6"/>
      <c r="C11" s="79">
        <f>'1.연간시수표'!C11</f>
        <v>2</v>
      </c>
      <c r="D11" s="3"/>
      <c r="E11" s="148" t="str">
        <f>IF(OR(COUNTIF('1.연간시수표'!E11,$AT$9),COUNTIF('1.연간시수표'!E11,$AT$7)),$AT$6,IF(OR(COUNTIF('1.연간시수표'!E11,$AU$9),COUNTIF('1.연간시수표'!E11,$AU$7)),$AU$6,IF(OR(COUNTIF('1.연간시수표'!E11,$AV$9),COUNTIF('1.연간시수표'!E11,$AV$7)),$AV$6,IF(OR(COUNTIF('1.연간시수표'!E11,$AW$9),COUNTIF('1.연간시수표'!E11,$AW$7)),$AW$6,IF(OR(COUNTIF('1.연간시수표'!E11,$AX$9),COUNTIF('1.연간시수표'!E11,$AX$7)),$AX$6,IF(OR(COUNTIF('1.연간시수표'!E11,$AY$9),COUNTIF('1.연간시수표'!E11,$AY$7)),$AY$6,IF(OR(COUNTIF('1.연간시수표'!E11,$AZ$9),COUNTIF('1.연간시수표'!E11,$AZ$7)),$AZ$6,IF(OR(COUNTIF('1.연간시수표'!E11,$BA$9),COUNTIF('1.연간시수표'!E11,$BA$7)),$BA$6,IF(OR(COUNTIF('1.연간시수표'!E11,$BB$9),COUNTIF('1.연간시수표'!E11,$BB$7)),$BB$6,IF(OR(COUNTIF('1.연간시수표'!E11,$BC$9),COUNTIF('1.연간시수표'!E11,$BC$7)),$BC$6,IF(OR(COUNTIF('1.연간시수표'!E11,$BF$9),COUNTIF('1.연간시수표'!E11,$BF$7),COUNTIF('1.연간시수표'!E11,$BG$9),COUNTIF('1.연간시수표'!E11,$BG$7),COUNTIF('1.연간시수표'!E11,$BH$9),COUNTIF('1.연간시수표'!E11,$BH$7),COUNTIF('1.연간시수표'!E11,$BI$9),COUNTIF('1.연간시수표'!E11,$BI$7),COUNTIF('1.연간시수표'!E11,$BJ$9),COUNTIF('1.연간시수표'!E11,$BJ$7),COUNTIF('1.연간시수표'!E11,$BK$9),COUNTIF('1.연간시수표'!E11,$BK$7),COUNTIF('1.연간시수표'!E11,$BL$9),COUNTIF('1.연간시수표'!E11,$BL$7),COUNTIF('1.연간시수표'!E11,$BM$9),COUNTIF('1.연간시수표'!E11,$BM$7)),$BF$6,IF(OR(COUNTIF('1.연간시수표'!E11,$BO$9),COUNTIF('1.연간시수표'!E11,$BO$7)),$BO$6,IF(OR(COUNTIF('1.연간시수표'!E11,$BP$9),COUNTIF('1.연간시수표'!E11,$BP$7)),$BP$6,IF(OR(COUNTIF('1.연간시수표'!E11,$BQ$9),COUNTIF('1.연간시수표'!E11,$BQ$7)),$BQ$6,IF(OR(COUNTIF('1.연간시수표'!E11,$BR$9),COUNTIF('1.연간시수표'!E11,$BR$7)),$BR$6,"_")))))))))))))))</f>
        <v>국어</v>
      </c>
      <c r="F11" s="148" t="str">
        <f>IF(OR(COUNTIF('1.연간시수표'!F11,$AT$9),COUNTIF('1.연간시수표'!F11,$AT$7)),$AT$6,IF(OR(COUNTIF('1.연간시수표'!F11,$AU$9),COUNTIF('1.연간시수표'!F11,$AU$7)),$AU$6,IF(OR(COUNTIF('1.연간시수표'!F11,$AV$9),COUNTIF('1.연간시수표'!F11,$AV$7)),$AV$6,IF(OR(COUNTIF('1.연간시수표'!F11,$AW$9),COUNTIF('1.연간시수표'!F11,$AW$7)),$AW$6,IF(OR(COUNTIF('1.연간시수표'!F11,$AX$9),COUNTIF('1.연간시수표'!F11,$AX$7)),$AX$6,IF(OR(COUNTIF('1.연간시수표'!F11,$AY$9),COUNTIF('1.연간시수표'!F11,$AY$7)),$AY$6,IF(OR(COUNTIF('1.연간시수표'!F11,$AZ$9),COUNTIF('1.연간시수표'!F11,$AZ$7)),$AZ$6,IF(OR(COUNTIF('1.연간시수표'!F11,$BA$9),COUNTIF('1.연간시수표'!F11,$BA$7)),$BA$6,IF(OR(COUNTIF('1.연간시수표'!F11,$BB$9),COUNTIF('1.연간시수표'!F11,$BB$7)),$BB$6,IF(OR(COUNTIF('1.연간시수표'!F11,$BC$9),COUNTIF('1.연간시수표'!F11,$BC$7)),$BC$6,IF(OR(COUNTIF('1.연간시수표'!F11,$BF$9),COUNTIF('1.연간시수표'!F11,$BF$7),COUNTIF('1.연간시수표'!F11,$BG$9),COUNTIF('1.연간시수표'!F11,$BG$7),COUNTIF('1.연간시수표'!F11,$BH$9),COUNTIF('1.연간시수표'!F11,$BH$7),COUNTIF('1.연간시수표'!F11,$BI$9),COUNTIF('1.연간시수표'!F11,$BI$7),COUNTIF('1.연간시수표'!F11,$BJ$9),COUNTIF('1.연간시수표'!F11,$BJ$7),COUNTIF('1.연간시수표'!F11,$BK$9),COUNTIF('1.연간시수표'!F11,$BK$7),COUNTIF('1.연간시수표'!F11,$BL$9),COUNTIF('1.연간시수표'!F11,$BL$7),COUNTIF('1.연간시수표'!F11,$BM$9),COUNTIF('1.연간시수표'!F11,$BM$7)),$BF$6,IF(OR(COUNTIF('1.연간시수표'!F11,$BO$9),COUNTIF('1.연간시수표'!F11,$BO$7)),$BO$6,IF(OR(COUNTIF('1.연간시수표'!F11,$BP$9),COUNTIF('1.연간시수표'!F11,$BP$7)),$BP$6,IF(OR(COUNTIF('1.연간시수표'!F11,$BQ$9),COUNTIF('1.연간시수표'!F11,$BQ$7)),$BQ$6,IF(OR(COUNTIF('1.연간시수표'!F11,$BR$9),COUNTIF('1.연간시수표'!F11,$BR$7)),$BR$6,"_")))))))))))))))</f>
        <v>미술</v>
      </c>
      <c r="G11" s="148" t="str">
        <f>IF(OR(COUNTIF('1.연간시수표'!G11,$AT$9),COUNTIF('1.연간시수표'!G11,$AT$7)),$AT$6,IF(OR(COUNTIF('1.연간시수표'!G11,$AU$9),COUNTIF('1.연간시수표'!G11,$AU$7)),$AU$6,IF(OR(COUNTIF('1.연간시수표'!G11,$AV$9),COUNTIF('1.연간시수표'!G11,$AV$7)),$AV$6,IF(OR(COUNTIF('1.연간시수표'!G11,$AW$9),COUNTIF('1.연간시수표'!G11,$AW$7)),$AW$6,IF(OR(COUNTIF('1.연간시수표'!G11,$AX$9),COUNTIF('1.연간시수표'!G11,$AX$7)),$AX$6,IF(OR(COUNTIF('1.연간시수표'!G11,$AY$9),COUNTIF('1.연간시수표'!G11,$AY$7)),$AY$6,IF(OR(COUNTIF('1.연간시수표'!G11,$AZ$9),COUNTIF('1.연간시수표'!G11,$AZ$7)),$AZ$6,IF(OR(COUNTIF('1.연간시수표'!G11,$BA$9),COUNTIF('1.연간시수표'!G11,$BA$7)),$BA$6,IF(OR(COUNTIF('1.연간시수표'!G11,$BB$9),COUNTIF('1.연간시수표'!G11,$BB$7)),$BB$6,IF(OR(COUNTIF('1.연간시수표'!G11,$BC$9),COUNTIF('1.연간시수표'!G11,$BC$7)),$BC$6,IF(OR(COUNTIF('1.연간시수표'!G11,$BF$9),COUNTIF('1.연간시수표'!G11,$BF$7),COUNTIF('1.연간시수표'!G11,$BG$9),COUNTIF('1.연간시수표'!G11,$BG$7),COUNTIF('1.연간시수표'!G11,$BH$9),COUNTIF('1.연간시수표'!G11,$BH$7),COUNTIF('1.연간시수표'!G11,$BI$9),COUNTIF('1.연간시수표'!G11,$BI$7),COUNTIF('1.연간시수표'!G11,$BJ$9),COUNTIF('1.연간시수표'!G11,$BJ$7),COUNTIF('1.연간시수표'!G11,$BK$9),COUNTIF('1.연간시수표'!G11,$BK$7),COUNTIF('1.연간시수표'!G11,$BL$9),COUNTIF('1.연간시수표'!G11,$BL$7),COUNTIF('1.연간시수표'!G11,$BM$9),COUNTIF('1.연간시수표'!G11,$BM$7)),$BF$6,IF(OR(COUNTIF('1.연간시수표'!G11,$BO$9),COUNTIF('1.연간시수표'!G11,$BO$7)),$BO$6,IF(OR(COUNTIF('1.연간시수표'!G11,$BP$9),COUNTIF('1.연간시수표'!G11,$BP$7)),$BP$6,IF(OR(COUNTIF('1.연간시수표'!G11,$BQ$9),COUNTIF('1.연간시수표'!G11,$BQ$7)),$BQ$6,IF(OR(COUNTIF('1.연간시수표'!G11,$BR$9),COUNTIF('1.연간시수표'!G11,$BR$7)),$BR$6,"_")))))))))))))))</f>
        <v>미술</v>
      </c>
      <c r="H11" s="148" t="str">
        <f>IF(OR(COUNTIF('1.연간시수표'!H11,$AT$9),COUNTIF('1.연간시수표'!H11,$AT$7)),$AT$6,IF(OR(COUNTIF('1.연간시수표'!H11,$AU$9),COUNTIF('1.연간시수표'!H11,$AU$7)),$AU$6,IF(OR(COUNTIF('1.연간시수표'!H11,$AV$9),COUNTIF('1.연간시수표'!H11,$AV$7)),$AV$6,IF(OR(COUNTIF('1.연간시수표'!H11,$AW$9),COUNTIF('1.연간시수표'!H11,$AW$7)),$AW$6,IF(OR(COUNTIF('1.연간시수표'!H11,$AX$9),COUNTIF('1.연간시수표'!H11,$AX$7)),$AX$6,IF(OR(COUNTIF('1.연간시수표'!H11,$AY$9),COUNTIF('1.연간시수표'!H11,$AY$7)),$AY$6,IF(OR(COUNTIF('1.연간시수표'!H11,$AZ$9),COUNTIF('1.연간시수표'!H11,$AZ$7)),$AZ$6,IF(OR(COUNTIF('1.연간시수표'!H11,$BA$9),COUNTIF('1.연간시수표'!H11,$BA$7)),$BA$6,IF(OR(COUNTIF('1.연간시수표'!H11,$BB$9),COUNTIF('1.연간시수표'!H11,$BB$7)),$BB$6,IF(OR(COUNTIF('1.연간시수표'!H11,$BC$9),COUNTIF('1.연간시수표'!H11,$BC$7)),$BC$6,IF(OR(COUNTIF('1.연간시수표'!H11,$BF$9),COUNTIF('1.연간시수표'!H11,$BF$7),COUNTIF('1.연간시수표'!H11,$BG$9),COUNTIF('1.연간시수표'!H11,$BG$7),COUNTIF('1.연간시수표'!H11,$BH$9),COUNTIF('1.연간시수표'!H11,$BH$7),COUNTIF('1.연간시수표'!H11,$BI$9),COUNTIF('1.연간시수표'!H11,$BI$7),COUNTIF('1.연간시수표'!H11,$BJ$9),COUNTIF('1.연간시수표'!H11,$BJ$7),COUNTIF('1.연간시수표'!H11,$BK$9),COUNTIF('1.연간시수표'!H11,$BK$7),COUNTIF('1.연간시수표'!H11,$BL$9),COUNTIF('1.연간시수표'!H11,$BL$7),COUNTIF('1.연간시수표'!H11,$BM$9),COUNTIF('1.연간시수표'!H11,$BM$7)),$BF$6,IF(OR(COUNTIF('1.연간시수표'!H11,$BO$9),COUNTIF('1.연간시수표'!H11,$BO$7)),$BO$6,IF(OR(COUNTIF('1.연간시수표'!H11,$BP$9),COUNTIF('1.연간시수표'!H11,$BP$7)),$BP$6,IF(OR(COUNTIF('1.연간시수표'!H11,$BQ$9),COUNTIF('1.연간시수표'!H11,$BQ$7)),$BQ$6,IF(OR(COUNTIF('1.연간시수표'!H11,$BR$9),COUNTIF('1.연간시수표'!H11,$BR$7)),$BR$6,"_")))))))))))))))</f>
        <v>영어</v>
      </c>
      <c r="I11" s="148" t="str">
        <f>IF(OR(COUNTIF('1.연간시수표'!I11,$AT$9),COUNTIF('1.연간시수표'!I11,$AT$7)),$AT$6,IF(OR(COUNTIF('1.연간시수표'!I11,$AU$9),COUNTIF('1.연간시수표'!I11,$AU$7)),$AU$6,IF(OR(COUNTIF('1.연간시수표'!I11,$AV$9),COUNTIF('1.연간시수표'!I11,$AV$7)),$AV$6,IF(OR(COUNTIF('1.연간시수표'!I11,$AW$9),COUNTIF('1.연간시수표'!I11,$AW$7)),$AW$6,IF(OR(COUNTIF('1.연간시수표'!I11,$AX$9),COUNTIF('1.연간시수표'!I11,$AX$7)),$AX$6,IF(OR(COUNTIF('1.연간시수표'!I11,$AY$9),COUNTIF('1.연간시수표'!I11,$AY$7)),$AY$6,IF(OR(COUNTIF('1.연간시수표'!I11,$AZ$9),COUNTIF('1.연간시수표'!I11,$AZ$7)),$AZ$6,IF(OR(COUNTIF('1.연간시수표'!I11,$BA$9),COUNTIF('1.연간시수표'!I11,$BA$7)),$BA$6,IF(OR(COUNTIF('1.연간시수표'!I11,$BB$9),COUNTIF('1.연간시수표'!I11,$BB$7)),$BB$6,IF(OR(COUNTIF('1.연간시수표'!I11,$BC$9),COUNTIF('1.연간시수표'!I11,$BC$7)),$BC$6,IF(OR(COUNTIF('1.연간시수표'!I11,$BF$9),COUNTIF('1.연간시수표'!I11,$BF$7),COUNTIF('1.연간시수표'!I11,$BG$9),COUNTIF('1.연간시수표'!I11,$BG$7),COUNTIF('1.연간시수표'!I11,$BH$9),COUNTIF('1.연간시수표'!I11,$BH$7),COUNTIF('1.연간시수표'!I11,$BI$9),COUNTIF('1.연간시수표'!I11,$BI$7),COUNTIF('1.연간시수표'!I11,$BJ$9),COUNTIF('1.연간시수표'!I11,$BJ$7),COUNTIF('1.연간시수표'!I11,$BK$9),COUNTIF('1.연간시수표'!I11,$BK$7),COUNTIF('1.연간시수표'!I11,$BL$9),COUNTIF('1.연간시수표'!I11,$BL$7),COUNTIF('1.연간시수표'!I11,$BM$9),COUNTIF('1.연간시수표'!I11,$BM$7)),$BF$6,IF(OR(COUNTIF('1.연간시수표'!I11,$BO$9),COUNTIF('1.연간시수표'!I11,$BO$7)),$BO$6,IF(OR(COUNTIF('1.연간시수표'!I11,$BP$9),COUNTIF('1.연간시수표'!I11,$BP$7)),$BP$6,IF(OR(COUNTIF('1.연간시수표'!I11,$BQ$9),COUNTIF('1.연간시수표'!I11,$BQ$7)),$BQ$6,IF(OR(COUNTIF('1.연간시수표'!I11,$BR$9),COUNTIF('1.연간시수표'!I11,$BR$7)),$BR$6,"_")))))))))))))))</f>
        <v>수학</v>
      </c>
      <c r="J11" s="148" t="str">
        <f>IF(OR(COUNTIF('1.연간시수표'!J11,$AT$9),COUNTIF('1.연간시수표'!J11,$AT$7)),$AT$6,IF(OR(COUNTIF('1.연간시수표'!J11,$AU$9),COUNTIF('1.연간시수표'!J11,$AU$7)),$AU$6,IF(OR(COUNTIF('1.연간시수표'!J11,$AV$9),COUNTIF('1.연간시수표'!J11,$AV$7)),$AV$6,IF(OR(COUNTIF('1.연간시수표'!J11,$AW$9),COUNTIF('1.연간시수표'!J11,$AW$7)),$AW$6,IF(OR(COUNTIF('1.연간시수표'!J11,$AX$9),COUNTIF('1.연간시수표'!J11,$AX$7)),$AX$6,IF(OR(COUNTIF('1.연간시수표'!J11,$AY$9),COUNTIF('1.연간시수표'!J11,$AY$7)),$AY$6,IF(OR(COUNTIF('1.연간시수표'!J11,$AZ$9),COUNTIF('1.연간시수표'!J11,$AZ$7)),$AZ$6,IF(OR(COUNTIF('1.연간시수표'!J11,$BA$9),COUNTIF('1.연간시수표'!J11,$BA$7)),$BA$6,IF(OR(COUNTIF('1.연간시수표'!J11,$BB$9),COUNTIF('1.연간시수표'!J11,$BB$7)),$BB$6,IF(OR(COUNTIF('1.연간시수표'!J11,$BC$9),COUNTIF('1.연간시수표'!J11,$BC$7)),$BC$6,IF(OR(COUNTIF('1.연간시수표'!J11,$BF$9),COUNTIF('1.연간시수표'!J11,$BF$7),COUNTIF('1.연간시수표'!J11,$BG$9),COUNTIF('1.연간시수표'!J11,$BG$7),COUNTIF('1.연간시수표'!J11,$BH$9),COUNTIF('1.연간시수표'!J11,$BH$7),COUNTIF('1.연간시수표'!J11,$BI$9),COUNTIF('1.연간시수표'!J11,$BI$7),COUNTIF('1.연간시수표'!J11,$BJ$9),COUNTIF('1.연간시수표'!J11,$BJ$7),COUNTIF('1.연간시수표'!J11,$BK$9),COUNTIF('1.연간시수표'!J11,$BK$7),COUNTIF('1.연간시수표'!J11,$BL$9),COUNTIF('1.연간시수표'!J11,$BL$7),COUNTIF('1.연간시수표'!J11,$BM$9),COUNTIF('1.연간시수표'!J11,$BM$7)),$BF$6,IF(OR(COUNTIF('1.연간시수표'!J11,$BO$9),COUNTIF('1.연간시수표'!J11,$BO$7)),$BO$6,IF(OR(COUNTIF('1.연간시수표'!J11,$BP$9),COUNTIF('1.연간시수표'!J11,$BP$7)),$BP$6,IF(OR(COUNTIF('1.연간시수표'!J11,$BQ$9),COUNTIF('1.연간시수표'!J11,$BQ$7)),$BQ$6,IF(OR(COUNTIF('1.연간시수표'!J11,$BR$9),COUNTIF('1.연간시수표'!J11,$BR$7)),$BR$6,"_")))))))))))))))</f>
        <v>국어</v>
      </c>
      <c r="K11" s="148" t="str">
        <f>IF(OR(COUNTIF('1.연간시수표'!K11,$AT$9),COUNTIF('1.연간시수표'!K11,$AT$7)),$AT$6,IF(OR(COUNTIF('1.연간시수표'!K11,$AU$9),COUNTIF('1.연간시수표'!K11,$AU$7)),$AU$6,IF(OR(COUNTIF('1.연간시수표'!K11,$AV$9),COUNTIF('1.연간시수표'!K11,$AV$7)),$AV$6,IF(OR(COUNTIF('1.연간시수표'!K11,$AW$9),COUNTIF('1.연간시수표'!K11,$AW$7)),$AW$6,IF(OR(COUNTIF('1.연간시수표'!K11,$AX$9),COUNTIF('1.연간시수표'!K11,$AX$7)),$AX$6,IF(OR(COUNTIF('1.연간시수표'!K11,$AY$9),COUNTIF('1.연간시수표'!K11,$AY$7)),$AY$6,IF(OR(COUNTIF('1.연간시수표'!K11,$AZ$9),COUNTIF('1.연간시수표'!K11,$AZ$7)),$AZ$6,IF(OR(COUNTIF('1.연간시수표'!K11,$BA$9),COUNTIF('1.연간시수표'!K11,$BA$7)),$BA$6,IF(OR(COUNTIF('1.연간시수표'!K11,$BB$9),COUNTIF('1.연간시수표'!K11,$BB$7)),$BB$6,IF(OR(COUNTIF('1.연간시수표'!K11,$BC$9),COUNTIF('1.연간시수표'!K11,$BC$7)),$BC$6,IF(OR(COUNTIF('1.연간시수표'!K11,$BF$9),COUNTIF('1.연간시수표'!K11,$BF$7),COUNTIF('1.연간시수표'!K11,$BG$9),COUNTIF('1.연간시수표'!K11,$BG$7),COUNTIF('1.연간시수표'!K11,$BH$9),COUNTIF('1.연간시수표'!K11,$BH$7),COUNTIF('1.연간시수표'!K11,$BI$9),COUNTIF('1.연간시수표'!K11,$BI$7),COUNTIF('1.연간시수표'!K11,$BJ$9),COUNTIF('1.연간시수표'!K11,$BJ$7),COUNTIF('1.연간시수표'!K11,$BK$9),COUNTIF('1.연간시수표'!K11,$BK$7),COUNTIF('1.연간시수표'!K11,$BL$9),COUNTIF('1.연간시수표'!K11,$BL$7),COUNTIF('1.연간시수표'!K11,$BM$9),COUNTIF('1.연간시수표'!K11,$BM$7)),$BF$6,IF(OR(COUNTIF('1.연간시수표'!K11,$BO$9),COUNTIF('1.연간시수표'!K11,$BO$7)),$BO$6,IF(OR(COUNTIF('1.연간시수표'!K11,$BP$9),COUNTIF('1.연간시수표'!K11,$BP$7)),$BP$6,IF(OR(COUNTIF('1.연간시수표'!K11,$BQ$9),COUNTIF('1.연간시수표'!K11,$BQ$7)),$BQ$6,IF(OR(COUNTIF('1.연간시수표'!K11,$BR$9),COUNTIF('1.연간시수표'!K11,$BR$7)),$BR$6,"_")))))))))))))))</f>
        <v>_</v>
      </c>
      <c r="L11" s="148" t="str">
        <f>IF(OR(COUNTIF('1.연간시수표'!L11,$AT$9),COUNTIF('1.연간시수표'!L11,$AT$7)),$AT$6,IF(OR(COUNTIF('1.연간시수표'!L11,$AU$9),COUNTIF('1.연간시수표'!L11,$AU$7)),$AU$6,IF(OR(COUNTIF('1.연간시수표'!L11,$AV$9),COUNTIF('1.연간시수표'!L11,$AV$7)),$AV$6,IF(OR(COUNTIF('1.연간시수표'!L11,$AW$9),COUNTIF('1.연간시수표'!L11,$AW$7)),$AW$6,IF(OR(COUNTIF('1.연간시수표'!L11,$AX$9),COUNTIF('1.연간시수표'!L11,$AX$7)),$AX$6,IF(OR(COUNTIF('1.연간시수표'!L11,$AY$9),COUNTIF('1.연간시수표'!L11,$AY$7)),$AY$6,IF(OR(COUNTIF('1.연간시수표'!L11,$AZ$9),COUNTIF('1.연간시수표'!L11,$AZ$7)),$AZ$6,IF(OR(COUNTIF('1.연간시수표'!L11,$BA$9),COUNTIF('1.연간시수표'!L11,$BA$7)),$BA$6,IF(OR(COUNTIF('1.연간시수표'!L11,$BB$9),COUNTIF('1.연간시수표'!L11,$BB$7)),$BB$6,IF(OR(COUNTIF('1.연간시수표'!L11,$BC$9),COUNTIF('1.연간시수표'!L11,$BC$7)),$BC$6,IF(OR(COUNTIF('1.연간시수표'!L11,$BF$9),COUNTIF('1.연간시수표'!L11,$BF$7),COUNTIF('1.연간시수표'!L11,$BG$9),COUNTIF('1.연간시수표'!L11,$BG$7),COUNTIF('1.연간시수표'!L11,$BH$9),COUNTIF('1.연간시수표'!L11,$BH$7),COUNTIF('1.연간시수표'!L11,$BI$9),COUNTIF('1.연간시수표'!L11,$BI$7),COUNTIF('1.연간시수표'!L11,$BJ$9),COUNTIF('1.연간시수표'!L11,$BJ$7),COUNTIF('1.연간시수표'!L11,$BK$9),COUNTIF('1.연간시수표'!L11,$BK$7),COUNTIF('1.연간시수표'!L11,$BL$9),COUNTIF('1.연간시수표'!L11,$BL$7),COUNTIF('1.연간시수표'!L11,$BM$9),COUNTIF('1.연간시수표'!L11,$BM$7)),$BF$6,IF(OR(COUNTIF('1.연간시수표'!L11,$BO$9),COUNTIF('1.연간시수표'!L11,$BO$7)),$BO$6,IF(OR(COUNTIF('1.연간시수표'!L11,$BP$9),COUNTIF('1.연간시수표'!L11,$BP$7)),$BP$6,IF(OR(COUNTIF('1.연간시수표'!L11,$BQ$9),COUNTIF('1.연간시수표'!L11,$BQ$7)),$BQ$6,IF(OR(COUNTIF('1.연간시수표'!L11,$BR$9),COUNTIF('1.연간시수표'!L11,$BR$7)),$BR$6,"_")))))))))))))))</f>
        <v>_</v>
      </c>
      <c r="M11" s="148" t="str">
        <f>IF(OR(COUNTIF('1.연간시수표'!M11,$AT$9),COUNTIF('1.연간시수표'!M11,$AT$7)),$AT$6,IF(OR(COUNTIF('1.연간시수표'!M11,$AU$9),COUNTIF('1.연간시수표'!M11,$AU$7)),$AU$6,IF(OR(COUNTIF('1.연간시수표'!M11,$AV$9),COUNTIF('1.연간시수표'!M11,$AV$7)),$AV$6,IF(OR(COUNTIF('1.연간시수표'!M11,$AW$9),COUNTIF('1.연간시수표'!M11,$AW$7)),$AW$6,IF(OR(COUNTIF('1.연간시수표'!M11,$AX$9),COUNTIF('1.연간시수표'!M11,$AX$7)),$AX$6,IF(OR(COUNTIF('1.연간시수표'!M11,$AY$9),COUNTIF('1.연간시수표'!M11,$AY$7)),$AY$6,IF(OR(COUNTIF('1.연간시수표'!M11,$AZ$9),COUNTIF('1.연간시수표'!M11,$AZ$7)),$AZ$6,IF(OR(COUNTIF('1.연간시수표'!M11,$BA$9),COUNTIF('1.연간시수표'!M11,$BA$7)),$BA$6,IF(OR(COUNTIF('1.연간시수표'!M11,$BB$9),COUNTIF('1.연간시수표'!M11,$BB$7)),$BB$6,IF(OR(COUNTIF('1.연간시수표'!M11,$BC$9),COUNTIF('1.연간시수표'!M11,$BC$7)),$BC$6,IF(OR(COUNTIF('1.연간시수표'!M11,$BF$9),COUNTIF('1.연간시수표'!M11,$BF$7),COUNTIF('1.연간시수표'!M11,$BG$9),COUNTIF('1.연간시수표'!M11,$BG$7),COUNTIF('1.연간시수표'!M11,$BH$9),COUNTIF('1.연간시수표'!M11,$BH$7),COUNTIF('1.연간시수표'!M11,$BI$9),COUNTIF('1.연간시수표'!M11,$BI$7),COUNTIF('1.연간시수표'!M11,$BJ$9),COUNTIF('1.연간시수표'!M11,$BJ$7),COUNTIF('1.연간시수표'!M11,$BK$9),COUNTIF('1.연간시수표'!M11,$BK$7),COUNTIF('1.연간시수표'!M11,$BL$9),COUNTIF('1.연간시수표'!M11,$BL$7),COUNTIF('1.연간시수표'!M11,$BM$9),COUNTIF('1.연간시수표'!M11,$BM$7)),$BF$6,IF(OR(COUNTIF('1.연간시수표'!M11,$BO$9),COUNTIF('1.연간시수표'!M11,$BO$7)),$BO$6,IF(OR(COUNTIF('1.연간시수표'!M11,$BP$9),COUNTIF('1.연간시수표'!M11,$BP$7)),$BP$6,IF(OR(COUNTIF('1.연간시수표'!M11,$BQ$9),COUNTIF('1.연간시수표'!M11,$BQ$7)),$BQ$6,IF(OR(COUNTIF('1.연간시수표'!M11,$BR$9),COUNTIF('1.연간시수표'!M11,$BR$7)),$BR$6,"_")))))))))))))))</f>
        <v>국어</v>
      </c>
      <c r="N11" s="148" t="str">
        <f>IF(OR(COUNTIF('1.연간시수표'!N11,$AT$9),COUNTIF('1.연간시수표'!N11,$AT$7)),$AT$6,IF(OR(COUNTIF('1.연간시수표'!N11,$AU$9),COUNTIF('1.연간시수표'!N11,$AU$7)),$AU$6,IF(OR(COUNTIF('1.연간시수표'!N11,$AV$9),COUNTIF('1.연간시수표'!N11,$AV$7)),$AV$6,IF(OR(COUNTIF('1.연간시수표'!N11,$AW$9),COUNTIF('1.연간시수표'!N11,$AW$7)),$AW$6,IF(OR(COUNTIF('1.연간시수표'!N11,$AX$9),COUNTIF('1.연간시수표'!N11,$AX$7)),$AX$6,IF(OR(COUNTIF('1.연간시수표'!N11,$AY$9),COUNTIF('1.연간시수표'!N11,$AY$7)),$AY$6,IF(OR(COUNTIF('1.연간시수표'!N11,$AZ$9),COUNTIF('1.연간시수표'!N11,$AZ$7)),$AZ$6,IF(OR(COUNTIF('1.연간시수표'!N11,$BA$9),COUNTIF('1.연간시수표'!N11,$BA$7)),$BA$6,IF(OR(COUNTIF('1.연간시수표'!N11,$BB$9),COUNTIF('1.연간시수표'!N11,$BB$7)),$BB$6,IF(OR(COUNTIF('1.연간시수표'!N11,$BC$9),COUNTIF('1.연간시수표'!N11,$BC$7)),$BC$6,IF(OR(COUNTIF('1.연간시수표'!N11,$BF$9),COUNTIF('1.연간시수표'!N11,$BF$7),COUNTIF('1.연간시수표'!N11,$BG$9),COUNTIF('1.연간시수표'!N11,$BG$7),COUNTIF('1.연간시수표'!N11,$BH$9),COUNTIF('1.연간시수표'!N11,$BH$7),COUNTIF('1.연간시수표'!N11,$BI$9),COUNTIF('1.연간시수표'!N11,$BI$7),COUNTIF('1.연간시수표'!N11,$BJ$9),COUNTIF('1.연간시수표'!N11,$BJ$7),COUNTIF('1.연간시수표'!N11,$BK$9),COUNTIF('1.연간시수표'!N11,$BK$7),COUNTIF('1.연간시수표'!N11,$BL$9),COUNTIF('1.연간시수표'!N11,$BL$7),COUNTIF('1.연간시수표'!N11,$BM$9),COUNTIF('1.연간시수표'!N11,$BM$7)),$BF$6,IF(OR(COUNTIF('1.연간시수표'!N11,$BO$9),COUNTIF('1.연간시수표'!N11,$BO$7)),$BO$6,IF(OR(COUNTIF('1.연간시수표'!N11,$BP$9),COUNTIF('1.연간시수표'!N11,$BP$7)),$BP$6,IF(OR(COUNTIF('1.연간시수표'!N11,$BQ$9),COUNTIF('1.연간시수표'!N11,$BQ$7)),$BQ$6,IF(OR(COUNTIF('1.연간시수표'!N11,$BR$9),COUNTIF('1.연간시수표'!N11,$BR$7)),$BR$6,"_")))))))))))))))</f>
        <v>수학</v>
      </c>
      <c r="O11" s="148" t="str">
        <f>IF(OR(COUNTIF('1.연간시수표'!O11,$AT$9),COUNTIF('1.연간시수표'!O11,$AT$7)),$AT$6,IF(OR(COUNTIF('1.연간시수표'!O11,$AU$9),COUNTIF('1.연간시수표'!O11,$AU$7)),$AU$6,IF(OR(COUNTIF('1.연간시수표'!O11,$AV$9),COUNTIF('1.연간시수표'!O11,$AV$7)),$AV$6,IF(OR(COUNTIF('1.연간시수표'!O11,$AW$9),COUNTIF('1.연간시수표'!O11,$AW$7)),$AW$6,IF(OR(COUNTIF('1.연간시수표'!O11,$AX$9),COUNTIF('1.연간시수표'!O11,$AX$7)),$AX$6,IF(OR(COUNTIF('1.연간시수표'!O11,$AY$9),COUNTIF('1.연간시수표'!O11,$AY$7)),$AY$6,IF(OR(COUNTIF('1.연간시수표'!O11,$AZ$9),COUNTIF('1.연간시수표'!O11,$AZ$7)),$AZ$6,IF(OR(COUNTIF('1.연간시수표'!O11,$BA$9),COUNTIF('1.연간시수표'!O11,$BA$7)),$BA$6,IF(OR(COUNTIF('1.연간시수표'!O11,$BB$9),COUNTIF('1.연간시수표'!O11,$BB$7)),$BB$6,IF(OR(COUNTIF('1.연간시수표'!O11,$BC$9),COUNTIF('1.연간시수표'!O11,$BC$7)),$BC$6,IF(OR(COUNTIF('1.연간시수표'!O11,$BF$9),COUNTIF('1.연간시수표'!O11,$BF$7),COUNTIF('1.연간시수표'!O11,$BG$9),COUNTIF('1.연간시수표'!O11,$BG$7),COUNTIF('1.연간시수표'!O11,$BH$9),COUNTIF('1.연간시수표'!O11,$BH$7),COUNTIF('1.연간시수표'!O11,$BI$9),COUNTIF('1.연간시수표'!O11,$BI$7),COUNTIF('1.연간시수표'!O11,$BJ$9),COUNTIF('1.연간시수표'!O11,$BJ$7),COUNTIF('1.연간시수표'!O11,$BK$9),COUNTIF('1.연간시수표'!O11,$BK$7),COUNTIF('1.연간시수표'!O11,$BL$9),COUNTIF('1.연간시수표'!O11,$BL$7),COUNTIF('1.연간시수표'!O11,$BM$9),COUNTIF('1.연간시수표'!O11,$BM$7)),$BF$6,IF(OR(COUNTIF('1.연간시수표'!O11,$BO$9),COUNTIF('1.연간시수표'!O11,$BO$7)),$BO$6,IF(OR(COUNTIF('1.연간시수표'!O11,$BP$9),COUNTIF('1.연간시수표'!O11,$BP$7)),$BP$6,IF(OR(COUNTIF('1.연간시수표'!O11,$BQ$9),COUNTIF('1.연간시수표'!O11,$BQ$7)),$BQ$6,IF(OR(COUNTIF('1.연간시수표'!O11,$BR$9),COUNTIF('1.연간시수표'!O11,$BR$7)),$BR$6,"_")))))))))))))))</f>
        <v>사회</v>
      </c>
      <c r="P11" s="148" t="str">
        <f>IF(OR(COUNTIF('1.연간시수표'!P11,$AT$9),COUNTIF('1.연간시수표'!P11,$AT$7)),$AT$6,IF(OR(COUNTIF('1.연간시수표'!P11,$AU$9),COUNTIF('1.연간시수표'!P11,$AU$7)),$AU$6,IF(OR(COUNTIF('1.연간시수표'!P11,$AV$9),COUNTIF('1.연간시수표'!P11,$AV$7)),$AV$6,IF(OR(COUNTIF('1.연간시수표'!P11,$AW$9),COUNTIF('1.연간시수표'!P11,$AW$7)),$AW$6,IF(OR(COUNTIF('1.연간시수표'!P11,$AX$9),COUNTIF('1.연간시수표'!P11,$AX$7)),$AX$6,IF(OR(COUNTIF('1.연간시수표'!P11,$AY$9),COUNTIF('1.연간시수표'!P11,$AY$7)),$AY$6,IF(OR(COUNTIF('1.연간시수표'!P11,$AZ$9),COUNTIF('1.연간시수표'!P11,$AZ$7)),$AZ$6,IF(OR(COUNTIF('1.연간시수표'!P11,$BA$9),COUNTIF('1.연간시수표'!P11,$BA$7)),$BA$6,IF(OR(COUNTIF('1.연간시수표'!P11,$BB$9),COUNTIF('1.연간시수표'!P11,$BB$7)),$BB$6,IF(OR(COUNTIF('1.연간시수표'!P11,$BC$9),COUNTIF('1.연간시수표'!P11,$BC$7)),$BC$6,IF(OR(COUNTIF('1.연간시수표'!P11,$BF$9),COUNTIF('1.연간시수표'!P11,$BF$7),COUNTIF('1.연간시수표'!P11,$BG$9),COUNTIF('1.연간시수표'!P11,$BG$7),COUNTIF('1.연간시수표'!P11,$BH$9),COUNTIF('1.연간시수표'!P11,$BH$7),COUNTIF('1.연간시수표'!P11,$BI$9),COUNTIF('1.연간시수표'!P11,$BI$7),COUNTIF('1.연간시수표'!P11,$BJ$9),COUNTIF('1.연간시수표'!P11,$BJ$7),COUNTIF('1.연간시수표'!P11,$BK$9),COUNTIF('1.연간시수표'!P11,$BK$7),COUNTIF('1.연간시수표'!P11,$BL$9),COUNTIF('1.연간시수표'!P11,$BL$7),COUNTIF('1.연간시수표'!P11,$BM$9),COUNTIF('1.연간시수표'!P11,$BM$7)),$BF$6,IF(OR(COUNTIF('1.연간시수표'!P11,$BO$9),COUNTIF('1.연간시수표'!P11,$BO$7)),$BO$6,IF(OR(COUNTIF('1.연간시수표'!P11,$BP$9),COUNTIF('1.연간시수표'!P11,$BP$7)),$BP$6,IF(OR(COUNTIF('1.연간시수표'!P11,$BQ$9),COUNTIF('1.연간시수표'!P11,$BQ$7)),$BQ$6,IF(OR(COUNTIF('1.연간시수표'!P11,$BR$9),COUNTIF('1.연간시수표'!P11,$BR$7)),$BR$6,"_")))))))))))))))</f>
        <v>과학</v>
      </c>
      <c r="Q11" s="148" t="str">
        <f>IF(OR(COUNTIF('1.연간시수표'!Q11,$AT$9),COUNTIF('1.연간시수표'!Q11,$AT$7)),$AT$6,IF(OR(COUNTIF('1.연간시수표'!Q11,$AU$9),COUNTIF('1.연간시수표'!Q11,$AU$7)),$AU$6,IF(OR(COUNTIF('1.연간시수표'!Q11,$AV$9),COUNTIF('1.연간시수표'!Q11,$AV$7)),$AV$6,IF(OR(COUNTIF('1.연간시수표'!Q11,$AW$9),COUNTIF('1.연간시수표'!Q11,$AW$7)),$AW$6,IF(OR(COUNTIF('1.연간시수표'!Q11,$AX$9),COUNTIF('1.연간시수표'!Q11,$AX$7)),$AX$6,IF(OR(COUNTIF('1.연간시수표'!Q11,$AY$9),COUNTIF('1.연간시수표'!Q11,$AY$7)),$AY$6,IF(OR(COUNTIF('1.연간시수표'!Q11,$AZ$9),COUNTIF('1.연간시수표'!Q11,$AZ$7)),$AZ$6,IF(OR(COUNTIF('1.연간시수표'!Q11,$BA$9),COUNTIF('1.연간시수표'!Q11,$BA$7)),$BA$6,IF(OR(COUNTIF('1.연간시수표'!Q11,$BB$9),COUNTIF('1.연간시수표'!Q11,$BB$7)),$BB$6,IF(OR(COUNTIF('1.연간시수표'!Q11,$BC$9),COUNTIF('1.연간시수표'!Q11,$BC$7)),$BC$6,IF(OR(COUNTIF('1.연간시수표'!Q11,$BF$9),COUNTIF('1.연간시수표'!Q11,$BF$7),COUNTIF('1.연간시수표'!Q11,$BG$9),COUNTIF('1.연간시수표'!Q11,$BG$7),COUNTIF('1.연간시수표'!Q11,$BH$9),COUNTIF('1.연간시수표'!Q11,$BH$7),COUNTIF('1.연간시수표'!Q11,$BI$9),COUNTIF('1.연간시수표'!Q11,$BI$7),COUNTIF('1.연간시수표'!Q11,$BJ$9),COUNTIF('1.연간시수표'!Q11,$BJ$7),COUNTIF('1.연간시수표'!Q11,$BK$9),COUNTIF('1.연간시수표'!Q11,$BK$7),COUNTIF('1.연간시수표'!Q11,$BL$9),COUNTIF('1.연간시수표'!Q11,$BL$7),COUNTIF('1.연간시수표'!Q11,$BM$9),COUNTIF('1.연간시수표'!Q11,$BM$7)),$BF$6,IF(OR(COUNTIF('1.연간시수표'!Q11,$BO$9),COUNTIF('1.연간시수표'!Q11,$BO$7)),$BO$6,IF(OR(COUNTIF('1.연간시수표'!Q11,$BP$9),COUNTIF('1.연간시수표'!Q11,$BP$7)),$BP$6,IF(OR(COUNTIF('1.연간시수표'!Q11,$BQ$9),COUNTIF('1.연간시수표'!Q11,$BQ$7)),$BQ$6,IF(OR(COUNTIF('1.연간시수표'!Q11,$BR$9),COUNTIF('1.연간시수표'!Q11,$BR$7)),$BR$6,"_")))))))))))))))</f>
        <v>영어</v>
      </c>
      <c r="R11" s="148" t="str">
        <f>IF(OR(COUNTIF('1.연간시수표'!R11,$AT$9),COUNTIF('1.연간시수표'!R11,$AT$7)),$AT$6,IF(OR(COUNTIF('1.연간시수표'!R11,$AU$9),COUNTIF('1.연간시수표'!R11,$AU$7)),$AU$6,IF(OR(COUNTIF('1.연간시수표'!R11,$AV$9),COUNTIF('1.연간시수표'!R11,$AV$7)),$AV$6,IF(OR(COUNTIF('1.연간시수표'!R11,$AW$9),COUNTIF('1.연간시수표'!R11,$AW$7)),$AW$6,IF(OR(COUNTIF('1.연간시수표'!R11,$AX$9),COUNTIF('1.연간시수표'!R11,$AX$7)),$AX$6,IF(OR(COUNTIF('1.연간시수표'!R11,$AY$9),COUNTIF('1.연간시수표'!R11,$AY$7)),$AY$6,IF(OR(COUNTIF('1.연간시수표'!R11,$AZ$9),COUNTIF('1.연간시수표'!R11,$AZ$7)),$AZ$6,IF(OR(COUNTIF('1.연간시수표'!R11,$BA$9),COUNTIF('1.연간시수표'!R11,$BA$7)),$BA$6,IF(OR(COUNTIF('1.연간시수표'!R11,$BB$9),COUNTIF('1.연간시수표'!R11,$BB$7)),$BB$6,IF(OR(COUNTIF('1.연간시수표'!R11,$BC$9),COUNTIF('1.연간시수표'!R11,$BC$7)),$BC$6,IF(OR(COUNTIF('1.연간시수표'!R11,$BF$9),COUNTIF('1.연간시수표'!R11,$BF$7),COUNTIF('1.연간시수표'!R11,$BG$9),COUNTIF('1.연간시수표'!R11,$BG$7),COUNTIF('1.연간시수표'!R11,$BH$9),COUNTIF('1.연간시수표'!R11,$BH$7),COUNTIF('1.연간시수표'!R11,$BI$9),COUNTIF('1.연간시수표'!R11,$BI$7),COUNTIF('1.연간시수표'!R11,$BJ$9),COUNTIF('1.연간시수표'!R11,$BJ$7),COUNTIF('1.연간시수표'!R11,$BK$9),COUNTIF('1.연간시수표'!R11,$BK$7),COUNTIF('1.연간시수표'!R11,$BL$9),COUNTIF('1.연간시수표'!R11,$BL$7),COUNTIF('1.연간시수표'!R11,$BM$9),COUNTIF('1.연간시수표'!R11,$BM$7)),$BF$6,IF(OR(COUNTIF('1.연간시수표'!R11,$BO$9),COUNTIF('1.연간시수표'!R11,$BO$7)),$BO$6,IF(OR(COUNTIF('1.연간시수표'!R11,$BP$9),COUNTIF('1.연간시수표'!R11,$BP$7)),$BP$6,IF(OR(COUNTIF('1.연간시수표'!R11,$BQ$9),COUNTIF('1.연간시수표'!R11,$BQ$7)),$BQ$6,IF(OR(COUNTIF('1.연간시수표'!R11,$BR$9),COUNTIF('1.연간시수표'!R11,$BR$7)),$BR$6,"_")))))))))))))))</f>
        <v>실과</v>
      </c>
      <c r="S11" s="148" t="str">
        <f>IF(OR(COUNTIF('1.연간시수표'!S11,$AT$9),COUNTIF('1.연간시수표'!S11,$AT$7)),$AT$6,IF(OR(COUNTIF('1.연간시수표'!S11,$AU$9),COUNTIF('1.연간시수표'!S11,$AU$7)),$AU$6,IF(OR(COUNTIF('1.연간시수표'!S11,$AV$9),COUNTIF('1.연간시수표'!S11,$AV$7)),$AV$6,IF(OR(COUNTIF('1.연간시수표'!S11,$AW$9),COUNTIF('1.연간시수표'!S11,$AW$7)),$AW$6,IF(OR(COUNTIF('1.연간시수표'!S11,$AX$9),COUNTIF('1.연간시수표'!S11,$AX$7)),$AX$6,IF(OR(COUNTIF('1.연간시수표'!S11,$AY$9),COUNTIF('1.연간시수표'!S11,$AY$7)),$AY$6,IF(OR(COUNTIF('1.연간시수표'!S11,$AZ$9),COUNTIF('1.연간시수표'!S11,$AZ$7)),$AZ$6,IF(OR(COUNTIF('1.연간시수표'!S11,$BA$9),COUNTIF('1.연간시수표'!S11,$BA$7)),$BA$6,IF(OR(COUNTIF('1.연간시수표'!S11,$BB$9),COUNTIF('1.연간시수표'!S11,$BB$7)),$BB$6,IF(OR(COUNTIF('1.연간시수표'!S11,$BC$9),COUNTIF('1.연간시수표'!S11,$BC$7)),$BC$6,IF(OR(COUNTIF('1.연간시수표'!S11,$BF$9),COUNTIF('1.연간시수표'!S11,$BF$7),COUNTIF('1.연간시수표'!S11,$BG$9),COUNTIF('1.연간시수표'!S11,$BG$7),COUNTIF('1.연간시수표'!S11,$BH$9),COUNTIF('1.연간시수표'!S11,$BH$7),COUNTIF('1.연간시수표'!S11,$BI$9),COUNTIF('1.연간시수표'!S11,$BI$7),COUNTIF('1.연간시수표'!S11,$BJ$9),COUNTIF('1.연간시수표'!S11,$BJ$7),COUNTIF('1.연간시수표'!S11,$BK$9),COUNTIF('1.연간시수표'!S11,$BK$7),COUNTIF('1.연간시수표'!S11,$BL$9),COUNTIF('1.연간시수표'!S11,$BL$7),COUNTIF('1.연간시수표'!S11,$BM$9),COUNTIF('1.연간시수표'!S11,$BM$7)),$BF$6,IF(OR(COUNTIF('1.연간시수표'!S11,$BO$9),COUNTIF('1.연간시수표'!S11,$BO$7)),$BO$6,IF(OR(COUNTIF('1.연간시수표'!S11,$BP$9),COUNTIF('1.연간시수표'!S11,$BP$7)),$BP$6,IF(OR(COUNTIF('1.연간시수표'!S11,$BQ$9),COUNTIF('1.연간시수표'!S11,$BQ$7)),$BQ$6,IF(OR(COUNTIF('1.연간시수표'!S11,$BR$9),COUNTIF('1.연간시수표'!S11,$BR$7)),$BR$6,"_")))))))))))))))</f>
        <v>_</v>
      </c>
      <c r="T11" s="148" t="str">
        <f>IF(OR(COUNTIF('1.연간시수표'!T11,$AT$9),COUNTIF('1.연간시수표'!T11,$AT$7)),$AT$6,IF(OR(COUNTIF('1.연간시수표'!T11,$AU$9),COUNTIF('1.연간시수표'!T11,$AU$7)),$AU$6,IF(OR(COUNTIF('1.연간시수표'!T11,$AV$9),COUNTIF('1.연간시수표'!T11,$AV$7)),$AV$6,IF(OR(COUNTIF('1.연간시수표'!T11,$AW$9),COUNTIF('1.연간시수표'!T11,$AW$7)),$AW$6,IF(OR(COUNTIF('1.연간시수표'!T11,$AX$9),COUNTIF('1.연간시수표'!T11,$AX$7)),$AX$6,IF(OR(COUNTIF('1.연간시수표'!T11,$AY$9),COUNTIF('1.연간시수표'!T11,$AY$7)),$AY$6,IF(OR(COUNTIF('1.연간시수표'!T11,$AZ$9),COUNTIF('1.연간시수표'!T11,$AZ$7)),$AZ$6,IF(OR(COUNTIF('1.연간시수표'!T11,$BA$9),COUNTIF('1.연간시수표'!T11,$BA$7)),$BA$6,IF(OR(COUNTIF('1.연간시수표'!T11,$BB$9),COUNTIF('1.연간시수표'!T11,$BB$7)),$BB$6,IF(OR(COUNTIF('1.연간시수표'!T11,$BC$9),COUNTIF('1.연간시수표'!T11,$BC$7)),$BC$6,IF(OR(COUNTIF('1.연간시수표'!T11,$BF$9),COUNTIF('1.연간시수표'!T11,$BF$7),COUNTIF('1.연간시수표'!T11,$BG$9),COUNTIF('1.연간시수표'!T11,$BG$7),COUNTIF('1.연간시수표'!T11,$BH$9),COUNTIF('1.연간시수표'!T11,$BH$7),COUNTIF('1.연간시수표'!T11,$BI$9),COUNTIF('1.연간시수표'!T11,$BI$7),COUNTIF('1.연간시수표'!T11,$BJ$9),COUNTIF('1.연간시수표'!T11,$BJ$7),COUNTIF('1.연간시수표'!T11,$BK$9),COUNTIF('1.연간시수표'!T11,$BK$7),COUNTIF('1.연간시수표'!T11,$BL$9),COUNTIF('1.연간시수표'!T11,$BL$7),COUNTIF('1.연간시수표'!T11,$BM$9),COUNTIF('1.연간시수표'!T11,$BM$7)),$BF$6,IF(OR(COUNTIF('1.연간시수표'!T11,$BO$9),COUNTIF('1.연간시수표'!T11,$BO$7)),$BO$6,IF(OR(COUNTIF('1.연간시수표'!T11,$BP$9),COUNTIF('1.연간시수표'!T11,$BP$7)),$BP$6,IF(OR(COUNTIF('1.연간시수표'!T11,$BQ$9),COUNTIF('1.연간시수표'!T11,$BQ$7)),$BQ$6,IF(OR(COUNTIF('1.연간시수표'!T11,$BR$9),COUNTIF('1.연간시수표'!T11,$BR$7)),$BR$6,"_")))))))))))))))</f>
        <v>_</v>
      </c>
      <c r="U11" s="148" t="str">
        <f>IF(OR(COUNTIF('1.연간시수표'!U11,$AT$9),COUNTIF('1.연간시수표'!U11,$AT$7)),$AT$6,IF(OR(COUNTIF('1.연간시수표'!U11,$AU$9),COUNTIF('1.연간시수표'!U11,$AU$7)),$AU$6,IF(OR(COUNTIF('1.연간시수표'!U11,$AV$9),COUNTIF('1.연간시수표'!U11,$AV$7)),$AV$6,IF(OR(COUNTIF('1.연간시수표'!U11,$AW$9),COUNTIF('1.연간시수표'!U11,$AW$7)),$AW$6,IF(OR(COUNTIF('1.연간시수표'!U11,$AX$9),COUNTIF('1.연간시수표'!U11,$AX$7)),$AX$6,IF(OR(COUNTIF('1.연간시수표'!U11,$AY$9),COUNTIF('1.연간시수표'!U11,$AY$7)),$AY$6,IF(OR(COUNTIF('1.연간시수표'!U11,$AZ$9),COUNTIF('1.연간시수표'!U11,$AZ$7)),$AZ$6,IF(OR(COUNTIF('1.연간시수표'!U11,$BA$9),COUNTIF('1.연간시수표'!U11,$BA$7)),$BA$6,IF(OR(COUNTIF('1.연간시수표'!U11,$BB$9),COUNTIF('1.연간시수표'!U11,$BB$7)),$BB$6,IF(OR(COUNTIF('1.연간시수표'!U11,$BC$9),COUNTIF('1.연간시수표'!U11,$BC$7)),$BC$6,IF(OR(COUNTIF('1.연간시수표'!U11,$BF$9),COUNTIF('1.연간시수표'!U11,$BF$7),COUNTIF('1.연간시수표'!U11,$BG$9),COUNTIF('1.연간시수표'!U11,$BG$7),COUNTIF('1.연간시수표'!U11,$BH$9),COUNTIF('1.연간시수표'!U11,$BH$7),COUNTIF('1.연간시수표'!U11,$BI$9),COUNTIF('1.연간시수표'!U11,$BI$7),COUNTIF('1.연간시수표'!U11,$BJ$9),COUNTIF('1.연간시수표'!U11,$BJ$7),COUNTIF('1.연간시수표'!U11,$BK$9),COUNTIF('1.연간시수표'!U11,$BK$7),COUNTIF('1.연간시수표'!U11,$BL$9),COUNTIF('1.연간시수표'!U11,$BL$7),COUNTIF('1.연간시수표'!U11,$BM$9),COUNTIF('1.연간시수표'!U11,$BM$7)),$BF$6,IF(OR(COUNTIF('1.연간시수표'!U11,$BO$9),COUNTIF('1.연간시수표'!U11,$BO$7)),$BO$6,IF(OR(COUNTIF('1.연간시수표'!U11,$BP$9),COUNTIF('1.연간시수표'!U11,$BP$7)),$BP$6,IF(OR(COUNTIF('1.연간시수표'!U11,$BQ$9),COUNTIF('1.연간시수표'!U11,$BQ$7)),$BQ$6,IF(OR(COUNTIF('1.연간시수표'!U11,$BR$9),COUNTIF('1.연간시수표'!U11,$BR$7)),$BR$6,"_")))))))))))))))</f>
        <v>_</v>
      </c>
      <c r="V11" s="148" t="str">
        <f>IF(OR(COUNTIF('1.연간시수표'!V11,$AT$9),COUNTIF('1.연간시수표'!V11,$AT$7)),$AT$6,IF(OR(COUNTIF('1.연간시수표'!V11,$AU$9),COUNTIF('1.연간시수표'!V11,$AU$7)),$AU$6,IF(OR(COUNTIF('1.연간시수표'!V11,$AV$9),COUNTIF('1.연간시수표'!V11,$AV$7)),$AV$6,IF(OR(COUNTIF('1.연간시수표'!V11,$AW$9),COUNTIF('1.연간시수표'!V11,$AW$7)),$AW$6,IF(OR(COUNTIF('1.연간시수표'!V11,$AX$9),COUNTIF('1.연간시수표'!V11,$AX$7)),$AX$6,IF(OR(COUNTIF('1.연간시수표'!V11,$AY$9),COUNTIF('1.연간시수표'!V11,$AY$7)),$AY$6,IF(OR(COUNTIF('1.연간시수표'!V11,$AZ$9),COUNTIF('1.연간시수표'!V11,$AZ$7)),$AZ$6,IF(OR(COUNTIF('1.연간시수표'!V11,$BA$9),COUNTIF('1.연간시수표'!V11,$BA$7)),$BA$6,IF(OR(COUNTIF('1.연간시수표'!V11,$BB$9),COUNTIF('1.연간시수표'!V11,$BB$7)),$BB$6,IF(OR(COUNTIF('1.연간시수표'!V11,$BC$9),COUNTIF('1.연간시수표'!V11,$BC$7)),$BC$6,IF(OR(COUNTIF('1.연간시수표'!V11,$BF$9),COUNTIF('1.연간시수표'!V11,$BF$7),COUNTIF('1.연간시수표'!V11,$BG$9),COUNTIF('1.연간시수표'!V11,$BG$7),COUNTIF('1.연간시수표'!V11,$BH$9),COUNTIF('1.연간시수표'!V11,$BH$7),COUNTIF('1.연간시수표'!V11,$BI$9),COUNTIF('1.연간시수표'!V11,$BI$7),COUNTIF('1.연간시수표'!V11,$BJ$9),COUNTIF('1.연간시수표'!V11,$BJ$7),COUNTIF('1.연간시수표'!V11,$BK$9),COUNTIF('1.연간시수표'!V11,$BK$7),COUNTIF('1.연간시수표'!V11,$BL$9),COUNTIF('1.연간시수표'!V11,$BL$7),COUNTIF('1.연간시수표'!V11,$BM$9),COUNTIF('1.연간시수표'!V11,$BM$7)),$BF$6,IF(OR(COUNTIF('1.연간시수표'!V11,$BO$9),COUNTIF('1.연간시수표'!V11,$BO$7)),$BO$6,IF(OR(COUNTIF('1.연간시수표'!V11,$BP$9),COUNTIF('1.연간시수표'!V11,$BP$7)),$BP$6,IF(OR(COUNTIF('1.연간시수표'!V11,$BQ$9),COUNTIF('1.연간시수표'!V11,$BQ$7)),$BQ$6,IF(OR(COUNTIF('1.연간시수표'!V11,$BR$9),COUNTIF('1.연간시수표'!V11,$BR$7)),$BR$6,"_")))))))))))))))</f>
        <v>_</v>
      </c>
      <c r="W11" s="148" t="str">
        <f>IF(OR(COUNTIF('1.연간시수표'!W11,$AT$9),COUNTIF('1.연간시수표'!W11,$AT$7)),$AT$6,IF(OR(COUNTIF('1.연간시수표'!W11,$AU$9),COUNTIF('1.연간시수표'!W11,$AU$7)),$AU$6,IF(OR(COUNTIF('1.연간시수표'!W11,$AV$9),COUNTIF('1.연간시수표'!W11,$AV$7)),$AV$6,IF(OR(COUNTIF('1.연간시수표'!W11,$AW$9),COUNTIF('1.연간시수표'!W11,$AW$7)),$AW$6,IF(OR(COUNTIF('1.연간시수표'!W11,$AX$9),COUNTIF('1.연간시수표'!W11,$AX$7)),$AX$6,IF(OR(COUNTIF('1.연간시수표'!W11,$AY$9),COUNTIF('1.연간시수표'!W11,$AY$7)),$AY$6,IF(OR(COUNTIF('1.연간시수표'!W11,$AZ$9),COUNTIF('1.연간시수표'!W11,$AZ$7)),$AZ$6,IF(OR(COUNTIF('1.연간시수표'!W11,$BA$9),COUNTIF('1.연간시수표'!W11,$BA$7)),$BA$6,IF(OR(COUNTIF('1.연간시수표'!W11,$BB$9),COUNTIF('1.연간시수표'!W11,$BB$7)),$BB$6,IF(OR(COUNTIF('1.연간시수표'!W11,$BC$9),COUNTIF('1.연간시수표'!W11,$BC$7)),$BC$6,IF(OR(COUNTIF('1.연간시수표'!W11,$BF$9),COUNTIF('1.연간시수표'!W11,$BF$7),COUNTIF('1.연간시수표'!W11,$BG$9),COUNTIF('1.연간시수표'!W11,$BG$7),COUNTIF('1.연간시수표'!W11,$BH$9),COUNTIF('1.연간시수표'!W11,$BH$7),COUNTIF('1.연간시수표'!W11,$BI$9),COUNTIF('1.연간시수표'!W11,$BI$7),COUNTIF('1.연간시수표'!W11,$BJ$9),COUNTIF('1.연간시수표'!W11,$BJ$7),COUNTIF('1.연간시수표'!W11,$BK$9),COUNTIF('1.연간시수표'!W11,$BK$7),COUNTIF('1.연간시수표'!W11,$BL$9),COUNTIF('1.연간시수표'!W11,$BL$7),COUNTIF('1.연간시수표'!W11,$BM$9),COUNTIF('1.연간시수표'!W11,$BM$7)),$BF$6,IF(OR(COUNTIF('1.연간시수표'!W11,$BO$9),COUNTIF('1.연간시수표'!W11,$BO$7)),$BO$6,IF(OR(COUNTIF('1.연간시수표'!W11,$BP$9),COUNTIF('1.연간시수표'!W11,$BP$7)),$BP$6,IF(OR(COUNTIF('1.연간시수표'!W11,$BQ$9),COUNTIF('1.연간시수표'!W11,$BQ$7)),$BQ$6,IF(OR(COUNTIF('1.연간시수표'!W11,$BR$9),COUNTIF('1.연간시수표'!W11,$BR$7)),$BR$6,"_")))))))))))))))</f>
        <v>_</v>
      </c>
      <c r="X11" s="148" t="str">
        <f>IF(OR(COUNTIF('1.연간시수표'!X11,$AT$9),COUNTIF('1.연간시수표'!X11,$AT$7)),$AT$6,IF(OR(COUNTIF('1.연간시수표'!X11,$AU$9),COUNTIF('1.연간시수표'!X11,$AU$7)),$AU$6,IF(OR(COUNTIF('1.연간시수표'!X11,$AV$9),COUNTIF('1.연간시수표'!X11,$AV$7)),$AV$6,IF(OR(COUNTIF('1.연간시수표'!X11,$AW$9),COUNTIF('1.연간시수표'!X11,$AW$7)),$AW$6,IF(OR(COUNTIF('1.연간시수표'!X11,$AX$9),COUNTIF('1.연간시수표'!X11,$AX$7)),$AX$6,IF(OR(COUNTIF('1.연간시수표'!X11,$AY$9),COUNTIF('1.연간시수표'!X11,$AY$7)),$AY$6,IF(OR(COUNTIF('1.연간시수표'!X11,$AZ$9),COUNTIF('1.연간시수표'!X11,$AZ$7)),$AZ$6,IF(OR(COUNTIF('1.연간시수표'!X11,$BA$9),COUNTIF('1.연간시수표'!X11,$BA$7)),$BA$6,IF(OR(COUNTIF('1.연간시수표'!X11,$BB$9),COUNTIF('1.연간시수표'!X11,$BB$7)),$BB$6,IF(OR(COUNTIF('1.연간시수표'!X11,$BC$9),COUNTIF('1.연간시수표'!X11,$BC$7)),$BC$6,IF(OR(COUNTIF('1.연간시수표'!X11,$BF$9),COUNTIF('1.연간시수표'!X11,$BF$7),COUNTIF('1.연간시수표'!X11,$BG$9),COUNTIF('1.연간시수표'!X11,$BG$7),COUNTIF('1.연간시수표'!X11,$BH$9),COUNTIF('1.연간시수표'!X11,$BH$7),COUNTIF('1.연간시수표'!X11,$BI$9),COUNTIF('1.연간시수표'!X11,$BI$7),COUNTIF('1.연간시수표'!X11,$BJ$9),COUNTIF('1.연간시수표'!X11,$BJ$7),COUNTIF('1.연간시수표'!X11,$BK$9),COUNTIF('1.연간시수표'!X11,$BK$7),COUNTIF('1.연간시수표'!X11,$BL$9),COUNTIF('1.연간시수표'!X11,$BL$7),COUNTIF('1.연간시수표'!X11,$BM$9),COUNTIF('1.연간시수표'!X11,$BM$7)),$BF$6,IF(OR(COUNTIF('1.연간시수표'!X11,$BO$9),COUNTIF('1.연간시수표'!X11,$BO$7)),$BO$6,IF(OR(COUNTIF('1.연간시수표'!X11,$BP$9),COUNTIF('1.연간시수표'!X11,$BP$7)),$BP$6,IF(OR(COUNTIF('1.연간시수표'!X11,$BQ$9),COUNTIF('1.연간시수표'!X11,$BQ$7)),$BQ$6,IF(OR(COUNTIF('1.연간시수표'!X11,$BR$9),COUNTIF('1.연간시수표'!X11,$BR$7)),$BR$6,"_")))))))))))))))</f>
        <v>_</v>
      </c>
      <c r="Y11" s="148" t="str">
        <f>IF(OR(COUNTIF('1.연간시수표'!Y11,$AT$9),COUNTIF('1.연간시수표'!Y11,$AT$7)),$AT$6,IF(OR(COUNTIF('1.연간시수표'!Y11,$AU$9),COUNTIF('1.연간시수표'!Y11,$AU$7)),$AU$6,IF(OR(COUNTIF('1.연간시수표'!Y11,$AV$9),COUNTIF('1.연간시수표'!Y11,$AV$7)),$AV$6,IF(OR(COUNTIF('1.연간시수표'!Y11,$AW$9),COUNTIF('1.연간시수표'!Y11,$AW$7)),$AW$6,IF(OR(COUNTIF('1.연간시수표'!Y11,$AX$9),COUNTIF('1.연간시수표'!Y11,$AX$7)),$AX$6,IF(OR(COUNTIF('1.연간시수표'!Y11,$AY$9),COUNTIF('1.연간시수표'!Y11,$AY$7)),$AY$6,IF(OR(COUNTIF('1.연간시수표'!Y11,$AZ$9),COUNTIF('1.연간시수표'!Y11,$AZ$7)),$AZ$6,IF(OR(COUNTIF('1.연간시수표'!Y11,$BA$9),COUNTIF('1.연간시수표'!Y11,$BA$7)),$BA$6,IF(OR(COUNTIF('1.연간시수표'!Y11,$BB$9),COUNTIF('1.연간시수표'!Y11,$BB$7)),$BB$6,IF(OR(COUNTIF('1.연간시수표'!Y11,$BC$9),COUNTIF('1.연간시수표'!Y11,$BC$7)),$BC$6,IF(OR(COUNTIF('1.연간시수표'!Y11,$BF$9),COUNTIF('1.연간시수표'!Y11,$BF$7),COUNTIF('1.연간시수표'!Y11,$BG$9),COUNTIF('1.연간시수표'!Y11,$BG$7),COUNTIF('1.연간시수표'!Y11,$BH$9),COUNTIF('1.연간시수표'!Y11,$BH$7),COUNTIF('1.연간시수표'!Y11,$BI$9),COUNTIF('1.연간시수표'!Y11,$BI$7),COUNTIF('1.연간시수표'!Y11,$BJ$9),COUNTIF('1.연간시수표'!Y11,$BJ$7),COUNTIF('1.연간시수표'!Y11,$BK$9),COUNTIF('1.연간시수표'!Y11,$BK$7),COUNTIF('1.연간시수표'!Y11,$BL$9),COUNTIF('1.연간시수표'!Y11,$BL$7),COUNTIF('1.연간시수표'!Y11,$BM$9),COUNTIF('1.연간시수표'!Y11,$BM$7)),$BF$6,IF(OR(COUNTIF('1.연간시수표'!Y11,$BO$9),COUNTIF('1.연간시수표'!Y11,$BO$7)),$BO$6,IF(OR(COUNTIF('1.연간시수표'!Y11,$BP$9),COUNTIF('1.연간시수표'!Y11,$BP$7)),$BP$6,IF(OR(COUNTIF('1.연간시수표'!Y11,$BQ$9),COUNTIF('1.연간시수표'!Y11,$BQ$7)),$BQ$6,IF(OR(COUNTIF('1.연간시수표'!Y11,$BR$9),COUNTIF('1.연간시수표'!Y11,$BR$7)),$BR$6,"_")))))))))))))))</f>
        <v>_</v>
      </c>
      <c r="Z11" s="148" t="str">
        <f>IF(OR(COUNTIF('1.연간시수표'!Z11,$AT$9),COUNTIF('1.연간시수표'!Z11,$AT$7)),$AT$6,IF(OR(COUNTIF('1.연간시수표'!Z11,$AU$9),COUNTIF('1.연간시수표'!Z11,$AU$7)),$AU$6,IF(OR(COUNTIF('1.연간시수표'!Z11,$AV$9),COUNTIF('1.연간시수표'!Z11,$AV$7)),$AV$6,IF(OR(COUNTIF('1.연간시수표'!Z11,$AW$9),COUNTIF('1.연간시수표'!Z11,$AW$7)),$AW$6,IF(OR(COUNTIF('1.연간시수표'!Z11,$AX$9),COUNTIF('1.연간시수표'!Z11,$AX$7)),$AX$6,IF(OR(COUNTIF('1.연간시수표'!Z11,$AY$9),COUNTIF('1.연간시수표'!Z11,$AY$7)),$AY$6,IF(OR(COUNTIF('1.연간시수표'!Z11,$AZ$9),COUNTIF('1.연간시수표'!Z11,$AZ$7)),$AZ$6,IF(OR(COUNTIF('1.연간시수표'!Z11,$BA$9),COUNTIF('1.연간시수표'!Z11,$BA$7)),$BA$6,IF(OR(COUNTIF('1.연간시수표'!Z11,$BB$9),COUNTIF('1.연간시수표'!Z11,$BB$7)),$BB$6,IF(OR(COUNTIF('1.연간시수표'!Z11,$BC$9),COUNTIF('1.연간시수표'!Z11,$BC$7)),$BC$6,IF(OR(COUNTIF('1.연간시수표'!Z11,$BF$9),COUNTIF('1.연간시수표'!Z11,$BF$7),COUNTIF('1.연간시수표'!Z11,$BG$9),COUNTIF('1.연간시수표'!Z11,$BG$7),COUNTIF('1.연간시수표'!Z11,$BH$9),COUNTIF('1.연간시수표'!Z11,$BH$7),COUNTIF('1.연간시수표'!Z11,$BI$9),COUNTIF('1.연간시수표'!Z11,$BI$7),COUNTIF('1.연간시수표'!Z11,$BJ$9),COUNTIF('1.연간시수표'!Z11,$BJ$7),COUNTIF('1.연간시수표'!Z11,$BK$9),COUNTIF('1.연간시수표'!Z11,$BK$7),COUNTIF('1.연간시수표'!Z11,$BL$9),COUNTIF('1.연간시수표'!Z11,$BL$7),COUNTIF('1.연간시수표'!Z11,$BM$9),COUNTIF('1.연간시수표'!Z11,$BM$7)),$BF$6,IF(OR(COUNTIF('1.연간시수표'!Z11,$BO$9),COUNTIF('1.연간시수표'!Z11,$BO$7)),$BO$6,IF(OR(COUNTIF('1.연간시수표'!Z11,$BP$9),COUNTIF('1.연간시수표'!Z11,$BP$7)),$BP$6,IF(OR(COUNTIF('1.연간시수표'!Z11,$BQ$9),COUNTIF('1.연간시수표'!Z11,$BQ$7)),$BQ$6,IF(OR(COUNTIF('1.연간시수표'!Z11,$BR$9),COUNTIF('1.연간시수표'!Z11,$BR$7)),$BR$6,"_")))))))))))))))</f>
        <v>_</v>
      </c>
      <c r="AA11" s="148" t="str">
        <f>IF(OR(COUNTIF('1.연간시수표'!AA11,$AT$9),COUNTIF('1.연간시수표'!AA11,$AT$7)),$AT$6,IF(OR(COUNTIF('1.연간시수표'!AA11,$AU$9),COUNTIF('1.연간시수표'!AA11,$AU$7)),$AU$6,IF(OR(COUNTIF('1.연간시수표'!AA11,$AV$9),COUNTIF('1.연간시수표'!AA11,$AV$7)),$AV$6,IF(OR(COUNTIF('1.연간시수표'!AA11,$AW$9),COUNTIF('1.연간시수표'!AA11,$AW$7)),$AW$6,IF(OR(COUNTIF('1.연간시수표'!AA11,$AX$9),COUNTIF('1.연간시수표'!AA11,$AX$7)),$AX$6,IF(OR(COUNTIF('1.연간시수표'!AA11,$AY$9),COUNTIF('1.연간시수표'!AA11,$AY$7)),$AY$6,IF(OR(COUNTIF('1.연간시수표'!AA11,$AZ$9),COUNTIF('1.연간시수표'!AA11,$AZ$7)),$AZ$6,IF(OR(COUNTIF('1.연간시수표'!AA11,$BA$9),COUNTIF('1.연간시수표'!AA11,$BA$7)),$BA$6,IF(OR(COUNTIF('1.연간시수표'!AA11,$BB$9),COUNTIF('1.연간시수표'!AA11,$BB$7)),$BB$6,IF(OR(COUNTIF('1.연간시수표'!AA11,$BC$9),COUNTIF('1.연간시수표'!AA11,$BC$7)),$BC$6,IF(OR(COUNTIF('1.연간시수표'!AA11,$BF$9),COUNTIF('1.연간시수표'!AA11,$BF$7),COUNTIF('1.연간시수표'!AA11,$BG$9),COUNTIF('1.연간시수표'!AA11,$BG$7),COUNTIF('1.연간시수표'!AA11,$BH$9),COUNTIF('1.연간시수표'!AA11,$BH$7),COUNTIF('1.연간시수표'!AA11,$BI$9),COUNTIF('1.연간시수표'!AA11,$BI$7),COUNTIF('1.연간시수표'!AA11,$BJ$9),COUNTIF('1.연간시수표'!AA11,$BJ$7),COUNTIF('1.연간시수표'!AA11,$BK$9),COUNTIF('1.연간시수표'!AA11,$BK$7),COUNTIF('1.연간시수표'!AA11,$BL$9),COUNTIF('1.연간시수표'!AA11,$BL$7),COUNTIF('1.연간시수표'!AA11,$BM$9),COUNTIF('1.연간시수표'!AA11,$BM$7)),$BF$6,IF(OR(COUNTIF('1.연간시수표'!AA11,$BO$9),COUNTIF('1.연간시수표'!AA11,$BO$7)),$BO$6,IF(OR(COUNTIF('1.연간시수표'!AA11,$BP$9),COUNTIF('1.연간시수표'!AA11,$BP$7)),$BP$6,IF(OR(COUNTIF('1.연간시수표'!AA11,$BQ$9),COUNTIF('1.연간시수표'!AA11,$BQ$7)),$BQ$6,IF(OR(COUNTIF('1.연간시수표'!AA11,$BR$9),COUNTIF('1.연간시수표'!AA11,$BR$7)),$BR$6,"_")))))))))))))))</f>
        <v>_</v>
      </c>
      <c r="AB11" s="148" t="str">
        <f>IF(OR(COUNTIF('1.연간시수표'!AB11,$AT$9),COUNTIF('1.연간시수표'!AB11,$AT$7)),$AT$6,IF(OR(COUNTIF('1.연간시수표'!AB11,$AU$9),COUNTIF('1.연간시수표'!AB11,$AU$7)),$AU$6,IF(OR(COUNTIF('1.연간시수표'!AB11,$AV$9),COUNTIF('1.연간시수표'!AB11,$AV$7)),$AV$6,IF(OR(COUNTIF('1.연간시수표'!AB11,$AW$9),COUNTIF('1.연간시수표'!AB11,$AW$7)),$AW$6,IF(OR(COUNTIF('1.연간시수표'!AB11,$AX$9),COUNTIF('1.연간시수표'!AB11,$AX$7)),$AX$6,IF(OR(COUNTIF('1.연간시수표'!AB11,$AY$9),COUNTIF('1.연간시수표'!AB11,$AY$7)),$AY$6,IF(OR(COUNTIF('1.연간시수표'!AB11,$AZ$9),COUNTIF('1.연간시수표'!AB11,$AZ$7)),$AZ$6,IF(OR(COUNTIF('1.연간시수표'!AB11,$BA$9),COUNTIF('1.연간시수표'!AB11,$BA$7)),$BA$6,IF(OR(COUNTIF('1.연간시수표'!AB11,$BB$9),COUNTIF('1.연간시수표'!AB11,$BB$7)),$BB$6,IF(OR(COUNTIF('1.연간시수표'!AB11,$BC$9),COUNTIF('1.연간시수표'!AB11,$BC$7)),$BC$6,IF(OR(COUNTIF('1.연간시수표'!AB11,$BF$9),COUNTIF('1.연간시수표'!AB11,$BF$7),COUNTIF('1.연간시수표'!AB11,$BG$9),COUNTIF('1.연간시수표'!AB11,$BG$7),COUNTIF('1.연간시수표'!AB11,$BH$9),COUNTIF('1.연간시수표'!AB11,$BH$7),COUNTIF('1.연간시수표'!AB11,$BI$9),COUNTIF('1.연간시수표'!AB11,$BI$7),COUNTIF('1.연간시수표'!AB11,$BJ$9),COUNTIF('1.연간시수표'!AB11,$BJ$7),COUNTIF('1.연간시수표'!AB11,$BK$9),COUNTIF('1.연간시수표'!AB11,$BK$7),COUNTIF('1.연간시수표'!AB11,$BL$9),COUNTIF('1.연간시수표'!AB11,$BL$7),COUNTIF('1.연간시수표'!AB11,$BM$9),COUNTIF('1.연간시수표'!AB11,$BM$7)),$BF$6,IF(OR(COUNTIF('1.연간시수표'!AB11,$BO$9),COUNTIF('1.연간시수표'!AB11,$BO$7)),$BO$6,IF(OR(COUNTIF('1.연간시수표'!AB11,$BP$9),COUNTIF('1.연간시수표'!AB11,$BP$7)),$BP$6,IF(OR(COUNTIF('1.연간시수표'!AB11,$BQ$9),COUNTIF('1.연간시수표'!AB11,$BQ$7)),$BQ$6,IF(OR(COUNTIF('1.연간시수표'!AB11,$BR$9),COUNTIF('1.연간시수표'!AB11,$BR$7)),$BR$6,"_")))))))))))))))</f>
        <v>_</v>
      </c>
      <c r="AC11" s="148" t="str">
        <f>IF(OR(COUNTIF('1.연간시수표'!AC11,$AT$9),COUNTIF('1.연간시수표'!AC11,$AT$7)),$AT$6,IF(OR(COUNTIF('1.연간시수표'!AC11,$AU$9),COUNTIF('1.연간시수표'!AC11,$AU$7)),$AU$6,IF(OR(COUNTIF('1.연간시수표'!AC11,$AV$9),COUNTIF('1.연간시수표'!AC11,$AV$7)),$AV$6,IF(OR(COUNTIF('1.연간시수표'!AC11,$AW$9),COUNTIF('1.연간시수표'!AC11,$AW$7)),$AW$6,IF(OR(COUNTIF('1.연간시수표'!AC11,$AX$9),COUNTIF('1.연간시수표'!AC11,$AX$7)),$AX$6,IF(OR(COUNTIF('1.연간시수표'!AC11,$AY$9),COUNTIF('1.연간시수표'!AC11,$AY$7)),$AY$6,IF(OR(COUNTIF('1.연간시수표'!AC11,$AZ$9),COUNTIF('1.연간시수표'!AC11,$AZ$7)),$AZ$6,IF(OR(COUNTIF('1.연간시수표'!AC11,$BA$9),COUNTIF('1.연간시수표'!AC11,$BA$7)),$BA$6,IF(OR(COUNTIF('1.연간시수표'!AC11,$BB$9),COUNTIF('1.연간시수표'!AC11,$BB$7)),$BB$6,IF(OR(COUNTIF('1.연간시수표'!AC11,$BC$9),COUNTIF('1.연간시수표'!AC11,$BC$7)),$BC$6,IF(OR(COUNTIF('1.연간시수표'!AC11,$BF$9),COUNTIF('1.연간시수표'!AC11,$BF$7),COUNTIF('1.연간시수표'!AC11,$BG$9),COUNTIF('1.연간시수표'!AC11,$BG$7),COUNTIF('1.연간시수표'!AC11,$BH$9),COUNTIF('1.연간시수표'!AC11,$BH$7),COUNTIF('1.연간시수표'!AC11,$BI$9),COUNTIF('1.연간시수표'!AC11,$BI$7),COUNTIF('1.연간시수표'!AC11,$BJ$9),COUNTIF('1.연간시수표'!AC11,$BJ$7),COUNTIF('1.연간시수표'!AC11,$BK$9),COUNTIF('1.연간시수표'!AC11,$BK$7),COUNTIF('1.연간시수표'!AC11,$BL$9),COUNTIF('1.연간시수표'!AC11,$BL$7),COUNTIF('1.연간시수표'!AC11,$BM$9),COUNTIF('1.연간시수표'!AC11,$BM$7)),$BF$6,IF(OR(COUNTIF('1.연간시수표'!AC11,$BO$9),COUNTIF('1.연간시수표'!AC11,$BO$7)),$BO$6,IF(OR(COUNTIF('1.연간시수표'!AC11,$BP$9),COUNTIF('1.연간시수표'!AC11,$BP$7)),$BP$6,IF(OR(COUNTIF('1.연간시수표'!AC11,$BQ$9),COUNTIF('1.연간시수표'!AC11,$BQ$7)),$BQ$6,IF(OR(COUNTIF('1.연간시수표'!AC11,$BR$9),COUNTIF('1.연간시수표'!AC11,$BR$7)),$BR$6,"_")))))))))))))))</f>
        <v>국어</v>
      </c>
      <c r="AD11" s="148" t="str">
        <f>IF(OR(COUNTIF('1.연간시수표'!AD11,$AT$9),COUNTIF('1.연간시수표'!AD11,$AT$7)),$AT$6,IF(OR(COUNTIF('1.연간시수표'!AD11,$AU$9),COUNTIF('1.연간시수표'!AD11,$AU$7)),$AU$6,IF(OR(COUNTIF('1.연간시수표'!AD11,$AV$9),COUNTIF('1.연간시수표'!AD11,$AV$7)),$AV$6,IF(OR(COUNTIF('1.연간시수표'!AD11,$AW$9),COUNTIF('1.연간시수표'!AD11,$AW$7)),$AW$6,IF(OR(COUNTIF('1.연간시수표'!AD11,$AX$9),COUNTIF('1.연간시수표'!AD11,$AX$7)),$AX$6,IF(OR(COUNTIF('1.연간시수표'!AD11,$AY$9),COUNTIF('1.연간시수표'!AD11,$AY$7)),$AY$6,IF(OR(COUNTIF('1.연간시수표'!AD11,$AZ$9),COUNTIF('1.연간시수표'!AD11,$AZ$7)),$AZ$6,IF(OR(COUNTIF('1.연간시수표'!AD11,$BA$9),COUNTIF('1.연간시수표'!AD11,$BA$7)),$BA$6,IF(OR(COUNTIF('1.연간시수표'!AD11,$BB$9),COUNTIF('1.연간시수표'!AD11,$BB$7)),$BB$6,IF(OR(COUNTIF('1.연간시수표'!AD11,$BC$9),COUNTIF('1.연간시수표'!AD11,$BC$7)),$BC$6,IF(OR(COUNTIF('1.연간시수표'!AD11,$BF$9),COUNTIF('1.연간시수표'!AD11,$BF$7),COUNTIF('1.연간시수표'!AD11,$BG$9),COUNTIF('1.연간시수표'!AD11,$BG$7),COUNTIF('1.연간시수표'!AD11,$BH$9),COUNTIF('1.연간시수표'!AD11,$BH$7),COUNTIF('1.연간시수표'!AD11,$BI$9),COUNTIF('1.연간시수표'!AD11,$BI$7),COUNTIF('1.연간시수표'!AD11,$BJ$9),COUNTIF('1.연간시수표'!AD11,$BJ$7),COUNTIF('1.연간시수표'!AD11,$BK$9),COUNTIF('1.연간시수표'!AD11,$BK$7),COUNTIF('1.연간시수표'!AD11,$BL$9),COUNTIF('1.연간시수표'!AD11,$BL$7),COUNTIF('1.연간시수표'!AD11,$BM$9),COUNTIF('1.연간시수표'!AD11,$BM$7)),$BF$6,IF(OR(COUNTIF('1.연간시수표'!AD11,$BO$9),COUNTIF('1.연간시수표'!AD11,$BO$7)),$BO$6,IF(OR(COUNTIF('1.연간시수표'!AD11,$BP$9),COUNTIF('1.연간시수표'!AD11,$BP$7)),$BP$6,IF(OR(COUNTIF('1.연간시수표'!AD11,$BQ$9),COUNTIF('1.연간시수표'!AD11,$BQ$7)),$BQ$6,IF(OR(COUNTIF('1.연간시수표'!AD11,$BR$9),COUNTIF('1.연간시수표'!AD11,$BR$7)),$BR$6,"_")))))))))))))))</f>
        <v>수학</v>
      </c>
      <c r="AE11" s="148" t="str">
        <f>IF(OR(COUNTIF('1.연간시수표'!AE11,$AT$9),COUNTIF('1.연간시수표'!AE11,$AT$7)),$AT$6,IF(OR(COUNTIF('1.연간시수표'!AE11,$AU$9),COUNTIF('1.연간시수표'!AE11,$AU$7)),$AU$6,IF(OR(COUNTIF('1.연간시수표'!AE11,$AV$9),COUNTIF('1.연간시수표'!AE11,$AV$7)),$AV$6,IF(OR(COUNTIF('1.연간시수표'!AE11,$AW$9),COUNTIF('1.연간시수표'!AE11,$AW$7)),$AW$6,IF(OR(COUNTIF('1.연간시수표'!AE11,$AX$9),COUNTIF('1.연간시수표'!AE11,$AX$7)),$AX$6,IF(OR(COUNTIF('1.연간시수표'!AE11,$AY$9),COUNTIF('1.연간시수표'!AE11,$AY$7)),$AY$6,IF(OR(COUNTIF('1.연간시수표'!AE11,$AZ$9),COUNTIF('1.연간시수표'!AE11,$AZ$7)),$AZ$6,IF(OR(COUNTIF('1.연간시수표'!AE11,$BA$9),COUNTIF('1.연간시수표'!AE11,$BA$7)),$BA$6,IF(OR(COUNTIF('1.연간시수표'!AE11,$BB$9),COUNTIF('1.연간시수표'!AE11,$BB$7)),$BB$6,IF(OR(COUNTIF('1.연간시수표'!AE11,$BC$9),COUNTIF('1.연간시수표'!AE11,$BC$7)),$BC$6,IF(OR(COUNTIF('1.연간시수표'!AE11,$BF$9),COUNTIF('1.연간시수표'!AE11,$BF$7),COUNTIF('1.연간시수표'!AE11,$BG$9),COUNTIF('1.연간시수표'!AE11,$BG$7),COUNTIF('1.연간시수표'!AE11,$BH$9),COUNTIF('1.연간시수표'!AE11,$BH$7),COUNTIF('1.연간시수표'!AE11,$BI$9),COUNTIF('1.연간시수표'!AE11,$BI$7),COUNTIF('1.연간시수표'!AE11,$BJ$9),COUNTIF('1.연간시수표'!AE11,$BJ$7),COUNTIF('1.연간시수표'!AE11,$BK$9),COUNTIF('1.연간시수표'!AE11,$BK$7),COUNTIF('1.연간시수표'!AE11,$BL$9),COUNTIF('1.연간시수표'!AE11,$BL$7),COUNTIF('1.연간시수표'!AE11,$BM$9),COUNTIF('1.연간시수표'!AE11,$BM$7)),$BF$6,IF(OR(COUNTIF('1.연간시수표'!AE11,$BO$9),COUNTIF('1.연간시수표'!AE11,$BO$7)),$BO$6,IF(OR(COUNTIF('1.연간시수표'!AE11,$BP$9),COUNTIF('1.연간시수표'!AE11,$BP$7)),$BP$6,IF(OR(COUNTIF('1.연간시수표'!AE11,$BQ$9),COUNTIF('1.연간시수표'!AE11,$BQ$7)),$BQ$6,IF(OR(COUNTIF('1.연간시수표'!AE11,$BR$9),COUNTIF('1.연간시수표'!AE11,$BR$7)),$BR$6,"_")))))))))))))))</f>
        <v>사회</v>
      </c>
      <c r="AF11" s="148" t="str">
        <f>IF(OR(COUNTIF('1.연간시수표'!AF11,$AT$9),COUNTIF('1.연간시수표'!AF11,$AT$7)),$AT$6,IF(OR(COUNTIF('1.연간시수표'!AF11,$AU$9),COUNTIF('1.연간시수표'!AF11,$AU$7)),$AU$6,IF(OR(COUNTIF('1.연간시수표'!AF11,$AV$9),COUNTIF('1.연간시수표'!AF11,$AV$7)),$AV$6,IF(OR(COUNTIF('1.연간시수표'!AF11,$AW$9),COUNTIF('1.연간시수표'!AF11,$AW$7)),$AW$6,IF(OR(COUNTIF('1.연간시수표'!AF11,$AX$9),COUNTIF('1.연간시수표'!AF11,$AX$7)),$AX$6,IF(OR(COUNTIF('1.연간시수표'!AF11,$AY$9),COUNTIF('1.연간시수표'!AF11,$AY$7)),$AY$6,IF(OR(COUNTIF('1.연간시수표'!AF11,$AZ$9),COUNTIF('1.연간시수표'!AF11,$AZ$7)),$AZ$6,IF(OR(COUNTIF('1.연간시수표'!AF11,$BA$9),COUNTIF('1.연간시수표'!AF11,$BA$7)),$BA$6,IF(OR(COUNTIF('1.연간시수표'!AF11,$BB$9),COUNTIF('1.연간시수표'!AF11,$BB$7)),$BB$6,IF(OR(COUNTIF('1.연간시수표'!AF11,$BC$9),COUNTIF('1.연간시수표'!AF11,$BC$7)),$BC$6,IF(OR(COUNTIF('1.연간시수표'!AF11,$BF$9),COUNTIF('1.연간시수표'!AF11,$BF$7),COUNTIF('1.연간시수표'!AF11,$BG$9),COUNTIF('1.연간시수표'!AF11,$BG$7),COUNTIF('1.연간시수표'!AF11,$BH$9),COUNTIF('1.연간시수표'!AF11,$BH$7),COUNTIF('1.연간시수표'!AF11,$BI$9),COUNTIF('1.연간시수표'!AF11,$BI$7),COUNTIF('1.연간시수표'!AF11,$BJ$9),COUNTIF('1.연간시수표'!AF11,$BJ$7),COUNTIF('1.연간시수표'!AF11,$BK$9),COUNTIF('1.연간시수표'!AF11,$BK$7),COUNTIF('1.연간시수표'!AF11,$BL$9),COUNTIF('1.연간시수표'!AF11,$BL$7),COUNTIF('1.연간시수표'!AF11,$BM$9),COUNTIF('1.연간시수표'!AF11,$BM$7)),$BF$6,IF(OR(COUNTIF('1.연간시수표'!AF11,$BO$9),COUNTIF('1.연간시수표'!AF11,$BO$7)),$BO$6,IF(OR(COUNTIF('1.연간시수표'!AF11,$BP$9),COUNTIF('1.연간시수표'!AF11,$BP$7)),$BP$6,IF(OR(COUNTIF('1.연간시수표'!AF11,$BQ$9),COUNTIF('1.연간시수표'!AF11,$BQ$7)),$BQ$6,IF(OR(COUNTIF('1.연간시수표'!AF11,$BR$9),COUNTIF('1.연간시수표'!AF11,$BR$7)),$BR$6,"_")))))))))))))))</f>
        <v>영어</v>
      </c>
      <c r="AG11" s="148" t="str">
        <f>IF(OR(COUNTIF('1.연간시수표'!AG11,$AT$9),COUNTIF('1.연간시수표'!AG11,$AT$7)),$AT$6,IF(OR(COUNTIF('1.연간시수표'!AG11,$AU$9),COUNTIF('1.연간시수표'!AG11,$AU$7)),$AU$6,IF(OR(COUNTIF('1.연간시수표'!AG11,$AV$9),COUNTIF('1.연간시수표'!AG11,$AV$7)),$AV$6,IF(OR(COUNTIF('1.연간시수표'!AG11,$AW$9),COUNTIF('1.연간시수표'!AG11,$AW$7)),$AW$6,IF(OR(COUNTIF('1.연간시수표'!AG11,$AX$9),COUNTIF('1.연간시수표'!AG11,$AX$7)),$AX$6,IF(OR(COUNTIF('1.연간시수표'!AG11,$AY$9),COUNTIF('1.연간시수표'!AG11,$AY$7)),$AY$6,IF(OR(COUNTIF('1.연간시수표'!AG11,$AZ$9),COUNTIF('1.연간시수표'!AG11,$AZ$7)),$AZ$6,IF(OR(COUNTIF('1.연간시수표'!AG11,$BA$9),COUNTIF('1.연간시수표'!AG11,$BA$7)),$BA$6,IF(OR(COUNTIF('1.연간시수표'!AG11,$BB$9),COUNTIF('1.연간시수표'!AG11,$BB$7)),$BB$6,IF(OR(COUNTIF('1.연간시수표'!AG11,$BC$9),COUNTIF('1.연간시수표'!AG11,$BC$7)),$BC$6,IF(OR(COUNTIF('1.연간시수표'!AG11,$BF$9),COUNTIF('1.연간시수표'!AG11,$BF$7),COUNTIF('1.연간시수표'!AG11,$BG$9),COUNTIF('1.연간시수표'!AG11,$BG$7),COUNTIF('1.연간시수표'!AG11,$BH$9),COUNTIF('1.연간시수표'!AG11,$BH$7),COUNTIF('1.연간시수표'!AG11,$BI$9),COUNTIF('1.연간시수표'!AG11,$BI$7),COUNTIF('1.연간시수표'!AG11,$BJ$9),COUNTIF('1.연간시수표'!AG11,$BJ$7),COUNTIF('1.연간시수표'!AG11,$BK$9),COUNTIF('1.연간시수표'!AG11,$BK$7),COUNTIF('1.연간시수표'!AG11,$BL$9),COUNTIF('1.연간시수표'!AG11,$BL$7),COUNTIF('1.연간시수표'!AG11,$BM$9),COUNTIF('1.연간시수표'!AG11,$BM$7)),$BF$6,IF(OR(COUNTIF('1.연간시수표'!AG11,$BO$9),COUNTIF('1.연간시수표'!AG11,$BO$7)),$BO$6,IF(OR(COUNTIF('1.연간시수표'!AG11,$BP$9),COUNTIF('1.연간시수표'!AG11,$BP$7)),$BP$6,IF(OR(COUNTIF('1.연간시수표'!AG11,$BQ$9),COUNTIF('1.연간시수표'!AG11,$BQ$7)),$BQ$6,IF(OR(COUNTIF('1.연간시수표'!AG11,$BR$9),COUNTIF('1.연간시수표'!AG11,$BR$7)),$BR$6,"_")))))))))))))))</f>
        <v>과학</v>
      </c>
      <c r="AH11" s="148" t="str">
        <f>IF(OR(COUNTIF('1.연간시수표'!AH11,$AT$9),COUNTIF('1.연간시수표'!AH11,$AT$7)),$AT$6,IF(OR(COUNTIF('1.연간시수표'!AH11,$AU$9),COUNTIF('1.연간시수표'!AH11,$AU$7)),$AU$6,IF(OR(COUNTIF('1.연간시수표'!AH11,$AV$9),COUNTIF('1.연간시수표'!AH11,$AV$7)),$AV$6,IF(OR(COUNTIF('1.연간시수표'!AH11,$AW$9),COUNTIF('1.연간시수표'!AH11,$AW$7)),$AW$6,IF(OR(COUNTIF('1.연간시수표'!AH11,$AX$9),COUNTIF('1.연간시수표'!AH11,$AX$7)),$AX$6,IF(OR(COUNTIF('1.연간시수표'!AH11,$AY$9),COUNTIF('1.연간시수표'!AH11,$AY$7)),$AY$6,IF(OR(COUNTIF('1.연간시수표'!AH11,$AZ$9),COUNTIF('1.연간시수표'!AH11,$AZ$7)),$AZ$6,IF(OR(COUNTIF('1.연간시수표'!AH11,$BA$9),COUNTIF('1.연간시수표'!AH11,$BA$7)),$BA$6,IF(OR(COUNTIF('1.연간시수표'!AH11,$BB$9),COUNTIF('1.연간시수표'!AH11,$BB$7)),$BB$6,IF(OR(COUNTIF('1.연간시수표'!AH11,$BC$9),COUNTIF('1.연간시수표'!AH11,$BC$7)),$BC$6,IF(OR(COUNTIF('1.연간시수표'!AH11,$BF$9),COUNTIF('1.연간시수표'!AH11,$BF$7),COUNTIF('1.연간시수표'!AH11,$BG$9),COUNTIF('1.연간시수표'!AH11,$BG$7),COUNTIF('1.연간시수표'!AH11,$BH$9),COUNTIF('1.연간시수표'!AH11,$BH$7),COUNTIF('1.연간시수표'!AH11,$BI$9),COUNTIF('1.연간시수표'!AH11,$BI$7),COUNTIF('1.연간시수표'!AH11,$BJ$9),COUNTIF('1.연간시수표'!AH11,$BJ$7),COUNTIF('1.연간시수표'!AH11,$BK$9),COUNTIF('1.연간시수표'!AH11,$BK$7),COUNTIF('1.연간시수표'!AH11,$BL$9),COUNTIF('1.연간시수표'!AH11,$BL$7),COUNTIF('1.연간시수표'!AH11,$BM$9),COUNTIF('1.연간시수표'!AH11,$BM$7)),$BF$6,IF(OR(COUNTIF('1.연간시수표'!AH11,$BO$9),COUNTIF('1.연간시수표'!AH11,$BO$7)),$BO$6,IF(OR(COUNTIF('1.연간시수표'!AH11,$BP$9),COUNTIF('1.연간시수표'!AH11,$BP$7)),$BP$6,IF(OR(COUNTIF('1.연간시수표'!AH11,$BQ$9),COUNTIF('1.연간시수표'!AH11,$BQ$7)),$BQ$6,IF(OR(COUNTIF('1.연간시수표'!AH11,$BR$9),COUNTIF('1.연간시수표'!AH11,$BR$7)),$BR$6,"_")))))))))))))))</f>
        <v>음악</v>
      </c>
      <c r="AI11" s="148" t="str">
        <f>IF(OR(COUNTIF('1.연간시수표'!AI11,$AT$9),COUNTIF('1.연간시수표'!AI11,$AT$7)),$AT$6,IF(OR(COUNTIF('1.연간시수표'!AI11,$AU$9),COUNTIF('1.연간시수표'!AI11,$AU$7)),$AU$6,IF(OR(COUNTIF('1.연간시수표'!AI11,$AV$9),COUNTIF('1.연간시수표'!AI11,$AV$7)),$AV$6,IF(OR(COUNTIF('1.연간시수표'!AI11,$AW$9),COUNTIF('1.연간시수표'!AI11,$AW$7)),$AW$6,IF(OR(COUNTIF('1.연간시수표'!AI11,$AX$9),COUNTIF('1.연간시수표'!AI11,$AX$7)),$AX$6,IF(OR(COUNTIF('1.연간시수표'!AI11,$AY$9),COUNTIF('1.연간시수표'!AI11,$AY$7)),$AY$6,IF(OR(COUNTIF('1.연간시수표'!AI11,$AZ$9),COUNTIF('1.연간시수표'!AI11,$AZ$7)),$AZ$6,IF(OR(COUNTIF('1.연간시수표'!AI11,$BA$9),COUNTIF('1.연간시수표'!AI11,$BA$7)),$BA$6,IF(OR(COUNTIF('1.연간시수표'!AI11,$BB$9),COUNTIF('1.연간시수표'!AI11,$BB$7)),$BB$6,IF(OR(COUNTIF('1.연간시수표'!AI11,$BC$9),COUNTIF('1.연간시수표'!AI11,$BC$7)),$BC$6,IF(OR(COUNTIF('1.연간시수표'!AI11,$BF$9),COUNTIF('1.연간시수표'!AI11,$BF$7),COUNTIF('1.연간시수표'!AI11,$BG$9),COUNTIF('1.연간시수표'!AI11,$BG$7),COUNTIF('1.연간시수표'!AI11,$BH$9),COUNTIF('1.연간시수표'!AI11,$BH$7),COUNTIF('1.연간시수표'!AI11,$BI$9),COUNTIF('1.연간시수표'!AI11,$BI$7),COUNTIF('1.연간시수표'!AI11,$BJ$9),COUNTIF('1.연간시수표'!AI11,$BJ$7),COUNTIF('1.연간시수표'!AI11,$BK$9),COUNTIF('1.연간시수표'!AI11,$BK$7),COUNTIF('1.연간시수표'!AI11,$BL$9),COUNTIF('1.연간시수표'!AI11,$BL$7),COUNTIF('1.연간시수표'!AI11,$BM$9),COUNTIF('1.연간시수표'!AI11,$BM$7)),$BF$6,IF(OR(COUNTIF('1.연간시수표'!AI11,$BO$9),COUNTIF('1.연간시수표'!AI11,$BO$7)),$BO$6,IF(OR(COUNTIF('1.연간시수표'!AI11,$BP$9),COUNTIF('1.연간시수표'!AI11,$BP$7)),$BP$6,IF(OR(COUNTIF('1.연간시수표'!AI11,$BQ$9),COUNTIF('1.연간시수표'!AI11,$BQ$7)),$BQ$6,IF(OR(COUNTIF('1.연간시수표'!AI11,$BR$9),COUNTIF('1.연간시수표'!AI11,$BR$7)),$BR$6,"_")))))))))))))))</f>
        <v>_</v>
      </c>
      <c r="AJ11" s="148" t="str">
        <f>IF(OR(COUNTIF('1.연간시수표'!AJ11,$AT$9),COUNTIF('1.연간시수표'!AJ11,$AT$7)),$AT$6,IF(OR(COUNTIF('1.연간시수표'!AJ11,$AU$9),COUNTIF('1.연간시수표'!AJ11,$AU$7)),$AU$6,IF(OR(COUNTIF('1.연간시수표'!AJ11,$AV$9),COUNTIF('1.연간시수표'!AJ11,$AV$7)),$AV$6,IF(OR(COUNTIF('1.연간시수표'!AJ11,$AW$9),COUNTIF('1.연간시수표'!AJ11,$AW$7)),$AW$6,IF(OR(COUNTIF('1.연간시수표'!AJ11,$AX$9),COUNTIF('1.연간시수표'!AJ11,$AX$7)),$AX$6,IF(OR(COUNTIF('1.연간시수표'!AJ11,$AY$9),COUNTIF('1.연간시수표'!AJ11,$AY$7)),$AY$6,IF(OR(COUNTIF('1.연간시수표'!AJ11,$AZ$9),COUNTIF('1.연간시수표'!AJ11,$AZ$7)),$AZ$6,IF(OR(COUNTIF('1.연간시수표'!AJ11,$BA$9),COUNTIF('1.연간시수표'!AJ11,$BA$7)),$BA$6,IF(OR(COUNTIF('1.연간시수표'!AJ11,$BB$9),COUNTIF('1.연간시수표'!AJ11,$BB$7)),$BB$6,IF(OR(COUNTIF('1.연간시수표'!AJ11,$BC$9),COUNTIF('1.연간시수표'!AJ11,$BC$7)),$BC$6,IF(OR(COUNTIF('1.연간시수표'!AJ11,$BF$9),COUNTIF('1.연간시수표'!AJ11,$BF$7),COUNTIF('1.연간시수표'!AJ11,$BG$9),COUNTIF('1.연간시수표'!AJ11,$BG$7),COUNTIF('1.연간시수표'!AJ11,$BH$9),COUNTIF('1.연간시수표'!AJ11,$BH$7),COUNTIF('1.연간시수표'!AJ11,$BI$9),COUNTIF('1.연간시수표'!AJ11,$BI$7),COUNTIF('1.연간시수표'!AJ11,$BJ$9),COUNTIF('1.연간시수표'!AJ11,$BJ$7),COUNTIF('1.연간시수표'!AJ11,$BK$9),COUNTIF('1.연간시수표'!AJ11,$BK$7),COUNTIF('1.연간시수표'!AJ11,$BL$9),COUNTIF('1.연간시수표'!AJ11,$BL$7),COUNTIF('1.연간시수표'!AJ11,$BM$9),COUNTIF('1.연간시수표'!AJ11,$BM$7)),$BF$6,IF(OR(COUNTIF('1.연간시수표'!AJ11,$BO$9),COUNTIF('1.연간시수표'!AJ11,$BO$7)),$BO$6,IF(OR(COUNTIF('1.연간시수표'!AJ11,$BP$9),COUNTIF('1.연간시수표'!AJ11,$BP$7)),$BP$6,IF(OR(COUNTIF('1.연간시수표'!AJ11,$BQ$9),COUNTIF('1.연간시수표'!AJ11,$BQ$7)),$BQ$6,IF(OR(COUNTIF('1.연간시수표'!AJ11,$BR$9),COUNTIF('1.연간시수표'!AJ11,$BR$7)),$BR$6,"_")))))))))))))))</f>
        <v>_</v>
      </c>
      <c r="AK11" s="148" t="str">
        <f>IF(OR(COUNTIF('1.연간시수표'!AK11,$AT$9),COUNTIF('1.연간시수표'!AK11,$AT$7)),$AT$6,IF(OR(COUNTIF('1.연간시수표'!AK11,$AU$9),COUNTIF('1.연간시수표'!AK11,$AU$7)),$AU$6,IF(OR(COUNTIF('1.연간시수표'!AK11,$AV$9),COUNTIF('1.연간시수표'!AK11,$AV$7)),$AV$6,IF(OR(COUNTIF('1.연간시수표'!AK11,$AW$9),COUNTIF('1.연간시수표'!AK11,$AW$7)),$AW$6,IF(OR(COUNTIF('1.연간시수표'!AK11,$AX$9),COUNTIF('1.연간시수표'!AK11,$AX$7)),$AX$6,IF(OR(COUNTIF('1.연간시수표'!AK11,$AY$9),COUNTIF('1.연간시수표'!AK11,$AY$7)),$AY$6,IF(OR(COUNTIF('1.연간시수표'!AK11,$AZ$9),COUNTIF('1.연간시수표'!AK11,$AZ$7)),$AZ$6,IF(OR(COUNTIF('1.연간시수표'!AK11,$BA$9),COUNTIF('1.연간시수표'!AK11,$BA$7)),$BA$6,IF(OR(COUNTIF('1.연간시수표'!AK11,$BB$9),COUNTIF('1.연간시수표'!AK11,$BB$7)),$BB$6,IF(OR(COUNTIF('1.연간시수표'!AK11,$BC$9),COUNTIF('1.연간시수표'!AK11,$BC$7)),$BC$6,IF(OR(COUNTIF('1.연간시수표'!AK11,$BF$9),COUNTIF('1.연간시수표'!AK11,$BF$7),COUNTIF('1.연간시수표'!AK11,$BG$9),COUNTIF('1.연간시수표'!AK11,$BG$7),COUNTIF('1.연간시수표'!AK11,$BH$9),COUNTIF('1.연간시수표'!AK11,$BH$7),COUNTIF('1.연간시수표'!AK11,$BI$9),COUNTIF('1.연간시수표'!AK11,$BI$7),COUNTIF('1.연간시수표'!AK11,$BJ$9),COUNTIF('1.연간시수표'!AK11,$BJ$7),COUNTIF('1.연간시수표'!AK11,$BK$9),COUNTIF('1.연간시수표'!AK11,$BK$7),COUNTIF('1.연간시수표'!AK11,$BL$9),COUNTIF('1.연간시수표'!AK11,$BL$7),COUNTIF('1.연간시수표'!AK11,$BM$9),COUNTIF('1.연간시수표'!AK11,$BM$7)),$BF$6,IF(OR(COUNTIF('1.연간시수표'!AK11,$BO$9),COUNTIF('1.연간시수표'!AK11,$BO$7)),$BO$6,IF(OR(COUNTIF('1.연간시수표'!AK11,$BP$9),COUNTIF('1.연간시수표'!AK11,$BP$7)),$BP$6,IF(OR(COUNTIF('1.연간시수표'!AK11,$BQ$9),COUNTIF('1.연간시수표'!AK11,$BQ$7)),$BQ$6,IF(OR(COUNTIF('1.연간시수표'!AK11,$BR$9),COUNTIF('1.연간시수표'!AK11,$BR$7)),$BR$6,"_")))))))))))))))</f>
        <v>국어</v>
      </c>
      <c r="AL11" s="148" t="str">
        <f>IF(OR(COUNTIF('1.연간시수표'!AL11,$AT$9),COUNTIF('1.연간시수표'!AL11,$AT$7)),$AT$6,IF(OR(COUNTIF('1.연간시수표'!AL11,$AU$9),COUNTIF('1.연간시수표'!AL11,$AU$7)),$AU$6,IF(OR(COUNTIF('1.연간시수표'!AL11,$AV$9),COUNTIF('1.연간시수표'!AL11,$AV$7)),$AV$6,IF(OR(COUNTIF('1.연간시수표'!AL11,$AW$9),COUNTIF('1.연간시수표'!AL11,$AW$7)),$AW$6,IF(OR(COUNTIF('1.연간시수표'!AL11,$AX$9),COUNTIF('1.연간시수표'!AL11,$AX$7)),$AX$6,IF(OR(COUNTIF('1.연간시수표'!AL11,$AY$9),COUNTIF('1.연간시수표'!AL11,$AY$7)),$AY$6,IF(OR(COUNTIF('1.연간시수표'!AL11,$AZ$9),COUNTIF('1.연간시수표'!AL11,$AZ$7)),$AZ$6,IF(OR(COUNTIF('1.연간시수표'!AL11,$BA$9),COUNTIF('1.연간시수표'!AL11,$BA$7)),$BA$6,IF(OR(COUNTIF('1.연간시수표'!AL11,$BB$9),COUNTIF('1.연간시수표'!AL11,$BB$7)),$BB$6,IF(OR(COUNTIF('1.연간시수표'!AL11,$BC$9),COUNTIF('1.연간시수표'!AL11,$BC$7)),$BC$6,IF(OR(COUNTIF('1.연간시수표'!AL11,$BF$9),COUNTIF('1.연간시수표'!AL11,$BF$7),COUNTIF('1.연간시수표'!AL11,$BG$9),COUNTIF('1.연간시수표'!AL11,$BG$7),COUNTIF('1.연간시수표'!AL11,$BH$9),COUNTIF('1.연간시수표'!AL11,$BH$7),COUNTIF('1.연간시수표'!AL11,$BI$9),COUNTIF('1.연간시수표'!AL11,$BI$7),COUNTIF('1.연간시수표'!AL11,$BJ$9),COUNTIF('1.연간시수표'!AL11,$BJ$7),COUNTIF('1.연간시수표'!AL11,$BK$9),COUNTIF('1.연간시수표'!AL11,$BK$7),COUNTIF('1.연간시수표'!AL11,$BL$9),COUNTIF('1.연간시수표'!AL11,$BL$7),COUNTIF('1.연간시수표'!AL11,$BM$9),COUNTIF('1.연간시수표'!AL11,$BM$7)),$BF$6,IF(OR(COUNTIF('1.연간시수표'!AL11,$BO$9),COUNTIF('1.연간시수표'!AL11,$BO$7)),$BO$6,IF(OR(COUNTIF('1.연간시수표'!AL11,$BP$9),COUNTIF('1.연간시수표'!AL11,$BP$7)),$BP$6,IF(OR(COUNTIF('1.연간시수표'!AL11,$BQ$9),COUNTIF('1.연간시수표'!AL11,$BQ$7)),$BQ$6,IF(OR(COUNTIF('1.연간시수표'!AL11,$BR$9),COUNTIF('1.연간시수표'!AL11,$BR$7)),$BR$6,"_")))))))))))))))</f>
        <v>체육</v>
      </c>
      <c r="AM11" s="148" t="str">
        <f>IF(OR(COUNTIF('1.연간시수표'!AM11,$AT$9),COUNTIF('1.연간시수표'!AM11,$AT$7)),$AT$6,IF(OR(COUNTIF('1.연간시수표'!AM11,$AU$9),COUNTIF('1.연간시수표'!AM11,$AU$7)),$AU$6,IF(OR(COUNTIF('1.연간시수표'!AM11,$AV$9),COUNTIF('1.연간시수표'!AM11,$AV$7)),$AV$6,IF(OR(COUNTIF('1.연간시수표'!AM11,$AW$9),COUNTIF('1.연간시수표'!AM11,$AW$7)),$AW$6,IF(OR(COUNTIF('1.연간시수표'!AM11,$AX$9),COUNTIF('1.연간시수표'!AM11,$AX$7)),$AX$6,IF(OR(COUNTIF('1.연간시수표'!AM11,$AY$9),COUNTIF('1.연간시수표'!AM11,$AY$7)),$AY$6,IF(OR(COUNTIF('1.연간시수표'!AM11,$AZ$9),COUNTIF('1.연간시수표'!AM11,$AZ$7)),$AZ$6,IF(OR(COUNTIF('1.연간시수표'!AM11,$BA$9),COUNTIF('1.연간시수표'!AM11,$BA$7)),$BA$6,IF(OR(COUNTIF('1.연간시수표'!AM11,$BB$9),COUNTIF('1.연간시수표'!AM11,$BB$7)),$BB$6,IF(OR(COUNTIF('1.연간시수표'!AM11,$BC$9),COUNTIF('1.연간시수표'!AM11,$BC$7)),$BC$6,IF(OR(COUNTIF('1.연간시수표'!AM11,$BF$9),COUNTIF('1.연간시수표'!AM11,$BF$7),COUNTIF('1.연간시수표'!AM11,$BG$9),COUNTIF('1.연간시수표'!AM11,$BG$7),COUNTIF('1.연간시수표'!AM11,$BH$9),COUNTIF('1.연간시수표'!AM11,$BH$7),COUNTIF('1.연간시수표'!AM11,$BI$9),COUNTIF('1.연간시수표'!AM11,$BI$7),COUNTIF('1.연간시수표'!AM11,$BJ$9),COUNTIF('1.연간시수표'!AM11,$BJ$7),COUNTIF('1.연간시수표'!AM11,$BK$9),COUNTIF('1.연간시수표'!AM11,$BK$7),COUNTIF('1.연간시수표'!AM11,$BL$9),COUNTIF('1.연간시수표'!AM11,$BL$7),COUNTIF('1.연간시수표'!AM11,$BM$9),COUNTIF('1.연간시수표'!AM11,$BM$7)),$BF$6,IF(OR(COUNTIF('1.연간시수표'!AM11,$BO$9),COUNTIF('1.연간시수표'!AM11,$BO$7)),$BO$6,IF(OR(COUNTIF('1.연간시수표'!AM11,$BP$9),COUNTIF('1.연간시수표'!AM11,$BP$7)),$BP$6,IF(OR(COUNTIF('1.연간시수표'!AM11,$BQ$9),COUNTIF('1.연간시수표'!AM11,$BQ$7)),$BQ$6,IF(OR(COUNTIF('1.연간시수표'!AM11,$BR$9),COUNTIF('1.연간시수표'!AM11,$BR$7)),$BR$6,"_")))))))))))))))</f>
        <v>수학</v>
      </c>
      <c r="AN11" s="148" t="str">
        <f>IF(OR(COUNTIF('1.연간시수표'!AN11,$AT$9),COUNTIF('1.연간시수표'!AN11,$AT$7)),$AT$6,IF(OR(COUNTIF('1.연간시수표'!AN11,$AU$9),COUNTIF('1.연간시수표'!AN11,$AU$7)),$AU$6,IF(OR(COUNTIF('1.연간시수표'!AN11,$AV$9),COUNTIF('1.연간시수표'!AN11,$AV$7)),$AV$6,IF(OR(COUNTIF('1.연간시수표'!AN11,$AW$9),COUNTIF('1.연간시수표'!AN11,$AW$7)),$AW$6,IF(OR(COUNTIF('1.연간시수표'!AN11,$AX$9),COUNTIF('1.연간시수표'!AN11,$AX$7)),$AX$6,IF(OR(COUNTIF('1.연간시수표'!AN11,$AY$9),COUNTIF('1.연간시수표'!AN11,$AY$7)),$AY$6,IF(OR(COUNTIF('1.연간시수표'!AN11,$AZ$9),COUNTIF('1.연간시수표'!AN11,$AZ$7)),$AZ$6,IF(OR(COUNTIF('1.연간시수표'!AN11,$BA$9),COUNTIF('1.연간시수표'!AN11,$BA$7)),$BA$6,IF(OR(COUNTIF('1.연간시수표'!AN11,$BB$9),COUNTIF('1.연간시수표'!AN11,$BB$7)),$BB$6,IF(OR(COUNTIF('1.연간시수표'!AN11,$BC$9),COUNTIF('1.연간시수표'!AN11,$BC$7)),$BC$6,IF(OR(COUNTIF('1.연간시수표'!AN11,$BF$9),COUNTIF('1.연간시수표'!AN11,$BF$7),COUNTIF('1.연간시수표'!AN11,$BG$9),COUNTIF('1.연간시수표'!AN11,$BG$7),COUNTIF('1.연간시수표'!AN11,$BH$9),COUNTIF('1.연간시수표'!AN11,$BH$7),COUNTIF('1.연간시수표'!AN11,$BI$9),COUNTIF('1.연간시수표'!AN11,$BI$7),COUNTIF('1.연간시수표'!AN11,$BJ$9),COUNTIF('1.연간시수표'!AN11,$BJ$7),COUNTIF('1.연간시수표'!AN11,$BK$9),COUNTIF('1.연간시수표'!AN11,$BK$7),COUNTIF('1.연간시수표'!AN11,$BL$9),COUNTIF('1.연간시수표'!AN11,$BL$7),COUNTIF('1.연간시수표'!AN11,$BM$9),COUNTIF('1.연간시수표'!AN11,$BM$7)),$BF$6,IF(OR(COUNTIF('1.연간시수표'!AN11,$BO$9),COUNTIF('1.연간시수표'!AN11,$BO$7)),$BO$6,IF(OR(COUNTIF('1.연간시수표'!AN11,$BP$9),COUNTIF('1.연간시수표'!AN11,$BP$7)),$BP$6,IF(OR(COUNTIF('1.연간시수표'!AN11,$BQ$9),COUNTIF('1.연간시수표'!AN11,$BQ$7)),$BQ$6,IF(OR(COUNTIF('1.연간시수표'!AN11,$BR$9),COUNTIF('1.연간시수표'!AN11,$BR$7)),$BR$6,"_")))))))))))))))</f>
        <v>음악</v>
      </c>
      <c r="AO11" s="148" t="str">
        <f>IF(OR(COUNTIF('1.연간시수표'!AO11,$AT$9),COUNTIF('1.연간시수표'!AO11,$AT$7)),$AT$6,IF(OR(COUNTIF('1.연간시수표'!AO11,$AU$9),COUNTIF('1.연간시수표'!AO11,$AU$7)),$AU$6,IF(OR(COUNTIF('1.연간시수표'!AO11,$AV$9),COUNTIF('1.연간시수표'!AO11,$AV$7)),$AV$6,IF(OR(COUNTIF('1.연간시수표'!AO11,$AW$9),COUNTIF('1.연간시수표'!AO11,$AW$7)),$AW$6,IF(OR(COUNTIF('1.연간시수표'!AO11,$AX$9),COUNTIF('1.연간시수표'!AO11,$AX$7)),$AX$6,IF(OR(COUNTIF('1.연간시수표'!AO11,$AY$9),COUNTIF('1.연간시수표'!AO11,$AY$7)),$AY$6,IF(OR(COUNTIF('1.연간시수표'!AO11,$AZ$9),COUNTIF('1.연간시수표'!AO11,$AZ$7)),$AZ$6,IF(OR(COUNTIF('1.연간시수표'!AO11,$BA$9),COUNTIF('1.연간시수표'!AO11,$BA$7)),$BA$6,IF(OR(COUNTIF('1.연간시수표'!AO11,$BB$9),COUNTIF('1.연간시수표'!AO11,$BB$7)),$BB$6,IF(OR(COUNTIF('1.연간시수표'!AO11,$BC$9),COUNTIF('1.연간시수표'!AO11,$BC$7)),$BC$6,IF(OR(COUNTIF('1.연간시수표'!AO11,$BF$9),COUNTIF('1.연간시수표'!AO11,$BF$7),COUNTIF('1.연간시수표'!AO11,$BG$9),COUNTIF('1.연간시수표'!AO11,$BG$7),COUNTIF('1.연간시수표'!AO11,$BH$9),COUNTIF('1.연간시수표'!AO11,$BH$7),COUNTIF('1.연간시수표'!AO11,$BI$9),COUNTIF('1.연간시수표'!AO11,$BI$7),COUNTIF('1.연간시수표'!AO11,$BJ$9),COUNTIF('1.연간시수표'!AO11,$BJ$7),COUNTIF('1.연간시수표'!AO11,$BK$9),COUNTIF('1.연간시수표'!AO11,$BK$7),COUNTIF('1.연간시수표'!AO11,$BL$9),COUNTIF('1.연간시수표'!AO11,$BL$7),COUNTIF('1.연간시수표'!AO11,$BM$9),COUNTIF('1.연간시수표'!AO11,$BM$7)),$BF$6,IF(OR(COUNTIF('1.연간시수표'!AO11,$BO$9),COUNTIF('1.연간시수표'!AO11,$BO$7)),$BO$6,IF(OR(COUNTIF('1.연간시수표'!AO11,$BP$9),COUNTIF('1.연간시수표'!AO11,$BP$7)),$BP$6,IF(OR(COUNTIF('1.연간시수표'!AO11,$BQ$9),COUNTIF('1.연간시수표'!AO11,$BQ$7)),$BQ$6,IF(OR(COUNTIF('1.연간시수표'!AO11,$BR$9),COUNTIF('1.연간시수표'!AO11,$BR$7)),$BR$6,"_")))))))))))))))</f>
        <v>사회</v>
      </c>
      <c r="AP11" s="148" t="str">
        <f>IF(OR(COUNTIF('1.연간시수표'!AP11,$AT$9),COUNTIF('1.연간시수표'!AP11,$AT$7)),$AT$6,IF(OR(COUNTIF('1.연간시수표'!AP11,$AU$9),COUNTIF('1.연간시수표'!AP11,$AU$7)),$AU$6,IF(OR(COUNTIF('1.연간시수표'!AP11,$AV$9),COUNTIF('1.연간시수표'!AP11,$AV$7)),$AV$6,IF(OR(COUNTIF('1.연간시수표'!AP11,$AW$9),COUNTIF('1.연간시수표'!AP11,$AW$7)),$AW$6,IF(OR(COUNTIF('1.연간시수표'!AP11,$AX$9),COUNTIF('1.연간시수표'!AP11,$AX$7)),$AX$6,IF(OR(COUNTIF('1.연간시수표'!AP11,$AY$9),COUNTIF('1.연간시수표'!AP11,$AY$7)),$AY$6,IF(OR(COUNTIF('1.연간시수표'!AP11,$AZ$9),COUNTIF('1.연간시수표'!AP11,$AZ$7)),$AZ$6,IF(OR(COUNTIF('1.연간시수표'!AP11,$BA$9),COUNTIF('1.연간시수표'!AP11,$BA$7)),$BA$6,IF(OR(COUNTIF('1.연간시수표'!AP11,$BB$9),COUNTIF('1.연간시수표'!AP11,$BB$7)),$BB$6,IF(OR(COUNTIF('1.연간시수표'!AP11,$BC$9),COUNTIF('1.연간시수표'!AP11,$BC$7)),$BC$6,IF(OR(COUNTIF('1.연간시수표'!AP11,$BF$9),COUNTIF('1.연간시수표'!AP11,$BF$7),COUNTIF('1.연간시수표'!AP11,$BG$9),COUNTIF('1.연간시수표'!AP11,$BG$7),COUNTIF('1.연간시수표'!AP11,$BH$9),COUNTIF('1.연간시수표'!AP11,$BH$7),COUNTIF('1.연간시수표'!AP11,$BI$9),COUNTIF('1.연간시수표'!AP11,$BI$7),COUNTIF('1.연간시수표'!AP11,$BJ$9),COUNTIF('1.연간시수표'!AP11,$BJ$7),COUNTIF('1.연간시수표'!AP11,$BK$9),COUNTIF('1.연간시수표'!AP11,$BK$7),COUNTIF('1.연간시수표'!AP11,$BL$9),COUNTIF('1.연간시수표'!AP11,$BL$7),COUNTIF('1.연간시수표'!AP11,$BM$9),COUNTIF('1.연간시수표'!AP11,$BM$7)),$BF$6,IF(OR(COUNTIF('1.연간시수표'!AP11,$BO$9),COUNTIF('1.연간시수표'!AP11,$BO$7)),$BO$6,IF(OR(COUNTIF('1.연간시수표'!AP11,$BP$9),COUNTIF('1.연간시수표'!AP11,$BP$7)),$BP$6,IF(OR(COUNTIF('1.연간시수표'!AP11,$BQ$9),COUNTIF('1.연간시수표'!AP11,$BQ$7)),$BQ$6,IF(OR(COUNTIF('1.연간시수표'!AP11,$BR$9),COUNTIF('1.연간시수표'!AP11,$BR$7)),$BR$6,"_")))))))))))))))</f>
        <v>실과</v>
      </c>
      <c r="AQ11" s="148" t="str">
        <f>IF(OR(COUNTIF('1.연간시수표'!AQ11,$AT$9),COUNTIF('1.연간시수표'!AQ11,$AT$7)),$AT$6,IF(OR(COUNTIF('1.연간시수표'!AQ11,$AU$9),COUNTIF('1.연간시수표'!AQ11,$AU$7)),$AU$6,IF(OR(COUNTIF('1.연간시수표'!AQ11,$AV$9),COUNTIF('1.연간시수표'!AQ11,$AV$7)),$AV$6,IF(OR(COUNTIF('1.연간시수표'!AQ11,$AW$9),COUNTIF('1.연간시수표'!AQ11,$AW$7)),$AW$6,IF(OR(COUNTIF('1.연간시수표'!AQ11,$AX$9),COUNTIF('1.연간시수표'!AQ11,$AX$7)),$AX$6,IF(OR(COUNTIF('1.연간시수표'!AQ11,$AY$9),COUNTIF('1.연간시수표'!AQ11,$AY$7)),$AY$6,IF(OR(COUNTIF('1.연간시수표'!AQ11,$AZ$9),COUNTIF('1.연간시수표'!AQ11,$AZ$7)),$AZ$6,IF(OR(COUNTIF('1.연간시수표'!AQ11,$BA$9),COUNTIF('1.연간시수표'!AQ11,$BA$7)),$BA$6,IF(OR(COUNTIF('1.연간시수표'!AQ11,$BB$9),COUNTIF('1.연간시수표'!AQ11,$BB$7)),$BB$6,IF(OR(COUNTIF('1.연간시수표'!AQ11,$BC$9),COUNTIF('1.연간시수표'!AQ11,$BC$7)),$BC$6,IF(OR(COUNTIF('1.연간시수표'!AQ11,$BF$9),COUNTIF('1.연간시수표'!AQ11,$BF$7),COUNTIF('1.연간시수표'!AQ11,$BG$9),COUNTIF('1.연간시수표'!AQ11,$BG$7),COUNTIF('1.연간시수표'!AQ11,$BH$9),COUNTIF('1.연간시수표'!AQ11,$BH$7),COUNTIF('1.연간시수표'!AQ11,$BI$9),COUNTIF('1.연간시수표'!AQ11,$BI$7),COUNTIF('1.연간시수표'!AQ11,$BJ$9),COUNTIF('1.연간시수표'!AQ11,$BJ$7),COUNTIF('1.연간시수표'!AQ11,$BK$9),COUNTIF('1.연간시수표'!AQ11,$BK$7),COUNTIF('1.연간시수표'!AQ11,$BL$9),COUNTIF('1.연간시수표'!AQ11,$BL$7),COUNTIF('1.연간시수표'!AQ11,$BM$9),COUNTIF('1.연간시수표'!AQ11,$BM$7)),$BF$6,IF(OR(COUNTIF('1.연간시수표'!AQ11,$BO$9),COUNTIF('1.연간시수표'!AQ11,$BO$7)),$BO$6,IF(OR(COUNTIF('1.연간시수표'!AQ11,$BP$9),COUNTIF('1.연간시수표'!AQ11,$BP$7)),$BP$6,IF(OR(COUNTIF('1.연간시수표'!AQ11,$BQ$9),COUNTIF('1.연간시수표'!AQ11,$BQ$7)),$BQ$6,IF(OR(COUNTIF('1.연간시수표'!AQ11,$BR$9),COUNTIF('1.연간시수표'!AQ11,$BR$7)),$BR$6,"_")))))))))))))))</f>
        <v>_</v>
      </c>
      <c r="AR11" s="148" t="str">
        <f>IF(OR(COUNTIF('1.연간시수표'!AR11,$AT$9),COUNTIF('1.연간시수표'!AR11,$AT$7)),$AT$6,IF(OR(COUNTIF('1.연간시수표'!AR11,$AU$9),COUNTIF('1.연간시수표'!AR11,$AU$7)),$AU$6,IF(OR(COUNTIF('1.연간시수표'!AR11,$AV$9),COUNTIF('1.연간시수표'!AR11,$AV$7)),$AV$6,IF(OR(COUNTIF('1.연간시수표'!AR11,$AW$9),COUNTIF('1.연간시수표'!AR11,$AW$7)),$AW$6,IF(OR(COUNTIF('1.연간시수표'!AR11,$AX$9),COUNTIF('1.연간시수표'!AR11,$AX$7)),$AX$6,IF(OR(COUNTIF('1.연간시수표'!AR11,$AY$9),COUNTIF('1.연간시수표'!AR11,$AY$7)),$AY$6,IF(OR(COUNTIF('1.연간시수표'!AR11,$AZ$9),COUNTIF('1.연간시수표'!AR11,$AZ$7)),$AZ$6,IF(OR(COUNTIF('1.연간시수표'!AR11,$BA$9),COUNTIF('1.연간시수표'!AR11,$BA$7)),$BA$6,IF(OR(COUNTIF('1.연간시수표'!AR11,$BB$9),COUNTIF('1.연간시수표'!AR11,$BB$7)),$BB$6,IF(OR(COUNTIF('1.연간시수표'!AR11,$BC$9),COUNTIF('1.연간시수표'!AR11,$BC$7)),$BC$6,IF(OR(COUNTIF('1.연간시수표'!AR11,$BF$9),COUNTIF('1.연간시수표'!AR11,$BF$7),COUNTIF('1.연간시수표'!AR11,$BG$9),COUNTIF('1.연간시수표'!AR11,$BG$7),COUNTIF('1.연간시수표'!AR11,$BH$9),COUNTIF('1.연간시수표'!AR11,$BH$7),COUNTIF('1.연간시수표'!AR11,$BI$9),COUNTIF('1.연간시수표'!AR11,$BI$7),COUNTIF('1.연간시수표'!AR11,$BJ$9),COUNTIF('1.연간시수표'!AR11,$BJ$7),COUNTIF('1.연간시수표'!AR11,$BK$9),COUNTIF('1.연간시수표'!AR11,$BK$7),COUNTIF('1.연간시수표'!AR11,$BL$9),COUNTIF('1.연간시수표'!AR11,$BL$7),COUNTIF('1.연간시수표'!AR11,$BM$9),COUNTIF('1.연간시수표'!AR11,$BM$7)),$BF$6,IF(OR(COUNTIF('1.연간시수표'!AR11,$BO$9),COUNTIF('1.연간시수표'!AR11,$BO$7)),$BO$6,IF(OR(COUNTIF('1.연간시수표'!AR11,$BP$9),COUNTIF('1.연간시수표'!AR11,$BP$7)),$BP$6,IF(OR(COUNTIF('1.연간시수표'!AR11,$BQ$9),COUNTIF('1.연간시수표'!AR11,$BQ$7)),$BQ$6,IF(OR(COUNTIF('1.연간시수표'!AR11,$BR$9),COUNTIF('1.연간시수표'!AR11,$BR$7)),$BR$6,"_")))))))))))))))</f>
        <v>_</v>
      </c>
      <c r="BU11" s="27" t="s">
        <v>101</v>
      </c>
      <c r="BV11" s="27" t="s">
        <v>84</v>
      </c>
    </row>
    <row r="12" spans="2:74">
      <c r="B12" s="6"/>
      <c r="C12" s="79">
        <f>'1.연간시수표'!C12</f>
        <v>3</v>
      </c>
      <c r="D12" s="3"/>
      <c r="E12" s="148" t="str">
        <f>IF(OR(COUNTIF('1.연간시수표'!E12,$AT$9),COUNTIF('1.연간시수표'!E12,$AT$7)),$AT$6,IF(OR(COUNTIF('1.연간시수표'!E12,$AU$9),COUNTIF('1.연간시수표'!E12,$AU$7)),$AU$6,IF(OR(COUNTIF('1.연간시수표'!E12,$AV$9),COUNTIF('1.연간시수표'!E12,$AV$7)),$AV$6,IF(OR(COUNTIF('1.연간시수표'!E12,$AW$9),COUNTIF('1.연간시수표'!E12,$AW$7)),$AW$6,IF(OR(COUNTIF('1.연간시수표'!E12,$AX$9),COUNTIF('1.연간시수표'!E12,$AX$7)),$AX$6,IF(OR(COUNTIF('1.연간시수표'!E12,$AY$9),COUNTIF('1.연간시수표'!E12,$AY$7)),$AY$6,IF(OR(COUNTIF('1.연간시수표'!E12,$AZ$9),COUNTIF('1.연간시수표'!E12,$AZ$7)),$AZ$6,IF(OR(COUNTIF('1.연간시수표'!E12,$BA$9),COUNTIF('1.연간시수표'!E12,$BA$7)),$BA$6,IF(OR(COUNTIF('1.연간시수표'!E12,$BB$9),COUNTIF('1.연간시수표'!E12,$BB$7)),$BB$6,IF(OR(COUNTIF('1.연간시수표'!E12,$BC$9),COUNTIF('1.연간시수표'!E12,$BC$7)),$BC$6,IF(OR(COUNTIF('1.연간시수표'!E12,$BF$9),COUNTIF('1.연간시수표'!E12,$BF$7),COUNTIF('1.연간시수표'!E12,$BG$9),COUNTIF('1.연간시수표'!E12,$BG$7),COUNTIF('1.연간시수표'!E12,$BH$9),COUNTIF('1.연간시수표'!E12,$BH$7),COUNTIF('1.연간시수표'!E12,$BI$9),COUNTIF('1.연간시수표'!E12,$BI$7),COUNTIF('1.연간시수표'!E12,$BJ$9),COUNTIF('1.연간시수표'!E12,$BJ$7),COUNTIF('1.연간시수표'!E12,$BK$9),COUNTIF('1.연간시수표'!E12,$BK$7),COUNTIF('1.연간시수표'!E12,$BL$9),COUNTIF('1.연간시수표'!E12,$BL$7),COUNTIF('1.연간시수표'!E12,$BM$9),COUNTIF('1.연간시수표'!E12,$BM$7)),$BF$6,IF(OR(COUNTIF('1.연간시수표'!E12,$BO$9),COUNTIF('1.연간시수표'!E12,$BO$7)),$BO$6,IF(OR(COUNTIF('1.연간시수표'!E12,$BP$9),COUNTIF('1.연간시수표'!E12,$BP$7)),$BP$6,IF(OR(COUNTIF('1.연간시수표'!E12,$BQ$9),COUNTIF('1.연간시수표'!E12,$BQ$7)),$BQ$6,IF(OR(COUNTIF('1.연간시수표'!E12,$BR$9),COUNTIF('1.연간시수표'!E12,$BR$7)),$BR$6,"_")))))))))))))))</f>
        <v>국어</v>
      </c>
      <c r="F12" s="148" t="str">
        <f>IF(OR(COUNTIF('1.연간시수표'!F12,$AT$9),COUNTIF('1.연간시수표'!F12,$AT$7)),$AT$6,IF(OR(COUNTIF('1.연간시수표'!F12,$AU$9),COUNTIF('1.연간시수표'!F12,$AU$7)),$AU$6,IF(OR(COUNTIF('1.연간시수표'!F12,$AV$9),COUNTIF('1.연간시수표'!F12,$AV$7)),$AV$6,IF(OR(COUNTIF('1.연간시수표'!F12,$AW$9),COUNTIF('1.연간시수표'!F12,$AW$7)),$AW$6,IF(OR(COUNTIF('1.연간시수표'!F12,$AX$9),COUNTIF('1.연간시수표'!F12,$AX$7)),$AX$6,IF(OR(COUNTIF('1.연간시수표'!F12,$AY$9),COUNTIF('1.연간시수표'!F12,$AY$7)),$AY$6,IF(OR(COUNTIF('1.연간시수표'!F12,$AZ$9),COUNTIF('1.연간시수표'!F12,$AZ$7)),$AZ$6,IF(OR(COUNTIF('1.연간시수표'!F12,$BA$9),COUNTIF('1.연간시수표'!F12,$BA$7)),$BA$6,IF(OR(COUNTIF('1.연간시수표'!F12,$BB$9),COUNTIF('1.연간시수표'!F12,$BB$7)),$BB$6,IF(OR(COUNTIF('1.연간시수표'!F12,$BC$9),COUNTIF('1.연간시수표'!F12,$BC$7)),$BC$6,IF(OR(COUNTIF('1.연간시수표'!F12,$BF$9),COUNTIF('1.연간시수표'!F12,$BF$7),COUNTIF('1.연간시수표'!F12,$BG$9),COUNTIF('1.연간시수표'!F12,$BG$7),COUNTIF('1.연간시수표'!F12,$BH$9),COUNTIF('1.연간시수표'!F12,$BH$7),COUNTIF('1.연간시수표'!F12,$BI$9),COUNTIF('1.연간시수표'!F12,$BI$7),COUNTIF('1.연간시수표'!F12,$BJ$9),COUNTIF('1.연간시수표'!F12,$BJ$7),COUNTIF('1.연간시수표'!F12,$BK$9),COUNTIF('1.연간시수표'!F12,$BK$7),COUNTIF('1.연간시수표'!F12,$BL$9),COUNTIF('1.연간시수표'!F12,$BL$7),COUNTIF('1.연간시수표'!F12,$BM$9),COUNTIF('1.연간시수표'!F12,$BM$7)),$BF$6,IF(OR(COUNTIF('1.연간시수표'!F12,$BO$9),COUNTIF('1.연간시수표'!F12,$BO$7)),$BO$6,IF(OR(COUNTIF('1.연간시수표'!F12,$BP$9),COUNTIF('1.연간시수표'!F12,$BP$7)),$BP$6,IF(OR(COUNTIF('1.연간시수표'!F12,$BQ$9),COUNTIF('1.연간시수표'!F12,$BQ$7)),$BQ$6,IF(OR(COUNTIF('1.연간시수표'!F12,$BR$9),COUNTIF('1.연간시수표'!F12,$BR$7)),$BR$6,"_")))))))))))))))</f>
        <v>미술</v>
      </c>
      <c r="G12" s="148" t="str">
        <f>IF(OR(COUNTIF('1.연간시수표'!G12,$AT$9),COUNTIF('1.연간시수표'!G12,$AT$7)),$AT$6,IF(OR(COUNTIF('1.연간시수표'!G12,$AU$9),COUNTIF('1.연간시수표'!G12,$AU$7)),$AU$6,IF(OR(COUNTIF('1.연간시수표'!G12,$AV$9),COUNTIF('1.연간시수표'!G12,$AV$7)),$AV$6,IF(OR(COUNTIF('1.연간시수표'!G12,$AW$9),COUNTIF('1.연간시수표'!G12,$AW$7)),$AW$6,IF(OR(COUNTIF('1.연간시수표'!G12,$AX$9),COUNTIF('1.연간시수표'!G12,$AX$7)),$AX$6,IF(OR(COUNTIF('1.연간시수표'!G12,$AY$9),COUNTIF('1.연간시수표'!G12,$AY$7)),$AY$6,IF(OR(COUNTIF('1.연간시수표'!G12,$AZ$9),COUNTIF('1.연간시수표'!G12,$AZ$7)),$AZ$6,IF(OR(COUNTIF('1.연간시수표'!G12,$BA$9),COUNTIF('1.연간시수표'!G12,$BA$7)),$BA$6,IF(OR(COUNTIF('1.연간시수표'!G12,$BB$9),COUNTIF('1.연간시수표'!G12,$BB$7)),$BB$6,IF(OR(COUNTIF('1.연간시수표'!G12,$BC$9),COUNTIF('1.연간시수표'!G12,$BC$7)),$BC$6,IF(OR(COUNTIF('1.연간시수표'!G12,$BF$9),COUNTIF('1.연간시수표'!G12,$BF$7),COUNTIF('1.연간시수표'!G12,$BG$9),COUNTIF('1.연간시수표'!G12,$BG$7),COUNTIF('1.연간시수표'!G12,$BH$9),COUNTIF('1.연간시수표'!G12,$BH$7),COUNTIF('1.연간시수표'!G12,$BI$9),COUNTIF('1.연간시수표'!G12,$BI$7),COUNTIF('1.연간시수표'!G12,$BJ$9),COUNTIF('1.연간시수표'!G12,$BJ$7),COUNTIF('1.연간시수표'!G12,$BK$9),COUNTIF('1.연간시수표'!G12,$BK$7),COUNTIF('1.연간시수표'!G12,$BL$9),COUNTIF('1.연간시수표'!G12,$BL$7),COUNTIF('1.연간시수표'!G12,$BM$9),COUNTIF('1.연간시수표'!G12,$BM$7)),$BF$6,IF(OR(COUNTIF('1.연간시수표'!G12,$BO$9),COUNTIF('1.연간시수표'!G12,$BO$7)),$BO$6,IF(OR(COUNTIF('1.연간시수표'!G12,$BP$9),COUNTIF('1.연간시수표'!G12,$BP$7)),$BP$6,IF(OR(COUNTIF('1.연간시수표'!G12,$BQ$9),COUNTIF('1.연간시수표'!G12,$BQ$7)),$BQ$6,IF(OR(COUNTIF('1.연간시수표'!G12,$BR$9),COUNTIF('1.연간시수표'!G12,$BR$7)),$BR$6,"_")))))))))))))))</f>
        <v>미술</v>
      </c>
      <c r="H12" s="148" t="str">
        <f>IF(OR(COUNTIF('1.연간시수표'!H12,$AT$9),COUNTIF('1.연간시수표'!H12,$AT$7)),$AT$6,IF(OR(COUNTIF('1.연간시수표'!H12,$AU$9),COUNTIF('1.연간시수표'!H12,$AU$7)),$AU$6,IF(OR(COUNTIF('1.연간시수표'!H12,$AV$9),COUNTIF('1.연간시수표'!H12,$AV$7)),$AV$6,IF(OR(COUNTIF('1.연간시수표'!H12,$AW$9),COUNTIF('1.연간시수표'!H12,$AW$7)),$AW$6,IF(OR(COUNTIF('1.연간시수표'!H12,$AX$9),COUNTIF('1.연간시수표'!H12,$AX$7)),$AX$6,IF(OR(COUNTIF('1.연간시수표'!H12,$AY$9),COUNTIF('1.연간시수표'!H12,$AY$7)),$AY$6,IF(OR(COUNTIF('1.연간시수표'!H12,$AZ$9),COUNTIF('1.연간시수표'!H12,$AZ$7)),$AZ$6,IF(OR(COUNTIF('1.연간시수표'!H12,$BA$9),COUNTIF('1.연간시수표'!H12,$BA$7)),$BA$6,IF(OR(COUNTIF('1.연간시수표'!H12,$BB$9),COUNTIF('1.연간시수표'!H12,$BB$7)),$BB$6,IF(OR(COUNTIF('1.연간시수표'!H12,$BC$9),COUNTIF('1.연간시수표'!H12,$BC$7)),$BC$6,IF(OR(COUNTIF('1.연간시수표'!H12,$BF$9),COUNTIF('1.연간시수표'!H12,$BF$7),COUNTIF('1.연간시수표'!H12,$BG$9),COUNTIF('1.연간시수표'!H12,$BG$7),COUNTIF('1.연간시수표'!H12,$BH$9),COUNTIF('1.연간시수표'!H12,$BH$7),COUNTIF('1.연간시수표'!H12,$BI$9),COUNTIF('1.연간시수표'!H12,$BI$7),COUNTIF('1.연간시수표'!H12,$BJ$9),COUNTIF('1.연간시수표'!H12,$BJ$7),COUNTIF('1.연간시수표'!H12,$BK$9),COUNTIF('1.연간시수표'!H12,$BK$7),COUNTIF('1.연간시수표'!H12,$BL$9),COUNTIF('1.연간시수표'!H12,$BL$7),COUNTIF('1.연간시수표'!H12,$BM$9),COUNTIF('1.연간시수표'!H12,$BM$7)),$BF$6,IF(OR(COUNTIF('1.연간시수표'!H12,$BO$9),COUNTIF('1.연간시수표'!H12,$BO$7)),$BO$6,IF(OR(COUNTIF('1.연간시수표'!H12,$BP$9),COUNTIF('1.연간시수표'!H12,$BP$7)),$BP$6,IF(OR(COUNTIF('1.연간시수표'!H12,$BQ$9),COUNTIF('1.연간시수표'!H12,$BQ$7)),$BQ$6,IF(OR(COUNTIF('1.연간시수표'!H12,$BR$9),COUNTIF('1.연간시수표'!H12,$BR$7)),$BR$6,"_")))))))))))))))</f>
        <v>영어</v>
      </c>
      <c r="I12" s="148" t="str">
        <f>IF(OR(COUNTIF('1.연간시수표'!I12,$AT$9),COUNTIF('1.연간시수표'!I12,$AT$7)),$AT$6,IF(OR(COUNTIF('1.연간시수표'!I12,$AU$9),COUNTIF('1.연간시수표'!I12,$AU$7)),$AU$6,IF(OR(COUNTIF('1.연간시수표'!I12,$AV$9),COUNTIF('1.연간시수표'!I12,$AV$7)),$AV$6,IF(OR(COUNTIF('1.연간시수표'!I12,$AW$9),COUNTIF('1.연간시수표'!I12,$AW$7)),$AW$6,IF(OR(COUNTIF('1.연간시수표'!I12,$AX$9),COUNTIF('1.연간시수표'!I12,$AX$7)),$AX$6,IF(OR(COUNTIF('1.연간시수표'!I12,$AY$9),COUNTIF('1.연간시수표'!I12,$AY$7)),$AY$6,IF(OR(COUNTIF('1.연간시수표'!I12,$AZ$9),COUNTIF('1.연간시수표'!I12,$AZ$7)),$AZ$6,IF(OR(COUNTIF('1.연간시수표'!I12,$BA$9),COUNTIF('1.연간시수표'!I12,$BA$7)),$BA$6,IF(OR(COUNTIF('1.연간시수표'!I12,$BB$9),COUNTIF('1.연간시수표'!I12,$BB$7)),$BB$6,IF(OR(COUNTIF('1.연간시수표'!I12,$BC$9),COUNTIF('1.연간시수표'!I12,$BC$7)),$BC$6,IF(OR(COUNTIF('1.연간시수표'!I12,$BF$9),COUNTIF('1.연간시수표'!I12,$BF$7),COUNTIF('1.연간시수표'!I12,$BG$9),COUNTIF('1.연간시수표'!I12,$BG$7),COUNTIF('1.연간시수표'!I12,$BH$9),COUNTIF('1.연간시수표'!I12,$BH$7),COUNTIF('1.연간시수표'!I12,$BI$9),COUNTIF('1.연간시수표'!I12,$BI$7),COUNTIF('1.연간시수표'!I12,$BJ$9),COUNTIF('1.연간시수표'!I12,$BJ$7),COUNTIF('1.연간시수표'!I12,$BK$9),COUNTIF('1.연간시수표'!I12,$BK$7),COUNTIF('1.연간시수표'!I12,$BL$9),COUNTIF('1.연간시수표'!I12,$BL$7),COUNTIF('1.연간시수표'!I12,$BM$9),COUNTIF('1.연간시수표'!I12,$BM$7)),$BF$6,IF(OR(COUNTIF('1.연간시수표'!I12,$BO$9),COUNTIF('1.연간시수표'!I12,$BO$7)),$BO$6,IF(OR(COUNTIF('1.연간시수표'!I12,$BP$9),COUNTIF('1.연간시수표'!I12,$BP$7)),$BP$6,IF(OR(COUNTIF('1.연간시수표'!I12,$BQ$9),COUNTIF('1.연간시수표'!I12,$BQ$7)),$BQ$6,IF(OR(COUNTIF('1.연간시수표'!I12,$BR$9),COUNTIF('1.연간시수표'!I12,$BR$7)),$BR$6,"_")))))))))))))))</f>
        <v>음악</v>
      </c>
      <c r="J12" s="148" t="str">
        <f>IF(OR(COUNTIF('1.연간시수표'!J12,$AT$9),COUNTIF('1.연간시수표'!J12,$AT$7)),$AT$6,IF(OR(COUNTIF('1.연간시수표'!J12,$AU$9),COUNTIF('1.연간시수표'!J12,$AU$7)),$AU$6,IF(OR(COUNTIF('1.연간시수표'!J12,$AV$9),COUNTIF('1.연간시수표'!J12,$AV$7)),$AV$6,IF(OR(COUNTIF('1.연간시수표'!J12,$AW$9),COUNTIF('1.연간시수표'!J12,$AW$7)),$AW$6,IF(OR(COUNTIF('1.연간시수표'!J12,$AX$9),COUNTIF('1.연간시수표'!J12,$AX$7)),$AX$6,IF(OR(COUNTIF('1.연간시수표'!J12,$AY$9),COUNTIF('1.연간시수표'!J12,$AY$7)),$AY$6,IF(OR(COUNTIF('1.연간시수표'!J12,$AZ$9),COUNTIF('1.연간시수표'!J12,$AZ$7)),$AZ$6,IF(OR(COUNTIF('1.연간시수표'!J12,$BA$9),COUNTIF('1.연간시수표'!J12,$BA$7)),$BA$6,IF(OR(COUNTIF('1.연간시수표'!J12,$BB$9),COUNTIF('1.연간시수표'!J12,$BB$7)),$BB$6,IF(OR(COUNTIF('1.연간시수표'!J12,$BC$9),COUNTIF('1.연간시수표'!J12,$BC$7)),$BC$6,IF(OR(COUNTIF('1.연간시수표'!J12,$BF$9),COUNTIF('1.연간시수표'!J12,$BF$7),COUNTIF('1.연간시수표'!J12,$BG$9),COUNTIF('1.연간시수표'!J12,$BG$7),COUNTIF('1.연간시수표'!J12,$BH$9),COUNTIF('1.연간시수표'!J12,$BH$7),COUNTIF('1.연간시수표'!J12,$BI$9),COUNTIF('1.연간시수표'!J12,$BI$7),COUNTIF('1.연간시수표'!J12,$BJ$9),COUNTIF('1.연간시수표'!J12,$BJ$7),COUNTIF('1.연간시수표'!J12,$BK$9),COUNTIF('1.연간시수표'!J12,$BK$7),COUNTIF('1.연간시수표'!J12,$BL$9),COUNTIF('1.연간시수표'!J12,$BL$7),COUNTIF('1.연간시수표'!J12,$BM$9),COUNTIF('1.연간시수표'!J12,$BM$7)),$BF$6,IF(OR(COUNTIF('1.연간시수표'!J12,$BO$9),COUNTIF('1.연간시수표'!J12,$BO$7)),$BO$6,IF(OR(COUNTIF('1.연간시수표'!J12,$BP$9),COUNTIF('1.연간시수표'!J12,$BP$7)),$BP$6,IF(OR(COUNTIF('1.연간시수표'!J12,$BQ$9),COUNTIF('1.연간시수표'!J12,$BQ$7)),$BQ$6,IF(OR(COUNTIF('1.연간시수표'!J12,$BR$9),COUNTIF('1.연간시수표'!J12,$BR$7)),$BR$6,"_")))))))))))))))</f>
        <v>국어</v>
      </c>
      <c r="K12" s="148" t="str">
        <f>IF(OR(COUNTIF('1.연간시수표'!K12,$AT$9),COUNTIF('1.연간시수표'!K12,$AT$7)),$AT$6,IF(OR(COUNTIF('1.연간시수표'!K12,$AU$9),COUNTIF('1.연간시수표'!K12,$AU$7)),$AU$6,IF(OR(COUNTIF('1.연간시수표'!K12,$AV$9),COUNTIF('1.연간시수표'!K12,$AV$7)),$AV$6,IF(OR(COUNTIF('1.연간시수표'!K12,$AW$9),COUNTIF('1.연간시수표'!K12,$AW$7)),$AW$6,IF(OR(COUNTIF('1.연간시수표'!K12,$AX$9),COUNTIF('1.연간시수표'!K12,$AX$7)),$AX$6,IF(OR(COUNTIF('1.연간시수표'!K12,$AY$9),COUNTIF('1.연간시수표'!K12,$AY$7)),$AY$6,IF(OR(COUNTIF('1.연간시수표'!K12,$AZ$9),COUNTIF('1.연간시수표'!K12,$AZ$7)),$AZ$6,IF(OR(COUNTIF('1.연간시수표'!K12,$BA$9),COUNTIF('1.연간시수표'!K12,$BA$7)),$BA$6,IF(OR(COUNTIF('1.연간시수표'!K12,$BB$9),COUNTIF('1.연간시수표'!K12,$BB$7)),$BB$6,IF(OR(COUNTIF('1.연간시수표'!K12,$BC$9),COUNTIF('1.연간시수표'!K12,$BC$7)),$BC$6,IF(OR(COUNTIF('1.연간시수표'!K12,$BF$9),COUNTIF('1.연간시수표'!K12,$BF$7),COUNTIF('1.연간시수표'!K12,$BG$9),COUNTIF('1.연간시수표'!K12,$BG$7),COUNTIF('1.연간시수표'!K12,$BH$9),COUNTIF('1.연간시수표'!K12,$BH$7),COUNTIF('1.연간시수표'!K12,$BI$9),COUNTIF('1.연간시수표'!K12,$BI$7),COUNTIF('1.연간시수표'!K12,$BJ$9),COUNTIF('1.연간시수표'!K12,$BJ$7),COUNTIF('1.연간시수표'!K12,$BK$9),COUNTIF('1.연간시수표'!K12,$BK$7),COUNTIF('1.연간시수표'!K12,$BL$9),COUNTIF('1.연간시수표'!K12,$BL$7),COUNTIF('1.연간시수표'!K12,$BM$9),COUNTIF('1.연간시수표'!K12,$BM$7)),$BF$6,IF(OR(COUNTIF('1.연간시수표'!K12,$BO$9),COUNTIF('1.연간시수표'!K12,$BO$7)),$BO$6,IF(OR(COUNTIF('1.연간시수표'!K12,$BP$9),COUNTIF('1.연간시수표'!K12,$BP$7)),$BP$6,IF(OR(COUNTIF('1.연간시수표'!K12,$BQ$9),COUNTIF('1.연간시수표'!K12,$BQ$7)),$BQ$6,IF(OR(COUNTIF('1.연간시수표'!K12,$BR$9),COUNTIF('1.연간시수표'!K12,$BR$7)),$BR$6,"_")))))))))))))))</f>
        <v>_</v>
      </c>
      <c r="L12" s="148" t="str">
        <f>IF(OR(COUNTIF('1.연간시수표'!L12,$AT$9),COUNTIF('1.연간시수표'!L12,$AT$7)),$AT$6,IF(OR(COUNTIF('1.연간시수표'!L12,$AU$9),COUNTIF('1.연간시수표'!L12,$AU$7)),$AU$6,IF(OR(COUNTIF('1.연간시수표'!L12,$AV$9),COUNTIF('1.연간시수표'!L12,$AV$7)),$AV$6,IF(OR(COUNTIF('1.연간시수표'!L12,$AW$9),COUNTIF('1.연간시수표'!L12,$AW$7)),$AW$6,IF(OR(COUNTIF('1.연간시수표'!L12,$AX$9),COUNTIF('1.연간시수표'!L12,$AX$7)),$AX$6,IF(OR(COUNTIF('1.연간시수표'!L12,$AY$9),COUNTIF('1.연간시수표'!L12,$AY$7)),$AY$6,IF(OR(COUNTIF('1.연간시수표'!L12,$AZ$9),COUNTIF('1.연간시수표'!L12,$AZ$7)),$AZ$6,IF(OR(COUNTIF('1.연간시수표'!L12,$BA$9),COUNTIF('1.연간시수표'!L12,$BA$7)),$BA$6,IF(OR(COUNTIF('1.연간시수표'!L12,$BB$9),COUNTIF('1.연간시수표'!L12,$BB$7)),$BB$6,IF(OR(COUNTIF('1.연간시수표'!L12,$BC$9),COUNTIF('1.연간시수표'!L12,$BC$7)),$BC$6,IF(OR(COUNTIF('1.연간시수표'!L12,$BF$9),COUNTIF('1.연간시수표'!L12,$BF$7),COUNTIF('1.연간시수표'!L12,$BG$9),COUNTIF('1.연간시수표'!L12,$BG$7),COUNTIF('1.연간시수표'!L12,$BH$9),COUNTIF('1.연간시수표'!L12,$BH$7),COUNTIF('1.연간시수표'!L12,$BI$9),COUNTIF('1.연간시수표'!L12,$BI$7),COUNTIF('1.연간시수표'!L12,$BJ$9),COUNTIF('1.연간시수표'!L12,$BJ$7),COUNTIF('1.연간시수표'!L12,$BK$9),COUNTIF('1.연간시수표'!L12,$BK$7),COUNTIF('1.연간시수표'!L12,$BL$9),COUNTIF('1.연간시수표'!L12,$BL$7),COUNTIF('1.연간시수표'!L12,$BM$9),COUNTIF('1.연간시수표'!L12,$BM$7)),$BF$6,IF(OR(COUNTIF('1.연간시수표'!L12,$BO$9),COUNTIF('1.연간시수표'!L12,$BO$7)),$BO$6,IF(OR(COUNTIF('1.연간시수표'!L12,$BP$9),COUNTIF('1.연간시수표'!L12,$BP$7)),$BP$6,IF(OR(COUNTIF('1.연간시수표'!L12,$BQ$9),COUNTIF('1.연간시수표'!L12,$BQ$7)),$BQ$6,IF(OR(COUNTIF('1.연간시수표'!L12,$BR$9),COUNTIF('1.연간시수표'!L12,$BR$7)),$BR$6,"_")))))))))))))))</f>
        <v>_</v>
      </c>
      <c r="M12" s="148" t="str">
        <f>IF(OR(COUNTIF('1.연간시수표'!M12,$AT$9),COUNTIF('1.연간시수표'!M12,$AT$7)),$AT$6,IF(OR(COUNTIF('1.연간시수표'!M12,$AU$9),COUNTIF('1.연간시수표'!M12,$AU$7)),$AU$6,IF(OR(COUNTIF('1.연간시수표'!M12,$AV$9),COUNTIF('1.연간시수표'!M12,$AV$7)),$AV$6,IF(OR(COUNTIF('1.연간시수표'!M12,$AW$9),COUNTIF('1.연간시수표'!M12,$AW$7)),$AW$6,IF(OR(COUNTIF('1.연간시수표'!M12,$AX$9),COUNTIF('1.연간시수표'!M12,$AX$7)),$AX$6,IF(OR(COUNTIF('1.연간시수표'!M12,$AY$9),COUNTIF('1.연간시수표'!M12,$AY$7)),$AY$6,IF(OR(COUNTIF('1.연간시수표'!M12,$AZ$9),COUNTIF('1.연간시수표'!M12,$AZ$7)),$AZ$6,IF(OR(COUNTIF('1.연간시수표'!M12,$BA$9),COUNTIF('1.연간시수표'!M12,$BA$7)),$BA$6,IF(OR(COUNTIF('1.연간시수표'!M12,$BB$9),COUNTIF('1.연간시수표'!M12,$BB$7)),$BB$6,IF(OR(COUNTIF('1.연간시수표'!M12,$BC$9),COUNTIF('1.연간시수표'!M12,$BC$7)),$BC$6,IF(OR(COUNTIF('1.연간시수표'!M12,$BF$9),COUNTIF('1.연간시수표'!M12,$BF$7),COUNTIF('1.연간시수표'!M12,$BG$9),COUNTIF('1.연간시수표'!M12,$BG$7),COUNTIF('1.연간시수표'!M12,$BH$9),COUNTIF('1.연간시수표'!M12,$BH$7),COUNTIF('1.연간시수표'!M12,$BI$9),COUNTIF('1.연간시수표'!M12,$BI$7),COUNTIF('1.연간시수표'!M12,$BJ$9),COUNTIF('1.연간시수표'!M12,$BJ$7),COUNTIF('1.연간시수표'!M12,$BK$9),COUNTIF('1.연간시수표'!M12,$BK$7),COUNTIF('1.연간시수표'!M12,$BL$9),COUNTIF('1.연간시수표'!M12,$BL$7),COUNTIF('1.연간시수표'!M12,$BM$9),COUNTIF('1.연간시수표'!M12,$BM$7)),$BF$6,IF(OR(COUNTIF('1.연간시수표'!M12,$BO$9),COUNTIF('1.연간시수표'!M12,$BO$7)),$BO$6,IF(OR(COUNTIF('1.연간시수표'!M12,$BP$9),COUNTIF('1.연간시수표'!M12,$BP$7)),$BP$6,IF(OR(COUNTIF('1.연간시수표'!M12,$BQ$9),COUNTIF('1.연간시수표'!M12,$BQ$7)),$BQ$6,IF(OR(COUNTIF('1.연간시수표'!M12,$BR$9),COUNTIF('1.연간시수표'!M12,$BR$7)),$BR$6,"_")))))))))))))))</f>
        <v>자율활동</v>
      </c>
      <c r="N12" s="148" t="str">
        <f>IF(OR(COUNTIF('1.연간시수표'!N12,$AT$9),COUNTIF('1.연간시수표'!N12,$AT$7)),$AT$6,IF(OR(COUNTIF('1.연간시수표'!N12,$AU$9),COUNTIF('1.연간시수표'!N12,$AU$7)),$AU$6,IF(OR(COUNTIF('1.연간시수표'!N12,$AV$9),COUNTIF('1.연간시수표'!N12,$AV$7)),$AV$6,IF(OR(COUNTIF('1.연간시수표'!N12,$AW$9),COUNTIF('1.연간시수표'!N12,$AW$7)),$AW$6,IF(OR(COUNTIF('1.연간시수표'!N12,$AX$9),COUNTIF('1.연간시수표'!N12,$AX$7)),$AX$6,IF(OR(COUNTIF('1.연간시수표'!N12,$AY$9),COUNTIF('1.연간시수표'!N12,$AY$7)),$AY$6,IF(OR(COUNTIF('1.연간시수표'!N12,$AZ$9),COUNTIF('1.연간시수표'!N12,$AZ$7)),$AZ$6,IF(OR(COUNTIF('1.연간시수표'!N12,$BA$9),COUNTIF('1.연간시수표'!N12,$BA$7)),$BA$6,IF(OR(COUNTIF('1.연간시수표'!N12,$BB$9),COUNTIF('1.연간시수표'!N12,$BB$7)),$BB$6,IF(OR(COUNTIF('1.연간시수표'!N12,$BC$9),COUNTIF('1.연간시수표'!N12,$BC$7)),$BC$6,IF(OR(COUNTIF('1.연간시수표'!N12,$BF$9),COUNTIF('1.연간시수표'!N12,$BF$7),COUNTIF('1.연간시수표'!N12,$BG$9),COUNTIF('1.연간시수표'!N12,$BG$7),COUNTIF('1.연간시수표'!N12,$BH$9),COUNTIF('1.연간시수표'!N12,$BH$7),COUNTIF('1.연간시수표'!N12,$BI$9),COUNTIF('1.연간시수표'!N12,$BI$7),COUNTIF('1.연간시수표'!N12,$BJ$9),COUNTIF('1.연간시수표'!N12,$BJ$7),COUNTIF('1.연간시수표'!N12,$BK$9),COUNTIF('1.연간시수표'!N12,$BK$7),COUNTIF('1.연간시수표'!N12,$BL$9),COUNTIF('1.연간시수표'!N12,$BL$7),COUNTIF('1.연간시수표'!N12,$BM$9),COUNTIF('1.연간시수표'!N12,$BM$7)),$BF$6,IF(OR(COUNTIF('1.연간시수표'!N12,$BO$9),COUNTIF('1.연간시수표'!N12,$BO$7)),$BO$6,IF(OR(COUNTIF('1.연간시수표'!N12,$BP$9),COUNTIF('1.연간시수표'!N12,$BP$7)),$BP$6,IF(OR(COUNTIF('1.연간시수표'!N12,$BQ$9),COUNTIF('1.연간시수표'!N12,$BQ$7)),$BQ$6,IF(OR(COUNTIF('1.연간시수표'!N12,$BR$9),COUNTIF('1.연간시수표'!N12,$BR$7)),$BR$6,"_")))))))))))))))</f>
        <v>자율활동</v>
      </c>
      <c r="O12" s="148" t="str">
        <f>IF(OR(COUNTIF('1.연간시수표'!O12,$AT$9),COUNTIF('1.연간시수표'!O12,$AT$7)),$AT$6,IF(OR(COUNTIF('1.연간시수표'!O12,$AU$9),COUNTIF('1.연간시수표'!O12,$AU$7)),$AU$6,IF(OR(COUNTIF('1.연간시수표'!O12,$AV$9),COUNTIF('1.연간시수표'!O12,$AV$7)),$AV$6,IF(OR(COUNTIF('1.연간시수표'!O12,$AW$9),COUNTIF('1.연간시수표'!O12,$AW$7)),$AW$6,IF(OR(COUNTIF('1.연간시수표'!O12,$AX$9),COUNTIF('1.연간시수표'!O12,$AX$7)),$AX$6,IF(OR(COUNTIF('1.연간시수표'!O12,$AY$9),COUNTIF('1.연간시수표'!O12,$AY$7)),$AY$6,IF(OR(COUNTIF('1.연간시수표'!O12,$AZ$9),COUNTIF('1.연간시수표'!O12,$AZ$7)),$AZ$6,IF(OR(COUNTIF('1.연간시수표'!O12,$BA$9),COUNTIF('1.연간시수표'!O12,$BA$7)),$BA$6,IF(OR(COUNTIF('1.연간시수표'!O12,$BB$9),COUNTIF('1.연간시수표'!O12,$BB$7)),$BB$6,IF(OR(COUNTIF('1.연간시수표'!O12,$BC$9),COUNTIF('1.연간시수표'!O12,$BC$7)),$BC$6,IF(OR(COUNTIF('1.연간시수표'!O12,$BF$9),COUNTIF('1.연간시수표'!O12,$BF$7),COUNTIF('1.연간시수표'!O12,$BG$9),COUNTIF('1.연간시수표'!O12,$BG$7),COUNTIF('1.연간시수표'!O12,$BH$9),COUNTIF('1.연간시수표'!O12,$BH$7),COUNTIF('1.연간시수표'!O12,$BI$9),COUNTIF('1.연간시수표'!O12,$BI$7),COUNTIF('1.연간시수표'!O12,$BJ$9),COUNTIF('1.연간시수표'!O12,$BJ$7),COUNTIF('1.연간시수표'!O12,$BK$9),COUNTIF('1.연간시수표'!O12,$BK$7),COUNTIF('1.연간시수표'!O12,$BL$9),COUNTIF('1.연간시수표'!O12,$BL$7),COUNTIF('1.연간시수표'!O12,$BM$9),COUNTIF('1.연간시수표'!O12,$BM$7)),$BF$6,IF(OR(COUNTIF('1.연간시수표'!O12,$BO$9),COUNTIF('1.연간시수표'!O12,$BO$7)),$BO$6,IF(OR(COUNTIF('1.연간시수표'!O12,$BP$9),COUNTIF('1.연간시수표'!O12,$BP$7)),$BP$6,IF(OR(COUNTIF('1.연간시수표'!O12,$BQ$9),COUNTIF('1.연간시수표'!O12,$BQ$7)),$BQ$6,IF(OR(COUNTIF('1.연간시수표'!O12,$BR$9),COUNTIF('1.연간시수표'!O12,$BR$7)),$BR$6,"_")))))))))))))))</f>
        <v>사회</v>
      </c>
      <c r="P12" s="148" t="str">
        <f>IF(OR(COUNTIF('1.연간시수표'!P12,$AT$9),COUNTIF('1.연간시수표'!P12,$AT$7)),$AT$6,IF(OR(COUNTIF('1.연간시수표'!P12,$AU$9),COUNTIF('1.연간시수표'!P12,$AU$7)),$AU$6,IF(OR(COUNTIF('1.연간시수표'!P12,$AV$9),COUNTIF('1.연간시수표'!P12,$AV$7)),$AV$6,IF(OR(COUNTIF('1.연간시수표'!P12,$AW$9),COUNTIF('1.연간시수표'!P12,$AW$7)),$AW$6,IF(OR(COUNTIF('1.연간시수표'!P12,$AX$9),COUNTIF('1.연간시수표'!P12,$AX$7)),$AX$6,IF(OR(COUNTIF('1.연간시수표'!P12,$AY$9),COUNTIF('1.연간시수표'!P12,$AY$7)),$AY$6,IF(OR(COUNTIF('1.연간시수표'!P12,$AZ$9),COUNTIF('1.연간시수표'!P12,$AZ$7)),$AZ$6,IF(OR(COUNTIF('1.연간시수표'!P12,$BA$9),COUNTIF('1.연간시수표'!P12,$BA$7)),$BA$6,IF(OR(COUNTIF('1.연간시수표'!P12,$BB$9),COUNTIF('1.연간시수표'!P12,$BB$7)),$BB$6,IF(OR(COUNTIF('1.연간시수표'!P12,$BC$9),COUNTIF('1.연간시수표'!P12,$BC$7)),$BC$6,IF(OR(COUNTIF('1.연간시수표'!P12,$BF$9),COUNTIF('1.연간시수표'!P12,$BF$7),COUNTIF('1.연간시수표'!P12,$BG$9),COUNTIF('1.연간시수표'!P12,$BG$7),COUNTIF('1.연간시수표'!P12,$BH$9),COUNTIF('1.연간시수표'!P12,$BH$7),COUNTIF('1.연간시수표'!P12,$BI$9),COUNTIF('1.연간시수표'!P12,$BI$7),COUNTIF('1.연간시수표'!P12,$BJ$9),COUNTIF('1.연간시수표'!P12,$BJ$7),COUNTIF('1.연간시수표'!P12,$BK$9),COUNTIF('1.연간시수표'!P12,$BK$7),COUNTIF('1.연간시수표'!P12,$BL$9),COUNTIF('1.연간시수표'!P12,$BL$7),COUNTIF('1.연간시수표'!P12,$BM$9),COUNTIF('1.연간시수표'!P12,$BM$7)),$BF$6,IF(OR(COUNTIF('1.연간시수표'!P12,$BO$9),COUNTIF('1.연간시수표'!P12,$BO$7)),$BO$6,IF(OR(COUNTIF('1.연간시수표'!P12,$BP$9),COUNTIF('1.연간시수표'!P12,$BP$7)),$BP$6,IF(OR(COUNTIF('1.연간시수표'!P12,$BQ$9),COUNTIF('1.연간시수표'!P12,$BQ$7)),$BQ$6,IF(OR(COUNTIF('1.연간시수표'!P12,$BR$9),COUNTIF('1.연간시수표'!P12,$BR$7)),$BR$6,"_")))))))))))))))</f>
        <v>수학</v>
      </c>
      <c r="Q12" s="148" t="str">
        <f>IF(OR(COUNTIF('1.연간시수표'!Q12,$AT$9),COUNTIF('1.연간시수표'!Q12,$AT$7)),$AT$6,IF(OR(COUNTIF('1.연간시수표'!Q12,$AU$9),COUNTIF('1.연간시수표'!Q12,$AU$7)),$AU$6,IF(OR(COUNTIF('1.연간시수표'!Q12,$AV$9),COUNTIF('1.연간시수표'!Q12,$AV$7)),$AV$6,IF(OR(COUNTIF('1.연간시수표'!Q12,$AW$9),COUNTIF('1.연간시수표'!Q12,$AW$7)),$AW$6,IF(OR(COUNTIF('1.연간시수표'!Q12,$AX$9),COUNTIF('1.연간시수표'!Q12,$AX$7)),$AX$6,IF(OR(COUNTIF('1.연간시수표'!Q12,$AY$9),COUNTIF('1.연간시수표'!Q12,$AY$7)),$AY$6,IF(OR(COUNTIF('1.연간시수표'!Q12,$AZ$9),COUNTIF('1.연간시수표'!Q12,$AZ$7)),$AZ$6,IF(OR(COUNTIF('1.연간시수표'!Q12,$BA$9),COUNTIF('1.연간시수표'!Q12,$BA$7)),$BA$6,IF(OR(COUNTIF('1.연간시수표'!Q12,$BB$9),COUNTIF('1.연간시수표'!Q12,$BB$7)),$BB$6,IF(OR(COUNTIF('1.연간시수표'!Q12,$BC$9),COUNTIF('1.연간시수표'!Q12,$BC$7)),$BC$6,IF(OR(COUNTIF('1.연간시수표'!Q12,$BF$9),COUNTIF('1.연간시수표'!Q12,$BF$7),COUNTIF('1.연간시수표'!Q12,$BG$9),COUNTIF('1.연간시수표'!Q12,$BG$7),COUNTIF('1.연간시수표'!Q12,$BH$9),COUNTIF('1.연간시수표'!Q12,$BH$7),COUNTIF('1.연간시수표'!Q12,$BI$9),COUNTIF('1.연간시수표'!Q12,$BI$7),COUNTIF('1.연간시수표'!Q12,$BJ$9),COUNTIF('1.연간시수표'!Q12,$BJ$7),COUNTIF('1.연간시수표'!Q12,$BK$9),COUNTIF('1.연간시수표'!Q12,$BK$7),COUNTIF('1.연간시수표'!Q12,$BL$9),COUNTIF('1.연간시수표'!Q12,$BL$7),COUNTIF('1.연간시수표'!Q12,$BM$9),COUNTIF('1.연간시수표'!Q12,$BM$7)),$BF$6,IF(OR(COUNTIF('1.연간시수표'!Q12,$BO$9),COUNTIF('1.연간시수표'!Q12,$BO$7)),$BO$6,IF(OR(COUNTIF('1.연간시수표'!Q12,$BP$9),COUNTIF('1.연간시수표'!Q12,$BP$7)),$BP$6,IF(OR(COUNTIF('1.연간시수표'!Q12,$BQ$9),COUNTIF('1.연간시수표'!Q12,$BQ$7)),$BQ$6,IF(OR(COUNTIF('1.연간시수표'!Q12,$BR$9),COUNTIF('1.연간시수표'!Q12,$BR$7)),$BR$6,"_")))))))))))))))</f>
        <v>과학</v>
      </c>
      <c r="R12" s="148" t="str">
        <f>IF(OR(COUNTIF('1.연간시수표'!R12,$AT$9),COUNTIF('1.연간시수표'!R12,$AT$7)),$AT$6,IF(OR(COUNTIF('1.연간시수표'!R12,$AU$9),COUNTIF('1.연간시수표'!R12,$AU$7)),$AU$6,IF(OR(COUNTIF('1.연간시수표'!R12,$AV$9),COUNTIF('1.연간시수표'!R12,$AV$7)),$AV$6,IF(OR(COUNTIF('1.연간시수표'!R12,$AW$9),COUNTIF('1.연간시수표'!R12,$AW$7)),$AW$6,IF(OR(COUNTIF('1.연간시수표'!R12,$AX$9),COUNTIF('1.연간시수표'!R12,$AX$7)),$AX$6,IF(OR(COUNTIF('1.연간시수표'!R12,$AY$9),COUNTIF('1.연간시수표'!R12,$AY$7)),$AY$6,IF(OR(COUNTIF('1.연간시수표'!R12,$AZ$9),COUNTIF('1.연간시수표'!R12,$AZ$7)),$AZ$6,IF(OR(COUNTIF('1.연간시수표'!R12,$BA$9),COUNTIF('1.연간시수표'!R12,$BA$7)),$BA$6,IF(OR(COUNTIF('1.연간시수표'!R12,$BB$9),COUNTIF('1.연간시수표'!R12,$BB$7)),$BB$6,IF(OR(COUNTIF('1.연간시수표'!R12,$BC$9),COUNTIF('1.연간시수표'!R12,$BC$7)),$BC$6,IF(OR(COUNTIF('1.연간시수표'!R12,$BF$9),COUNTIF('1.연간시수표'!R12,$BF$7),COUNTIF('1.연간시수표'!R12,$BG$9),COUNTIF('1.연간시수표'!R12,$BG$7),COUNTIF('1.연간시수표'!R12,$BH$9),COUNTIF('1.연간시수표'!R12,$BH$7),COUNTIF('1.연간시수표'!R12,$BI$9),COUNTIF('1.연간시수표'!R12,$BI$7),COUNTIF('1.연간시수표'!R12,$BJ$9),COUNTIF('1.연간시수표'!R12,$BJ$7),COUNTIF('1.연간시수표'!R12,$BK$9),COUNTIF('1.연간시수표'!R12,$BK$7),COUNTIF('1.연간시수표'!R12,$BL$9),COUNTIF('1.연간시수표'!R12,$BL$7),COUNTIF('1.연간시수표'!R12,$BM$9),COUNTIF('1.연간시수표'!R12,$BM$7)),$BF$6,IF(OR(COUNTIF('1.연간시수표'!R12,$BO$9),COUNTIF('1.연간시수표'!R12,$BO$7)),$BO$6,IF(OR(COUNTIF('1.연간시수표'!R12,$BP$9),COUNTIF('1.연간시수표'!R12,$BP$7)),$BP$6,IF(OR(COUNTIF('1.연간시수표'!R12,$BQ$9),COUNTIF('1.연간시수표'!R12,$BQ$7)),$BQ$6,IF(OR(COUNTIF('1.연간시수표'!R12,$BR$9),COUNTIF('1.연간시수표'!R12,$BR$7)),$BR$6,"_")))))))))))))))</f>
        <v>실과</v>
      </c>
      <c r="S12" s="148" t="str">
        <f>IF(OR(COUNTIF('1.연간시수표'!S12,$AT$9),COUNTIF('1.연간시수표'!S12,$AT$7)),$AT$6,IF(OR(COUNTIF('1.연간시수표'!S12,$AU$9),COUNTIF('1.연간시수표'!S12,$AU$7)),$AU$6,IF(OR(COUNTIF('1.연간시수표'!S12,$AV$9),COUNTIF('1.연간시수표'!S12,$AV$7)),$AV$6,IF(OR(COUNTIF('1.연간시수표'!S12,$AW$9),COUNTIF('1.연간시수표'!S12,$AW$7)),$AW$6,IF(OR(COUNTIF('1.연간시수표'!S12,$AX$9),COUNTIF('1.연간시수표'!S12,$AX$7)),$AX$6,IF(OR(COUNTIF('1.연간시수표'!S12,$AY$9),COUNTIF('1.연간시수표'!S12,$AY$7)),$AY$6,IF(OR(COUNTIF('1.연간시수표'!S12,$AZ$9),COUNTIF('1.연간시수표'!S12,$AZ$7)),$AZ$6,IF(OR(COUNTIF('1.연간시수표'!S12,$BA$9),COUNTIF('1.연간시수표'!S12,$BA$7)),$BA$6,IF(OR(COUNTIF('1.연간시수표'!S12,$BB$9),COUNTIF('1.연간시수표'!S12,$BB$7)),$BB$6,IF(OR(COUNTIF('1.연간시수표'!S12,$BC$9),COUNTIF('1.연간시수표'!S12,$BC$7)),$BC$6,IF(OR(COUNTIF('1.연간시수표'!S12,$BF$9),COUNTIF('1.연간시수표'!S12,$BF$7),COUNTIF('1.연간시수표'!S12,$BG$9),COUNTIF('1.연간시수표'!S12,$BG$7),COUNTIF('1.연간시수표'!S12,$BH$9),COUNTIF('1.연간시수표'!S12,$BH$7),COUNTIF('1.연간시수표'!S12,$BI$9),COUNTIF('1.연간시수표'!S12,$BI$7),COUNTIF('1.연간시수표'!S12,$BJ$9),COUNTIF('1.연간시수표'!S12,$BJ$7),COUNTIF('1.연간시수표'!S12,$BK$9),COUNTIF('1.연간시수표'!S12,$BK$7),COUNTIF('1.연간시수표'!S12,$BL$9),COUNTIF('1.연간시수표'!S12,$BL$7),COUNTIF('1.연간시수표'!S12,$BM$9),COUNTIF('1.연간시수표'!S12,$BM$7)),$BF$6,IF(OR(COUNTIF('1.연간시수표'!S12,$BO$9),COUNTIF('1.연간시수표'!S12,$BO$7)),$BO$6,IF(OR(COUNTIF('1.연간시수표'!S12,$BP$9),COUNTIF('1.연간시수표'!S12,$BP$7)),$BP$6,IF(OR(COUNTIF('1.연간시수표'!S12,$BQ$9),COUNTIF('1.연간시수표'!S12,$BQ$7)),$BQ$6,IF(OR(COUNTIF('1.연간시수표'!S12,$BR$9),COUNTIF('1.연간시수표'!S12,$BR$7)),$BR$6,"_")))))))))))))))</f>
        <v>_</v>
      </c>
      <c r="T12" s="148" t="str">
        <f>IF(OR(COUNTIF('1.연간시수표'!T12,$AT$9),COUNTIF('1.연간시수표'!T12,$AT$7)),$AT$6,IF(OR(COUNTIF('1.연간시수표'!T12,$AU$9),COUNTIF('1.연간시수표'!T12,$AU$7)),$AU$6,IF(OR(COUNTIF('1.연간시수표'!T12,$AV$9),COUNTIF('1.연간시수표'!T12,$AV$7)),$AV$6,IF(OR(COUNTIF('1.연간시수표'!T12,$AW$9),COUNTIF('1.연간시수표'!T12,$AW$7)),$AW$6,IF(OR(COUNTIF('1.연간시수표'!T12,$AX$9),COUNTIF('1.연간시수표'!T12,$AX$7)),$AX$6,IF(OR(COUNTIF('1.연간시수표'!T12,$AY$9),COUNTIF('1.연간시수표'!T12,$AY$7)),$AY$6,IF(OR(COUNTIF('1.연간시수표'!T12,$AZ$9),COUNTIF('1.연간시수표'!T12,$AZ$7)),$AZ$6,IF(OR(COUNTIF('1.연간시수표'!T12,$BA$9),COUNTIF('1.연간시수표'!T12,$BA$7)),$BA$6,IF(OR(COUNTIF('1.연간시수표'!T12,$BB$9),COUNTIF('1.연간시수표'!T12,$BB$7)),$BB$6,IF(OR(COUNTIF('1.연간시수표'!T12,$BC$9),COUNTIF('1.연간시수표'!T12,$BC$7)),$BC$6,IF(OR(COUNTIF('1.연간시수표'!T12,$BF$9),COUNTIF('1.연간시수표'!T12,$BF$7),COUNTIF('1.연간시수표'!T12,$BG$9),COUNTIF('1.연간시수표'!T12,$BG$7),COUNTIF('1.연간시수표'!T12,$BH$9),COUNTIF('1.연간시수표'!T12,$BH$7),COUNTIF('1.연간시수표'!T12,$BI$9),COUNTIF('1.연간시수표'!T12,$BI$7),COUNTIF('1.연간시수표'!T12,$BJ$9),COUNTIF('1.연간시수표'!T12,$BJ$7),COUNTIF('1.연간시수표'!T12,$BK$9),COUNTIF('1.연간시수표'!T12,$BK$7),COUNTIF('1.연간시수표'!T12,$BL$9),COUNTIF('1.연간시수표'!T12,$BL$7),COUNTIF('1.연간시수표'!T12,$BM$9),COUNTIF('1.연간시수표'!T12,$BM$7)),$BF$6,IF(OR(COUNTIF('1.연간시수표'!T12,$BO$9),COUNTIF('1.연간시수표'!T12,$BO$7)),$BO$6,IF(OR(COUNTIF('1.연간시수표'!T12,$BP$9),COUNTIF('1.연간시수표'!T12,$BP$7)),$BP$6,IF(OR(COUNTIF('1.연간시수표'!T12,$BQ$9),COUNTIF('1.연간시수표'!T12,$BQ$7)),$BQ$6,IF(OR(COUNTIF('1.연간시수표'!T12,$BR$9),COUNTIF('1.연간시수표'!T12,$BR$7)),$BR$6,"_")))))))))))))))</f>
        <v>_</v>
      </c>
      <c r="U12" s="148" t="str">
        <f>IF(OR(COUNTIF('1.연간시수표'!U12,$AT$9),COUNTIF('1.연간시수표'!U12,$AT$7)),$AT$6,IF(OR(COUNTIF('1.연간시수표'!U12,$AU$9),COUNTIF('1.연간시수표'!U12,$AU$7)),$AU$6,IF(OR(COUNTIF('1.연간시수표'!U12,$AV$9),COUNTIF('1.연간시수표'!U12,$AV$7)),$AV$6,IF(OR(COUNTIF('1.연간시수표'!U12,$AW$9),COUNTIF('1.연간시수표'!U12,$AW$7)),$AW$6,IF(OR(COUNTIF('1.연간시수표'!U12,$AX$9),COUNTIF('1.연간시수표'!U12,$AX$7)),$AX$6,IF(OR(COUNTIF('1.연간시수표'!U12,$AY$9),COUNTIF('1.연간시수표'!U12,$AY$7)),$AY$6,IF(OR(COUNTIF('1.연간시수표'!U12,$AZ$9),COUNTIF('1.연간시수표'!U12,$AZ$7)),$AZ$6,IF(OR(COUNTIF('1.연간시수표'!U12,$BA$9),COUNTIF('1.연간시수표'!U12,$BA$7)),$BA$6,IF(OR(COUNTIF('1.연간시수표'!U12,$BB$9),COUNTIF('1.연간시수표'!U12,$BB$7)),$BB$6,IF(OR(COUNTIF('1.연간시수표'!U12,$BC$9),COUNTIF('1.연간시수표'!U12,$BC$7)),$BC$6,IF(OR(COUNTIF('1.연간시수표'!U12,$BF$9),COUNTIF('1.연간시수표'!U12,$BF$7),COUNTIF('1.연간시수표'!U12,$BG$9),COUNTIF('1.연간시수표'!U12,$BG$7),COUNTIF('1.연간시수표'!U12,$BH$9),COUNTIF('1.연간시수표'!U12,$BH$7),COUNTIF('1.연간시수표'!U12,$BI$9),COUNTIF('1.연간시수표'!U12,$BI$7),COUNTIF('1.연간시수표'!U12,$BJ$9),COUNTIF('1.연간시수표'!U12,$BJ$7),COUNTIF('1.연간시수표'!U12,$BK$9),COUNTIF('1.연간시수표'!U12,$BK$7),COUNTIF('1.연간시수표'!U12,$BL$9),COUNTIF('1.연간시수표'!U12,$BL$7),COUNTIF('1.연간시수표'!U12,$BM$9),COUNTIF('1.연간시수표'!U12,$BM$7)),$BF$6,IF(OR(COUNTIF('1.연간시수표'!U12,$BO$9),COUNTIF('1.연간시수표'!U12,$BO$7)),$BO$6,IF(OR(COUNTIF('1.연간시수표'!U12,$BP$9),COUNTIF('1.연간시수표'!U12,$BP$7)),$BP$6,IF(OR(COUNTIF('1.연간시수표'!U12,$BQ$9),COUNTIF('1.연간시수표'!U12,$BQ$7)),$BQ$6,IF(OR(COUNTIF('1.연간시수표'!U12,$BR$9),COUNTIF('1.연간시수표'!U12,$BR$7)),$BR$6,"_")))))))))))))))</f>
        <v>국어</v>
      </c>
      <c r="V12" s="148" t="str">
        <f>IF(OR(COUNTIF('1.연간시수표'!V12,$AT$9),COUNTIF('1.연간시수표'!V12,$AT$7)),$AT$6,IF(OR(COUNTIF('1.연간시수표'!V12,$AU$9),COUNTIF('1.연간시수표'!V12,$AU$7)),$AU$6,IF(OR(COUNTIF('1.연간시수표'!V12,$AV$9),COUNTIF('1.연간시수표'!V12,$AV$7)),$AV$6,IF(OR(COUNTIF('1.연간시수표'!V12,$AW$9),COUNTIF('1.연간시수표'!V12,$AW$7)),$AW$6,IF(OR(COUNTIF('1.연간시수표'!V12,$AX$9),COUNTIF('1.연간시수표'!V12,$AX$7)),$AX$6,IF(OR(COUNTIF('1.연간시수표'!V12,$AY$9),COUNTIF('1.연간시수표'!V12,$AY$7)),$AY$6,IF(OR(COUNTIF('1.연간시수표'!V12,$AZ$9),COUNTIF('1.연간시수표'!V12,$AZ$7)),$AZ$6,IF(OR(COUNTIF('1.연간시수표'!V12,$BA$9),COUNTIF('1.연간시수표'!V12,$BA$7)),$BA$6,IF(OR(COUNTIF('1.연간시수표'!V12,$BB$9),COUNTIF('1.연간시수표'!V12,$BB$7)),$BB$6,IF(OR(COUNTIF('1.연간시수표'!V12,$BC$9),COUNTIF('1.연간시수표'!V12,$BC$7)),$BC$6,IF(OR(COUNTIF('1.연간시수표'!V12,$BF$9),COUNTIF('1.연간시수표'!V12,$BF$7),COUNTIF('1.연간시수표'!V12,$BG$9),COUNTIF('1.연간시수표'!V12,$BG$7),COUNTIF('1.연간시수표'!V12,$BH$9),COUNTIF('1.연간시수표'!V12,$BH$7),COUNTIF('1.연간시수표'!V12,$BI$9),COUNTIF('1.연간시수표'!V12,$BI$7),COUNTIF('1.연간시수표'!V12,$BJ$9),COUNTIF('1.연간시수표'!V12,$BJ$7),COUNTIF('1.연간시수표'!V12,$BK$9),COUNTIF('1.연간시수표'!V12,$BK$7),COUNTIF('1.연간시수표'!V12,$BL$9),COUNTIF('1.연간시수표'!V12,$BL$7),COUNTIF('1.연간시수표'!V12,$BM$9),COUNTIF('1.연간시수표'!V12,$BM$7)),$BF$6,IF(OR(COUNTIF('1.연간시수표'!V12,$BO$9),COUNTIF('1.연간시수표'!V12,$BO$7)),$BO$6,IF(OR(COUNTIF('1.연간시수표'!V12,$BP$9),COUNTIF('1.연간시수표'!V12,$BP$7)),$BP$6,IF(OR(COUNTIF('1.연간시수표'!V12,$BQ$9),COUNTIF('1.연간시수표'!V12,$BQ$7)),$BQ$6,IF(OR(COUNTIF('1.연간시수표'!V12,$BR$9),COUNTIF('1.연간시수표'!V12,$BR$7)),$BR$6,"_")))))))))))))))</f>
        <v>과학</v>
      </c>
      <c r="W12" s="148" t="str">
        <f>IF(OR(COUNTIF('1.연간시수표'!W12,$AT$9),COUNTIF('1.연간시수표'!W12,$AT$7)),$AT$6,IF(OR(COUNTIF('1.연간시수표'!W12,$AU$9),COUNTIF('1.연간시수표'!W12,$AU$7)),$AU$6,IF(OR(COUNTIF('1.연간시수표'!W12,$AV$9),COUNTIF('1.연간시수표'!W12,$AV$7)),$AV$6,IF(OR(COUNTIF('1.연간시수표'!W12,$AW$9),COUNTIF('1.연간시수표'!W12,$AW$7)),$AW$6,IF(OR(COUNTIF('1.연간시수표'!W12,$AX$9),COUNTIF('1.연간시수표'!W12,$AX$7)),$AX$6,IF(OR(COUNTIF('1.연간시수표'!W12,$AY$9),COUNTIF('1.연간시수표'!W12,$AY$7)),$AY$6,IF(OR(COUNTIF('1.연간시수표'!W12,$AZ$9),COUNTIF('1.연간시수표'!W12,$AZ$7)),$AZ$6,IF(OR(COUNTIF('1.연간시수표'!W12,$BA$9),COUNTIF('1.연간시수표'!W12,$BA$7)),$BA$6,IF(OR(COUNTIF('1.연간시수표'!W12,$BB$9),COUNTIF('1.연간시수표'!W12,$BB$7)),$BB$6,IF(OR(COUNTIF('1.연간시수표'!W12,$BC$9),COUNTIF('1.연간시수표'!W12,$BC$7)),$BC$6,IF(OR(COUNTIF('1.연간시수표'!W12,$BF$9),COUNTIF('1.연간시수표'!W12,$BF$7),COUNTIF('1.연간시수표'!W12,$BG$9),COUNTIF('1.연간시수표'!W12,$BG$7),COUNTIF('1.연간시수표'!W12,$BH$9),COUNTIF('1.연간시수표'!W12,$BH$7),COUNTIF('1.연간시수표'!W12,$BI$9),COUNTIF('1.연간시수표'!W12,$BI$7),COUNTIF('1.연간시수표'!W12,$BJ$9),COUNTIF('1.연간시수표'!W12,$BJ$7),COUNTIF('1.연간시수표'!W12,$BK$9),COUNTIF('1.연간시수표'!W12,$BK$7),COUNTIF('1.연간시수표'!W12,$BL$9),COUNTIF('1.연간시수표'!W12,$BL$7),COUNTIF('1.연간시수표'!W12,$BM$9),COUNTIF('1.연간시수표'!W12,$BM$7)),$BF$6,IF(OR(COUNTIF('1.연간시수표'!W12,$BO$9),COUNTIF('1.연간시수표'!W12,$BO$7)),$BO$6,IF(OR(COUNTIF('1.연간시수표'!W12,$BP$9),COUNTIF('1.연간시수표'!W12,$BP$7)),$BP$6,IF(OR(COUNTIF('1.연간시수표'!W12,$BQ$9),COUNTIF('1.연간시수표'!W12,$BQ$7)),$BQ$6,IF(OR(COUNTIF('1.연간시수표'!W12,$BR$9),COUNTIF('1.연간시수표'!W12,$BR$7)),$BR$6,"_")))))))))))))))</f>
        <v>체육</v>
      </c>
      <c r="X12" s="148" t="str">
        <f>IF(OR(COUNTIF('1.연간시수표'!X12,$AT$9),COUNTIF('1.연간시수표'!X12,$AT$7)),$AT$6,IF(OR(COUNTIF('1.연간시수표'!X12,$AU$9),COUNTIF('1.연간시수표'!X12,$AU$7)),$AU$6,IF(OR(COUNTIF('1.연간시수표'!X12,$AV$9),COUNTIF('1.연간시수표'!X12,$AV$7)),$AV$6,IF(OR(COUNTIF('1.연간시수표'!X12,$AW$9),COUNTIF('1.연간시수표'!X12,$AW$7)),$AW$6,IF(OR(COUNTIF('1.연간시수표'!X12,$AX$9),COUNTIF('1.연간시수표'!X12,$AX$7)),$AX$6,IF(OR(COUNTIF('1.연간시수표'!X12,$AY$9),COUNTIF('1.연간시수표'!X12,$AY$7)),$AY$6,IF(OR(COUNTIF('1.연간시수표'!X12,$AZ$9),COUNTIF('1.연간시수표'!X12,$AZ$7)),$AZ$6,IF(OR(COUNTIF('1.연간시수표'!X12,$BA$9),COUNTIF('1.연간시수표'!X12,$BA$7)),$BA$6,IF(OR(COUNTIF('1.연간시수표'!X12,$BB$9),COUNTIF('1.연간시수표'!X12,$BB$7)),$BB$6,IF(OR(COUNTIF('1.연간시수표'!X12,$BC$9),COUNTIF('1.연간시수표'!X12,$BC$7)),$BC$6,IF(OR(COUNTIF('1.연간시수표'!X12,$BF$9),COUNTIF('1.연간시수표'!X12,$BF$7),COUNTIF('1.연간시수표'!X12,$BG$9),COUNTIF('1.연간시수표'!X12,$BG$7),COUNTIF('1.연간시수표'!X12,$BH$9),COUNTIF('1.연간시수표'!X12,$BH$7),COUNTIF('1.연간시수표'!X12,$BI$9),COUNTIF('1.연간시수표'!X12,$BI$7),COUNTIF('1.연간시수표'!X12,$BJ$9),COUNTIF('1.연간시수표'!X12,$BJ$7),COUNTIF('1.연간시수표'!X12,$BK$9),COUNTIF('1.연간시수표'!X12,$BK$7),COUNTIF('1.연간시수표'!X12,$BL$9),COUNTIF('1.연간시수표'!X12,$BL$7),COUNTIF('1.연간시수표'!X12,$BM$9),COUNTIF('1.연간시수표'!X12,$BM$7)),$BF$6,IF(OR(COUNTIF('1.연간시수표'!X12,$BO$9),COUNTIF('1.연간시수표'!X12,$BO$7)),$BO$6,IF(OR(COUNTIF('1.연간시수표'!X12,$BP$9),COUNTIF('1.연간시수표'!X12,$BP$7)),$BP$6,IF(OR(COUNTIF('1.연간시수표'!X12,$BQ$9),COUNTIF('1.연간시수표'!X12,$BQ$7)),$BQ$6,IF(OR(COUNTIF('1.연간시수표'!X12,$BR$9),COUNTIF('1.연간시수표'!X12,$BR$7)),$BR$6,"_")))))))))))))))</f>
        <v>음악</v>
      </c>
      <c r="Y12" s="148" t="str">
        <f>IF(OR(COUNTIF('1.연간시수표'!Y12,$AT$9),COUNTIF('1.연간시수표'!Y12,$AT$7)),$AT$6,IF(OR(COUNTIF('1.연간시수표'!Y12,$AU$9),COUNTIF('1.연간시수표'!Y12,$AU$7)),$AU$6,IF(OR(COUNTIF('1.연간시수표'!Y12,$AV$9),COUNTIF('1.연간시수표'!Y12,$AV$7)),$AV$6,IF(OR(COUNTIF('1.연간시수표'!Y12,$AW$9),COUNTIF('1.연간시수표'!Y12,$AW$7)),$AW$6,IF(OR(COUNTIF('1.연간시수표'!Y12,$AX$9),COUNTIF('1.연간시수표'!Y12,$AX$7)),$AX$6,IF(OR(COUNTIF('1.연간시수표'!Y12,$AY$9),COUNTIF('1.연간시수표'!Y12,$AY$7)),$AY$6,IF(OR(COUNTIF('1.연간시수표'!Y12,$AZ$9),COUNTIF('1.연간시수표'!Y12,$AZ$7)),$AZ$6,IF(OR(COUNTIF('1.연간시수표'!Y12,$BA$9),COUNTIF('1.연간시수표'!Y12,$BA$7)),$BA$6,IF(OR(COUNTIF('1.연간시수표'!Y12,$BB$9),COUNTIF('1.연간시수표'!Y12,$BB$7)),$BB$6,IF(OR(COUNTIF('1.연간시수표'!Y12,$BC$9),COUNTIF('1.연간시수표'!Y12,$BC$7)),$BC$6,IF(OR(COUNTIF('1.연간시수표'!Y12,$BF$9),COUNTIF('1.연간시수표'!Y12,$BF$7),COUNTIF('1.연간시수표'!Y12,$BG$9),COUNTIF('1.연간시수표'!Y12,$BG$7),COUNTIF('1.연간시수표'!Y12,$BH$9),COUNTIF('1.연간시수표'!Y12,$BH$7),COUNTIF('1.연간시수표'!Y12,$BI$9),COUNTIF('1.연간시수표'!Y12,$BI$7),COUNTIF('1.연간시수표'!Y12,$BJ$9),COUNTIF('1.연간시수표'!Y12,$BJ$7),COUNTIF('1.연간시수표'!Y12,$BK$9),COUNTIF('1.연간시수표'!Y12,$BK$7),COUNTIF('1.연간시수표'!Y12,$BL$9),COUNTIF('1.연간시수표'!Y12,$BL$7),COUNTIF('1.연간시수표'!Y12,$BM$9),COUNTIF('1.연간시수표'!Y12,$BM$7)),$BF$6,IF(OR(COUNTIF('1.연간시수표'!Y12,$BO$9),COUNTIF('1.연간시수표'!Y12,$BO$7)),$BO$6,IF(OR(COUNTIF('1.연간시수표'!Y12,$BP$9),COUNTIF('1.연간시수표'!Y12,$BP$7)),$BP$6,IF(OR(COUNTIF('1.연간시수표'!Y12,$BQ$9),COUNTIF('1.연간시수표'!Y12,$BQ$7)),$BQ$6,IF(OR(COUNTIF('1.연간시수표'!Y12,$BR$9),COUNTIF('1.연간시수표'!Y12,$BR$7)),$BR$6,"_")))))))))))))))</f>
        <v>도덕</v>
      </c>
      <c r="Z12" s="148" t="str">
        <f>IF(OR(COUNTIF('1.연간시수표'!Z12,$AT$9),COUNTIF('1.연간시수표'!Z12,$AT$7)),$AT$6,IF(OR(COUNTIF('1.연간시수표'!Z12,$AU$9),COUNTIF('1.연간시수표'!Z12,$AU$7)),$AU$6,IF(OR(COUNTIF('1.연간시수표'!Z12,$AV$9),COUNTIF('1.연간시수표'!Z12,$AV$7)),$AV$6,IF(OR(COUNTIF('1.연간시수표'!Z12,$AW$9),COUNTIF('1.연간시수표'!Z12,$AW$7)),$AW$6,IF(OR(COUNTIF('1.연간시수표'!Z12,$AX$9),COUNTIF('1.연간시수표'!Z12,$AX$7)),$AX$6,IF(OR(COUNTIF('1.연간시수표'!Z12,$AY$9),COUNTIF('1.연간시수표'!Z12,$AY$7)),$AY$6,IF(OR(COUNTIF('1.연간시수표'!Z12,$AZ$9),COUNTIF('1.연간시수표'!Z12,$AZ$7)),$AZ$6,IF(OR(COUNTIF('1.연간시수표'!Z12,$BA$9),COUNTIF('1.연간시수표'!Z12,$BA$7)),$BA$6,IF(OR(COUNTIF('1.연간시수표'!Z12,$BB$9),COUNTIF('1.연간시수표'!Z12,$BB$7)),$BB$6,IF(OR(COUNTIF('1.연간시수표'!Z12,$BC$9),COUNTIF('1.연간시수표'!Z12,$BC$7)),$BC$6,IF(OR(COUNTIF('1.연간시수표'!Z12,$BF$9),COUNTIF('1.연간시수표'!Z12,$BF$7),COUNTIF('1.연간시수표'!Z12,$BG$9),COUNTIF('1.연간시수표'!Z12,$BG$7),COUNTIF('1.연간시수표'!Z12,$BH$9),COUNTIF('1.연간시수표'!Z12,$BH$7),COUNTIF('1.연간시수표'!Z12,$BI$9),COUNTIF('1.연간시수표'!Z12,$BI$7),COUNTIF('1.연간시수표'!Z12,$BJ$9),COUNTIF('1.연간시수표'!Z12,$BJ$7),COUNTIF('1.연간시수표'!Z12,$BK$9),COUNTIF('1.연간시수표'!Z12,$BK$7),COUNTIF('1.연간시수표'!Z12,$BL$9),COUNTIF('1.연간시수표'!Z12,$BL$7),COUNTIF('1.연간시수표'!Z12,$BM$9),COUNTIF('1.연간시수표'!Z12,$BM$7)),$BF$6,IF(OR(COUNTIF('1.연간시수표'!Z12,$BO$9),COUNTIF('1.연간시수표'!Z12,$BO$7)),$BO$6,IF(OR(COUNTIF('1.연간시수표'!Z12,$BP$9),COUNTIF('1.연간시수표'!Z12,$BP$7)),$BP$6,IF(OR(COUNTIF('1.연간시수표'!Z12,$BQ$9),COUNTIF('1.연간시수표'!Z12,$BQ$7)),$BQ$6,IF(OR(COUNTIF('1.연간시수표'!Z12,$BR$9),COUNTIF('1.연간시수표'!Z12,$BR$7)),$BR$6,"_")))))))))))))))</f>
        <v>_</v>
      </c>
      <c r="AA12" s="148" t="str">
        <f>IF(OR(COUNTIF('1.연간시수표'!AA12,$AT$9),COUNTIF('1.연간시수표'!AA12,$AT$7)),$AT$6,IF(OR(COUNTIF('1.연간시수표'!AA12,$AU$9),COUNTIF('1.연간시수표'!AA12,$AU$7)),$AU$6,IF(OR(COUNTIF('1.연간시수표'!AA12,$AV$9),COUNTIF('1.연간시수표'!AA12,$AV$7)),$AV$6,IF(OR(COUNTIF('1.연간시수표'!AA12,$AW$9),COUNTIF('1.연간시수표'!AA12,$AW$7)),$AW$6,IF(OR(COUNTIF('1.연간시수표'!AA12,$AX$9),COUNTIF('1.연간시수표'!AA12,$AX$7)),$AX$6,IF(OR(COUNTIF('1.연간시수표'!AA12,$AY$9),COUNTIF('1.연간시수표'!AA12,$AY$7)),$AY$6,IF(OR(COUNTIF('1.연간시수표'!AA12,$AZ$9),COUNTIF('1.연간시수표'!AA12,$AZ$7)),$AZ$6,IF(OR(COUNTIF('1.연간시수표'!AA12,$BA$9),COUNTIF('1.연간시수표'!AA12,$BA$7)),$BA$6,IF(OR(COUNTIF('1.연간시수표'!AA12,$BB$9),COUNTIF('1.연간시수표'!AA12,$BB$7)),$BB$6,IF(OR(COUNTIF('1.연간시수표'!AA12,$BC$9),COUNTIF('1.연간시수표'!AA12,$BC$7)),$BC$6,IF(OR(COUNTIF('1.연간시수표'!AA12,$BF$9),COUNTIF('1.연간시수표'!AA12,$BF$7),COUNTIF('1.연간시수표'!AA12,$BG$9),COUNTIF('1.연간시수표'!AA12,$BG$7),COUNTIF('1.연간시수표'!AA12,$BH$9),COUNTIF('1.연간시수표'!AA12,$BH$7),COUNTIF('1.연간시수표'!AA12,$BI$9),COUNTIF('1.연간시수표'!AA12,$BI$7),COUNTIF('1.연간시수표'!AA12,$BJ$9),COUNTIF('1.연간시수표'!AA12,$BJ$7),COUNTIF('1.연간시수표'!AA12,$BK$9),COUNTIF('1.연간시수표'!AA12,$BK$7),COUNTIF('1.연간시수표'!AA12,$BL$9),COUNTIF('1.연간시수표'!AA12,$BL$7),COUNTIF('1.연간시수표'!AA12,$BM$9),COUNTIF('1.연간시수표'!AA12,$BM$7)),$BF$6,IF(OR(COUNTIF('1.연간시수표'!AA12,$BO$9),COUNTIF('1.연간시수표'!AA12,$BO$7)),$BO$6,IF(OR(COUNTIF('1.연간시수표'!AA12,$BP$9),COUNTIF('1.연간시수표'!AA12,$BP$7)),$BP$6,IF(OR(COUNTIF('1.연간시수표'!AA12,$BQ$9),COUNTIF('1.연간시수표'!AA12,$BQ$7)),$BQ$6,IF(OR(COUNTIF('1.연간시수표'!AA12,$BR$9),COUNTIF('1.연간시수표'!AA12,$BR$7)),$BR$6,"_")))))))))))))))</f>
        <v>_</v>
      </c>
      <c r="AB12" s="148" t="str">
        <f>IF(OR(COUNTIF('1.연간시수표'!AB12,$AT$9),COUNTIF('1.연간시수표'!AB12,$AT$7)),$AT$6,IF(OR(COUNTIF('1.연간시수표'!AB12,$AU$9),COUNTIF('1.연간시수표'!AB12,$AU$7)),$AU$6,IF(OR(COUNTIF('1.연간시수표'!AB12,$AV$9),COUNTIF('1.연간시수표'!AB12,$AV$7)),$AV$6,IF(OR(COUNTIF('1.연간시수표'!AB12,$AW$9),COUNTIF('1.연간시수표'!AB12,$AW$7)),$AW$6,IF(OR(COUNTIF('1.연간시수표'!AB12,$AX$9),COUNTIF('1.연간시수표'!AB12,$AX$7)),$AX$6,IF(OR(COUNTIF('1.연간시수표'!AB12,$AY$9),COUNTIF('1.연간시수표'!AB12,$AY$7)),$AY$6,IF(OR(COUNTIF('1.연간시수표'!AB12,$AZ$9),COUNTIF('1.연간시수표'!AB12,$AZ$7)),$AZ$6,IF(OR(COUNTIF('1.연간시수표'!AB12,$BA$9),COUNTIF('1.연간시수표'!AB12,$BA$7)),$BA$6,IF(OR(COUNTIF('1.연간시수표'!AB12,$BB$9),COUNTIF('1.연간시수표'!AB12,$BB$7)),$BB$6,IF(OR(COUNTIF('1.연간시수표'!AB12,$BC$9),COUNTIF('1.연간시수표'!AB12,$BC$7)),$BC$6,IF(OR(COUNTIF('1.연간시수표'!AB12,$BF$9),COUNTIF('1.연간시수표'!AB12,$BF$7),COUNTIF('1.연간시수표'!AB12,$BG$9),COUNTIF('1.연간시수표'!AB12,$BG$7),COUNTIF('1.연간시수표'!AB12,$BH$9),COUNTIF('1.연간시수표'!AB12,$BH$7),COUNTIF('1.연간시수표'!AB12,$BI$9),COUNTIF('1.연간시수표'!AB12,$BI$7),COUNTIF('1.연간시수표'!AB12,$BJ$9),COUNTIF('1.연간시수표'!AB12,$BJ$7),COUNTIF('1.연간시수표'!AB12,$BK$9),COUNTIF('1.연간시수표'!AB12,$BK$7),COUNTIF('1.연간시수표'!AB12,$BL$9),COUNTIF('1.연간시수표'!AB12,$BL$7),COUNTIF('1.연간시수표'!AB12,$BM$9),COUNTIF('1.연간시수표'!AB12,$BM$7)),$BF$6,IF(OR(COUNTIF('1.연간시수표'!AB12,$BO$9),COUNTIF('1.연간시수표'!AB12,$BO$7)),$BO$6,IF(OR(COUNTIF('1.연간시수표'!AB12,$BP$9),COUNTIF('1.연간시수표'!AB12,$BP$7)),$BP$6,IF(OR(COUNTIF('1.연간시수표'!AB12,$BQ$9),COUNTIF('1.연간시수표'!AB12,$BQ$7)),$BQ$6,IF(OR(COUNTIF('1.연간시수표'!AB12,$BR$9),COUNTIF('1.연간시수표'!AB12,$BR$7)),$BR$6,"_")))))))))))))))</f>
        <v>_</v>
      </c>
      <c r="AC12" s="148" t="str">
        <f>IF(OR(COUNTIF('1.연간시수표'!AC12,$AT$9),COUNTIF('1.연간시수표'!AC12,$AT$7)),$AT$6,IF(OR(COUNTIF('1.연간시수표'!AC12,$AU$9),COUNTIF('1.연간시수표'!AC12,$AU$7)),$AU$6,IF(OR(COUNTIF('1.연간시수표'!AC12,$AV$9),COUNTIF('1.연간시수표'!AC12,$AV$7)),$AV$6,IF(OR(COUNTIF('1.연간시수표'!AC12,$AW$9),COUNTIF('1.연간시수표'!AC12,$AW$7)),$AW$6,IF(OR(COUNTIF('1.연간시수표'!AC12,$AX$9),COUNTIF('1.연간시수표'!AC12,$AX$7)),$AX$6,IF(OR(COUNTIF('1.연간시수표'!AC12,$AY$9),COUNTIF('1.연간시수표'!AC12,$AY$7)),$AY$6,IF(OR(COUNTIF('1.연간시수표'!AC12,$AZ$9),COUNTIF('1.연간시수표'!AC12,$AZ$7)),$AZ$6,IF(OR(COUNTIF('1.연간시수표'!AC12,$BA$9),COUNTIF('1.연간시수표'!AC12,$BA$7)),$BA$6,IF(OR(COUNTIF('1.연간시수표'!AC12,$BB$9),COUNTIF('1.연간시수표'!AC12,$BB$7)),$BB$6,IF(OR(COUNTIF('1.연간시수표'!AC12,$BC$9),COUNTIF('1.연간시수표'!AC12,$BC$7)),$BC$6,IF(OR(COUNTIF('1.연간시수표'!AC12,$BF$9),COUNTIF('1.연간시수표'!AC12,$BF$7),COUNTIF('1.연간시수표'!AC12,$BG$9),COUNTIF('1.연간시수표'!AC12,$BG$7),COUNTIF('1.연간시수표'!AC12,$BH$9),COUNTIF('1.연간시수표'!AC12,$BH$7),COUNTIF('1.연간시수표'!AC12,$BI$9),COUNTIF('1.연간시수표'!AC12,$BI$7),COUNTIF('1.연간시수표'!AC12,$BJ$9),COUNTIF('1.연간시수표'!AC12,$BJ$7),COUNTIF('1.연간시수표'!AC12,$BK$9),COUNTIF('1.연간시수표'!AC12,$BK$7),COUNTIF('1.연간시수표'!AC12,$BL$9),COUNTIF('1.연간시수표'!AC12,$BL$7),COUNTIF('1.연간시수표'!AC12,$BM$9),COUNTIF('1.연간시수표'!AC12,$BM$7)),$BF$6,IF(OR(COUNTIF('1.연간시수표'!AC12,$BO$9),COUNTIF('1.연간시수표'!AC12,$BO$7)),$BO$6,IF(OR(COUNTIF('1.연간시수표'!AC12,$BP$9),COUNTIF('1.연간시수표'!AC12,$BP$7)),$BP$6,IF(OR(COUNTIF('1.연간시수표'!AC12,$BQ$9),COUNTIF('1.연간시수표'!AC12,$BQ$7)),$BQ$6,IF(OR(COUNTIF('1.연간시수표'!AC12,$BR$9),COUNTIF('1.연간시수표'!AC12,$BR$7)),$BR$6,"_")))))))))))))))</f>
        <v>국어</v>
      </c>
      <c r="AD12" s="148" t="str">
        <f>IF(OR(COUNTIF('1.연간시수표'!AD12,$AT$9),COUNTIF('1.연간시수표'!AD12,$AT$7)),$AT$6,IF(OR(COUNTIF('1.연간시수표'!AD12,$AU$9),COUNTIF('1.연간시수표'!AD12,$AU$7)),$AU$6,IF(OR(COUNTIF('1.연간시수표'!AD12,$AV$9),COUNTIF('1.연간시수표'!AD12,$AV$7)),$AV$6,IF(OR(COUNTIF('1.연간시수표'!AD12,$AW$9),COUNTIF('1.연간시수표'!AD12,$AW$7)),$AW$6,IF(OR(COUNTIF('1.연간시수표'!AD12,$AX$9),COUNTIF('1.연간시수표'!AD12,$AX$7)),$AX$6,IF(OR(COUNTIF('1.연간시수표'!AD12,$AY$9),COUNTIF('1.연간시수표'!AD12,$AY$7)),$AY$6,IF(OR(COUNTIF('1.연간시수표'!AD12,$AZ$9),COUNTIF('1.연간시수표'!AD12,$AZ$7)),$AZ$6,IF(OR(COUNTIF('1.연간시수표'!AD12,$BA$9),COUNTIF('1.연간시수표'!AD12,$BA$7)),$BA$6,IF(OR(COUNTIF('1.연간시수표'!AD12,$BB$9),COUNTIF('1.연간시수표'!AD12,$BB$7)),$BB$6,IF(OR(COUNTIF('1.연간시수표'!AD12,$BC$9),COUNTIF('1.연간시수표'!AD12,$BC$7)),$BC$6,IF(OR(COUNTIF('1.연간시수표'!AD12,$BF$9),COUNTIF('1.연간시수표'!AD12,$BF$7),COUNTIF('1.연간시수표'!AD12,$BG$9),COUNTIF('1.연간시수표'!AD12,$BG$7),COUNTIF('1.연간시수표'!AD12,$BH$9),COUNTIF('1.연간시수표'!AD12,$BH$7),COUNTIF('1.연간시수표'!AD12,$BI$9),COUNTIF('1.연간시수표'!AD12,$BI$7),COUNTIF('1.연간시수표'!AD12,$BJ$9),COUNTIF('1.연간시수표'!AD12,$BJ$7),COUNTIF('1.연간시수표'!AD12,$BK$9),COUNTIF('1.연간시수표'!AD12,$BK$7),COUNTIF('1.연간시수표'!AD12,$BL$9),COUNTIF('1.연간시수표'!AD12,$BL$7),COUNTIF('1.연간시수표'!AD12,$BM$9),COUNTIF('1.연간시수표'!AD12,$BM$7)),$BF$6,IF(OR(COUNTIF('1.연간시수표'!AD12,$BO$9),COUNTIF('1.연간시수표'!AD12,$BO$7)),$BO$6,IF(OR(COUNTIF('1.연간시수표'!AD12,$BP$9),COUNTIF('1.연간시수표'!AD12,$BP$7)),$BP$6,IF(OR(COUNTIF('1.연간시수표'!AD12,$BQ$9),COUNTIF('1.연간시수표'!AD12,$BQ$7)),$BQ$6,IF(OR(COUNTIF('1.연간시수표'!AD12,$BR$9),COUNTIF('1.연간시수표'!AD12,$BR$7)),$BR$6,"_")))))))))))))))</f>
        <v>수학</v>
      </c>
      <c r="AE12" s="148" t="str">
        <f>IF(OR(COUNTIF('1.연간시수표'!AE12,$AT$9),COUNTIF('1.연간시수표'!AE12,$AT$7)),$AT$6,IF(OR(COUNTIF('1.연간시수표'!AE12,$AU$9),COUNTIF('1.연간시수표'!AE12,$AU$7)),$AU$6,IF(OR(COUNTIF('1.연간시수표'!AE12,$AV$9),COUNTIF('1.연간시수표'!AE12,$AV$7)),$AV$6,IF(OR(COUNTIF('1.연간시수표'!AE12,$AW$9),COUNTIF('1.연간시수표'!AE12,$AW$7)),$AW$6,IF(OR(COUNTIF('1.연간시수표'!AE12,$AX$9),COUNTIF('1.연간시수표'!AE12,$AX$7)),$AX$6,IF(OR(COUNTIF('1.연간시수표'!AE12,$AY$9),COUNTIF('1.연간시수표'!AE12,$AY$7)),$AY$6,IF(OR(COUNTIF('1.연간시수표'!AE12,$AZ$9),COUNTIF('1.연간시수표'!AE12,$AZ$7)),$AZ$6,IF(OR(COUNTIF('1.연간시수표'!AE12,$BA$9),COUNTIF('1.연간시수표'!AE12,$BA$7)),$BA$6,IF(OR(COUNTIF('1.연간시수표'!AE12,$BB$9),COUNTIF('1.연간시수표'!AE12,$BB$7)),$BB$6,IF(OR(COUNTIF('1.연간시수표'!AE12,$BC$9),COUNTIF('1.연간시수표'!AE12,$BC$7)),$BC$6,IF(OR(COUNTIF('1.연간시수표'!AE12,$BF$9),COUNTIF('1.연간시수표'!AE12,$BF$7),COUNTIF('1.연간시수표'!AE12,$BG$9),COUNTIF('1.연간시수표'!AE12,$BG$7),COUNTIF('1.연간시수표'!AE12,$BH$9),COUNTIF('1.연간시수표'!AE12,$BH$7),COUNTIF('1.연간시수표'!AE12,$BI$9),COUNTIF('1.연간시수표'!AE12,$BI$7),COUNTIF('1.연간시수표'!AE12,$BJ$9),COUNTIF('1.연간시수표'!AE12,$BJ$7),COUNTIF('1.연간시수표'!AE12,$BK$9),COUNTIF('1.연간시수표'!AE12,$BK$7),COUNTIF('1.연간시수표'!AE12,$BL$9),COUNTIF('1.연간시수표'!AE12,$BL$7),COUNTIF('1.연간시수표'!AE12,$BM$9),COUNTIF('1.연간시수표'!AE12,$BM$7)),$BF$6,IF(OR(COUNTIF('1.연간시수표'!AE12,$BO$9),COUNTIF('1.연간시수표'!AE12,$BO$7)),$BO$6,IF(OR(COUNTIF('1.연간시수표'!AE12,$BP$9),COUNTIF('1.연간시수표'!AE12,$BP$7)),$BP$6,IF(OR(COUNTIF('1.연간시수표'!AE12,$BQ$9),COUNTIF('1.연간시수표'!AE12,$BQ$7)),$BQ$6,IF(OR(COUNTIF('1.연간시수표'!AE12,$BR$9),COUNTIF('1.연간시수표'!AE12,$BR$7)),$BR$6,"_")))))))))))))))</f>
        <v>사회</v>
      </c>
      <c r="AF12" s="148" t="str">
        <f>IF(OR(COUNTIF('1.연간시수표'!AF12,$AT$9),COUNTIF('1.연간시수표'!AF12,$AT$7)),$AT$6,IF(OR(COUNTIF('1.연간시수표'!AF12,$AU$9),COUNTIF('1.연간시수표'!AF12,$AU$7)),$AU$6,IF(OR(COUNTIF('1.연간시수표'!AF12,$AV$9),COUNTIF('1.연간시수표'!AF12,$AV$7)),$AV$6,IF(OR(COUNTIF('1.연간시수표'!AF12,$AW$9),COUNTIF('1.연간시수표'!AF12,$AW$7)),$AW$6,IF(OR(COUNTIF('1.연간시수표'!AF12,$AX$9),COUNTIF('1.연간시수표'!AF12,$AX$7)),$AX$6,IF(OR(COUNTIF('1.연간시수표'!AF12,$AY$9),COUNTIF('1.연간시수표'!AF12,$AY$7)),$AY$6,IF(OR(COUNTIF('1.연간시수표'!AF12,$AZ$9),COUNTIF('1.연간시수표'!AF12,$AZ$7)),$AZ$6,IF(OR(COUNTIF('1.연간시수표'!AF12,$BA$9),COUNTIF('1.연간시수표'!AF12,$BA$7)),$BA$6,IF(OR(COUNTIF('1.연간시수표'!AF12,$BB$9),COUNTIF('1.연간시수표'!AF12,$BB$7)),$BB$6,IF(OR(COUNTIF('1.연간시수표'!AF12,$BC$9),COUNTIF('1.연간시수표'!AF12,$BC$7)),$BC$6,IF(OR(COUNTIF('1.연간시수표'!AF12,$BF$9),COUNTIF('1.연간시수표'!AF12,$BF$7),COUNTIF('1.연간시수표'!AF12,$BG$9),COUNTIF('1.연간시수표'!AF12,$BG$7),COUNTIF('1.연간시수표'!AF12,$BH$9),COUNTIF('1.연간시수표'!AF12,$BH$7),COUNTIF('1.연간시수표'!AF12,$BI$9),COUNTIF('1.연간시수표'!AF12,$BI$7),COUNTIF('1.연간시수표'!AF12,$BJ$9),COUNTIF('1.연간시수표'!AF12,$BJ$7),COUNTIF('1.연간시수표'!AF12,$BK$9),COUNTIF('1.연간시수표'!AF12,$BK$7),COUNTIF('1.연간시수표'!AF12,$BL$9),COUNTIF('1.연간시수표'!AF12,$BL$7),COUNTIF('1.연간시수표'!AF12,$BM$9),COUNTIF('1.연간시수표'!AF12,$BM$7)),$BF$6,IF(OR(COUNTIF('1.연간시수표'!AF12,$BO$9),COUNTIF('1.연간시수표'!AF12,$BO$7)),$BO$6,IF(OR(COUNTIF('1.연간시수표'!AF12,$BP$9),COUNTIF('1.연간시수표'!AF12,$BP$7)),$BP$6,IF(OR(COUNTIF('1.연간시수표'!AF12,$BQ$9),COUNTIF('1.연간시수표'!AF12,$BQ$7)),$BQ$6,IF(OR(COUNTIF('1.연간시수표'!AF12,$BR$9),COUNTIF('1.연간시수표'!AF12,$BR$7)),$BR$6,"_")))))))))))))))</f>
        <v>과학</v>
      </c>
      <c r="AG12" s="148" t="str">
        <f>IF(OR(COUNTIF('1.연간시수표'!AG12,$AT$9),COUNTIF('1.연간시수표'!AG12,$AT$7)),$AT$6,IF(OR(COUNTIF('1.연간시수표'!AG12,$AU$9),COUNTIF('1.연간시수표'!AG12,$AU$7)),$AU$6,IF(OR(COUNTIF('1.연간시수표'!AG12,$AV$9),COUNTIF('1.연간시수표'!AG12,$AV$7)),$AV$6,IF(OR(COUNTIF('1.연간시수표'!AG12,$AW$9),COUNTIF('1.연간시수표'!AG12,$AW$7)),$AW$6,IF(OR(COUNTIF('1.연간시수표'!AG12,$AX$9),COUNTIF('1.연간시수표'!AG12,$AX$7)),$AX$6,IF(OR(COUNTIF('1.연간시수표'!AG12,$AY$9),COUNTIF('1.연간시수표'!AG12,$AY$7)),$AY$6,IF(OR(COUNTIF('1.연간시수표'!AG12,$AZ$9),COUNTIF('1.연간시수표'!AG12,$AZ$7)),$AZ$6,IF(OR(COUNTIF('1.연간시수표'!AG12,$BA$9),COUNTIF('1.연간시수표'!AG12,$BA$7)),$BA$6,IF(OR(COUNTIF('1.연간시수표'!AG12,$BB$9),COUNTIF('1.연간시수표'!AG12,$BB$7)),$BB$6,IF(OR(COUNTIF('1.연간시수표'!AG12,$BC$9),COUNTIF('1.연간시수표'!AG12,$BC$7)),$BC$6,IF(OR(COUNTIF('1.연간시수표'!AG12,$BF$9),COUNTIF('1.연간시수표'!AG12,$BF$7),COUNTIF('1.연간시수표'!AG12,$BG$9),COUNTIF('1.연간시수표'!AG12,$BG$7),COUNTIF('1.연간시수표'!AG12,$BH$9),COUNTIF('1.연간시수표'!AG12,$BH$7),COUNTIF('1.연간시수표'!AG12,$BI$9),COUNTIF('1.연간시수표'!AG12,$BI$7),COUNTIF('1.연간시수표'!AG12,$BJ$9),COUNTIF('1.연간시수표'!AG12,$BJ$7),COUNTIF('1.연간시수표'!AG12,$BK$9),COUNTIF('1.연간시수표'!AG12,$BK$7),COUNTIF('1.연간시수표'!AG12,$BL$9),COUNTIF('1.연간시수표'!AG12,$BL$7),COUNTIF('1.연간시수표'!AG12,$BM$9),COUNTIF('1.연간시수표'!AG12,$BM$7)),$BF$6,IF(OR(COUNTIF('1.연간시수표'!AG12,$BO$9),COUNTIF('1.연간시수표'!AG12,$BO$7)),$BO$6,IF(OR(COUNTIF('1.연간시수표'!AG12,$BP$9),COUNTIF('1.연간시수표'!AG12,$BP$7)),$BP$6,IF(OR(COUNTIF('1.연간시수표'!AG12,$BQ$9),COUNTIF('1.연간시수표'!AG12,$BQ$7)),$BQ$6,IF(OR(COUNTIF('1.연간시수표'!AG12,$BR$9),COUNTIF('1.연간시수표'!AG12,$BR$7)),$BR$6,"_")))))))))))))))</f>
        <v>과학</v>
      </c>
      <c r="AH12" s="148" t="str">
        <f>IF(OR(COUNTIF('1.연간시수표'!AH12,$AT$9),COUNTIF('1.연간시수표'!AH12,$AT$7)),$AT$6,IF(OR(COUNTIF('1.연간시수표'!AH12,$AU$9),COUNTIF('1.연간시수표'!AH12,$AU$7)),$AU$6,IF(OR(COUNTIF('1.연간시수표'!AH12,$AV$9),COUNTIF('1.연간시수표'!AH12,$AV$7)),$AV$6,IF(OR(COUNTIF('1.연간시수표'!AH12,$AW$9),COUNTIF('1.연간시수표'!AH12,$AW$7)),$AW$6,IF(OR(COUNTIF('1.연간시수표'!AH12,$AX$9),COUNTIF('1.연간시수표'!AH12,$AX$7)),$AX$6,IF(OR(COUNTIF('1.연간시수표'!AH12,$AY$9),COUNTIF('1.연간시수표'!AH12,$AY$7)),$AY$6,IF(OR(COUNTIF('1.연간시수표'!AH12,$AZ$9),COUNTIF('1.연간시수표'!AH12,$AZ$7)),$AZ$6,IF(OR(COUNTIF('1.연간시수표'!AH12,$BA$9),COUNTIF('1.연간시수표'!AH12,$BA$7)),$BA$6,IF(OR(COUNTIF('1.연간시수표'!AH12,$BB$9),COUNTIF('1.연간시수표'!AH12,$BB$7)),$BB$6,IF(OR(COUNTIF('1.연간시수표'!AH12,$BC$9),COUNTIF('1.연간시수표'!AH12,$BC$7)),$BC$6,IF(OR(COUNTIF('1.연간시수표'!AH12,$BF$9),COUNTIF('1.연간시수표'!AH12,$BF$7),COUNTIF('1.연간시수표'!AH12,$BG$9),COUNTIF('1.연간시수표'!AH12,$BG$7),COUNTIF('1.연간시수표'!AH12,$BH$9),COUNTIF('1.연간시수표'!AH12,$BH$7),COUNTIF('1.연간시수표'!AH12,$BI$9),COUNTIF('1.연간시수표'!AH12,$BI$7),COUNTIF('1.연간시수표'!AH12,$BJ$9),COUNTIF('1.연간시수표'!AH12,$BJ$7),COUNTIF('1.연간시수표'!AH12,$BK$9),COUNTIF('1.연간시수표'!AH12,$BK$7),COUNTIF('1.연간시수표'!AH12,$BL$9),COUNTIF('1.연간시수표'!AH12,$BL$7),COUNTIF('1.연간시수표'!AH12,$BM$9),COUNTIF('1.연간시수표'!AH12,$BM$7)),$BF$6,IF(OR(COUNTIF('1.연간시수표'!AH12,$BO$9),COUNTIF('1.연간시수표'!AH12,$BO$7)),$BO$6,IF(OR(COUNTIF('1.연간시수표'!AH12,$BP$9),COUNTIF('1.연간시수표'!AH12,$BP$7)),$BP$6,IF(OR(COUNTIF('1.연간시수표'!AH12,$BQ$9),COUNTIF('1.연간시수표'!AH12,$BQ$7)),$BQ$6,IF(OR(COUNTIF('1.연간시수표'!AH12,$BR$9),COUNTIF('1.연간시수표'!AH12,$BR$7)),$BR$6,"_")))))))))))))))</f>
        <v>음악</v>
      </c>
      <c r="AI12" s="148" t="str">
        <f>IF(OR(COUNTIF('1.연간시수표'!AI12,$AT$9),COUNTIF('1.연간시수표'!AI12,$AT$7)),$AT$6,IF(OR(COUNTIF('1.연간시수표'!AI12,$AU$9),COUNTIF('1.연간시수표'!AI12,$AU$7)),$AU$6,IF(OR(COUNTIF('1.연간시수표'!AI12,$AV$9),COUNTIF('1.연간시수표'!AI12,$AV$7)),$AV$6,IF(OR(COUNTIF('1.연간시수표'!AI12,$AW$9),COUNTIF('1.연간시수표'!AI12,$AW$7)),$AW$6,IF(OR(COUNTIF('1.연간시수표'!AI12,$AX$9),COUNTIF('1.연간시수표'!AI12,$AX$7)),$AX$6,IF(OR(COUNTIF('1.연간시수표'!AI12,$AY$9),COUNTIF('1.연간시수표'!AI12,$AY$7)),$AY$6,IF(OR(COUNTIF('1.연간시수표'!AI12,$AZ$9),COUNTIF('1.연간시수표'!AI12,$AZ$7)),$AZ$6,IF(OR(COUNTIF('1.연간시수표'!AI12,$BA$9),COUNTIF('1.연간시수표'!AI12,$BA$7)),$BA$6,IF(OR(COUNTIF('1.연간시수표'!AI12,$BB$9),COUNTIF('1.연간시수표'!AI12,$BB$7)),$BB$6,IF(OR(COUNTIF('1.연간시수표'!AI12,$BC$9),COUNTIF('1.연간시수표'!AI12,$BC$7)),$BC$6,IF(OR(COUNTIF('1.연간시수표'!AI12,$BF$9),COUNTIF('1.연간시수표'!AI12,$BF$7),COUNTIF('1.연간시수표'!AI12,$BG$9),COUNTIF('1.연간시수표'!AI12,$BG$7),COUNTIF('1.연간시수표'!AI12,$BH$9),COUNTIF('1.연간시수표'!AI12,$BH$7),COUNTIF('1.연간시수표'!AI12,$BI$9),COUNTIF('1.연간시수표'!AI12,$BI$7),COUNTIF('1.연간시수표'!AI12,$BJ$9),COUNTIF('1.연간시수표'!AI12,$BJ$7),COUNTIF('1.연간시수표'!AI12,$BK$9),COUNTIF('1.연간시수표'!AI12,$BK$7),COUNTIF('1.연간시수표'!AI12,$BL$9),COUNTIF('1.연간시수표'!AI12,$BL$7),COUNTIF('1.연간시수표'!AI12,$BM$9),COUNTIF('1.연간시수표'!AI12,$BM$7)),$BF$6,IF(OR(COUNTIF('1.연간시수표'!AI12,$BO$9),COUNTIF('1.연간시수표'!AI12,$BO$7)),$BO$6,IF(OR(COUNTIF('1.연간시수표'!AI12,$BP$9),COUNTIF('1.연간시수표'!AI12,$BP$7)),$BP$6,IF(OR(COUNTIF('1.연간시수표'!AI12,$BQ$9),COUNTIF('1.연간시수표'!AI12,$BQ$7)),$BQ$6,IF(OR(COUNTIF('1.연간시수표'!AI12,$BR$9),COUNTIF('1.연간시수표'!AI12,$BR$7)),$BR$6,"_")))))))))))))))</f>
        <v>_</v>
      </c>
      <c r="AJ12" s="148" t="str">
        <f>IF(OR(COUNTIF('1.연간시수표'!AJ12,$AT$9),COUNTIF('1.연간시수표'!AJ12,$AT$7)),$AT$6,IF(OR(COUNTIF('1.연간시수표'!AJ12,$AU$9),COUNTIF('1.연간시수표'!AJ12,$AU$7)),$AU$6,IF(OR(COUNTIF('1.연간시수표'!AJ12,$AV$9),COUNTIF('1.연간시수표'!AJ12,$AV$7)),$AV$6,IF(OR(COUNTIF('1.연간시수표'!AJ12,$AW$9),COUNTIF('1.연간시수표'!AJ12,$AW$7)),$AW$6,IF(OR(COUNTIF('1.연간시수표'!AJ12,$AX$9),COUNTIF('1.연간시수표'!AJ12,$AX$7)),$AX$6,IF(OR(COUNTIF('1.연간시수표'!AJ12,$AY$9),COUNTIF('1.연간시수표'!AJ12,$AY$7)),$AY$6,IF(OR(COUNTIF('1.연간시수표'!AJ12,$AZ$9),COUNTIF('1.연간시수표'!AJ12,$AZ$7)),$AZ$6,IF(OR(COUNTIF('1.연간시수표'!AJ12,$BA$9),COUNTIF('1.연간시수표'!AJ12,$BA$7)),$BA$6,IF(OR(COUNTIF('1.연간시수표'!AJ12,$BB$9),COUNTIF('1.연간시수표'!AJ12,$BB$7)),$BB$6,IF(OR(COUNTIF('1.연간시수표'!AJ12,$BC$9),COUNTIF('1.연간시수표'!AJ12,$BC$7)),$BC$6,IF(OR(COUNTIF('1.연간시수표'!AJ12,$BF$9),COUNTIF('1.연간시수표'!AJ12,$BF$7),COUNTIF('1.연간시수표'!AJ12,$BG$9),COUNTIF('1.연간시수표'!AJ12,$BG$7),COUNTIF('1.연간시수표'!AJ12,$BH$9),COUNTIF('1.연간시수표'!AJ12,$BH$7),COUNTIF('1.연간시수표'!AJ12,$BI$9),COUNTIF('1.연간시수표'!AJ12,$BI$7),COUNTIF('1.연간시수표'!AJ12,$BJ$9),COUNTIF('1.연간시수표'!AJ12,$BJ$7),COUNTIF('1.연간시수표'!AJ12,$BK$9),COUNTIF('1.연간시수표'!AJ12,$BK$7),COUNTIF('1.연간시수표'!AJ12,$BL$9),COUNTIF('1.연간시수표'!AJ12,$BL$7),COUNTIF('1.연간시수표'!AJ12,$BM$9),COUNTIF('1.연간시수표'!AJ12,$BM$7)),$BF$6,IF(OR(COUNTIF('1.연간시수표'!AJ12,$BO$9),COUNTIF('1.연간시수표'!AJ12,$BO$7)),$BO$6,IF(OR(COUNTIF('1.연간시수표'!AJ12,$BP$9),COUNTIF('1.연간시수표'!AJ12,$BP$7)),$BP$6,IF(OR(COUNTIF('1.연간시수표'!AJ12,$BQ$9),COUNTIF('1.연간시수표'!AJ12,$BQ$7)),$BQ$6,IF(OR(COUNTIF('1.연간시수표'!AJ12,$BR$9),COUNTIF('1.연간시수표'!AJ12,$BR$7)),$BR$6,"_")))))))))))))))</f>
        <v>_</v>
      </c>
      <c r="AK12" s="148" t="str">
        <f>IF(OR(COUNTIF('1.연간시수표'!AK12,$AT$9),COUNTIF('1.연간시수표'!AK12,$AT$7)),$AT$6,IF(OR(COUNTIF('1.연간시수표'!AK12,$AU$9),COUNTIF('1.연간시수표'!AK12,$AU$7)),$AU$6,IF(OR(COUNTIF('1.연간시수표'!AK12,$AV$9),COUNTIF('1.연간시수표'!AK12,$AV$7)),$AV$6,IF(OR(COUNTIF('1.연간시수표'!AK12,$AW$9),COUNTIF('1.연간시수표'!AK12,$AW$7)),$AW$6,IF(OR(COUNTIF('1.연간시수표'!AK12,$AX$9),COUNTIF('1.연간시수표'!AK12,$AX$7)),$AX$6,IF(OR(COUNTIF('1.연간시수표'!AK12,$AY$9),COUNTIF('1.연간시수표'!AK12,$AY$7)),$AY$6,IF(OR(COUNTIF('1.연간시수표'!AK12,$AZ$9),COUNTIF('1.연간시수표'!AK12,$AZ$7)),$AZ$6,IF(OR(COUNTIF('1.연간시수표'!AK12,$BA$9),COUNTIF('1.연간시수표'!AK12,$BA$7)),$BA$6,IF(OR(COUNTIF('1.연간시수표'!AK12,$BB$9),COUNTIF('1.연간시수표'!AK12,$BB$7)),$BB$6,IF(OR(COUNTIF('1.연간시수표'!AK12,$BC$9),COUNTIF('1.연간시수표'!AK12,$BC$7)),$BC$6,IF(OR(COUNTIF('1.연간시수표'!AK12,$BF$9),COUNTIF('1.연간시수표'!AK12,$BF$7),COUNTIF('1.연간시수표'!AK12,$BG$9),COUNTIF('1.연간시수표'!AK12,$BG$7),COUNTIF('1.연간시수표'!AK12,$BH$9),COUNTIF('1.연간시수표'!AK12,$BH$7),COUNTIF('1.연간시수표'!AK12,$BI$9),COUNTIF('1.연간시수표'!AK12,$BI$7),COUNTIF('1.연간시수표'!AK12,$BJ$9),COUNTIF('1.연간시수표'!AK12,$BJ$7),COUNTIF('1.연간시수표'!AK12,$BK$9),COUNTIF('1.연간시수표'!AK12,$BK$7),COUNTIF('1.연간시수표'!AK12,$BL$9),COUNTIF('1.연간시수표'!AK12,$BL$7),COUNTIF('1.연간시수표'!AK12,$BM$9),COUNTIF('1.연간시수표'!AK12,$BM$7)),$BF$6,IF(OR(COUNTIF('1.연간시수표'!AK12,$BO$9),COUNTIF('1.연간시수표'!AK12,$BO$7)),$BO$6,IF(OR(COUNTIF('1.연간시수표'!AK12,$BP$9),COUNTIF('1.연간시수표'!AK12,$BP$7)),$BP$6,IF(OR(COUNTIF('1.연간시수표'!AK12,$BQ$9),COUNTIF('1.연간시수표'!AK12,$BQ$7)),$BQ$6,IF(OR(COUNTIF('1.연간시수표'!AK12,$BR$9),COUNTIF('1.연간시수표'!AK12,$BR$7)),$BR$6,"_")))))))))))))))</f>
        <v>국어</v>
      </c>
      <c r="AL12" s="148" t="str">
        <f>IF(OR(COUNTIF('1.연간시수표'!AL12,$AT$9),COUNTIF('1.연간시수표'!AL12,$AT$7)),$AT$6,IF(OR(COUNTIF('1.연간시수표'!AL12,$AU$9),COUNTIF('1.연간시수표'!AL12,$AU$7)),$AU$6,IF(OR(COUNTIF('1.연간시수표'!AL12,$AV$9),COUNTIF('1.연간시수표'!AL12,$AV$7)),$AV$6,IF(OR(COUNTIF('1.연간시수표'!AL12,$AW$9),COUNTIF('1.연간시수표'!AL12,$AW$7)),$AW$6,IF(OR(COUNTIF('1.연간시수표'!AL12,$AX$9),COUNTIF('1.연간시수표'!AL12,$AX$7)),$AX$6,IF(OR(COUNTIF('1.연간시수표'!AL12,$AY$9),COUNTIF('1.연간시수표'!AL12,$AY$7)),$AY$6,IF(OR(COUNTIF('1.연간시수표'!AL12,$AZ$9),COUNTIF('1.연간시수표'!AL12,$AZ$7)),$AZ$6,IF(OR(COUNTIF('1.연간시수표'!AL12,$BA$9),COUNTIF('1.연간시수표'!AL12,$BA$7)),$BA$6,IF(OR(COUNTIF('1.연간시수표'!AL12,$BB$9),COUNTIF('1.연간시수표'!AL12,$BB$7)),$BB$6,IF(OR(COUNTIF('1.연간시수표'!AL12,$BC$9),COUNTIF('1.연간시수표'!AL12,$BC$7)),$BC$6,IF(OR(COUNTIF('1.연간시수표'!AL12,$BF$9),COUNTIF('1.연간시수표'!AL12,$BF$7),COUNTIF('1.연간시수표'!AL12,$BG$9),COUNTIF('1.연간시수표'!AL12,$BG$7),COUNTIF('1.연간시수표'!AL12,$BH$9),COUNTIF('1.연간시수표'!AL12,$BH$7),COUNTIF('1.연간시수표'!AL12,$BI$9),COUNTIF('1.연간시수표'!AL12,$BI$7),COUNTIF('1.연간시수표'!AL12,$BJ$9),COUNTIF('1.연간시수표'!AL12,$BJ$7),COUNTIF('1.연간시수표'!AL12,$BK$9),COUNTIF('1.연간시수표'!AL12,$BK$7),COUNTIF('1.연간시수표'!AL12,$BL$9),COUNTIF('1.연간시수표'!AL12,$BL$7),COUNTIF('1.연간시수표'!AL12,$BM$9),COUNTIF('1.연간시수표'!AL12,$BM$7)),$BF$6,IF(OR(COUNTIF('1.연간시수표'!AL12,$BO$9),COUNTIF('1.연간시수표'!AL12,$BO$7)),$BO$6,IF(OR(COUNTIF('1.연간시수표'!AL12,$BP$9),COUNTIF('1.연간시수표'!AL12,$BP$7)),$BP$6,IF(OR(COUNTIF('1.연간시수표'!AL12,$BQ$9),COUNTIF('1.연간시수표'!AL12,$BQ$7)),$BQ$6,IF(OR(COUNTIF('1.연간시수표'!AL12,$BR$9),COUNTIF('1.연간시수표'!AL12,$BR$7)),$BR$6,"_")))))))))))))))</f>
        <v>체육</v>
      </c>
      <c r="AM12" s="148" t="str">
        <f>IF(OR(COUNTIF('1.연간시수표'!AM12,$AT$9),COUNTIF('1.연간시수표'!AM12,$AT$7)),$AT$6,IF(OR(COUNTIF('1.연간시수표'!AM12,$AU$9),COUNTIF('1.연간시수표'!AM12,$AU$7)),$AU$6,IF(OR(COUNTIF('1.연간시수표'!AM12,$AV$9),COUNTIF('1.연간시수표'!AM12,$AV$7)),$AV$6,IF(OR(COUNTIF('1.연간시수표'!AM12,$AW$9),COUNTIF('1.연간시수표'!AM12,$AW$7)),$AW$6,IF(OR(COUNTIF('1.연간시수표'!AM12,$AX$9),COUNTIF('1.연간시수표'!AM12,$AX$7)),$AX$6,IF(OR(COUNTIF('1.연간시수표'!AM12,$AY$9),COUNTIF('1.연간시수표'!AM12,$AY$7)),$AY$6,IF(OR(COUNTIF('1.연간시수표'!AM12,$AZ$9),COUNTIF('1.연간시수표'!AM12,$AZ$7)),$AZ$6,IF(OR(COUNTIF('1.연간시수표'!AM12,$BA$9),COUNTIF('1.연간시수표'!AM12,$BA$7)),$BA$6,IF(OR(COUNTIF('1.연간시수표'!AM12,$BB$9),COUNTIF('1.연간시수표'!AM12,$BB$7)),$BB$6,IF(OR(COUNTIF('1.연간시수표'!AM12,$BC$9),COUNTIF('1.연간시수표'!AM12,$BC$7)),$BC$6,IF(OR(COUNTIF('1.연간시수표'!AM12,$BF$9),COUNTIF('1.연간시수표'!AM12,$BF$7),COUNTIF('1.연간시수표'!AM12,$BG$9),COUNTIF('1.연간시수표'!AM12,$BG$7),COUNTIF('1.연간시수표'!AM12,$BH$9),COUNTIF('1.연간시수표'!AM12,$BH$7),COUNTIF('1.연간시수표'!AM12,$BI$9),COUNTIF('1.연간시수표'!AM12,$BI$7),COUNTIF('1.연간시수표'!AM12,$BJ$9),COUNTIF('1.연간시수표'!AM12,$BJ$7),COUNTIF('1.연간시수표'!AM12,$BK$9),COUNTIF('1.연간시수표'!AM12,$BK$7),COUNTIF('1.연간시수표'!AM12,$BL$9),COUNTIF('1.연간시수표'!AM12,$BL$7),COUNTIF('1.연간시수표'!AM12,$BM$9),COUNTIF('1.연간시수표'!AM12,$BM$7)),$BF$6,IF(OR(COUNTIF('1.연간시수표'!AM12,$BO$9),COUNTIF('1.연간시수표'!AM12,$BO$7)),$BO$6,IF(OR(COUNTIF('1.연간시수표'!AM12,$BP$9),COUNTIF('1.연간시수표'!AM12,$BP$7)),$BP$6,IF(OR(COUNTIF('1.연간시수표'!AM12,$BQ$9),COUNTIF('1.연간시수표'!AM12,$BQ$7)),$BQ$6,IF(OR(COUNTIF('1.연간시수표'!AM12,$BR$9),COUNTIF('1.연간시수표'!AM12,$BR$7)),$BR$6,"_")))))))))))))))</f>
        <v>국어</v>
      </c>
      <c r="AN12" s="148" t="str">
        <f>IF(OR(COUNTIF('1.연간시수표'!AN12,$AT$9),COUNTIF('1.연간시수표'!AN12,$AT$7)),$AT$6,IF(OR(COUNTIF('1.연간시수표'!AN12,$AU$9),COUNTIF('1.연간시수표'!AN12,$AU$7)),$AU$6,IF(OR(COUNTIF('1.연간시수표'!AN12,$AV$9),COUNTIF('1.연간시수표'!AN12,$AV$7)),$AV$6,IF(OR(COUNTIF('1.연간시수표'!AN12,$AW$9),COUNTIF('1.연간시수표'!AN12,$AW$7)),$AW$6,IF(OR(COUNTIF('1.연간시수표'!AN12,$AX$9),COUNTIF('1.연간시수표'!AN12,$AX$7)),$AX$6,IF(OR(COUNTIF('1.연간시수표'!AN12,$AY$9),COUNTIF('1.연간시수표'!AN12,$AY$7)),$AY$6,IF(OR(COUNTIF('1.연간시수표'!AN12,$AZ$9),COUNTIF('1.연간시수표'!AN12,$AZ$7)),$AZ$6,IF(OR(COUNTIF('1.연간시수표'!AN12,$BA$9),COUNTIF('1.연간시수표'!AN12,$BA$7)),$BA$6,IF(OR(COUNTIF('1.연간시수표'!AN12,$BB$9),COUNTIF('1.연간시수표'!AN12,$BB$7)),$BB$6,IF(OR(COUNTIF('1.연간시수표'!AN12,$BC$9),COUNTIF('1.연간시수표'!AN12,$BC$7)),$BC$6,IF(OR(COUNTIF('1.연간시수표'!AN12,$BF$9),COUNTIF('1.연간시수표'!AN12,$BF$7),COUNTIF('1.연간시수표'!AN12,$BG$9),COUNTIF('1.연간시수표'!AN12,$BG$7),COUNTIF('1.연간시수표'!AN12,$BH$9),COUNTIF('1.연간시수표'!AN12,$BH$7),COUNTIF('1.연간시수표'!AN12,$BI$9),COUNTIF('1.연간시수표'!AN12,$BI$7),COUNTIF('1.연간시수표'!AN12,$BJ$9),COUNTIF('1.연간시수표'!AN12,$BJ$7),COUNTIF('1.연간시수표'!AN12,$BK$9),COUNTIF('1.연간시수표'!AN12,$BK$7),COUNTIF('1.연간시수표'!AN12,$BL$9),COUNTIF('1.연간시수표'!AN12,$BL$7),COUNTIF('1.연간시수표'!AN12,$BM$9),COUNTIF('1.연간시수표'!AN12,$BM$7)),$BF$6,IF(OR(COUNTIF('1.연간시수표'!AN12,$BO$9),COUNTIF('1.연간시수표'!AN12,$BO$7)),$BO$6,IF(OR(COUNTIF('1.연간시수표'!AN12,$BP$9),COUNTIF('1.연간시수표'!AN12,$BP$7)),$BP$6,IF(OR(COUNTIF('1.연간시수표'!AN12,$BQ$9),COUNTIF('1.연간시수표'!AN12,$BQ$7)),$BQ$6,IF(OR(COUNTIF('1.연간시수표'!AN12,$BR$9),COUNTIF('1.연간시수표'!AN12,$BR$7)),$BR$6,"_")))))))))))))))</f>
        <v>음악</v>
      </c>
      <c r="AO12" s="148" t="str">
        <f>IF(OR(COUNTIF('1.연간시수표'!AO12,$AT$9),COUNTIF('1.연간시수표'!AO12,$AT$7)),$AT$6,IF(OR(COUNTIF('1.연간시수표'!AO12,$AU$9),COUNTIF('1.연간시수표'!AO12,$AU$7)),$AU$6,IF(OR(COUNTIF('1.연간시수표'!AO12,$AV$9),COUNTIF('1.연간시수표'!AO12,$AV$7)),$AV$6,IF(OR(COUNTIF('1.연간시수표'!AO12,$AW$9),COUNTIF('1.연간시수표'!AO12,$AW$7)),$AW$6,IF(OR(COUNTIF('1.연간시수표'!AO12,$AX$9),COUNTIF('1.연간시수표'!AO12,$AX$7)),$AX$6,IF(OR(COUNTIF('1.연간시수표'!AO12,$AY$9),COUNTIF('1.연간시수표'!AO12,$AY$7)),$AY$6,IF(OR(COUNTIF('1.연간시수표'!AO12,$AZ$9),COUNTIF('1.연간시수표'!AO12,$AZ$7)),$AZ$6,IF(OR(COUNTIF('1.연간시수표'!AO12,$BA$9),COUNTIF('1.연간시수표'!AO12,$BA$7)),$BA$6,IF(OR(COUNTIF('1.연간시수표'!AO12,$BB$9),COUNTIF('1.연간시수표'!AO12,$BB$7)),$BB$6,IF(OR(COUNTIF('1.연간시수표'!AO12,$BC$9),COUNTIF('1.연간시수표'!AO12,$BC$7)),$BC$6,IF(OR(COUNTIF('1.연간시수표'!AO12,$BF$9),COUNTIF('1.연간시수표'!AO12,$BF$7),COUNTIF('1.연간시수표'!AO12,$BG$9),COUNTIF('1.연간시수표'!AO12,$BG$7),COUNTIF('1.연간시수표'!AO12,$BH$9),COUNTIF('1.연간시수표'!AO12,$BH$7),COUNTIF('1.연간시수표'!AO12,$BI$9),COUNTIF('1.연간시수표'!AO12,$BI$7),COUNTIF('1.연간시수표'!AO12,$BJ$9),COUNTIF('1.연간시수표'!AO12,$BJ$7),COUNTIF('1.연간시수표'!AO12,$BK$9),COUNTIF('1.연간시수표'!AO12,$BK$7),COUNTIF('1.연간시수표'!AO12,$BL$9),COUNTIF('1.연간시수표'!AO12,$BL$7),COUNTIF('1.연간시수표'!AO12,$BM$9),COUNTIF('1.연간시수표'!AO12,$BM$7)),$BF$6,IF(OR(COUNTIF('1.연간시수표'!AO12,$BO$9),COUNTIF('1.연간시수표'!AO12,$BO$7)),$BO$6,IF(OR(COUNTIF('1.연간시수표'!AO12,$BP$9),COUNTIF('1.연간시수표'!AO12,$BP$7)),$BP$6,IF(OR(COUNTIF('1.연간시수표'!AO12,$BQ$9),COUNTIF('1.연간시수표'!AO12,$BQ$7)),$BQ$6,IF(OR(COUNTIF('1.연간시수표'!AO12,$BR$9),COUNTIF('1.연간시수표'!AO12,$BR$7)),$BR$6,"_")))))))))))))))</f>
        <v>사회</v>
      </c>
      <c r="AP12" s="148" t="str">
        <f>IF(OR(COUNTIF('1.연간시수표'!AP12,$AT$9),COUNTIF('1.연간시수표'!AP12,$AT$7)),$AT$6,IF(OR(COUNTIF('1.연간시수표'!AP12,$AU$9),COUNTIF('1.연간시수표'!AP12,$AU$7)),$AU$6,IF(OR(COUNTIF('1.연간시수표'!AP12,$AV$9),COUNTIF('1.연간시수표'!AP12,$AV$7)),$AV$6,IF(OR(COUNTIF('1.연간시수표'!AP12,$AW$9),COUNTIF('1.연간시수표'!AP12,$AW$7)),$AW$6,IF(OR(COUNTIF('1.연간시수표'!AP12,$AX$9),COUNTIF('1.연간시수표'!AP12,$AX$7)),$AX$6,IF(OR(COUNTIF('1.연간시수표'!AP12,$AY$9),COUNTIF('1.연간시수표'!AP12,$AY$7)),$AY$6,IF(OR(COUNTIF('1.연간시수표'!AP12,$AZ$9),COUNTIF('1.연간시수표'!AP12,$AZ$7)),$AZ$6,IF(OR(COUNTIF('1.연간시수표'!AP12,$BA$9),COUNTIF('1.연간시수표'!AP12,$BA$7)),$BA$6,IF(OR(COUNTIF('1.연간시수표'!AP12,$BB$9),COUNTIF('1.연간시수표'!AP12,$BB$7)),$BB$6,IF(OR(COUNTIF('1.연간시수표'!AP12,$BC$9),COUNTIF('1.연간시수표'!AP12,$BC$7)),$BC$6,IF(OR(COUNTIF('1.연간시수표'!AP12,$BF$9),COUNTIF('1.연간시수표'!AP12,$BF$7),COUNTIF('1.연간시수표'!AP12,$BG$9),COUNTIF('1.연간시수표'!AP12,$BG$7),COUNTIF('1.연간시수표'!AP12,$BH$9),COUNTIF('1.연간시수표'!AP12,$BH$7),COUNTIF('1.연간시수표'!AP12,$BI$9),COUNTIF('1.연간시수표'!AP12,$BI$7),COUNTIF('1.연간시수표'!AP12,$BJ$9),COUNTIF('1.연간시수표'!AP12,$BJ$7),COUNTIF('1.연간시수표'!AP12,$BK$9),COUNTIF('1.연간시수표'!AP12,$BK$7),COUNTIF('1.연간시수표'!AP12,$BL$9),COUNTIF('1.연간시수표'!AP12,$BL$7),COUNTIF('1.연간시수표'!AP12,$BM$9),COUNTIF('1.연간시수표'!AP12,$BM$7)),$BF$6,IF(OR(COUNTIF('1.연간시수표'!AP12,$BO$9),COUNTIF('1.연간시수표'!AP12,$BO$7)),$BO$6,IF(OR(COUNTIF('1.연간시수표'!AP12,$BP$9),COUNTIF('1.연간시수표'!AP12,$BP$7)),$BP$6,IF(OR(COUNTIF('1.연간시수표'!AP12,$BQ$9),COUNTIF('1.연간시수표'!AP12,$BQ$7)),$BQ$6,IF(OR(COUNTIF('1.연간시수표'!AP12,$BR$9),COUNTIF('1.연간시수표'!AP12,$BR$7)),$BR$6,"_")))))))))))))))</f>
        <v>실과</v>
      </c>
      <c r="AQ12" s="148" t="str">
        <f>IF(OR(COUNTIF('1.연간시수표'!AQ12,$AT$9),COUNTIF('1.연간시수표'!AQ12,$AT$7)),$AT$6,IF(OR(COUNTIF('1.연간시수표'!AQ12,$AU$9),COUNTIF('1.연간시수표'!AQ12,$AU$7)),$AU$6,IF(OR(COUNTIF('1.연간시수표'!AQ12,$AV$9),COUNTIF('1.연간시수표'!AQ12,$AV$7)),$AV$6,IF(OR(COUNTIF('1.연간시수표'!AQ12,$AW$9),COUNTIF('1.연간시수표'!AQ12,$AW$7)),$AW$6,IF(OR(COUNTIF('1.연간시수표'!AQ12,$AX$9),COUNTIF('1.연간시수표'!AQ12,$AX$7)),$AX$6,IF(OR(COUNTIF('1.연간시수표'!AQ12,$AY$9),COUNTIF('1.연간시수표'!AQ12,$AY$7)),$AY$6,IF(OR(COUNTIF('1.연간시수표'!AQ12,$AZ$9),COUNTIF('1.연간시수표'!AQ12,$AZ$7)),$AZ$6,IF(OR(COUNTIF('1.연간시수표'!AQ12,$BA$9),COUNTIF('1.연간시수표'!AQ12,$BA$7)),$BA$6,IF(OR(COUNTIF('1.연간시수표'!AQ12,$BB$9),COUNTIF('1.연간시수표'!AQ12,$BB$7)),$BB$6,IF(OR(COUNTIF('1.연간시수표'!AQ12,$BC$9),COUNTIF('1.연간시수표'!AQ12,$BC$7)),$BC$6,IF(OR(COUNTIF('1.연간시수표'!AQ12,$BF$9),COUNTIF('1.연간시수표'!AQ12,$BF$7),COUNTIF('1.연간시수표'!AQ12,$BG$9),COUNTIF('1.연간시수표'!AQ12,$BG$7),COUNTIF('1.연간시수표'!AQ12,$BH$9),COUNTIF('1.연간시수표'!AQ12,$BH$7),COUNTIF('1.연간시수표'!AQ12,$BI$9),COUNTIF('1.연간시수표'!AQ12,$BI$7),COUNTIF('1.연간시수표'!AQ12,$BJ$9),COUNTIF('1.연간시수표'!AQ12,$BJ$7),COUNTIF('1.연간시수표'!AQ12,$BK$9),COUNTIF('1.연간시수표'!AQ12,$BK$7),COUNTIF('1.연간시수표'!AQ12,$BL$9),COUNTIF('1.연간시수표'!AQ12,$BL$7),COUNTIF('1.연간시수표'!AQ12,$BM$9),COUNTIF('1.연간시수표'!AQ12,$BM$7)),$BF$6,IF(OR(COUNTIF('1.연간시수표'!AQ12,$BO$9),COUNTIF('1.연간시수표'!AQ12,$BO$7)),$BO$6,IF(OR(COUNTIF('1.연간시수표'!AQ12,$BP$9),COUNTIF('1.연간시수표'!AQ12,$BP$7)),$BP$6,IF(OR(COUNTIF('1.연간시수표'!AQ12,$BQ$9),COUNTIF('1.연간시수표'!AQ12,$BQ$7)),$BQ$6,IF(OR(COUNTIF('1.연간시수표'!AQ12,$BR$9),COUNTIF('1.연간시수표'!AQ12,$BR$7)),$BR$6,"_")))))))))))))))</f>
        <v>_</v>
      </c>
      <c r="AR12" s="148" t="str">
        <f>IF(OR(COUNTIF('1.연간시수표'!AR12,$AT$9),COUNTIF('1.연간시수표'!AR12,$AT$7)),$AT$6,IF(OR(COUNTIF('1.연간시수표'!AR12,$AU$9),COUNTIF('1.연간시수표'!AR12,$AU$7)),$AU$6,IF(OR(COUNTIF('1.연간시수표'!AR12,$AV$9),COUNTIF('1.연간시수표'!AR12,$AV$7)),$AV$6,IF(OR(COUNTIF('1.연간시수표'!AR12,$AW$9),COUNTIF('1.연간시수표'!AR12,$AW$7)),$AW$6,IF(OR(COUNTIF('1.연간시수표'!AR12,$AX$9),COUNTIF('1.연간시수표'!AR12,$AX$7)),$AX$6,IF(OR(COUNTIF('1.연간시수표'!AR12,$AY$9),COUNTIF('1.연간시수표'!AR12,$AY$7)),$AY$6,IF(OR(COUNTIF('1.연간시수표'!AR12,$AZ$9),COUNTIF('1.연간시수표'!AR12,$AZ$7)),$AZ$6,IF(OR(COUNTIF('1.연간시수표'!AR12,$BA$9),COUNTIF('1.연간시수표'!AR12,$BA$7)),$BA$6,IF(OR(COUNTIF('1.연간시수표'!AR12,$BB$9),COUNTIF('1.연간시수표'!AR12,$BB$7)),$BB$6,IF(OR(COUNTIF('1.연간시수표'!AR12,$BC$9),COUNTIF('1.연간시수표'!AR12,$BC$7)),$BC$6,IF(OR(COUNTIF('1.연간시수표'!AR12,$BF$9),COUNTIF('1.연간시수표'!AR12,$BF$7),COUNTIF('1.연간시수표'!AR12,$BG$9),COUNTIF('1.연간시수표'!AR12,$BG$7),COUNTIF('1.연간시수표'!AR12,$BH$9),COUNTIF('1.연간시수표'!AR12,$BH$7),COUNTIF('1.연간시수표'!AR12,$BI$9),COUNTIF('1.연간시수표'!AR12,$BI$7),COUNTIF('1.연간시수표'!AR12,$BJ$9),COUNTIF('1.연간시수표'!AR12,$BJ$7),COUNTIF('1.연간시수표'!AR12,$BK$9),COUNTIF('1.연간시수표'!AR12,$BK$7),COUNTIF('1.연간시수표'!AR12,$BL$9),COUNTIF('1.연간시수표'!AR12,$BL$7),COUNTIF('1.연간시수표'!AR12,$BM$9),COUNTIF('1.연간시수표'!AR12,$BM$7)),$BF$6,IF(OR(COUNTIF('1.연간시수표'!AR12,$BO$9),COUNTIF('1.연간시수표'!AR12,$BO$7)),$BO$6,IF(OR(COUNTIF('1.연간시수표'!AR12,$BP$9),COUNTIF('1.연간시수표'!AR12,$BP$7)),$BP$6,IF(OR(COUNTIF('1.연간시수표'!AR12,$BQ$9),COUNTIF('1.연간시수표'!AR12,$BQ$7)),$BQ$6,IF(OR(COUNTIF('1.연간시수표'!AR12,$BR$9),COUNTIF('1.연간시수표'!AR12,$BR$7)),$BR$6,"_")))))))))))))))</f>
        <v>_</v>
      </c>
      <c r="BU12" s="27" t="s">
        <v>102</v>
      </c>
      <c r="BV12" s="27" t="s">
        <v>75</v>
      </c>
    </row>
    <row r="13" spans="2:74">
      <c r="B13" s="6"/>
      <c r="C13" s="79">
        <f>'1.연간시수표'!C13</f>
        <v>4</v>
      </c>
      <c r="D13" s="3"/>
      <c r="E13" s="148" t="str">
        <f>IF(OR(COUNTIF('1.연간시수표'!E13,$AT$9),COUNTIF('1.연간시수표'!E13,$AT$7)),$AT$6,IF(OR(COUNTIF('1.연간시수표'!E13,$AU$9),COUNTIF('1.연간시수표'!E13,$AU$7)),$AU$6,IF(OR(COUNTIF('1.연간시수표'!E13,$AV$9),COUNTIF('1.연간시수표'!E13,$AV$7)),$AV$6,IF(OR(COUNTIF('1.연간시수표'!E13,$AW$9),COUNTIF('1.연간시수표'!E13,$AW$7)),$AW$6,IF(OR(COUNTIF('1.연간시수표'!E13,$AX$9),COUNTIF('1.연간시수표'!E13,$AX$7)),$AX$6,IF(OR(COUNTIF('1.연간시수표'!E13,$AY$9),COUNTIF('1.연간시수표'!E13,$AY$7)),$AY$6,IF(OR(COUNTIF('1.연간시수표'!E13,$AZ$9),COUNTIF('1.연간시수표'!E13,$AZ$7)),$AZ$6,IF(OR(COUNTIF('1.연간시수표'!E13,$BA$9),COUNTIF('1.연간시수표'!E13,$BA$7)),$BA$6,IF(OR(COUNTIF('1.연간시수표'!E13,$BB$9),COUNTIF('1.연간시수표'!E13,$BB$7)),$BB$6,IF(OR(COUNTIF('1.연간시수표'!E13,$BC$9),COUNTIF('1.연간시수표'!E13,$BC$7)),$BC$6,IF(OR(COUNTIF('1.연간시수표'!E13,$BF$9),COUNTIF('1.연간시수표'!E13,$BF$7),COUNTIF('1.연간시수표'!E13,$BG$9),COUNTIF('1.연간시수표'!E13,$BG$7),COUNTIF('1.연간시수표'!E13,$BH$9),COUNTIF('1.연간시수표'!E13,$BH$7),COUNTIF('1.연간시수표'!E13,$BI$9),COUNTIF('1.연간시수표'!E13,$BI$7),COUNTIF('1.연간시수표'!E13,$BJ$9),COUNTIF('1.연간시수표'!E13,$BJ$7),COUNTIF('1.연간시수표'!E13,$BK$9),COUNTIF('1.연간시수표'!E13,$BK$7),COUNTIF('1.연간시수표'!E13,$BL$9),COUNTIF('1.연간시수표'!E13,$BL$7),COUNTIF('1.연간시수표'!E13,$BM$9),COUNTIF('1.연간시수표'!E13,$BM$7)),$BF$6,IF(OR(COUNTIF('1.연간시수표'!E13,$BO$9),COUNTIF('1.연간시수표'!E13,$BO$7)),$BO$6,IF(OR(COUNTIF('1.연간시수표'!E13,$BP$9),COUNTIF('1.연간시수표'!E13,$BP$7)),$BP$6,IF(OR(COUNTIF('1.연간시수표'!E13,$BQ$9),COUNTIF('1.연간시수표'!E13,$BQ$7)),$BQ$6,IF(OR(COUNTIF('1.연간시수표'!E13,$BR$9),COUNTIF('1.연간시수표'!E13,$BR$7)),$BR$6,"_")))))))))))))))</f>
        <v>국어</v>
      </c>
      <c r="F13" s="148" t="str">
        <f>IF(OR(COUNTIF('1.연간시수표'!F13,$AT$9),COUNTIF('1.연간시수표'!F13,$AT$7)),$AT$6,IF(OR(COUNTIF('1.연간시수표'!F13,$AU$9),COUNTIF('1.연간시수표'!F13,$AU$7)),$AU$6,IF(OR(COUNTIF('1.연간시수표'!F13,$AV$9),COUNTIF('1.연간시수표'!F13,$AV$7)),$AV$6,IF(OR(COUNTIF('1.연간시수표'!F13,$AW$9),COUNTIF('1.연간시수표'!F13,$AW$7)),$AW$6,IF(OR(COUNTIF('1.연간시수표'!F13,$AX$9),COUNTIF('1.연간시수표'!F13,$AX$7)),$AX$6,IF(OR(COUNTIF('1.연간시수표'!F13,$AY$9),COUNTIF('1.연간시수표'!F13,$AY$7)),$AY$6,IF(OR(COUNTIF('1.연간시수표'!F13,$AZ$9),COUNTIF('1.연간시수표'!F13,$AZ$7)),$AZ$6,IF(OR(COUNTIF('1.연간시수표'!F13,$BA$9),COUNTIF('1.연간시수표'!F13,$BA$7)),$BA$6,IF(OR(COUNTIF('1.연간시수표'!F13,$BB$9),COUNTIF('1.연간시수표'!F13,$BB$7)),$BB$6,IF(OR(COUNTIF('1.연간시수표'!F13,$BC$9),COUNTIF('1.연간시수표'!F13,$BC$7)),$BC$6,IF(OR(COUNTIF('1.연간시수표'!F13,$BF$9),COUNTIF('1.연간시수표'!F13,$BF$7),COUNTIF('1.연간시수표'!F13,$BG$9),COUNTIF('1.연간시수표'!F13,$BG$7),COUNTIF('1.연간시수표'!F13,$BH$9),COUNTIF('1.연간시수표'!F13,$BH$7),COUNTIF('1.연간시수표'!F13,$BI$9),COUNTIF('1.연간시수표'!F13,$BI$7),COUNTIF('1.연간시수표'!F13,$BJ$9),COUNTIF('1.연간시수표'!F13,$BJ$7),COUNTIF('1.연간시수표'!F13,$BK$9),COUNTIF('1.연간시수표'!F13,$BK$7),COUNTIF('1.연간시수표'!F13,$BL$9),COUNTIF('1.연간시수표'!F13,$BL$7),COUNTIF('1.연간시수표'!F13,$BM$9),COUNTIF('1.연간시수표'!F13,$BM$7)),$BF$6,IF(OR(COUNTIF('1.연간시수표'!F13,$BO$9),COUNTIF('1.연간시수표'!F13,$BO$7)),$BO$6,IF(OR(COUNTIF('1.연간시수표'!F13,$BP$9),COUNTIF('1.연간시수표'!F13,$BP$7)),$BP$6,IF(OR(COUNTIF('1.연간시수표'!F13,$BQ$9),COUNTIF('1.연간시수표'!F13,$BQ$7)),$BQ$6,IF(OR(COUNTIF('1.연간시수표'!F13,$BR$9),COUNTIF('1.연간시수표'!F13,$BR$7)),$BR$6,"_")))))))))))))))</f>
        <v>미술</v>
      </c>
      <c r="G13" s="148" t="str">
        <f>IF(OR(COUNTIF('1.연간시수표'!G13,$AT$9),COUNTIF('1.연간시수표'!G13,$AT$7)),$AT$6,IF(OR(COUNTIF('1.연간시수표'!G13,$AU$9),COUNTIF('1.연간시수표'!G13,$AU$7)),$AU$6,IF(OR(COUNTIF('1.연간시수표'!G13,$AV$9),COUNTIF('1.연간시수표'!G13,$AV$7)),$AV$6,IF(OR(COUNTIF('1.연간시수표'!G13,$AW$9),COUNTIF('1.연간시수표'!G13,$AW$7)),$AW$6,IF(OR(COUNTIF('1.연간시수표'!G13,$AX$9),COUNTIF('1.연간시수표'!G13,$AX$7)),$AX$6,IF(OR(COUNTIF('1.연간시수표'!G13,$AY$9),COUNTIF('1.연간시수표'!G13,$AY$7)),$AY$6,IF(OR(COUNTIF('1.연간시수표'!G13,$AZ$9),COUNTIF('1.연간시수표'!G13,$AZ$7)),$AZ$6,IF(OR(COUNTIF('1.연간시수표'!G13,$BA$9),COUNTIF('1.연간시수표'!G13,$BA$7)),$BA$6,IF(OR(COUNTIF('1.연간시수표'!G13,$BB$9),COUNTIF('1.연간시수표'!G13,$BB$7)),$BB$6,IF(OR(COUNTIF('1.연간시수표'!G13,$BC$9),COUNTIF('1.연간시수표'!G13,$BC$7)),$BC$6,IF(OR(COUNTIF('1.연간시수표'!G13,$BF$9),COUNTIF('1.연간시수표'!G13,$BF$7),COUNTIF('1.연간시수표'!G13,$BG$9),COUNTIF('1.연간시수표'!G13,$BG$7),COUNTIF('1.연간시수표'!G13,$BH$9),COUNTIF('1.연간시수표'!G13,$BH$7),COUNTIF('1.연간시수표'!G13,$BI$9),COUNTIF('1.연간시수표'!G13,$BI$7),COUNTIF('1.연간시수표'!G13,$BJ$9),COUNTIF('1.연간시수표'!G13,$BJ$7),COUNTIF('1.연간시수표'!G13,$BK$9),COUNTIF('1.연간시수표'!G13,$BK$7),COUNTIF('1.연간시수표'!G13,$BL$9),COUNTIF('1.연간시수표'!G13,$BL$7),COUNTIF('1.연간시수표'!G13,$BM$9),COUNTIF('1.연간시수표'!G13,$BM$7)),$BF$6,IF(OR(COUNTIF('1.연간시수표'!G13,$BO$9),COUNTIF('1.연간시수표'!G13,$BO$7)),$BO$6,IF(OR(COUNTIF('1.연간시수표'!G13,$BP$9),COUNTIF('1.연간시수표'!G13,$BP$7)),$BP$6,IF(OR(COUNTIF('1.연간시수표'!G13,$BQ$9),COUNTIF('1.연간시수표'!G13,$BQ$7)),$BQ$6,IF(OR(COUNTIF('1.연간시수표'!G13,$BR$9),COUNTIF('1.연간시수표'!G13,$BR$7)),$BR$6,"_")))))))))))))))</f>
        <v>미술</v>
      </c>
      <c r="H13" s="148" t="str">
        <f>IF(OR(COUNTIF('1.연간시수표'!H13,$AT$9),COUNTIF('1.연간시수표'!H13,$AT$7)),$AT$6,IF(OR(COUNTIF('1.연간시수표'!H13,$AU$9),COUNTIF('1.연간시수표'!H13,$AU$7)),$AU$6,IF(OR(COUNTIF('1.연간시수표'!H13,$AV$9),COUNTIF('1.연간시수표'!H13,$AV$7)),$AV$6,IF(OR(COUNTIF('1.연간시수표'!H13,$AW$9),COUNTIF('1.연간시수표'!H13,$AW$7)),$AW$6,IF(OR(COUNTIF('1.연간시수표'!H13,$AX$9),COUNTIF('1.연간시수표'!H13,$AX$7)),$AX$6,IF(OR(COUNTIF('1.연간시수표'!H13,$AY$9),COUNTIF('1.연간시수표'!H13,$AY$7)),$AY$6,IF(OR(COUNTIF('1.연간시수표'!H13,$AZ$9),COUNTIF('1.연간시수표'!H13,$AZ$7)),$AZ$6,IF(OR(COUNTIF('1.연간시수표'!H13,$BA$9),COUNTIF('1.연간시수표'!H13,$BA$7)),$BA$6,IF(OR(COUNTIF('1.연간시수표'!H13,$BB$9),COUNTIF('1.연간시수표'!H13,$BB$7)),$BB$6,IF(OR(COUNTIF('1.연간시수표'!H13,$BC$9),COUNTIF('1.연간시수표'!H13,$BC$7)),$BC$6,IF(OR(COUNTIF('1.연간시수표'!H13,$BF$9),COUNTIF('1.연간시수표'!H13,$BF$7),COUNTIF('1.연간시수표'!H13,$BG$9),COUNTIF('1.연간시수표'!H13,$BG$7),COUNTIF('1.연간시수표'!H13,$BH$9),COUNTIF('1.연간시수표'!H13,$BH$7),COUNTIF('1.연간시수표'!H13,$BI$9),COUNTIF('1.연간시수표'!H13,$BI$7),COUNTIF('1.연간시수표'!H13,$BJ$9),COUNTIF('1.연간시수표'!H13,$BJ$7),COUNTIF('1.연간시수표'!H13,$BK$9),COUNTIF('1.연간시수표'!H13,$BK$7),COUNTIF('1.연간시수표'!H13,$BL$9),COUNTIF('1.연간시수표'!H13,$BL$7),COUNTIF('1.연간시수표'!H13,$BM$9),COUNTIF('1.연간시수표'!H13,$BM$7)),$BF$6,IF(OR(COUNTIF('1.연간시수표'!H13,$BO$9),COUNTIF('1.연간시수표'!H13,$BO$7)),$BO$6,IF(OR(COUNTIF('1.연간시수표'!H13,$BP$9),COUNTIF('1.연간시수표'!H13,$BP$7)),$BP$6,IF(OR(COUNTIF('1.연간시수표'!H13,$BQ$9),COUNTIF('1.연간시수표'!H13,$BQ$7)),$BQ$6,IF(OR(COUNTIF('1.연간시수표'!H13,$BR$9),COUNTIF('1.연간시수표'!H13,$BR$7)),$BR$6,"_")))))))))))))))</f>
        <v>영어</v>
      </c>
      <c r="I13" s="148" t="str">
        <f>IF(OR(COUNTIF('1.연간시수표'!I13,$AT$9),COUNTIF('1.연간시수표'!I13,$AT$7)),$AT$6,IF(OR(COUNTIF('1.연간시수표'!I13,$AU$9),COUNTIF('1.연간시수표'!I13,$AU$7)),$AU$6,IF(OR(COUNTIF('1.연간시수표'!I13,$AV$9),COUNTIF('1.연간시수표'!I13,$AV$7)),$AV$6,IF(OR(COUNTIF('1.연간시수표'!I13,$AW$9),COUNTIF('1.연간시수표'!I13,$AW$7)),$AW$6,IF(OR(COUNTIF('1.연간시수표'!I13,$AX$9),COUNTIF('1.연간시수표'!I13,$AX$7)),$AX$6,IF(OR(COUNTIF('1.연간시수표'!I13,$AY$9),COUNTIF('1.연간시수표'!I13,$AY$7)),$AY$6,IF(OR(COUNTIF('1.연간시수표'!I13,$AZ$9),COUNTIF('1.연간시수표'!I13,$AZ$7)),$AZ$6,IF(OR(COUNTIF('1.연간시수표'!I13,$BA$9),COUNTIF('1.연간시수표'!I13,$BA$7)),$BA$6,IF(OR(COUNTIF('1.연간시수표'!I13,$BB$9),COUNTIF('1.연간시수표'!I13,$BB$7)),$BB$6,IF(OR(COUNTIF('1.연간시수표'!I13,$BC$9),COUNTIF('1.연간시수표'!I13,$BC$7)),$BC$6,IF(OR(COUNTIF('1.연간시수표'!I13,$BF$9),COUNTIF('1.연간시수표'!I13,$BF$7),COUNTIF('1.연간시수표'!I13,$BG$9),COUNTIF('1.연간시수표'!I13,$BG$7),COUNTIF('1.연간시수표'!I13,$BH$9),COUNTIF('1.연간시수표'!I13,$BH$7),COUNTIF('1.연간시수표'!I13,$BI$9),COUNTIF('1.연간시수표'!I13,$BI$7),COUNTIF('1.연간시수표'!I13,$BJ$9),COUNTIF('1.연간시수표'!I13,$BJ$7),COUNTIF('1.연간시수표'!I13,$BK$9),COUNTIF('1.연간시수표'!I13,$BK$7),COUNTIF('1.연간시수표'!I13,$BL$9),COUNTIF('1.연간시수표'!I13,$BL$7),COUNTIF('1.연간시수표'!I13,$BM$9),COUNTIF('1.연간시수표'!I13,$BM$7)),$BF$6,IF(OR(COUNTIF('1.연간시수표'!I13,$BO$9),COUNTIF('1.연간시수표'!I13,$BO$7)),$BO$6,IF(OR(COUNTIF('1.연간시수표'!I13,$BP$9),COUNTIF('1.연간시수표'!I13,$BP$7)),$BP$6,IF(OR(COUNTIF('1.연간시수표'!I13,$BQ$9),COUNTIF('1.연간시수표'!I13,$BQ$7)),$BQ$6,IF(OR(COUNTIF('1.연간시수표'!I13,$BR$9),COUNTIF('1.연간시수표'!I13,$BR$7)),$BR$6,"_")))))))))))))))</f>
        <v>수학</v>
      </c>
      <c r="J13" s="148" t="str">
        <f>IF(OR(COUNTIF('1.연간시수표'!J13,$AT$9),COUNTIF('1.연간시수표'!J13,$AT$7)),$AT$6,IF(OR(COUNTIF('1.연간시수표'!J13,$AU$9),COUNTIF('1.연간시수표'!J13,$AU$7)),$AU$6,IF(OR(COUNTIF('1.연간시수표'!J13,$AV$9),COUNTIF('1.연간시수표'!J13,$AV$7)),$AV$6,IF(OR(COUNTIF('1.연간시수표'!J13,$AW$9),COUNTIF('1.연간시수표'!J13,$AW$7)),$AW$6,IF(OR(COUNTIF('1.연간시수표'!J13,$AX$9),COUNTIF('1.연간시수표'!J13,$AX$7)),$AX$6,IF(OR(COUNTIF('1.연간시수표'!J13,$AY$9),COUNTIF('1.연간시수표'!J13,$AY$7)),$AY$6,IF(OR(COUNTIF('1.연간시수표'!J13,$AZ$9),COUNTIF('1.연간시수표'!J13,$AZ$7)),$AZ$6,IF(OR(COUNTIF('1.연간시수표'!J13,$BA$9),COUNTIF('1.연간시수표'!J13,$BA$7)),$BA$6,IF(OR(COUNTIF('1.연간시수표'!J13,$BB$9),COUNTIF('1.연간시수표'!J13,$BB$7)),$BB$6,IF(OR(COUNTIF('1.연간시수표'!J13,$BC$9),COUNTIF('1.연간시수표'!J13,$BC$7)),$BC$6,IF(OR(COUNTIF('1.연간시수표'!J13,$BF$9),COUNTIF('1.연간시수표'!J13,$BF$7),COUNTIF('1.연간시수표'!J13,$BG$9),COUNTIF('1.연간시수표'!J13,$BG$7),COUNTIF('1.연간시수표'!J13,$BH$9),COUNTIF('1.연간시수표'!J13,$BH$7),COUNTIF('1.연간시수표'!J13,$BI$9),COUNTIF('1.연간시수표'!J13,$BI$7),COUNTIF('1.연간시수표'!J13,$BJ$9),COUNTIF('1.연간시수표'!J13,$BJ$7),COUNTIF('1.연간시수표'!J13,$BK$9),COUNTIF('1.연간시수표'!J13,$BK$7),COUNTIF('1.연간시수표'!J13,$BL$9),COUNTIF('1.연간시수표'!J13,$BL$7),COUNTIF('1.연간시수표'!J13,$BM$9),COUNTIF('1.연간시수표'!J13,$BM$7)),$BF$6,IF(OR(COUNTIF('1.연간시수표'!J13,$BO$9),COUNTIF('1.연간시수표'!J13,$BO$7)),$BO$6,IF(OR(COUNTIF('1.연간시수표'!J13,$BP$9),COUNTIF('1.연간시수표'!J13,$BP$7)),$BP$6,IF(OR(COUNTIF('1.연간시수표'!J13,$BQ$9),COUNTIF('1.연간시수표'!J13,$BQ$7)),$BQ$6,IF(OR(COUNTIF('1.연간시수표'!J13,$BR$9),COUNTIF('1.연간시수표'!J13,$BR$7)),$BR$6,"_")))))))))))))))</f>
        <v>자율활동</v>
      </c>
      <c r="K13" s="148" t="str">
        <f>IF(OR(COUNTIF('1.연간시수표'!K13,$AT$9),COUNTIF('1.연간시수표'!K13,$AT$7)),$AT$6,IF(OR(COUNTIF('1.연간시수표'!K13,$AU$9),COUNTIF('1.연간시수표'!K13,$AU$7)),$AU$6,IF(OR(COUNTIF('1.연간시수표'!K13,$AV$9),COUNTIF('1.연간시수표'!K13,$AV$7)),$AV$6,IF(OR(COUNTIF('1.연간시수표'!K13,$AW$9),COUNTIF('1.연간시수표'!K13,$AW$7)),$AW$6,IF(OR(COUNTIF('1.연간시수표'!K13,$AX$9),COUNTIF('1.연간시수표'!K13,$AX$7)),$AX$6,IF(OR(COUNTIF('1.연간시수표'!K13,$AY$9),COUNTIF('1.연간시수표'!K13,$AY$7)),$AY$6,IF(OR(COUNTIF('1.연간시수표'!K13,$AZ$9),COUNTIF('1.연간시수표'!K13,$AZ$7)),$AZ$6,IF(OR(COUNTIF('1.연간시수표'!K13,$BA$9),COUNTIF('1.연간시수표'!K13,$BA$7)),$BA$6,IF(OR(COUNTIF('1.연간시수표'!K13,$BB$9),COUNTIF('1.연간시수표'!K13,$BB$7)),$BB$6,IF(OR(COUNTIF('1.연간시수표'!K13,$BC$9),COUNTIF('1.연간시수표'!K13,$BC$7)),$BC$6,IF(OR(COUNTIF('1.연간시수표'!K13,$BF$9),COUNTIF('1.연간시수표'!K13,$BF$7),COUNTIF('1.연간시수표'!K13,$BG$9),COUNTIF('1.연간시수표'!K13,$BG$7),COUNTIF('1.연간시수표'!K13,$BH$9),COUNTIF('1.연간시수표'!K13,$BH$7),COUNTIF('1.연간시수표'!K13,$BI$9),COUNTIF('1.연간시수표'!K13,$BI$7),COUNTIF('1.연간시수표'!K13,$BJ$9),COUNTIF('1.연간시수표'!K13,$BJ$7),COUNTIF('1.연간시수표'!K13,$BK$9),COUNTIF('1.연간시수표'!K13,$BK$7),COUNTIF('1.연간시수표'!K13,$BL$9),COUNTIF('1.연간시수표'!K13,$BL$7),COUNTIF('1.연간시수표'!K13,$BM$9),COUNTIF('1.연간시수표'!K13,$BM$7)),$BF$6,IF(OR(COUNTIF('1.연간시수표'!K13,$BO$9),COUNTIF('1.연간시수표'!K13,$BO$7)),$BO$6,IF(OR(COUNTIF('1.연간시수표'!K13,$BP$9),COUNTIF('1.연간시수표'!K13,$BP$7)),$BP$6,IF(OR(COUNTIF('1.연간시수표'!K13,$BQ$9),COUNTIF('1.연간시수표'!K13,$BQ$7)),$BQ$6,IF(OR(COUNTIF('1.연간시수표'!K13,$BR$9),COUNTIF('1.연간시수표'!K13,$BR$7)),$BR$6,"_")))))))))))))))</f>
        <v>_</v>
      </c>
      <c r="L13" s="148" t="str">
        <f>IF(OR(COUNTIF('1.연간시수표'!L13,$AT$9),COUNTIF('1.연간시수표'!L13,$AT$7)),$AT$6,IF(OR(COUNTIF('1.연간시수표'!L13,$AU$9),COUNTIF('1.연간시수표'!L13,$AU$7)),$AU$6,IF(OR(COUNTIF('1.연간시수표'!L13,$AV$9),COUNTIF('1.연간시수표'!L13,$AV$7)),$AV$6,IF(OR(COUNTIF('1.연간시수표'!L13,$AW$9),COUNTIF('1.연간시수표'!L13,$AW$7)),$AW$6,IF(OR(COUNTIF('1.연간시수표'!L13,$AX$9),COUNTIF('1.연간시수표'!L13,$AX$7)),$AX$6,IF(OR(COUNTIF('1.연간시수표'!L13,$AY$9),COUNTIF('1.연간시수표'!L13,$AY$7)),$AY$6,IF(OR(COUNTIF('1.연간시수표'!L13,$AZ$9),COUNTIF('1.연간시수표'!L13,$AZ$7)),$AZ$6,IF(OR(COUNTIF('1.연간시수표'!L13,$BA$9),COUNTIF('1.연간시수표'!L13,$BA$7)),$BA$6,IF(OR(COUNTIF('1.연간시수표'!L13,$BB$9),COUNTIF('1.연간시수표'!L13,$BB$7)),$BB$6,IF(OR(COUNTIF('1.연간시수표'!L13,$BC$9),COUNTIF('1.연간시수표'!L13,$BC$7)),$BC$6,IF(OR(COUNTIF('1.연간시수표'!L13,$BF$9),COUNTIF('1.연간시수표'!L13,$BF$7),COUNTIF('1.연간시수표'!L13,$BG$9),COUNTIF('1.연간시수표'!L13,$BG$7),COUNTIF('1.연간시수표'!L13,$BH$9),COUNTIF('1.연간시수표'!L13,$BH$7),COUNTIF('1.연간시수표'!L13,$BI$9),COUNTIF('1.연간시수표'!L13,$BI$7),COUNTIF('1.연간시수표'!L13,$BJ$9),COUNTIF('1.연간시수표'!L13,$BJ$7),COUNTIF('1.연간시수표'!L13,$BK$9),COUNTIF('1.연간시수표'!L13,$BK$7),COUNTIF('1.연간시수표'!L13,$BL$9),COUNTIF('1.연간시수표'!L13,$BL$7),COUNTIF('1.연간시수표'!L13,$BM$9),COUNTIF('1.연간시수표'!L13,$BM$7)),$BF$6,IF(OR(COUNTIF('1.연간시수표'!L13,$BO$9),COUNTIF('1.연간시수표'!L13,$BO$7)),$BO$6,IF(OR(COUNTIF('1.연간시수표'!L13,$BP$9),COUNTIF('1.연간시수표'!L13,$BP$7)),$BP$6,IF(OR(COUNTIF('1.연간시수표'!L13,$BQ$9),COUNTIF('1.연간시수표'!L13,$BQ$7)),$BQ$6,IF(OR(COUNTIF('1.연간시수표'!L13,$BR$9),COUNTIF('1.연간시수표'!L13,$BR$7)),$BR$6,"_")))))))))))))))</f>
        <v>_</v>
      </c>
      <c r="M13" s="148" t="str">
        <f>IF(OR(COUNTIF('1.연간시수표'!M13,$AT$9),COUNTIF('1.연간시수표'!M13,$AT$7)),$AT$6,IF(OR(COUNTIF('1.연간시수표'!M13,$AU$9),COUNTIF('1.연간시수표'!M13,$AU$7)),$AU$6,IF(OR(COUNTIF('1.연간시수표'!M13,$AV$9),COUNTIF('1.연간시수표'!M13,$AV$7)),$AV$6,IF(OR(COUNTIF('1.연간시수표'!M13,$AW$9),COUNTIF('1.연간시수표'!M13,$AW$7)),$AW$6,IF(OR(COUNTIF('1.연간시수표'!M13,$AX$9),COUNTIF('1.연간시수표'!M13,$AX$7)),$AX$6,IF(OR(COUNTIF('1.연간시수표'!M13,$AY$9),COUNTIF('1.연간시수표'!M13,$AY$7)),$AY$6,IF(OR(COUNTIF('1.연간시수표'!M13,$AZ$9),COUNTIF('1.연간시수표'!M13,$AZ$7)),$AZ$6,IF(OR(COUNTIF('1.연간시수표'!M13,$BA$9),COUNTIF('1.연간시수표'!M13,$BA$7)),$BA$6,IF(OR(COUNTIF('1.연간시수표'!M13,$BB$9),COUNTIF('1.연간시수표'!M13,$BB$7)),$BB$6,IF(OR(COUNTIF('1.연간시수표'!M13,$BC$9),COUNTIF('1.연간시수표'!M13,$BC$7)),$BC$6,IF(OR(COUNTIF('1.연간시수표'!M13,$BF$9),COUNTIF('1.연간시수표'!M13,$BF$7),COUNTIF('1.연간시수표'!M13,$BG$9),COUNTIF('1.연간시수표'!M13,$BG$7),COUNTIF('1.연간시수표'!M13,$BH$9),COUNTIF('1.연간시수표'!M13,$BH$7),COUNTIF('1.연간시수표'!M13,$BI$9),COUNTIF('1.연간시수표'!M13,$BI$7),COUNTIF('1.연간시수표'!M13,$BJ$9),COUNTIF('1.연간시수표'!M13,$BJ$7),COUNTIF('1.연간시수표'!M13,$BK$9),COUNTIF('1.연간시수표'!M13,$BK$7),COUNTIF('1.연간시수표'!M13,$BL$9),COUNTIF('1.연간시수표'!M13,$BL$7),COUNTIF('1.연간시수표'!M13,$BM$9),COUNTIF('1.연간시수표'!M13,$BM$7)),$BF$6,IF(OR(COUNTIF('1.연간시수표'!M13,$BO$9),COUNTIF('1.연간시수표'!M13,$BO$7)),$BO$6,IF(OR(COUNTIF('1.연간시수표'!M13,$BP$9),COUNTIF('1.연간시수표'!M13,$BP$7)),$BP$6,IF(OR(COUNTIF('1.연간시수표'!M13,$BQ$9),COUNTIF('1.연간시수표'!M13,$BQ$7)),$BQ$6,IF(OR(COUNTIF('1.연간시수표'!M13,$BR$9),COUNTIF('1.연간시수표'!M13,$BR$7)),$BR$6,"_")))))))))))))))</f>
        <v>국어</v>
      </c>
      <c r="N13" s="148" t="str">
        <f>IF(OR(COUNTIF('1.연간시수표'!N13,$AT$9),COUNTIF('1.연간시수표'!N13,$AT$7)),$AT$6,IF(OR(COUNTIF('1.연간시수표'!N13,$AU$9),COUNTIF('1.연간시수표'!N13,$AU$7)),$AU$6,IF(OR(COUNTIF('1.연간시수표'!N13,$AV$9),COUNTIF('1.연간시수표'!N13,$AV$7)),$AV$6,IF(OR(COUNTIF('1.연간시수표'!N13,$AW$9),COUNTIF('1.연간시수표'!N13,$AW$7)),$AW$6,IF(OR(COUNTIF('1.연간시수표'!N13,$AX$9),COUNTIF('1.연간시수표'!N13,$AX$7)),$AX$6,IF(OR(COUNTIF('1.연간시수표'!N13,$AY$9),COUNTIF('1.연간시수표'!N13,$AY$7)),$AY$6,IF(OR(COUNTIF('1.연간시수표'!N13,$AZ$9),COUNTIF('1.연간시수표'!N13,$AZ$7)),$AZ$6,IF(OR(COUNTIF('1.연간시수표'!N13,$BA$9),COUNTIF('1.연간시수표'!N13,$BA$7)),$BA$6,IF(OR(COUNTIF('1.연간시수표'!N13,$BB$9),COUNTIF('1.연간시수표'!N13,$BB$7)),$BB$6,IF(OR(COUNTIF('1.연간시수표'!N13,$BC$9),COUNTIF('1.연간시수표'!N13,$BC$7)),$BC$6,IF(OR(COUNTIF('1.연간시수표'!N13,$BF$9),COUNTIF('1.연간시수표'!N13,$BF$7),COUNTIF('1.연간시수표'!N13,$BG$9),COUNTIF('1.연간시수표'!N13,$BG$7),COUNTIF('1.연간시수표'!N13,$BH$9),COUNTIF('1.연간시수표'!N13,$BH$7),COUNTIF('1.연간시수표'!N13,$BI$9),COUNTIF('1.연간시수표'!N13,$BI$7),COUNTIF('1.연간시수표'!N13,$BJ$9),COUNTIF('1.연간시수표'!N13,$BJ$7),COUNTIF('1.연간시수표'!N13,$BK$9),COUNTIF('1.연간시수표'!N13,$BK$7),COUNTIF('1.연간시수표'!N13,$BL$9),COUNTIF('1.연간시수표'!N13,$BL$7),COUNTIF('1.연간시수표'!N13,$BM$9),COUNTIF('1.연간시수표'!N13,$BM$7)),$BF$6,IF(OR(COUNTIF('1.연간시수표'!N13,$BO$9),COUNTIF('1.연간시수표'!N13,$BO$7)),$BO$6,IF(OR(COUNTIF('1.연간시수표'!N13,$BP$9),COUNTIF('1.연간시수표'!N13,$BP$7)),$BP$6,IF(OR(COUNTIF('1.연간시수표'!N13,$BQ$9),COUNTIF('1.연간시수표'!N13,$BQ$7)),$BQ$6,IF(OR(COUNTIF('1.연간시수표'!N13,$BR$9),COUNTIF('1.연간시수표'!N13,$BR$7)),$BR$6,"_")))))))))))))))</f>
        <v>국어</v>
      </c>
      <c r="O13" s="148" t="str">
        <f>IF(OR(COUNTIF('1.연간시수표'!O13,$AT$9),COUNTIF('1.연간시수표'!O13,$AT$7)),$AT$6,IF(OR(COUNTIF('1.연간시수표'!O13,$AU$9),COUNTIF('1.연간시수표'!O13,$AU$7)),$AU$6,IF(OR(COUNTIF('1.연간시수표'!O13,$AV$9),COUNTIF('1.연간시수표'!O13,$AV$7)),$AV$6,IF(OR(COUNTIF('1.연간시수표'!O13,$AW$9),COUNTIF('1.연간시수표'!O13,$AW$7)),$AW$6,IF(OR(COUNTIF('1.연간시수표'!O13,$AX$9),COUNTIF('1.연간시수표'!O13,$AX$7)),$AX$6,IF(OR(COUNTIF('1.연간시수표'!O13,$AY$9),COUNTIF('1.연간시수표'!O13,$AY$7)),$AY$6,IF(OR(COUNTIF('1.연간시수표'!O13,$AZ$9),COUNTIF('1.연간시수표'!O13,$AZ$7)),$AZ$6,IF(OR(COUNTIF('1.연간시수표'!O13,$BA$9),COUNTIF('1.연간시수표'!O13,$BA$7)),$BA$6,IF(OR(COUNTIF('1.연간시수표'!O13,$BB$9),COUNTIF('1.연간시수표'!O13,$BB$7)),$BB$6,IF(OR(COUNTIF('1.연간시수표'!O13,$BC$9),COUNTIF('1.연간시수표'!O13,$BC$7)),$BC$6,IF(OR(COUNTIF('1.연간시수표'!O13,$BF$9),COUNTIF('1.연간시수표'!O13,$BF$7),COUNTIF('1.연간시수표'!O13,$BG$9),COUNTIF('1.연간시수표'!O13,$BG$7),COUNTIF('1.연간시수표'!O13,$BH$9),COUNTIF('1.연간시수표'!O13,$BH$7),COUNTIF('1.연간시수표'!O13,$BI$9),COUNTIF('1.연간시수표'!O13,$BI$7),COUNTIF('1.연간시수표'!O13,$BJ$9),COUNTIF('1.연간시수표'!O13,$BJ$7),COUNTIF('1.연간시수표'!O13,$BK$9),COUNTIF('1.연간시수표'!O13,$BK$7),COUNTIF('1.연간시수표'!O13,$BL$9),COUNTIF('1.연간시수표'!O13,$BL$7),COUNTIF('1.연간시수표'!O13,$BM$9),COUNTIF('1.연간시수표'!O13,$BM$7)),$BF$6,IF(OR(COUNTIF('1.연간시수표'!O13,$BO$9),COUNTIF('1.연간시수표'!O13,$BO$7)),$BO$6,IF(OR(COUNTIF('1.연간시수표'!O13,$BP$9),COUNTIF('1.연간시수표'!O13,$BP$7)),$BP$6,IF(OR(COUNTIF('1.연간시수표'!O13,$BQ$9),COUNTIF('1.연간시수표'!O13,$BQ$7)),$BQ$6,IF(OR(COUNTIF('1.연간시수표'!O13,$BR$9),COUNTIF('1.연간시수표'!O13,$BR$7)),$BR$6,"_")))))))))))))))</f>
        <v>사회</v>
      </c>
      <c r="P13" s="148" t="str">
        <f>IF(OR(COUNTIF('1.연간시수표'!P13,$AT$9),COUNTIF('1.연간시수표'!P13,$AT$7)),$AT$6,IF(OR(COUNTIF('1.연간시수표'!P13,$AU$9),COUNTIF('1.연간시수표'!P13,$AU$7)),$AU$6,IF(OR(COUNTIF('1.연간시수표'!P13,$AV$9),COUNTIF('1.연간시수표'!P13,$AV$7)),$AV$6,IF(OR(COUNTIF('1.연간시수표'!P13,$AW$9),COUNTIF('1.연간시수표'!P13,$AW$7)),$AW$6,IF(OR(COUNTIF('1.연간시수표'!P13,$AX$9),COUNTIF('1.연간시수표'!P13,$AX$7)),$AX$6,IF(OR(COUNTIF('1.연간시수표'!P13,$AY$9),COUNTIF('1.연간시수표'!P13,$AY$7)),$AY$6,IF(OR(COUNTIF('1.연간시수표'!P13,$AZ$9),COUNTIF('1.연간시수표'!P13,$AZ$7)),$AZ$6,IF(OR(COUNTIF('1.연간시수표'!P13,$BA$9),COUNTIF('1.연간시수표'!P13,$BA$7)),$BA$6,IF(OR(COUNTIF('1.연간시수표'!P13,$BB$9),COUNTIF('1.연간시수표'!P13,$BB$7)),$BB$6,IF(OR(COUNTIF('1.연간시수표'!P13,$BC$9),COUNTIF('1.연간시수표'!P13,$BC$7)),$BC$6,IF(OR(COUNTIF('1.연간시수표'!P13,$BF$9),COUNTIF('1.연간시수표'!P13,$BF$7),COUNTIF('1.연간시수표'!P13,$BG$9),COUNTIF('1.연간시수표'!P13,$BG$7),COUNTIF('1.연간시수표'!P13,$BH$9),COUNTIF('1.연간시수표'!P13,$BH$7),COUNTIF('1.연간시수표'!P13,$BI$9),COUNTIF('1.연간시수표'!P13,$BI$7),COUNTIF('1.연간시수표'!P13,$BJ$9),COUNTIF('1.연간시수표'!P13,$BJ$7),COUNTIF('1.연간시수표'!P13,$BK$9),COUNTIF('1.연간시수표'!P13,$BK$7),COUNTIF('1.연간시수표'!P13,$BL$9),COUNTIF('1.연간시수표'!P13,$BL$7),COUNTIF('1.연간시수표'!P13,$BM$9),COUNTIF('1.연간시수표'!P13,$BM$7)),$BF$6,IF(OR(COUNTIF('1.연간시수표'!P13,$BO$9),COUNTIF('1.연간시수표'!P13,$BO$7)),$BO$6,IF(OR(COUNTIF('1.연간시수표'!P13,$BP$9),COUNTIF('1.연간시수표'!P13,$BP$7)),$BP$6,IF(OR(COUNTIF('1.연간시수표'!P13,$BQ$9),COUNTIF('1.연간시수표'!P13,$BQ$7)),$BQ$6,IF(OR(COUNTIF('1.연간시수표'!P13,$BR$9),COUNTIF('1.연간시수표'!P13,$BR$7)),$BR$6,"_")))))))))))))))</f>
        <v>수학</v>
      </c>
      <c r="Q13" s="148" t="str">
        <f>IF(OR(COUNTIF('1.연간시수표'!Q13,$AT$9),COUNTIF('1.연간시수표'!Q13,$AT$7)),$AT$6,IF(OR(COUNTIF('1.연간시수표'!Q13,$AU$9),COUNTIF('1.연간시수표'!Q13,$AU$7)),$AU$6,IF(OR(COUNTIF('1.연간시수표'!Q13,$AV$9),COUNTIF('1.연간시수표'!Q13,$AV$7)),$AV$6,IF(OR(COUNTIF('1.연간시수표'!Q13,$AW$9),COUNTIF('1.연간시수표'!Q13,$AW$7)),$AW$6,IF(OR(COUNTIF('1.연간시수표'!Q13,$AX$9),COUNTIF('1.연간시수표'!Q13,$AX$7)),$AX$6,IF(OR(COUNTIF('1.연간시수표'!Q13,$AY$9),COUNTIF('1.연간시수표'!Q13,$AY$7)),$AY$6,IF(OR(COUNTIF('1.연간시수표'!Q13,$AZ$9),COUNTIF('1.연간시수표'!Q13,$AZ$7)),$AZ$6,IF(OR(COUNTIF('1.연간시수표'!Q13,$BA$9),COUNTIF('1.연간시수표'!Q13,$BA$7)),$BA$6,IF(OR(COUNTIF('1.연간시수표'!Q13,$BB$9),COUNTIF('1.연간시수표'!Q13,$BB$7)),$BB$6,IF(OR(COUNTIF('1.연간시수표'!Q13,$BC$9),COUNTIF('1.연간시수표'!Q13,$BC$7)),$BC$6,IF(OR(COUNTIF('1.연간시수표'!Q13,$BF$9),COUNTIF('1.연간시수표'!Q13,$BF$7),COUNTIF('1.연간시수표'!Q13,$BG$9),COUNTIF('1.연간시수표'!Q13,$BG$7),COUNTIF('1.연간시수표'!Q13,$BH$9),COUNTIF('1.연간시수표'!Q13,$BH$7),COUNTIF('1.연간시수표'!Q13,$BI$9),COUNTIF('1.연간시수표'!Q13,$BI$7),COUNTIF('1.연간시수표'!Q13,$BJ$9),COUNTIF('1.연간시수표'!Q13,$BJ$7),COUNTIF('1.연간시수표'!Q13,$BK$9),COUNTIF('1.연간시수표'!Q13,$BK$7),COUNTIF('1.연간시수표'!Q13,$BL$9),COUNTIF('1.연간시수표'!Q13,$BL$7),COUNTIF('1.연간시수표'!Q13,$BM$9),COUNTIF('1.연간시수표'!Q13,$BM$7)),$BF$6,IF(OR(COUNTIF('1.연간시수표'!Q13,$BO$9),COUNTIF('1.연간시수표'!Q13,$BO$7)),$BO$6,IF(OR(COUNTIF('1.연간시수표'!Q13,$BP$9),COUNTIF('1.연간시수표'!Q13,$BP$7)),$BP$6,IF(OR(COUNTIF('1.연간시수표'!Q13,$BQ$9),COUNTIF('1.연간시수표'!Q13,$BQ$7)),$BQ$6,IF(OR(COUNTIF('1.연간시수표'!Q13,$BR$9),COUNTIF('1.연간시수표'!Q13,$BR$7)),$BR$6,"_")))))))))))))))</f>
        <v>과학</v>
      </c>
      <c r="R13" s="148" t="str">
        <f>IF(OR(COUNTIF('1.연간시수표'!R13,$AT$9),COUNTIF('1.연간시수표'!R13,$AT$7)),$AT$6,IF(OR(COUNTIF('1.연간시수표'!R13,$AU$9),COUNTIF('1.연간시수표'!R13,$AU$7)),$AU$6,IF(OR(COUNTIF('1.연간시수표'!R13,$AV$9),COUNTIF('1.연간시수표'!R13,$AV$7)),$AV$6,IF(OR(COUNTIF('1.연간시수표'!R13,$AW$9),COUNTIF('1.연간시수표'!R13,$AW$7)),$AW$6,IF(OR(COUNTIF('1.연간시수표'!R13,$AX$9),COUNTIF('1.연간시수표'!R13,$AX$7)),$AX$6,IF(OR(COUNTIF('1.연간시수표'!R13,$AY$9),COUNTIF('1.연간시수표'!R13,$AY$7)),$AY$6,IF(OR(COUNTIF('1.연간시수표'!R13,$AZ$9),COUNTIF('1.연간시수표'!R13,$AZ$7)),$AZ$6,IF(OR(COUNTIF('1.연간시수표'!R13,$BA$9),COUNTIF('1.연간시수표'!R13,$BA$7)),$BA$6,IF(OR(COUNTIF('1.연간시수표'!R13,$BB$9),COUNTIF('1.연간시수표'!R13,$BB$7)),$BB$6,IF(OR(COUNTIF('1.연간시수표'!R13,$BC$9),COUNTIF('1.연간시수표'!R13,$BC$7)),$BC$6,IF(OR(COUNTIF('1.연간시수표'!R13,$BF$9),COUNTIF('1.연간시수표'!R13,$BF$7),COUNTIF('1.연간시수표'!R13,$BG$9),COUNTIF('1.연간시수표'!R13,$BG$7),COUNTIF('1.연간시수표'!R13,$BH$9),COUNTIF('1.연간시수표'!R13,$BH$7),COUNTIF('1.연간시수표'!R13,$BI$9),COUNTIF('1.연간시수표'!R13,$BI$7),COUNTIF('1.연간시수표'!R13,$BJ$9),COUNTIF('1.연간시수표'!R13,$BJ$7),COUNTIF('1.연간시수표'!R13,$BK$9),COUNTIF('1.연간시수표'!R13,$BK$7),COUNTIF('1.연간시수표'!R13,$BL$9),COUNTIF('1.연간시수표'!R13,$BL$7),COUNTIF('1.연간시수표'!R13,$BM$9),COUNTIF('1.연간시수표'!R13,$BM$7)),$BF$6,IF(OR(COUNTIF('1.연간시수표'!R13,$BO$9),COUNTIF('1.연간시수표'!R13,$BO$7)),$BO$6,IF(OR(COUNTIF('1.연간시수표'!R13,$BP$9),COUNTIF('1.연간시수표'!R13,$BP$7)),$BP$6,IF(OR(COUNTIF('1.연간시수표'!R13,$BQ$9),COUNTIF('1.연간시수표'!R13,$BQ$7)),$BQ$6,IF(OR(COUNTIF('1.연간시수표'!R13,$BR$9),COUNTIF('1.연간시수표'!R13,$BR$7)),$BR$6,"_")))))))))))))))</f>
        <v>실과</v>
      </c>
      <c r="S13" s="148" t="str">
        <f>IF(OR(COUNTIF('1.연간시수표'!S13,$AT$9),COUNTIF('1.연간시수표'!S13,$AT$7)),$AT$6,IF(OR(COUNTIF('1.연간시수표'!S13,$AU$9),COUNTIF('1.연간시수표'!S13,$AU$7)),$AU$6,IF(OR(COUNTIF('1.연간시수표'!S13,$AV$9),COUNTIF('1.연간시수표'!S13,$AV$7)),$AV$6,IF(OR(COUNTIF('1.연간시수표'!S13,$AW$9),COUNTIF('1.연간시수표'!S13,$AW$7)),$AW$6,IF(OR(COUNTIF('1.연간시수표'!S13,$AX$9),COUNTIF('1.연간시수표'!S13,$AX$7)),$AX$6,IF(OR(COUNTIF('1.연간시수표'!S13,$AY$9),COUNTIF('1.연간시수표'!S13,$AY$7)),$AY$6,IF(OR(COUNTIF('1.연간시수표'!S13,$AZ$9),COUNTIF('1.연간시수표'!S13,$AZ$7)),$AZ$6,IF(OR(COUNTIF('1.연간시수표'!S13,$BA$9),COUNTIF('1.연간시수표'!S13,$BA$7)),$BA$6,IF(OR(COUNTIF('1.연간시수표'!S13,$BB$9),COUNTIF('1.연간시수표'!S13,$BB$7)),$BB$6,IF(OR(COUNTIF('1.연간시수표'!S13,$BC$9),COUNTIF('1.연간시수표'!S13,$BC$7)),$BC$6,IF(OR(COUNTIF('1.연간시수표'!S13,$BF$9),COUNTIF('1.연간시수표'!S13,$BF$7),COUNTIF('1.연간시수표'!S13,$BG$9),COUNTIF('1.연간시수표'!S13,$BG$7),COUNTIF('1.연간시수표'!S13,$BH$9),COUNTIF('1.연간시수표'!S13,$BH$7),COUNTIF('1.연간시수표'!S13,$BI$9),COUNTIF('1.연간시수표'!S13,$BI$7),COUNTIF('1.연간시수표'!S13,$BJ$9),COUNTIF('1.연간시수표'!S13,$BJ$7),COUNTIF('1.연간시수표'!S13,$BK$9),COUNTIF('1.연간시수표'!S13,$BK$7),COUNTIF('1.연간시수표'!S13,$BL$9),COUNTIF('1.연간시수표'!S13,$BL$7),COUNTIF('1.연간시수표'!S13,$BM$9),COUNTIF('1.연간시수표'!S13,$BM$7)),$BF$6,IF(OR(COUNTIF('1.연간시수표'!S13,$BO$9),COUNTIF('1.연간시수표'!S13,$BO$7)),$BO$6,IF(OR(COUNTIF('1.연간시수표'!S13,$BP$9),COUNTIF('1.연간시수표'!S13,$BP$7)),$BP$6,IF(OR(COUNTIF('1.연간시수표'!S13,$BQ$9),COUNTIF('1.연간시수표'!S13,$BQ$7)),$BQ$6,IF(OR(COUNTIF('1.연간시수표'!S13,$BR$9),COUNTIF('1.연간시수표'!S13,$BR$7)),$BR$6,"_")))))))))))))))</f>
        <v>_</v>
      </c>
      <c r="T13" s="148" t="str">
        <f>IF(OR(COUNTIF('1.연간시수표'!T13,$AT$9),COUNTIF('1.연간시수표'!T13,$AT$7)),$AT$6,IF(OR(COUNTIF('1.연간시수표'!T13,$AU$9),COUNTIF('1.연간시수표'!T13,$AU$7)),$AU$6,IF(OR(COUNTIF('1.연간시수표'!T13,$AV$9),COUNTIF('1.연간시수표'!T13,$AV$7)),$AV$6,IF(OR(COUNTIF('1.연간시수표'!T13,$AW$9),COUNTIF('1.연간시수표'!T13,$AW$7)),$AW$6,IF(OR(COUNTIF('1.연간시수표'!T13,$AX$9),COUNTIF('1.연간시수표'!T13,$AX$7)),$AX$6,IF(OR(COUNTIF('1.연간시수표'!T13,$AY$9),COUNTIF('1.연간시수표'!T13,$AY$7)),$AY$6,IF(OR(COUNTIF('1.연간시수표'!T13,$AZ$9),COUNTIF('1.연간시수표'!T13,$AZ$7)),$AZ$6,IF(OR(COUNTIF('1.연간시수표'!T13,$BA$9),COUNTIF('1.연간시수표'!T13,$BA$7)),$BA$6,IF(OR(COUNTIF('1.연간시수표'!T13,$BB$9),COUNTIF('1.연간시수표'!T13,$BB$7)),$BB$6,IF(OR(COUNTIF('1.연간시수표'!T13,$BC$9),COUNTIF('1.연간시수표'!T13,$BC$7)),$BC$6,IF(OR(COUNTIF('1.연간시수표'!T13,$BF$9),COUNTIF('1.연간시수표'!T13,$BF$7),COUNTIF('1.연간시수표'!T13,$BG$9),COUNTIF('1.연간시수표'!T13,$BG$7),COUNTIF('1.연간시수표'!T13,$BH$9),COUNTIF('1.연간시수표'!T13,$BH$7),COUNTIF('1.연간시수표'!T13,$BI$9),COUNTIF('1.연간시수표'!T13,$BI$7),COUNTIF('1.연간시수표'!T13,$BJ$9),COUNTIF('1.연간시수표'!T13,$BJ$7),COUNTIF('1.연간시수표'!T13,$BK$9),COUNTIF('1.연간시수표'!T13,$BK$7),COUNTIF('1.연간시수표'!T13,$BL$9),COUNTIF('1.연간시수표'!T13,$BL$7),COUNTIF('1.연간시수표'!T13,$BM$9),COUNTIF('1.연간시수표'!T13,$BM$7)),$BF$6,IF(OR(COUNTIF('1.연간시수표'!T13,$BO$9),COUNTIF('1.연간시수표'!T13,$BO$7)),$BO$6,IF(OR(COUNTIF('1.연간시수표'!T13,$BP$9),COUNTIF('1.연간시수표'!T13,$BP$7)),$BP$6,IF(OR(COUNTIF('1.연간시수표'!T13,$BQ$9),COUNTIF('1.연간시수표'!T13,$BQ$7)),$BQ$6,IF(OR(COUNTIF('1.연간시수표'!T13,$BR$9),COUNTIF('1.연간시수표'!T13,$BR$7)),$BR$6,"_")))))))))))))))</f>
        <v>_</v>
      </c>
      <c r="U13" s="148" t="str">
        <f>IF(OR(COUNTIF('1.연간시수표'!U13,$AT$9),COUNTIF('1.연간시수표'!U13,$AT$7)),$AT$6,IF(OR(COUNTIF('1.연간시수표'!U13,$AU$9),COUNTIF('1.연간시수표'!U13,$AU$7)),$AU$6,IF(OR(COUNTIF('1.연간시수표'!U13,$AV$9),COUNTIF('1.연간시수표'!U13,$AV$7)),$AV$6,IF(OR(COUNTIF('1.연간시수표'!U13,$AW$9),COUNTIF('1.연간시수표'!U13,$AW$7)),$AW$6,IF(OR(COUNTIF('1.연간시수표'!U13,$AX$9),COUNTIF('1.연간시수표'!U13,$AX$7)),$AX$6,IF(OR(COUNTIF('1.연간시수표'!U13,$AY$9),COUNTIF('1.연간시수표'!U13,$AY$7)),$AY$6,IF(OR(COUNTIF('1.연간시수표'!U13,$AZ$9),COUNTIF('1.연간시수표'!U13,$AZ$7)),$AZ$6,IF(OR(COUNTIF('1.연간시수표'!U13,$BA$9),COUNTIF('1.연간시수표'!U13,$BA$7)),$BA$6,IF(OR(COUNTIF('1.연간시수표'!U13,$BB$9),COUNTIF('1.연간시수표'!U13,$BB$7)),$BB$6,IF(OR(COUNTIF('1.연간시수표'!U13,$BC$9),COUNTIF('1.연간시수표'!U13,$BC$7)),$BC$6,IF(OR(COUNTIF('1.연간시수표'!U13,$BF$9),COUNTIF('1.연간시수표'!U13,$BF$7),COUNTIF('1.연간시수표'!U13,$BG$9),COUNTIF('1.연간시수표'!U13,$BG$7),COUNTIF('1.연간시수표'!U13,$BH$9),COUNTIF('1.연간시수표'!U13,$BH$7),COUNTIF('1.연간시수표'!U13,$BI$9),COUNTIF('1.연간시수표'!U13,$BI$7),COUNTIF('1.연간시수표'!U13,$BJ$9),COUNTIF('1.연간시수표'!U13,$BJ$7),COUNTIF('1.연간시수표'!U13,$BK$9),COUNTIF('1.연간시수표'!U13,$BK$7),COUNTIF('1.연간시수표'!U13,$BL$9),COUNTIF('1.연간시수표'!U13,$BL$7),COUNTIF('1.연간시수표'!U13,$BM$9),COUNTIF('1.연간시수표'!U13,$BM$7)),$BF$6,IF(OR(COUNTIF('1.연간시수표'!U13,$BO$9),COUNTIF('1.연간시수표'!U13,$BO$7)),$BO$6,IF(OR(COUNTIF('1.연간시수표'!U13,$BP$9),COUNTIF('1.연간시수표'!U13,$BP$7)),$BP$6,IF(OR(COUNTIF('1.연간시수표'!U13,$BQ$9),COUNTIF('1.연간시수표'!U13,$BQ$7)),$BQ$6,IF(OR(COUNTIF('1.연간시수표'!U13,$BR$9),COUNTIF('1.연간시수표'!U13,$BR$7)),$BR$6,"_")))))))))))))))</f>
        <v>영어</v>
      </c>
      <c r="V13" s="148" t="str">
        <f>IF(OR(COUNTIF('1.연간시수표'!V13,$AT$9),COUNTIF('1.연간시수표'!V13,$AT$7)),$AT$6,IF(OR(COUNTIF('1.연간시수표'!V13,$AU$9),COUNTIF('1.연간시수표'!V13,$AU$7)),$AU$6,IF(OR(COUNTIF('1.연간시수표'!V13,$AV$9),COUNTIF('1.연간시수표'!V13,$AV$7)),$AV$6,IF(OR(COUNTIF('1.연간시수표'!V13,$AW$9),COUNTIF('1.연간시수표'!V13,$AW$7)),$AW$6,IF(OR(COUNTIF('1.연간시수표'!V13,$AX$9),COUNTIF('1.연간시수표'!V13,$AX$7)),$AX$6,IF(OR(COUNTIF('1.연간시수표'!V13,$AY$9),COUNTIF('1.연간시수표'!V13,$AY$7)),$AY$6,IF(OR(COUNTIF('1.연간시수표'!V13,$AZ$9),COUNTIF('1.연간시수표'!V13,$AZ$7)),$AZ$6,IF(OR(COUNTIF('1.연간시수표'!V13,$BA$9),COUNTIF('1.연간시수표'!V13,$BA$7)),$BA$6,IF(OR(COUNTIF('1.연간시수표'!V13,$BB$9),COUNTIF('1.연간시수표'!V13,$BB$7)),$BB$6,IF(OR(COUNTIF('1.연간시수표'!V13,$BC$9),COUNTIF('1.연간시수표'!V13,$BC$7)),$BC$6,IF(OR(COUNTIF('1.연간시수표'!V13,$BF$9),COUNTIF('1.연간시수표'!V13,$BF$7),COUNTIF('1.연간시수표'!V13,$BG$9),COUNTIF('1.연간시수표'!V13,$BG$7),COUNTIF('1.연간시수표'!V13,$BH$9),COUNTIF('1.연간시수표'!V13,$BH$7),COUNTIF('1.연간시수표'!V13,$BI$9),COUNTIF('1.연간시수표'!V13,$BI$7),COUNTIF('1.연간시수표'!V13,$BJ$9),COUNTIF('1.연간시수표'!V13,$BJ$7),COUNTIF('1.연간시수표'!V13,$BK$9),COUNTIF('1.연간시수표'!V13,$BK$7),COUNTIF('1.연간시수표'!V13,$BL$9),COUNTIF('1.연간시수표'!V13,$BL$7),COUNTIF('1.연간시수표'!V13,$BM$9),COUNTIF('1.연간시수표'!V13,$BM$7)),$BF$6,IF(OR(COUNTIF('1.연간시수표'!V13,$BO$9),COUNTIF('1.연간시수표'!V13,$BO$7)),$BO$6,IF(OR(COUNTIF('1.연간시수표'!V13,$BP$9),COUNTIF('1.연간시수표'!V13,$BP$7)),$BP$6,IF(OR(COUNTIF('1.연간시수표'!V13,$BQ$9),COUNTIF('1.연간시수표'!V13,$BQ$7)),$BQ$6,IF(OR(COUNTIF('1.연간시수표'!V13,$BR$9),COUNTIF('1.연간시수표'!V13,$BR$7)),$BR$6,"_")))))))))))))))</f>
        <v>과학</v>
      </c>
      <c r="W13" s="148" t="str">
        <f>IF(OR(COUNTIF('1.연간시수표'!W13,$AT$9),COUNTIF('1.연간시수표'!W13,$AT$7)),$AT$6,IF(OR(COUNTIF('1.연간시수표'!W13,$AU$9),COUNTIF('1.연간시수표'!W13,$AU$7)),$AU$6,IF(OR(COUNTIF('1.연간시수표'!W13,$AV$9),COUNTIF('1.연간시수표'!W13,$AV$7)),$AV$6,IF(OR(COUNTIF('1.연간시수표'!W13,$AW$9),COUNTIF('1.연간시수표'!W13,$AW$7)),$AW$6,IF(OR(COUNTIF('1.연간시수표'!W13,$AX$9),COUNTIF('1.연간시수표'!W13,$AX$7)),$AX$6,IF(OR(COUNTIF('1.연간시수표'!W13,$AY$9),COUNTIF('1.연간시수표'!W13,$AY$7)),$AY$6,IF(OR(COUNTIF('1.연간시수표'!W13,$AZ$9),COUNTIF('1.연간시수표'!W13,$AZ$7)),$AZ$6,IF(OR(COUNTIF('1.연간시수표'!W13,$BA$9),COUNTIF('1.연간시수표'!W13,$BA$7)),$BA$6,IF(OR(COUNTIF('1.연간시수표'!W13,$BB$9),COUNTIF('1.연간시수표'!W13,$BB$7)),$BB$6,IF(OR(COUNTIF('1.연간시수표'!W13,$BC$9),COUNTIF('1.연간시수표'!W13,$BC$7)),$BC$6,IF(OR(COUNTIF('1.연간시수표'!W13,$BF$9),COUNTIF('1.연간시수표'!W13,$BF$7),COUNTIF('1.연간시수표'!W13,$BG$9),COUNTIF('1.연간시수표'!W13,$BG$7),COUNTIF('1.연간시수표'!W13,$BH$9),COUNTIF('1.연간시수표'!W13,$BH$7),COUNTIF('1.연간시수표'!W13,$BI$9),COUNTIF('1.연간시수표'!W13,$BI$7),COUNTIF('1.연간시수표'!W13,$BJ$9),COUNTIF('1.연간시수표'!W13,$BJ$7),COUNTIF('1.연간시수표'!W13,$BK$9),COUNTIF('1.연간시수표'!W13,$BK$7),COUNTIF('1.연간시수표'!W13,$BL$9),COUNTIF('1.연간시수표'!W13,$BL$7),COUNTIF('1.연간시수표'!W13,$BM$9),COUNTIF('1.연간시수표'!W13,$BM$7)),$BF$6,IF(OR(COUNTIF('1.연간시수표'!W13,$BO$9),COUNTIF('1.연간시수표'!W13,$BO$7)),$BO$6,IF(OR(COUNTIF('1.연간시수표'!W13,$BP$9),COUNTIF('1.연간시수표'!W13,$BP$7)),$BP$6,IF(OR(COUNTIF('1.연간시수표'!W13,$BQ$9),COUNTIF('1.연간시수표'!W13,$BQ$7)),$BQ$6,IF(OR(COUNTIF('1.연간시수표'!W13,$BR$9),COUNTIF('1.연간시수표'!W13,$BR$7)),$BR$6,"_")))))))))))))))</f>
        <v>체육</v>
      </c>
      <c r="X13" s="148" t="str">
        <f>IF(OR(COUNTIF('1.연간시수표'!X13,$AT$9),COUNTIF('1.연간시수표'!X13,$AT$7)),$AT$6,IF(OR(COUNTIF('1.연간시수표'!X13,$AU$9),COUNTIF('1.연간시수표'!X13,$AU$7)),$AU$6,IF(OR(COUNTIF('1.연간시수표'!X13,$AV$9),COUNTIF('1.연간시수표'!X13,$AV$7)),$AV$6,IF(OR(COUNTIF('1.연간시수표'!X13,$AW$9),COUNTIF('1.연간시수표'!X13,$AW$7)),$AW$6,IF(OR(COUNTIF('1.연간시수표'!X13,$AX$9),COUNTIF('1.연간시수표'!X13,$AX$7)),$AX$6,IF(OR(COUNTIF('1.연간시수표'!X13,$AY$9),COUNTIF('1.연간시수표'!X13,$AY$7)),$AY$6,IF(OR(COUNTIF('1.연간시수표'!X13,$AZ$9),COUNTIF('1.연간시수표'!X13,$AZ$7)),$AZ$6,IF(OR(COUNTIF('1.연간시수표'!X13,$BA$9),COUNTIF('1.연간시수표'!X13,$BA$7)),$BA$6,IF(OR(COUNTIF('1.연간시수표'!X13,$BB$9),COUNTIF('1.연간시수표'!X13,$BB$7)),$BB$6,IF(OR(COUNTIF('1.연간시수표'!X13,$BC$9),COUNTIF('1.연간시수표'!X13,$BC$7)),$BC$6,IF(OR(COUNTIF('1.연간시수표'!X13,$BF$9),COUNTIF('1.연간시수표'!X13,$BF$7),COUNTIF('1.연간시수표'!X13,$BG$9),COUNTIF('1.연간시수표'!X13,$BG$7),COUNTIF('1.연간시수표'!X13,$BH$9),COUNTIF('1.연간시수표'!X13,$BH$7),COUNTIF('1.연간시수표'!X13,$BI$9),COUNTIF('1.연간시수표'!X13,$BI$7),COUNTIF('1.연간시수표'!X13,$BJ$9),COUNTIF('1.연간시수표'!X13,$BJ$7),COUNTIF('1.연간시수표'!X13,$BK$9),COUNTIF('1.연간시수표'!X13,$BK$7),COUNTIF('1.연간시수표'!X13,$BL$9),COUNTIF('1.연간시수표'!X13,$BL$7),COUNTIF('1.연간시수표'!X13,$BM$9),COUNTIF('1.연간시수표'!X13,$BM$7)),$BF$6,IF(OR(COUNTIF('1.연간시수표'!X13,$BO$9),COUNTIF('1.연간시수표'!X13,$BO$7)),$BO$6,IF(OR(COUNTIF('1.연간시수표'!X13,$BP$9),COUNTIF('1.연간시수표'!X13,$BP$7)),$BP$6,IF(OR(COUNTIF('1.연간시수표'!X13,$BQ$9),COUNTIF('1.연간시수표'!X13,$BQ$7)),$BQ$6,IF(OR(COUNTIF('1.연간시수표'!X13,$BR$9),COUNTIF('1.연간시수표'!X13,$BR$7)),$BR$6,"_")))))))))))))))</f>
        <v>음악</v>
      </c>
      <c r="Y13" s="148" t="str">
        <f>IF(OR(COUNTIF('1.연간시수표'!Y13,$AT$9),COUNTIF('1.연간시수표'!Y13,$AT$7)),$AT$6,IF(OR(COUNTIF('1.연간시수표'!Y13,$AU$9),COUNTIF('1.연간시수표'!Y13,$AU$7)),$AU$6,IF(OR(COUNTIF('1.연간시수표'!Y13,$AV$9),COUNTIF('1.연간시수표'!Y13,$AV$7)),$AV$6,IF(OR(COUNTIF('1.연간시수표'!Y13,$AW$9),COUNTIF('1.연간시수표'!Y13,$AW$7)),$AW$6,IF(OR(COUNTIF('1.연간시수표'!Y13,$AX$9),COUNTIF('1.연간시수표'!Y13,$AX$7)),$AX$6,IF(OR(COUNTIF('1.연간시수표'!Y13,$AY$9),COUNTIF('1.연간시수표'!Y13,$AY$7)),$AY$6,IF(OR(COUNTIF('1.연간시수표'!Y13,$AZ$9),COUNTIF('1.연간시수표'!Y13,$AZ$7)),$AZ$6,IF(OR(COUNTIF('1.연간시수표'!Y13,$BA$9),COUNTIF('1.연간시수표'!Y13,$BA$7)),$BA$6,IF(OR(COUNTIF('1.연간시수표'!Y13,$BB$9),COUNTIF('1.연간시수표'!Y13,$BB$7)),$BB$6,IF(OR(COUNTIF('1.연간시수표'!Y13,$BC$9),COUNTIF('1.연간시수표'!Y13,$BC$7)),$BC$6,IF(OR(COUNTIF('1.연간시수표'!Y13,$BF$9),COUNTIF('1.연간시수표'!Y13,$BF$7),COUNTIF('1.연간시수표'!Y13,$BG$9),COUNTIF('1.연간시수표'!Y13,$BG$7),COUNTIF('1.연간시수표'!Y13,$BH$9),COUNTIF('1.연간시수표'!Y13,$BH$7),COUNTIF('1.연간시수표'!Y13,$BI$9),COUNTIF('1.연간시수표'!Y13,$BI$7),COUNTIF('1.연간시수표'!Y13,$BJ$9),COUNTIF('1.연간시수표'!Y13,$BJ$7),COUNTIF('1.연간시수표'!Y13,$BK$9),COUNTIF('1.연간시수표'!Y13,$BK$7),COUNTIF('1.연간시수표'!Y13,$BL$9),COUNTIF('1.연간시수표'!Y13,$BL$7),COUNTIF('1.연간시수표'!Y13,$BM$9),COUNTIF('1.연간시수표'!Y13,$BM$7)),$BF$6,IF(OR(COUNTIF('1.연간시수표'!Y13,$BO$9),COUNTIF('1.연간시수표'!Y13,$BO$7)),$BO$6,IF(OR(COUNTIF('1.연간시수표'!Y13,$BP$9),COUNTIF('1.연간시수표'!Y13,$BP$7)),$BP$6,IF(OR(COUNTIF('1.연간시수표'!Y13,$BQ$9),COUNTIF('1.연간시수표'!Y13,$BQ$7)),$BQ$6,IF(OR(COUNTIF('1.연간시수표'!Y13,$BR$9),COUNTIF('1.연간시수표'!Y13,$BR$7)),$BR$6,"_")))))))))))))))</f>
        <v>도덕</v>
      </c>
      <c r="Z13" s="148" t="str">
        <f>IF(OR(COUNTIF('1.연간시수표'!Z13,$AT$9),COUNTIF('1.연간시수표'!Z13,$AT$7)),$AT$6,IF(OR(COUNTIF('1.연간시수표'!Z13,$AU$9),COUNTIF('1.연간시수표'!Z13,$AU$7)),$AU$6,IF(OR(COUNTIF('1.연간시수표'!Z13,$AV$9),COUNTIF('1.연간시수표'!Z13,$AV$7)),$AV$6,IF(OR(COUNTIF('1.연간시수표'!Z13,$AW$9),COUNTIF('1.연간시수표'!Z13,$AW$7)),$AW$6,IF(OR(COUNTIF('1.연간시수표'!Z13,$AX$9),COUNTIF('1.연간시수표'!Z13,$AX$7)),$AX$6,IF(OR(COUNTIF('1.연간시수표'!Z13,$AY$9),COUNTIF('1.연간시수표'!Z13,$AY$7)),$AY$6,IF(OR(COUNTIF('1.연간시수표'!Z13,$AZ$9),COUNTIF('1.연간시수표'!Z13,$AZ$7)),$AZ$6,IF(OR(COUNTIF('1.연간시수표'!Z13,$BA$9),COUNTIF('1.연간시수표'!Z13,$BA$7)),$BA$6,IF(OR(COUNTIF('1.연간시수표'!Z13,$BB$9),COUNTIF('1.연간시수표'!Z13,$BB$7)),$BB$6,IF(OR(COUNTIF('1.연간시수표'!Z13,$BC$9),COUNTIF('1.연간시수표'!Z13,$BC$7)),$BC$6,IF(OR(COUNTIF('1.연간시수표'!Z13,$BF$9),COUNTIF('1.연간시수표'!Z13,$BF$7),COUNTIF('1.연간시수표'!Z13,$BG$9),COUNTIF('1.연간시수표'!Z13,$BG$7),COUNTIF('1.연간시수표'!Z13,$BH$9),COUNTIF('1.연간시수표'!Z13,$BH$7),COUNTIF('1.연간시수표'!Z13,$BI$9),COUNTIF('1.연간시수표'!Z13,$BI$7),COUNTIF('1.연간시수표'!Z13,$BJ$9),COUNTIF('1.연간시수표'!Z13,$BJ$7),COUNTIF('1.연간시수표'!Z13,$BK$9),COUNTIF('1.연간시수표'!Z13,$BK$7),COUNTIF('1.연간시수표'!Z13,$BL$9),COUNTIF('1.연간시수표'!Z13,$BL$7),COUNTIF('1.연간시수표'!Z13,$BM$9),COUNTIF('1.연간시수표'!Z13,$BM$7)),$BF$6,IF(OR(COUNTIF('1.연간시수표'!Z13,$BO$9),COUNTIF('1.연간시수표'!Z13,$BO$7)),$BO$6,IF(OR(COUNTIF('1.연간시수표'!Z13,$BP$9),COUNTIF('1.연간시수표'!Z13,$BP$7)),$BP$6,IF(OR(COUNTIF('1.연간시수표'!Z13,$BQ$9),COUNTIF('1.연간시수표'!Z13,$BQ$7)),$BQ$6,IF(OR(COUNTIF('1.연간시수표'!Z13,$BR$9),COUNTIF('1.연간시수표'!Z13,$BR$7)),$BR$6,"_")))))))))))))))</f>
        <v>_</v>
      </c>
      <c r="AA13" s="148" t="str">
        <f>IF(OR(COUNTIF('1.연간시수표'!AA13,$AT$9),COUNTIF('1.연간시수표'!AA13,$AT$7)),$AT$6,IF(OR(COUNTIF('1.연간시수표'!AA13,$AU$9),COUNTIF('1.연간시수표'!AA13,$AU$7)),$AU$6,IF(OR(COUNTIF('1.연간시수표'!AA13,$AV$9),COUNTIF('1.연간시수표'!AA13,$AV$7)),$AV$6,IF(OR(COUNTIF('1.연간시수표'!AA13,$AW$9),COUNTIF('1.연간시수표'!AA13,$AW$7)),$AW$6,IF(OR(COUNTIF('1.연간시수표'!AA13,$AX$9),COUNTIF('1.연간시수표'!AA13,$AX$7)),$AX$6,IF(OR(COUNTIF('1.연간시수표'!AA13,$AY$9),COUNTIF('1.연간시수표'!AA13,$AY$7)),$AY$6,IF(OR(COUNTIF('1.연간시수표'!AA13,$AZ$9),COUNTIF('1.연간시수표'!AA13,$AZ$7)),$AZ$6,IF(OR(COUNTIF('1.연간시수표'!AA13,$BA$9),COUNTIF('1.연간시수표'!AA13,$BA$7)),$BA$6,IF(OR(COUNTIF('1.연간시수표'!AA13,$BB$9),COUNTIF('1.연간시수표'!AA13,$BB$7)),$BB$6,IF(OR(COUNTIF('1.연간시수표'!AA13,$BC$9),COUNTIF('1.연간시수표'!AA13,$BC$7)),$BC$6,IF(OR(COUNTIF('1.연간시수표'!AA13,$BF$9),COUNTIF('1.연간시수표'!AA13,$BF$7),COUNTIF('1.연간시수표'!AA13,$BG$9),COUNTIF('1.연간시수표'!AA13,$BG$7),COUNTIF('1.연간시수표'!AA13,$BH$9),COUNTIF('1.연간시수표'!AA13,$BH$7),COUNTIF('1.연간시수표'!AA13,$BI$9),COUNTIF('1.연간시수표'!AA13,$BI$7),COUNTIF('1.연간시수표'!AA13,$BJ$9),COUNTIF('1.연간시수표'!AA13,$BJ$7),COUNTIF('1.연간시수표'!AA13,$BK$9),COUNTIF('1.연간시수표'!AA13,$BK$7),COUNTIF('1.연간시수표'!AA13,$BL$9),COUNTIF('1.연간시수표'!AA13,$BL$7),COUNTIF('1.연간시수표'!AA13,$BM$9),COUNTIF('1.연간시수표'!AA13,$BM$7)),$BF$6,IF(OR(COUNTIF('1.연간시수표'!AA13,$BO$9),COUNTIF('1.연간시수표'!AA13,$BO$7)),$BO$6,IF(OR(COUNTIF('1.연간시수표'!AA13,$BP$9),COUNTIF('1.연간시수표'!AA13,$BP$7)),$BP$6,IF(OR(COUNTIF('1.연간시수표'!AA13,$BQ$9),COUNTIF('1.연간시수표'!AA13,$BQ$7)),$BQ$6,IF(OR(COUNTIF('1.연간시수표'!AA13,$BR$9),COUNTIF('1.연간시수표'!AA13,$BR$7)),$BR$6,"_")))))))))))))))</f>
        <v>_</v>
      </c>
      <c r="AB13" s="148" t="str">
        <f>IF(OR(COUNTIF('1.연간시수표'!AB13,$AT$9),COUNTIF('1.연간시수표'!AB13,$AT$7)),$AT$6,IF(OR(COUNTIF('1.연간시수표'!AB13,$AU$9),COUNTIF('1.연간시수표'!AB13,$AU$7)),$AU$6,IF(OR(COUNTIF('1.연간시수표'!AB13,$AV$9),COUNTIF('1.연간시수표'!AB13,$AV$7)),$AV$6,IF(OR(COUNTIF('1.연간시수표'!AB13,$AW$9),COUNTIF('1.연간시수표'!AB13,$AW$7)),$AW$6,IF(OR(COUNTIF('1.연간시수표'!AB13,$AX$9),COUNTIF('1.연간시수표'!AB13,$AX$7)),$AX$6,IF(OR(COUNTIF('1.연간시수표'!AB13,$AY$9),COUNTIF('1.연간시수표'!AB13,$AY$7)),$AY$6,IF(OR(COUNTIF('1.연간시수표'!AB13,$AZ$9),COUNTIF('1.연간시수표'!AB13,$AZ$7)),$AZ$6,IF(OR(COUNTIF('1.연간시수표'!AB13,$BA$9),COUNTIF('1.연간시수표'!AB13,$BA$7)),$BA$6,IF(OR(COUNTIF('1.연간시수표'!AB13,$BB$9),COUNTIF('1.연간시수표'!AB13,$BB$7)),$BB$6,IF(OR(COUNTIF('1.연간시수표'!AB13,$BC$9),COUNTIF('1.연간시수표'!AB13,$BC$7)),$BC$6,IF(OR(COUNTIF('1.연간시수표'!AB13,$BF$9),COUNTIF('1.연간시수표'!AB13,$BF$7),COUNTIF('1.연간시수표'!AB13,$BG$9),COUNTIF('1.연간시수표'!AB13,$BG$7),COUNTIF('1.연간시수표'!AB13,$BH$9),COUNTIF('1.연간시수표'!AB13,$BH$7),COUNTIF('1.연간시수표'!AB13,$BI$9),COUNTIF('1.연간시수표'!AB13,$BI$7),COUNTIF('1.연간시수표'!AB13,$BJ$9),COUNTIF('1.연간시수표'!AB13,$BJ$7),COUNTIF('1.연간시수표'!AB13,$BK$9),COUNTIF('1.연간시수표'!AB13,$BK$7),COUNTIF('1.연간시수표'!AB13,$BL$9),COUNTIF('1.연간시수표'!AB13,$BL$7),COUNTIF('1.연간시수표'!AB13,$BM$9),COUNTIF('1.연간시수표'!AB13,$BM$7)),$BF$6,IF(OR(COUNTIF('1.연간시수표'!AB13,$BO$9),COUNTIF('1.연간시수표'!AB13,$BO$7)),$BO$6,IF(OR(COUNTIF('1.연간시수표'!AB13,$BP$9),COUNTIF('1.연간시수표'!AB13,$BP$7)),$BP$6,IF(OR(COUNTIF('1.연간시수표'!AB13,$BQ$9),COUNTIF('1.연간시수표'!AB13,$BQ$7)),$BQ$6,IF(OR(COUNTIF('1.연간시수표'!AB13,$BR$9),COUNTIF('1.연간시수표'!AB13,$BR$7)),$BR$6,"_")))))))))))))))</f>
        <v>_</v>
      </c>
      <c r="AC13" s="148" t="str">
        <f>IF(OR(COUNTIF('1.연간시수표'!AC13,$AT$9),COUNTIF('1.연간시수표'!AC13,$AT$7)),$AT$6,IF(OR(COUNTIF('1.연간시수표'!AC13,$AU$9),COUNTIF('1.연간시수표'!AC13,$AU$7)),$AU$6,IF(OR(COUNTIF('1.연간시수표'!AC13,$AV$9),COUNTIF('1.연간시수표'!AC13,$AV$7)),$AV$6,IF(OR(COUNTIF('1.연간시수표'!AC13,$AW$9),COUNTIF('1.연간시수표'!AC13,$AW$7)),$AW$6,IF(OR(COUNTIF('1.연간시수표'!AC13,$AX$9),COUNTIF('1.연간시수표'!AC13,$AX$7)),$AX$6,IF(OR(COUNTIF('1.연간시수표'!AC13,$AY$9),COUNTIF('1.연간시수표'!AC13,$AY$7)),$AY$6,IF(OR(COUNTIF('1.연간시수표'!AC13,$AZ$9),COUNTIF('1.연간시수표'!AC13,$AZ$7)),$AZ$6,IF(OR(COUNTIF('1.연간시수표'!AC13,$BA$9),COUNTIF('1.연간시수표'!AC13,$BA$7)),$BA$6,IF(OR(COUNTIF('1.연간시수표'!AC13,$BB$9),COUNTIF('1.연간시수표'!AC13,$BB$7)),$BB$6,IF(OR(COUNTIF('1.연간시수표'!AC13,$BC$9),COUNTIF('1.연간시수표'!AC13,$BC$7)),$BC$6,IF(OR(COUNTIF('1.연간시수표'!AC13,$BF$9),COUNTIF('1.연간시수표'!AC13,$BF$7),COUNTIF('1.연간시수표'!AC13,$BG$9),COUNTIF('1.연간시수표'!AC13,$BG$7),COUNTIF('1.연간시수표'!AC13,$BH$9),COUNTIF('1.연간시수표'!AC13,$BH$7),COUNTIF('1.연간시수표'!AC13,$BI$9),COUNTIF('1.연간시수표'!AC13,$BI$7),COUNTIF('1.연간시수표'!AC13,$BJ$9),COUNTIF('1.연간시수표'!AC13,$BJ$7),COUNTIF('1.연간시수표'!AC13,$BK$9),COUNTIF('1.연간시수표'!AC13,$BK$7),COUNTIF('1.연간시수표'!AC13,$BL$9),COUNTIF('1.연간시수표'!AC13,$BL$7),COUNTIF('1.연간시수표'!AC13,$BM$9),COUNTIF('1.연간시수표'!AC13,$BM$7)),$BF$6,IF(OR(COUNTIF('1.연간시수표'!AC13,$BO$9),COUNTIF('1.연간시수표'!AC13,$BO$7)),$BO$6,IF(OR(COUNTIF('1.연간시수표'!AC13,$BP$9),COUNTIF('1.연간시수표'!AC13,$BP$7)),$BP$6,IF(OR(COUNTIF('1.연간시수표'!AC13,$BQ$9),COUNTIF('1.연간시수표'!AC13,$BQ$7)),$BQ$6,IF(OR(COUNTIF('1.연간시수표'!AC13,$BR$9),COUNTIF('1.연간시수표'!AC13,$BR$7)),$BR$6,"_")))))))))))))))</f>
        <v>국어</v>
      </c>
      <c r="AD13" s="148" t="str">
        <f>IF(OR(COUNTIF('1.연간시수표'!AD13,$AT$9),COUNTIF('1.연간시수표'!AD13,$AT$7)),$AT$6,IF(OR(COUNTIF('1.연간시수표'!AD13,$AU$9),COUNTIF('1.연간시수표'!AD13,$AU$7)),$AU$6,IF(OR(COUNTIF('1.연간시수표'!AD13,$AV$9),COUNTIF('1.연간시수표'!AD13,$AV$7)),$AV$6,IF(OR(COUNTIF('1.연간시수표'!AD13,$AW$9),COUNTIF('1.연간시수표'!AD13,$AW$7)),$AW$6,IF(OR(COUNTIF('1.연간시수표'!AD13,$AX$9),COUNTIF('1.연간시수표'!AD13,$AX$7)),$AX$6,IF(OR(COUNTIF('1.연간시수표'!AD13,$AY$9),COUNTIF('1.연간시수표'!AD13,$AY$7)),$AY$6,IF(OR(COUNTIF('1.연간시수표'!AD13,$AZ$9),COUNTIF('1.연간시수표'!AD13,$AZ$7)),$AZ$6,IF(OR(COUNTIF('1.연간시수표'!AD13,$BA$9),COUNTIF('1.연간시수표'!AD13,$BA$7)),$BA$6,IF(OR(COUNTIF('1.연간시수표'!AD13,$BB$9),COUNTIF('1.연간시수표'!AD13,$BB$7)),$BB$6,IF(OR(COUNTIF('1.연간시수표'!AD13,$BC$9),COUNTIF('1.연간시수표'!AD13,$BC$7)),$BC$6,IF(OR(COUNTIF('1.연간시수표'!AD13,$BF$9),COUNTIF('1.연간시수표'!AD13,$BF$7),COUNTIF('1.연간시수표'!AD13,$BG$9),COUNTIF('1.연간시수표'!AD13,$BG$7),COUNTIF('1.연간시수표'!AD13,$BH$9),COUNTIF('1.연간시수표'!AD13,$BH$7),COUNTIF('1.연간시수표'!AD13,$BI$9),COUNTIF('1.연간시수표'!AD13,$BI$7),COUNTIF('1.연간시수표'!AD13,$BJ$9),COUNTIF('1.연간시수표'!AD13,$BJ$7),COUNTIF('1.연간시수표'!AD13,$BK$9),COUNTIF('1.연간시수표'!AD13,$BK$7),COUNTIF('1.연간시수표'!AD13,$BL$9),COUNTIF('1.연간시수표'!AD13,$BL$7),COUNTIF('1.연간시수표'!AD13,$BM$9),COUNTIF('1.연간시수표'!AD13,$BM$7)),$BF$6,IF(OR(COUNTIF('1.연간시수표'!AD13,$BO$9),COUNTIF('1.연간시수표'!AD13,$BO$7)),$BO$6,IF(OR(COUNTIF('1.연간시수표'!AD13,$BP$9),COUNTIF('1.연간시수표'!AD13,$BP$7)),$BP$6,IF(OR(COUNTIF('1.연간시수표'!AD13,$BQ$9),COUNTIF('1.연간시수표'!AD13,$BQ$7)),$BQ$6,IF(OR(COUNTIF('1.연간시수표'!AD13,$BR$9),COUNTIF('1.연간시수표'!AD13,$BR$7)),$BR$6,"_")))))))))))))))</f>
        <v>수학</v>
      </c>
      <c r="AE13" s="148" t="str">
        <f>IF(OR(COUNTIF('1.연간시수표'!AE13,$AT$9),COUNTIF('1.연간시수표'!AE13,$AT$7)),$AT$6,IF(OR(COUNTIF('1.연간시수표'!AE13,$AU$9),COUNTIF('1.연간시수표'!AE13,$AU$7)),$AU$6,IF(OR(COUNTIF('1.연간시수표'!AE13,$AV$9),COUNTIF('1.연간시수표'!AE13,$AV$7)),$AV$6,IF(OR(COUNTIF('1.연간시수표'!AE13,$AW$9),COUNTIF('1.연간시수표'!AE13,$AW$7)),$AW$6,IF(OR(COUNTIF('1.연간시수표'!AE13,$AX$9),COUNTIF('1.연간시수표'!AE13,$AX$7)),$AX$6,IF(OR(COUNTIF('1.연간시수표'!AE13,$AY$9),COUNTIF('1.연간시수표'!AE13,$AY$7)),$AY$6,IF(OR(COUNTIF('1.연간시수표'!AE13,$AZ$9),COUNTIF('1.연간시수표'!AE13,$AZ$7)),$AZ$6,IF(OR(COUNTIF('1.연간시수표'!AE13,$BA$9),COUNTIF('1.연간시수표'!AE13,$BA$7)),$BA$6,IF(OR(COUNTIF('1.연간시수표'!AE13,$BB$9),COUNTIF('1.연간시수표'!AE13,$BB$7)),$BB$6,IF(OR(COUNTIF('1.연간시수표'!AE13,$BC$9),COUNTIF('1.연간시수표'!AE13,$BC$7)),$BC$6,IF(OR(COUNTIF('1.연간시수표'!AE13,$BF$9),COUNTIF('1.연간시수표'!AE13,$BF$7),COUNTIF('1.연간시수표'!AE13,$BG$9),COUNTIF('1.연간시수표'!AE13,$BG$7),COUNTIF('1.연간시수표'!AE13,$BH$9),COUNTIF('1.연간시수표'!AE13,$BH$7),COUNTIF('1.연간시수표'!AE13,$BI$9),COUNTIF('1.연간시수표'!AE13,$BI$7),COUNTIF('1.연간시수표'!AE13,$BJ$9),COUNTIF('1.연간시수표'!AE13,$BJ$7),COUNTIF('1.연간시수표'!AE13,$BK$9),COUNTIF('1.연간시수표'!AE13,$BK$7),COUNTIF('1.연간시수표'!AE13,$BL$9),COUNTIF('1.연간시수표'!AE13,$BL$7),COUNTIF('1.연간시수표'!AE13,$BM$9),COUNTIF('1.연간시수표'!AE13,$BM$7)),$BF$6,IF(OR(COUNTIF('1.연간시수표'!AE13,$BO$9),COUNTIF('1.연간시수표'!AE13,$BO$7)),$BO$6,IF(OR(COUNTIF('1.연간시수표'!AE13,$BP$9),COUNTIF('1.연간시수표'!AE13,$BP$7)),$BP$6,IF(OR(COUNTIF('1.연간시수표'!AE13,$BQ$9),COUNTIF('1.연간시수표'!AE13,$BQ$7)),$BQ$6,IF(OR(COUNTIF('1.연간시수표'!AE13,$BR$9),COUNTIF('1.연간시수표'!AE13,$BR$7)),$BR$6,"_")))))))))))))))</f>
        <v>사회</v>
      </c>
      <c r="AF13" s="148" t="str">
        <f>IF(OR(COUNTIF('1.연간시수표'!AF13,$AT$9),COUNTIF('1.연간시수표'!AF13,$AT$7)),$AT$6,IF(OR(COUNTIF('1.연간시수표'!AF13,$AU$9),COUNTIF('1.연간시수표'!AF13,$AU$7)),$AU$6,IF(OR(COUNTIF('1.연간시수표'!AF13,$AV$9),COUNTIF('1.연간시수표'!AF13,$AV$7)),$AV$6,IF(OR(COUNTIF('1.연간시수표'!AF13,$AW$9),COUNTIF('1.연간시수표'!AF13,$AW$7)),$AW$6,IF(OR(COUNTIF('1.연간시수표'!AF13,$AX$9),COUNTIF('1.연간시수표'!AF13,$AX$7)),$AX$6,IF(OR(COUNTIF('1.연간시수표'!AF13,$AY$9),COUNTIF('1.연간시수표'!AF13,$AY$7)),$AY$6,IF(OR(COUNTIF('1.연간시수표'!AF13,$AZ$9),COUNTIF('1.연간시수표'!AF13,$AZ$7)),$AZ$6,IF(OR(COUNTIF('1.연간시수표'!AF13,$BA$9),COUNTIF('1.연간시수표'!AF13,$BA$7)),$BA$6,IF(OR(COUNTIF('1.연간시수표'!AF13,$BB$9),COUNTIF('1.연간시수표'!AF13,$BB$7)),$BB$6,IF(OR(COUNTIF('1.연간시수표'!AF13,$BC$9),COUNTIF('1.연간시수표'!AF13,$BC$7)),$BC$6,IF(OR(COUNTIF('1.연간시수표'!AF13,$BF$9),COUNTIF('1.연간시수표'!AF13,$BF$7),COUNTIF('1.연간시수표'!AF13,$BG$9),COUNTIF('1.연간시수표'!AF13,$BG$7),COUNTIF('1.연간시수표'!AF13,$BH$9),COUNTIF('1.연간시수표'!AF13,$BH$7),COUNTIF('1.연간시수표'!AF13,$BI$9),COUNTIF('1.연간시수표'!AF13,$BI$7),COUNTIF('1.연간시수표'!AF13,$BJ$9),COUNTIF('1.연간시수표'!AF13,$BJ$7),COUNTIF('1.연간시수표'!AF13,$BK$9),COUNTIF('1.연간시수표'!AF13,$BK$7),COUNTIF('1.연간시수표'!AF13,$BL$9),COUNTIF('1.연간시수표'!AF13,$BL$7),COUNTIF('1.연간시수표'!AF13,$BM$9),COUNTIF('1.연간시수표'!AF13,$BM$7)),$BF$6,IF(OR(COUNTIF('1.연간시수표'!AF13,$BO$9),COUNTIF('1.연간시수표'!AF13,$BO$7)),$BO$6,IF(OR(COUNTIF('1.연간시수표'!AF13,$BP$9),COUNTIF('1.연간시수표'!AF13,$BP$7)),$BP$6,IF(OR(COUNTIF('1.연간시수표'!AF13,$BQ$9),COUNTIF('1.연간시수표'!AF13,$BQ$7)),$BQ$6,IF(OR(COUNTIF('1.연간시수표'!AF13,$BR$9),COUNTIF('1.연간시수표'!AF13,$BR$7)),$BR$6,"_")))))))))))))))</f>
        <v>영어</v>
      </c>
      <c r="AG13" s="148" t="str">
        <f>IF(OR(COUNTIF('1.연간시수표'!AG13,$AT$9),COUNTIF('1.연간시수표'!AG13,$AT$7)),$AT$6,IF(OR(COUNTIF('1.연간시수표'!AG13,$AU$9),COUNTIF('1.연간시수표'!AG13,$AU$7)),$AU$6,IF(OR(COUNTIF('1.연간시수표'!AG13,$AV$9),COUNTIF('1.연간시수표'!AG13,$AV$7)),$AV$6,IF(OR(COUNTIF('1.연간시수표'!AG13,$AW$9),COUNTIF('1.연간시수표'!AG13,$AW$7)),$AW$6,IF(OR(COUNTIF('1.연간시수표'!AG13,$AX$9),COUNTIF('1.연간시수표'!AG13,$AX$7)),$AX$6,IF(OR(COUNTIF('1.연간시수표'!AG13,$AY$9),COUNTIF('1.연간시수표'!AG13,$AY$7)),$AY$6,IF(OR(COUNTIF('1.연간시수표'!AG13,$AZ$9),COUNTIF('1.연간시수표'!AG13,$AZ$7)),$AZ$6,IF(OR(COUNTIF('1.연간시수표'!AG13,$BA$9),COUNTIF('1.연간시수표'!AG13,$BA$7)),$BA$6,IF(OR(COUNTIF('1.연간시수표'!AG13,$BB$9),COUNTIF('1.연간시수표'!AG13,$BB$7)),$BB$6,IF(OR(COUNTIF('1.연간시수표'!AG13,$BC$9),COUNTIF('1.연간시수표'!AG13,$BC$7)),$BC$6,IF(OR(COUNTIF('1.연간시수표'!AG13,$BF$9),COUNTIF('1.연간시수표'!AG13,$BF$7),COUNTIF('1.연간시수표'!AG13,$BG$9),COUNTIF('1.연간시수표'!AG13,$BG$7),COUNTIF('1.연간시수표'!AG13,$BH$9),COUNTIF('1.연간시수표'!AG13,$BH$7),COUNTIF('1.연간시수표'!AG13,$BI$9),COUNTIF('1.연간시수표'!AG13,$BI$7),COUNTIF('1.연간시수표'!AG13,$BJ$9),COUNTIF('1.연간시수표'!AG13,$BJ$7),COUNTIF('1.연간시수표'!AG13,$BK$9),COUNTIF('1.연간시수표'!AG13,$BK$7),COUNTIF('1.연간시수표'!AG13,$BL$9),COUNTIF('1.연간시수표'!AG13,$BL$7),COUNTIF('1.연간시수표'!AG13,$BM$9),COUNTIF('1.연간시수표'!AG13,$BM$7)),$BF$6,IF(OR(COUNTIF('1.연간시수표'!AG13,$BO$9),COUNTIF('1.연간시수표'!AG13,$BO$7)),$BO$6,IF(OR(COUNTIF('1.연간시수표'!AG13,$BP$9),COUNTIF('1.연간시수표'!AG13,$BP$7)),$BP$6,IF(OR(COUNTIF('1.연간시수표'!AG13,$BQ$9),COUNTIF('1.연간시수표'!AG13,$BQ$7)),$BQ$6,IF(OR(COUNTIF('1.연간시수표'!AG13,$BR$9),COUNTIF('1.연간시수표'!AG13,$BR$7)),$BR$6,"_")))))))))))))))</f>
        <v>과학</v>
      </c>
      <c r="AH13" s="148" t="str">
        <f>IF(OR(COUNTIF('1.연간시수표'!AH13,$AT$9),COUNTIF('1.연간시수표'!AH13,$AT$7)),$AT$6,IF(OR(COUNTIF('1.연간시수표'!AH13,$AU$9),COUNTIF('1.연간시수표'!AH13,$AU$7)),$AU$6,IF(OR(COUNTIF('1.연간시수표'!AH13,$AV$9),COUNTIF('1.연간시수표'!AH13,$AV$7)),$AV$6,IF(OR(COUNTIF('1.연간시수표'!AH13,$AW$9),COUNTIF('1.연간시수표'!AH13,$AW$7)),$AW$6,IF(OR(COUNTIF('1.연간시수표'!AH13,$AX$9),COUNTIF('1.연간시수표'!AH13,$AX$7)),$AX$6,IF(OR(COUNTIF('1.연간시수표'!AH13,$AY$9),COUNTIF('1.연간시수표'!AH13,$AY$7)),$AY$6,IF(OR(COUNTIF('1.연간시수표'!AH13,$AZ$9),COUNTIF('1.연간시수표'!AH13,$AZ$7)),$AZ$6,IF(OR(COUNTIF('1.연간시수표'!AH13,$BA$9),COUNTIF('1.연간시수표'!AH13,$BA$7)),$BA$6,IF(OR(COUNTIF('1.연간시수표'!AH13,$BB$9),COUNTIF('1.연간시수표'!AH13,$BB$7)),$BB$6,IF(OR(COUNTIF('1.연간시수표'!AH13,$BC$9),COUNTIF('1.연간시수표'!AH13,$BC$7)),$BC$6,IF(OR(COUNTIF('1.연간시수표'!AH13,$BF$9),COUNTIF('1.연간시수표'!AH13,$BF$7),COUNTIF('1.연간시수표'!AH13,$BG$9),COUNTIF('1.연간시수표'!AH13,$BG$7),COUNTIF('1.연간시수표'!AH13,$BH$9),COUNTIF('1.연간시수표'!AH13,$BH$7),COUNTIF('1.연간시수표'!AH13,$BI$9),COUNTIF('1.연간시수표'!AH13,$BI$7),COUNTIF('1.연간시수표'!AH13,$BJ$9),COUNTIF('1.연간시수표'!AH13,$BJ$7),COUNTIF('1.연간시수표'!AH13,$BK$9),COUNTIF('1.연간시수표'!AH13,$BK$7),COUNTIF('1.연간시수표'!AH13,$BL$9),COUNTIF('1.연간시수표'!AH13,$BL$7),COUNTIF('1.연간시수표'!AH13,$BM$9),COUNTIF('1.연간시수표'!AH13,$BM$7)),$BF$6,IF(OR(COUNTIF('1.연간시수표'!AH13,$BO$9),COUNTIF('1.연간시수표'!AH13,$BO$7)),$BO$6,IF(OR(COUNTIF('1.연간시수표'!AH13,$BP$9),COUNTIF('1.연간시수표'!AH13,$BP$7)),$BP$6,IF(OR(COUNTIF('1.연간시수표'!AH13,$BQ$9),COUNTIF('1.연간시수표'!AH13,$BQ$7)),$BQ$6,IF(OR(COUNTIF('1.연간시수표'!AH13,$BR$9),COUNTIF('1.연간시수표'!AH13,$BR$7)),$BR$6,"_")))))))))))))))</f>
        <v>음악</v>
      </c>
      <c r="AI13" s="148" t="str">
        <f>IF(OR(COUNTIF('1.연간시수표'!AI13,$AT$9),COUNTIF('1.연간시수표'!AI13,$AT$7)),$AT$6,IF(OR(COUNTIF('1.연간시수표'!AI13,$AU$9),COUNTIF('1.연간시수표'!AI13,$AU$7)),$AU$6,IF(OR(COUNTIF('1.연간시수표'!AI13,$AV$9),COUNTIF('1.연간시수표'!AI13,$AV$7)),$AV$6,IF(OR(COUNTIF('1.연간시수표'!AI13,$AW$9),COUNTIF('1.연간시수표'!AI13,$AW$7)),$AW$6,IF(OR(COUNTIF('1.연간시수표'!AI13,$AX$9),COUNTIF('1.연간시수표'!AI13,$AX$7)),$AX$6,IF(OR(COUNTIF('1.연간시수표'!AI13,$AY$9),COUNTIF('1.연간시수표'!AI13,$AY$7)),$AY$6,IF(OR(COUNTIF('1.연간시수표'!AI13,$AZ$9),COUNTIF('1.연간시수표'!AI13,$AZ$7)),$AZ$6,IF(OR(COUNTIF('1.연간시수표'!AI13,$BA$9),COUNTIF('1.연간시수표'!AI13,$BA$7)),$BA$6,IF(OR(COUNTIF('1.연간시수표'!AI13,$BB$9),COUNTIF('1.연간시수표'!AI13,$BB$7)),$BB$6,IF(OR(COUNTIF('1.연간시수표'!AI13,$BC$9),COUNTIF('1.연간시수표'!AI13,$BC$7)),$BC$6,IF(OR(COUNTIF('1.연간시수표'!AI13,$BF$9),COUNTIF('1.연간시수표'!AI13,$BF$7),COUNTIF('1.연간시수표'!AI13,$BG$9),COUNTIF('1.연간시수표'!AI13,$BG$7),COUNTIF('1.연간시수표'!AI13,$BH$9),COUNTIF('1.연간시수표'!AI13,$BH$7),COUNTIF('1.연간시수표'!AI13,$BI$9),COUNTIF('1.연간시수표'!AI13,$BI$7),COUNTIF('1.연간시수표'!AI13,$BJ$9),COUNTIF('1.연간시수표'!AI13,$BJ$7),COUNTIF('1.연간시수표'!AI13,$BK$9),COUNTIF('1.연간시수표'!AI13,$BK$7),COUNTIF('1.연간시수표'!AI13,$BL$9),COUNTIF('1.연간시수표'!AI13,$BL$7),COUNTIF('1.연간시수표'!AI13,$BM$9),COUNTIF('1.연간시수표'!AI13,$BM$7)),$BF$6,IF(OR(COUNTIF('1.연간시수표'!AI13,$BO$9),COUNTIF('1.연간시수표'!AI13,$BO$7)),$BO$6,IF(OR(COUNTIF('1.연간시수표'!AI13,$BP$9),COUNTIF('1.연간시수표'!AI13,$BP$7)),$BP$6,IF(OR(COUNTIF('1.연간시수표'!AI13,$BQ$9),COUNTIF('1.연간시수표'!AI13,$BQ$7)),$BQ$6,IF(OR(COUNTIF('1.연간시수표'!AI13,$BR$9),COUNTIF('1.연간시수표'!AI13,$BR$7)),$BR$6,"_")))))))))))))))</f>
        <v>_</v>
      </c>
      <c r="AJ13" s="148" t="str">
        <f>IF(OR(COUNTIF('1.연간시수표'!AJ13,$AT$9),COUNTIF('1.연간시수표'!AJ13,$AT$7)),$AT$6,IF(OR(COUNTIF('1.연간시수표'!AJ13,$AU$9),COUNTIF('1.연간시수표'!AJ13,$AU$7)),$AU$6,IF(OR(COUNTIF('1.연간시수표'!AJ13,$AV$9),COUNTIF('1.연간시수표'!AJ13,$AV$7)),$AV$6,IF(OR(COUNTIF('1.연간시수표'!AJ13,$AW$9),COUNTIF('1.연간시수표'!AJ13,$AW$7)),$AW$6,IF(OR(COUNTIF('1.연간시수표'!AJ13,$AX$9),COUNTIF('1.연간시수표'!AJ13,$AX$7)),$AX$6,IF(OR(COUNTIF('1.연간시수표'!AJ13,$AY$9),COUNTIF('1.연간시수표'!AJ13,$AY$7)),$AY$6,IF(OR(COUNTIF('1.연간시수표'!AJ13,$AZ$9),COUNTIF('1.연간시수표'!AJ13,$AZ$7)),$AZ$6,IF(OR(COUNTIF('1.연간시수표'!AJ13,$BA$9),COUNTIF('1.연간시수표'!AJ13,$BA$7)),$BA$6,IF(OR(COUNTIF('1.연간시수표'!AJ13,$BB$9),COUNTIF('1.연간시수표'!AJ13,$BB$7)),$BB$6,IF(OR(COUNTIF('1.연간시수표'!AJ13,$BC$9),COUNTIF('1.연간시수표'!AJ13,$BC$7)),$BC$6,IF(OR(COUNTIF('1.연간시수표'!AJ13,$BF$9),COUNTIF('1.연간시수표'!AJ13,$BF$7),COUNTIF('1.연간시수표'!AJ13,$BG$9),COUNTIF('1.연간시수표'!AJ13,$BG$7),COUNTIF('1.연간시수표'!AJ13,$BH$9),COUNTIF('1.연간시수표'!AJ13,$BH$7),COUNTIF('1.연간시수표'!AJ13,$BI$9),COUNTIF('1.연간시수표'!AJ13,$BI$7),COUNTIF('1.연간시수표'!AJ13,$BJ$9),COUNTIF('1.연간시수표'!AJ13,$BJ$7),COUNTIF('1.연간시수표'!AJ13,$BK$9),COUNTIF('1.연간시수표'!AJ13,$BK$7),COUNTIF('1.연간시수표'!AJ13,$BL$9),COUNTIF('1.연간시수표'!AJ13,$BL$7),COUNTIF('1.연간시수표'!AJ13,$BM$9),COUNTIF('1.연간시수표'!AJ13,$BM$7)),$BF$6,IF(OR(COUNTIF('1.연간시수표'!AJ13,$BO$9),COUNTIF('1.연간시수표'!AJ13,$BO$7)),$BO$6,IF(OR(COUNTIF('1.연간시수표'!AJ13,$BP$9),COUNTIF('1.연간시수표'!AJ13,$BP$7)),$BP$6,IF(OR(COUNTIF('1.연간시수표'!AJ13,$BQ$9),COUNTIF('1.연간시수표'!AJ13,$BQ$7)),$BQ$6,IF(OR(COUNTIF('1.연간시수표'!AJ13,$BR$9),COUNTIF('1.연간시수표'!AJ13,$BR$7)),$BR$6,"_")))))))))))))))</f>
        <v>_</v>
      </c>
      <c r="AK13" s="148" t="str">
        <f>IF(OR(COUNTIF('1.연간시수표'!AK13,$AT$9),COUNTIF('1.연간시수표'!AK13,$AT$7)),$AT$6,IF(OR(COUNTIF('1.연간시수표'!AK13,$AU$9),COUNTIF('1.연간시수표'!AK13,$AU$7)),$AU$6,IF(OR(COUNTIF('1.연간시수표'!AK13,$AV$9),COUNTIF('1.연간시수표'!AK13,$AV$7)),$AV$6,IF(OR(COUNTIF('1.연간시수표'!AK13,$AW$9),COUNTIF('1.연간시수표'!AK13,$AW$7)),$AW$6,IF(OR(COUNTIF('1.연간시수표'!AK13,$AX$9),COUNTIF('1.연간시수표'!AK13,$AX$7)),$AX$6,IF(OR(COUNTIF('1.연간시수표'!AK13,$AY$9),COUNTIF('1.연간시수표'!AK13,$AY$7)),$AY$6,IF(OR(COUNTIF('1.연간시수표'!AK13,$AZ$9),COUNTIF('1.연간시수표'!AK13,$AZ$7)),$AZ$6,IF(OR(COUNTIF('1.연간시수표'!AK13,$BA$9),COUNTIF('1.연간시수표'!AK13,$BA$7)),$BA$6,IF(OR(COUNTIF('1.연간시수표'!AK13,$BB$9),COUNTIF('1.연간시수표'!AK13,$BB$7)),$BB$6,IF(OR(COUNTIF('1.연간시수표'!AK13,$BC$9),COUNTIF('1.연간시수표'!AK13,$BC$7)),$BC$6,IF(OR(COUNTIF('1.연간시수표'!AK13,$BF$9),COUNTIF('1.연간시수표'!AK13,$BF$7),COUNTIF('1.연간시수표'!AK13,$BG$9),COUNTIF('1.연간시수표'!AK13,$BG$7),COUNTIF('1.연간시수표'!AK13,$BH$9),COUNTIF('1.연간시수표'!AK13,$BH$7),COUNTIF('1.연간시수표'!AK13,$BI$9),COUNTIF('1.연간시수표'!AK13,$BI$7),COUNTIF('1.연간시수표'!AK13,$BJ$9),COUNTIF('1.연간시수표'!AK13,$BJ$7),COUNTIF('1.연간시수표'!AK13,$BK$9),COUNTIF('1.연간시수표'!AK13,$BK$7),COUNTIF('1.연간시수표'!AK13,$BL$9),COUNTIF('1.연간시수표'!AK13,$BL$7),COUNTIF('1.연간시수표'!AK13,$BM$9),COUNTIF('1.연간시수표'!AK13,$BM$7)),$BF$6,IF(OR(COUNTIF('1.연간시수표'!AK13,$BO$9),COUNTIF('1.연간시수표'!AK13,$BO$7)),$BO$6,IF(OR(COUNTIF('1.연간시수표'!AK13,$BP$9),COUNTIF('1.연간시수표'!AK13,$BP$7)),$BP$6,IF(OR(COUNTIF('1.연간시수표'!AK13,$BQ$9),COUNTIF('1.연간시수표'!AK13,$BQ$7)),$BQ$6,IF(OR(COUNTIF('1.연간시수표'!AK13,$BR$9),COUNTIF('1.연간시수표'!AK13,$BR$7)),$BR$6,"_")))))))))))))))</f>
        <v>자율활동</v>
      </c>
      <c r="AL13" s="148" t="str">
        <f>IF(OR(COUNTIF('1.연간시수표'!AL13,$AT$9),COUNTIF('1.연간시수표'!AL13,$AT$7)),$AT$6,IF(OR(COUNTIF('1.연간시수표'!AL13,$AU$9),COUNTIF('1.연간시수표'!AL13,$AU$7)),$AU$6,IF(OR(COUNTIF('1.연간시수표'!AL13,$AV$9),COUNTIF('1.연간시수표'!AL13,$AV$7)),$AV$6,IF(OR(COUNTIF('1.연간시수표'!AL13,$AW$9),COUNTIF('1.연간시수표'!AL13,$AW$7)),$AW$6,IF(OR(COUNTIF('1.연간시수표'!AL13,$AX$9),COUNTIF('1.연간시수표'!AL13,$AX$7)),$AX$6,IF(OR(COUNTIF('1.연간시수표'!AL13,$AY$9),COUNTIF('1.연간시수표'!AL13,$AY$7)),$AY$6,IF(OR(COUNTIF('1.연간시수표'!AL13,$AZ$9),COUNTIF('1.연간시수표'!AL13,$AZ$7)),$AZ$6,IF(OR(COUNTIF('1.연간시수표'!AL13,$BA$9),COUNTIF('1.연간시수표'!AL13,$BA$7)),$BA$6,IF(OR(COUNTIF('1.연간시수표'!AL13,$BB$9),COUNTIF('1.연간시수표'!AL13,$BB$7)),$BB$6,IF(OR(COUNTIF('1.연간시수표'!AL13,$BC$9),COUNTIF('1.연간시수표'!AL13,$BC$7)),$BC$6,IF(OR(COUNTIF('1.연간시수표'!AL13,$BF$9),COUNTIF('1.연간시수표'!AL13,$BF$7),COUNTIF('1.연간시수표'!AL13,$BG$9),COUNTIF('1.연간시수표'!AL13,$BG$7),COUNTIF('1.연간시수표'!AL13,$BH$9),COUNTIF('1.연간시수표'!AL13,$BH$7),COUNTIF('1.연간시수표'!AL13,$BI$9),COUNTIF('1.연간시수표'!AL13,$BI$7),COUNTIF('1.연간시수표'!AL13,$BJ$9),COUNTIF('1.연간시수표'!AL13,$BJ$7),COUNTIF('1.연간시수표'!AL13,$BK$9),COUNTIF('1.연간시수표'!AL13,$BK$7),COUNTIF('1.연간시수표'!AL13,$BL$9),COUNTIF('1.연간시수표'!AL13,$BL$7),COUNTIF('1.연간시수표'!AL13,$BM$9),COUNTIF('1.연간시수표'!AL13,$BM$7)),$BF$6,IF(OR(COUNTIF('1.연간시수표'!AL13,$BO$9),COUNTIF('1.연간시수표'!AL13,$BO$7)),$BO$6,IF(OR(COUNTIF('1.연간시수표'!AL13,$BP$9),COUNTIF('1.연간시수표'!AL13,$BP$7)),$BP$6,IF(OR(COUNTIF('1.연간시수표'!AL13,$BQ$9),COUNTIF('1.연간시수표'!AL13,$BQ$7)),$BQ$6,IF(OR(COUNTIF('1.연간시수표'!AL13,$BR$9),COUNTIF('1.연간시수표'!AL13,$BR$7)),$BR$6,"_")))))))))))))))</f>
        <v>체육</v>
      </c>
      <c r="AM13" s="148" t="str">
        <f>IF(OR(COUNTIF('1.연간시수표'!AM13,$AT$9),COUNTIF('1.연간시수표'!AM13,$AT$7)),$AT$6,IF(OR(COUNTIF('1.연간시수표'!AM13,$AU$9),COUNTIF('1.연간시수표'!AM13,$AU$7)),$AU$6,IF(OR(COUNTIF('1.연간시수표'!AM13,$AV$9),COUNTIF('1.연간시수표'!AM13,$AV$7)),$AV$6,IF(OR(COUNTIF('1.연간시수표'!AM13,$AW$9),COUNTIF('1.연간시수표'!AM13,$AW$7)),$AW$6,IF(OR(COUNTIF('1.연간시수표'!AM13,$AX$9),COUNTIF('1.연간시수표'!AM13,$AX$7)),$AX$6,IF(OR(COUNTIF('1.연간시수표'!AM13,$AY$9),COUNTIF('1.연간시수표'!AM13,$AY$7)),$AY$6,IF(OR(COUNTIF('1.연간시수표'!AM13,$AZ$9),COUNTIF('1.연간시수표'!AM13,$AZ$7)),$AZ$6,IF(OR(COUNTIF('1.연간시수표'!AM13,$BA$9),COUNTIF('1.연간시수표'!AM13,$BA$7)),$BA$6,IF(OR(COUNTIF('1.연간시수표'!AM13,$BB$9),COUNTIF('1.연간시수표'!AM13,$BB$7)),$BB$6,IF(OR(COUNTIF('1.연간시수표'!AM13,$BC$9),COUNTIF('1.연간시수표'!AM13,$BC$7)),$BC$6,IF(OR(COUNTIF('1.연간시수표'!AM13,$BF$9),COUNTIF('1.연간시수표'!AM13,$BF$7),COUNTIF('1.연간시수표'!AM13,$BG$9),COUNTIF('1.연간시수표'!AM13,$BG$7),COUNTIF('1.연간시수표'!AM13,$BH$9),COUNTIF('1.연간시수표'!AM13,$BH$7),COUNTIF('1.연간시수표'!AM13,$BI$9),COUNTIF('1.연간시수표'!AM13,$BI$7),COUNTIF('1.연간시수표'!AM13,$BJ$9),COUNTIF('1.연간시수표'!AM13,$BJ$7),COUNTIF('1.연간시수표'!AM13,$BK$9),COUNTIF('1.연간시수표'!AM13,$BK$7),COUNTIF('1.연간시수표'!AM13,$BL$9),COUNTIF('1.연간시수표'!AM13,$BL$7),COUNTIF('1.연간시수표'!AM13,$BM$9),COUNTIF('1.연간시수표'!AM13,$BM$7)),$BF$6,IF(OR(COUNTIF('1.연간시수표'!AM13,$BO$9),COUNTIF('1.연간시수표'!AM13,$BO$7)),$BO$6,IF(OR(COUNTIF('1.연간시수표'!AM13,$BP$9),COUNTIF('1.연간시수표'!AM13,$BP$7)),$BP$6,IF(OR(COUNTIF('1.연간시수표'!AM13,$BQ$9),COUNTIF('1.연간시수표'!AM13,$BQ$7)),$BQ$6,IF(OR(COUNTIF('1.연간시수표'!AM13,$BR$9),COUNTIF('1.연간시수표'!AM13,$BR$7)),$BR$6,"_")))))))))))))))</f>
        <v>수학</v>
      </c>
      <c r="AN13" s="148" t="str">
        <f>IF(OR(COUNTIF('1.연간시수표'!AN13,$AT$9),COUNTIF('1.연간시수표'!AN13,$AT$7)),$AT$6,IF(OR(COUNTIF('1.연간시수표'!AN13,$AU$9),COUNTIF('1.연간시수표'!AN13,$AU$7)),$AU$6,IF(OR(COUNTIF('1.연간시수표'!AN13,$AV$9),COUNTIF('1.연간시수표'!AN13,$AV$7)),$AV$6,IF(OR(COUNTIF('1.연간시수표'!AN13,$AW$9),COUNTIF('1.연간시수표'!AN13,$AW$7)),$AW$6,IF(OR(COUNTIF('1.연간시수표'!AN13,$AX$9),COUNTIF('1.연간시수표'!AN13,$AX$7)),$AX$6,IF(OR(COUNTIF('1.연간시수표'!AN13,$AY$9),COUNTIF('1.연간시수표'!AN13,$AY$7)),$AY$6,IF(OR(COUNTIF('1.연간시수표'!AN13,$AZ$9),COUNTIF('1.연간시수표'!AN13,$AZ$7)),$AZ$6,IF(OR(COUNTIF('1.연간시수표'!AN13,$BA$9),COUNTIF('1.연간시수표'!AN13,$BA$7)),$BA$6,IF(OR(COUNTIF('1.연간시수표'!AN13,$BB$9),COUNTIF('1.연간시수표'!AN13,$BB$7)),$BB$6,IF(OR(COUNTIF('1.연간시수표'!AN13,$BC$9),COUNTIF('1.연간시수표'!AN13,$BC$7)),$BC$6,IF(OR(COUNTIF('1.연간시수표'!AN13,$BF$9),COUNTIF('1.연간시수표'!AN13,$BF$7),COUNTIF('1.연간시수표'!AN13,$BG$9),COUNTIF('1.연간시수표'!AN13,$BG$7),COUNTIF('1.연간시수표'!AN13,$BH$9),COUNTIF('1.연간시수표'!AN13,$BH$7),COUNTIF('1.연간시수표'!AN13,$BI$9),COUNTIF('1.연간시수표'!AN13,$BI$7),COUNTIF('1.연간시수표'!AN13,$BJ$9),COUNTIF('1.연간시수표'!AN13,$BJ$7),COUNTIF('1.연간시수표'!AN13,$BK$9),COUNTIF('1.연간시수표'!AN13,$BK$7),COUNTIF('1.연간시수표'!AN13,$BL$9),COUNTIF('1.연간시수표'!AN13,$BL$7),COUNTIF('1.연간시수표'!AN13,$BM$9),COUNTIF('1.연간시수표'!AN13,$BM$7)),$BF$6,IF(OR(COUNTIF('1.연간시수표'!AN13,$BO$9),COUNTIF('1.연간시수표'!AN13,$BO$7)),$BO$6,IF(OR(COUNTIF('1.연간시수표'!AN13,$BP$9),COUNTIF('1.연간시수표'!AN13,$BP$7)),$BP$6,IF(OR(COUNTIF('1.연간시수표'!AN13,$BQ$9),COUNTIF('1.연간시수표'!AN13,$BQ$7)),$BQ$6,IF(OR(COUNTIF('1.연간시수표'!AN13,$BR$9),COUNTIF('1.연간시수표'!AN13,$BR$7)),$BR$6,"_")))))))))))))))</f>
        <v>음악</v>
      </c>
      <c r="AO13" s="148" t="str">
        <f>IF(OR(COUNTIF('1.연간시수표'!AO13,$AT$9),COUNTIF('1.연간시수표'!AO13,$AT$7)),$AT$6,IF(OR(COUNTIF('1.연간시수표'!AO13,$AU$9),COUNTIF('1.연간시수표'!AO13,$AU$7)),$AU$6,IF(OR(COUNTIF('1.연간시수표'!AO13,$AV$9),COUNTIF('1.연간시수표'!AO13,$AV$7)),$AV$6,IF(OR(COUNTIF('1.연간시수표'!AO13,$AW$9),COUNTIF('1.연간시수표'!AO13,$AW$7)),$AW$6,IF(OR(COUNTIF('1.연간시수표'!AO13,$AX$9),COUNTIF('1.연간시수표'!AO13,$AX$7)),$AX$6,IF(OR(COUNTIF('1.연간시수표'!AO13,$AY$9),COUNTIF('1.연간시수표'!AO13,$AY$7)),$AY$6,IF(OR(COUNTIF('1.연간시수표'!AO13,$AZ$9),COUNTIF('1.연간시수표'!AO13,$AZ$7)),$AZ$6,IF(OR(COUNTIF('1.연간시수표'!AO13,$BA$9),COUNTIF('1.연간시수표'!AO13,$BA$7)),$BA$6,IF(OR(COUNTIF('1.연간시수표'!AO13,$BB$9),COUNTIF('1.연간시수표'!AO13,$BB$7)),$BB$6,IF(OR(COUNTIF('1.연간시수표'!AO13,$BC$9),COUNTIF('1.연간시수표'!AO13,$BC$7)),$BC$6,IF(OR(COUNTIF('1.연간시수표'!AO13,$BF$9),COUNTIF('1.연간시수표'!AO13,$BF$7),COUNTIF('1.연간시수표'!AO13,$BG$9),COUNTIF('1.연간시수표'!AO13,$BG$7),COUNTIF('1.연간시수표'!AO13,$BH$9),COUNTIF('1.연간시수표'!AO13,$BH$7),COUNTIF('1.연간시수표'!AO13,$BI$9),COUNTIF('1.연간시수표'!AO13,$BI$7),COUNTIF('1.연간시수표'!AO13,$BJ$9),COUNTIF('1.연간시수표'!AO13,$BJ$7),COUNTIF('1.연간시수표'!AO13,$BK$9),COUNTIF('1.연간시수표'!AO13,$BK$7),COUNTIF('1.연간시수표'!AO13,$BL$9),COUNTIF('1.연간시수표'!AO13,$BL$7),COUNTIF('1.연간시수표'!AO13,$BM$9),COUNTIF('1.연간시수표'!AO13,$BM$7)),$BF$6,IF(OR(COUNTIF('1.연간시수표'!AO13,$BO$9),COUNTIF('1.연간시수표'!AO13,$BO$7)),$BO$6,IF(OR(COUNTIF('1.연간시수표'!AO13,$BP$9),COUNTIF('1.연간시수표'!AO13,$BP$7)),$BP$6,IF(OR(COUNTIF('1.연간시수표'!AO13,$BQ$9),COUNTIF('1.연간시수표'!AO13,$BQ$7)),$BQ$6,IF(OR(COUNTIF('1.연간시수표'!AO13,$BR$9),COUNTIF('1.연간시수표'!AO13,$BR$7)),$BR$6,"_")))))))))))))))</f>
        <v>진로활동</v>
      </c>
      <c r="AP13" s="148" t="str">
        <f>IF(OR(COUNTIF('1.연간시수표'!AP13,$AT$9),COUNTIF('1.연간시수표'!AP13,$AT$7)),$AT$6,IF(OR(COUNTIF('1.연간시수표'!AP13,$AU$9),COUNTIF('1.연간시수표'!AP13,$AU$7)),$AU$6,IF(OR(COUNTIF('1.연간시수표'!AP13,$AV$9),COUNTIF('1.연간시수표'!AP13,$AV$7)),$AV$6,IF(OR(COUNTIF('1.연간시수표'!AP13,$AW$9),COUNTIF('1.연간시수표'!AP13,$AW$7)),$AW$6,IF(OR(COUNTIF('1.연간시수표'!AP13,$AX$9),COUNTIF('1.연간시수표'!AP13,$AX$7)),$AX$6,IF(OR(COUNTIF('1.연간시수표'!AP13,$AY$9),COUNTIF('1.연간시수표'!AP13,$AY$7)),$AY$6,IF(OR(COUNTIF('1.연간시수표'!AP13,$AZ$9),COUNTIF('1.연간시수표'!AP13,$AZ$7)),$AZ$6,IF(OR(COUNTIF('1.연간시수표'!AP13,$BA$9),COUNTIF('1.연간시수표'!AP13,$BA$7)),$BA$6,IF(OR(COUNTIF('1.연간시수표'!AP13,$BB$9),COUNTIF('1.연간시수표'!AP13,$BB$7)),$BB$6,IF(OR(COUNTIF('1.연간시수표'!AP13,$BC$9),COUNTIF('1.연간시수표'!AP13,$BC$7)),$BC$6,IF(OR(COUNTIF('1.연간시수표'!AP13,$BF$9),COUNTIF('1.연간시수표'!AP13,$BF$7),COUNTIF('1.연간시수표'!AP13,$BG$9),COUNTIF('1.연간시수표'!AP13,$BG$7),COUNTIF('1.연간시수표'!AP13,$BH$9),COUNTIF('1.연간시수표'!AP13,$BH$7),COUNTIF('1.연간시수표'!AP13,$BI$9),COUNTIF('1.연간시수표'!AP13,$BI$7),COUNTIF('1.연간시수표'!AP13,$BJ$9),COUNTIF('1.연간시수표'!AP13,$BJ$7),COUNTIF('1.연간시수표'!AP13,$BK$9),COUNTIF('1.연간시수표'!AP13,$BK$7),COUNTIF('1.연간시수표'!AP13,$BL$9),COUNTIF('1.연간시수표'!AP13,$BL$7),COUNTIF('1.연간시수표'!AP13,$BM$9),COUNTIF('1.연간시수표'!AP13,$BM$7)),$BF$6,IF(OR(COUNTIF('1.연간시수표'!AP13,$BO$9),COUNTIF('1.연간시수표'!AP13,$BO$7)),$BO$6,IF(OR(COUNTIF('1.연간시수표'!AP13,$BP$9),COUNTIF('1.연간시수표'!AP13,$BP$7)),$BP$6,IF(OR(COUNTIF('1.연간시수표'!AP13,$BQ$9),COUNTIF('1.연간시수표'!AP13,$BQ$7)),$BQ$6,IF(OR(COUNTIF('1.연간시수표'!AP13,$BR$9),COUNTIF('1.연간시수표'!AP13,$BR$7)),$BR$6,"_")))))))))))))))</f>
        <v>진로활동</v>
      </c>
      <c r="AQ13" s="148" t="str">
        <f>IF(OR(COUNTIF('1.연간시수표'!AQ13,$AT$9),COUNTIF('1.연간시수표'!AQ13,$AT$7)),$AT$6,IF(OR(COUNTIF('1.연간시수표'!AQ13,$AU$9),COUNTIF('1.연간시수표'!AQ13,$AU$7)),$AU$6,IF(OR(COUNTIF('1.연간시수표'!AQ13,$AV$9),COUNTIF('1.연간시수표'!AQ13,$AV$7)),$AV$6,IF(OR(COUNTIF('1.연간시수표'!AQ13,$AW$9),COUNTIF('1.연간시수표'!AQ13,$AW$7)),$AW$6,IF(OR(COUNTIF('1.연간시수표'!AQ13,$AX$9),COUNTIF('1.연간시수표'!AQ13,$AX$7)),$AX$6,IF(OR(COUNTIF('1.연간시수표'!AQ13,$AY$9),COUNTIF('1.연간시수표'!AQ13,$AY$7)),$AY$6,IF(OR(COUNTIF('1.연간시수표'!AQ13,$AZ$9),COUNTIF('1.연간시수표'!AQ13,$AZ$7)),$AZ$6,IF(OR(COUNTIF('1.연간시수표'!AQ13,$BA$9),COUNTIF('1.연간시수표'!AQ13,$BA$7)),$BA$6,IF(OR(COUNTIF('1.연간시수표'!AQ13,$BB$9),COUNTIF('1.연간시수표'!AQ13,$BB$7)),$BB$6,IF(OR(COUNTIF('1.연간시수표'!AQ13,$BC$9),COUNTIF('1.연간시수표'!AQ13,$BC$7)),$BC$6,IF(OR(COUNTIF('1.연간시수표'!AQ13,$BF$9),COUNTIF('1.연간시수표'!AQ13,$BF$7),COUNTIF('1.연간시수표'!AQ13,$BG$9),COUNTIF('1.연간시수표'!AQ13,$BG$7),COUNTIF('1.연간시수표'!AQ13,$BH$9),COUNTIF('1.연간시수표'!AQ13,$BH$7),COUNTIF('1.연간시수표'!AQ13,$BI$9),COUNTIF('1.연간시수표'!AQ13,$BI$7),COUNTIF('1.연간시수표'!AQ13,$BJ$9),COUNTIF('1.연간시수표'!AQ13,$BJ$7),COUNTIF('1.연간시수표'!AQ13,$BK$9),COUNTIF('1.연간시수표'!AQ13,$BK$7),COUNTIF('1.연간시수표'!AQ13,$BL$9),COUNTIF('1.연간시수표'!AQ13,$BL$7),COUNTIF('1.연간시수표'!AQ13,$BM$9),COUNTIF('1.연간시수표'!AQ13,$BM$7)),$BF$6,IF(OR(COUNTIF('1.연간시수표'!AQ13,$BO$9),COUNTIF('1.연간시수표'!AQ13,$BO$7)),$BO$6,IF(OR(COUNTIF('1.연간시수표'!AQ13,$BP$9),COUNTIF('1.연간시수표'!AQ13,$BP$7)),$BP$6,IF(OR(COUNTIF('1.연간시수표'!AQ13,$BQ$9),COUNTIF('1.연간시수표'!AQ13,$BQ$7)),$BQ$6,IF(OR(COUNTIF('1.연간시수표'!AQ13,$BR$9),COUNTIF('1.연간시수표'!AQ13,$BR$7)),$BR$6,"_")))))))))))))))</f>
        <v>_</v>
      </c>
      <c r="AR13" s="148" t="str">
        <f>IF(OR(COUNTIF('1.연간시수표'!AR13,$AT$9),COUNTIF('1.연간시수표'!AR13,$AT$7)),$AT$6,IF(OR(COUNTIF('1.연간시수표'!AR13,$AU$9),COUNTIF('1.연간시수표'!AR13,$AU$7)),$AU$6,IF(OR(COUNTIF('1.연간시수표'!AR13,$AV$9),COUNTIF('1.연간시수표'!AR13,$AV$7)),$AV$6,IF(OR(COUNTIF('1.연간시수표'!AR13,$AW$9),COUNTIF('1.연간시수표'!AR13,$AW$7)),$AW$6,IF(OR(COUNTIF('1.연간시수표'!AR13,$AX$9),COUNTIF('1.연간시수표'!AR13,$AX$7)),$AX$6,IF(OR(COUNTIF('1.연간시수표'!AR13,$AY$9),COUNTIF('1.연간시수표'!AR13,$AY$7)),$AY$6,IF(OR(COUNTIF('1.연간시수표'!AR13,$AZ$9),COUNTIF('1.연간시수표'!AR13,$AZ$7)),$AZ$6,IF(OR(COUNTIF('1.연간시수표'!AR13,$BA$9),COUNTIF('1.연간시수표'!AR13,$BA$7)),$BA$6,IF(OR(COUNTIF('1.연간시수표'!AR13,$BB$9),COUNTIF('1.연간시수표'!AR13,$BB$7)),$BB$6,IF(OR(COUNTIF('1.연간시수표'!AR13,$BC$9),COUNTIF('1.연간시수표'!AR13,$BC$7)),$BC$6,IF(OR(COUNTIF('1.연간시수표'!AR13,$BF$9),COUNTIF('1.연간시수표'!AR13,$BF$7),COUNTIF('1.연간시수표'!AR13,$BG$9),COUNTIF('1.연간시수표'!AR13,$BG$7),COUNTIF('1.연간시수표'!AR13,$BH$9),COUNTIF('1.연간시수표'!AR13,$BH$7),COUNTIF('1.연간시수표'!AR13,$BI$9),COUNTIF('1.연간시수표'!AR13,$BI$7),COUNTIF('1.연간시수표'!AR13,$BJ$9),COUNTIF('1.연간시수표'!AR13,$BJ$7),COUNTIF('1.연간시수표'!AR13,$BK$9),COUNTIF('1.연간시수표'!AR13,$BK$7),COUNTIF('1.연간시수표'!AR13,$BL$9),COUNTIF('1.연간시수표'!AR13,$BL$7),COUNTIF('1.연간시수표'!AR13,$BM$9),COUNTIF('1.연간시수표'!AR13,$BM$7)),$BF$6,IF(OR(COUNTIF('1.연간시수표'!AR13,$BO$9),COUNTIF('1.연간시수표'!AR13,$BO$7)),$BO$6,IF(OR(COUNTIF('1.연간시수표'!AR13,$BP$9),COUNTIF('1.연간시수표'!AR13,$BP$7)),$BP$6,IF(OR(COUNTIF('1.연간시수표'!AR13,$BQ$9),COUNTIF('1.연간시수표'!AR13,$BQ$7)),$BQ$6,IF(OR(COUNTIF('1.연간시수표'!AR13,$BR$9),COUNTIF('1.연간시수표'!AR13,$BR$7)),$BR$6,"_")))))))))))))))</f>
        <v>_</v>
      </c>
      <c r="BU13" s="142" t="str">
        <f>AT6</f>
        <v>국어</v>
      </c>
      <c r="BV13" s="142" t="str">
        <f t="shared" ref="BV13:BV27" si="0">BU13</f>
        <v>국어</v>
      </c>
    </row>
    <row r="14" spans="2:74">
      <c r="B14" s="6"/>
      <c r="C14" s="79">
        <f>'1.연간시수표'!C14</f>
        <v>5</v>
      </c>
      <c r="D14" s="3"/>
      <c r="E14" s="148" t="str">
        <f>IF(OR(COUNTIF('1.연간시수표'!E14,$AT$9),COUNTIF('1.연간시수표'!E14,$AT$7)),$AT$6,IF(OR(COUNTIF('1.연간시수표'!E14,$AU$9),COUNTIF('1.연간시수표'!E14,$AU$7)),$AU$6,IF(OR(COUNTIF('1.연간시수표'!E14,$AV$9),COUNTIF('1.연간시수표'!E14,$AV$7)),$AV$6,IF(OR(COUNTIF('1.연간시수표'!E14,$AW$9),COUNTIF('1.연간시수표'!E14,$AW$7)),$AW$6,IF(OR(COUNTIF('1.연간시수표'!E14,$AX$9),COUNTIF('1.연간시수표'!E14,$AX$7)),$AX$6,IF(OR(COUNTIF('1.연간시수표'!E14,$AY$9),COUNTIF('1.연간시수표'!E14,$AY$7)),$AY$6,IF(OR(COUNTIF('1.연간시수표'!E14,$AZ$9),COUNTIF('1.연간시수표'!E14,$AZ$7)),$AZ$6,IF(OR(COUNTIF('1.연간시수표'!E14,$BA$9),COUNTIF('1.연간시수표'!E14,$BA$7)),$BA$6,IF(OR(COUNTIF('1.연간시수표'!E14,$BB$9),COUNTIF('1.연간시수표'!E14,$BB$7)),$BB$6,IF(OR(COUNTIF('1.연간시수표'!E14,$BC$9),COUNTIF('1.연간시수표'!E14,$BC$7)),$BC$6,IF(OR(COUNTIF('1.연간시수표'!E14,$BF$9),COUNTIF('1.연간시수표'!E14,$BF$7),COUNTIF('1.연간시수표'!E14,$BG$9),COUNTIF('1.연간시수표'!E14,$BG$7),COUNTIF('1.연간시수표'!E14,$BH$9),COUNTIF('1.연간시수표'!E14,$BH$7),COUNTIF('1.연간시수표'!E14,$BI$9),COUNTIF('1.연간시수표'!E14,$BI$7),COUNTIF('1.연간시수표'!E14,$BJ$9),COUNTIF('1.연간시수표'!E14,$BJ$7),COUNTIF('1.연간시수표'!E14,$BK$9),COUNTIF('1.연간시수표'!E14,$BK$7),COUNTIF('1.연간시수표'!E14,$BL$9),COUNTIF('1.연간시수표'!E14,$BL$7),COUNTIF('1.연간시수표'!E14,$BM$9),COUNTIF('1.연간시수표'!E14,$BM$7)),$BF$6,IF(OR(COUNTIF('1.연간시수표'!E14,$BO$9),COUNTIF('1.연간시수표'!E14,$BO$7)),$BO$6,IF(OR(COUNTIF('1.연간시수표'!E14,$BP$9),COUNTIF('1.연간시수표'!E14,$BP$7)),$BP$6,IF(OR(COUNTIF('1.연간시수표'!E14,$BQ$9),COUNTIF('1.연간시수표'!E14,$BQ$7)),$BQ$6,IF(OR(COUNTIF('1.연간시수표'!E14,$BR$9),COUNTIF('1.연간시수표'!E14,$BR$7)),$BR$6,"_")))))))))))))))</f>
        <v>국어</v>
      </c>
      <c r="F14" s="148" t="str">
        <f>IF(OR(COUNTIF('1.연간시수표'!F14,$AT$9),COUNTIF('1.연간시수표'!F14,$AT$7)),$AT$6,IF(OR(COUNTIF('1.연간시수표'!F14,$AU$9),COUNTIF('1.연간시수표'!F14,$AU$7)),$AU$6,IF(OR(COUNTIF('1.연간시수표'!F14,$AV$9),COUNTIF('1.연간시수표'!F14,$AV$7)),$AV$6,IF(OR(COUNTIF('1.연간시수표'!F14,$AW$9),COUNTIF('1.연간시수표'!F14,$AW$7)),$AW$6,IF(OR(COUNTIF('1.연간시수표'!F14,$AX$9),COUNTIF('1.연간시수표'!F14,$AX$7)),$AX$6,IF(OR(COUNTIF('1.연간시수표'!F14,$AY$9),COUNTIF('1.연간시수표'!F14,$AY$7)),$AY$6,IF(OR(COUNTIF('1.연간시수표'!F14,$AZ$9),COUNTIF('1.연간시수표'!F14,$AZ$7)),$AZ$6,IF(OR(COUNTIF('1.연간시수표'!F14,$BA$9),COUNTIF('1.연간시수표'!F14,$BA$7)),$BA$6,IF(OR(COUNTIF('1.연간시수표'!F14,$BB$9),COUNTIF('1.연간시수표'!F14,$BB$7)),$BB$6,IF(OR(COUNTIF('1.연간시수표'!F14,$BC$9),COUNTIF('1.연간시수표'!F14,$BC$7)),$BC$6,IF(OR(COUNTIF('1.연간시수표'!F14,$BF$9),COUNTIF('1.연간시수표'!F14,$BF$7),COUNTIF('1.연간시수표'!F14,$BG$9),COUNTIF('1.연간시수표'!F14,$BG$7),COUNTIF('1.연간시수표'!F14,$BH$9),COUNTIF('1.연간시수표'!F14,$BH$7),COUNTIF('1.연간시수표'!F14,$BI$9),COUNTIF('1.연간시수표'!F14,$BI$7),COUNTIF('1.연간시수표'!F14,$BJ$9),COUNTIF('1.연간시수표'!F14,$BJ$7),COUNTIF('1.연간시수표'!F14,$BK$9),COUNTIF('1.연간시수표'!F14,$BK$7),COUNTIF('1.연간시수표'!F14,$BL$9),COUNTIF('1.연간시수표'!F14,$BL$7),COUNTIF('1.연간시수표'!F14,$BM$9),COUNTIF('1.연간시수표'!F14,$BM$7)),$BF$6,IF(OR(COUNTIF('1.연간시수표'!F14,$BO$9),COUNTIF('1.연간시수표'!F14,$BO$7)),$BO$6,IF(OR(COUNTIF('1.연간시수표'!F14,$BP$9),COUNTIF('1.연간시수표'!F14,$BP$7)),$BP$6,IF(OR(COUNTIF('1.연간시수표'!F14,$BQ$9),COUNTIF('1.연간시수표'!F14,$BQ$7)),$BQ$6,IF(OR(COUNTIF('1.연간시수표'!F14,$BR$9),COUNTIF('1.연간시수표'!F14,$BR$7)),$BR$6,"_")))))))))))))))</f>
        <v>미술</v>
      </c>
      <c r="G14" s="148" t="str">
        <f>IF(OR(COUNTIF('1.연간시수표'!G14,$AT$9),COUNTIF('1.연간시수표'!G14,$AT$7)),$AT$6,IF(OR(COUNTIF('1.연간시수표'!G14,$AU$9),COUNTIF('1.연간시수표'!G14,$AU$7)),$AU$6,IF(OR(COUNTIF('1.연간시수표'!G14,$AV$9),COUNTIF('1.연간시수표'!G14,$AV$7)),$AV$6,IF(OR(COUNTIF('1.연간시수표'!G14,$AW$9),COUNTIF('1.연간시수표'!G14,$AW$7)),$AW$6,IF(OR(COUNTIF('1.연간시수표'!G14,$AX$9),COUNTIF('1.연간시수표'!G14,$AX$7)),$AX$6,IF(OR(COUNTIF('1.연간시수표'!G14,$AY$9),COUNTIF('1.연간시수표'!G14,$AY$7)),$AY$6,IF(OR(COUNTIF('1.연간시수표'!G14,$AZ$9),COUNTIF('1.연간시수표'!G14,$AZ$7)),$AZ$6,IF(OR(COUNTIF('1.연간시수표'!G14,$BA$9),COUNTIF('1.연간시수표'!G14,$BA$7)),$BA$6,IF(OR(COUNTIF('1.연간시수표'!G14,$BB$9),COUNTIF('1.연간시수표'!G14,$BB$7)),$BB$6,IF(OR(COUNTIF('1.연간시수표'!G14,$BC$9),COUNTIF('1.연간시수표'!G14,$BC$7)),$BC$6,IF(OR(COUNTIF('1.연간시수표'!G14,$BF$9),COUNTIF('1.연간시수표'!G14,$BF$7),COUNTIF('1.연간시수표'!G14,$BG$9),COUNTIF('1.연간시수표'!G14,$BG$7),COUNTIF('1.연간시수표'!G14,$BH$9),COUNTIF('1.연간시수표'!G14,$BH$7),COUNTIF('1.연간시수표'!G14,$BI$9),COUNTIF('1.연간시수표'!G14,$BI$7),COUNTIF('1.연간시수표'!G14,$BJ$9),COUNTIF('1.연간시수표'!G14,$BJ$7),COUNTIF('1.연간시수표'!G14,$BK$9),COUNTIF('1.연간시수표'!G14,$BK$7),COUNTIF('1.연간시수표'!G14,$BL$9),COUNTIF('1.연간시수표'!G14,$BL$7),COUNTIF('1.연간시수표'!G14,$BM$9),COUNTIF('1.연간시수표'!G14,$BM$7)),$BF$6,IF(OR(COUNTIF('1.연간시수표'!G14,$BO$9),COUNTIF('1.연간시수표'!G14,$BO$7)),$BO$6,IF(OR(COUNTIF('1.연간시수표'!G14,$BP$9),COUNTIF('1.연간시수표'!G14,$BP$7)),$BP$6,IF(OR(COUNTIF('1.연간시수표'!G14,$BQ$9),COUNTIF('1.연간시수표'!G14,$BQ$7)),$BQ$6,IF(OR(COUNTIF('1.연간시수표'!G14,$BR$9),COUNTIF('1.연간시수표'!G14,$BR$7)),$BR$6,"_")))))))))))))))</f>
        <v>미술</v>
      </c>
      <c r="H14" s="148" t="str">
        <f>IF(OR(COUNTIF('1.연간시수표'!H14,$AT$9),COUNTIF('1.연간시수표'!H14,$AT$7)),$AT$6,IF(OR(COUNTIF('1.연간시수표'!H14,$AU$9),COUNTIF('1.연간시수표'!H14,$AU$7)),$AU$6,IF(OR(COUNTIF('1.연간시수표'!H14,$AV$9),COUNTIF('1.연간시수표'!H14,$AV$7)),$AV$6,IF(OR(COUNTIF('1.연간시수표'!H14,$AW$9),COUNTIF('1.연간시수표'!H14,$AW$7)),$AW$6,IF(OR(COUNTIF('1.연간시수표'!H14,$AX$9),COUNTIF('1.연간시수표'!H14,$AX$7)),$AX$6,IF(OR(COUNTIF('1.연간시수표'!H14,$AY$9),COUNTIF('1.연간시수표'!H14,$AY$7)),$AY$6,IF(OR(COUNTIF('1.연간시수표'!H14,$AZ$9),COUNTIF('1.연간시수표'!H14,$AZ$7)),$AZ$6,IF(OR(COUNTIF('1.연간시수표'!H14,$BA$9),COUNTIF('1.연간시수표'!H14,$BA$7)),$BA$6,IF(OR(COUNTIF('1.연간시수표'!H14,$BB$9),COUNTIF('1.연간시수표'!H14,$BB$7)),$BB$6,IF(OR(COUNTIF('1.연간시수표'!H14,$BC$9),COUNTIF('1.연간시수표'!H14,$BC$7)),$BC$6,IF(OR(COUNTIF('1.연간시수표'!H14,$BF$9),COUNTIF('1.연간시수표'!H14,$BF$7),COUNTIF('1.연간시수표'!H14,$BG$9),COUNTIF('1.연간시수표'!H14,$BG$7),COUNTIF('1.연간시수표'!H14,$BH$9),COUNTIF('1.연간시수표'!H14,$BH$7),COUNTIF('1.연간시수표'!H14,$BI$9),COUNTIF('1.연간시수표'!H14,$BI$7),COUNTIF('1.연간시수표'!H14,$BJ$9),COUNTIF('1.연간시수표'!H14,$BJ$7),COUNTIF('1.연간시수표'!H14,$BK$9),COUNTIF('1.연간시수표'!H14,$BK$7),COUNTIF('1.연간시수표'!H14,$BL$9),COUNTIF('1.연간시수표'!H14,$BL$7),COUNTIF('1.연간시수표'!H14,$BM$9),COUNTIF('1.연간시수표'!H14,$BM$7)),$BF$6,IF(OR(COUNTIF('1.연간시수표'!H14,$BO$9),COUNTIF('1.연간시수표'!H14,$BO$7)),$BO$6,IF(OR(COUNTIF('1.연간시수표'!H14,$BP$9),COUNTIF('1.연간시수표'!H14,$BP$7)),$BP$6,IF(OR(COUNTIF('1.연간시수표'!H14,$BQ$9),COUNTIF('1.연간시수표'!H14,$BQ$7)),$BQ$6,IF(OR(COUNTIF('1.연간시수표'!H14,$BR$9),COUNTIF('1.연간시수표'!H14,$BR$7)),$BR$6,"_")))))))))))))))</f>
        <v>영어</v>
      </c>
      <c r="I14" s="148" t="str">
        <f>IF(OR(COUNTIF('1.연간시수표'!I14,$AT$9),COUNTIF('1.연간시수표'!I14,$AT$7)),$AT$6,IF(OR(COUNTIF('1.연간시수표'!I14,$AU$9),COUNTIF('1.연간시수표'!I14,$AU$7)),$AU$6,IF(OR(COUNTIF('1.연간시수표'!I14,$AV$9),COUNTIF('1.연간시수표'!I14,$AV$7)),$AV$6,IF(OR(COUNTIF('1.연간시수표'!I14,$AW$9),COUNTIF('1.연간시수표'!I14,$AW$7)),$AW$6,IF(OR(COUNTIF('1.연간시수표'!I14,$AX$9),COUNTIF('1.연간시수표'!I14,$AX$7)),$AX$6,IF(OR(COUNTIF('1.연간시수표'!I14,$AY$9),COUNTIF('1.연간시수표'!I14,$AY$7)),$AY$6,IF(OR(COUNTIF('1.연간시수표'!I14,$AZ$9),COUNTIF('1.연간시수표'!I14,$AZ$7)),$AZ$6,IF(OR(COUNTIF('1.연간시수표'!I14,$BA$9),COUNTIF('1.연간시수표'!I14,$BA$7)),$BA$6,IF(OR(COUNTIF('1.연간시수표'!I14,$BB$9),COUNTIF('1.연간시수표'!I14,$BB$7)),$BB$6,IF(OR(COUNTIF('1.연간시수표'!I14,$BC$9),COUNTIF('1.연간시수표'!I14,$BC$7)),$BC$6,IF(OR(COUNTIF('1.연간시수표'!I14,$BF$9),COUNTIF('1.연간시수표'!I14,$BF$7),COUNTIF('1.연간시수표'!I14,$BG$9),COUNTIF('1.연간시수표'!I14,$BG$7),COUNTIF('1.연간시수표'!I14,$BH$9),COUNTIF('1.연간시수표'!I14,$BH$7),COUNTIF('1.연간시수표'!I14,$BI$9),COUNTIF('1.연간시수표'!I14,$BI$7),COUNTIF('1.연간시수표'!I14,$BJ$9),COUNTIF('1.연간시수표'!I14,$BJ$7),COUNTIF('1.연간시수표'!I14,$BK$9),COUNTIF('1.연간시수표'!I14,$BK$7),COUNTIF('1.연간시수표'!I14,$BL$9),COUNTIF('1.연간시수표'!I14,$BL$7),COUNTIF('1.연간시수표'!I14,$BM$9),COUNTIF('1.연간시수표'!I14,$BM$7)),$BF$6,IF(OR(COUNTIF('1.연간시수표'!I14,$BO$9),COUNTIF('1.연간시수표'!I14,$BO$7)),$BO$6,IF(OR(COUNTIF('1.연간시수표'!I14,$BP$9),COUNTIF('1.연간시수표'!I14,$BP$7)),$BP$6,IF(OR(COUNTIF('1.연간시수표'!I14,$BQ$9),COUNTIF('1.연간시수표'!I14,$BQ$7)),$BQ$6,IF(OR(COUNTIF('1.연간시수표'!I14,$BR$9),COUNTIF('1.연간시수표'!I14,$BR$7)),$BR$6,"_")))))))))))))))</f>
        <v>수학</v>
      </c>
      <c r="J14" s="148" t="str">
        <f>IF(OR(COUNTIF('1.연간시수표'!J14,$AT$9),COUNTIF('1.연간시수표'!J14,$AT$7)),$AT$6,IF(OR(COUNTIF('1.연간시수표'!J14,$AU$9),COUNTIF('1.연간시수표'!J14,$AU$7)),$AU$6,IF(OR(COUNTIF('1.연간시수표'!J14,$AV$9),COUNTIF('1.연간시수표'!J14,$AV$7)),$AV$6,IF(OR(COUNTIF('1.연간시수표'!J14,$AW$9),COUNTIF('1.연간시수표'!J14,$AW$7)),$AW$6,IF(OR(COUNTIF('1.연간시수표'!J14,$AX$9),COUNTIF('1.연간시수표'!J14,$AX$7)),$AX$6,IF(OR(COUNTIF('1.연간시수표'!J14,$AY$9),COUNTIF('1.연간시수표'!J14,$AY$7)),$AY$6,IF(OR(COUNTIF('1.연간시수표'!J14,$AZ$9),COUNTIF('1.연간시수표'!J14,$AZ$7)),$AZ$6,IF(OR(COUNTIF('1.연간시수표'!J14,$BA$9),COUNTIF('1.연간시수표'!J14,$BA$7)),$BA$6,IF(OR(COUNTIF('1.연간시수표'!J14,$BB$9),COUNTIF('1.연간시수표'!J14,$BB$7)),$BB$6,IF(OR(COUNTIF('1.연간시수표'!J14,$BC$9),COUNTIF('1.연간시수표'!J14,$BC$7)),$BC$6,IF(OR(COUNTIF('1.연간시수표'!J14,$BF$9),COUNTIF('1.연간시수표'!J14,$BF$7),COUNTIF('1.연간시수표'!J14,$BG$9),COUNTIF('1.연간시수표'!J14,$BG$7),COUNTIF('1.연간시수표'!J14,$BH$9),COUNTIF('1.연간시수표'!J14,$BH$7),COUNTIF('1.연간시수표'!J14,$BI$9),COUNTIF('1.연간시수표'!J14,$BI$7),COUNTIF('1.연간시수표'!J14,$BJ$9),COUNTIF('1.연간시수표'!J14,$BJ$7),COUNTIF('1.연간시수표'!J14,$BK$9),COUNTIF('1.연간시수표'!J14,$BK$7),COUNTIF('1.연간시수표'!J14,$BL$9),COUNTIF('1.연간시수표'!J14,$BL$7),COUNTIF('1.연간시수표'!J14,$BM$9),COUNTIF('1.연간시수표'!J14,$BM$7)),$BF$6,IF(OR(COUNTIF('1.연간시수표'!J14,$BO$9),COUNTIF('1.연간시수표'!J14,$BO$7)),$BO$6,IF(OR(COUNTIF('1.연간시수표'!J14,$BP$9),COUNTIF('1.연간시수표'!J14,$BP$7)),$BP$6,IF(OR(COUNTIF('1.연간시수표'!J14,$BQ$9),COUNTIF('1.연간시수표'!J14,$BQ$7)),$BQ$6,IF(OR(COUNTIF('1.연간시수표'!J14,$BR$9),COUNTIF('1.연간시수표'!J14,$BR$7)),$BR$6,"_")))))))))))))))</f>
        <v>자율활동</v>
      </c>
      <c r="K14" s="148" t="str">
        <f>IF(OR(COUNTIF('1.연간시수표'!K14,$AT$9),COUNTIF('1.연간시수표'!K14,$AT$7)),$AT$6,IF(OR(COUNTIF('1.연간시수표'!K14,$AU$9),COUNTIF('1.연간시수표'!K14,$AU$7)),$AU$6,IF(OR(COUNTIF('1.연간시수표'!K14,$AV$9),COUNTIF('1.연간시수표'!K14,$AV$7)),$AV$6,IF(OR(COUNTIF('1.연간시수표'!K14,$AW$9),COUNTIF('1.연간시수표'!K14,$AW$7)),$AW$6,IF(OR(COUNTIF('1.연간시수표'!K14,$AX$9),COUNTIF('1.연간시수표'!K14,$AX$7)),$AX$6,IF(OR(COUNTIF('1.연간시수표'!K14,$AY$9),COUNTIF('1.연간시수표'!K14,$AY$7)),$AY$6,IF(OR(COUNTIF('1.연간시수표'!K14,$AZ$9),COUNTIF('1.연간시수표'!K14,$AZ$7)),$AZ$6,IF(OR(COUNTIF('1.연간시수표'!K14,$BA$9),COUNTIF('1.연간시수표'!K14,$BA$7)),$BA$6,IF(OR(COUNTIF('1.연간시수표'!K14,$BB$9),COUNTIF('1.연간시수표'!K14,$BB$7)),$BB$6,IF(OR(COUNTIF('1.연간시수표'!K14,$BC$9),COUNTIF('1.연간시수표'!K14,$BC$7)),$BC$6,IF(OR(COUNTIF('1.연간시수표'!K14,$BF$9),COUNTIF('1.연간시수표'!K14,$BF$7),COUNTIF('1.연간시수표'!K14,$BG$9),COUNTIF('1.연간시수표'!K14,$BG$7),COUNTIF('1.연간시수표'!K14,$BH$9),COUNTIF('1.연간시수표'!K14,$BH$7),COUNTIF('1.연간시수표'!K14,$BI$9),COUNTIF('1.연간시수표'!K14,$BI$7),COUNTIF('1.연간시수표'!K14,$BJ$9),COUNTIF('1.연간시수표'!K14,$BJ$7),COUNTIF('1.연간시수표'!K14,$BK$9),COUNTIF('1.연간시수표'!K14,$BK$7),COUNTIF('1.연간시수표'!K14,$BL$9),COUNTIF('1.연간시수표'!K14,$BL$7),COUNTIF('1.연간시수표'!K14,$BM$9),COUNTIF('1.연간시수표'!K14,$BM$7)),$BF$6,IF(OR(COUNTIF('1.연간시수표'!K14,$BO$9),COUNTIF('1.연간시수표'!K14,$BO$7)),$BO$6,IF(OR(COUNTIF('1.연간시수표'!K14,$BP$9),COUNTIF('1.연간시수표'!K14,$BP$7)),$BP$6,IF(OR(COUNTIF('1.연간시수표'!K14,$BQ$9),COUNTIF('1.연간시수표'!K14,$BQ$7)),$BQ$6,IF(OR(COUNTIF('1.연간시수표'!K14,$BR$9),COUNTIF('1.연간시수표'!K14,$BR$7)),$BR$6,"_")))))))))))))))</f>
        <v>_</v>
      </c>
      <c r="L14" s="148" t="str">
        <f>IF(OR(COUNTIF('1.연간시수표'!L14,$AT$9),COUNTIF('1.연간시수표'!L14,$AT$7)),$AT$6,IF(OR(COUNTIF('1.연간시수표'!L14,$AU$9),COUNTIF('1.연간시수표'!L14,$AU$7)),$AU$6,IF(OR(COUNTIF('1.연간시수표'!L14,$AV$9),COUNTIF('1.연간시수표'!L14,$AV$7)),$AV$6,IF(OR(COUNTIF('1.연간시수표'!L14,$AW$9),COUNTIF('1.연간시수표'!L14,$AW$7)),$AW$6,IF(OR(COUNTIF('1.연간시수표'!L14,$AX$9),COUNTIF('1.연간시수표'!L14,$AX$7)),$AX$6,IF(OR(COUNTIF('1.연간시수표'!L14,$AY$9),COUNTIF('1.연간시수표'!L14,$AY$7)),$AY$6,IF(OR(COUNTIF('1.연간시수표'!L14,$AZ$9),COUNTIF('1.연간시수표'!L14,$AZ$7)),$AZ$6,IF(OR(COUNTIF('1.연간시수표'!L14,$BA$9),COUNTIF('1.연간시수표'!L14,$BA$7)),$BA$6,IF(OR(COUNTIF('1.연간시수표'!L14,$BB$9),COUNTIF('1.연간시수표'!L14,$BB$7)),$BB$6,IF(OR(COUNTIF('1.연간시수표'!L14,$BC$9),COUNTIF('1.연간시수표'!L14,$BC$7)),$BC$6,IF(OR(COUNTIF('1.연간시수표'!L14,$BF$9),COUNTIF('1.연간시수표'!L14,$BF$7),COUNTIF('1.연간시수표'!L14,$BG$9),COUNTIF('1.연간시수표'!L14,$BG$7),COUNTIF('1.연간시수표'!L14,$BH$9),COUNTIF('1.연간시수표'!L14,$BH$7),COUNTIF('1.연간시수표'!L14,$BI$9),COUNTIF('1.연간시수표'!L14,$BI$7),COUNTIF('1.연간시수표'!L14,$BJ$9),COUNTIF('1.연간시수표'!L14,$BJ$7),COUNTIF('1.연간시수표'!L14,$BK$9),COUNTIF('1.연간시수표'!L14,$BK$7),COUNTIF('1.연간시수표'!L14,$BL$9),COUNTIF('1.연간시수표'!L14,$BL$7),COUNTIF('1.연간시수표'!L14,$BM$9),COUNTIF('1.연간시수표'!L14,$BM$7)),$BF$6,IF(OR(COUNTIF('1.연간시수표'!L14,$BO$9),COUNTIF('1.연간시수표'!L14,$BO$7)),$BO$6,IF(OR(COUNTIF('1.연간시수표'!L14,$BP$9),COUNTIF('1.연간시수표'!L14,$BP$7)),$BP$6,IF(OR(COUNTIF('1.연간시수표'!L14,$BQ$9),COUNTIF('1.연간시수표'!L14,$BQ$7)),$BQ$6,IF(OR(COUNTIF('1.연간시수표'!L14,$BR$9),COUNTIF('1.연간시수표'!L14,$BR$7)),$BR$6,"_")))))))))))))))</f>
        <v>_</v>
      </c>
      <c r="M14" s="148" t="str">
        <f>IF(OR(COUNTIF('1.연간시수표'!M14,$AT$9),COUNTIF('1.연간시수표'!M14,$AT$7)),$AT$6,IF(OR(COUNTIF('1.연간시수표'!M14,$AU$9),COUNTIF('1.연간시수표'!M14,$AU$7)),$AU$6,IF(OR(COUNTIF('1.연간시수표'!M14,$AV$9),COUNTIF('1.연간시수표'!M14,$AV$7)),$AV$6,IF(OR(COUNTIF('1.연간시수표'!M14,$AW$9),COUNTIF('1.연간시수표'!M14,$AW$7)),$AW$6,IF(OR(COUNTIF('1.연간시수표'!M14,$AX$9),COUNTIF('1.연간시수표'!M14,$AX$7)),$AX$6,IF(OR(COUNTIF('1.연간시수표'!M14,$AY$9),COUNTIF('1.연간시수표'!M14,$AY$7)),$AY$6,IF(OR(COUNTIF('1.연간시수표'!M14,$AZ$9),COUNTIF('1.연간시수표'!M14,$AZ$7)),$AZ$6,IF(OR(COUNTIF('1.연간시수표'!M14,$BA$9),COUNTIF('1.연간시수표'!M14,$BA$7)),$BA$6,IF(OR(COUNTIF('1.연간시수표'!M14,$BB$9),COUNTIF('1.연간시수표'!M14,$BB$7)),$BB$6,IF(OR(COUNTIF('1.연간시수표'!M14,$BC$9),COUNTIF('1.연간시수표'!M14,$BC$7)),$BC$6,IF(OR(COUNTIF('1.연간시수표'!M14,$BF$9),COUNTIF('1.연간시수표'!M14,$BF$7),COUNTIF('1.연간시수표'!M14,$BG$9),COUNTIF('1.연간시수표'!M14,$BG$7),COUNTIF('1.연간시수표'!M14,$BH$9),COUNTIF('1.연간시수표'!M14,$BH$7),COUNTIF('1.연간시수표'!M14,$BI$9),COUNTIF('1.연간시수표'!M14,$BI$7),COUNTIF('1.연간시수표'!M14,$BJ$9),COUNTIF('1.연간시수표'!M14,$BJ$7),COUNTIF('1.연간시수표'!M14,$BK$9),COUNTIF('1.연간시수표'!M14,$BK$7),COUNTIF('1.연간시수표'!M14,$BL$9),COUNTIF('1.연간시수표'!M14,$BL$7),COUNTIF('1.연간시수표'!M14,$BM$9),COUNTIF('1.연간시수표'!M14,$BM$7)),$BF$6,IF(OR(COUNTIF('1.연간시수표'!M14,$BO$9),COUNTIF('1.연간시수표'!M14,$BO$7)),$BO$6,IF(OR(COUNTIF('1.연간시수표'!M14,$BP$9),COUNTIF('1.연간시수표'!M14,$BP$7)),$BP$6,IF(OR(COUNTIF('1.연간시수표'!M14,$BQ$9),COUNTIF('1.연간시수표'!M14,$BQ$7)),$BQ$6,IF(OR(COUNTIF('1.연간시수표'!M14,$BR$9),COUNTIF('1.연간시수표'!M14,$BR$7)),$BR$6,"_")))))))))))))))</f>
        <v>국어</v>
      </c>
      <c r="N14" s="148" t="str">
        <f>IF(OR(COUNTIF('1.연간시수표'!N14,$AT$9),COUNTIF('1.연간시수표'!N14,$AT$7)),$AT$6,IF(OR(COUNTIF('1.연간시수표'!N14,$AU$9),COUNTIF('1.연간시수표'!N14,$AU$7)),$AU$6,IF(OR(COUNTIF('1.연간시수표'!N14,$AV$9),COUNTIF('1.연간시수표'!N14,$AV$7)),$AV$6,IF(OR(COUNTIF('1.연간시수표'!N14,$AW$9),COUNTIF('1.연간시수표'!N14,$AW$7)),$AW$6,IF(OR(COUNTIF('1.연간시수표'!N14,$AX$9),COUNTIF('1.연간시수표'!N14,$AX$7)),$AX$6,IF(OR(COUNTIF('1.연간시수표'!N14,$AY$9),COUNTIF('1.연간시수표'!N14,$AY$7)),$AY$6,IF(OR(COUNTIF('1.연간시수표'!N14,$AZ$9),COUNTIF('1.연간시수표'!N14,$AZ$7)),$AZ$6,IF(OR(COUNTIF('1.연간시수표'!N14,$BA$9),COUNTIF('1.연간시수표'!N14,$BA$7)),$BA$6,IF(OR(COUNTIF('1.연간시수표'!N14,$BB$9),COUNTIF('1.연간시수표'!N14,$BB$7)),$BB$6,IF(OR(COUNTIF('1.연간시수표'!N14,$BC$9),COUNTIF('1.연간시수표'!N14,$BC$7)),$BC$6,IF(OR(COUNTIF('1.연간시수표'!N14,$BF$9),COUNTIF('1.연간시수표'!N14,$BF$7),COUNTIF('1.연간시수표'!N14,$BG$9),COUNTIF('1.연간시수표'!N14,$BG$7),COUNTIF('1.연간시수표'!N14,$BH$9),COUNTIF('1.연간시수표'!N14,$BH$7),COUNTIF('1.연간시수표'!N14,$BI$9),COUNTIF('1.연간시수표'!N14,$BI$7),COUNTIF('1.연간시수표'!N14,$BJ$9),COUNTIF('1.연간시수표'!N14,$BJ$7),COUNTIF('1.연간시수표'!N14,$BK$9),COUNTIF('1.연간시수표'!N14,$BK$7),COUNTIF('1.연간시수표'!N14,$BL$9),COUNTIF('1.연간시수표'!N14,$BL$7),COUNTIF('1.연간시수표'!N14,$BM$9),COUNTIF('1.연간시수표'!N14,$BM$7)),$BF$6,IF(OR(COUNTIF('1.연간시수표'!N14,$BO$9),COUNTIF('1.연간시수표'!N14,$BO$7)),$BO$6,IF(OR(COUNTIF('1.연간시수표'!N14,$BP$9),COUNTIF('1.연간시수표'!N14,$BP$7)),$BP$6,IF(OR(COUNTIF('1.연간시수표'!N14,$BQ$9),COUNTIF('1.연간시수표'!N14,$BQ$7)),$BQ$6,IF(OR(COUNTIF('1.연간시수표'!N14,$BR$9),COUNTIF('1.연간시수표'!N14,$BR$7)),$BR$6,"_")))))))))))))))</f>
        <v>국어</v>
      </c>
      <c r="O14" s="148" t="str">
        <f>IF(OR(COUNTIF('1.연간시수표'!O14,$AT$9),COUNTIF('1.연간시수표'!O14,$AT$7)),$AT$6,IF(OR(COUNTIF('1.연간시수표'!O14,$AU$9),COUNTIF('1.연간시수표'!O14,$AU$7)),$AU$6,IF(OR(COUNTIF('1.연간시수표'!O14,$AV$9),COUNTIF('1.연간시수표'!O14,$AV$7)),$AV$6,IF(OR(COUNTIF('1.연간시수표'!O14,$AW$9),COUNTIF('1.연간시수표'!O14,$AW$7)),$AW$6,IF(OR(COUNTIF('1.연간시수표'!O14,$AX$9),COUNTIF('1.연간시수표'!O14,$AX$7)),$AX$6,IF(OR(COUNTIF('1.연간시수표'!O14,$AY$9),COUNTIF('1.연간시수표'!O14,$AY$7)),$AY$6,IF(OR(COUNTIF('1.연간시수표'!O14,$AZ$9),COUNTIF('1.연간시수표'!O14,$AZ$7)),$AZ$6,IF(OR(COUNTIF('1.연간시수표'!O14,$BA$9),COUNTIF('1.연간시수표'!O14,$BA$7)),$BA$6,IF(OR(COUNTIF('1.연간시수표'!O14,$BB$9),COUNTIF('1.연간시수표'!O14,$BB$7)),$BB$6,IF(OR(COUNTIF('1.연간시수표'!O14,$BC$9),COUNTIF('1.연간시수표'!O14,$BC$7)),$BC$6,IF(OR(COUNTIF('1.연간시수표'!O14,$BF$9),COUNTIF('1.연간시수표'!O14,$BF$7),COUNTIF('1.연간시수표'!O14,$BG$9),COUNTIF('1.연간시수표'!O14,$BG$7),COUNTIF('1.연간시수표'!O14,$BH$9),COUNTIF('1.연간시수표'!O14,$BH$7),COUNTIF('1.연간시수표'!O14,$BI$9),COUNTIF('1.연간시수표'!O14,$BI$7),COUNTIF('1.연간시수표'!O14,$BJ$9),COUNTIF('1.연간시수표'!O14,$BJ$7),COUNTIF('1.연간시수표'!O14,$BK$9),COUNTIF('1.연간시수표'!O14,$BK$7),COUNTIF('1.연간시수표'!O14,$BL$9),COUNTIF('1.연간시수표'!O14,$BL$7),COUNTIF('1.연간시수표'!O14,$BM$9),COUNTIF('1.연간시수표'!O14,$BM$7)),$BF$6,IF(OR(COUNTIF('1.연간시수표'!O14,$BO$9),COUNTIF('1.연간시수표'!O14,$BO$7)),$BO$6,IF(OR(COUNTIF('1.연간시수표'!O14,$BP$9),COUNTIF('1.연간시수표'!O14,$BP$7)),$BP$6,IF(OR(COUNTIF('1.연간시수표'!O14,$BQ$9),COUNTIF('1.연간시수표'!O14,$BQ$7)),$BQ$6,IF(OR(COUNTIF('1.연간시수표'!O14,$BR$9),COUNTIF('1.연간시수표'!O14,$BR$7)),$BR$6,"_")))))))))))))))</f>
        <v>사회</v>
      </c>
      <c r="P14" s="148" t="str">
        <f>IF(OR(COUNTIF('1.연간시수표'!P14,$AT$9),COUNTIF('1.연간시수표'!P14,$AT$7)),$AT$6,IF(OR(COUNTIF('1.연간시수표'!P14,$AU$9),COUNTIF('1.연간시수표'!P14,$AU$7)),$AU$6,IF(OR(COUNTIF('1.연간시수표'!P14,$AV$9),COUNTIF('1.연간시수표'!P14,$AV$7)),$AV$6,IF(OR(COUNTIF('1.연간시수표'!P14,$AW$9),COUNTIF('1.연간시수표'!P14,$AW$7)),$AW$6,IF(OR(COUNTIF('1.연간시수표'!P14,$AX$9),COUNTIF('1.연간시수표'!P14,$AX$7)),$AX$6,IF(OR(COUNTIF('1.연간시수표'!P14,$AY$9),COUNTIF('1.연간시수표'!P14,$AY$7)),$AY$6,IF(OR(COUNTIF('1.연간시수표'!P14,$AZ$9),COUNTIF('1.연간시수표'!P14,$AZ$7)),$AZ$6,IF(OR(COUNTIF('1.연간시수표'!P14,$BA$9),COUNTIF('1.연간시수표'!P14,$BA$7)),$BA$6,IF(OR(COUNTIF('1.연간시수표'!P14,$BB$9),COUNTIF('1.연간시수표'!P14,$BB$7)),$BB$6,IF(OR(COUNTIF('1.연간시수표'!P14,$BC$9),COUNTIF('1.연간시수표'!P14,$BC$7)),$BC$6,IF(OR(COUNTIF('1.연간시수표'!P14,$BF$9),COUNTIF('1.연간시수표'!P14,$BF$7),COUNTIF('1.연간시수표'!P14,$BG$9),COUNTIF('1.연간시수표'!P14,$BG$7),COUNTIF('1.연간시수표'!P14,$BH$9),COUNTIF('1.연간시수표'!P14,$BH$7),COUNTIF('1.연간시수표'!P14,$BI$9),COUNTIF('1.연간시수표'!P14,$BI$7),COUNTIF('1.연간시수표'!P14,$BJ$9),COUNTIF('1.연간시수표'!P14,$BJ$7),COUNTIF('1.연간시수표'!P14,$BK$9),COUNTIF('1.연간시수표'!P14,$BK$7),COUNTIF('1.연간시수표'!P14,$BL$9),COUNTIF('1.연간시수표'!P14,$BL$7),COUNTIF('1.연간시수표'!P14,$BM$9),COUNTIF('1.연간시수표'!P14,$BM$7)),$BF$6,IF(OR(COUNTIF('1.연간시수표'!P14,$BO$9),COUNTIF('1.연간시수표'!P14,$BO$7)),$BO$6,IF(OR(COUNTIF('1.연간시수표'!P14,$BP$9),COUNTIF('1.연간시수표'!P14,$BP$7)),$BP$6,IF(OR(COUNTIF('1.연간시수표'!P14,$BQ$9),COUNTIF('1.연간시수표'!P14,$BQ$7)),$BQ$6,IF(OR(COUNTIF('1.연간시수표'!P14,$BR$9),COUNTIF('1.연간시수표'!P14,$BR$7)),$BR$6,"_")))))))))))))))</f>
        <v>수학</v>
      </c>
      <c r="Q14" s="148" t="str">
        <f>IF(OR(COUNTIF('1.연간시수표'!Q14,$AT$9),COUNTIF('1.연간시수표'!Q14,$AT$7)),$AT$6,IF(OR(COUNTIF('1.연간시수표'!Q14,$AU$9),COUNTIF('1.연간시수표'!Q14,$AU$7)),$AU$6,IF(OR(COUNTIF('1.연간시수표'!Q14,$AV$9),COUNTIF('1.연간시수표'!Q14,$AV$7)),$AV$6,IF(OR(COUNTIF('1.연간시수표'!Q14,$AW$9),COUNTIF('1.연간시수표'!Q14,$AW$7)),$AW$6,IF(OR(COUNTIF('1.연간시수표'!Q14,$AX$9),COUNTIF('1.연간시수표'!Q14,$AX$7)),$AX$6,IF(OR(COUNTIF('1.연간시수표'!Q14,$AY$9),COUNTIF('1.연간시수표'!Q14,$AY$7)),$AY$6,IF(OR(COUNTIF('1.연간시수표'!Q14,$AZ$9),COUNTIF('1.연간시수표'!Q14,$AZ$7)),$AZ$6,IF(OR(COUNTIF('1.연간시수표'!Q14,$BA$9),COUNTIF('1.연간시수표'!Q14,$BA$7)),$BA$6,IF(OR(COUNTIF('1.연간시수표'!Q14,$BB$9),COUNTIF('1.연간시수표'!Q14,$BB$7)),$BB$6,IF(OR(COUNTIF('1.연간시수표'!Q14,$BC$9),COUNTIF('1.연간시수표'!Q14,$BC$7)),$BC$6,IF(OR(COUNTIF('1.연간시수표'!Q14,$BF$9),COUNTIF('1.연간시수표'!Q14,$BF$7),COUNTIF('1.연간시수표'!Q14,$BG$9),COUNTIF('1.연간시수표'!Q14,$BG$7),COUNTIF('1.연간시수표'!Q14,$BH$9),COUNTIF('1.연간시수표'!Q14,$BH$7),COUNTIF('1.연간시수표'!Q14,$BI$9),COUNTIF('1.연간시수표'!Q14,$BI$7),COUNTIF('1.연간시수표'!Q14,$BJ$9),COUNTIF('1.연간시수표'!Q14,$BJ$7),COUNTIF('1.연간시수표'!Q14,$BK$9),COUNTIF('1.연간시수표'!Q14,$BK$7),COUNTIF('1.연간시수표'!Q14,$BL$9),COUNTIF('1.연간시수표'!Q14,$BL$7),COUNTIF('1.연간시수표'!Q14,$BM$9),COUNTIF('1.연간시수표'!Q14,$BM$7)),$BF$6,IF(OR(COUNTIF('1.연간시수표'!Q14,$BO$9),COUNTIF('1.연간시수표'!Q14,$BO$7)),$BO$6,IF(OR(COUNTIF('1.연간시수표'!Q14,$BP$9),COUNTIF('1.연간시수표'!Q14,$BP$7)),$BP$6,IF(OR(COUNTIF('1.연간시수표'!Q14,$BQ$9),COUNTIF('1.연간시수표'!Q14,$BQ$7)),$BQ$6,IF(OR(COUNTIF('1.연간시수표'!Q14,$BR$9),COUNTIF('1.연간시수표'!Q14,$BR$7)),$BR$6,"_")))))))))))))))</f>
        <v>과학</v>
      </c>
      <c r="R14" s="148" t="str">
        <f>IF(OR(COUNTIF('1.연간시수표'!R14,$AT$9),COUNTIF('1.연간시수표'!R14,$AT$7)),$AT$6,IF(OR(COUNTIF('1.연간시수표'!R14,$AU$9),COUNTIF('1.연간시수표'!R14,$AU$7)),$AU$6,IF(OR(COUNTIF('1.연간시수표'!R14,$AV$9),COUNTIF('1.연간시수표'!R14,$AV$7)),$AV$6,IF(OR(COUNTIF('1.연간시수표'!R14,$AW$9),COUNTIF('1.연간시수표'!R14,$AW$7)),$AW$6,IF(OR(COUNTIF('1.연간시수표'!R14,$AX$9),COUNTIF('1.연간시수표'!R14,$AX$7)),$AX$6,IF(OR(COUNTIF('1.연간시수표'!R14,$AY$9),COUNTIF('1.연간시수표'!R14,$AY$7)),$AY$6,IF(OR(COUNTIF('1.연간시수표'!R14,$AZ$9),COUNTIF('1.연간시수표'!R14,$AZ$7)),$AZ$6,IF(OR(COUNTIF('1.연간시수표'!R14,$BA$9),COUNTIF('1.연간시수표'!R14,$BA$7)),$BA$6,IF(OR(COUNTIF('1.연간시수표'!R14,$BB$9),COUNTIF('1.연간시수표'!R14,$BB$7)),$BB$6,IF(OR(COUNTIF('1.연간시수표'!R14,$BC$9),COUNTIF('1.연간시수표'!R14,$BC$7)),$BC$6,IF(OR(COUNTIF('1.연간시수표'!R14,$BF$9),COUNTIF('1.연간시수표'!R14,$BF$7),COUNTIF('1.연간시수표'!R14,$BG$9),COUNTIF('1.연간시수표'!R14,$BG$7),COUNTIF('1.연간시수표'!R14,$BH$9),COUNTIF('1.연간시수표'!R14,$BH$7),COUNTIF('1.연간시수표'!R14,$BI$9),COUNTIF('1.연간시수표'!R14,$BI$7),COUNTIF('1.연간시수표'!R14,$BJ$9),COUNTIF('1.연간시수표'!R14,$BJ$7),COUNTIF('1.연간시수표'!R14,$BK$9),COUNTIF('1.연간시수표'!R14,$BK$7),COUNTIF('1.연간시수표'!R14,$BL$9),COUNTIF('1.연간시수표'!R14,$BL$7),COUNTIF('1.연간시수표'!R14,$BM$9),COUNTIF('1.연간시수표'!R14,$BM$7)),$BF$6,IF(OR(COUNTIF('1.연간시수표'!R14,$BO$9),COUNTIF('1.연간시수표'!R14,$BO$7)),$BO$6,IF(OR(COUNTIF('1.연간시수표'!R14,$BP$9),COUNTIF('1.연간시수표'!R14,$BP$7)),$BP$6,IF(OR(COUNTIF('1.연간시수표'!R14,$BQ$9),COUNTIF('1.연간시수표'!R14,$BQ$7)),$BQ$6,IF(OR(COUNTIF('1.연간시수표'!R14,$BR$9),COUNTIF('1.연간시수표'!R14,$BR$7)),$BR$6,"_")))))))))))))))</f>
        <v>실과</v>
      </c>
      <c r="S14" s="148" t="str">
        <f>IF(OR(COUNTIF('1.연간시수표'!S14,$AT$9),COUNTIF('1.연간시수표'!S14,$AT$7)),$AT$6,IF(OR(COUNTIF('1.연간시수표'!S14,$AU$9),COUNTIF('1.연간시수표'!S14,$AU$7)),$AU$6,IF(OR(COUNTIF('1.연간시수표'!S14,$AV$9),COUNTIF('1.연간시수표'!S14,$AV$7)),$AV$6,IF(OR(COUNTIF('1.연간시수표'!S14,$AW$9),COUNTIF('1.연간시수표'!S14,$AW$7)),$AW$6,IF(OR(COUNTIF('1.연간시수표'!S14,$AX$9),COUNTIF('1.연간시수표'!S14,$AX$7)),$AX$6,IF(OR(COUNTIF('1.연간시수표'!S14,$AY$9),COUNTIF('1.연간시수표'!S14,$AY$7)),$AY$6,IF(OR(COUNTIF('1.연간시수표'!S14,$AZ$9),COUNTIF('1.연간시수표'!S14,$AZ$7)),$AZ$6,IF(OR(COUNTIF('1.연간시수표'!S14,$BA$9),COUNTIF('1.연간시수표'!S14,$BA$7)),$BA$6,IF(OR(COUNTIF('1.연간시수표'!S14,$BB$9),COUNTIF('1.연간시수표'!S14,$BB$7)),$BB$6,IF(OR(COUNTIF('1.연간시수표'!S14,$BC$9),COUNTIF('1.연간시수표'!S14,$BC$7)),$BC$6,IF(OR(COUNTIF('1.연간시수표'!S14,$BF$9),COUNTIF('1.연간시수표'!S14,$BF$7),COUNTIF('1.연간시수표'!S14,$BG$9),COUNTIF('1.연간시수표'!S14,$BG$7),COUNTIF('1.연간시수표'!S14,$BH$9),COUNTIF('1.연간시수표'!S14,$BH$7),COUNTIF('1.연간시수표'!S14,$BI$9),COUNTIF('1.연간시수표'!S14,$BI$7),COUNTIF('1.연간시수표'!S14,$BJ$9),COUNTIF('1.연간시수표'!S14,$BJ$7),COUNTIF('1.연간시수표'!S14,$BK$9),COUNTIF('1.연간시수표'!S14,$BK$7),COUNTIF('1.연간시수표'!S14,$BL$9),COUNTIF('1.연간시수표'!S14,$BL$7),COUNTIF('1.연간시수표'!S14,$BM$9),COUNTIF('1.연간시수표'!S14,$BM$7)),$BF$6,IF(OR(COUNTIF('1.연간시수표'!S14,$BO$9),COUNTIF('1.연간시수표'!S14,$BO$7)),$BO$6,IF(OR(COUNTIF('1.연간시수표'!S14,$BP$9),COUNTIF('1.연간시수표'!S14,$BP$7)),$BP$6,IF(OR(COUNTIF('1.연간시수표'!S14,$BQ$9),COUNTIF('1.연간시수표'!S14,$BQ$7)),$BQ$6,IF(OR(COUNTIF('1.연간시수표'!S14,$BR$9),COUNTIF('1.연간시수표'!S14,$BR$7)),$BR$6,"_")))))))))))))))</f>
        <v>_</v>
      </c>
      <c r="T14" s="148" t="str">
        <f>IF(OR(COUNTIF('1.연간시수표'!T14,$AT$9),COUNTIF('1.연간시수표'!T14,$AT$7)),$AT$6,IF(OR(COUNTIF('1.연간시수표'!T14,$AU$9),COUNTIF('1.연간시수표'!T14,$AU$7)),$AU$6,IF(OR(COUNTIF('1.연간시수표'!T14,$AV$9),COUNTIF('1.연간시수표'!T14,$AV$7)),$AV$6,IF(OR(COUNTIF('1.연간시수표'!T14,$AW$9),COUNTIF('1.연간시수표'!T14,$AW$7)),$AW$6,IF(OR(COUNTIF('1.연간시수표'!T14,$AX$9),COUNTIF('1.연간시수표'!T14,$AX$7)),$AX$6,IF(OR(COUNTIF('1.연간시수표'!T14,$AY$9),COUNTIF('1.연간시수표'!T14,$AY$7)),$AY$6,IF(OR(COUNTIF('1.연간시수표'!T14,$AZ$9),COUNTIF('1.연간시수표'!T14,$AZ$7)),$AZ$6,IF(OR(COUNTIF('1.연간시수표'!T14,$BA$9),COUNTIF('1.연간시수표'!T14,$BA$7)),$BA$6,IF(OR(COUNTIF('1.연간시수표'!T14,$BB$9),COUNTIF('1.연간시수표'!T14,$BB$7)),$BB$6,IF(OR(COUNTIF('1.연간시수표'!T14,$BC$9),COUNTIF('1.연간시수표'!T14,$BC$7)),$BC$6,IF(OR(COUNTIF('1.연간시수표'!T14,$BF$9),COUNTIF('1.연간시수표'!T14,$BF$7),COUNTIF('1.연간시수표'!T14,$BG$9),COUNTIF('1.연간시수표'!T14,$BG$7),COUNTIF('1.연간시수표'!T14,$BH$9),COUNTIF('1.연간시수표'!T14,$BH$7),COUNTIF('1.연간시수표'!T14,$BI$9),COUNTIF('1.연간시수표'!T14,$BI$7),COUNTIF('1.연간시수표'!T14,$BJ$9),COUNTIF('1.연간시수표'!T14,$BJ$7),COUNTIF('1.연간시수표'!T14,$BK$9),COUNTIF('1.연간시수표'!T14,$BK$7),COUNTIF('1.연간시수표'!T14,$BL$9),COUNTIF('1.연간시수표'!T14,$BL$7),COUNTIF('1.연간시수표'!T14,$BM$9),COUNTIF('1.연간시수표'!T14,$BM$7)),$BF$6,IF(OR(COUNTIF('1.연간시수표'!T14,$BO$9),COUNTIF('1.연간시수표'!T14,$BO$7)),$BO$6,IF(OR(COUNTIF('1.연간시수표'!T14,$BP$9),COUNTIF('1.연간시수표'!T14,$BP$7)),$BP$6,IF(OR(COUNTIF('1.연간시수표'!T14,$BQ$9),COUNTIF('1.연간시수표'!T14,$BQ$7)),$BQ$6,IF(OR(COUNTIF('1.연간시수표'!T14,$BR$9),COUNTIF('1.연간시수표'!T14,$BR$7)),$BR$6,"_")))))))))))))))</f>
        <v>_</v>
      </c>
      <c r="U14" s="148" t="str">
        <f>IF(OR(COUNTIF('1.연간시수표'!U14,$AT$9),COUNTIF('1.연간시수표'!U14,$AT$7)),$AT$6,IF(OR(COUNTIF('1.연간시수표'!U14,$AU$9),COUNTIF('1.연간시수표'!U14,$AU$7)),$AU$6,IF(OR(COUNTIF('1.연간시수표'!U14,$AV$9),COUNTIF('1.연간시수표'!U14,$AV$7)),$AV$6,IF(OR(COUNTIF('1.연간시수표'!U14,$AW$9),COUNTIF('1.연간시수표'!U14,$AW$7)),$AW$6,IF(OR(COUNTIF('1.연간시수표'!U14,$AX$9),COUNTIF('1.연간시수표'!U14,$AX$7)),$AX$6,IF(OR(COUNTIF('1.연간시수표'!U14,$AY$9),COUNTIF('1.연간시수표'!U14,$AY$7)),$AY$6,IF(OR(COUNTIF('1.연간시수표'!U14,$AZ$9),COUNTIF('1.연간시수표'!U14,$AZ$7)),$AZ$6,IF(OR(COUNTIF('1.연간시수표'!U14,$BA$9),COUNTIF('1.연간시수표'!U14,$BA$7)),$BA$6,IF(OR(COUNTIF('1.연간시수표'!U14,$BB$9),COUNTIF('1.연간시수표'!U14,$BB$7)),$BB$6,IF(OR(COUNTIF('1.연간시수표'!U14,$BC$9),COUNTIF('1.연간시수표'!U14,$BC$7)),$BC$6,IF(OR(COUNTIF('1.연간시수표'!U14,$BF$9),COUNTIF('1.연간시수표'!U14,$BF$7),COUNTIF('1.연간시수표'!U14,$BG$9),COUNTIF('1.연간시수표'!U14,$BG$7),COUNTIF('1.연간시수표'!U14,$BH$9),COUNTIF('1.연간시수표'!U14,$BH$7),COUNTIF('1.연간시수표'!U14,$BI$9),COUNTIF('1.연간시수표'!U14,$BI$7),COUNTIF('1.연간시수표'!U14,$BJ$9),COUNTIF('1.연간시수표'!U14,$BJ$7),COUNTIF('1.연간시수표'!U14,$BK$9),COUNTIF('1.연간시수표'!U14,$BK$7),COUNTIF('1.연간시수표'!U14,$BL$9),COUNTIF('1.연간시수표'!U14,$BL$7),COUNTIF('1.연간시수표'!U14,$BM$9),COUNTIF('1.연간시수표'!U14,$BM$7)),$BF$6,IF(OR(COUNTIF('1.연간시수표'!U14,$BO$9),COUNTIF('1.연간시수표'!U14,$BO$7)),$BO$6,IF(OR(COUNTIF('1.연간시수표'!U14,$BP$9),COUNTIF('1.연간시수표'!U14,$BP$7)),$BP$6,IF(OR(COUNTIF('1.연간시수표'!U14,$BQ$9),COUNTIF('1.연간시수표'!U14,$BQ$7)),$BQ$6,IF(OR(COUNTIF('1.연간시수표'!U14,$BR$9),COUNTIF('1.연간시수표'!U14,$BR$7)),$BR$6,"_")))))))))))))))</f>
        <v>영어</v>
      </c>
      <c r="V14" s="148" t="str">
        <f>IF(OR(COUNTIF('1.연간시수표'!V14,$AT$9),COUNTIF('1.연간시수표'!V14,$AT$7)),$AT$6,IF(OR(COUNTIF('1.연간시수표'!V14,$AU$9),COUNTIF('1.연간시수표'!V14,$AU$7)),$AU$6,IF(OR(COUNTIF('1.연간시수표'!V14,$AV$9),COUNTIF('1.연간시수표'!V14,$AV$7)),$AV$6,IF(OR(COUNTIF('1.연간시수표'!V14,$AW$9),COUNTIF('1.연간시수표'!V14,$AW$7)),$AW$6,IF(OR(COUNTIF('1.연간시수표'!V14,$AX$9),COUNTIF('1.연간시수표'!V14,$AX$7)),$AX$6,IF(OR(COUNTIF('1.연간시수표'!V14,$AY$9),COUNTIF('1.연간시수표'!V14,$AY$7)),$AY$6,IF(OR(COUNTIF('1.연간시수표'!V14,$AZ$9),COUNTIF('1.연간시수표'!V14,$AZ$7)),$AZ$6,IF(OR(COUNTIF('1.연간시수표'!V14,$BA$9),COUNTIF('1.연간시수표'!V14,$BA$7)),$BA$6,IF(OR(COUNTIF('1.연간시수표'!V14,$BB$9),COUNTIF('1.연간시수표'!V14,$BB$7)),$BB$6,IF(OR(COUNTIF('1.연간시수표'!V14,$BC$9),COUNTIF('1.연간시수표'!V14,$BC$7)),$BC$6,IF(OR(COUNTIF('1.연간시수표'!V14,$BF$9),COUNTIF('1.연간시수표'!V14,$BF$7),COUNTIF('1.연간시수표'!V14,$BG$9),COUNTIF('1.연간시수표'!V14,$BG$7),COUNTIF('1.연간시수표'!V14,$BH$9),COUNTIF('1.연간시수표'!V14,$BH$7),COUNTIF('1.연간시수표'!V14,$BI$9),COUNTIF('1.연간시수표'!V14,$BI$7),COUNTIF('1.연간시수표'!V14,$BJ$9),COUNTIF('1.연간시수표'!V14,$BJ$7),COUNTIF('1.연간시수표'!V14,$BK$9),COUNTIF('1.연간시수표'!V14,$BK$7),COUNTIF('1.연간시수표'!V14,$BL$9),COUNTIF('1.연간시수표'!V14,$BL$7),COUNTIF('1.연간시수표'!V14,$BM$9),COUNTIF('1.연간시수표'!V14,$BM$7)),$BF$6,IF(OR(COUNTIF('1.연간시수표'!V14,$BO$9),COUNTIF('1.연간시수표'!V14,$BO$7)),$BO$6,IF(OR(COUNTIF('1.연간시수표'!V14,$BP$9),COUNTIF('1.연간시수표'!V14,$BP$7)),$BP$6,IF(OR(COUNTIF('1.연간시수표'!V14,$BQ$9),COUNTIF('1.연간시수표'!V14,$BQ$7)),$BQ$6,IF(OR(COUNTIF('1.연간시수표'!V14,$BR$9),COUNTIF('1.연간시수표'!V14,$BR$7)),$BR$6,"_")))))))))))))))</f>
        <v>과학</v>
      </c>
      <c r="W14" s="148" t="str">
        <f>IF(OR(COUNTIF('1.연간시수표'!W14,$AT$9),COUNTIF('1.연간시수표'!W14,$AT$7)),$AT$6,IF(OR(COUNTIF('1.연간시수표'!W14,$AU$9),COUNTIF('1.연간시수표'!W14,$AU$7)),$AU$6,IF(OR(COUNTIF('1.연간시수표'!W14,$AV$9),COUNTIF('1.연간시수표'!W14,$AV$7)),$AV$6,IF(OR(COUNTIF('1.연간시수표'!W14,$AW$9),COUNTIF('1.연간시수표'!W14,$AW$7)),$AW$6,IF(OR(COUNTIF('1.연간시수표'!W14,$AX$9),COUNTIF('1.연간시수표'!W14,$AX$7)),$AX$6,IF(OR(COUNTIF('1.연간시수표'!W14,$AY$9),COUNTIF('1.연간시수표'!W14,$AY$7)),$AY$6,IF(OR(COUNTIF('1.연간시수표'!W14,$AZ$9),COUNTIF('1.연간시수표'!W14,$AZ$7)),$AZ$6,IF(OR(COUNTIF('1.연간시수표'!W14,$BA$9),COUNTIF('1.연간시수표'!W14,$BA$7)),$BA$6,IF(OR(COUNTIF('1.연간시수표'!W14,$BB$9),COUNTIF('1.연간시수표'!W14,$BB$7)),$BB$6,IF(OR(COUNTIF('1.연간시수표'!W14,$BC$9),COUNTIF('1.연간시수표'!W14,$BC$7)),$BC$6,IF(OR(COUNTIF('1.연간시수표'!W14,$BF$9),COUNTIF('1.연간시수표'!W14,$BF$7),COUNTIF('1.연간시수표'!W14,$BG$9),COUNTIF('1.연간시수표'!W14,$BG$7),COUNTIF('1.연간시수표'!W14,$BH$9),COUNTIF('1.연간시수표'!W14,$BH$7),COUNTIF('1.연간시수표'!W14,$BI$9),COUNTIF('1.연간시수표'!W14,$BI$7),COUNTIF('1.연간시수표'!W14,$BJ$9),COUNTIF('1.연간시수표'!W14,$BJ$7),COUNTIF('1.연간시수표'!W14,$BK$9),COUNTIF('1.연간시수표'!W14,$BK$7),COUNTIF('1.연간시수표'!W14,$BL$9),COUNTIF('1.연간시수표'!W14,$BL$7),COUNTIF('1.연간시수표'!W14,$BM$9),COUNTIF('1.연간시수표'!W14,$BM$7)),$BF$6,IF(OR(COUNTIF('1.연간시수표'!W14,$BO$9),COUNTIF('1.연간시수표'!W14,$BO$7)),$BO$6,IF(OR(COUNTIF('1.연간시수표'!W14,$BP$9),COUNTIF('1.연간시수표'!W14,$BP$7)),$BP$6,IF(OR(COUNTIF('1.연간시수표'!W14,$BQ$9),COUNTIF('1.연간시수표'!W14,$BQ$7)),$BQ$6,IF(OR(COUNTIF('1.연간시수표'!W14,$BR$9),COUNTIF('1.연간시수표'!W14,$BR$7)),$BR$6,"_")))))))))))))))</f>
        <v>체육</v>
      </c>
      <c r="X14" s="148" t="str">
        <f>IF(OR(COUNTIF('1.연간시수표'!X14,$AT$9),COUNTIF('1.연간시수표'!X14,$AT$7)),$AT$6,IF(OR(COUNTIF('1.연간시수표'!X14,$AU$9),COUNTIF('1.연간시수표'!X14,$AU$7)),$AU$6,IF(OR(COUNTIF('1.연간시수표'!X14,$AV$9),COUNTIF('1.연간시수표'!X14,$AV$7)),$AV$6,IF(OR(COUNTIF('1.연간시수표'!X14,$AW$9),COUNTIF('1.연간시수표'!X14,$AW$7)),$AW$6,IF(OR(COUNTIF('1.연간시수표'!X14,$AX$9),COUNTIF('1.연간시수표'!X14,$AX$7)),$AX$6,IF(OR(COUNTIF('1.연간시수표'!X14,$AY$9),COUNTIF('1.연간시수표'!X14,$AY$7)),$AY$6,IF(OR(COUNTIF('1.연간시수표'!X14,$AZ$9),COUNTIF('1.연간시수표'!X14,$AZ$7)),$AZ$6,IF(OR(COUNTIF('1.연간시수표'!X14,$BA$9),COUNTIF('1.연간시수표'!X14,$BA$7)),$BA$6,IF(OR(COUNTIF('1.연간시수표'!X14,$BB$9),COUNTIF('1.연간시수표'!X14,$BB$7)),$BB$6,IF(OR(COUNTIF('1.연간시수표'!X14,$BC$9),COUNTIF('1.연간시수표'!X14,$BC$7)),$BC$6,IF(OR(COUNTIF('1.연간시수표'!X14,$BF$9),COUNTIF('1.연간시수표'!X14,$BF$7),COUNTIF('1.연간시수표'!X14,$BG$9),COUNTIF('1.연간시수표'!X14,$BG$7),COUNTIF('1.연간시수표'!X14,$BH$9),COUNTIF('1.연간시수표'!X14,$BH$7),COUNTIF('1.연간시수표'!X14,$BI$9),COUNTIF('1.연간시수표'!X14,$BI$7),COUNTIF('1.연간시수표'!X14,$BJ$9),COUNTIF('1.연간시수표'!X14,$BJ$7),COUNTIF('1.연간시수표'!X14,$BK$9),COUNTIF('1.연간시수표'!X14,$BK$7),COUNTIF('1.연간시수표'!X14,$BL$9),COUNTIF('1.연간시수표'!X14,$BL$7),COUNTIF('1.연간시수표'!X14,$BM$9),COUNTIF('1.연간시수표'!X14,$BM$7)),$BF$6,IF(OR(COUNTIF('1.연간시수표'!X14,$BO$9),COUNTIF('1.연간시수표'!X14,$BO$7)),$BO$6,IF(OR(COUNTIF('1.연간시수표'!X14,$BP$9),COUNTIF('1.연간시수표'!X14,$BP$7)),$BP$6,IF(OR(COUNTIF('1.연간시수표'!X14,$BQ$9),COUNTIF('1.연간시수표'!X14,$BQ$7)),$BQ$6,IF(OR(COUNTIF('1.연간시수표'!X14,$BR$9),COUNTIF('1.연간시수표'!X14,$BR$7)),$BR$6,"_")))))))))))))))</f>
        <v>음악</v>
      </c>
      <c r="Y14" s="148" t="str">
        <f>IF(OR(COUNTIF('1.연간시수표'!Y14,$AT$9),COUNTIF('1.연간시수표'!Y14,$AT$7)),$AT$6,IF(OR(COUNTIF('1.연간시수표'!Y14,$AU$9),COUNTIF('1.연간시수표'!Y14,$AU$7)),$AU$6,IF(OR(COUNTIF('1.연간시수표'!Y14,$AV$9),COUNTIF('1.연간시수표'!Y14,$AV$7)),$AV$6,IF(OR(COUNTIF('1.연간시수표'!Y14,$AW$9),COUNTIF('1.연간시수표'!Y14,$AW$7)),$AW$6,IF(OR(COUNTIF('1.연간시수표'!Y14,$AX$9),COUNTIF('1.연간시수표'!Y14,$AX$7)),$AX$6,IF(OR(COUNTIF('1.연간시수표'!Y14,$AY$9),COUNTIF('1.연간시수표'!Y14,$AY$7)),$AY$6,IF(OR(COUNTIF('1.연간시수표'!Y14,$AZ$9),COUNTIF('1.연간시수표'!Y14,$AZ$7)),$AZ$6,IF(OR(COUNTIF('1.연간시수표'!Y14,$BA$9),COUNTIF('1.연간시수표'!Y14,$BA$7)),$BA$6,IF(OR(COUNTIF('1.연간시수표'!Y14,$BB$9),COUNTIF('1.연간시수표'!Y14,$BB$7)),$BB$6,IF(OR(COUNTIF('1.연간시수표'!Y14,$BC$9),COUNTIF('1.연간시수표'!Y14,$BC$7)),$BC$6,IF(OR(COUNTIF('1.연간시수표'!Y14,$BF$9),COUNTIF('1.연간시수표'!Y14,$BF$7),COUNTIF('1.연간시수표'!Y14,$BG$9),COUNTIF('1.연간시수표'!Y14,$BG$7),COUNTIF('1.연간시수표'!Y14,$BH$9),COUNTIF('1.연간시수표'!Y14,$BH$7),COUNTIF('1.연간시수표'!Y14,$BI$9),COUNTIF('1.연간시수표'!Y14,$BI$7),COUNTIF('1.연간시수표'!Y14,$BJ$9),COUNTIF('1.연간시수표'!Y14,$BJ$7),COUNTIF('1.연간시수표'!Y14,$BK$9),COUNTIF('1.연간시수표'!Y14,$BK$7),COUNTIF('1.연간시수표'!Y14,$BL$9),COUNTIF('1.연간시수표'!Y14,$BL$7),COUNTIF('1.연간시수표'!Y14,$BM$9),COUNTIF('1.연간시수표'!Y14,$BM$7)),$BF$6,IF(OR(COUNTIF('1.연간시수표'!Y14,$BO$9),COUNTIF('1.연간시수표'!Y14,$BO$7)),$BO$6,IF(OR(COUNTIF('1.연간시수표'!Y14,$BP$9),COUNTIF('1.연간시수표'!Y14,$BP$7)),$BP$6,IF(OR(COUNTIF('1.연간시수표'!Y14,$BQ$9),COUNTIF('1.연간시수표'!Y14,$BQ$7)),$BQ$6,IF(OR(COUNTIF('1.연간시수표'!Y14,$BR$9),COUNTIF('1.연간시수표'!Y14,$BR$7)),$BR$6,"_")))))))))))))))</f>
        <v>도덕</v>
      </c>
      <c r="Z14" s="148" t="str">
        <f>IF(OR(COUNTIF('1.연간시수표'!Z14,$AT$9),COUNTIF('1.연간시수표'!Z14,$AT$7)),$AT$6,IF(OR(COUNTIF('1.연간시수표'!Z14,$AU$9),COUNTIF('1.연간시수표'!Z14,$AU$7)),$AU$6,IF(OR(COUNTIF('1.연간시수표'!Z14,$AV$9),COUNTIF('1.연간시수표'!Z14,$AV$7)),$AV$6,IF(OR(COUNTIF('1.연간시수표'!Z14,$AW$9),COUNTIF('1.연간시수표'!Z14,$AW$7)),$AW$6,IF(OR(COUNTIF('1.연간시수표'!Z14,$AX$9),COUNTIF('1.연간시수표'!Z14,$AX$7)),$AX$6,IF(OR(COUNTIF('1.연간시수표'!Z14,$AY$9),COUNTIF('1.연간시수표'!Z14,$AY$7)),$AY$6,IF(OR(COUNTIF('1.연간시수표'!Z14,$AZ$9),COUNTIF('1.연간시수표'!Z14,$AZ$7)),$AZ$6,IF(OR(COUNTIF('1.연간시수표'!Z14,$BA$9),COUNTIF('1.연간시수표'!Z14,$BA$7)),$BA$6,IF(OR(COUNTIF('1.연간시수표'!Z14,$BB$9),COUNTIF('1.연간시수표'!Z14,$BB$7)),$BB$6,IF(OR(COUNTIF('1.연간시수표'!Z14,$BC$9),COUNTIF('1.연간시수표'!Z14,$BC$7)),$BC$6,IF(OR(COUNTIF('1.연간시수표'!Z14,$BF$9),COUNTIF('1.연간시수표'!Z14,$BF$7),COUNTIF('1.연간시수표'!Z14,$BG$9),COUNTIF('1.연간시수표'!Z14,$BG$7),COUNTIF('1.연간시수표'!Z14,$BH$9),COUNTIF('1.연간시수표'!Z14,$BH$7),COUNTIF('1.연간시수표'!Z14,$BI$9),COUNTIF('1.연간시수표'!Z14,$BI$7),COUNTIF('1.연간시수표'!Z14,$BJ$9),COUNTIF('1.연간시수표'!Z14,$BJ$7),COUNTIF('1.연간시수표'!Z14,$BK$9),COUNTIF('1.연간시수표'!Z14,$BK$7),COUNTIF('1.연간시수표'!Z14,$BL$9),COUNTIF('1.연간시수표'!Z14,$BL$7),COUNTIF('1.연간시수표'!Z14,$BM$9),COUNTIF('1.연간시수표'!Z14,$BM$7)),$BF$6,IF(OR(COUNTIF('1.연간시수표'!Z14,$BO$9),COUNTIF('1.연간시수표'!Z14,$BO$7)),$BO$6,IF(OR(COUNTIF('1.연간시수표'!Z14,$BP$9),COUNTIF('1.연간시수표'!Z14,$BP$7)),$BP$6,IF(OR(COUNTIF('1.연간시수표'!Z14,$BQ$9),COUNTIF('1.연간시수표'!Z14,$BQ$7)),$BQ$6,IF(OR(COUNTIF('1.연간시수표'!Z14,$BR$9),COUNTIF('1.연간시수표'!Z14,$BR$7)),$BR$6,"_")))))))))))))))</f>
        <v>_</v>
      </c>
      <c r="AA14" s="148" t="str">
        <f>IF(OR(COUNTIF('1.연간시수표'!AA14,$AT$9),COUNTIF('1.연간시수표'!AA14,$AT$7)),$AT$6,IF(OR(COUNTIF('1.연간시수표'!AA14,$AU$9),COUNTIF('1.연간시수표'!AA14,$AU$7)),$AU$6,IF(OR(COUNTIF('1.연간시수표'!AA14,$AV$9),COUNTIF('1.연간시수표'!AA14,$AV$7)),$AV$6,IF(OR(COUNTIF('1.연간시수표'!AA14,$AW$9),COUNTIF('1.연간시수표'!AA14,$AW$7)),$AW$6,IF(OR(COUNTIF('1.연간시수표'!AA14,$AX$9),COUNTIF('1.연간시수표'!AA14,$AX$7)),$AX$6,IF(OR(COUNTIF('1.연간시수표'!AA14,$AY$9),COUNTIF('1.연간시수표'!AA14,$AY$7)),$AY$6,IF(OR(COUNTIF('1.연간시수표'!AA14,$AZ$9),COUNTIF('1.연간시수표'!AA14,$AZ$7)),$AZ$6,IF(OR(COUNTIF('1.연간시수표'!AA14,$BA$9),COUNTIF('1.연간시수표'!AA14,$BA$7)),$BA$6,IF(OR(COUNTIF('1.연간시수표'!AA14,$BB$9),COUNTIF('1.연간시수표'!AA14,$BB$7)),$BB$6,IF(OR(COUNTIF('1.연간시수표'!AA14,$BC$9),COUNTIF('1.연간시수표'!AA14,$BC$7)),$BC$6,IF(OR(COUNTIF('1.연간시수표'!AA14,$BF$9),COUNTIF('1.연간시수표'!AA14,$BF$7),COUNTIF('1.연간시수표'!AA14,$BG$9),COUNTIF('1.연간시수표'!AA14,$BG$7),COUNTIF('1.연간시수표'!AA14,$BH$9),COUNTIF('1.연간시수표'!AA14,$BH$7),COUNTIF('1.연간시수표'!AA14,$BI$9),COUNTIF('1.연간시수표'!AA14,$BI$7),COUNTIF('1.연간시수표'!AA14,$BJ$9),COUNTIF('1.연간시수표'!AA14,$BJ$7),COUNTIF('1.연간시수표'!AA14,$BK$9),COUNTIF('1.연간시수표'!AA14,$BK$7),COUNTIF('1.연간시수표'!AA14,$BL$9),COUNTIF('1.연간시수표'!AA14,$BL$7),COUNTIF('1.연간시수표'!AA14,$BM$9),COUNTIF('1.연간시수표'!AA14,$BM$7)),$BF$6,IF(OR(COUNTIF('1.연간시수표'!AA14,$BO$9),COUNTIF('1.연간시수표'!AA14,$BO$7)),$BO$6,IF(OR(COUNTIF('1.연간시수표'!AA14,$BP$9),COUNTIF('1.연간시수표'!AA14,$BP$7)),$BP$6,IF(OR(COUNTIF('1.연간시수표'!AA14,$BQ$9),COUNTIF('1.연간시수표'!AA14,$BQ$7)),$BQ$6,IF(OR(COUNTIF('1.연간시수표'!AA14,$BR$9),COUNTIF('1.연간시수표'!AA14,$BR$7)),$BR$6,"_")))))))))))))))</f>
        <v>_</v>
      </c>
      <c r="AB14" s="148" t="str">
        <f>IF(OR(COUNTIF('1.연간시수표'!AB14,$AT$9),COUNTIF('1.연간시수표'!AB14,$AT$7)),$AT$6,IF(OR(COUNTIF('1.연간시수표'!AB14,$AU$9),COUNTIF('1.연간시수표'!AB14,$AU$7)),$AU$6,IF(OR(COUNTIF('1.연간시수표'!AB14,$AV$9),COUNTIF('1.연간시수표'!AB14,$AV$7)),$AV$6,IF(OR(COUNTIF('1.연간시수표'!AB14,$AW$9),COUNTIF('1.연간시수표'!AB14,$AW$7)),$AW$6,IF(OR(COUNTIF('1.연간시수표'!AB14,$AX$9),COUNTIF('1.연간시수표'!AB14,$AX$7)),$AX$6,IF(OR(COUNTIF('1.연간시수표'!AB14,$AY$9),COUNTIF('1.연간시수표'!AB14,$AY$7)),$AY$6,IF(OR(COUNTIF('1.연간시수표'!AB14,$AZ$9),COUNTIF('1.연간시수표'!AB14,$AZ$7)),$AZ$6,IF(OR(COUNTIF('1.연간시수표'!AB14,$BA$9),COUNTIF('1.연간시수표'!AB14,$BA$7)),$BA$6,IF(OR(COUNTIF('1.연간시수표'!AB14,$BB$9),COUNTIF('1.연간시수표'!AB14,$BB$7)),$BB$6,IF(OR(COUNTIF('1.연간시수표'!AB14,$BC$9),COUNTIF('1.연간시수표'!AB14,$BC$7)),$BC$6,IF(OR(COUNTIF('1.연간시수표'!AB14,$BF$9),COUNTIF('1.연간시수표'!AB14,$BF$7),COUNTIF('1.연간시수표'!AB14,$BG$9),COUNTIF('1.연간시수표'!AB14,$BG$7),COUNTIF('1.연간시수표'!AB14,$BH$9),COUNTIF('1.연간시수표'!AB14,$BH$7),COUNTIF('1.연간시수표'!AB14,$BI$9),COUNTIF('1.연간시수표'!AB14,$BI$7),COUNTIF('1.연간시수표'!AB14,$BJ$9),COUNTIF('1.연간시수표'!AB14,$BJ$7),COUNTIF('1.연간시수표'!AB14,$BK$9),COUNTIF('1.연간시수표'!AB14,$BK$7),COUNTIF('1.연간시수표'!AB14,$BL$9),COUNTIF('1.연간시수표'!AB14,$BL$7),COUNTIF('1.연간시수표'!AB14,$BM$9),COUNTIF('1.연간시수표'!AB14,$BM$7)),$BF$6,IF(OR(COUNTIF('1.연간시수표'!AB14,$BO$9),COUNTIF('1.연간시수표'!AB14,$BO$7)),$BO$6,IF(OR(COUNTIF('1.연간시수표'!AB14,$BP$9),COUNTIF('1.연간시수표'!AB14,$BP$7)),$BP$6,IF(OR(COUNTIF('1.연간시수표'!AB14,$BQ$9),COUNTIF('1.연간시수표'!AB14,$BQ$7)),$BQ$6,IF(OR(COUNTIF('1.연간시수표'!AB14,$BR$9),COUNTIF('1.연간시수표'!AB14,$BR$7)),$BR$6,"_")))))))))))))))</f>
        <v>_</v>
      </c>
      <c r="AC14" s="148" t="str">
        <f>IF(OR(COUNTIF('1.연간시수표'!AC14,$AT$9),COUNTIF('1.연간시수표'!AC14,$AT$7)),$AT$6,IF(OR(COUNTIF('1.연간시수표'!AC14,$AU$9),COUNTIF('1.연간시수표'!AC14,$AU$7)),$AU$6,IF(OR(COUNTIF('1.연간시수표'!AC14,$AV$9),COUNTIF('1.연간시수표'!AC14,$AV$7)),$AV$6,IF(OR(COUNTIF('1.연간시수표'!AC14,$AW$9),COUNTIF('1.연간시수표'!AC14,$AW$7)),$AW$6,IF(OR(COUNTIF('1.연간시수표'!AC14,$AX$9),COUNTIF('1.연간시수표'!AC14,$AX$7)),$AX$6,IF(OR(COUNTIF('1.연간시수표'!AC14,$AY$9),COUNTIF('1.연간시수표'!AC14,$AY$7)),$AY$6,IF(OR(COUNTIF('1.연간시수표'!AC14,$AZ$9),COUNTIF('1.연간시수표'!AC14,$AZ$7)),$AZ$6,IF(OR(COUNTIF('1.연간시수표'!AC14,$BA$9),COUNTIF('1.연간시수표'!AC14,$BA$7)),$BA$6,IF(OR(COUNTIF('1.연간시수표'!AC14,$BB$9),COUNTIF('1.연간시수표'!AC14,$BB$7)),$BB$6,IF(OR(COUNTIF('1.연간시수표'!AC14,$BC$9),COUNTIF('1.연간시수표'!AC14,$BC$7)),$BC$6,IF(OR(COUNTIF('1.연간시수표'!AC14,$BF$9),COUNTIF('1.연간시수표'!AC14,$BF$7),COUNTIF('1.연간시수표'!AC14,$BG$9),COUNTIF('1.연간시수표'!AC14,$BG$7),COUNTIF('1.연간시수표'!AC14,$BH$9),COUNTIF('1.연간시수표'!AC14,$BH$7),COUNTIF('1.연간시수표'!AC14,$BI$9),COUNTIF('1.연간시수표'!AC14,$BI$7),COUNTIF('1.연간시수표'!AC14,$BJ$9),COUNTIF('1.연간시수표'!AC14,$BJ$7),COUNTIF('1.연간시수표'!AC14,$BK$9),COUNTIF('1.연간시수표'!AC14,$BK$7),COUNTIF('1.연간시수표'!AC14,$BL$9),COUNTIF('1.연간시수표'!AC14,$BL$7),COUNTIF('1.연간시수표'!AC14,$BM$9),COUNTIF('1.연간시수표'!AC14,$BM$7)),$BF$6,IF(OR(COUNTIF('1.연간시수표'!AC14,$BO$9),COUNTIF('1.연간시수표'!AC14,$BO$7)),$BO$6,IF(OR(COUNTIF('1.연간시수표'!AC14,$BP$9),COUNTIF('1.연간시수표'!AC14,$BP$7)),$BP$6,IF(OR(COUNTIF('1.연간시수표'!AC14,$BQ$9),COUNTIF('1.연간시수표'!AC14,$BQ$7)),$BQ$6,IF(OR(COUNTIF('1.연간시수표'!AC14,$BR$9),COUNTIF('1.연간시수표'!AC14,$BR$7)),$BR$6,"_")))))))))))))))</f>
        <v>국어</v>
      </c>
      <c r="AD14" s="148" t="str">
        <f>IF(OR(COUNTIF('1.연간시수표'!AD14,$AT$9),COUNTIF('1.연간시수표'!AD14,$AT$7)),$AT$6,IF(OR(COUNTIF('1.연간시수표'!AD14,$AU$9),COUNTIF('1.연간시수표'!AD14,$AU$7)),$AU$6,IF(OR(COUNTIF('1.연간시수표'!AD14,$AV$9),COUNTIF('1.연간시수표'!AD14,$AV$7)),$AV$6,IF(OR(COUNTIF('1.연간시수표'!AD14,$AW$9),COUNTIF('1.연간시수표'!AD14,$AW$7)),$AW$6,IF(OR(COUNTIF('1.연간시수표'!AD14,$AX$9),COUNTIF('1.연간시수표'!AD14,$AX$7)),$AX$6,IF(OR(COUNTIF('1.연간시수표'!AD14,$AY$9),COUNTIF('1.연간시수표'!AD14,$AY$7)),$AY$6,IF(OR(COUNTIF('1.연간시수표'!AD14,$AZ$9),COUNTIF('1.연간시수표'!AD14,$AZ$7)),$AZ$6,IF(OR(COUNTIF('1.연간시수표'!AD14,$BA$9),COUNTIF('1.연간시수표'!AD14,$BA$7)),$BA$6,IF(OR(COUNTIF('1.연간시수표'!AD14,$BB$9),COUNTIF('1.연간시수표'!AD14,$BB$7)),$BB$6,IF(OR(COUNTIF('1.연간시수표'!AD14,$BC$9),COUNTIF('1.연간시수표'!AD14,$BC$7)),$BC$6,IF(OR(COUNTIF('1.연간시수표'!AD14,$BF$9),COUNTIF('1.연간시수표'!AD14,$BF$7),COUNTIF('1.연간시수표'!AD14,$BG$9),COUNTIF('1.연간시수표'!AD14,$BG$7),COUNTIF('1.연간시수표'!AD14,$BH$9),COUNTIF('1.연간시수표'!AD14,$BH$7),COUNTIF('1.연간시수표'!AD14,$BI$9),COUNTIF('1.연간시수표'!AD14,$BI$7),COUNTIF('1.연간시수표'!AD14,$BJ$9),COUNTIF('1.연간시수표'!AD14,$BJ$7),COUNTIF('1.연간시수표'!AD14,$BK$9),COUNTIF('1.연간시수표'!AD14,$BK$7),COUNTIF('1.연간시수표'!AD14,$BL$9),COUNTIF('1.연간시수표'!AD14,$BL$7),COUNTIF('1.연간시수표'!AD14,$BM$9),COUNTIF('1.연간시수표'!AD14,$BM$7)),$BF$6,IF(OR(COUNTIF('1.연간시수표'!AD14,$BO$9),COUNTIF('1.연간시수표'!AD14,$BO$7)),$BO$6,IF(OR(COUNTIF('1.연간시수표'!AD14,$BP$9),COUNTIF('1.연간시수표'!AD14,$BP$7)),$BP$6,IF(OR(COUNTIF('1.연간시수표'!AD14,$BQ$9),COUNTIF('1.연간시수표'!AD14,$BQ$7)),$BQ$6,IF(OR(COUNTIF('1.연간시수표'!AD14,$BR$9),COUNTIF('1.연간시수표'!AD14,$BR$7)),$BR$6,"_")))))))))))))))</f>
        <v>수학</v>
      </c>
      <c r="AE14" s="148" t="str">
        <f>IF(OR(COUNTIF('1.연간시수표'!AE14,$AT$9),COUNTIF('1.연간시수표'!AE14,$AT$7)),$AT$6,IF(OR(COUNTIF('1.연간시수표'!AE14,$AU$9),COUNTIF('1.연간시수표'!AE14,$AU$7)),$AU$6,IF(OR(COUNTIF('1.연간시수표'!AE14,$AV$9),COUNTIF('1.연간시수표'!AE14,$AV$7)),$AV$6,IF(OR(COUNTIF('1.연간시수표'!AE14,$AW$9),COUNTIF('1.연간시수표'!AE14,$AW$7)),$AW$6,IF(OR(COUNTIF('1.연간시수표'!AE14,$AX$9),COUNTIF('1.연간시수표'!AE14,$AX$7)),$AX$6,IF(OR(COUNTIF('1.연간시수표'!AE14,$AY$9),COUNTIF('1.연간시수표'!AE14,$AY$7)),$AY$6,IF(OR(COUNTIF('1.연간시수표'!AE14,$AZ$9),COUNTIF('1.연간시수표'!AE14,$AZ$7)),$AZ$6,IF(OR(COUNTIF('1.연간시수표'!AE14,$BA$9),COUNTIF('1.연간시수표'!AE14,$BA$7)),$BA$6,IF(OR(COUNTIF('1.연간시수표'!AE14,$BB$9),COUNTIF('1.연간시수표'!AE14,$BB$7)),$BB$6,IF(OR(COUNTIF('1.연간시수표'!AE14,$BC$9),COUNTIF('1.연간시수표'!AE14,$BC$7)),$BC$6,IF(OR(COUNTIF('1.연간시수표'!AE14,$BF$9),COUNTIF('1.연간시수표'!AE14,$BF$7),COUNTIF('1.연간시수표'!AE14,$BG$9),COUNTIF('1.연간시수표'!AE14,$BG$7),COUNTIF('1.연간시수표'!AE14,$BH$9),COUNTIF('1.연간시수표'!AE14,$BH$7),COUNTIF('1.연간시수표'!AE14,$BI$9),COUNTIF('1.연간시수표'!AE14,$BI$7),COUNTIF('1.연간시수표'!AE14,$BJ$9),COUNTIF('1.연간시수표'!AE14,$BJ$7),COUNTIF('1.연간시수표'!AE14,$BK$9),COUNTIF('1.연간시수표'!AE14,$BK$7),COUNTIF('1.연간시수표'!AE14,$BL$9),COUNTIF('1.연간시수표'!AE14,$BL$7),COUNTIF('1.연간시수표'!AE14,$BM$9),COUNTIF('1.연간시수표'!AE14,$BM$7)),$BF$6,IF(OR(COUNTIF('1.연간시수표'!AE14,$BO$9),COUNTIF('1.연간시수표'!AE14,$BO$7)),$BO$6,IF(OR(COUNTIF('1.연간시수표'!AE14,$BP$9),COUNTIF('1.연간시수표'!AE14,$BP$7)),$BP$6,IF(OR(COUNTIF('1.연간시수표'!AE14,$BQ$9),COUNTIF('1.연간시수표'!AE14,$BQ$7)),$BQ$6,IF(OR(COUNTIF('1.연간시수표'!AE14,$BR$9),COUNTIF('1.연간시수표'!AE14,$BR$7)),$BR$6,"_")))))))))))))))</f>
        <v>사회</v>
      </c>
      <c r="AF14" s="148" t="str">
        <f>IF(OR(COUNTIF('1.연간시수표'!AF14,$AT$9),COUNTIF('1.연간시수표'!AF14,$AT$7)),$AT$6,IF(OR(COUNTIF('1.연간시수표'!AF14,$AU$9),COUNTIF('1.연간시수표'!AF14,$AU$7)),$AU$6,IF(OR(COUNTIF('1.연간시수표'!AF14,$AV$9),COUNTIF('1.연간시수표'!AF14,$AV$7)),$AV$6,IF(OR(COUNTIF('1.연간시수표'!AF14,$AW$9),COUNTIF('1.연간시수표'!AF14,$AW$7)),$AW$6,IF(OR(COUNTIF('1.연간시수표'!AF14,$AX$9),COUNTIF('1.연간시수표'!AF14,$AX$7)),$AX$6,IF(OR(COUNTIF('1.연간시수표'!AF14,$AY$9),COUNTIF('1.연간시수표'!AF14,$AY$7)),$AY$6,IF(OR(COUNTIF('1.연간시수표'!AF14,$AZ$9),COUNTIF('1.연간시수표'!AF14,$AZ$7)),$AZ$6,IF(OR(COUNTIF('1.연간시수표'!AF14,$BA$9),COUNTIF('1.연간시수표'!AF14,$BA$7)),$BA$6,IF(OR(COUNTIF('1.연간시수표'!AF14,$BB$9),COUNTIF('1.연간시수표'!AF14,$BB$7)),$BB$6,IF(OR(COUNTIF('1.연간시수표'!AF14,$BC$9),COUNTIF('1.연간시수표'!AF14,$BC$7)),$BC$6,IF(OR(COUNTIF('1.연간시수표'!AF14,$BF$9),COUNTIF('1.연간시수표'!AF14,$BF$7),COUNTIF('1.연간시수표'!AF14,$BG$9),COUNTIF('1.연간시수표'!AF14,$BG$7),COUNTIF('1.연간시수표'!AF14,$BH$9),COUNTIF('1.연간시수표'!AF14,$BH$7),COUNTIF('1.연간시수표'!AF14,$BI$9),COUNTIF('1.연간시수표'!AF14,$BI$7),COUNTIF('1.연간시수표'!AF14,$BJ$9),COUNTIF('1.연간시수표'!AF14,$BJ$7),COUNTIF('1.연간시수표'!AF14,$BK$9),COUNTIF('1.연간시수표'!AF14,$BK$7),COUNTIF('1.연간시수표'!AF14,$BL$9),COUNTIF('1.연간시수표'!AF14,$BL$7),COUNTIF('1.연간시수표'!AF14,$BM$9),COUNTIF('1.연간시수표'!AF14,$BM$7)),$BF$6,IF(OR(COUNTIF('1.연간시수표'!AF14,$BO$9),COUNTIF('1.연간시수표'!AF14,$BO$7)),$BO$6,IF(OR(COUNTIF('1.연간시수표'!AF14,$BP$9),COUNTIF('1.연간시수표'!AF14,$BP$7)),$BP$6,IF(OR(COUNTIF('1.연간시수표'!AF14,$BQ$9),COUNTIF('1.연간시수표'!AF14,$BQ$7)),$BQ$6,IF(OR(COUNTIF('1.연간시수표'!AF14,$BR$9),COUNTIF('1.연간시수표'!AF14,$BR$7)),$BR$6,"_")))))))))))))))</f>
        <v>영어</v>
      </c>
      <c r="AG14" s="148" t="str">
        <f>IF(OR(COUNTIF('1.연간시수표'!AG14,$AT$9),COUNTIF('1.연간시수표'!AG14,$AT$7)),$AT$6,IF(OR(COUNTIF('1.연간시수표'!AG14,$AU$9),COUNTIF('1.연간시수표'!AG14,$AU$7)),$AU$6,IF(OR(COUNTIF('1.연간시수표'!AG14,$AV$9),COUNTIF('1.연간시수표'!AG14,$AV$7)),$AV$6,IF(OR(COUNTIF('1.연간시수표'!AG14,$AW$9),COUNTIF('1.연간시수표'!AG14,$AW$7)),$AW$6,IF(OR(COUNTIF('1.연간시수표'!AG14,$AX$9),COUNTIF('1.연간시수표'!AG14,$AX$7)),$AX$6,IF(OR(COUNTIF('1.연간시수표'!AG14,$AY$9),COUNTIF('1.연간시수표'!AG14,$AY$7)),$AY$6,IF(OR(COUNTIF('1.연간시수표'!AG14,$AZ$9),COUNTIF('1.연간시수표'!AG14,$AZ$7)),$AZ$6,IF(OR(COUNTIF('1.연간시수표'!AG14,$BA$9),COUNTIF('1.연간시수표'!AG14,$BA$7)),$BA$6,IF(OR(COUNTIF('1.연간시수표'!AG14,$BB$9),COUNTIF('1.연간시수표'!AG14,$BB$7)),$BB$6,IF(OR(COUNTIF('1.연간시수표'!AG14,$BC$9),COUNTIF('1.연간시수표'!AG14,$BC$7)),$BC$6,IF(OR(COUNTIF('1.연간시수표'!AG14,$BF$9),COUNTIF('1.연간시수표'!AG14,$BF$7),COUNTIF('1.연간시수표'!AG14,$BG$9),COUNTIF('1.연간시수표'!AG14,$BG$7),COUNTIF('1.연간시수표'!AG14,$BH$9),COUNTIF('1.연간시수표'!AG14,$BH$7),COUNTIF('1.연간시수표'!AG14,$BI$9),COUNTIF('1.연간시수표'!AG14,$BI$7),COUNTIF('1.연간시수표'!AG14,$BJ$9),COUNTIF('1.연간시수표'!AG14,$BJ$7),COUNTIF('1.연간시수표'!AG14,$BK$9),COUNTIF('1.연간시수표'!AG14,$BK$7),COUNTIF('1.연간시수표'!AG14,$BL$9),COUNTIF('1.연간시수표'!AG14,$BL$7),COUNTIF('1.연간시수표'!AG14,$BM$9),COUNTIF('1.연간시수표'!AG14,$BM$7)),$BF$6,IF(OR(COUNTIF('1.연간시수표'!AG14,$BO$9),COUNTIF('1.연간시수표'!AG14,$BO$7)),$BO$6,IF(OR(COUNTIF('1.연간시수표'!AG14,$BP$9),COUNTIF('1.연간시수표'!AG14,$BP$7)),$BP$6,IF(OR(COUNTIF('1.연간시수표'!AG14,$BQ$9),COUNTIF('1.연간시수표'!AG14,$BQ$7)),$BQ$6,IF(OR(COUNTIF('1.연간시수표'!AG14,$BR$9),COUNTIF('1.연간시수표'!AG14,$BR$7)),$BR$6,"_")))))))))))))))</f>
        <v>과학</v>
      </c>
      <c r="AH14" s="148" t="str">
        <f>IF(OR(COUNTIF('1.연간시수표'!AH14,$AT$9),COUNTIF('1.연간시수표'!AH14,$AT$7)),$AT$6,IF(OR(COUNTIF('1.연간시수표'!AH14,$AU$9),COUNTIF('1.연간시수표'!AH14,$AU$7)),$AU$6,IF(OR(COUNTIF('1.연간시수표'!AH14,$AV$9),COUNTIF('1.연간시수표'!AH14,$AV$7)),$AV$6,IF(OR(COUNTIF('1.연간시수표'!AH14,$AW$9),COUNTIF('1.연간시수표'!AH14,$AW$7)),$AW$6,IF(OR(COUNTIF('1.연간시수표'!AH14,$AX$9),COUNTIF('1.연간시수표'!AH14,$AX$7)),$AX$6,IF(OR(COUNTIF('1.연간시수표'!AH14,$AY$9),COUNTIF('1.연간시수표'!AH14,$AY$7)),$AY$6,IF(OR(COUNTIF('1.연간시수표'!AH14,$AZ$9),COUNTIF('1.연간시수표'!AH14,$AZ$7)),$AZ$6,IF(OR(COUNTIF('1.연간시수표'!AH14,$BA$9),COUNTIF('1.연간시수표'!AH14,$BA$7)),$BA$6,IF(OR(COUNTIF('1.연간시수표'!AH14,$BB$9),COUNTIF('1.연간시수표'!AH14,$BB$7)),$BB$6,IF(OR(COUNTIF('1.연간시수표'!AH14,$BC$9),COUNTIF('1.연간시수표'!AH14,$BC$7)),$BC$6,IF(OR(COUNTIF('1.연간시수표'!AH14,$BF$9),COUNTIF('1.연간시수표'!AH14,$BF$7),COUNTIF('1.연간시수표'!AH14,$BG$9),COUNTIF('1.연간시수표'!AH14,$BG$7),COUNTIF('1.연간시수표'!AH14,$BH$9),COUNTIF('1.연간시수표'!AH14,$BH$7),COUNTIF('1.연간시수표'!AH14,$BI$9),COUNTIF('1.연간시수표'!AH14,$BI$7),COUNTIF('1.연간시수표'!AH14,$BJ$9),COUNTIF('1.연간시수표'!AH14,$BJ$7),COUNTIF('1.연간시수표'!AH14,$BK$9),COUNTIF('1.연간시수표'!AH14,$BK$7),COUNTIF('1.연간시수표'!AH14,$BL$9),COUNTIF('1.연간시수표'!AH14,$BL$7),COUNTIF('1.연간시수표'!AH14,$BM$9),COUNTIF('1.연간시수표'!AH14,$BM$7)),$BF$6,IF(OR(COUNTIF('1.연간시수표'!AH14,$BO$9),COUNTIF('1.연간시수표'!AH14,$BO$7)),$BO$6,IF(OR(COUNTIF('1.연간시수표'!AH14,$BP$9),COUNTIF('1.연간시수표'!AH14,$BP$7)),$BP$6,IF(OR(COUNTIF('1.연간시수표'!AH14,$BQ$9),COUNTIF('1.연간시수표'!AH14,$BQ$7)),$BQ$6,IF(OR(COUNTIF('1.연간시수표'!AH14,$BR$9),COUNTIF('1.연간시수표'!AH14,$BR$7)),$BR$6,"_")))))))))))))))</f>
        <v>음악</v>
      </c>
      <c r="AI14" s="148" t="str">
        <f>IF(OR(COUNTIF('1.연간시수표'!AI14,$AT$9),COUNTIF('1.연간시수표'!AI14,$AT$7)),$AT$6,IF(OR(COUNTIF('1.연간시수표'!AI14,$AU$9),COUNTIF('1.연간시수표'!AI14,$AU$7)),$AU$6,IF(OR(COUNTIF('1.연간시수표'!AI14,$AV$9),COUNTIF('1.연간시수표'!AI14,$AV$7)),$AV$6,IF(OR(COUNTIF('1.연간시수표'!AI14,$AW$9),COUNTIF('1.연간시수표'!AI14,$AW$7)),$AW$6,IF(OR(COUNTIF('1.연간시수표'!AI14,$AX$9),COUNTIF('1.연간시수표'!AI14,$AX$7)),$AX$6,IF(OR(COUNTIF('1.연간시수표'!AI14,$AY$9),COUNTIF('1.연간시수표'!AI14,$AY$7)),$AY$6,IF(OR(COUNTIF('1.연간시수표'!AI14,$AZ$9),COUNTIF('1.연간시수표'!AI14,$AZ$7)),$AZ$6,IF(OR(COUNTIF('1.연간시수표'!AI14,$BA$9),COUNTIF('1.연간시수표'!AI14,$BA$7)),$BA$6,IF(OR(COUNTIF('1.연간시수표'!AI14,$BB$9),COUNTIF('1.연간시수표'!AI14,$BB$7)),$BB$6,IF(OR(COUNTIF('1.연간시수표'!AI14,$BC$9),COUNTIF('1.연간시수표'!AI14,$BC$7)),$BC$6,IF(OR(COUNTIF('1.연간시수표'!AI14,$BF$9),COUNTIF('1.연간시수표'!AI14,$BF$7),COUNTIF('1.연간시수표'!AI14,$BG$9),COUNTIF('1.연간시수표'!AI14,$BG$7),COUNTIF('1.연간시수표'!AI14,$BH$9),COUNTIF('1.연간시수표'!AI14,$BH$7),COUNTIF('1.연간시수표'!AI14,$BI$9),COUNTIF('1.연간시수표'!AI14,$BI$7),COUNTIF('1.연간시수표'!AI14,$BJ$9),COUNTIF('1.연간시수표'!AI14,$BJ$7),COUNTIF('1.연간시수표'!AI14,$BK$9),COUNTIF('1.연간시수표'!AI14,$BK$7),COUNTIF('1.연간시수표'!AI14,$BL$9),COUNTIF('1.연간시수표'!AI14,$BL$7),COUNTIF('1.연간시수표'!AI14,$BM$9),COUNTIF('1.연간시수표'!AI14,$BM$7)),$BF$6,IF(OR(COUNTIF('1.연간시수표'!AI14,$BO$9),COUNTIF('1.연간시수표'!AI14,$BO$7)),$BO$6,IF(OR(COUNTIF('1.연간시수표'!AI14,$BP$9),COUNTIF('1.연간시수표'!AI14,$BP$7)),$BP$6,IF(OR(COUNTIF('1.연간시수표'!AI14,$BQ$9),COUNTIF('1.연간시수표'!AI14,$BQ$7)),$BQ$6,IF(OR(COUNTIF('1.연간시수표'!AI14,$BR$9),COUNTIF('1.연간시수표'!AI14,$BR$7)),$BR$6,"_")))))))))))))))</f>
        <v>_</v>
      </c>
      <c r="AJ14" s="148" t="str">
        <f>IF(OR(COUNTIF('1.연간시수표'!AJ14,$AT$9),COUNTIF('1.연간시수표'!AJ14,$AT$7)),$AT$6,IF(OR(COUNTIF('1.연간시수표'!AJ14,$AU$9),COUNTIF('1.연간시수표'!AJ14,$AU$7)),$AU$6,IF(OR(COUNTIF('1.연간시수표'!AJ14,$AV$9),COUNTIF('1.연간시수표'!AJ14,$AV$7)),$AV$6,IF(OR(COUNTIF('1.연간시수표'!AJ14,$AW$9),COUNTIF('1.연간시수표'!AJ14,$AW$7)),$AW$6,IF(OR(COUNTIF('1.연간시수표'!AJ14,$AX$9),COUNTIF('1.연간시수표'!AJ14,$AX$7)),$AX$6,IF(OR(COUNTIF('1.연간시수표'!AJ14,$AY$9),COUNTIF('1.연간시수표'!AJ14,$AY$7)),$AY$6,IF(OR(COUNTIF('1.연간시수표'!AJ14,$AZ$9),COUNTIF('1.연간시수표'!AJ14,$AZ$7)),$AZ$6,IF(OR(COUNTIF('1.연간시수표'!AJ14,$BA$9),COUNTIF('1.연간시수표'!AJ14,$BA$7)),$BA$6,IF(OR(COUNTIF('1.연간시수표'!AJ14,$BB$9),COUNTIF('1.연간시수표'!AJ14,$BB$7)),$BB$6,IF(OR(COUNTIF('1.연간시수표'!AJ14,$BC$9),COUNTIF('1.연간시수표'!AJ14,$BC$7)),$BC$6,IF(OR(COUNTIF('1.연간시수표'!AJ14,$BF$9),COUNTIF('1.연간시수표'!AJ14,$BF$7),COUNTIF('1.연간시수표'!AJ14,$BG$9),COUNTIF('1.연간시수표'!AJ14,$BG$7),COUNTIF('1.연간시수표'!AJ14,$BH$9),COUNTIF('1.연간시수표'!AJ14,$BH$7),COUNTIF('1.연간시수표'!AJ14,$BI$9),COUNTIF('1.연간시수표'!AJ14,$BI$7),COUNTIF('1.연간시수표'!AJ14,$BJ$9),COUNTIF('1.연간시수표'!AJ14,$BJ$7),COUNTIF('1.연간시수표'!AJ14,$BK$9),COUNTIF('1.연간시수표'!AJ14,$BK$7),COUNTIF('1.연간시수표'!AJ14,$BL$9),COUNTIF('1.연간시수표'!AJ14,$BL$7),COUNTIF('1.연간시수표'!AJ14,$BM$9),COUNTIF('1.연간시수표'!AJ14,$BM$7)),$BF$6,IF(OR(COUNTIF('1.연간시수표'!AJ14,$BO$9),COUNTIF('1.연간시수표'!AJ14,$BO$7)),$BO$6,IF(OR(COUNTIF('1.연간시수표'!AJ14,$BP$9),COUNTIF('1.연간시수표'!AJ14,$BP$7)),$BP$6,IF(OR(COUNTIF('1.연간시수표'!AJ14,$BQ$9),COUNTIF('1.연간시수표'!AJ14,$BQ$7)),$BQ$6,IF(OR(COUNTIF('1.연간시수표'!AJ14,$BR$9),COUNTIF('1.연간시수표'!AJ14,$BR$7)),$BR$6,"_")))))))))))))))</f>
        <v>_</v>
      </c>
      <c r="AK14" s="148" t="str">
        <f>IF(OR(COUNTIF('1.연간시수표'!AK14,$AT$9),COUNTIF('1.연간시수표'!AK14,$AT$7)),$AT$6,IF(OR(COUNTIF('1.연간시수표'!AK14,$AU$9),COUNTIF('1.연간시수표'!AK14,$AU$7)),$AU$6,IF(OR(COUNTIF('1.연간시수표'!AK14,$AV$9),COUNTIF('1.연간시수표'!AK14,$AV$7)),$AV$6,IF(OR(COUNTIF('1.연간시수표'!AK14,$AW$9),COUNTIF('1.연간시수표'!AK14,$AW$7)),$AW$6,IF(OR(COUNTIF('1.연간시수표'!AK14,$AX$9),COUNTIF('1.연간시수표'!AK14,$AX$7)),$AX$6,IF(OR(COUNTIF('1.연간시수표'!AK14,$AY$9),COUNTIF('1.연간시수표'!AK14,$AY$7)),$AY$6,IF(OR(COUNTIF('1.연간시수표'!AK14,$AZ$9),COUNTIF('1.연간시수표'!AK14,$AZ$7)),$AZ$6,IF(OR(COUNTIF('1.연간시수표'!AK14,$BA$9),COUNTIF('1.연간시수표'!AK14,$BA$7)),$BA$6,IF(OR(COUNTIF('1.연간시수표'!AK14,$BB$9),COUNTIF('1.연간시수표'!AK14,$BB$7)),$BB$6,IF(OR(COUNTIF('1.연간시수표'!AK14,$BC$9),COUNTIF('1.연간시수표'!AK14,$BC$7)),$BC$6,IF(OR(COUNTIF('1.연간시수표'!AK14,$BF$9),COUNTIF('1.연간시수표'!AK14,$BF$7),COUNTIF('1.연간시수표'!AK14,$BG$9),COUNTIF('1.연간시수표'!AK14,$BG$7),COUNTIF('1.연간시수표'!AK14,$BH$9),COUNTIF('1.연간시수표'!AK14,$BH$7),COUNTIF('1.연간시수표'!AK14,$BI$9),COUNTIF('1.연간시수표'!AK14,$BI$7),COUNTIF('1.연간시수표'!AK14,$BJ$9),COUNTIF('1.연간시수표'!AK14,$BJ$7),COUNTIF('1.연간시수표'!AK14,$BK$9),COUNTIF('1.연간시수표'!AK14,$BK$7),COUNTIF('1.연간시수표'!AK14,$BL$9),COUNTIF('1.연간시수표'!AK14,$BL$7),COUNTIF('1.연간시수표'!AK14,$BM$9),COUNTIF('1.연간시수표'!AK14,$BM$7)),$BF$6,IF(OR(COUNTIF('1.연간시수표'!AK14,$BO$9),COUNTIF('1.연간시수표'!AK14,$BO$7)),$BO$6,IF(OR(COUNTIF('1.연간시수표'!AK14,$BP$9),COUNTIF('1.연간시수표'!AK14,$BP$7)),$BP$6,IF(OR(COUNTIF('1.연간시수표'!AK14,$BQ$9),COUNTIF('1.연간시수표'!AK14,$BQ$7)),$BQ$6,IF(OR(COUNTIF('1.연간시수표'!AK14,$BR$9),COUNTIF('1.연간시수표'!AK14,$BR$7)),$BR$6,"_")))))))))))))))</f>
        <v>자율활동</v>
      </c>
      <c r="AL14" s="148" t="str">
        <f>IF(OR(COUNTIF('1.연간시수표'!AL14,$AT$9),COUNTIF('1.연간시수표'!AL14,$AT$7)),$AT$6,IF(OR(COUNTIF('1.연간시수표'!AL14,$AU$9),COUNTIF('1.연간시수표'!AL14,$AU$7)),$AU$6,IF(OR(COUNTIF('1.연간시수표'!AL14,$AV$9),COUNTIF('1.연간시수표'!AL14,$AV$7)),$AV$6,IF(OR(COUNTIF('1.연간시수표'!AL14,$AW$9),COUNTIF('1.연간시수표'!AL14,$AW$7)),$AW$6,IF(OR(COUNTIF('1.연간시수표'!AL14,$AX$9),COUNTIF('1.연간시수표'!AL14,$AX$7)),$AX$6,IF(OR(COUNTIF('1.연간시수표'!AL14,$AY$9),COUNTIF('1.연간시수표'!AL14,$AY$7)),$AY$6,IF(OR(COUNTIF('1.연간시수표'!AL14,$AZ$9),COUNTIF('1.연간시수표'!AL14,$AZ$7)),$AZ$6,IF(OR(COUNTIF('1.연간시수표'!AL14,$BA$9),COUNTIF('1.연간시수표'!AL14,$BA$7)),$BA$6,IF(OR(COUNTIF('1.연간시수표'!AL14,$BB$9),COUNTIF('1.연간시수표'!AL14,$BB$7)),$BB$6,IF(OR(COUNTIF('1.연간시수표'!AL14,$BC$9),COUNTIF('1.연간시수표'!AL14,$BC$7)),$BC$6,IF(OR(COUNTIF('1.연간시수표'!AL14,$BF$9),COUNTIF('1.연간시수표'!AL14,$BF$7),COUNTIF('1.연간시수표'!AL14,$BG$9),COUNTIF('1.연간시수표'!AL14,$BG$7),COUNTIF('1.연간시수표'!AL14,$BH$9),COUNTIF('1.연간시수표'!AL14,$BH$7),COUNTIF('1.연간시수표'!AL14,$BI$9),COUNTIF('1.연간시수표'!AL14,$BI$7),COUNTIF('1.연간시수표'!AL14,$BJ$9),COUNTIF('1.연간시수표'!AL14,$BJ$7),COUNTIF('1.연간시수표'!AL14,$BK$9),COUNTIF('1.연간시수표'!AL14,$BK$7),COUNTIF('1.연간시수표'!AL14,$BL$9),COUNTIF('1.연간시수표'!AL14,$BL$7),COUNTIF('1.연간시수표'!AL14,$BM$9),COUNTIF('1.연간시수표'!AL14,$BM$7)),$BF$6,IF(OR(COUNTIF('1.연간시수표'!AL14,$BO$9),COUNTIF('1.연간시수표'!AL14,$BO$7)),$BO$6,IF(OR(COUNTIF('1.연간시수표'!AL14,$BP$9),COUNTIF('1.연간시수표'!AL14,$BP$7)),$BP$6,IF(OR(COUNTIF('1.연간시수표'!AL14,$BQ$9),COUNTIF('1.연간시수표'!AL14,$BQ$7)),$BQ$6,IF(OR(COUNTIF('1.연간시수표'!AL14,$BR$9),COUNTIF('1.연간시수표'!AL14,$BR$7)),$BR$6,"_")))))))))))))))</f>
        <v>체육</v>
      </c>
      <c r="AM14" s="148" t="str">
        <f>IF(OR(COUNTIF('1.연간시수표'!AM14,$AT$9),COUNTIF('1.연간시수표'!AM14,$AT$7)),$AT$6,IF(OR(COUNTIF('1.연간시수표'!AM14,$AU$9),COUNTIF('1.연간시수표'!AM14,$AU$7)),$AU$6,IF(OR(COUNTIF('1.연간시수표'!AM14,$AV$9),COUNTIF('1.연간시수표'!AM14,$AV$7)),$AV$6,IF(OR(COUNTIF('1.연간시수표'!AM14,$AW$9),COUNTIF('1.연간시수표'!AM14,$AW$7)),$AW$6,IF(OR(COUNTIF('1.연간시수표'!AM14,$AX$9),COUNTIF('1.연간시수표'!AM14,$AX$7)),$AX$6,IF(OR(COUNTIF('1.연간시수표'!AM14,$AY$9),COUNTIF('1.연간시수표'!AM14,$AY$7)),$AY$6,IF(OR(COUNTIF('1.연간시수표'!AM14,$AZ$9),COUNTIF('1.연간시수표'!AM14,$AZ$7)),$AZ$6,IF(OR(COUNTIF('1.연간시수표'!AM14,$BA$9),COUNTIF('1.연간시수표'!AM14,$BA$7)),$BA$6,IF(OR(COUNTIF('1.연간시수표'!AM14,$BB$9),COUNTIF('1.연간시수표'!AM14,$BB$7)),$BB$6,IF(OR(COUNTIF('1.연간시수표'!AM14,$BC$9),COUNTIF('1.연간시수표'!AM14,$BC$7)),$BC$6,IF(OR(COUNTIF('1.연간시수표'!AM14,$BF$9),COUNTIF('1.연간시수표'!AM14,$BF$7),COUNTIF('1.연간시수표'!AM14,$BG$9),COUNTIF('1.연간시수표'!AM14,$BG$7),COUNTIF('1.연간시수표'!AM14,$BH$9),COUNTIF('1.연간시수표'!AM14,$BH$7),COUNTIF('1.연간시수표'!AM14,$BI$9),COUNTIF('1.연간시수표'!AM14,$BI$7),COUNTIF('1.연간시수표'!AM14,$BJ$9),COUNTIF('1.연간시수표'!AM14,$BJ$7),COUNTIF('1.연간시수표'!AM14,$BK$9),COUNTIF('1.연간시수표'!AM14,$BK$7),COUNTIF('1.연간시수표'!AM14,$BL$9),COUNTIF('1.연간시수표'!AM14,$BL$7),COUNTIF('1.연간시수표'!AM14,$BM$9),COUNTIF('1.연간시수표'!AM14,$BM$7)),$BF$6,IF(OR(COUNTIF('1.연간시수표'!AM14,$BO$9),COUNTIF('1.연간시수표'!AM14,$BO$7)),$BO$6,IF(OR(COUNTIF('1.연간시수표'!AM14,$BP$9),COUNTIF('1.연간시수표'!AM14,$BP$7)),$BP$6,IF(OR(COUNTIF('1.연간시수표'!AM14,$BQ$9),COUNTIF('1.연간시수표'!AM14,$BQ$7)),$BQ$6,IF(OR(COUNTIF('1.연간시수표'!AM14,$BR$9),COUNTIF('1.연간시수표'!AM14,$BR$7)),$BR$6,"_")))))))))))))))</f>
        <v>수학</v>
      </c>
      <c r="AN14" s="148" t="str">
        <f>IF(OR(COUNTIF('1.연간시수표'!AN14,$AT$9),COUNTIF('1.연간시수표'!AN14,$AT$7)),$AT$6,IF(OR(COUNTIF('1.연간시수표'!AN14,$AU$9),COUNTIF('1.연간시수표'!AN14,$AU$7)),$AU$6,IF(OR(COUNTIF('1.연간시수표'!AN14,$AV$9),COUNTIF('1.연간시수표'!AN14,$AV$7)),$AV$6,IF(OR(COUNTIF('1.연간시수표'!AN14,$AW$9),COUNTIF('1.연간시수표'!AN14,$AW$7)),$AW$6,IF(OR(COUNTIF('1.연간시수표'!AN14,$AX$9),COUNTIF('1.연간시수표'!AN14,$AX$7)),$AX$6,IF(OR(COUNTIF('1.연간시수표'!AN14,$AY$9),COUNTIF('1.연간시수표'!AN14,$AY$7)),$AY$6,IF(OR(COUNTIF('1.연간시수표'!AN14,$AZ$9),COUNTIF('1.연간시수표'!AN14,$AZ$7)),$AZ$6,IF(OR(COUNTIF('1.연간시수표'!AN14,$BA$9),COUNTIF('1.연간시수표'!AN14,$BA$7)),$BA$6,IF(OR(COUNTIF('1.연간시수표'!AN14,$BB$9),COUNTIF('1.연간시수표'!AN14,$BB$7)),$BB$6,IF(OR(COUNTIF('1.연간시수표'!AN14,$BC$9),COUNTIF('1.연간시수표'!AN14,$BC$7)),$BC$6,IF(OR(COUNTIF('1.연간시수표'!AN14,$BF$9),COUNTIF('1.연간시수표'!AN14,$BF$7),COUNTIF('1.연간시수표'!AN14,$BG$9),COUNTIF('1.연간시수표'!AN14,$BG$7),COUNTIF('1.연간시수표'!AN14,$BH$9),COUNTIF('1.연간시수표'!AN14,$BH$7),COUNTIF('1.연간시수표'!AN14,$BI$9),COUNTIF('1.연간시수표'!AN14,$BI$7),COUNTIF('1.연간시수표'!AN14,$BJ$9),COUNTIF('1.연간시수표'!AN14,$BJ$7),COUNTIF('1.연간시수표'!AN14,$BK$9),COUNTIF('1.연간시수표'!AN14,$BK$7),COUNTIF('1.연간시수표'!AN14,$BL$9),COUNTIF('1.연간시수표'!AN14,$BL$7),COUNTIF('1.연간시수표'!AN14,$BM$9),COUNTIF('1.연간시수표'!AN14,$BM$7)),$BF$6,IF(OR(COUNTIF('1.연간시수표'!AN14,$BO$9),COUNTIF('1.연간시수표'!AN14,$BO$7)),$BO$6,IF(OR(COUNTIF('1.연간시수표'!AN14,$BP$9),COUNTIF('1.연간시수표'!AN14,$BP$7)),$BP$6,IF(OR(COUNTIF('1.연간시수표'!AN14,$BQ$9),COUNTIF('1.연간시수표'!AN14,$BQ$7)),$BQ$6,IF(OR(COUNTIF('1.연간시수표'!AN14,$BR$9),COUNTIF('1.연간시수표'!AN14,$BR$7)),$BR$6,"_")))))))))))))))</f>
        <v>국어</v>
      </c>
      <c r="AO14" s="148" t="str">
        <f>IF(OR(COUNTIF('1.연간시수표'!AO14,$AT$9),COUNTIF('1.연간시수표'!AO14,$AT$7)),$AT$6,IF(OR(COUNTIF('1.연간시수표'!AO14,$AU$9),COUNTIF('1.연간시수표'!AO14,$AU$7)),$AU$6,IF(OR(COUNTIF('1.연간시수표'!AO14,$AV$9),COUNTIF('1.연간시수표'!AO14,$AV$7)),$AV$6,IF(OR(COUNTIF('1.연간시수표'!AO14,$AW$9),COUNTIF('1.연간시수표'!AO14,$AW$7)),$AW$6,IF(OR(COUNTIF('1.연간시수표'!AO14,$AX$9),COUNTIF('1.연간시수표'!AO14,$AX$7)),$AX$6,IF(OR(COUNTIF('1.연간시수표'!AO14,$AY$9),COUNTIF('1.연간시수표'!AO14,$AY$7)),$AY$6,IF(OR(COUNTIF('1.연간시수표'!AO14,$AZ$9),COUNTIF('1.연간시수표'!AO14,$AZ$7)),$AZ$6,IF(OR(COUNTIF('1.연간시수표'!AO14,$BA$9),COUNTIF('1.연간시수표'!AO14,$BA$7)),$BA$6,IF(OR(COUNTIF('1.연간시수표'!AO14,$BB$9),COUNTIF('1.연간시수표'!AO14,$BB$7)),$BB$6,IF(OR(COUNTIF('1.연간시수표'!AO14,$BC$9),COUNTIF('1.연간시수표'!AO14,$BC$7)),$BC$6,IF(OR(COUNTIF('1.연간시수표'!AO14,$BF$9),COUNTIF('1.연간시수표'!AO14,$BF$7),COUNTIF('1.연간시수표'!AO14,$BG$9),COUNTIF('1.연간시수표'!AO14,$BG$7),COUNTIF('1.연간시수표'!AO14,$BH$9),COUNTIF('1.연간시수표'!AO14,$BH$7),COUNTIF('1.연간시수표'!AO14,$BI$9),COUNTIF('1.연간시수표'!AO14,$BI$7),COUNTIF('1.연간시수표'!AO14,$BJ$9),COUNTIF('1.연간시수표'!AO14,$BJ$7),COUNTIF('1.연간시수표'!AO14,$BK$9),COUNTIF('1.연간시수표'!AO14,$BK$7),COUNTIF('1.연간시수표'!AO14,$BL$9),COUNTIF('1.연간시수표'!AO14,$BL$7),COUNTIF('1.연간시수표'!AO14,$BM$9),COUNTIF('1.연간시수표'!AO14,$BM$7)),$BF$6,IF(OR(COUNTIF('1.연간시수표'!AO14,$BO$9),COUNTIF('1.연간시수표'!AO14,$BO$7)),$BO$6,IF(OR(COUNTIF('1.연간시수표'!AO14,$BP$9),COUNTIF('1.연간시수표'!AO14,$BP$7)),$BP$6,IF(OR(COUNTIF('1.연간시수표'!AO14,$BQ$9),COUNTIF('1.연간시수표'!AO14,$BQ$7)),$BQ$6,IF(OR(COUNTIF('1.연간시수표'!AO14,$BR$9),COUNTIF('1.연간시수표'!AO14,$BR$7)),$BR$6,"_")))))))))))))))</f>
        <v>사회</v>
      </c>
      <c r="AP14" s="148" t="str">
        <f>IF(OR(COUNTIF('1.연간시수표'!AP14,$AT$9),COUNTIF('1.연간시수표'!AP14,$AT$7)),$AT$6,IF(OR(COUNTIF('1.연간시수표'!AP14,$AU$9),COUNTIF('1.연간시수표'!AP14,$AU$7)),$AU$6,IF(OR(COUNTIF('1.연간시수표'!AP14,$AV$9),COUNTIF('1.연간시수표'!AP14,$AV$7)),$AV$6,IF(OR(COUNTIF('1.연간시수표'!AP14,$AW$9),COUNTIF('1.연간시수표'!AP14,$AW$7)),$AW$6,IF(OR(COUNTIF('1.연간시수표'!AP14,$AX$9),COUNTIF('1.연간시수표'!AP14,$AX$7)),$AX$6,IF(OR(COUNTIF('1.연간시수표'!AP14,$AY$9),COUNTIF('1.연간시수표'!AP14,$AY$7)),$AY$6,IF(OR(COUNTIF('1.연간시수표'!AP14,$AZ$9),COUNTIF('1.연간시수표'!AP14,$AZ$7)),$AZ$6,IF(OR(COUNTIF('1.연간시수표'!AP14,$BA$9),COUNTIF('1.연간시수표'!AP14,$BA$7)),$BA$6,IF(OR(COUNTIF('1.연간시수표'!AP14,$BB$9),COUNTIF('1.연간시수표'!AP14,$BB$7)),$BB$6,IF(OR(COUNTIF('1.연간시수표'!AP14,$BC$9),COUNTIF('1.연간시수표'!AP14,$BC$7)),$BC$6,IF(OR(COUNTIF('1.연간시수표'!AP14,$BF$9),COUNTIF('1.연간시수표'!AP14,$BF$7),COUNTIF('1.연간시수표'!AP14,$BG$9),COUNTIF('1.연간시수표'!AP14,$BG$7),COUNTIF('1.연간시수표'!AP14,$BH$9),COUNTIF('1.연간시수표'!AP14,$BH$7),COUNTIF('1.연간시수표'!AP14,$BI$9),COUNTIF('1.연간시수표'!AP14,$BI$7),COUNTIF('1.연간시수표'!AP14,$BJ$9),COUNTIF('1.연간시수표'!AP14,$BJ$7),COUNTIF('1.연간시수표'!AP14,$BK$9),COUNTIF('1.연간시수표'!AP14,$BK$7),COUNTIF('1.연간시수표'!AP14,$BL$9),COUNTIF('1.연간시수표'!AP14,$BL$7),COUNTIF('1.연간시수표'!AP14,$BM$9),COUNTIF('1.연간시수표'!AP14,$BM$7)),$BF$6,IF(OR(COUNTIF('1.연간시수표'!AP14,$BO$9),COUNTIF('1.연간시수표'!AP14,$BO$7)),$BO$6,IF(OR(COUNTIF('1.연간시수표'!AP14,$BP$9),COUNTIF('1.연간시수표'!AP14,$BP$7)),$BP$6,IF(OR(COUNTIF('1.연간시수표'!AP14,$BQ$9),COUNTIF('1.연간시수표'!AP14,$BQ$7)),$BQ$6,IF(OR(COUNTIF('1.연간시수표'!AP14,$BR$9),COUNTIF('1.연간시수표'!AP14,$BR$7)),$BR$6,"_")))))))))))))))</f>
        <v>실과</v>
      </c>
      <c r="AQ14" s="148" t="str">
        <f>IF(OR(COUNTIF('1.연간시수표'!AQ14,$AT$9),COUNTIF('1.연간시수표'!AQ14,$AT$7)),$AT$6,IF(OR(COUNTIF('1.연간시수표'!AQ14,$AU$9),COUNTIF('1.연간시수표'!AQ14,$AU$7)),$AU$6,IF(OR(COUNTIF('1.연간시수표'!AQ14,$AV$9),COUNTIF('1.연간시수표'!AQ14,$AV$7)),$AV$6,IF(OR(COUNTIF('1.연간시수표'!AQ14,$AW$9),COUNTIF('1.연간시수표'!AQ14,$AW$7)),$AW$6,IF(OR(COUNTIF('1.연간시수표'!AQ14,$AX$9),COUNTIF('1.연간시수표'!AQ14,$AX$7)),$AX$6,IF(OR(COUNTIF('1.연간시수표'!AQ14,$AY$9),COUNTIF('1.연간시수표'!AQ14,$AY$7)),$AY$6,IF(OR(COUNTIF('1.연간시수표'!AQ14,$AZ$9),COUNTIF('1.연간시수표'!AQ14,$AZ$7)),$AZ$6,IF(OR(COUNTIF('1.연간시수표'!AQ14,$BA$9),COUNTIF('1.연간시수표'!AQ14,$BA$7)),$BA$6,IF(OR(COUNTIF('1.연간시수표'!AQ14,$BB$9),COUNTIF('1.연간시수표'!AQ14,$BB$7)),$BB$6,IF(OR(COUNTIF('1.연간시수표'!AQ14,$BC$9),COUNTIF('1.연간시수표'!AQ14,$BC$7)),$BC$6,IF(OR(COUNTIF('1.연간시수표'!AQ14,$BF$9),COUNTIF('1.연간시수표'!AQ14,$BF$7),COUNTIF('1.연간시수표'!AQ14,$BG$9),COUNTIF('1.연간시수표'!AQ14,$BG$7),COUNTIF('1.연간시수표'!AQ14,$BH$9),COUNTIF('1.연간시수표'!AQ14,$BH$7),COUNTIF('1.연간시수표'!AQ14,$BI$9),COUNTIF('1.연간시수표'!AQ14,$BI$7),COUNTIF('1.연간시수표'!AQ14,$BJ$9),COUNTIF('1.연간시수표'!AQ14,$BJ$7),COUNTIF('1.연간시수표'!AQ14,$BK$9),COUNTIF('1.연간시수표'!AQ14,$BK$7),COUNTIF('1.연간시수표'!AQ14,$BL$9),COUNTIF('1.연간시수표'!AQ14,$BL$7),COUNTIF('1.연간시수표'!AQ14,$BM$9),COUNTIF('1.연간시수표'!AQ14,$BM$7)),$BF$6,IF(OR(COUNTIF('1.연간시수표'!AQ14,$BO$9),COUNTIF('1.연간시수표'!AQ14,$BO$7)),$BO$6,IF(OR(COUNTIF('1.연간시수표'!AQ14,$BP$9),COUNTIF('1.연간시수표'!AQ14,$BP$7)),$BP$6,IF(OR(COUNTIF('1.연간시수표'!AQ14,$BQ$9),COUNTIF('1.연간시수표'!AQ14,$BQ$7)),$BQ$6,IF(OR(COUNTIF('1.연간시수표'!AQ14,$BR$9),COUNTIF('1.연간시수표'!AQ14,$BR$7)),$BR$6,"_")))))))))))))))</f>
        <v>_</v>
      </c>
      <c r="AR14" s="148" t="str">
        <f>IF(OR(COUNTIF('1.연간시수표'!AR14,$AT$9),COUNTIF('1.연간시수표'!AR14,$AT$7)),$AT$6,IF(OR(COUNTIF('1.연간시수표'!AR14,$AU$9),COUNTIF('1.연간시수표'!AR14,$AU$7)),$AU$6,IF(OR(COUNTIF('1.연간시수표'!AR14,$AV$9),COUNTIF('1.연간시수표'!AR14,$AV$7)),$AV$6,IF(OR(COUNTIF('1.연간시수표'!AR14,$AW$9),COUNTIF('1.연간시수표'!AR14,$AW$7)),$AW$6,IF(OR(COUNTIF('1.연간시수표'!AR14,$AX$9),COUNTIF('1.연간시수표'!AR14,$AX$7)),$AX$6,IF(OR(COUNTIF('1.연간시수표'!AR14,$AY$9),COUNTIF('1.연간시수표'!AR14,$AY$7)),$AY$6,IF(OR(COUNTIF('1.연간시수표'!AR14,$AZ$9),COUNTIF('1.연간시수표'!AR14,$AZ$7)),$AZ$6,IF(OR(COUNTIF('1.연간시수표'!AR14,$BA$9),COUNTIF('1.연간시수표'!AR14,$BA$7)),$BA$6,IF(OR(COUNTIF('1.연간시수표'!AR14,$BB$9),COUNTIF('1.연간시수표'!AR14,$BB$7)),$BB$6,IF(OR(COUNTIF('1.연간시수표'!AR14,$BC$9),COUNTIF('1.연간시수표'!AR14,$BC$7)),$BC$6,IF(OR(COUNTIF('1.연간시수표'!AR14,$BF$9),COUNTIF('1.연간시수표'!AR14,$BF$7),COUNTIF('1.연간시수표'!AR14,$BG$9),COUNTIF('1.연간시수표'!AR14,$BG$7),COUNTIF('1.연간시수표'!AR14,$BH$9),COUNTIF('1.연간시수표'!AR14,$BH$7),COUNTIF('1.연간시수표'!AR14,$BI$9),COUNTIF('1.연간시수표'!AR14,$BI$7),COUNTIF('1.연간시수표'!AR14,$BJ$9),COUNTIF('1.연간시수표'!AR14,$BJ$7),COUNTIF('1.연간시수표'!AR14,$BK$9),COUNTIF('1.연간시수표'!AR14,$BK$7),COUNTIF('1.연간시수표'!AR14,$BL$9),COUNTIF('1.연간시수표'!AR14,$BL$7),COUNTIF('1.연간시수표'!AR14,$BM$9),COUNTIF('1.연간시수표'!AR14,$BM$7)),$BF$6,IF(OR(COUNTIF('1.연간시수표'!AR14,$BO$9),COUNTIF('1.연간시수표'!AR14,$BO$7)),$BO$6,IF(OR(COUNTIF('1.연간시수표'!AR14,$BP$9),COUNTIF('1.연간시수표'!AR14,$BP$7)),$BP$6,IF(OR(COUNTIF('1.연간시수표'!AR14,$BQ$9),COUNTIF('1.연간시수표'!AR14,$BQ$7)),$BQ$6,IF(OR(COUNTIF('1.연간시수표'!AR14,$BR$9),COUNTIF('1.연간시수표'!AR14,$BR$7)),$BR$6,"_")))))))))))))))</f>
        <v>_</v>
      </c>
      <c r="BU14" s="142" t="str">
        <f>AU6</f>
        <v>사회</v>
      </c>
      <c r="BV14" s="142" t="str">
        <f t="shared" si="0"/>
        <v>사회</v>
      </c>
    </row>
    <row r="15" spans="2:74">
      <c r="B15" s="6"/>
      <c r="C15" s="79">
        <f>'1.연간시수표'!C15</f>
        <v>6</v>
      </c>
      <c r="D15" s="3"/>
      <c r="E15" s="148" t="str">
        <f>IF(OR(COUNTIF('1.연간시수표'!E15,$AT$9),COUNTIF('1.연간시수표'!E15,$AT$7)),$AT$6,IF(OR(COUNTIF('1.연간시수표'!E15,$AU$9),COUNTIF('1.연간시수표'!E15,$AU$7)),$AU$6,IF(OR(COUNTIF('1.연간시수표'!E15,$AV$9),COUNTIF('1.연간시수표'!E15,$AV$7)),$AV$6,IF(OR(COUNTIF('1.연간시수표'!E15,$AW$9),COUNTIF('1.연간시수표'!E15,$AW$7)),$AW$6,IF(OR(COUNTIF('1.연간시수표'!E15,$AX$9),COUNTIF('1.연간시수표'!E15,$AX$7)),$AX$6,IF(OR(COUNTIF('1.연간시수표'!E15,$AY$9),COUNTIF('1.연간시수표'!E15,$AY$7)),$AY$6,IF(OR(COUNTIF('1.연간시수표'!E15,$AZ$9),COUNTIF('1.연간시수표'!E15,$AZ$7)),$AZ$6,IF(OR(COUNTIF('1.연간시수표'!E15,$BA$9),COUNTIF('1.연간시수표'!E15,$BA$7)),$BA$6,IF(OR(COUNTIF('1.연간시수표'!E15,$BB$9),COUNTIF('1.연간시수표'!E15,$BB$7)),$BB$6,IF(OR(COUNTIF('1.연간시수표'!E15,$BC$9),COUNTIF('1.연간시수표'!E15,$BC$7)),$BC$6,IF(OR(COUNTIF('1.연간시수표'!E15,$BF$9),COUNTIF('1.연간시수표'!E15,$BF$7),COUNTIF('1.연간시수표'!E15,$BG$9),COUNTIF('1.연간시수표'!E15,$BG$7),COUNTIF('1.연간시수표'!E15,$BH$9),COUNTIF('1.연간시수표'!E15,$BH$7),COUNTIF('1.연간시수표'!E15,$BI$9),COUNTIF('1.연간시수표'!E15,$BI$7),COUNTIF('1.연간시수표'!E15,$BJ$9),COUNTIF('1.연간시수표'!E15,$BJ$7),COUNTIF('1.연간시수표'!E15,$BK$9),COUNTIF('1.연간시수표'!E15,$BK$7),COUNTIF('1.연간시수표'!E15,$BL$9),COUNTIF('1.연간시수표'!E15,$BL$7),COUNTIF('1.연간시수표'!E15,$BM$9),COUNTIF('1.연간시수표'!E15,$BM$7)),$BF$6,IF(OR(COUNTIF('1.연간시수표'!E15,$BO$9),COUNTIF('1.연간시수표'!E15,$BO$7)),$BO$6,IF(OR(COUNTIF('1.연간시수표'!E15,$BP$9),COUNTIF('1.연간시수표'!E15,$BP$7)),$BP$6,IF(OR(COUNTIF('1.연간시수표'!E15,$BQ$9),COUNTIF('1.연간시수표'!E15,$BQ$7)),$BQ$6,IF(OR(COUNTIF('1.연간시수표'!E15,$BR$9),COUNTIF('1.연간시수표'!E15,$BR$7)),$BR$6,"_")))))))))))))))</f>
        <v>국어</v>
      </c>
      <c r="F15" s="148" t="str">
        <f>IF(OR(COUNTIF('1.연간시수표'!F15,$AT$9),COUNTIF('1.연간시수표'!F15,$AT$7)),$AT$6,IF(OR(COUNTIF('1.연간시수표'!F15,$AU$9),COUNTIF('1.연간시수표'!F15,$AU$7)),$AU$6,IF(OR(COUNTIF('1.연간시수표'!F15,$AV$9),COUNTIF('1.연간시수표'!F15,$AV$7)),$AV$6,IF(OR(COUNTIF('1.연간시수표'!F15,$AW$9),COUNTIF('1.연간시수표'!F15,$AW$7)),$AW$6,IF(OR(COUNTIF('1.연간시수표'!F15,$AX$9),COUNTIF('1.연간시수표'!F15,$AX$7)),$AX$6,IF(OR(COUNTIF('1.연간시수표'!F15,$AY$9),COUNTIF('1.연간시수표'!F15,$AY$7)),$AY$6,IF(OR(COUNTIF('1.연간시수표'!F15,$AZ$9),COUNTIF('1.연간시수표'!F15,$AZ$7)),$AZ$6,IF(OR(COUNTIF('1.연간시수표'!F15,$BA$9),COUNTIF('1.연간시수표'!F15,$BA$7)),$BA$6,IF(OR(COUNTIF('1.연간시수표'!F15,$BB$9),COUNTIF('1.연간시수표'!F15,$BB$7)),$BB$6,IF(OR(COUNTIF('1.연간시수표'!F15,$BC$9),COUNTIF('1.연간시수표'!F15,$BC$7)),$BC$6,IF(OR(COUNTIF('1.연간시수표'!F15,$BF$9),COUNTIF('1.연간시수표'!F15,$BF$7),COUNTIF('1.연간시수표'!F15,$BG$9),COUNTIF('1.연간시수표'!F15,$BG$7),COUNTIF('1.연간시수표'!F15,$BH$9),COUNTIF('1.연간시수표'!F15,$BH$7),COUNTIF('1.연간시수표'!F15,$BI$9),COUNTIF('1.연간시수표'!F15,$BI$7),COUNTIF('1.연간시수표'!F15,$BJ$9),COUNTIF('1.연간시수표'!F15,$BJ$7),COUNTIF('1.연간시수표'!F15,$BK$9),COUNTIF('1.연간시수표'!F15,$BK$7),COUNTIF('1.연간시수표'!F15,$BL$9),COUNTIF('1.연간시수표'!F15,$BL$7),COUNTIF('1.연간시수표'!F15,$BM$9),COUNTIF('1.연간시수표'!F15,$BM$7)),$BF$6,IF(OR(COUNTIF('1.연간시수표'!F15,$BO$9),COUNTIF('1.연간시수표'!F15,$BO$7)),$BO$6,IF(OR(COUNTIF('1.연간시수표'!F15,$BP$9),COUNTIF('1.연간시수표'!F15,$BP$7)),$BP$6,IF(OR(COUNTIF('1.연간시수표'!F15,$BQ$9),COUNTIF('1.연간시수표'!F15,$BQ$7)),$BQ$6,IF(OR(COUNTIF('1.연간시수표'!F15,$BR$9),COUNTIF('1.연간시수표'!F15,$BR$7)),$BR$6,"_")))))))))))))))</f>
        <v>미술</v>
      </c>
      <c r="G15" s="148" t="str">
        <f>IF(OR(COUNTIF('1.연간시수표'!G15,$AT$9),COUNTIF('1.연간시수표'!G15,$AT$7)),$AT$6,IF(OR(COUNTIF('1.연간시수표'!G15,$AU$9),COUNTIF('1.연간시수표'!G15,$AU$7)),$AU$6,IF(OR(COUNTIF('1.연간시수표'!G15,$AV$9),COUNTIF('1.연간시수표'!G15,$AV$7)),$AV$6,IF(OR(COUNTIF('1.연간시수표'!G15,$AW$9),COUNTIF('1.연간시수표'!G15,$AW$7)),$AW$6,IF(OR(COUNTIF('1.연간시수표'!G15,$AX$9),COUNTIF('1.연간시수표'!G15,$AX$7)),$AX$6,IF(OR(COUNTIF('1.연간시수표'!G15,$AY$9),COUNTIF('1.연간시수표'!G15,$AY$7)),$AY$6,IF(OR(COUNTIF('1.연간시수표'!G15,$AZ$9),COUNTIF('1.연간시수표'!G15,$AZ$7)),$AZ$6,IF(OR(COUNTIF('1.연간시수표'!G15,$BA$9),COUNTIF('1.연간시수표'!G15,$BA$7)),$BA$6,IF(OR(COUNTIF('1.연간시수표'!G15,$BB$9),COUNTIF('1.연간시수표'!G15,$BB$7)),$BB$6,IF(OR(COUNTIF('1.연간시수표'!G15,$BC$9),COUNTIF('1.연간시수표'!G15,$BC$7)),$BC$6,IF(OR(COUNTIF('1.연간시수표'!G15,$BF$9),COUNTIF('1.연간시수표'!G15,$BF$7),COUNTIF('1.연간시수표'!G15,$BG$9),COUNTIF('1.연간시수표'!G15,$BG$7),COUNTIF('1.연간시수표'!G15,$BH$9),COUNTIF('1.연간시수표'!G15,$BH$7),COUNTIF('1.연간시수표'!G15,$BI$9),COUNTIF('1.연간시수표'!G15,$BI$7),COUNTIF('1.연간시수표'!G15,$BJ$9),COUNTIF('1.연간시수표'!G15,$BJ$7),COUNTIF('1.연간시수표'!G15,$BK$9),COUNTIF('1.연간시수표'!G15,$BK$7),COUNTIF('1.연간시수표'!G15,$BL$9),COUNTIF('1.연간시수표'!G15,$BL$7),COUNTIF('1.연간시수표'!G15,$BM$9),COUNTIF('1.연간시수표'!G15,$BM$7)),$BF$6,IF(OR(COUNTIF('1.연간시수표'!G15,$BO$9),COUNTIF('1.연간시수표'!G15,$BO$7)),$BO$6,IF(OR(COUNTIF('1.연간시수표'!G15,$BP$9),COUNTIF('1.연간시수표'!G15,$BP$7)),$BP$6,IF(OR(COUNTIF('1.연간시수표'!G15,$BQ$9),COUNTIF('1.연간시수표'!G15,$BQ$7)),$BQ$6,IF(OR(COUNTIF('1.연간시수표'!G15,$BR$9),COUNTIF('1.연간시수표'!G15,$BR$7)),$BR$6,"_")))))))))))))))</f>
        <v>미술</v>
      </c>
      <c r="H15" s="148" t="str">
        <f>IF(OR(COUNTIF('1.연간시수표'!H15,$AT$9),COUNTIF('1.연간시수표'!H15,$AT$7)),$AT$6,IF(OR(COUNTIF('1.연간시수표'!H15,$AU$9),COUNTIF('1.연간시수표'!H15,$AU$7)),$AU$6,IF(OR(COUNTIF('1.연간시수표'!H15,$AV$9),COUNTIF('1.연간시수표'!H15,$AV$7)),$AV$6,IF(OR(COUNTIF('1.연간시수표'!H15,$AW$9),COUNTIF('1.연간시수표'!H15,$AW$7)),$AW$6,IF(OR(COUNTIF('1.연간시수표'!H15,$AX$9),COUNTIF('1.연간시수표'!H15,$AX$7)),$AX$6,IF(OR(COUNTIF('1.연간시수표'!H15,$AY$9),COUNTIF('1.연간시수표'!H15,$AY$7)),$AY$6,IF(OR(COUNTIF('1.연간시수표'!H15,$AZ$9),COUNTIF('1.연간시수표'!H15,$AZ$7)),$AZ$6,IF(OR(COUNTIF('1.연간시수표'!H15,$BA$9),COUNTIF('1.연간시수표'!H15,$BA$7)),$BA$6,IF(OR(COUNTIF('1.연간시수표'!H15,$BB$9),COUNTIF('1.연간시수표'!H15,$BB$7)),$BB$6,IF(OR(COUNTIF('1.연간시수표'!H15,$BC$9),COUNTIF('1.연간시수표'!H15,$BC$7)),$BC$6,IF(OR(COUNTIF('1.연간시수표'!H15,$BF$9),COUNTIF('1.연간시수표'!H15,$BF$7),COUNTIF('1.연간시수표'!H15,$BG$9),COUNTIF('1.연간시수표'!H15,$BG$7),COUNTIF('1.연간시수표'!H15,$BH$9),COUNTIF('1.연간시수표'!H15,$BH$7),COUNTIF('1.연간시수표'!H15,$BI$9),COUNTIF('1.연간시수표'!H15,$BI$7),COUNTIF('1.연간시수표'!H15,$BJ$9),COUNTIF('1.연간시수표'!H15,$BJ$7),COUNTIF('1.연간시수표'!H15,$BK$9),COUNTIF('1.연간시수표'!H15,$BK$7),COUNTIF('1.연간시수표'!H15,$BL$9),COUNTIF('1.연간시수표'!H15,$BL$7),COUNTIF('1.연간시수표'!H15,$BM$9),COUNTIF('1.연간시수표'!H15,$BM$7)),$BF$6,IF(OR(COUNTIF('1.연간시수표'!H15,$BO$9),COUNTIF('1.연간시수표'!H15,$BO$7)),$BO$6,IF(OR(COUNTIF('1.연간시수표'!H15,$BP$9),COUNTIF('1.연간시수표'!H15,$BP$7)),$BP$6,IF(OR(COUNTIF('1.연간시수표'!H15,$BQ$9),COUNTIF('1.연간시수표'!H15,$BQ$7)),$BQ$6,IF(OR(COUNTIF('1.연간시수표'!H15,$BR$9),COUNTIF('1.연간시수표'!H15,$BR$7)),$BR$6,"_")))))))))))))))</f>
        <v>영어</v>
      </c>
      <c r="I15" s="148" t="str">
        <f>IF(OR(COUNTIF('1.연간시수표'!I15,$AT$9),COUNTIF('1.연간시수표'!I15,$AT$7)),$AT$6,IF(OR(COUNTIF('1.연간시수표'!I15,$AU$9),COUNTIF('1.연간시수표'!I15,$AU$7)),$AU$6,IF(OR(COUNTIF('1.연간시수표'!I15,$AV$9),COUNTIF('1.연간시수표'!I15,$AV$7)),$AV$6,IF(OR(COUNTIF('1.연간시수표'!I15,$AW$9),COUNTIF('1.연간시수표'!I15,$AW$7)),$AW$6,IF(OR(COUNTIF('1.연간시수표'!I15,$AX$9),COUNTIF('1.연간시수표'!I15,$AX$7)),$AX$6,IF(OR(COUNTIF('1.연간시수표'!I15,$AY$9),COUNTIF('1.연간시수표'!I15,$AY$7)),$AY$6,IF(OR(COUNTIF('1.연간시수표'!I15,$AZ$9),COUNTIF('1.연간시수표'!I15,$AZ$7)),$AZ$6,IF(OR(COUNTIF('1.연간시수표'!I15,$BA$9),COUNTIF('1.연간시수표'!I15,$BA$7)),$BA$6,IF(OR(COUNTIF('1.연간시수표'!I15,$BB$9),COUNTIF('1.연간시수표'!I15,$BB$7)),$BB$6,IF(OR(COUNTIF('1.연간시수표'!I15,$BC$9),COUNTIF('1.연간시수표'!I15,$BC$7)),$BC$6,IF(OR(COUNTIF('1.연간시수표'!I15,$BF$9),COUNTIF('1.연간시수표'!I15,$BF$7),COUNTIF('1.연간시수표'!I15,$BG$9),COUNTIF('1.연간시수표'!I15,$BG$7),COUNTIF('1.연간시수표'!I15,$BH$9),COUNTIF('1.연간시수표'!I15,$BH$7),COUNTIF('1.연간시수표'!I15,$BI$9),COUNTIF('1.연간시수표'!I15,$BI$7),COUNTIF('1.연간시수표'!I15,$BJ$9),COUNTIF('1.연간시수표'!I15,$BJ$7),COUNTIF('1.연간시수표'!I15,$BK$9),COUNTIF('1.연간시수표'!I15,$BK$7),COUNTIF('1.연간시수표'!I15,$BL$9),COUNTIF('1.연간시수표'!I15,$BL$7),COUNTIF('1.연간시수표'!I15,$BM$9),COUNTIF('1.연간시수표'!I15,$BM$7)),$BF$6,IF(OR(COUNTIF('1.연간시수표'!I15,$BO$9),COUNTIF('1.연간시수표'!I15,$BO$7)),$BO$6,IF(OR(COUNTIF('1.연간시수표'!I15,$BP$9),COUNTIF('1.연간시수표'!I15,$BP$7)),$BP$6,IF(OR(COUNTIF('1.연간시수표'!I15,$BQ$9),COUNTIF('1.연간시수표'!I15,$BQ$7)),$BQ$6,IF(OR(COUNTIF('1.연간시수표'!I15,$BR$9),COUNTIF('1.연간시수표'!I15,$BR$7)),$BR$6,"_")))))))))))))))</f>
        <v>수학</v>
      </c>
      <c r="J15" s="148" t="str">
        <f>IF(OR(COUNTIF('1.연간시수표'!J15,$AT$9),COUNTIF('1.연간시수표'!J15,$AT$7)),$AT$6,IF(OR(COUNTIF('1.연간시수표'!J15,$AU$9),COUNTIF('1.연간시수표'!J15,$AU$7)),$AU$6,IF(OR(COUNTIF('1.연간시수표'!J15,$AV$9),COUNTIF('1.연간시수표'!J15,$AV$7)),$AV$6,IF(OR(COUNTIF('1.연간시수표'!J15,$AW$9),COUNTIF('1.연간시수표'!J15,$AW$7)),$AW$6,IF(OR(COUNTIF('1.연간시수표'!J15,$AX$9),COUNTIF('1.연간시수표'!J15,$AX$7)),$AX$6,IF(OR(COUNTIF('1.연간시수표'!J15,$AY$9),COUNTIF('1.연간시수표'!J15,$AY$7)),$AY$6,IF(OR(COUNTIF('1.연간시수표'!J15,$AZ$9),COUNTIF('1.연간시수표'!J15,$AZ$7)),$AZ$6,IF(OR(COUNTIF('1.연간시수표'!J15,$BA$9),COUNTIF('1.연간시수표'!J15,$BA$7)),$BA$6,IF(OR(COUNTIF('1.연간시수표'!J15,$BB$9),COUNTIF('1.연간시수표'!J15,$BB$7)),$BB$6,IF(OR(COUNTIF('1.연간시수표'!J15,$BC$9),COUNTIF('1.연간시수표'!J15,$BC$7)),$BC$6,IF(OR(COUNTIF('1.연간시수표'!J15,$BF$9),COUNTIF('1.연간시수표'!J15,$BF$7),COUNTIF('1.연간시수표'!J15,$BG$9),COUNTIF('1.연간시수표'!J15,$BG$7),COUNTIF('1.연간시수표'!J15,$BH$9),COUNTIF('1.연간시수표'!J15,$BH$7),COUNTIF('1.연간시수표'!J15,$BI$9),COUNTIF('1.연간시수표'!J15,$BI$7),COUNTIF('1.연간시수표'!J15,$BJ$9),COUNTIF('1.연간시수표'!J15,$BJ$7),COUNTIF('1.연간시수표'!J15,$BK$9),COUNTIF('1.연간시수표'!J15,$BK$7),COUNTIF('1.연간시수표'!J15,$BL$9),COUNTIF('1.연간시수표'!J15,$BL$7),COUNTIF('1.연간시수표'!J15,$BM$9),COUNTIF('1.연간시수표'!J15,$BM$7)),$BF$6,IF(OR(COUNTIF('1.연간시수표'!J15,$BO$9),COUNTIF('1.연간시수표'!J15,$BO$7)),$BO$6,IF(OR(COUNTIF('1.연간시수표'!J15,$BP$9),COUNTIF('1.연간시수표'!J15,$BP$7)),$BP$6,IF(OR(COUNTIF('1.연간시수표'!J15,$BQ$9),COUNTIF('1.연간시수표'!J15,$BQ$7)),$BQ$6,IF(OR(COUNTIF('1.연간시수표'!J15,$BR$9),COUNTIF('1.연간시수표'!J15,$BR$7)),$BR$6,"_")))))))))))))))</f>
        <v>자율활동</v>
      </c>
      <c r="K15" s="148" t="str">
        <f>IF(OR(COUNTIF('1.연간시수표'!K15,$AT$9),COUNTIF('1.연간시수표'!K15,$AT$7)),$AT$6,IF(OR(COUNTIF('1.연간시수표'!K15,$AU$9),COUNTIF('1.연간시수표'!K15,$AU$7)),$AU$6,IF(OR(COUNTIF('1.연간시수표'!K15,$AV$9),COUNTIF('1.연간시수표'!K15,$AV$7)),$AV$6,IF(OR(COUNTIF('1.연간시수표'!K15,$AW$9),COUNTIF('1.연간시수표'!K15,$AW$7)),$AW$6,IF(OR(COUNTIF('1.연간시수표'!K15,$AX$9),COUNTIF('1.연간시수표'!K15,$AX$7)),$AX$6,IF(OR(COUNTIF('1.연간시수표'!K15,$AY$9),COUNTIF('1.연간시수표'!K15,$AY$7)),$AY$6,IF(OR(COUNTIF('1.연간시수표'!K15,$AZ$9),COUNTIF('1.연간시수표'!K15,$AZ$7)),$AZ$6,IF(OR(COUNTIF('1.연간시수표'!K15,$BA$9),COUNTIF('1.연간시수표'!K15,$BA$7)),$BA$6,IF(OR(COUNTIF('1.연간시수표'!K15,$BB$9),COUNTIF('1.연간시수표'!K15,$BB$7)),$BB$6,IF(OR(COUNTIF('1.연간시수표'!K15,$BC$9),COUNTIF('1.연간시수표'!K15,$BC$7)),$BC$6,IF(OR(COUNTIF('1.연간시수표'!K15,$BF$9),COUNTIF('1.연간시수표'!K15,$BF$7),COUNTIF('1.연간시수표'!K15,$BG$9),COUNTIF('1.연간시수표'!K15,$BG$7),COUNTIF('1.연간시수표'!K15,$BH$9),COUNTIF('1.연간시수표'!K15,$BH$7),COUNTIF('1.연간시수표'!K15,$BI$9),COUNTIF('1.연간시수표'!K15,$BI$7),COUNTIF('1.연간시수표'!K15,$BJ$9),COUNTIF('1.연간시수표'!K15,$BJ$7),COUNTIF('1.연간시수표'!K15,$BK$9),COUNTIF('1.연간시수표'!K15,$BK$7),COUNTIF('1.연간시수표'!K15,$BL$9),COUNTIF('1.연간시수표'!K15,$BL$7),COUNTIF('1.연간시수표'!K15,$BM$9),COUNTIF('1.연간시수표'!K15,$BM$7)),$BF$6,IF(OR(COUNTIF('1.연간시수표'!K15,$BO$9),COUNTIF('1.연간시수표'!K15,$BO$7)),$BO$6,IF(OR(COUNTIF('1.연간시수표'!K15,$BP$9),COUNTIF('1.연간시수표'!K15,$BP$7)),$BP$6,IF(OR(COUNTIF('1.연간시수표'!K15,$BQ$9),COUNTIF('1.연간시수표'!K15,$BQ$7)),$BQ$6,IF(OR(COUNTIF('1.연간시수표'!K15,$BR$9),COUNTIF('1.연간시수표'!K15,$BR$7)),$BR$6,"_")))))))))))))))</f>
        <v>_</v>
      </c>
      <c r="L15" s="148" t="str">
        <f>IF(OR(COUNTIF('1.연간시수표'!L15,$AT$9),COUNTIF('1.연간시수표'!L15,$AT$7)),$AT$6,IF(OR(COUNTIF('1.연간시수표'!L15,$AU$9),COUNTIF('1.연간시수표'!L15,$AU$7)),$AU$6,IF(OR(COUNTIF('1.연간시수표'!L15,$AV$9),COUNTIF('1.연간시수표'!L15,$AV$7)),$AV$6,IF(OR(COUNTIF('1.연간시수표'!L15,$AW$9),COUNTIF('1.연간시수표'!L15,$AW$7)),$AW$6,IF(OR(COUNTIF('1.연간시수표'!L15,$AX$9),COUNTIF('1.연간시수표'!L15,$AX$7)),$AX$6,IF(OR(COUNTIF('1.연간시수표'!L15,$AY$9),COUNTIF('1.연간시수표'!L15,$AY$7)),$AY$6,IF(OR(COUNTIF('1.연간시수표'!L15,$AZ$9),COUNTIF('1.연간시수표'!L15,$AZ$7)),$AZ$6,IF(OR(COUNTIF('1.연간시수표'!L15,$BA$9),COUNTIF('1.연간시수표'!L15,$BA$7)),$BA$6,IF(OR(COUNTIF('1.연간시수표'!L15,$BB$9),COUNTIF('1.연간시수표'!L15,$BB$7)),$BB$6,IF(OR(COUNTIF('1.연간시수표'!L15,$BC$9),COUNTIF('1.연간시수표'!L15,$BC$7)),$BC$6,IF(OR(COUNTIF('1.연간시수표'!L15,$BF$9),COUNTIF('1.연간시수표'!L15,$BF$7),COUNTIF('1.연간시수표'!L15,$BG$9),COUNTIF('1.연간시수표'!L15,$BG$7),COUNTIF('1.연간시수표'!L15,$BH$9),COUNTIF('1.연간시수표'!L15,$BH$7),COUNTIF('1.연간시수표'!L15,$BI$9),COUNTIF('1.연간시수표'!L15,$BI$7),COUNTIF('1.연간시수표'!L15,$BJ$9),COUNTIF('1.연간시수표'!L15,$BJ$7),COUNTIF('1.연간시수표'!L15,$BK$9),COUNTIF('1.연간시수표'!L15,$BK$7),COUNTIF('1.연간시수표'!L15,$BL$9),COUNTIF('1.연간시수표'!L15,$BL$7),COUNTIF('1.연간시수표'!L15,$BM$9),COUNTIF('1.연간시수표'!L15,$BM$7)),$BF$6,IF(OR(COUNTIF('1.연간시수표'!L15,$BO$9),COUNTIF('1.연간시수표'!L15,$BO$7)),$BO$6,IF(OR(COUNTIF('1.연간시수표'!L15,$BP$9),COUNTIF('1.연간시수표'!L15,$BP$7)),$BP$6,IF(OR(COUNTIF('1.연간시수표'!L15,$BQ$9),COUNTIF('1.연간시수표'!L15,$BQ$7)),$BQ$6,IF(OR(COUNTIF('1.연간시수표'!L15,$BR$9),COUNTIF('1.연간시수표'!L15,$BR$7)),$BR$6,"_")))))))))))))))</f>
        <v>_</v>
      </c>
      <c r="M15" s="148" t="str">
        <f>IF(OR(COUNTIF('1.연간시수표'!M15,$AT$9),COUNTIF('1.연간시수표'!M15,$AT$7)),$AT$6,IF(OR(COUNTIF('1.연간시수표'!M15,$AU$9),COUNTIF('1.연간시수표'!M15,$AU$7)),$AU$6,IF(OR(COUNTIF('1.연간시수표'!M15,$AV$9),COUNTIF('1.연간시수표'!M15,$AV$7)),$AV$6,IF(OR(COUNTIF('1.연간시수표'!M15,$AW$9),COUNTIF('1.연간시수표'!M15,$AW$7)),$AW$6,IF(OR(COUNTIF('1.연간시수표'!M15,$AX$9),COUNTIF('1.연간시수표'!M15,$AX$7)),$AX$6,IF(OR(COUNTIF('1.연간시수표'!M15,$AY$9),COUNTIF('1.연간시수표'!M15,$AY$7)),$AY$6,IF(OR(COUNTIF('1.연간시수표'!M15,$AZ$9),COUNTIF('1.연간시수표'!M15,$AZ$7)),$AZ$6,IF(OR(COUNTIF('1.연간시수표'!M15,$BA$9),COUNTIF('1.연간시수표'!M15,$BA$7)),$BA$6,IF(OR(COUNTIF('1.연간시수표'!M15,$BB$9),COUNTIF('1.연간시수표'!M15,$BB$7)),$BB$6,IF(OR(COUNTIF('1.연간시수표'!M15,$BC$9),COUNTIF('1.연간시수표'!M15,$BC$7)),$BC$6,IF(OR(COUNTIF('1.연간시수표'!M15,$BF$9),COUNTIF('1.연간시수표'!M15,$BF$7),COUNTIF('1.연간시수표'!M15,$BG$9),COUNTIF('1.연간시수표'!M15,$BG$7),COUNTIF('1.연간시수표'!M15,$BH$9),COUNTIF('1.연간시수표'!M15,$BH$7),COUNTIF('1.연간시수표'!M15,$BI$9),COUNTIF('1.연간시수표'!M15,$BI$7),COUNTIF('1.연간시수표'!M15,$BJ$9),COUNTIF('1.연간시수표'!M15,$BJ$7),COUNTIF('1.연간시수표'!M15,$BK$9),COUNTIF('1.연간시수표'!M15,$BK$7),COUNTIF('1.연간시수표'!M15,$BL$9),COUNTIF('1.연간시수표'!M15,$BL$7),COUNTIF('1.연간시수표'!M15,$BM$9),COUNTIF('1.연간시수표'!M15,$BM$7)),$BF$6,IF(OR(COUNTIF('1.연간시수표'!M15,$BO$9),COUNTIF('1.연간시수표'!M15,$BO$7)),$BO$6,IF(OR(COUNTIF('1.연간시수표'!M15,$BP$9),COUNTIF('1.연간시수표'!M15,$BP$7)),$BP$6,IF(OR(COUNTIF('1.연간시수표'!M15,$BQ$9),COUNTIF('1.연간시수표'!M15,$BQ$7)),$BQ$6,IF(OR(COUNTIF('1.연간시수표'!M15,$BR$9),COUNTIF('1.연간시수표'!M15,$BR$7)),$BR$6,"_")))))))))))))))</f>
        <v>국어</v>
      </c>
      <c r="N15" s="148" t="str">
        <f>IF(OR(COUNTIF('1.연간시수표'!N15,$AT$9),COUNTIF('1.연간시수표'!N15,$AT$7)),$AT$6,IF(OR(COUNTIF('1.연간시수표'!N15,$AU$9),COUNTIF('1.연간시수표'!N15,$AU$7)),$AU$6,IF(OR(COUNTIF('1.연간시수표'!N15,$AV$9),COUNTIF('1.연간시수표'!N15,$AV$7)),$AV$6,IF(OR(COUNTIF('1.연간시수표'!N15,$AW$9),COUNTIF('1.연간시수표'!N15,$AW$7)),$AW$6,IF(OR(COUNTIF('1.연간시수표'!N15,$AX$9),COUNTIF('1.연간시수표'!N15,$AX$7)),$AX$6,IF(OR(COUNTIF('1.연간시수표'!N15,$AY$9),COUNTIF('1.연간시수표'!N15,$AY$7)),$AY$6,IF(OR(COUNTIF('1.연간시수표'!N15,$AZ$9),COUNTIF('1.연간시수표'!N15,$AZ$7)),$AZ$6,IF(OR(COUNTIF('1.연간시수표'!N15,$BA$9),COUNTIF('1.연간시수표'!N15,$BA$7)),$BA$6,IF(OR(COUNTIF('1.연간시수표'!N15,$BB$9),COUNTIF('1.연간시수표'!N15,$BB$7)),$BB$6,IF(OR(COUNTIF('1.연간시수표'!N15,$BC$9),COUNTIF('1.연간시수표'!N15,$BC$7)),$BC$6,IF(OR(COUNTIF('1.연간시수표'!N15,$BF$9),COUNTIF('1.연간시수표'!N15,$BF$7),COUNTIF('1.연간시수표'!N15,$BG$9),COUNTIF('1.연간시수표'!N15,$BG$7),COUNTIF('1.연간시수표'!N15,$BH$9),COUNTIF('1.연간시수표'!N15,$BH$7),COUNTIF('1.연간시수표'!N15,$BI$9),COUNTIF('1.연간시수표'!N15,$BI$7),COUNTIF('1.연간시수표'!N15,$BJ$9),COUNTIF('1.연간시수표'!N15,$BJ$7),COUNTIF('1.연간시수표'!N15,$BK$9),COUNTIF('1.연간시수표'!N15,$BK$7),COUNTIF('1.연간시수표'!N15,$BL$9),COUNTIF('1.연간시수표'!N15,$BL$7),COUNTIF('1.연간시수표'!N15,$BM$9),COUNTIF('1.연간시수표'!N15,$BM$7)),$BF$6,IF(OR(COUNTIF('1.연간시수표'!N15,$BO$9),COUNTIF('1.연간시수표'!N15,$BO$7)),$BO$6,IF(OR(COUNTIF('1.연간시수표'!N15,$BP$9),COUNTIF('1.연간시수표'!N15,$BP$7)),$BP$6,IF(OR(COUNTIF('1.연간시수표'!N15,$BQ$9),COUNTIF('1.연간시수표'!N15,$BQ$7)),$BQ$6,IF(OR(COUNTIF('1.연간시수표'!N15,$BR$9),COUNTIF('1.연간시수표'!N15,$BR$7)),$BR$6,"_")))))))))))))))</f>
        <v>국어</v>
      </c>
      <c r="O15" s="148" t="str">
        <f>IF(OR(COUNTIF('1.연간시수표'!O15,$AT$9),COUNTIF('1.연간시수표'!O15,$AT$7)),$AT$6,IF(OR(COUNTIF('1.연간시수표'!O15,$AU$9),COUNTIF('1.연간시수표'!O15,$AU$7)),$AU$6,IF(OR(COUNTIF('1.연간시수표'!O15,$AV$9),COUNTIF('1.연간시수표'!O15,$AV$7)),$AV$6,IF(OR(COUNTIF('1.연간시수표'!O15,$AW$9),COUNTIF('1.연간시수표'!O15,$AW$7)),$AW$6,IF(OR(COUNTIF('1.연간시수표'!O15,$AX$9),COUNTIF('1.연간시수표'!O15,$AX$7)),$AX$6,IF(OR(COUNTIF('1.연간시수표'!O15,$AY$9),COUNTIF('1.연간시수표'!O15,$AY$7)),$AY$6,IF(OR(COUNTIF('1.연간시수표'!O15,$AZ$9),COUNTIF('1.연간시수표'!O15,$AZ$7)),$AZ$6,IF(OR(COUNTIF('1.연간시수표'!O15,$BA$9),COUNTIF('1.연간시수표'!O15,$BA$7)),$BA$6,IF(OR(COUNTIF('1.연간시수표'!O15,$BB$9),COUNTIF('1.연간시수표'!O15,$BB$7)),$BB$6,IF(OR(COUNTIF('1.연간시수표'!O15,$BC$9),COUNTIF('1.연간시수표'!O15,$BC$7)),$BC$6,IF(OR(COUNTIF('1.연간시수표'!O15,$BF$9),COUNTIF('1.연간시수표'!O15,$BF$7),COUNTIF('1.연간시수표'!O15,$BG$9),COUNTIF('1.연간시수표'!O15,$BG$7),COUNTIF('1.연간시수표'!O15,$BH$9),COUNTIF('1.연간시수표'!O15,$BH$7),COUNTIF('1.연간시수표'!O15,$BI$9),COUNTIF('1.연간시수표'!O15,$BI$7),COUNTIF('1.연간시수표'!O15,$BJ$9),COUNTIF('1.연간시수표'!O15,$BJ$7),COUNTIF('1.연간시수표'!O15,$BK$9),COUNTIF('1.연간시수표'!O15,$BK$7),COUNTIF('1.연간시수표'!O15,$BL$9),COUNTIF('1.연간시수표'!O15,$BL$7),COUNTIF('1.연간시수표'!O15,$BM$9),COUNTIF('1.연간시수표'!O15,$BM$7)),$BF$6,IF(OR(COUNTIF('1.연간시수표'!O15,$BO$9),COUNTIF('1.연간시수표'!O15,$BO$7)),$BO$6,IF(OR(COUNTIF('1.연간시수표'!O15,$BP$9),COUNTIF('1.연간시수표'!O15,$BP$7)),$BP$6,IF(OR(COUNTIF('1.연간시수표'!O15,$BQ$9),COUNTIF('1.연간시수표'!O15,$BQ$7)),$BQ$6,IF(OR(COUNTIF('1.연간시수표'!O15,$BR$9),COUNTIF('1.연간시수표'!O15,$BR$7)),$BR$6,"_")))))))))))))))</f>
        <v>자율활동</v>
      </c>
      <c r="P15" s="148" t="str">
        <f>IF(OR(COUNTIF('1.연간시수표'!P15,$AT$9),COUNTIF('1.연간시수표'!P15,$AT$7)),$AT$6,IF(OR(COUNTIF('1.연간시수표'!P15,$AU$9),COUNTIF('1.연간시수표'!P15,$AU$7)),$AU$6,IF(OR(COUNTIF('1.연간시수표'!P15,$AV$9),COUNTIF('1.연간시수표'!P15,$AV$7)),$AV$6,IF(OR(COUNTIF('1.연간시수표'!P15,$AW$9),COUNTIF('1.연간시수표'!P15,$AW$7)),$AW$6,IF(OR(COUNTIF('1.연간시수표'!P15,$AX$9),COUNTIF('1.연간시수표'!P15,$AX$7)),$AX$6,IF(OR(COUNTIF('1.연간시수표'!P15,$AY$9),COUNTIF('1.연간시수표'!P15,$AY$7)),$AY$6,IF(OR(COUNTIF('1.연간시수표'!P15,$AZ$9),COUNTIF('1.연간시수표'!P15,$AZ$7)),$AZ$6,IF(OR(COUNTIF('1.연간시수표'!P15,$BA$9),COUNTIF('1.연간시수표'!P15,$BA$7)),$BA$6,IF(OR(COUNTIF('1.연간시수표'!P15,$BB$9),COUNTIF('1.연간시수표'!P15,$BB$7)),$BB$6,IF(OR(COUNTIF('1.연간시수표'!P15,$BC$9),COUNTIF('1.연간시수표'!P15,$BC$7)),$BC$6,IF(OR(COUNTIF('1.연간시수표'!P15,$BF$9),COUNTIF('1.연간시수표'!P15,$BF$7),COUNTIF('1.연간시수표'!P15,$BG$9),COUNTIF('1.연간시수표'!P15,$BG$7),COUNTIF('1.연간시수표'!P15,$BH$9),COUNTIF('1.연간시수표'!P15,$BH$7),COUNTIF('1.연간시수표'!P15,$BI$9),COUNTIF('1.연간시수표'!P15,$BI$7),COUNTIF('1.연간시수표'!P15,$BJ$9),COUNTIF('1.연간시수표'!P15,$BJ$7),COUNTIF('1.연간시수표'!P15,$BK$9),COUNTIF('1.연간시수표'!P15,$BK$7),COUNTIF('1.연간시수표'!P15,$BL$9),COUNTIF('1.연간시수표'!P15,$BL$7),COUNTIF('1.연간시수표'!P15,$BM$9),COUNTIF('1.연간시수표'!P15,$BM$7)),$BF$6,IF(OR(COUNTIF('1.연간시수표'!P15,$BO$9),COUNTIF('1.연간시수표'!P15,$BO$7)),$BO$6,IF(OR(COUNTIF('1.연간시수표'!P15,$BP$9),COUNTIF('1.연간시수표'!P15,$BP$7)),$BP$6,IF(OR(COUNTIF('1.연간시수표'!P15,$BQ$9),COUNTIF('1.연간시수표'!P15,$BQ$7)),$BQ$6,IF(OR(COUNTIF('1.연간시수표'!P15,$BR$9),COUNTIF('1.연간시수표'!P15,$BR$7)),$BR$6,"_")))))))))))))))</f>
        <v>자율활동</v>
      </c>
      <c r="Q15" s="148" t="str">
        <f>IF(OR(COUNTIF('1.연간시수표'!Q15,$AT$9),COUNTIF('1.연간시수표'!Q15,$AT$7)),$AT$6,IF(OR(COUNTIF('1.연간시수표'!Q15,$AU$9),COUNTIF('1.연간시수표'!Q15,$AU$7)),$AU$6,IF(OR(COUNTIF('1.연간시수표'!Q15,$AV$9),COUNTIF('1.연간시수표'!Q15,$AV$7)),$AV$6,IF(OR(COUNTIF('1.연간시수표'!Q15,$AW$9),COUNTIF('1.연간시수표'!Q15,$AW$7)),$AW$6,IF(OR(COUNTIF('1.연간시수표'!Q15,$AX$9),COUNTIF('1.연간시수표'!Q15,$AX$7)),$AX$6,IF(OR(COUNTIF('1.연간시수표'!Q15,$AY$9),COUNTIF('1.연간시수표'!Q15,$AY$7)),$AY$6,IF(OR(COUNTIF('1.연간시수표'!Q15,$AZ$9),COUNTIF('1.연간시수표'!Q15,$AZ$7)),$AZ$6,IF(OR(COUNTIF('1.연간시수표'!Q15,$BA$9),COUNTIF('1.연간시수표'!Q15,$BA$7)),$BA$6,IF(OR(COUNTIF('1.연간시수표'!Q15,$BB$9),COUNTIF('1.연간시수표'!Q15,$BB$7)),$BB$6,IF(OR(COUNTIF('1.연간시수표'!Q15,$BC$9),COUNTIF('1.연간시수표'!Q15,$BC$7)),$BC$6,IF(OR(COUNTIF('1.연간시수표'!Q15,$BF$9),COUNTIF('1.연간시수표'!Q15,$BF$7),COUNTIF('1.연간시수표'!Q15,$BG$9),COUNTIF('1.연간시수표'!Q15,$BG$7),COUNTIF('1.연간시수표'!Q15,$BH$9),COUNTIF('1.연간시수표'!Q15,$BH$7),COUNTIF('1.연간시수표'!Q15,$BI$9),COUNTIF('1.연간시수표'!Q15,$BI$7),COUNTIF('1.연간시수표'!Q15,$BJ$9),COUNTIF('1.연간시수표'!Q15,$BJ$7),COUNTIF('1.연간시수표'!Q15,$BK$9),COUNTIF('1.연간시수표'!Q15,$BK$7),COUNTIF('1.연간시수표'!Q15,$BL$9),COUNTIF('1.연간시수표'!Q15,$BL$7),COUNTIF('1.연간시수표'!Q15,$BM$9),COUNTIF('1.연간시수표'!Q15,$BM$7)),$BF$6,IF(OR(COUNTIF('1.연간시수표'!Q15,$BO$9),COUNTIF('1.연간시수표'!Q15,$BO$7)),$BO$6,IF(OR(COUNTIF('1.연간시수표'!Q15,$BP$9),COUNTIF('1.연간시수표'!Q15,$BP$7)),$BP$6,IF(OR(COUNTIF('1.연간시수표'!Q15,$BQ$9),COUNTIF('1.연간시수표'!Q15,$BQ$7)),$BQ$6,IF(OR(COUNTIF('1.연간시수표'!Q15,$BR$9),COUNTIF('1.연간시수표'!Q15,$BR$7)),$BR$6,"_")))))))))))))))</f>
        <v>과학</v>
      </c>
      <c r="R15" s="148" t="str">
        <f>IF(OR(COUNTIF('1.연간시수표'!R15,$AT$9),COUNTIF('1.연간시수표'!R15,$AT$7)),$AT$6,IF(OR(COUNTIF('1.연간시수표'!R15,$AU$9),COUNTIF('1.연간시수표'!R15,$AU$7)),$AU$6,IF(OR(COUNTIF('1.연간시수표'!R15,$AV$9),COUNTIF('1.연간시수표'!R15,$AV$7)),$AV$6,IF(OR(COUNTIF('1.연간시수표'!R15,$AW$9),COUNTIF('1.연간시수표'!R15,$AW$7)),$AW$6,IF(OR(COUNTIF('1.연간시수표'!R15,$AX$9),COUNTIF('1.연간시수표'!R15,$AX$7)),$AX$6,IF(OR(COUNTIF('1.연간시수표'!R15,$AY$9),COUNTIF('1.연간시수표'!R15,$AY$7)),$AY$6,IF(OR(COUNTIF('1.연간시수표'!R15,$AZ$9),COUNTIF('1.연간시수표'!R15,$AZ$7)),$AZ$6,IF(OR(COUNTIF('1.연간시수표'!R15,$BA$9),COUNTIF('1.연간시수표'!R15,$BA$7)),$BA$6,IF(OR(COUNTIF('1.연간시수표'!R15,$BB$9),COUNTIF('1.연간시수표'!R15,$BB$7)),$BB$6,IF(OR(COUNTIF('1.연간시수표'!R15,$BC$9),COUNTIF('1.연간시수표'!R15,$BC$7)),$BC$6,IF(OR(COUNTIF('1.연간시수표'!R15,$BF$9),COUNTIF('1.연간시수표'!R15,$BF$7),COUNTIF('1.연간시수표'!R15,$BG$9),COUNTIF('1.연간시수표'!R15,$BG$7),COUNTIF('1.연간시수표'!R15,$BH$9),COUNTIF('1.연간시수표'!R15,$BH$7),COUNTIF('1.연간시수표'!R15,$BI$9),COUNTIF('1.연간시수표'!R15,$BI$7),COUNTIF('1.연간시수표'!R15,$BJ$9),COUNTIF('1.연간시수표'!R15,$BJ$7),COUNTIF('1.연간시수표'!R15,$BK$9),COUNTIF('1.연간시수표'!R15,$BK$7),COUNTIF('1.연간시수표'!R15,$BL$9),COUNTIF('1.연간시수표'!R15,$BL$7),COUNTIF('1.연간시수표'!R15,$BM$9),COUNTIF('1.연간시수표'!R15,$BM$7)),$BF$6,IF(OR(COUNTIF('1.연간시수표'!R15,$BO$9),COUNTIF('1.연간시수표'!R15,$BO$7)),$BO$6,IF(OR(COUNTIF('1.연간시수표'!R15,$BP$9),COUNTIF('1.연간시수표'!R15,$BP$7)),$BP$6,IF(OR(COUNTIF('1.연간시수표'!R15,$BQ$9),COUNTIF('1.연간시수표'!R15,$BQ$7)),$BQ$6,IF(OR(COUNTIF('1.연간시수표'!R15,$BR$9),COUNTIF('1.연간시수표'!R15,$BR$7)),$BR$6,"_")))))))))))))))</f>
        <v>실과</v>
      </c>
      <c r="S15" s="148" t="str">
        <f>IF(OR(COUNTIF('1.연간시수표'!S15,$AT$9),COUNTIF('1.연간시수표'!S15,$AT$7)),$AT$6,IF(OR(COUNTIF('1.연간시수표'!S15,$AU$9),COUNTIF('1.연간시수표'!S15,$AU$7)),$AU$6,IF(OR(COUNTIF('1.연간시수표'!S15,$AV$9),COUNTIF('1.연간시수표'!S15,$AV$7)),$AV$6,IF(OR(COUNTIF('1.연간시수표'!S15,$AW$9),COUNTIF('1.연간시수표'!S15,$AW$7)),$AW$6,IF(OR(COUNTIF('1.연간시수표'!S15,$AX$9),COUNTIF('1.연간시수표'!S15,$AX$7)),$AX$6,IF(OR(COUNTIF('1.연간시수표'!S15,$AY$9),COUNTIF('1.연간시수표'!S15,$AY$7)),$AY$6,IF(OR(COUNTIF('1.연간시수표'!S15,$AZ$9),COUNTIF('1.연간시수표'!S15,$AZ$7)),$AZ$6,IF(OR(COUNTIF('1.연간시수표'!S15,$BA$9),COUNTIF('1.연간시수표'!S15,$BA$7)),$BA$6,IF(OR(COUNTIF('1.연간시수표'!S15,$BB$9),COUNTIF('1.연간시수표'!S15,$BB$7)),$BB$6,IF(OR(COUNTIF('1.연간시수표'!S15,$BC$9),COUNTIF('1.연간시수표'!S15,$BC$7)),$BC$6,IF(OR(COUNTIF('1.연간시수표'!S15,$BF$9),COUNTIF('1.연간시수표'!S15,$BF$7),COUNTIF('1.연간시수표'!S15,$BG$9),COUNTIF('1.연간시수표'!S15,$BG$7),COUNTIF('1.연간시수표'!S15,$BH$9),COUNTIF('1.연간시수표'!S15,$BH$7),COUNTIF('1.연간시수표'!S15,$BI$9),COUNTIF('1.연간시수표'!S15,$BI$7),COUNTIF('1.연간시수표'!S15,$BJ$9),COUNTIF('1.연간시수표'!S15,$BJ$7),COUNTIF('1.연간시수표'!S15,$BK$9),COUNTIF('1.연간시수표'!S15,$BK$7),COUNTIF('1.연간시수표'!S15,$BL$9),COUNTIF('1.연간시수표'!S15,$BL$7),COUNTIF('1.연간시수표'!S15,$BM$9),COUNTIF('1.연간시수표'!S15,$BM$7)),$BF$6,IF(OR(COUNTIF('1.연간시수표'!S15,$BO$9),COUNTIF('1.연간시수표'!S15,$BO$7)),$BO$6,IF(OR(COUNTIF('1.연간시수표'!S15,$BP$9),COUNTIF('1.연간시수표'!S15,$BP$7)),$BP$6,IF(OR(COUNTIF('1.연간시수표'!S15,$BQ$9),COUNTIF('1.연간시수표'!S15,$BQ$7)),$BQ$6,IF(OR(COUNTIF('1.연간시수표'!S15,$BR$9),COUNTIF('1.연간시수표'!S15,$BR$7)),$BR$6,"_")))))))))))))))</f>
        <v>_</v>
      </c>
      <c r="T15" s="148" t="str">
        <f>IF(OR(COUNTIF('1.연간시수표'!T15,$AT$9),COUNTIF('1.연간시수표'!T15,$AT$7)),$AT$6,IF(OR(COUNTIF('1.연간시수표'!T15,$AU$9),COUNTIF('1.연간시수표'!T15,$AU$7)),$AU$6,IF(OR(COUNTIF('1.연간시수표'!T15,$AV$9),COUNTIF('1.연간시수표'!T15,$AV$7)),$AV$6,IF(OR(COUNTIF('1.연간시수표'!T15,$AW$9),COUNTIF('1.연간시수표'!T15,$AW$7)),$AW$6,IF(OR(COUNTIF('1.연간시수표'!T15,$AX$9),COUNTIF('1.연간시수표'!T15,$AX$7)),$AX$6,IF(OR(COUNTIF('1.연간시수표'!T15,$AY$9),COUNTIF('1.연간시수표'!T15,$AY$7)),$AY$6,IF(OR(COUNTIF('1.연간시수표'!T15,$AZ$9),COUNTIF('1.연간시수표'!T15,$AZ$7)),$AZ$6,IF(OR(COUNTIF('1.연간시수표'!T15,$BA$9),COUNTIF('1.연간시수표'!T15,$BA$7)),$BA$6,IF(OR(COUNTIF('1.연간시수표'!T15,$BB$9),COUNTIF('1.연간시수표'!T15,$BB$7)),$BB$6,IF(OR(COUNTIF('1.연간시수표'!T15,$BC$9),COUNTIF('1.연간시수표'!T15,$BC$7)),$BC$6,IF(OR(COUNTIF('1.연간시수표'!T15,$BF$9),COUNTIF('1.연간시수표'!T15,$BF$7),COUNTIF('1.연간시수표'!T15,$BG$9),COUNTIF('1.연간시수표'!T15,$BG$7),COUNTIF('1.연간시수표'!T15,$BH$9),COUNTIF('1.연간시수표'!T15,$BH$7),COUNTIF('1.연간시수표'!T15,$BI$9),COUNTIF('1.연간시수표'!T15,$BI$7),COUNTIF('1.연간시수표'!T15,$BJ$9),COUNTIF('1.연간시수표'!T15,$BJ$7),COUNTIF('1.연간시수표'!T15,$BK$9),COUNTIF('1.연간시수표'!T15,$BK$7),COUNTIF('1.연간시수표'!T15,$BL$9),COUNTIF('1.연간시수표'!T15,$BL$7),COUNTIF('1.연간시수표'!T15,$BM$9),COUNTIF('1.연간시수표'!T15,$BM$7)),$BF$6,IF(OR(COUNTIF('1.연간시수표'!T15,$BO$9),COUNTIF('1.연간시수표'!T15,$BO$7)),$BO$6,IF(OR(COUNTIF('1.연간시수표'!T15,$BP$9),COUNTIF('1.연간시수표'!T15,$BP$7)),$BP$6,IF(OR(COUNTIF('1.연간시수표'!T15,$BQ$9),COUNTIF('1.연간시수표'!T15,$BQ$7)),$BQ$6,IF(OR(COUNTIF('1.연간시수표'!T15,$BR$9),COUNTIF('1.연간시수표'!T15,$BR$7)),$BR$6,"_")))))))))))))))</f>
        <v>_</v>
      </c>
      <c r="U15" s="148" t="str">
        <f>IF(OR(COUNTIF('1.연간시수표'!U15,$AT$9),COUNTIF('1.연간시수표'!U15,$AT$7)),$AT$6,IF(OR(COUNTIF('1.연간시수표'!U15,$AU$9),COUNTIF('1.연간시수표'!U15,$AU$7)),$AU$6,IF(OR(COUNTIF('1.연간시수표'!U15,$AV$9),COUNTIF('1.연간시수표'!U15,$AV$7)),$AV$6,IF(OR(COUNTIF('1.연간시수표'!U15,$AW$9),COUNTIF('1.연간시수표'!U15,$AW$7)),$AW$6,IF(OR(COUNTIF('1.연간시수표'!U15,$AX$9),COUNTIF('1.연간시수표'!U15,$AX$7)),$AX$6,IF(OR(COUNTIF('1.연간시수표'!U15,$AY$9),COUNTIF('1.연간시수표'!U15,$AY$7)),$AY$6,IF(OR(COUNTIF('1.연간시수표'!U15,$AZ$9),COUNTIF('1.연간시수표'!U15,$AZ$7)),$AZ$6,IF(OR(COUNTIF('1.연간시수표'!U15,$BA$9),COUNTIF('1.연간시수표'!U15,$BA$7)),$BA$6,IF(OR(COUNTIF('1.연간시수표'!U15,$BB$9),COUNTIF('1.연간시수표'!U15,$BB$7)),$BB$6,IF(OR(COUNTIF('1.연간시수표'!U15,$BC$9),COUNTIF('1.연간시수표'!U15,$BC$7)),$BC$6,IF(OR(COUNTIF('1.연간시수표'!U15,$BF$9),COUNTIF('1.연간시수표'!U15,$BF$7),COUNTIF('1.연간시수표'!U15,$BG$9),COUNTIF('1.연간시수표'!U15,$BG$7),COUNTIF('1.연간시수표'!U15,$BH$9),COUNTIF('1.연간시수표'!U15,$BH$7),COUNTIF('1.연간시수표'!U15,$BI$9),COUNTIF('1.연간시수표'!U15,$BI$7),COUNTIF('1.연간시수표'!U15,$BJ$9),COUNTIF('1.연간시수표'!U15,$BJ$7),COUNTIF('1.연간시수표'!U15,$BK$9),COUNTIF('1.연간시수표'!U15,$BK$7),COUNTIF('1.연간시수표'!U15,$BL$9),COUNTIF('1.연간시수표'!U15,$BL$7),COUNTIF('1.연간시수표'!U15,$BM$9),COUNTIF('1.연간시수표'!U15,$BM$7)),$BF$6,IF(OR(COUNTIF('1.연간시수표'!U15,$BO$9),COUNTIF('1.연간시수표'!U15,$BO$7)),$BO$6,IF(OR(COUNTIF('1.연간시수표'!U15,$BP$9),COUNTIF('1.연간시수표'!U15,$BP$7)),$BP$6,IF(OR(COUNTIF('1.연간시수표'!U15,$BQ$9),COUNTIF('1.연간시수표'!U15,$BQ$7)),$BQ$6,IF(OR(COUNTIF('1.연간시수표'!U15,$BR$9),COUNTIF('1.연간시수표'!U15,$BR$7)),$BR$6,"_")))))))))))))))</f>
        <v>영어</v>
      </c>
      <c r="V15" s="148" t="str">
        <f>IF(OR(COUNTIF('1.연간시수표'!V15,$AT$9),COUNTIF('1.연간시수표'!V15,$AT$7)),$AT$6,IF(OR(COUNTIF('1.연간시수표'!V15,$AU$9),COUNTIF('1.연간시수표'!V15,$AU$7)),$AU$6,IF(OR(COUNTIF('1.연간시수표'!V15,$AV$9),COUNTIF('1.연간시수표'!V15,$AV$7)),$AV$6,IF(OR(COUNTIF('1.연간시수표'!V15,$AW$9),COUNTIF('1.연간시수표'!V15,$AW$7)),$AW$6,IF(OR(COUNTIF('1.연간시수표'!V15,$AX$9),COUNTIF('1.연간시수표'!V15,$AX$7)),$AX$6,IF(OR(COUNTIF('1.연간시수표'!V15,$AY$9),COUNTIF('1.연간시수표'!V15,$AY$7)),$AY$6,IF(OR(COUNTIF('1.연간시수표'!V15,$AZ$9),COUNTIF('1.연간시수표'!V15,$AZ$7)),$AZ$6,IF(OR(COUNTIF('1.연간시수표'!V15,$BA$9),COUNTIF('1.연간시수표'!V15,$BA$7)),$BA$6,IF(OR(COUNTIF('1.연간시수표'!V15,$BB$9),COUNTIF('1.연간시수표'!V15,$BB$7)),$BB$6,IF(OR(COUNTIF('1.연간시수표'!V15,$BC$9),COUNTIF('1.연간시수표'!V15,$BC$7)),$BC$6,IF(OR(COUNTIF('1.연간시수표'!V15,$BF$9),COUNTIF('1.연간시수표'!V15,$BF$7),COUNTIF('1.연간시수표'!V15,$BG$9),COUNTIF('1.연간시수표'!V15,$BG$7),COUNTIF('1.연간시수표'!V15,$BH$9),COUNTIF('1.연간시수표'!V15,$BH$7),COUNTIF('1.연간시수표'!V15,$BI$9),COUNTIF('1.연간시수표'!V15,$BI$7),COUNTIF('1.연간시수표'!V15,$BJ$9),COUNTIF('1.연간시수표'!V15,$BJ$7),COUNTIF('1.연간시수표'!V15,$BK$9),COUNTIF('1.연간시수표'!V15,$BK$7),COUNTIF('1.연간시수표'!V15,$BL$9),COUNTIF('1.연간시수표'!V15,$BL$7),COUNTIF('1.연간시수표'!V15,$BM$9),COUNTIF('1.연간시수표'!V15,$BM$7)),$BF$6,IF(OR(COUNTIF('1.연간시수표'!V15,$BO$9),COUNTIF('1.연간시수표'!V15,$BO$7)),$BO$6,IF(OR(COUNTIF('1.연간시수표'!V15,$BP$9),COUNTIF('1.연간시수표'!V15,$BP$7)),$BP$6,IF(OR(COUNTIF('1.연간시수표'!V15,$BQ$9),COUNTIF('1.연간시수표'!V15,$BQ$7)),$BQ$6,IF(OR(COUNTIF('1.연간시수표'!V15,$BR$9),COUNTIF('1.연간시수표'!V15,$BR$7)),$BR$6,"_")))))))))))))))</f>
        <v>과학</v>
      </c>
      <c r="W15" s="148" t="str">
        <f>IF(OR(COUNTIF('1.연간시수표'!W15,$AT$9),COUNTIF('1.연간시수표'!W15,$AT$7)),$AT$6,IF(OR(COUNTIF('1.연간시수표'!W15,$AU$9),COUNTIF('1.연간시수표'!W15,$AU$7)),$AU$6,IF(OR(COUNTIF('1.연간시수표'!W15,$AV$9),COUNTIF('1.연간시수표'!W15,$AV$7)),$AV$6,IF(OR(COUNTIF('1.연간시수표'!W15,$AW$9),COUNTIF('1.연간시수표'!W15,$AW$7)),$AW$6,IF(OR(COUNTIF('1.연간시수표'!W15,$AX$9),COUNTIF('1.연간시수표'!W15,$AX$7)),$AX$6,IF(OR(COUNTIF('1.연간시수표'!W15,$AY$9),COUNTIF('1.연간시수표'!W15,$AY$7)),$AY$6,IF(OR(COUNTIF('1.연간시수표'!W15,$AZ$9),COUNTIF('1.연간시수표'!W15,$AZ$7)),$AZ$6,IF(OR(COUNTIF('1.연간시수표'!W15,$BA$9),COUNTIF('1.연간시수표'!W15,$BA$7)),$BA$6,IF(OR(COUNTIF('1.연간시수표'!W15,$BB$9),COUNTIF('1.연간시수표'!W15,$BB$7)),$BB$6,IF(OR(COUNTIF('1.연간시수표'!W15,$BC$9),COUNTIF('1.연간시수표'!W15,$BC$7)),$BC$6,IF(OR(COUNTIF('1.연간시수표'!W15,$BF$9),COUNTIF('1.연간시수표'!W15,$BF$7),COUNTIF('1.연간시수표'!W15,$BG$9),COUNTIF('1.연간시수표'!W15,$BG$7),COUNTIF('1.연간시수표'!W15,$BH$9),COUNTIF('1.연간시수표'!W15,$BH$7),COUNTIF('1.연간시수표'!W15,$BI$9),COUNTIF('1.연간시수표'!W15,$BI$7),COUNTIF('1.연간시수표'!W15,$BJ$9),COUNTIF('1.연간시수표'!W15,$BJ$7),COUNTIF('1.연간시수표'!W15,$BK$9),COUNTIF('1.연간시수표'!W15,$BK$7),COUNTIF('1.연간시수표'!W15,$BL$9),COUNTIF('1.연간시수표'!W15,$BL$7),COUNTIF('1.연간시수표'!W15,$BM$9),COUNTIF('1.연간시수표'!W15,$BM$7)),$BF$6,IF(OR(COUNTIF('1.연간시수표'!W15,$BO$9),COUNTIF('1.연간시수표'!W15,$BO$7)),$BO$6,IF(OR(COUNTIF('1.연간시수표'!W15,$BP$9),COUNTIF('1.연간시수표'!W15,$BP$7)),$BP$6,IF(OR(COUNTIF('1.연간시수표'!W15,$BQ$9),COUNTIF('1.연간시수표'!W15,$BQ$7)),$BQ$6,IF(OR(COUNTIF('1.연간시수표'!W15,$BR$9),COUNTIF('1.연간시수표'!W15,$BR$7)),$BR$6,"_")))))))))))))))</f>
        <v>체육</v>
      </c>
      <c r="X15" s="148" t="str">
        <f>IF(OR(COUNTIF('1.연간시수표'!X15,$AT$9),COUNTIF('1.연간시수표'!X15,$AT$7)),$AT$6,IF(OR(COUNTIF('1.연간시수표'!X15,$AU$9),COUNTIF('1.연간시수표'!X15,$AU$7)),$AU$6,IF(OR(COUNTIF('1.연간시수표'!X15,$AV$9),COUNTIF('1.연간시수표'!X15,$AV$7)),$AV$6,IF(OR(COUNTIF('1.연간시수표'!X15,$AW$9),COUNTIF('1.연간시수표'!X15,$AW$7)),$AW$6,IF(OR(COUNTIF('1.연간시수표'!X15,$AX$9),COUNTIF('1.연간시수표'!X15,$AX$7)),$AX$6,IF(OR(COUNTIF('1.연간시수표'!X15,$AY$9),COUNTIF('1.연간시수표'!X15,$AY$7)),$AY$6,IF(OR(COUNTIF('1.연간시수표'!X15,$AZ$9),COUNTIF('1.연간시수표'!X15,$AZ$7)),$AZ$6,IF(OR(COUNTIF('1.연간시수표'!X15,$BA$9),COUNTIF('1.연간시수표'!X15,$BA$7)),$BA$6,IF(OR(COUNTIF('1.연간시수표'!X15,$BB$9),COUNTIF('1.연간시수표'!X15,$BB$7)),$BB$6,IF(OR(COUNTIF('1.연간시수표'!X15,$BC$9),COUNTIF('1.연간시수표'!X15,$BC$7)),$BC$6,IF(OR(COUNTIF('1.연간시수표'!X15,$BF$9),COUNTIF('1.연간시수표'!X15,$BF$7),COUNTIF('1.연간시수표'!X15,$BG$9),COUNTIF('1.연간시수표'!X15,$BG$7),COUNTIF('1.연간시수표'!X15,$BH$9),COUNTIF('1.연간시수표'!X15,$BH$7),COUNTIF('1.연간시수표'!X15,$BI$9),COUNTIF('1.연간시수표'!X15,$BI$7),COUNTIF('1.연간시수표'!X15,$BJ$9),COUNTIF('1.연간시수표'!X15,$BJ$7),COUNTIF('1.연간시수표'!X15,$BK$9),COUNTIF('1.연간시수표'!X15,$BK$7),COUNTIF('1.연간시수표'!X15,$BL$9),COUNTIF('1.연간시수표'!X15,$BL$7),COUNTIF('1.연간시수표'!X15,$BM$9),COUNTIF('1.연간시수표'!X15,$BM$7)),$BF$6,IF(OR(COUNTIF('1.연간시수표'!X15,$BO$9),COUNTIF('1.연간시수표'!X15,$BO$7)),$BO$6,IF(OR(COUNTIF('1.연간시수표'!X15,$BP$9),COUNTIF('1.연간시수표'!X15,$BP$7)),$BP$6,IF(OR(COUNTIF('1.연간시수표'!X15,$BQ$9),COUNTIF('1.연간시수표'!X15,$BQ$7)),$BQ$6,IF(OR(COUNTIF('1.연간시수표'!X15,$BR$9),COUNTIF('1.연간시수표'!X15,$BR$7)),$BR$6,"_")))))))))))))))</f>
        <v>음악</v>
      </c>
      <c r="Y15" s="148" t="str">
        <f>IF(OR(COUNTIF('1.연간시수표'!Y15,$AT$9),COUNTIF('1.연간시수표'!Y15,$AT$7)),$AT$6,IF(OR(COUNTIF('1.연간시수표'!Y15,$AU$9),COUNTIF('1.연간시수표'!Y15,$AU$7)),$AU$6,IF(OR(COUNTIF('1.연간시수표'!Y15,$AV$9),COUNTIF('1.연간시수표'!Y15,$AV$7)),$AV$6,IF(OR(COUNTIF('1.연간시수표'!Y15,$AW$9),COUNTIF('1.연간시수표'!Y15,$AW$7)),$AW$6,IF(OR(COUNTIF('1.연간시수표'!Y15,$AX$9),COUNTIF('1.연간시수표'!Y15,$AX$7)),$AX$6,IF(OR(COUNTIF('1.연간시수표'!Y15,$AY$9),COUNTIF('1.연간시수표'!Y15,$AY$7)),$AY$6,IF(OR(COUNTIF('1.연간시수표'!Y15,$AZ$9),COUNTIF('1.연간시수표'!Y15,$AZ$7)),$AZ$6,IF(OR(COUNTIF('1.연간시수표'!Y15,$BA$9),COUNTIF('1.연간시수표'!Y15,$BA$7)),$BA$6,IF(OR(COUNTIF('1.연간시수표'!Y15,$BB$9),COUNTIF('1.연간시수표'!Y15,$BB$7)),$BB$6,IF(OR(COUNTIF('1.연간시수표'!Y15,$BC$9),COUNTIF('1.연간시수표'!Y15,$BC$7)),$BC$6,IF(OR(COUNTIF('1.연간시수표'!Y15,$BF$9),COUNTIF('1.연간시수표'!Y15,$BF$7),COUNTIF('1.연간시수표'!Y15,$BG$9),COUNTIF('1.연간시수표'!Y15,$BG$7),COUNTIF('1.연간시수표'!Y15,$BH$9),COUNTIF('1.연간시수표'!Y15,$BH$7),COUNTIF('1.연간시수표'!Y15,$BI$9),COUNTIF('1.연간시수표'!Y15,$BI$7),COUNTIF('1.연간시수표'!Y15,$BJ$9),COUNTIF('1.연간시수표'!Y15,$BJ$7),COUNTIF('1.연간시수표'!Y15,$BK$9),COUNTIF('1.연간시수표'!Y15,$BK$7),COUNTIF('1.연간시수표'!Y15,$BL$9),COUNTIF('1.연간시수표'!Y15,$BL$7),COUNTIF('1.연간시수표'!Y15,$BM$9),COUNTIF('1.연간시수표'!Y15,$BM$7)),$BF$6,IF(OR(COUNTIF('1.연간시수표'!Y15,$BO$9),COUNTIF('1.연간시수표'!Y15,$BO$7)),$BO$6,IF(OR(COUNTIF('1.연간시수표'!Y15,$BP$9),COUNTIF('1.연간시수표'!Y15,$BP$7)),$BP$6,IF(OR(COUNTIF('1.연간시수표'!Y15,$BQ$9),COUNTIF('1.연간시수표'!Y15,$BQ$7)),$BQ$6,IF(OR(COUNTIF('1.연간시수표'!Y15,$BR$9),COUNTIF('1.연간시수표'!Y15,$BR$7)),$BR$6,"_")))))))))))))))</f>
        <v>도덕</v>
      </c>
      <c r="Z15" s="148" t="str">
        <f>IF(OR(COUNTIF('1.연간시수표'!Z15,$AT$9),COUNTIF('1.연간시수표'!Z15,$AT$7)),$AT$6,IF(OR(COUNTIF('1.연간시수표'!Z15,$AU$9),COUNTIF('1.연간시수표'!Z15,$AU$7)),$AU$6,IF(OR(COUNTIF('1.연간시수표'!Z15,$AV$9),COUNTIF('1.연간시수표'!Z15,$AV$7)),$AV$6,IF(OR(COUNTIF('1.연간시수표'!Z15,$AW$9),COUNTIF('1.연간시수표'!Z15,$AW$7)),$AW$6,IF(OR(COUNTIF('1.연간시수표'!Z15,$AX$9),COUNTIF('1.연간시수표'!Z15,$AX$7)),$AX$6,IF(OR(COUNTIF('1.연간시수표'!Z15,$AY$9),COUNTIF('1.연간시수표'!Z15,$AY$7)),$AY$6,IF(OR(COUNTIF('1.연간시수표'!Z15,$AZ$9),COUNTIF('1.연간시수표'!Z15,$AZ$7)),$AZ$6,IF(OR(COUNTIF('1.연간시수표'!Z15,$BA$9),COUNTIF('1.연간시수표'!Z15,$BA$7)),$BA$6,IF(OR(COUNTIF('1.연간시수표'!Z15,$BB$9),COUNTIF('1.연간시수표'!Z15,$BB$7)),$BB$6,IF(OR(COUNTIF('1.연간시수표'!Z15,$BC$9),COUNTIF('1.연간시수표'!Z15,$BC$7)),$BC$6,IF(OR(COUNTIF('1.연간시수표'!Z15,$BF$9),COUNTIF('1.연간시수표'!Z15,$BF$7),COUNTIF('1.연간시수표'!Z15,$BG$9),COUNTIF('1.연간시수표'!Z15,$BG$7),COUNTIF('1.연간시수표'!Z15,$BH$9),COUNTIF('1.연간시수표'!Z15,$BH$7),COUNTIF('1.연간시수표'!Z15,$BI$9),COUNTIF('1.연간시수표'!Z15,$BI$7),COUNTIF('1.연간시수표'!Z15,$BJ$9),COUNTIF('1.연간시수표'!Z15,$BJ$7),COUNTIF('1.연간시수표'!Z15,$BK$9),COUNTIF('1.연간시수표'!Z15,$BK$7),COUNTIF('1.연간시수표'!Z15,$BL$9),COUNTIF('1.연간시수표'!Z15,$BL$7),COUNTIF('1.연간시수표'!Z15,$BM$9),COUNTIF('1.연간시수표'!Z15,$BM$7)),$BF$6,IF(OR(COUNTIF('1.연간시수표'!Z15,$BO$9),COUNTIF('1.연간시수표'!Z15,$BO$7)),$BO$6,IF(OR(COUNTIF('1.연간시수표'!Z15,$BP$9),COUNTIF('1.연간시수표'!Z15,$BP$7)),$BP$6,IF(OR(COUNTIF('1.연간시수표'!Z15,$BQ$9),COUNTIF('1.연간시수표'!Z15,$BQ$7)),$BQ$6,IF(OR(COUNTIF('1.연간시수표'!Z15,$BR$9),COUNTIF('1.연간시수표'!Z15,$BR$7)),$BR$6,"_")))))))))))))))</f>
        <v>_</v>
      </c>
      <c r="AA15" s="148" t="str">
        <f>IF(OR(COUNTIF('1.연간시수표'!AA15,$AT$9),COUNTIF('1.연간시수표'!AA15,$AT$7)),$AT$6,IF(OR(COUNTIF('1.연간시수표'!AA15,$AU$9),COUNTIF('1.연간시수표'!AA15,$AU$7)),$AU$6,IF(OR(COUNTIF('1.연간시수표'!AA15,$AV$9),COUNTIF('1.연간시수표'!AA15,$AV$7)),$AV$6,IF(OR(COUNTIF('1.연간시수표'!AA15,$AW$9),COUNTIF('1.연간시수표'!AA15,$AW$7)),$AW$6,IF(OR(COUNTIF('1.연간시수표'!AA15,$AX$9),COUNTIF('1.연간시수표'!AA15,$AX$7)),$AX$6,IF(OR(COUNTIF('1.연간시수표'!AA15,$AY$9),COUNTIF('1.연간시수표'!AA15,$AY$7)),$AY$6,IF(OR(COUNTIF('1.연간시수표'!AA15,$AZ$9),COUNTIF('1.연간시수표'!AA15,$AZ$7)),$AZ$6,IF(OR(COUNTIF('1.연간시수표'!AA15,$BA$9),COUNTIF('1.연간시수표'!AA15,$BA$7)),$BA$6,IF(OR(COUNTIF('1.연간시수표'!AA15,$BB$9),COUNTIF('1.연간시수표'!AA15,$BB$7)),$BB$6,IF(OR(COUNTIF('1.연간시수표'!AA15,$BC$9),COUNTIF('1.연간시수표'!AA15,$BC$7)),$BC$6,IF(OR(COUNTIF('1.연간시수표'!AA15,$BF$9),COUNTIF('1.연간시수표'!AA15,$BF$7),COUNTIF('1.연간시수표'!AA15,$BG$9),COUNTIF('1.연간시수표'!AA15,$BG$7),COUNTIF('1.연간시수표'!AA15,$BH$9),COUNTIF('1.연간시수표'!AA15,$BH$7),COUNTIF('1.연간시수표'!AA15,$BI$9),COUNTIF('1.연간시수표'!AA15,$BI$7),COUNTIF('1.연간시수표'!AA15,$BJ$9),COUNTIF('1.연간시수표'!AA15,$BJ$7),COUNTIF('1.연간시수표'!AA15,$BK$9),COUNTIF('1.연간시수표'!AA15,$BK$7),COUNTIF('1.연간시수표'!AA15,$BL$9),COUNTIF('1.연간시수표'!AA15,$BL$7),COUNTIF('1.연간시수표'!AA15,$BM$9),COUNTIF('1.연간시수표'!AA15,$BM$7)),$BF$6,IF(OR(COUNTIF('1.연간시수표'!AA15,$BO$9),COUNTIF('1.연간시수표'!AA15,$BO$7)),$BO$6,IF(OR(COUNTIF('1.연간시수표'!AA15,$BP$9),COUNTIF('1.연간시수표'!AA15,$BP$7)),$BP$6,IF(OR(COUNTIF('1.연간시수표'!AA15,$BQ$9),COUNTIF('1.연간시수표'!AA15,$BQ$7)),$BQ$6,IF(OR(COUNTIF('1.연간시수표'!AA15,$BR$9),COUNTIF('1.연간시수표'!AA15,$BR$7)),$BR$6,"_")))))))))))))))</f>
        <v>_</v>
      </c>
      <c r="AB15" s="148" t="str">
        <f>IF(OR(COUNTIF('1.연간시수표'!AB15,$AT$9),COUNTIF('1.연간시수표'!AB15,$AT$7)),$AT$6,IF(OR(COUNTIF('1.연간시수표'!AB15,$AU$9),COUNTIF('1.연간시수표'!AB15,$AU$7)),$AU$6,IF(OR(COUNTIF('1.연간시수표'!AB15,$AV$9),COUNTIF('1.연간시수표'!AB15,$AV$7)),$AV$6,IF(OR(COUNTIF('1.연간시수표'!AB15,$AW$9),COUNTIF('1.연간시수표'!AB15,$AW$7)),$AW$6,IF(OR(COUNTIF('1.연간시수표'!AB15,$AX$9),COUNTIF('1.연간시수표'!AB15,$AX$7)),$AX$6,IF(OR(COUNTIF('1.연간시수표'!AB15,$AY$9),COUNTIF('1.연간시수표'!AB15,$AY$7)),$AY$6,IF(OR(COUNTIF('1.연간시수표'!AB15,$AZ$9),COUNTIF('1.연간시수표'!AB15,$AZ$7)),$AZ$6,IF(OR(COUNTIF('1.연간시수표'!AB15,$BA$9),COUNTIF('1.연간시수표'!AB15,$BA$7)),$BA$6,IF(OR(COUNTIF('1.연간시수표'!AB15,$BB$9),COUNTIF('1.연간시수표'!AB15,$BB$7)),$BB$6,IF(OR(COUNTIF('1.연간시수표'!AB15,$BC$9),COUNTIF('1.연간시수표'!AB15,$BC$7)),$BC$6,IF(OR(COUNTIF('1.연간시수표'!AB15,$BF$9),COUNTIF('1.연간시수표'!AB15,$BF$7),COUNTIF('1.연간시수표'!AB15,$BG$9),COUNTIF('1.연간시수표'!AB15,$BG$7),COUNTIF('1.연간시수표'!AB15,$BH$9),COUNTIF('1.연간시수표'!AB15,$BH$7),COUNTIF('1.연간시수표'!AB15,$BI$9),COUNTIF('1.연간시수표'!AB15,$BI$7),COUNTIF('1.연간시수표'!AB15,$BJ$9),COUNTIF('1.연간시수표'!AB15,$BJ$7),COUNTIF('1.연간시수표'!AB15,$BK$9),COUNTIF('1.연간시수표'!AB15,$BK$7),COUNTIF('1.연간시수표'!AB15,$BL$9),COUNTIF('1.연간시수표'!AB15,$BL$7),COUNTIF('1.연간시수표'!AB15,$BM$9),COUNTIF('1.연간시수표'!AB15,$BM$7)),$BF$6,IF(OR(COUNTIF('1.연간시수표'!AB15,$BO$9),COUNTIF('1.연간시수표'!AB15,$BO$7)),$BO$6,IF(OR(COUNTIF('1.연간시수표'!AB15,$BP$9),COUNTIF('1.연간시수표'!AB15,$BP$7)),$BP$6,IF(OR(COUNTIF('1.연간시수표'!AB15,$BQ$9),COUNTIF('1.연간시수표'!AB15,$BQ$7)),$BQ$6,IF(OR(COUNTIF('1.연간시수표'!AB15,$BR$9),COUNTIF('1.연간시수표'!AB15,$BR$7)),$BR$6,"_")))))))))))))))</f>
        <v>_</v>
      </c>
      <c r="AC15" s="148" t="str">
        <f>IF(OR(COUNTIF('1.연간시수표'!AC15,$AT$9),COUNTIF('1.연간시수표'!AC15,$AT$7)),$AT$6,IF(OR(COUNTIF('1.연간시수표'!AC15,$AU$9),COUNTIF('1.연간시수표'!AC15,$AU$7)),$AU$6,IF(OR(COUNTIF('1.연간시수표'!AC15,$AV$9),COUNTIF('1.연간시수표'!AC15,$AV$7)),$AV$6,IF(OR(COUNTIF('1.연간시수표'!AC15,$AW$9),COUNTIF('1.연간시수표'!AC15,$AW$7)),$AW$6,IF(OR(COUNTIF('1.연간시수표'!AC15,$AX$9),COUNTIF('1.연간시수표'!AC15,$AX$7)),$AX$6,IF(OR(COUNTIF('1.연간시수표'!AC15,$AY$9),COUNTIF('1.연간시수표'!AC15,$AY$7)),$AY$6,IF(OR(COUNTIF('1.연간시수표'!AC15,$AZ$9),COUNTIF('1.연간시수표'!AC15,$AZ$7)),$AZ$6,IF(OR(COUNTIF('1.연간시수표'!AC15,$BA$9),COUNTIF('1.연간시수표'!AC15,$BA$7)),$BA$6,IF(OR(COUNTIF('1.연간시수표'!AC15,$BB$9),COUNTIF('1.연간시수표'!AC15,$BB$7)),$BB$6,IF(OR(COUNTIF('1.연간시수표'!AC15,$BC$9),COUNTIF('1.연간시수표'!AC15,$BC$7)),$BC$6,IF(OR(COUNTIF('1.연간시수표'!AC15,$BF$9),COUNTIF('1.연간시수표'!AC15,$BF$7),COUNTIF('1.연간시수표'!AC15,$BG$9),COUNTIF('1.연간시수표'!AC15,$BG$7),COUNTIF('1.연간시수표'!AC15,$BH$9),COUNTIF('1.연간시수표'!AC15,$BH$7),COUNTIF('1.연간시수표'!AC15,$BI$9),COUNTIF('1.연간시수표'!AC15,$BI$7),COUNTIF('1.연간시수표'!AC15,$BJ$9),COUNTIF('1.연간시수표'!AC15,$BJ$7),COUNTIF('1.연간시수표'!AC15,$BK$9),COUNTIF('1.연간시수표'!AC15,$BK$7),COUNTIF('1.연간시수표'!AC15,$BL$9),COUNTIF('1.연간시수표'!AC15,$BL$7),COUNTIF('1.연간시수표'!AC15,$BM$9),COUNTIF('1.연간시수표'!AC15,$BM$7)),$BF$6,IF(OR(COUNTIF('1.연간시수표'!AC15,$BO$9),COUNTIF('1.연간시수표'!AC15,$BO$7)),$BO$6,IF(OR(COUNTIF('1.연간시수표'!AC15,$BP$9),COUNTIF('1.연간시수표'!AC15,$BP$7)),$BP$6,IF(OR(COUNTIF('1.연간시수표'!AC15,$BQ$9),COUNTIF('1.연간시수표'!AC15,$BQ$7)),$BQ$6,IF(OR(COUNTIF('1.연간시수표'!AC15,$BR$9),COUNTIF('1.연간시수표'!AC15,$BR$7)),$BR$6,"_")))))))))))))))</f>
        <v>국어</v>
      </c>
      <c r="AD15" s="148" t="str">
        <f>IF(OR(COUNTIF('1.연간시수표'!AD15,$AT$9),COUNTIF('1.연간시수표'!AD15,$AT$7)),$AT$6,IF(OR(COUNTIF('1.연간시수표'!AD15,$AU$9),COUNTIF('1.연간시수표'!AD15,$AU$7)),$AU$6,IF(OR(COUNTIF('1.연간시수표'!AD15,$AV$9),COUNTIF('1.연간시수표'!AD15,$AV$7)),$AV$6,IF(OR(COUNTIF('1.연간시수표'!AD15,$AW$9),COUNTIF('1.연간시수표'!AD15,$AW$7)),$AW$6,IF(OR(COUNTIF('1.연간시수표'!AD15,$AX$9),COUNTIF('1.연간시수표'!AD15,$AX$7)),$AX$6,IF(OR(COUNTIF('1.연간시수표'!AD15,$AY$9),COUNTIF('1.연간시수표'!AD15,$AY$7)),$AY$6,IF(OR(COUNTIF('1.연간시수표'!AD15,$AZ$9),COUNTIF('1.연간시수표'!AD15,$AZ$7)),$AZ$6,IF(OR(COUNTIF('1.연간시수표'!AD15,$BA$9),COUNTIF('1.연간시수표'!AD15,$BA$7)),$BA$6,IF(OR(COUNTIF('1.연간시수표'!AD15,$BB$9),COUNTIF('1.연간시수표'!AD15,$BB$7)),$BB$6,IF(OR(COUNTIF('1.연간시수표'!AD15,$BC$9),COUNTIF('1.연간시수표'!AD15,$BC$7)),$BC$6,IF(OR(COUNTIF('1.연간시수표'!AD15,$BF$9),COUNTIF('1.연간시수표'!AD15,$BF$7),COUNTIF('1.연간시수표'!AD15,$BG$9),COUNTIF('1.연간시수표'!AD15,$BG$7),COUNTIF('1.연간시수표'!AD15,$BH$9),COUNTIF('1.연간시수표'!AD15,$BH$7),COUNTIF('1.연간시수표'!AD15,$BI$9),COUNTIF('1.연간시수표'!AD15,$BI$7),COUNTIF('1.연간시수표'!AD15,$BJ$9),COUNTIF('1.연간시수표'!AD15,$BJ$7),COUNTIF('1.연간시수표'!AD15,$BK$9),COUNTIF('1.연간시수표'!AD15,$BK$7),COUNTIF('1.연간시수표'!AD15,$BL$9),COUNTIF('1.연간시수표'!AD15,$BL$7),COUNTIF('1.연간시수표'!AD15,$BM$9),COUNTIF('1.연간시수표'!AD15,$BM$7)),$BF$6,IF(OR(COUNTIF('1.연간시수표'!AD15,$BO$9),COUNTIF('1.연간시수표'!AD15,$BO$7)),$BO$6,IF(OR(COUNTIF('1.연간시수표'!AD15,$BP$9),COUNTIF('1.연간시수표'!AD15,$BP$7)),$BP$6,IF(OR(COUNTIF('1.연간시수표'!AD15,$BQ$9),COUNTIF('1.연간시수표'!AD15,$BQ$7)),$BQ$6,IF(OR(COUNTIF('1.연간시수표'!AD15,$BR$9),COUNTIF('1.연간시수표'!AD15,$BR$7)),$BR$6,"_")))))))))))))))</f>
        <v>수학</v>
      </c>
      <c r="AE15" s="148" t="str">
        <f>IF(OR(COUNTIF('1.연간시수표'!AE15,$AT$9),COUNTIF('1.연간시수표'!AE15,$AT$7)),$AT$6,IF(OR(COUNTIF('1.연간시수표'!AE15,$AU$9),COUNTIF('1.연간시수표'!AE15,$AU$7)),$AU$6,IF(OR(COUNTIF('1.연간시수표'!AE15,$AV$9),COUNTIF('1.연간시수표'!AE15,$AV$7)),$AV$6,IF(OR(COUNTIF('1.연간시수표'!AE15,$AW$9),COUNTIF('1.연간시수표'!AE15,$AW$7)),$AW$6,IF(OR(COUNTIF('1.연간시수표'!AE15,$AX$9),COUNTIF('1.연간시수표'!AE15,$AX$7)),$AX$6,IF(OR(COUNTIF('1.연간시수표'!AE15,$AY$9),COUNTIF('1.연간시수표'!AE15,$AY$7)),$AY$6,IF(OR(COUNTIF('1.연간시수표'!AE15,$AZ$9),COUNTIF('1.연간시수표'!AE15,$AZ$7)),$AZ$6,IF(OR(COUNTIF('1.연간시수표'!AE15,$BA$9),COUNTIF('1.연간시수표'!AE15,$BA$7)),$BA$6,IF(OR(COUNTIF('1.연간시수표'!AE15,$BB$9),COUNTIF('1.연간시수표'!AE15,$BB$7)),$BB$6,IF(OR(COUNTIF('1.연간시수표'!AE15,$BC$9),COUNTIF('1.연간시수표'!AE15,$BC$7)),$BC$6,IF(OR(COUNTIF('1.연간시수표'!AE15,$BF$9),COUNTIF('1.연간시수표'!AE15,$BF$7),COUNTIF('1.연간시수표'!AE15,$BG$9),COUNTIF('1.연간시수표'!AE15,$BG$7),COUNTIF('1.연간시수표'!AE15,$BH$9),COUNTIF('1.연간시수표'!AE15,$BH$7),COUNTIF('1.연간시수표'!AE15,$BI$9),COUNTIF('1.연간시수표'!AE15,$BI$7),COUNTIF('1.연간시수표'!AE15,$BJ$9),COUNTIF('1.연간시수표'!AE15,$BJ$7),COUNTIF('1.연간시수표'!AE15,$BK$9),COUNTIF('1.연간시수표'!AE15,$BK$7),COUNTIF('1.연간시수표'!AE15,$BL$9),COUNTIF('1.연간시수표'!AE15,$BL$7),COUNTIF('1.연간시수표'!AE15,$BM$9),COUNTIF('1.연간시수표'!AE15,$BM$7)),$BF$6,IF(OR(COUNTIF('1.연간시수표'!AE15,$BO$9),COUNTIF('1.연간시수표'!AE15,$BO$7)),$BO$6,IF(OR(COUNTIF('1.연간시수표'!AE15,$BP$9),COUNTIF('1.연간시수표'!AE15,$BP$7)),$BP$6,IF(OR(COUNTIF('1.연간시수표'!AE15,$BQ$9),COUNTIF('1.연간시수표'!AE15,$BQ$7)),$BQ$6,IF(OR(COUNTIF('1.연간시수표'!AE15,$BR$9),COUNTIF('1.연간시수표'!AE15,$BR$7)),$BR$6,"_")))))))))))))))</f>
        <v>사회</v>
      </c>
      <c r="AF15" s="148" t="str">
        <f>IF(OR(COUNTIF('1.연간시수표'!AF15,$AT$9),COUNTIF('1.연간시수표'!AF15,$AT$7)),$AT$6,IF(OR(COUNTIF('1.연간시수표'!AF15,$AU$9),COUNTIF('1.연간시수표'!AF15,$AU$7)),$AU$6,IF(OR(COUNTIF('1.연간시수표'!AF15,$AV$9),COUNTIF('1.연간시수표'!AF15,$AV$7)),$AV$6,IF(OR(COUNTIF('1.연간시수표'!AF15,$AW$9),COUNTIF('1.연간시수표'!AF15,$AW$7)),$AW$6,IF(OR(COUNTIF('1.연간시수표'!AF15,$AX$9),COUNTIF('1.연간시수표'!AF15,$AX$7)),$AX$6,IF(OR(COUNTIF('1.연간시수표'!AF15,$AY$9),COUNTIF('1.연간시수표'!AF15,$AY$7)),$AY$6,IF(OR(COUNTIF('1.연간시수표'!AF15,$AZ$9),COUNTIF('1.연간시수표'!AF15,$AZ$7)),$AZ$6,IF(OR(COUNTIF('1.연간시수표'!AF15,$BA$9),COUNTIF('1.연간시수표'!AF15,$BA$7)),$BA$6,IF(OR(COUNTIF('1.연간시수표'!AF15,$BB$9),COUNTIF('1.연간시수표'!AF15,$BB$7)),$BB$6,IF(OR(COUNTIF('1.연간시수표'!AF15,$BC$9),COUNTIF('1.연간시수표'!AF15,$BC$7)),$BC$6,IF(OR(COUNTIF('1.연간시수표'!AF15,$BF$9),COUNTIF('1.연간시수표'!AF15,$BF$7),COUNTIF('1.연간시수표'!AF15,$BG$9),COUNTIF('1.연간시수표'!AF15,$BG$7),COUNTIF('1.연간시수표'!AF15,$BH$9),COUNTIF('1.연간시수표'!AF15,$BH$7),COUNTIF('1.연간시수표'!AF15,$BI$9),COUNTIF('1.연간시수표'!AF15,$BI$7),COUNTIF('1.연간시수표'!AF15,$BJ$9),COUNTIF('1.연간시수표'!AF15,$BJ$7),COUNTIF('1.연간시수표'!AF15,$BK$9),COUNTIF('1.연간시수표'!AF15,$BK$7),COUNTIF('1.연간시수표'!AF15,$BL$9),COUNTIF('1.연간시수표'!AF15,$BL$7),COUNTIF('1.연간시수표'!AF15,$BM$9),COUNTIF('1.연간시수표'!AF15,$BM$7)),$BF$6,IF(OR(COUNTIF('1.연간시수표'!AF15,$BO$9),COUNTIF('1.연간시수표'!AF15,$BO$7)),$BO$6,IF(OR(COUNTIF('1.연간시수표'!AF15,$BP$9),COUNTIF('1.연간시수표'!AF15,$BP$7)),$BP$6,IF(OR(COUNTIF('1.연간시수표'!AF15,$BQ$9),COUNTIF('1.연간시수표'!AF15,$BQ$7)),$BQ$6,IF(OR(COUNTIF('1.연간시수표'!AF15,$BR$9),COUNTIF('1.연간시수표'!AF15,$BR$7)),$BR$6,"_")))))))))))))))</f>
        <v>영어</v>
      </c>
      <c r="AG15" s="148" t="str">
        <f>IF(OR(COUNTIF('1.연간시수표'!AG15,$AT$9),COUNTIF('1.연간시수표'!AG15,$AT$7)),$AT$6,IF(OR(COUNTIF('1.연간시수표'!AG15,$AU$9),COUNTIF('1.연간시수표'!AG15,$AU$7)),$AU$6,IF(OR(COUNTIF('1.연간시수표'!AG15,$AV$9),COUNTIF('1.연간시수표'!AG15,$AV$7)),$AV$6,IF(OR(COUNTIF('1.연간시수표'!AG15,$AW$9),COUNTIF('1.연간시수표'!AG15,$AW$7)),$AW$6,IF(OR(COUNTIF('1.연간시수표'!AG15,$AX$9),COUNTIF('1.연간시수표'!AG15,$AX$7)),$AX$6,IF(OR(COUNTIF('1.연간시수표'!AG15,$AY$9),COUNTIF('1.연간시수표'!AG15,$AY$7)),$AY$6,IF(OR(COUNTIF('1.연간시수표'!AG15,$AZ$9),COUNTIF('1.연간시수표'!AG15,$AZ$7)),$AZ$6,IF(OR(COUNTIF('1.연간시수표'!AG15,$BA$9),COUNTIF('1.연간시수표'!AG15,$BA$7)),$BA$6,IF(OR(COUNTIF('1.연간시수표'!AG15,$BB$9),COUNTIF('1.연간시수표'!AG15,$BB$7)),$BB$6,IF(OR(COUNTIF('1.연간시수표'!AG15,$BC$9),COUNTIF('1.연간시수표'!AG15,$BC$7)),$BC$6,IF(OR(COUNTIF('1.연간시수표'!AG15,$BF$9),COUNTIF('1.연간시수표'!AG15,$BF$7),COUNTIF('1.연간시수표'!AG15,$BG$9),COUNTIF('1.연간시수표'!AG15,$BG$7),COUNTIF('1.연간시수표'!AG15,$BH$9),COUNTIF('1.연간시수표'!AG15,$BH$7),COUNTIF('1.연간시수표'!AG15,$BI$9),COUNTIF('1.연간시수표'!AG15,$BI$7),COUNTIF('1.연간시수표'!AG15,$BJ$9),COUNTIF('1.연간시수표'!AG15,$BJ$7),COUNTIF('1.연간시수표'!AG15,$BK$9),COUNTIF('1.연간시수표'!AG15,$BK$7),COUNTIF('1.연간시수표'!AG15,$BL$9),COUNTIF('1.연간시수표'!AG15,$BL$7),COUNTIF('1.연간시수표'!AG15,$BM$9),COUNTIF('1.연간시수표'!AG15,$BM$7)),$BF$6,IF(OR(COUNTIF('1.연간시수표'!AG15,$BO$9),COUNTIF('1.연간시수표'!AG15,$BO$7)),$BO$6,IF(OR(COUNTIF('1.연간시수표'!AG15,$BP$9),COUNTIF('1.연간시수표'!AG15,$BP$7)),$BP$6,IF(OR(COUNTIF('1.연간시수표'!AG15,$BQ$9),COUNTIF('1.연간시수표'!AG15,$BQ$7)),$BQ$6,IF(OR(COUNTIF('1.연간시수표'!AG15,$BR$9),COUNTIF('1.연간시수표'!AG15,$BR$7)),$BR$6,"_")))))))))))))))</f>
        <v>과학</v>
      </c>
      <c r="AH15" s="148" t="str">
        <f>IF(OR(COUNTIF('1.연간시수표'!AH15,$AT$9),COUNTIF('1.연간시수표'!AH15,$AT$7)),$AT$6,IF(OR(COUNTIF('1.연간시수표'!AH15,$AU$9),COUNTIF('1.연간시수표'!AH15,$AU$7)),$AU$6,IF(OR(COUNTIF('1.연간시수표'!AH15,$AV$9),COUNTIF('1.연간시수표'!AH15,$AV$7)),$AV$6,IF(OR(COUNTIF('1.연간시수표'!AH15,$AW$9),COUNTIF('1.연간시수표'!AH15,$AW$7)),$AW$6,IF(OR(COUNTIF('1.연간시수표'!AH15,$AX$9),COUNTIF('1.연간시수표'!AH15,$AX$7)),$AX$6,IF(OR(COUNTIF('1.연간시수표'!AH15,$AY$9),COUNTIF('1.연간시수표'!AH15,$AY$7)),$AY$6,IF(OR(COUNTIF('1.연간시수표'!AH15,$AZ$9),COUNTIF('1.연간시수표'!AH15,$AZ$7)),$AZ$6,IF(OR(COUNTIF('1.연간시수표'!AH15,$BA$9),COUNTIF('1.연간시수표'!AH15,$BA$7)),$BA$6,IF(OR(COUNTIF('1.연간시수표'!AH15,$BB$9),COUNTIF('1.연간시수표'!AH15,$BB$7)),$BB$6,IF(OR(COUNTIF('1.연간시수표'!AH15,$BC$9),COUNTIF('1.연간시수표'!AH15,$BC$7)),$BC$6,IF(OR(COUNTIF('1.연간시수표'!AH15,$BF$9),COUNTIF('1.연간시수표'!AH15,$BF$7),COUNTIF('1.연간시수표'!AH15,$BG$9),COUNTIF('1.연간시수표'!AH15,$BG$7),COUNTIF('1.연간시수표'!AH15,$BH$9),COUNTIF('1.연간시수표'!AH15,$BH$7),COUNTIF('1.연간시수표'!AH15,$BI$9),COUNTIF('1.연간시수표'!AH15,$BI$7),COUNTIF('1.연간시수표'!AH15,$BJ$9),COUNTIF('1.연간시수표'!AH15,$BJ$7),COUNTIF('1.연간시수표'!AH15,$BK$9),COUNTIF('1.연간시수표'!AH15,$BK$7),COUNTIF('1.연간시수표'!AH15,$BL$9),COUNTIF('1.연간시수표'!AH15,$BL$7),COUNTIF('1.연간시수표'!AH15,$BM$9),COUNTIF('1.연간시수표'!AH15,$BM$7)),$BF$6,IF(OR(COUNTIF('1.연간시수표'!AH15,$BO$9),COUNTIF('1.연간시수표'!AH15,$BO$7)),$BO$6,IF(OR(COUNTIF('1.연간시수표'!AH15,$BP$9),COUNTIF('1.연간시수표'!AH15,$BP$7)),$BP$6,IF(OR(COUNTIF('1.연간시수표'!AH15,$BQ$9),COUNTIF('1.연간시수표'!AH15,$BQ$7)),$BQ$6,IF(OR(COUNTIF('1.연간시수표'!AH15,$BR$9),COUNTIF('1.연간시수표'!AH15,$BR$7)),$BR$6,"_")))))))))))))))</f>
        <v>음악</v>
      </c>
      <c r="AI15" s="148" t="str">
        <f>IF(OR(COUNTIF('1.연간시수표'!AI15,$AT$9),COUNTIF('1.연간시수표'!AI15,$AT$7)),$AT$6,IF(OR(COUNTIF('1.연간시수표'!AI15,$AU$9),COUNTIF('1.연간시수표'!AI15,$AU$7)),$AU$6,IF(OR(COUNTIF('1.연간시수표'!AI15,$AV$9),COUNTIF('1.연간시수표'!AI15,$AV$7)),$AV$6,IF(OR(COUNTIF('1.연간시수표'!AI15,$AW$9),COUNTIF('1.연간시수표'!AI15,$AW$7)),$AW$6,IF(OR(COUNTIF('1.연간시수표'!AI15,$AX$9),COUNTIF('1.연간시수표'!AI15,$AX$7)),$AX$6,IF(OR(COUNTIF('1.연간시수표'!AI15,$AY$9),COUNTIF('1.연간시수표'!AI15,$AY$7)),$AY$6,IF(OR(COUNTIF('1.연간시수표'!AI15,$AZ$9),COUNTIF('1.연간시수표'!AI15,$AZ$7)),$AZ$6,IF(OR(COUNTIF('1.연간시수표'!AI15,$BA$9),COUNTIF('1.연간시수표'!AI15,$BA$7)),$BA$6,IF(OR(COUNTIF('1.연간시수표'!AI15,$BB$9),COUNTIF('1.연간시수표'!AI15,$BB$7)),$BB$6,IF(OR(COUNTIF('1.연간시수표'!AI15,$BC$9),COUNTIF('1.연간시수표'!AI15,$BC$7)),$BC$6,IF(OR(COUNTIF('1.연간시수표'!AI15,$BF$9),COUNTIF('1.연간시수표'!AI15,$BF$7),COUNTIF('1.연간시수표'!AI15,$BG$9),COUNTIF('1.연간시수표'!AI15,$BG$7),COUNTIF('1.연간시수표'!AI15,$BH$9),COUNTIF('1.연간시수표'!AI15,$BH$7),COUNTIF('1.연간시수표'!AI15,$BI$9),COUNTIF('1.연간시수표'!AI15,$BI$7),COUNTIF('1.연간시수표'!AI15,$BJ$9),COUNTIF('1.연간시수표'!AI15,$BJ$7),COUNTIF('1.연간시수표'!AI15,$BK$9),COUNTIF('1.연간시수표'!AI15,$BK$7),COUNTIF('1.연간시수표'!AI15,$BL$9),COUNTIF('1.연간시수표'!AI15,$BL$7),COUNTIF('1.연간시수표'!AI15,$BM$9),COUNTIF('1.연간시수표'!AI15,$BM$7)),$BF$6,IF(OR(COUNTIF('1.연간시수표'!AI15,$BO$9),COUNTIF('1.연간시수표'!AI15,$BO$7)),$BO$6,IF(OR(COUNTIF('1.연간시수표'!AI15,$BP$9),COUNTIF('1.연간시수표'!AI15,$BP$7)),$BP$6,IF(OR(COUNTIF('1.연간시수표'!AI15,$BQ$9),COUNTIF('1.연간시수표'!AI15,$BQ$7)),$BQ$6,IF(OR(COUNTIF('1.연간시수표'!AI15,$BR$9),COUNTIF('1.연간시수표'!AI15,$BR$7)),$BR$6,"_")))))))))))))))</f>
        <v>_</v>
      </c>
      <c r="AJ15" s="148" t="str">
        <f>IF(OR(COUNTIF('1.연간시수표'!AJ15,$AT$9),COUNTIF('1.연간시수표'!AJ15,$AT$7)),$AT$6,IF(OR(COUNTIF('1.연간시수표'!AJ15,$AU$9),COUNTIF('1.연간시수표'!AJ15,$AU$7)),$AU$6,IF(OR(COUNTIF('1.연간시수표'!AJ15,$AV$9),COUNTIF('1.연간시수표'!AJ15,$AV$7)),$AV$6,IF(OR(COUNTIF('1.연간시수표'!AJ15,$AW$9),COUNTIF('1.연간시수표'!AJ15,$AW$7)),$AW$6,IF(OR(COUNTIF('1.연간시수표'!AJ15,$AX$9),COUNTIF('1.연간시수표'!AJ15,$AX$7)),$AX$6,IF(OR(COUNTIF('1.연간시수표'!AJ15,$AY$9),COUNTIF('1.연간시수표'!AJ15,$AY$7)),$AY$6,IF(OR(COUNTIF('1.연간시수표'!AJ15,$AZ$9),COUNTIF('1.연간시수표'!AJ15,$AZ$7)),$AZ$6,IF(OR(COUNTIF('1.연간시수표'!AJ15,$BA$9),COUNTIF('1.연간시수표'!AJ15,$BA$7)),$BA$6,IF(OR(COUNTIF('1.연간시수표'!AJ15,$BB$9),COUNTIF('1.연간시수표'!AJ15,$BB$7)),$BB$6,IF(OR(COUNTIF('1.연간시수표'!AJ15,$BC$9),COUNTIF('1.연간시수표'!AJ15,$BC$7)),$BC$6,IF(OR(COUNTIF('1.연간시수표'!AJ15,$BF$9),COUNTIF('1.연간시수표'!AJ15,$BF$7),COUNTIF('1.연간시수표'!AJ15,$BG$9),COUNTIF('1.연간시수표'!AJ15,$BG$7),COUNTIF('1.연간시수표'!AJ15,$BH$9),COUNTIF('1.연간시수표'!AJ15,$BH$7),COUNTIF('1.연간시수표'!AJ15,$BI$9),COUNTIF('1.연간시수표'!AJ15,$BI$7),COUNTIF('1.연간시수표'!AJ15,$BJ$9),COUNTIF('1.연간시수표'!AJ15,$BJ$7),COUNTIF('1.연간시수표'!AJ15,$BK$9),COUNTIF('1.연간시수표'!AJ15,$BK$7),COUNTIF('1.연간시수표'!AJ15,$BL$9),COUNTIF('1.연간시수표'!AJ15,$BL$7),COUNTIF('1.연간시수표'!AJ15,$BM$9),COUNTIF('1.연간시수표'!AJ15,$BM$7)),$BF$6,IF(OR(COUNTIF('1.연간시수표'!AJ15,$BO$9),COUNTIF('1.연간시수표'!AJ15,$BO$7)),$BO$6,IF(OR(COUNTIF('1.연간시수표'!AJ15,$BP$9),COUNTIF('1.연간시수표'!AJ15,$BP$7)),$BP$6,IF(OR(COUNTIF('1.연간시수표'!AJ15,$BQ$9),COUNTIF('1.연간시수표'!AJ15,$BQ$7)),$BQ$6,IF(OR(COUNTIF('1.연간시수표'!AJ15,$BR$9),COUNTIF('1.연간시수표'!AJ15,$BR$7)),$BR$6,"_")))))))))))))))</f>
        <v>_</v>
      </c>
      <c r="AK15" s="148" t="str">
        <f>IF(OR(COUNTIF('1.연간시수표'!AK15,$AT$9),COUNTIF('1.연간시수표'!AK15,$AT$7)),$AT$6,IF(OR(COUNTIF('1.연간시수표'!AK15,$AU$9),COUNTIF('1.연간시수표'!AK15,$AU$7)),$AU$6,IF(OR(COUNTIF('1.연간시수표'!AK15,$AV$9),COUNTIF('1.연간시수표'!AK15,$AV$7)),$AV$6,IF(OR(COUNTIF('1.연간시수표'!AK15,$AW$9),COUNTIF('1.연간시수표'!AK15,$AW$7)),$AW$6,IF(OR(COUNTIF('1.연간시수표'!AK15,$AX$9),COUNTIF('1.연간시수표'!AK15,$AX$7)),$AX$6,IF(OR(COUNTIF('1.연간시수표'!AK15,$AY$9),COUNTIF('1.연간시수표'!AK15,$AY$7)),$AY$6,IF(OR(COUNTIF('1.연간시수표'!AK15,$AZ$9),COUNTIF('1.연간시수표'!AK15,$AZ$7)),$AZ$6,IF(OR(COUNTIF('1.연간시수표'!AK15,$BA$9),COUNTIF('1.연간시수표'!AK15,$BA$7)),$BA$6,IF(OR(COUNTIF('1.연간시수표'!AK15,$BB$9),COUNTIF('1.연간시수표'!AK15,$BB$7)),$BB$6,IF(OR(COUNTIF('1.연간시수표'!AK15,$BC$9),COUNTIF('1.연간시수표'!AK15,$BC$7)),$BC$6,IF(OR(COUNTIF('1.연간시수표'!AK15,$BF$9),COUNTIF('1.연간시수표'!AK15,$BF$7),COUNTIF('1.연간시수표'!AK15,$BG$9),COUNTIF('1.연간시수표'!AK15,$BG$7),COUNTIF('1.연간시수표'!AK15,$BH$9),COUNTIF('1.연간시수표'!AK15,$BH$7),COUNTIF('1.연간시수표'!AK15,$BI$9),COUNTIF('1.연간시수표'!AK15,$BI$7),COUNTIF('1.연간시수표'!AK15,$BJ$9),COUNTIF('1.연간시수표'!AK15,$BJ$7),COUNTIF('1.연간시수표'!AK15,$BK$9),COUNTIF('1.연간시수표'!AK15,$BK$7),COUNTIF('1.연간시수표'!AK15,$BL$9),COUNTIF('1.연간시수표'!AK15,$BL$7),COUNTIF('1.연간시수표'!AK15,$BM$9),COUNTIF('1.연간시수표'!AK15,$BM$7)),$BF$6,IF(OR(COUNTIF('1.연간시수표'!AK15,$BO$9),COUNTIF('1.연간시수표'!AK15,$BO$7)),$BO$6,IF(OR(COUNTIF('1.연간시수표'!AK15,$BP$9),COUNTIF('1.연간시수표'!AK15,$BP$7)),$BP$6,IF(OR(COUNTIF('1.연간시수표'!AK15,$BQ$9),COUNTIF('1.연간시수표'!AK15,$BQ$7)),$BQ$6,IF(OR(COUNTIF('1.연간시수표'!AK15,$BR$9),COUNTIF('1.연간시수표'!AK15,$BR$7)),$BR$6,"_")))))))))))))))</f>
        <v>자율활동</v>
      </c>
      <c r="AL15" s="148" t="str">
        <f>IF(OR(COUNTIF('1.연간시수표'!AL15,$AT$9),COUNTIF('1.연간시수표'!AL15,$AT$7)),$AT$6,IF(OR(COUNTIF('1.연간시수표'!AL15,$AU$9),COUNTIF('1.연간시수표'!AL15,$AU$7)),$AU$6,IF(OR(COUNTIF('1.연간시수표'!AL15,$AV$9),COUNTIF('1.연간시수표'!AL15,$AV$7)),$AV$6,IF(OR(COUNTIF('1.연간시수표'!AL15,$AW$9),COUNTIF('1.연간시수표'!AL15,$AW$7)),$AW$6,IF(OR(COUNTIF('1.연간시수표'!AL15,$AX$9),COUNTIF('1.연간시수표'!AL15,$AX$7)),$AX$6,IF(OR(COUNTIF('1.연간시수표'!AL15,$AY$9),COUNTIF('1.연간시수표'!AL15,$AY$7)),$AY$6,IF(OR(COUNTIF('1.연간시수표'!AL15,$AZ$9),COUNTIF('1.연간시수표'!AL15,$AZ$7)),$AZ$6,IF(OR(COUNTIF('1.연간시수표'!AL15,$BA$9),COUNTIF('1.연간시수표'!AL15,$BA$7)),$BA$6,IF(OR(COUNTIF('1.연간시수표'!AL15,$BB$9),COUNTIF('1.연간시수표'!AL15,$BB$7)),$BB$6,IF(OR(COUNTIF('1.연간시수표'!AL15,$BC$9),COUNTIF('1.연간시수표'!AL15,$BC$7)),$BC$6,IF(OR(COUNTIF('1.연간시수표'!AL15,$BF$9),COUNTIF('1.연간시수표'!AL15,$BF$7),COUNTIF('1.연간시수표'!AL15,$BG$9),COUNTIF('1.연간시수표'!AL15,$BG$7),COUNTIF('1.연간시수표'!AL15,$BH$9),COUNTIF('1.연간시수표'!AL15,$BH$7),COUNTIF('1.연간시수표'!AL15,$BI$9),COUNTIF('1.연간시수표'!AL15,$BI$7),COUNTIF('1.연간시수표'!AL15,$BJ$9),COUNTIF('1.연간시수표'!AL15,$BJ$7),COUNTIF('1.연간시수표'!AL15,$BK$9),COUNTIF('1.연간시수표'!AL15,$BK$7),COUNTIF('1.연간시수표'!AL15,$BL$9),COUNTIF('1.연간시수표'!AL15,$BL$7),COUNTIF('1.연간시수표'!AL15,$BM$9),COUNTIF('1.연간시수표'!AL15,$BM$7)),$BF$6,IF(OR(COUNTIF('1.연간시수표'!AL15,$BO$9),COUNTIF('1.연간시수표'!AL15,$BO$7)),$BO$6,IF(OR(COUNTIF('1.연간시수표'!AL15,$BP$9),COUNTIF('1.연간시수표'!AL15,$BP$7)),$BP$6,IF(OR(COUNTIF('1.연간시수표'!AL15,$BQ$9),COUNTIF('1.연간시수표'!AL15,$BQ$7)),$BQ$6,IF(OR(COUNTIF('1.연간시수표'!AL15,$BR$9),COUNTIF('1.연간시수표'!AL15,$BR$7)),$BR$6,"_")))))))))))))))</f>
        <v>체육</v>
      </c>
      <c r="AM15" s="148" t="str">
        <f>IF(OR(COUNTIF('1.연간시수표'!AM15,$AT$9),COUNTIF('1.연간시수표'!AM15,$AT$7)),$AT$6,IF(OR(COUNTIF('1.연간시수표'!AM15,$AU$9),COUNTIF('1.연간시수표'!AM15,$AU$7)),$AU$6,IF(OR(COUNTIF('1.연간시수표'!AM15,$AV$9),COUNTIF('1.연간시수표'!AM15,$AV$7)),$AV$6,IF(OR(COUNTIF('1.연간시수표'!AM15,$AW$9),COUNTIF('1.연간시수표'!AM15,$AW$7)),$AW$6,IF(OR(COUNTIF('1.연간시수표'!AM15,$AX$9),COUNTIF('1.연간시수표'!AM15,$AX$7)),$AX$6,IF(OR(COUNTIF('1.연간시수표'!AM15,$AY$9),COUNTIF('1.연간시수표'!AM15,$AY$7)),$AY$6,IF(OR(COUNTIF('1.연간시수표'!AM15,$AZ$9),COUNTIF('1.연간시수표'!AM15,$AZ$7)),$AZ$6,IF(OR(COUNTIF('1.연간시수표'!AM15,$BA$9),COUNTIF('1.연간시수표'!AM15,$BA$7)),$BA$6,IF(OR(COUNTIF('1.연간시수표'!AM15,$BB$9),COUNTIF('1.연간시수표'!AM15,$BB$7)),$BB$6,IF(OR(COUNTIF('1.연간시수표'!AM15,$BC$9),COUNTIF('1.연간시수표'!AM15,$BC$7)),$BC$6,IF(OR(COUNTIF('1.연간시수표'!AM15,$BF$9),COUNTIF('1.연간시수표'!AM15,$BF$7),COUNTIF('1.연간시수표'!AM15,$BG$9),COUNTIF('1.연간시수표'!AM15,$BG$7),COUNTIF('1.연간시수표'!AM15,$BH$9),COUNTIF('1.연간시수표'!AM15,$BH$7),COUNTIF('1.연간시수표'!AM15,$BI$9),COUNTIF('1.연간시수표'!AM15,$BI$7),COUNTIF('1.연간시수표'!AM15,$BJ$9),COUNTIF('1.연간시수표'!AM15,$BJ$7),COUNTIF('1.연간시수표'!AM15,$BK$9),COUNTIF('1.연간시수표'!AM15,$BK$7),COUNTIF('1.연간시수표'!AM15,$BL$9),COUNTIF('1.연간시수표'!AM15,$BL$7),COUNTIF('1.연간시수표'!AM15,$BM$9),COUNTIF('1.연간시수표'!AM15,$BM$7)),$BF$6,IF(OR(COUNTIF('1.연간시수표'!AM15,$BO$9),COUNTIF('1.연간시수표'!AM15,$BO$7)),$BO$6,IF(OR(COUNTIF('1.연간시수표'!AM15,$BP$9),COUNTIF('1.연간시수표'!AM15,$BP$7)),$BP$6,IF(OR(COUNTIF('1.연간시수표'!AM15,$BQ$9),COUNTIF('1.연간시수표'!AM15,$BQ$7)),$BQ$6,IF(OR(COUNTIF('1.연간시수표'!AM15,$BR$9),COUNTIF('1.연간시수표'!AM15,$BR$7)),$BR$6,"_")))))))))))))))</f>
        <v>수학</v>
      </c>
      <c r="AN15" s="148" t="str">
        <f>IF(OR(COUNTIF('1.연간시수표'!AN15,$AT$9),COUNTIF('1.연간시수표'!AN15,$AT$7)),$AT$6,IF(OR(COUNTIF('1.연간시수표'!AN15,$AU$9),COUNTIF('1.연간시수표'!AN15,$AU$7)),$AU$6,IF(OR(COUNTIF('1.연간시수표'!AN15,$AV$9),COUNTIF('1.연간시수표'!AN15,$AV$7)),$AV$6,IF(OR(COUNTIF('1.연간시수표'!AN15,$AW$9),COUNTIF('1.연간시수표'!AN15,$AW$7)),$AW$6,IF(OR(COUNTIF('1.연간시수표'!AN15,$AX$9),COUNTIF('1.연간시수표'!AN15,$AX$7)),$AX$6,IF(OR(COUNTIF('1.연간시수표'!AN15,$AY$9),COUNTIF('1.연간시수표'!AN15,$AY$7)),$AY$6,IF(OR(COUNTIF('1.연간시수표'!AN15,$AZ$9),COUNTIF('1.연간시수표'!AN15,$AZ$7)),$AZ$6,IF(OR(COUNTIF('1.연간시수표'!AN15,$BA$9),COUNTIF('1.연간시수표'!AN15,$BA$7)),$BA$6,IF(OR(COUNTIF('1.연간시수표'!AN15,$BB$9),COUNTIF('1.연간시수표'!AN15,$BB$7)),$BB$6,IF(OR(COUNTIF('1.연간시수표'!AN15,$BC$9),COUNTIF('1.연간시수표'!AN15,$BC$7)),$BC$6,IF(OR(COUNTIF('1.연간시수표'!AN15,$BF$9),COUNTIF('1.연간시수표'!AN15,$BF$7),COUNTIF('1.연간시수표'!AN15,$BG$9),COUNTIF('1.연간시수표'!AN15,$BG$7),COUNTIF('1.연간시수표'!AN15,$BH$9),COUNTIF('1.연간시수표'!AN15,$BH$7),COUNTIF('1.연간시수표'!AN15,$BI$9),COUNTIF('1.연간시수표'!AN15,$BI$7),COUNTIF('1.연간시수표'!AN15,$BJ$9),COUNTIF('1.연간시수표'!AN15,$BJ$7),COUNTIF('1.연간시수표'!AN15,$BK$9),COUNTIF('1.연간시수표'!AN15,$BK$7),COUNTIF('1.연간시수표'!AN15,$BL$9),COUNTIF('1.연간시수표'!AN15,$BL$7),COUNTIF('1.연간시수표'!AN15,$BM$9),COUNTIF('1.연간시수표'!AN15,$BM$7)),$BF$6,IF(OR(COUNTIF('1.연간시수표'!AN15,$BO$9),COUNTIF('1.연간시수표'!AN15,$BO$7)),$BO$6,IF(OR(COUNTIF('1.연간시수표'!AN15,$BP$9),COUNTIF('1.연간시수표'!AN15,$BP$7)),$BP$6,IF(OR(COUNTIF('1.연간시수표'!AN15,$BQ$9),COUNTIF('1.연간시수표'!AN15,$BQ$7)),$BQ$6,IF(OR(COUNTIF('1.연간시수표'!AN15,$BR$9),COUNTIF('1.연간시수표'!AN15,$BR$7)),$BR$6,"_")))))))))))))))</f>
        <v>국어</v>
      </c>
      <c r="AO15" s="148" t="str">
        <f>IF(OR(COUNTIF('1.연간시수표'!AO15,$AT$9),COUNTIF('1.연간시수표'!AO15,$AT$7)),$AT$6,IF(OR(COUNTIF('1.연간시수표'!AO15,$AU$9),COUNTIF('1.연간시수표'!AO15,$AU$7)),$AU$6,IF(OR(COUNTIF('1.연간시수표'!AO15,$AV$9),COUNTIF('1.연간시수표'!AO15,$AV$7)),$AV$6,IF(OR(COUNTIF('1.연간시수표'!AO15,$AW$9),COUNTIF('1.연간시수표'!AO15,$AW$7)),$AW$6,IF(OR(COUNTIF('1.연간시수표'!AO15,$AX$9),COUNTIF('1.연간시수표'!AO15,$AX$7)),$AX$6,IF(OR(COUNTIF('1.연간시수표'!AO15,$AY$9),COUNTIF('1.연간시수표'!AO15,$AY$7)),$AY$6,IF(OR(COUNTIF('1.연간시수표'!AO15,$AZ$9),COUNTIF('1.연간시수표'!AO15,$AZ$7)),$AZ$6,IF(OR(COUNTIF('1.연간시수표'!AO15,$BA$9),COUNTIF('1.연간시수표'!AO15,$BA$7)),$BA$6,IF(OR(COUNTIF('1.연간시수표'!AO15,$BB$9),COUNTIF('1.연간시수표'!AO15,$BB$7)),$BB$6,IF(OR(COUNTIF('1.연간시수표'!AO15,$BC$9),COUNTIF('1.연간시수표'!AO15,$BC$7)),$BC$6,IF(OR(COUNTIF('1.연간시수표'!AO15,$BF$9),COUNTIF('1.연간시수표'!AO15,$BF$7),COUNTIF('1.연간시수표'!AO15,$BG$9),COUNTIF('1.연간시수표'!AO15,$BG$7),COUNTIF('1.연간시수표'!AO15,$BH$9),COUNTIF('1.연간시수표'!AO15,$BH$7),COUNTIF('1.연간시수표'!AO15,$BI$9),COUNTIF('1.연간시수표'!AO15,$BI$7),COUNTIF('1.연간시수표'!AO15,$BJ$9),COUNTIF('1.연간시수표'!AO15,$BJ$7),COUNTIF('1.연간시수표'!AO15,$BK$9),COUNTIF('1.연간시수표'!AO15,$BK$7),COUNTIF('1.연간시수표'!AO15,$BL$9),COUNTIF('1.연간시수표'!AO15,$BL$7),COUNTIF('1.연간시수표'!AO15,$BM$9),COUNTIF('1.연간시수표'!AO15,$BM$7)),$BF$6,IF(OR(COUNTIF('1.연간시수표'!AO15,$BO$9),COUNTIF('1.연간시수표'!AO15,$BO$7)),$BO$6,IF(OR(COUNTIF('1.연간시수표'!AO15,$BP$9),COUNTIF('1.연간시수표'!AO15,$BP$7)),$BP$6,IF(OR(COUNTIF('1.연간시수표'!AO15,$BQ$9),COUNTIF('1.연간시수표'!AO15,$BQ$7)),$BQ$6,IF(OR(COUNTIF('1.연간시수표'!AO15,$BR$9),COUNTIF('1.연간시수표'!AO15,$BR$7)),$BR$6,"_")))))))))))))))</f>
        <v>사회</v>
      </c>
      <c r="AP15" s="148" t="str">
        <f>IF(OR(COUNTIF('1.연간시수표'!AP15,$AT$9),COUNTIF('1.연간시수표'!AP15,$AT$7)),$AT$6,IF(OR(COUNTIF('1.연간시수표'!AP15,$AU$9),COUNTIF('1.연간시수표'!AP15,$AU$7)),$AU$6,IF(OR(COUNTIF('1.연간시수표'!AP15,$AV$9),COUNTIF('1.연간시수표'!AP15,$AV$7)),$AV$6,IF(OR(COUNTIF('1.연간시수표'!AP15,$AW$9),COUNTIF('1.연간시수표'!AP15,$AW$7)),$AW$6,IF(OR(COUNTIF('1.연간시수표'!AP15,$AX$9),COUNTIF('1.연간시수표'!AP15,$AX$7)),$AX$6,IF(OR(COUNTIF('1.연간시수표'!AP15,$AY$9),COUNTIF('1.연간시수표'!AP15,$AY$7)),$AY$6,IF(OR(COUNTIF('1.연간시수표'!AP15,$AZ$9),COUNTIF('1.연간시수표'!AP15,$AZ$7)),$AZ$6,IF(OR(COUNTIF('1.연간시수표'!AP15,$BA$9),COUNTIF('1.연간시수표'!AP15,$BA$7)),$BA$6,IF(OR(COUNTIF('1.연간시수표'!AP15,$BB$9),COUNTIF('1.연간시수표'!AP15,$BB$7)),$BB$6,IF(OR(COUNTIF('1.연간시수표'!AP15,$BC$9),COUNTIF('1.연간시수표'!AP15,$BC$7)),$BC$6,IF(OR(COUNTIF('1.연간시수표'!AP15,$BF$9),COUNTIF('1.연간시수표'!AP15,$BF$7),COUNTIF('1.연간시수표'!AP15,$BG$9),COUNTIF('1.연간시수표'!AP15,$BG$7),COUNTIF('1.연간시수표'!AP15,$BH$9),COUNTIF('1.연간시수표'!AP15,$BH$7),COUNTIF('1.연간시수표'!AP15,$BI$9),COUNTIF('1.연간시수표'!AP15,$BI$7),COUNTIF('1.연간시수표'!AP15,$BJ$9),COUNTIF('1.연간시수표'!AP15,$BJ$7),COUNTIF('1.연간시수표'!AP15,$BK$9),COUNTIF('1.연간시수표'!AP15,$BK$7),COUNTIF('1.연간시수표'!AP15,$BL$9),COUNTIF('1.연간시수표'!AP15,$BL$7),COUNTIF('1.연간시수표'!AP15,$BM$9),COUNTIF('1.연간시수표'!AP15,$BM$7)),$BF$6,IF(OR(COUNTIF('1.연간시수표'!AP15,$BO$9),COUNTIF('1.연간시수표'!AP15,$BO$7)),$BO$6,IF(OR(COUNTIF('1.연간시수표'!AP15,$BP$9),COUNTIF('1.연간시수표'!AP15,$BP$7)),$BP$6,IF(OR(COUNTIF('1.연간시수표'!AP15,$BQ$9),COUNTIF('1.연간시수표'!AP15,$BQ$7)),$BQ$6,IF(OR(COUNTIF('1.연간시수표'!AP15,$BR$9),COUNTIF('1.연간시수표'!AP15,$BR$7)),$BR$6,"_")))))))))))))))</f>
        <v>실과</v>
      </c>
      <c r="AQ15" s="148" t="str">
        <f>IF(OR(COUNTIF('1.연간시수표'!AQ15,$AT$9),COUNTIF('1.연간시수표'!AQ15,$AT$7)),$AT$6,IF(OR(COUNTIF('1.연간시수표'!AQ15,$AU$9),COUNTIF('1.연간시수표'!AQ15,$AU$7)),$AU$6,IF(OR(COUNTIF('1.연간시수표'!AQ15,$AV$9),COUNTIF('1.연간시수표'!AQ15,$AV$7)),$AV$6,IF(OR(COUNTIF('1.연간시수표'!AQ15,$AW$9),COUNTIF('1.연간시수표'!AQ15,$AW$7)),$AW$6,IF(OR(COUNTIF('1.연간시수표'!AQ15,$AX$9),COUNTIF('1.연간시수표'!AQ15,$AX$7)),$AX$6,IF(OR(COUNTIF('1.연간시수표'!AQ15,$AY$9),COUNTIF('1.연간시수표'!AQ15,$AY$7)),$AY$6,IF(OR(COUNTIF('1.연간시수표'!AQ15,$AZ$9),COUNTIF('1.연간시수표'!AQ15,$AZ$7)),$AZ$6,IF(OR(COUNTIF('1.연간시수표'!AQ15,$BA$9),COUNTIF('1.연간시수표'!AQ15,$BA$7)),$BA$6,IF(OR(COUNTIF('1.연간시수표'!AQ15,$BB$9),COUNTIF('1.연간시수표'!AQ15,$BB$7)),$BB$6,IF(OR(COUNTIF('1.연간시수표'!AQ15,$BC$9),COUNTIF('1.연간시수표'!AQ15,$BC$7)),$BC$6,IF(OR(COUNTIF('1.연간시수표'!AQ15,$BF$9),COUNTIF('1.연간시수표'!AQ15,$BF$7),COUNTIF('1.연간시수표'!AQ15,$BG$9),COUNTIF('1.연간시수표'!AQ15,$BG$7),COUNTIF('1.연간시수표'!AQ15,$BH$9),COUNTIF('1.연간시수표'!AQ15,$BH$7),COUNTIF('1.연간시수표'!AQ15,$BI$9),COUNTIF('1.연간시수표'!AQ15,$BI$7),COUNTIF('1.연간시수표'!AQ15,$BJ$9),COUNTIF('1.연간시수표'!AQ15,$BJ$7),COUNTIF('1.연간시수표'!AQ15,$BK$9),COUNTIF('1.연간시수표'!AQ15,$BK$7),COUNTIF('1.연간시수표'!AQ15,$BL$9),COUNTIF('1.연간시수표'!AQ15,$BL$7),COUNTIF('1.연간시수표'!AQ15,$BM$9),COUNTIF('1.연간시수표'!AQ15,$BM$7)),$BF$6,IF(OR(COUNTIF('1.연간시수표'!AQ15,$BO$9),COUNTIF('1.연간시수표'!AQ15,$BO$7)),$BO$6,IF(OR(COUNTIF('1.연간시수표'!AQ15,$BP$9),COUNTIF('1.연간시수표'!AQ15,$BP$7)),$BP$6,IF(OR(COUNTIF('1.연간시수표'!AQ15,$BQ$9),COUNTIF('1.연간시수표'!AQ15,$BQ$7)),$BQ$6,IF(OR(COUNTIF('1.연간시수표'!AQ15,$BR$9),COUNTIF('1.연간시수표'!AQ15,$BR$7)),$BR$6,"_")))))))))))))))</f>
        <v>_</v>
      </c>
      <c r="AR15" s="148" t="str">
        <f>IF(OR(COUNTIF('1.연간시수표'!AR15,$AT$9),COUNTIF('1.연간시수표'!AR15,$AT$7)),$AT$6,IF(OR(COUNTIF('1.연간시수표'!AR15,$AU$9),COUNTIF('1.연간시수표'!AR15,$AU$7)),$AU$6,IF(OR(COUNTIF('1.연간시수표'!AR15,$AV$9),COUNTIF('1.연간시수표'!AR15,$AV$7)),$AV$6,IF(OR(COUNTIF('1.연간시수표'!AR15,$AW$9),COUNTIF('1.연간시수표'!AR15,$AW$7)),$AW$6,IF(OR(COUNTIF('1.연간시수표'!AR15,$AX$9),COUNTIF('1.연간시수표'!AR15,$AX$7)),$AX$6,IF(OR(COUNTIF('1.연간시수표'!AR15,$AY$9),COUNTIF('1.연간시수표'!AR15,$AY$7)),$AY$6,IF(OR(COUNTIF('1.연간시수표'!AR15,$AZ$9),COUNTIF('1.연간시수표'!AR15,$AZ$7)),$AZ$6,IF(OR(COUNTIF('1.연간시수표'!AR15,$BA$9),COUNTIF('1.연간시수표'!AR15,$BA$7)),$BA$6,IF(OR(COUNTIF('1.연간시수표'!AR15,$BB$9),COUNTIF('1.연간시수표'!AR15,$BB$7)),$BB$6,IF(OR(COUNTIF('1.연간시수표'!AR15,$BC$9),COUNTIF('1.연간시수표'!AR15,$BC$7)),$BC$6,IF(OR(COUNTIF('1.연간시수표'!AR15,$BF$9),COUNTIF('1.연간시수표'!AR15,$BF$7),COUNTIF('1.연간시수표'!AR15,$BG$9),COUNTIF('1.연간시수표'!AR15,$BG$7),COUNTIF('1.연간시수표'!AR15,$BH$9),COUNTIF('1.연간시수표'!AR15,$BH$7),COUNTIF('1.연간시수표'!AR15,$BI$9),COUNTIF('1.연간시수표'!AR15,$BI$7),COUNTIF('1.연간시수표'!AR15,$BJ$9),COUNTIF('1.연간시수표'!AR15,$BJ$7),COUNTIF('1.연간시수표'!AR15,$BK$9),COUNTIF('1.연간시수표'!AR15,$BK$7),COUNTIF('1.연간시수표'!AR15,$BL$9),COUNTIF('1.연간시수표'!AR15,$BL$7),COUNTIF('1.연간시수표'!AR15,$BM$9),COUNTIF('1.연간시수표'!AR15,$BM$7)),$BF$6,IF(OR(COUNTIF('1.연간시수표'!AR15,$BO$9),COUNTIF('1.연간시수표'!AR15,$BO$7)),$BO$6,IF(OR(COUNTIF('1.연간시수표'!AR15,$BP$9),COUNTIF('1.연간시수표'!AR15,$BP$7)),$BP$6,IF(OR(COUNTIF('1.연간시수표'!AR15,$BQ$9),COUNTIF('1.연간시수표'!AR15,$BQ$7)),$BQ$6,IF(OR(COUNTIF('1.연간시수표'!AR15,$BR$9),COUNTIF('1.연간시수표'!AR15,$BR$7)),$BR$6,"_")))))))))))))))</f>
        <v>_</v>
      </c>
      <c r="BU15" s="142" t="str">
        <f>AV6</f>
        <v>도덕</v>
      </c>
      <c r="BV15" s="142" t="str">
        <f t="shared" si="0"/>
        <v>도덕</v>
      </c>
    </row>
    <row r="16" spans="2:74">
      <c r="B16" s="6"/>
      <c r="C16" s="79">
        <f>'1.연간시수표'!C16</f>
        <v>7</v>
      </c>
      <c r="D16" s="3"/>
      <c r="E16" s="148" t="str">
        <f>IF(OR(COUNTIF('1.연간시수표'!E16,$AT$9),COUNTIF('1.연간시수표'!E16,$AT$7)),$AT$6,IF(OR(COUNTIF('1.연간시수표'!E16,$AU$9),COUNTIF('1.연간시수표'!E16,$AU$7)),$AU$6,IF(OR(COUNTIF('1.연간시수표'!E16,$AV$9),COUNTIF('1.연간시수표'!E16,$AV$7)),$AV$6,IF(OR(COUNTIF('1.연간시수표'!E16,$AW$9),COUNTIF('1.연간시수표'!E16,$AW$7)),$AW$6,IF(OR(COUNTIF('1.연간시수표'!E16,$AX$9),COUNTIF('1.연간시수표'!E16,$AX$7)),$AX$6,IF(OR(COUNTIF('1.연간시수표'!E16,$AY$9),COUNTIF('1.연간시수표'!E16,$AY$7)),$AY$6,IF(OR(COUNTIF('1.연간시수표'!E16,$AZ$9),COUNTIF('1.연간시수표'!E16,$AZ$7)),$AZ$6,IF(OR(COUNTIF('1.연간시수표'!E16,$BA$9),COUNTIF('1.연간시수표'!E16,$BA$7)),$BA$6,IF(OR(COUNTIF('1.연간시수표'!E16,$BB$9),COUNTIF('1.연간시수표'!E16,$BB$7)),$BB$6,IF(OR(COUNTIF('1.연간시수표'!E16,$BC$9),COUNTIF('1.연간시수표'!E16,$BC$7)),$BC$6,IF(OR(COUNTIF('1.연간시수표'!E16,$BF$9),COUNTIF('1.연간시수표'!E16,$BF$7),COUNTIF('1.연간시수표'!E16,$BG$9),COUNTIF('1.연간시수표'!E16,$BG$7),COUNTIF('1.연간시수표'!E16,$BH$9),COUNTIF('1.연간시수표'!E16,$BH$7),COUNTIF('1.연간시수표'!E16,$BI$9),COUNTIF('1.연간시수표'!E16,$BI$7),COUNTIF('1.연간시수표'!E16,$BJ$9),COUNTIF('1.연간시수표'!E16,$BJ$7),COUNTIF('1.연간시수표'!E16,$BK$9),COUNTIF('1.연간시수표'!E16,$BK$7),COUNTIF('1.연간시수표'!E16,$BL$9),COUNTIF('1.연간시수표'!E16,$BL$7),COUNTIF('1.연간시수표'!E16,$BM$9),COUNTIF('1.연간시수표'!E16,$BM$7)),$BF$6,IF(OR(COUNTIF('1.연간시수표'!E16,$BO$9),COUNTIF('1.연간시수표'!E16,$BO$7)),$BO$6,IF(OR(COUNTIF('1.연간시수표'!E16,$BP$9),COUNTIF('1.연간시수표'!E16,$BP$7)),$BP$6,IF(OR(COUNTIF('1.연간시수표'!E16,$BQ$9),COUNTIF('1.연간시수표'!E16,$BQ$7)),$BQ$6,IF(OR(COUNTIF('1.연간시수표'!E16,$BR$9),COUNTIF('1.연간시수표'!E16,$BR$7)),$BR$6,"_")))))))))))))))</f>
        <v>국어</v>
      </c>
      <c r="F16" s="148" t="str">
        <f>IF(OR(COUNTIF('1.연간시수표'!F16,$AT$9),COUNTIF('1.연간시수표'!F16,$AT$7)),$AT$6,IF(OR(COUNTIF('1.연간시수표'!F16,$AU$9),COUNTIF('1.연간시수표'!F16,$AU$7)),$AU$6,IF(OR(COUNTIF('1.연간시수표'!F16,$AV$9),COUNTIF('1.연간시수표'!F16,$AV$7)),$AV$6,IF(OR(COUNTIF('1.연간시수표'!F16,$AW$9),COUNTIF('1.연간시수표'!F16,$AW$7)),$AW$6,IF(OR(COUNTIF('1.연간시수표'!F16,$AX$9),COUNTIF('1.연간시수표'!F16,$AX$7)),$AX$6,IF(OR(COUNTIF('1.연간시수표'!F16,$AY$9),COUNTIF('1.연간시수표'!F16,$AY$7)),$AY$6,IF(OR(COUNTIF('1.연간시수표'!F16,$AZ$9),COUNTIF('1.연간시수표'!F16,$AZ$7)),$AZ$6,IF(OR(COUNTIF('1.연간시수표'!F16,$BA$9),COUNTIF('1.연간시수표'!F16,$BA$7)),$BA$6,IF(OR(COUNTIF('1.연간시수표'!F16,$BB$9),COUNTIF('1.연간시수표'!F16,$BB$7)),$BB$6,IF(OR(COUNTIF('1.연간시수표'!F16,$BC$9),COUNTIF('1.연간시수표'!F16,$BC$7)),$BC$6,IF(OR(COUNTIF('1.연간시수표'!F16,$BF$9),COUNTIF('1.연간시수표'!F16,$BF$7),COUNTIF('1.연간시수표'!F16,$BG$9),COUNTIF('1.연간시수표'!F16,$BG$7),COUNTIF('1.연간시수표'!F16,$BH$9),COUNTIF('1.연간시수표'!F16,$BH$7),COUNTIF('1.연간시수표'!F16,$BI$9),COUNTIF('1.연간시수표'!F16,$BI$7),COUNTIF('1.연간시수표'!F16,$BJ$9),COUNTIF('1.연간시수표'!F16,$BJ$7),COUNTIF('1.연간시수표'!F16,$BK$9),COUNTIF('1.연간시수표'!F16,$BK$7),COUNTIF('1.연간시수표'!F16,$BL$9),COUNTIF('1.연간시수표'!F16,$BL$7),COUNTIF('1.연간시수표'!F16,$BM$9),COUNTIF('1.연간시수표'!F16,$BM$7)),$BF$6,IF(OR(COUNTIF('1.연간시수표'!F16,$BO$9),COUNTIF('1.연간시수표'!F16,$BO$7)),$BO$6,IF(OR(COUNTIF('1.연간시수표'!F16,$BP$9),COUNTIF('1.연간시수표'!F16,$BP$7)),$BP$6,IF(OR(COUNTIF('1.연간시수표'!F16,$BQ$9),COUNTIF('1.연간시수표'!F16,$BQ$7)),$BQ$6,IF(OR(COUNTIF('1.연간시수표'!F16,$BR$9),COUNTIF('1.연간시수표'!F16,$BR$7)),$BR$6,"_")))))))))))))))</f>
        <v>미술</v>
      </c>
      <c r="G16" s="148" t="str">
        <f>IF(OR(COUNTIF('1.연간시수표'!G16,$AT$9),COUNTIF('1.연간시수표'!G16,$AT$7)),$AT$6,IF(OR(COUNTIF('1.연간시수표'!G16,$AU$9),COUNTIF('1.연간시수표'!G16,$AU$7)),$AU$6,IF(OR(COUNTIF('1.연간시수표'!G16,$AV$9),COUNTIF('1.연간시수표'!G16,$AV$7)),$AV$6,IF(OR(COUNTIF('1.연간시수표'!G16,$AW$9),COUNTIF('1.연간시수표'!G16,$AW$7)),$AW$6,IF(OR(COUNTIF('1.연간시수표'!G16,$AX$9),COUNTIF('1.연간시수표'!G16,$AX$7)),$AX$6,IF(OR(COUNTIF('1.연간시수표'!G16,$AY$9),COUNTIF('1.연간시수표'!G16,$AY$7)),$AY$6,IF(OR(COUNTIF('1.연간시수표'!G16,$AZ$9),COUNTIF('1.연간시수표'!G16,$AZ$7)),$AZ$6,IF(OR(COUNTIF('1.연간시수표'!G16,$BA$9),COUNTIF('1.연간시수표'!G16,$BA$7)),$BA$6,IF(OR(COUNTIF('1.연간시수표'!G16,$BB$9),COUNTIF('1.연간시수표'!G16,$BB$7)),$BB$6,IF(OR(COUNTIF('1.연간시수표'!G16,$BC$9),COUNTIF('1.연간시수표'!G16,$BC$7)),$BC$6,IF(OR(COUNTIF('1.연간시수표'!G16,$BF$9),COUNTIF('1.연간시수표'!G16,$BF$7),COUNTIF('1.연간시수표'!G16,$BG$9),COUNTIF('1.연간시수표'!G16,$BG$7),COUNTIF('1.연간시수표'!G16,$BH$9),COUNTIF('1.연간시수표'!G16,$BH$7),COUNTIF('1.연간시수표'!G16,$BI$9),COUNTIF('1.연간시수표'!G16,$BI$7),COUNTIF('1.연간시수표'!G16,$BJ$9),COUNTIF('1.연간시수표'!G16,$BJ$7),COUNTIF('1.연간시수표'!G16,$BK$9),COUNTIF('1.연간시수표'!G16,$BK$7),COUNTIF('1.연간시수표'!G16,$BL$9),COUNTIF('1.연간시수표'!G16,$BL$7),COUNTIF('1.연간시수표'!G16,$BM$9),COUNTIF('1.연간시수표'!G16,$BM$7)),$BF$6,IF(OR(COUNTIF('1.연간시수표'!G16,$BO$9),COUNTIF('1.연간시수표'!G16,$BO$7)),$BO$6,IF(OR(COUNTIF('1.연간시수표'!G16,$BP$9),COUNTIF('1.연간시수표'!G16,$BP$7)),$BP$6,IF(OR(COUNTIF('1.연간시수표'!G16,$BQ$9),COUNTIF('1.연간시수표'!G16,$BQ$7)),$BQ$6,IF(OR(COUNTIF('1.연간시수표'!G16,$BR$9),COUNTIF('1.연간시수표'!G16,$BR$7)),$BR$6,"_")))))))))))))))</f>
        <v>미술</v>
      </c>
      <c r="H16" s="148" t="str">
        <f>IF(OR(COUNTIF('1.연간시수표'!H16,$AT$9),COUNTIF('1.연간시수표'!H16,$AT$7)),$AT$6,IF(OR(COUNTIF('1.연간시수표'!H16,$AU$9),COUNTIF('1.연간시수표'!H16,$AU$7)),$AU$6,IF(OR(COUNTIF('1.연간시수표'!H16,$AV$9),COUNTIF('1.연간시수표'!H16,$AV$7)),$AV$6,IF(OR(COUNTIF('1.연간시수표'!H16,$AW$9),COUNTIF('1.연간시수표'!H16,$AW$7)),$AW$6,IF(OR(COUNTIF('1.연간시수표'!H16,$AX$9),COUNTIF('1.연간시수표'!H16,$AX$7)),$AX$6,IF(OR(COUNTIF('1.연간시수표'!H16,$AY$9),COUNTIF('1.연간시수표'!H16,$AY$7)),$AY$6,IF(OR(COUNTIF('1.연간시수표'!H16,$AZ$9),COUNTIF('1.연간시수표'!H16,$AZ$7)),$AZ$6,IF(OR(COUNTIF('1.연간시수표'!H16,$BA$9),COUNTIF('1.연간시수표'!H16,$BA$7)),$BA$6,IF(OR(COUNTIF('1.연간시수표'!H16,$BB$9),COUNTIF('1.연간시수표'!H16,$BB$7)),$BB$6,IF(OR(COUNTIF('1.연간시수표'!H16,$BC$9),COUNTIF('1.연간시수표'!H16,$BC$7)),$BC$6,IF(OR(COUNTIF('1.연간시수표'!H16,$BF$9),COUNTIF('1.연간시수표'!H16,$BF$7),COUNTIF('1.연간시수표'!H16,$BG$9),COUNTIF('1.연간시수표'!H16,$BG$7),COUNTIF('1.연간시수표'!H16,$BH$9),COUNTIF('1.연간시수표'!H16,$BH$7),COUNTIF('1.연간시수표'!H16,$BI$9),COUNTIF('1.연간시수표'!H16,$BI$7),COUNTIF('1.연간시수표'!H16,$BJ$9),COUNTIF('1.연간시수표'!H16,$BJ$7),COUNTIF('1.연간시수표'!H16,$BK$9),COUNTIF('1.연간시수표'!H16,$BK$7),COUNTIF('1.연간시수표'!H16,$BL$9),COUNTIF('1.연간시수표'!H16,$BL$7),COUNTIF('1.연간시수표'!H16,$BM$9),COUNTIF('1.연간시수표'!H16,$BM$7)),$BF$6,IF(OR(COUNTIF('1.연간시수표'!H16,$BO$9),COUNTIF('1.연간시수표'!H16,$BO$7)),$BO$6,IF(OR(COUNTIF('1.연간시수표'!H16,$BP$9),COUNTIF('1.연간시수표'!H16,$BP$7)),$BP$6,IF(OR(COUNTIF('1.연간시수표'!H16,$BQ$9),COUNTIF('1.연간시수표'!H16,$BQ$7)),$BQ$6,IF(OR(COUNTIF('1.연간시수표'!H16,$BR$9),COUNTIF('1.연간시수표'!H16,$BR$7)),$BR$6,"_")))))))))))))))</f>
        <v>영어</v>
      </c>
      <c r="I16" s="148" t="str">
        <f>IF(OR(COUNTIF('1.연간시수표'!I16,$AT$9),COUNTIF('1.연간시수표'!I16,$AT$7)),$AT$6,IF(OR(COUNTIF('1.연간시수표'!I16,$AU$9),COUNTIF('1.연간시수표'!I16,$AU$7)),$AU$6,IF(OR(COUNTIF('1.연간시수표'!I16,$AV$9),COUNTIF('1.연간시수표'!I16,$AV$7)),$AV$6,IF(OR(COUNTIF('1.연간시수표'!I16,$AW$9),COUNTIF('1.연간시수표'!I16,$AW$7)),$AW$6,IF(OR(COUNTIF('1.연간시수표'!I16,$AX$9),COUNTIF('1.연간시수표'!I16,$AX$7)),$AX$6,IF(OR(COUNTIF('1.연간시수표'!I16,$AY$9),COUNTIF('1.연간시수표'!I16,$AY$7)),$AY$6,IF(OR(COUNTIF('1.연간시수표'!I16,$AZ$9),COUNTIF('1.연간시수표'!I16,$AZ$7)),$AZ$6,IF(OR(COUNTIF('1.연간시수표'!I16,$BA$9),COUNTIF('1.연간시수표'!I16,$BA$7)),$BA$6,IF(OR(COUNTIF('1.연간시수표'!I16,$BB$9),COUNTIF('1.연간시수표'!I16,$BB$7)),$BB$6,IF(OR(COUNTIF('1.연간시수표'!I16,$BC$9),COUNTIF('1.연간시수표'!I16,$BC$7)),$BC$6,IF(OR(COUNTIF('1.연간시수표'!I16,$BF$9),COUNTIF('1.연간시수표'!I16,$BF$7),COUNTIF('1.연간시수표'!I16,$BG$9),COUNTIF('1.연간시수표'!I16,$BG$7),COUNTIF('1.연간시수표'!I16,$BH$9),COUNTIF('1.연간시수표'!I16,$BH$7),COUNTIF('1.연간시수표'!I16,$BI$9),COUNTIF('1.연간시수표'!I16,$BI$7),COUNTIF('1.연간시수표'!I16,$BJ$9),COUNTIF('1.연간시수표'!I16,$BJ$7),COUNTIF('1.연간시수표'!I16,$BK$9),COUNTIF('1.연간시수표'!I16,$BK$7),COUNTIF('1.연간시수표'!I16,$BL$9),COUNTIF('1.연간시수표'!I16,$BL$7),COUNTIF('1.연간시수표'!I16,$BM$9),COUNTIF('1.연간시수표'!I16,$BM$7)),$BF$6,IF(OR(COUNTIF('1.연간시수표'!I16,$BO$9),COUNTIF('1.연간시수표'!I16,$BO$7)),$BO$6,IF(OR(COUNTIF('1.연간시수표'!I16,$BP$9),COUNTIF('1.연간시수표'!I16,$BP$7)),$BP$6,IF(OR(COUNTIF('1.연간시수표'!I16,$BQ$9),COUNTIF('1.연간시수표'!I16,$BQ$7)),$BQ$6,IF(OR(COUNTIF('1.연간시수표'!I16,$BR$9),COUNTIF('1.연간시수표'!I16,$BR$7)),$BR$6,"_")))))))))))))))</f>
        <v>수학</v>
      </c>
      <c r="J16" s="148" t="str">
        <f>IF(OR(COUNTIF('1.연간시수표'!J16,$AT$9),COUNTIF('1.연간시수표'!J16,$AT$7)),$AT$6,IF(OR(COUNTIF('1.연간시수표'!J16,$AU$9),COUNTIF('1.연간시수표'!J16,$AU$7)),$AU$6,IF(OR(COUNTIF('1.연간시수표'!J16,$AV$9),COUNTIF('1.연간시수표'!J16,$AV$7)),$AV$6,IF(OR(COUNTIF('1.연간시수표'!J16,$AW$9),COUNTIF('1.연간시수표'!J16,$AW$7)),$AW$6,IF(OR(COUNTIF('1.연간시수표'!J16,$AX$9),COUNTIF('1.연간시수표'!J16,$AX$7)),$AX$6,IF(OR(COUNTIF('1.연간시수표'!J16,$AY$9),COUNTIF('1.연간시수표'!J16,$AY$7)),$AY$6,IF(OR(COUNTIF('1.연간시수표'!J16,$AZ$9),COUNTIF('1.연간시수표'!J16,$AZ$7)),$AZ$6,IF(OR(COUNTIF('1.연간시수표'!J16,$BA$9),COUNTIF('1.연간시수표'!J16,$BA$7)),$BA$6,IF(OR(COUNTIF('1.연간시수표'!J16,$BB$9),COUNTIF('1.연간시수표'!J16,$BB$7)),$BB$6,IF(OR(COUNTIF('1.연간시수표'!J16,$BC$9),COUNTIF('1.연간시수표'!J16,$BC$7)),$BC$6,IF(OR(COUNTIF('1.연간시수표'!J16,$BF$9),COUNTIF('1.연간시수표'!J16,$BF$7),COUNTIF('1.연간시수표'!J16,$BG$9),COUNTIF('1.연간시수표'!J16,$BG$7),COUNTIF('1.연간시수표'!J16,$BH$9),COUNTIF('1.연간시수표'!J16,$BH$7),COUNTIF('1.연간시수표'!J16,$BI$9),COUNTIF('1.연간시수표'!J16,$BI$7),COUNTIF('1.연간시수표'!J16,$BJ$9),COUNTIF('1.연간시수표'!J16,$BJ$7),COUNTIF('1.연간시수표'!J16,$BK$9),COUNTIF('1.연간시수표'!J16,$BK$7),COUNTIF('1.연간시수표'!J16,$BL$9),COUNTIF('1.연간시수표'!J16,$BL$7),COUNTIF('1.연간시수표'!J16,$BM$9),COUNTIF('1.연간시수표'!J16,$BM$7)),$BF$6,IF(OR(COUNTIF('1.연간시수표'!J16,$BO$9),COUNTIF('1.연간시수표'!J16,$BO$7)),$BO$6,IF(OR(COUNTIF('1.연간시수표'!J16,$BP$9),COUNTIF('1.연간시수표'!J16,$BP$7)),$BP$6,IF(OR(COUNTIF('1.연간시수표'!J16,$BQ$9),COUNTIF('1.연간시수표'!J16,$BQ$7)),$BQ$6,IF(OR(COUNTIF('1.연간시수표'!J16,$BR$9),COUNTIF('1.연간시수표'!J16,$BR$7)),$BR$6,"_")))))))))))))))</f>
        <v>자율활동</v>
      </c>
      <c r="K16" s="148" t="str">
        <f>IF(OR(COUNTIF('1.연간시수표'!K16,$AT$9),COUNTIF('1.연간시수표'!K16,$AT$7)),$AT$6,IF(OR(COUNTIF('1.연간시수표'!K16,$AU$9),COUNTIF('1.연간시수표'!K16,$AU$7)),$AU$6,IF(OR(COUNTIF('1.연간시수표'!K16,$AV$9),COUNTIF('1.연간시수표'!K16,$AV$7)),$AV$6,IF(OR(COUNTIF('1.연간시수표'!K16,$AW$9),COUNTIF('1.연간시수표'!K16,$AW$7)),$AW$6,IF(OR(COUNTIF('1.연간시수표'!K16,$AX$9),COUNTIF('1.연간시수표'!K16,$AX$7)),$AX$6,IF(OR(COUNTIF('1.연간시수표'!K16,$AY$9),COUNTIF('1.연간시수표'!K16,$AY$7)),$AY$6,IF(OR(COUNTIF('1.연간시수표'!K16,$AZ$9),COUNTIF('1.연간시수표'!K16,$AZ$7)),$AZ$6,IF(OR(COUNTIF('1.연간시수표'!K16,$BA$9),COUNTIF('1.연간시수표'!K16,$BA$7)),$BA$6,IF(OR(COUNTIF('1.연간시수표'!K16,$BB$9),COUNTIF('1.연간시수표'!K16,$BB$7)),$BB$6,IF(OR(COUNTIF('1.연간시수표'!K16,$BC$9),COUNTIF('1.연간시수표'!K16,$BC$7)),$BC$6,IF(OR(COUNTIF('1.연간시수표'!K16,$BF$9),COUNTIF('1.연간시수표'!K16,$BF$7),COUNTIF('1.연간시수표'!K16,$BG$9),COUNTIF('1.연간시수표'!K16,$BG$7),COUNTIF('1.연간시수표'!K16,$BH$9),COUNTIF('1.연간시수표'!K16,$BH$7),COUNTIF('1.연간시수표'!K16,$BI$9),COUNTIF('1.연간시수표'!K16,$BI$7),COUNTIF('1.연간시수표'!K16,$BJ$9),COUNTIF('1.연간시수표'!K16,$BJ$7),COUNTIF('1.연간시수표'!K16,$BK$9),COUNTIF('1.연간시수표'!K16,$BK$7),COUNTIF('1.연간시수표'!K16,$BL$9),COUNTIF('1.연간시수표'!K16,$BL$7),COUNTIF('1.연간시수표'!K16,$BM$9),COUNTIF('1.연간시수표'!K16,$BM$7)),$BF$6,IF(OR(COUNTIF('1.연간시수표'!K16,$BO$9),COUNTIF('1.연간시수표'!K16,$BO$7)),$BO$6,IF(OR(COUNTIF('1.연간시수표'!K16,$BP$9),COUNTIF('1.연간시수표'!K16,$BP$7)),$BP$6,IF(OR(COUNTIF('1.연간시수표'!K16,$BQ$9),COUNTIF('1.연간시수표'!K16,$BQ$7)),$BQ$6,IF(OR(COUNTIF('1.연간시수표'!K16,$BR$9),COUNTIF('1.연간시수표'!K16,$BR$7)),$BR$6,"_")))))))))))))))</f>
        <v>_</v>
      </c>
      <c r="L16" s="148" t="str">
        <f>IF(OR(COUNTIF('1.연간시수표'!L16,$AT$9),COUNTIF('1.연간시수표'!L16,$AT$7)),$AT$6,IF(OR(COUNTIF('1.연간시수표'!L16,$AU$9),COUNTIF('1.연간시수표'!L16,$AU$7)),$AU$6,IF(OR(COUNTIF('1.연간시수표'!L16,$AV$9),COUNTIF('1.연간시수표'!L16,$AV$7)),$AV$6,IF(OR(COUNTIF('1.연간시수표'!L16,$AW$9),COUNTIF('1.연간시수표'!L16,$AW$7)),$AW$6,IF(OR(COUNTIF('1.연간시수표'!L16,$AX$9),COUNTIF('1.연간시수표'!L16,$AX$7)),$AX$6,IF(OR(COUNTIF('1.연간시수표'!L16,$AY$9),COUNTIF('1.연간시수표'!L16,$AY$7)),$AY$6,IF(OR(COUNTIF('1.연간시수표'!L16,$AZ$9),COUNTIF('1.연간시수표'!L16,$AZ$7)),$AZ$6,IF(OR(COUNTIF('1.연간시수표'!L16,$BA$9),COUNTIF('1.연간시수표'!L16,$BA$7)),$BA$6,IF(OR(COUNTIF('1.연간시수표'!L16,$BB$9),COUNTIF('1.연간시수표'!L16,$BB$7)),$BB$6,IF(OR(COUNTIF('1.연간시수표'!L16,$BC$9),COUNTIF('1.연간시수표'!L16,$BC$7)),$BC$6,IF(OR(COUNTIF('1.연간시수표'!L16,$BF$9),COUNTIF('1.연간시수표'!L16,$BF$7),COUNTIF('1.연간시수표'!L16,$BG$9),COUNTIF('1.연간시수표'!L16,$BG$7),COUNTIF('1.연간시수표'!L16,$BH$9),COUNTIF('1.연간시수표'!L16,$BH$7),COUNTIF('1.연간시수표'!L16,$BI$9),COUNTIF('1.연간시수표'!L16,$BI$7),COUNTIF('1.연간시수표'!L16,$BJ$9),COUNTIF('1.연간시수표'!L16,$BJ$7),COUNTIF('1.연간시수표'!L16,$BK$9),COUNTIF('1.연간시수표'!L16,$BK$7),COUNTIF('1.연간시수표'!L16,$BL$9),COUNTIF('1.연간시수표'!L16,$BL$7),COUNTIF('1.연간시수표'!L16,$BM$9),COUNTIF('1.연간시수표'!L16,$BM$7)),$BF$6,IF(OR(COUNTIF('1.연간시수표'!L16,$BO$9),COUNTIF('1.연간시수표'!L16,$BO$7)),$BO$6,IF(OR(COUNTIF('1.연간시수표'!L16,$BP$9),COUNTIF('1.연간시수표'!L16,$BP$7)),$BP$6,IF(OR(COUNTIF('1.연간시수표'!L16,$BQ$9),COUNTIF('1.연간시수표'!L16,$BQ$7)),$BQ$6,IF(OR(COUNTIF('1.연간시수표'!L16,$BR$9),COUNTIF('1.연간시수표'!L16,$BR$7)),$BR$6,"_")))))))))))))))</f>
        <v>_</v>
      </c>
      <c r="M16" s="148" t="str">
        <f>IF(OR(COUNTIF('1.연간시수표'!M16,$AT$9),COUNTIF('1.연간시수표'!M16,$AT$7)),$AT$6,IF(OR(COUNTIF('1.연간시수표'!M16,$AU$9),COUNTIF('1.연간시수표'!M16,$AU$7)),$AU$6,IF(OR(COUNTIF('1.연간시수표'!M16,$AV$9),COUNTIF('1.연간시수표'!M16,$AV$7)),$AV$6,IF(OR(COUNTIF('1.연간시수표'!M16,$AW$9),COUNTIF('1.연간시수표'!M16,$AW$7)),$AW$6,IF(OR(COUNTIF('1.연간시수표'!M16,$AX$9),COUNTIF('1.연간시수표'!M16,$AX$7)),$AX$6,IF(OR(COUNTIF('1.연간시수표'!M16,$AY$9),COUNTIF('1.연간시수표'!M16,$AY$7)),$AY$6,IF(OR(COUNTIF('1.연간시수표'!M16,$AZ$9),COUNTIF('1.연간시수표'!M16,$AZ$7)),$AZ$6,IF(OR(COUNTIF('1.연간시수표'!M16,$BA$9),COUNTIF('1.연간시수표'!M16,$BA$7)),$BA$6,IF(OR(COUNTIF('1.연간시수표'!M16,$BB$9),COUNTIF('1.연간시수표'!M16,$BB$7)),$BB$6,IF(OR(COUNTIF('1.연간시수표'!M16,$BC$9),COUNTIF('1.연간시수표'!M16,$BC$7)),$BC$6,IF(OR(COUNTIF('1.연간시수표'!M16,$BF$9),COUNTIF('1.연간시수표'!M16,$BF$7),COUNTIF('1.연간시수표'!M16,$BG$9),COUNTIF('1.연간시수표'!M16,$BG$7),COUNTIF('1.연간시수표'!M16,$BH$9),COUNTIF('1.연간시수표'!M16,$BH$7),COUNTIF('1.연간시수표'!M16,$BI$9),COUNTIF('1.연간시수표'!M16,$BI$7),COUNTIF('1.연간시수표'!M16,$BJ$9),COUNTIF('1.연간시수표'!M16,$BJ$7),COUNTIF('1.연간시수표'!M16,$BK$9),COUNTIF('1.연간시수표'!M16,$BK$7),COUNTIF('1.연간시수표'!M16,$BL$9),COUNTIF('1.연간시수표'!M16,$BL$7),COUNTIF('1.연간시수표'!M16,$BM$9),COUNTIF('1.연간시수표'!M16,$BM$7)),$BF$6,IF(OR(COUNTIF('1.연간시수표'!M16,$BO$9),COUNTIF('1.연간시수표'!M16,$BO$7)),$BO$6,IF(OR(COUNTIF('1.연간시수표'!M16,$BP$9),COUNTIF('1.연간시수표'!M16,$BP$7)),$BP$6,IF(OR(COUNTIF('1.연간시수표'!M16,$BQ$9),COUNTIF('1.연간시수표'!M16,$BQ$7)),$BQ$6,IF(OR(COUNTIF('1.연간시수표'!M16,$BR$9),COUNTIF('1.연간시수표'!M16,$BR$7)),$BR$6,"_")))))))))))))))</f>
        <v>국어</v>
      </c>
      <c r="N16" s="148" t="str">
        <f>IF(OR(COUNTIF('1.연간시수표'!N16,$AT$9),COUNTIF('1.연간시수표'!N16,$AT$7)),$AT$6,IF(OR(COUNTIF('1.연간시수표'!N16,$AU$9),COUNTIF('1.연간시수표'!N16,$AU$7)),$AU$6,IF(OR(COUNTIF('1.연간시수표'!N16,$AV$9),COUNTIF('1.연간시수표'!N16,$AV$7)),$AV$6,IF(OR(COUNTIF('1.연간시수표'!N16,$AW$9),COUNTIF('1.연간시수표'!N16,$AW$7)),$AW$6,IF(OR(COUNTIF('1.연간시수표'!N16,$AX$9),COUNTIF('1.연간시수표'!N16,$AX$7)),$AX$6,IF(OR(COUNTIF('1.연간시수표'!N16,$AY$9),COUNTIF('1.연간시수표'!N16,$AY$7)),$AY$6,IF(OR(COUNTIF('1.연간시수표'!N16,$AZ$9),COUNTIF('1.연간시수표'!N16,$AZ$7)),$AZ$6,IF(OR(COUNTIF('1.연간시수표'!N16,$BA$9),COUNTIF('1.연간시수표'!N16,$BA$7)),$BA$6,IF(OR(COUNTIF('1.연간시수표'!N16,$BB$9),COUNTIF('1.연간시수표'!N16,$BB$7)),$BB$6,IF(OR(COUNTIF('1.연간시수표'!N16,$BC$9),COUNTIF('1.연간시수표'!N16,$BC$7)),$BC$6,IF(OR(COUNTIF('1.연간시수표'!N16,$BF$9),COUNTIF('1.연간시수표'!N16,$BF$7),COUNTIF('1.연간시수표'!N16,$BG$9),COUNTIF('1.연간시수표'!N16,$BG$7),COUNTIF('1.연간시수표'!N16,$BH$9),COUNTIF('1.연간시수표'!N16,$BH$7),COUNTIF('1.연간시수표'!N16,$BI$9),COUNTIF('1.연간시수표'!N16,$BI$7),COUNTIF('1.연간시수표'!N16,$BJ$9),COUNTIF('1.연간시수표'!N16,$BJ$7),COUNTIF('1.연간시수표'!N16,$BK$9),COUNTIF('1.연간시수표'!N16,$BK$7),COUNTIF('1.연간시수표'!N16,$BL$9),COUNTIF('1.연간시수표'!N16,$BL$7),COUNTIF('1.연간시수표'!N16,$BM$9),COUNTIF('1.연간시수표'!N16,$BM$7)),$BF$6,IF(OR(COUNTIF('1.연간시수표'!N16,$BO$9),COUNTIF('1.연간시수표'!N16,$BO$7)),$BO$6,IF(OR(COUNTIF('1.연간시수표'!N16,$BP$9),COUNTIF('1.연간시수표'!N16,$BP$7)),$BP$6,IF(OR(COUNTIF('1.연간시수표'!N16,$BQ$9),COUNTIF('1.연간시수표'!N16,$BQ$7)),$BQ$6,IF(OR(COUNTIF('1.연간시수표'!N16,$BR$9),COUNTIF('1.연간시수표'!N16,$BR$7)),$BR$6,"_")))))))))))))))</f>
        <v>국어</v>
      </c>
      <c r="O16" s="148" t="str">
        <f>IF(OR(COUNTIF('1.연간시수표'!O16,$AT$9),COUNTIF('1.연간시수표'!O16,$AT$7)),$AT$6,IF(OR(COUNTIF('1.연간시수표'!O16,$AU$9),COUNTIF('1.연간시수표'!O16,$AU$7)),$AU$6,IF(OR(COUNTIF('1.연간시수표'!O16,$AV$9),COUNTIF('1.연간시수표'!O16,$AV$7)),$AV$6,IF(OR(COUNTIF('1.연간시수표'!O16,$AW$9),COUNTIF('1.연간시수표'!O16,$AW$7)),$AW$6,IF(OR(COUNTIF('1.연간시수표'!O16,$AX$9),COUNTIF('1.연간시수표'!O16,$AX$7)),$AX$6,IF(OR(COUNTIF('1.연간시수표'!O16,$AY$9),COUNTIF('1.연간시수표'!O16,$AY$7)),$AY$6,IF(OR(COUNTIF('1.연간시수표'!O16,$AZ$9),COUNTIF('1.연간시수표'!O16,$AZ$7)),$AZ$6,IF(OR(COUNTIF('1.연간시수표'!O16,$BA$9),COUNTIF('1.연간시수표'!O16,$BA$7)),$BA$6,IF(OR(COUNTIF('1.연간시수표'!O16,$BB$9),COUNTIF('1.연간시수표'!O16,$BB$7)),$BB$6,IF(OR(COUNTIF('1.연간시수표'!O16,$BC$9),COUNTIF('1.연간시수표'!O16,$BC$7)),$BC$6,IF(OR(COUNTIF('1.연간시수표'!O16,$BF$9),COUNTIF('1.연간시수표'!O16,$BF$7),COUNTIF('1.연간시수표'!O16,$BG$9),COUNTIF('1.연간시수표'!O16,$BG$7),COUNTIF('1.연간시수표'!O16,$BH$9),COUNTIF('1.연간시수표'!O16,$BH$7),COUNTIF('1.연간시수표'!O16,$BI$9),COUNTIF('1.연간시수표'!O16,$BI$7),COUNTIF('1.연간시수표'!O16,$BJ$9),COUNTIF('1.연간시수표'!O16,$BJ$7),COUNTIF('1.연간시수표'!O16,$BK$9),COUNTIF('1.연간시수표'!O16,$BK$7),COUNTIF('1.연간시수표'!O16,$BL$9),COUNTIF('1.연간시수표'!O16,$BL$7),COUNTIF('1.연간시수표'!O16,$BM$9),COUNTIF('1.연간시수표'!O16,$BM$7)),$BF$6,IF(OR(COUNTIF('1.연간시수표'!O16,$BO$9),COUNTIF('1.연간시수표'!O16,$BO$7)),$BO$6,IF(OR(COUNTIF('1.연간시수표'!O16,$BP$9),COUNTIF('1.연간시수표'!O16,$BP$7)),$BP$6,IF(OR(COUNTIF('1.연간시수표'!O16,$BQ$9),COUNTIF('1.연간시수표'!O16,$BQ$7)),$BQ$6,IF(OR(COUNTIF('1.연간시수표'!O16,$BR$9),COUNTIF('1.연간시수표'!O16,$BR$7)),$BR$6,"_")))))))))))))))</f>
        <v>사회</v>
      </c>
      <c r="P16" s="148" t="str">
        <f>IF(OR(COUNTIF('1.연간시수표'!P16,$AT$9),COUNTIF('1.연간시수표'!P16,$AT$7)),$AT$6,IF(OR(COUNTIF('1.연간시수표'!P16,$AU$9),COUNTIF('1.연간시수표'!P16,$AU$7)),$AU$6,IF(OR(COUNTIF('1.연간시수표'!P16,$AV$9),COUNTIF('1.연간시수표'!P16,$AV$7)),$AV$6,IF(OR(COUNTIF('1.연간시수표'!P16,$AW$9),COUNTIF('1.연간시수표'!P16,$AW$7)),$AW$6,IF(OR(COUNTIF('1.연간시수표'!P16,$AX$9),COUNTIF('1.연간시수표'!P16,$AX$7)),$AX$6,IF(OR(COUNTIF('1.연간시수표'!P16,$AY$9),COUNTIF('1.연간시수표'!P16,$AY$7)),$AY$6,IF(OR(COUNTIF('1.연간시수표'!P16,$AZ$9),COUNTIF('1.연간시수표'!P16,$AZ$7)),$AZ$6,IF(OR(COUNTIF('1.연간시수표'!P16,$BA$9),COUNTIF('1.연간시수표'!P16,$BA$7)),$BA$6,IF(OR(COUNTIF('1.연간시수표'!P16,$BB$9),COUNTIF('1.연간시수표'!P16,$BB$7)),$BB$6,IF(OR(COUNTIF('1.연간시수표'!P16,$BC$9),COUNTIF('1.연간시수표'!P16,$BC$7)),$BC$6,IF(OR(COUNTIF('1.연간시수표'!P16,$BF$9),COUNTIF('1.연간시수표'!P16,$BF$7),COUNTIF('1.연간시수표'!P16,$BG$9),COUNTIF('1.연간시수표'!P16,$BG$7),COUNTIF('1.연간시수표'!P16,$BH$9),COUNTIF('1.연간시수표'!P16,$BH$7),COUNTIF('1.연간시수표'!P16,$BI$9),COUNTIF('1.연간시수표'!P16,$BI$7),COUNTIF('1.연간시수표'!P16,$BJ$9),COUNTIF('1.연간시수표'!P16,$BJ$7),COUNTIF('1.연간시수표'!P16,$BK$9),COUNTIF('1.연간시수표'!P16,$BK$7),COUNTIF('1.연간시수표'!P16,$BL$9),COUNTIF('1.연간시수표'!P16,$BL$7),COUNTIF('1.연간시수표'!P16,$BM$9),COUNTIF('1.연간시수표'!P16,$BM$7)),$BF$6,IF(OR(COUNTIF('1.연간시수표'!P16,$BO$9),COUNTIF('1.연간시수표'!P16,$BO$7)),$BO$6,IF(OR(COUNTIF('1.연간시수표'!P16,$BP$9),COUNTIF('1.연간시수표'!P16,$BP$7)),$BP$6,IF(OR(COUNTIF('1.연간시수표'!P16,$BQ$9),COUNTIF('1.연간시수표'!P16,$BQ$7)),$BQ$6,IF(OR(COUNTIF('1.연간시수표'!P16,$BR$9),COUNTIF('1.연간시수표'!P16,$BR$7)),$BR$6,"_")))))))))))))))</f>
        <v>수학</v>
      </c>
      <c r="Q16" s="148" t="str">
        <f>IF(OR(COUNTIF('1.연간시수표'!Q16,$AT$9),COUNTIF('1.연간시수표'!Q16,$AT$7)),$AT$6,IF(OR(COUNTIF('1.연간시수표'!Q16,$AU$9),COUNTIF('1.연간시수표'!Q16,$AU$7)),$AU$6,IF(OR(COUNTIF('1.연간시수표'!Q16,$AV$9),COUNTIF('1.연간시수표'!Q16,$AV$7)),$AV$6,IF(OR(COUNTIF('1.연간시수표'!Q16,$AW$9),COUNTIF('1.연간시수표'!Q16,$AW$7)),$AW$6,IF(OR(COUNTIF('1.연간시수표'!Q16,$AX$9),COUNTIF('1.연간시수표'!Q16,$AX$7)),$AX$6,IF(OR(COUNTIF('1.연간시수표'!Q16,$AY$9),COUNTIF('1.연간시수표'!Q16,$AY$7)),$AY$6,IF(OR(COUNTIF('1.연간시수표'!Q16,$AZ$9),COUNTIF('1.연간시수표'!Q16,$AZ$7)),$AZ$6,IF(OR(COUNTIF('1.연간시수표'!Q16,$BA$9),COUNTIF('1.연간시수표'!Q16,$BA$7)),$BA$6,IF(OR(COUNTIF('1.연간시수표'!Q16,$BB$9),COUNTIF('1.연간시수표'!Q16,$BB$7)),$BB$6,IF(OR(COUNTIF('1.연간시수표'!Q16,$BC$9),COUNTIF('1.연간시수표'!Q16,$BC$7)),$BC$6,IF(OR(COUNTIF('1.연간시수표'!Q16,$BF$9),COUNTIF('1.연간시수표'!Q16,$BF$7),COUNTIF('1.연간시수표'!Q16,$BG$9),COUNTIF('1.연간시수표'!Q16,$BG$7),COUNTIF('1.연간시수표'!Q16,$BH$9),COUNTIF('1.연간시수표'!Q16,$BH$7),COUNTIF('1.연간시수표'!Q16,$BI$9),COUNTIF('1.연간시수표'!Q16,$BI$7),COUNTIF('1.연간시수표'!Q16,$BJ$9),COUNTIF('1.연간시수표'!Q16,$BJ$7),COUNTIF('1.연간시수표'!Q16,$BK$9),COUNTIF('1.연간시수표'!Q16,$BK$7),COUNTIF('1.연간시수표'!Q16,$BL$9),COUNTIF('1.연간시수표'!Q16,$BL$7),COUNTIF('1.연간시수표'!Q16,$BM$9),COUNTIF('1.연간시수표'!Q16,$BM$7)),$BF$6,IF(OR(COUNTIF('1.연간시수표'!Q16,$BO$9),COUNTIF('1.연간시수표'!Q16,$BO$7)),$BO$6,IF(OR(COUNTIF('1.연간시수표'!Q16,$BP$9),COUNTIF('1.연간시수표'!Q16,$BP$7)),$BP$6,IF(OR(COUNTIF('1.연간시수표'!Q16,$BQ$9),COUNTIF('1.연간시수표'!Q16,$BQ$7)),$BQ$6,IF(OR(COUNTIF('1.연간시수표'!Q16,$BR$9),COUNTIF('1.연간시수표'!Q16,$BR$7)),$BR$6,"_")))))))))))))))</f>
        <v>과학</v>
      </c>
      <c r="R16" s="148" t="str">
        <f>IF(OR(COUNTIF('1.연간시수표'!R16,$AT$9),COUNTIF('1.연간시수표'!R16,$AT$7)),$AT$6,IF(OR(COUNTIF('1.연간시수표'!R16,$AU$9),COUNTIF('1.연간시수표'!R16,$AU$7)),$AU$6,IF(OR(COUNTIF('1.연간시수표'!R16,$AV$9),COUNTIF('1.연간시수표'!R16,$AV$7)),$AV$6,IF(OR(COUNTIF('1.연간시수표'!R16,$AW$9),COUNTIF('1.연간시수표'!R16,$AW$7)),$AW$6,IF(OR(COUNTIF('1.연간시수표'!R16,$AX$9),COUNTIF('1.연간시수표'!R16,$AX$7)),$AX$6,IF(OR(COUNTIF('1.연간시수표'!R16,$AY$9),COUNTIF('1.연간시수표'!R16,$AY$7)),$AY$6,IF(OR(COUNTIF('1.연간시수표'!R16,$AZ$9),COUNTIF('1.연간시수표'!R16,$AZ$7)),$AZ$6,IF(OR(COUNTIF('1.연간시수표'!R16,$BA$9),COUNTIF('1.연간시수표'!R16,$BA$7)),$BA$6,IF(OR(COUNTIF('1.연간시수표'!R16,$BB$9),COUNTIF('1.연간시수표'!R16,$BB$7)),$BB$6,IF(OR(COUNTIF('1.연간시수표'!R16,$BC$9),COUNTIF('1.연간시수표'!R16,$BC$7)),$BC$6,IF(OR(COUNTIF('1.연간시수표'!R16,$BF$9),COUNTIF('1.연간시수표'!R16,$BF$7),COUNTIF('1.연간시수표'!R16,$BG$9),COUNTIF('1.연간시수표'!R16,$BG$7),COUNTIF('1.연간시수표'!R16,$BH$9),COUNTIF('1.연간시수표'!R16,$BH$7),COUNTIF('1.연간시수표'!R16,$BI$9),COUNTIF('1.연간시수표'!R16,$BI$7),COUNTIF('1.연간시수표'!R16,$BJ$9),COUNTIF('1.연간시수표'!R16,$BJ$7),COUNTIF('1.연간시수표'!R16,$BK$9),COUNTIF('1.연간시수표'!R16,$BK$7),COUNTIF('1.연간시수표'!R16,$BL$9),COUNTIF('1.연간시수표'!R16,$BL$7),COUNTIF('1.연간시수표'!R16,$BM$9),COUNTIF('1.연간시수표'!R16,$BM$7)),$BF$6,IF(OR(COUNTIF('1.연간시수표'!R16,$BO$9),COUNTIF('1.연간시수표'!R16,$BO$7)),$BO$6,IF(OR(COUNTIF('1.연간시수표'!R16,$BP$9),COUNTIF('1.연간시수표'!R16,$BP$7)),$BP$6,IF(OR(COUNTIF('1.연간시수표'!R16,$BQ$9),COUNTIF('1.연간시수표'!R16,$BQ$7)),$BQ$6,IF(OR(COUNTIF('1.연간시수표'!R16,$BR$9),COUNTIF('1.연간시수표'!R16,$BR$7)),$BR$6,"_")))))))))))))))</f>
        <v>실과</v>
      </c>
      <c r="S16" s="148" t="str">
        <f>IF(OR(COUNTIF('1.연간시수표'!S16,$AT$9),COUNTIF('1.연간시수표'!S16,$AT$7)),$AT$6,IF(OR(COUNTIF('1.연간시수표'!S16,$AU$9),COUNTIF('1.연간시수표'!S16,$AU$7)),$AU$6,IF(OR(COUNTIF('1.연간시수표'!S16,$AV$9),COUNTIF('1.연간시수표'!S16,$AV$7)),$AV$6,IF(OR(COUNTIF('1.연간시수표'!S16,$AW$9),COUNTIF('1.연간시수표'!S16,$AW$7)),$AW$6,IF(OR(COUNTIF('1.연간시수표'!S16,$AX$9),COUNTIF('1.연간시수표'!S16,$AX$7)),$AX$6,IF(OR(COUNTIF('1.연간시수표'!S16,$AY$9),COUNTIF('1.연간시수표'!S16,$AY$7)),$AY$6,IF(OR(COUNTIF('1.연간시수표'!S16,$AZ$9),COUNTIF('1.연간시수표'!S16,$AZ$7)),$AZ$6,IF(OR(COUNTIF('1.연간시수표'!S16,$BA$9),COUNTIF('1.연간시수표'!S16,$BA$7)),$BA$6,IF(OR(COUNTIF('1.연간시수표'!S16,$BB$9),COUNTIF('1.연간시수표'!S16,$BB$7)),$BB$6,IF(OR(COUNTIF('1.연간시수표'!S16,$BC$9),COUNTIF('1.연간시수표'!S16,$BC$7)),$BC$6,IF(OR(COUNTIF('1.연간시수표'!S16,$BF$9),COUNTIF('1.연간시수표'!S16,$BF$7),COUNTIF('1.연간시수표'!S16,$BG$9),COUNTIF('1.연간시수표'!S16,$BG$7),COUNTIF('1.연간시수표'!S16,$BH$9),COUNTIF('1.연간시수표'!S16,$BH$7),COUNTIF('1.연간시수표'!S16,$BI$9),COUNTIF('1.연간시수표'!S16,$BI$7),COUNTIF('1.연간시수표'!S16,$BJ$9),COUNTIF('1.연간시수표'!S16,$BJ$7),COUNTIF('1.연간시수표'!S16,$BK$9),COUNTIF('1.연간시수표'!S16,$BK$7),COUNTIF('1.연간시수표'!S16,$BL$9),COUNTIF('1.연간시수표'!S16,$BL$7),COUNTIF('1.연간시수표'!S16,$BM$9),COUNTIF('1.연간시수표'!S16,$BM$7)),$BF$6,IF(OR(COUNTIF('1.연간시수표'!S16,$BO$9),COUNTIF('1.연간시수표'!S16,$BO$7)),$BO$6,IF(OR(COUNTIF('1.연간시수표'!S16,$BP$9),COUNTIF('1.연간시수표'!S16,$BP$7)),$BP$6,IF(OR(COUNTIF('1.연간시수표'!S16,$BQ$9),COUNTIF('1.연간시수표'!S16,$BQ$7)),$BQ$6,IF(OR(COUNTIF('1.연간시수표'!S16,$BR$9),COUNTIF('1.연간시수표'!S16,$BR$7)),$BR$6,"_")))))))))))))))</f>
        <v>_</v>
      </c>
      <c r="T16" s="148" t="str">
        <f>IF(OR(COUNTIF('1.연간시수표'!T16,$AT$9),COUNTIF('1.연간시수표'!T16,$AT$7)),$AT$6,IF(OR(COUNTIF('1.연간시수표'!T16,$AU$9),COUNTIF('1.연간시수표'!T16,$AU$7)),$AU$6,IF(OR(COUNTIF('1.연간시수표'!T16,$AV$9),COUNTIF('1.연간시수표'!T16,$AV$7)),$AV$6,IF(OR(COUNTIF('1.연간시수표'!T16,$AW$9),COUNTIF('1.연간시수표'!T16,$AW$7)),$AW$6,IF(OR(COUNTIF('1.연간시수표'!T16,$AX$9),COUNTIF('1.연간시수표'!T16,$AX$7)),$AX$6,IF(OR(COUNTIF('1.연간시수표'!T16,$AY$9),COUNTIF('1.연간시수표'!T16,$AY$7)),$AY$6,IF(OR(COUNTIF('1.연간시수표'!T16,$AZ$9),COUNTIF('1.연간시수표'!T16,$AZ$7)),$AZ$6,IF(OR(COUNTIF('1.연간시수표'!T16,$BA$9),COUNTIF('1.연간시수표'!T16,$BA$7)),$BA$6,IF(OR(COUNTIF('1.연간시수표'!T16,$BB$9),COUNTIF('1.연간시수표'!T16,$BB$7)),$BB$6,IF(OR(COUNTIF('1.연간시수표'!T16,$BC$9),COUNTIF('1.연간시수표'!T16,$BC$7)),$BC$6,IF(OR(COUNTIF('1.연간시수표'!T16,$BF$9),COUNTIF('1.연간시수표'!T16,$BF$7),COUNTIF('1.연간시수표'!T16,$BG$9),COUNTIF('1.연간시수표'!T16,$BG$7),COUNTIF('1.연간시수표'!T16,$BH$9),COUNTIF('1.연간시수표'!T16,$BH$7),COUNTIF('1.연간시수표'!T16,$BI$9),COUNTIF('1.연간시수표'!T16,$BI$7),COUNTIF('1.연간시수표'!T16,$BJ$9),COUNTIF('1.연간시수표'!T16,$BJ$7),COUNTIF('1.연간시수표'!T16,$BK$9),COUNTIF('1.연간시수표'!T16,$BK$7),COUNTIF('1.연간시수표'!T16,$BL$9),COUNTIF('1.연간시수표'!T16,$BL$7),COUNTIF('1.연간시수표'!T16,$BM$9),COUNTIF('1.연간시수표'!T16,$BM$7)),$BF$6,IF(OR(COUNTIF('1.연간시수표'!T16,$BO$9),COUNTIF('1.연간시수표'!T16,$BO$7)),$BO$6,IF(OR(COUNTIF('1.연간시수표'!T16,$BP$9),COUNTIF('1.연간시수표'!T16,$BP$7)),$BP$6,IF(OR(COUNTIF('1.연간시수표'!T16,$BQ$9),COUNTIF('1.연간시수표'!T16,$BQ$7)),$BQ$6,IF(OR(COUNTIF('1.연간시수표'!T16,$BR$9),COUNTIF('1.연간시수표'!T16,$BR$7)),$BR$6,"_")))))))))))))))</f>
        <v>_</v>
      </c>
      <c r="U16" s="148" t="str">
        <f>IF(OR(COUNTIF('1.연간시수표'!U16,$AT$9),COUNTIF('1.연간시수표'!U16,$AT$7)),$AT$6,IF(OR(COUNTIF('1.연간시수표'!U16,$AU$9),COUNTIF('1.연간시수표'!U16,$AU$7)),$AU$6,IF(OR(COUNTIF('1.연간시수표'!U16,$AV$9),COUNTIF('1.연간시수표'!U16,$AV$7)),$AV$6,IF(OR(COUNTIF('1.연간시수표'!U16,$AW$9),COUNTIF('1.연간시수표'!U16,$AW$7)),$AW$6,IF(OR(COUNTIF('1.연간시수표'!U16,$AX$9),COUNTIF('1.연간시수표'!U16,$AX$7)),$AX$6,IF(OR(COUNTIF('1.연간시수표'!U16,$AY$9),COUNTIF('1.연간시수표'!U16,$AY$7)),$AY$6,IF(OR(COUNTIF('1.연간시수표'!U16,$AZ$9),COUNTIF('1.연간시수표'!U16,$AZ$7)),$AZ$6,IF(OR(COUNTIF('1.연간시수표'!U16,$BA$9),COUNTIF('1.연간시수표'!U16,$BA$7)),$BA$6,IF(OR(COUNTIF('1.연간시수표'!U16,$BB$9),COUNTIF('1.연간시수표'!U16,$BB$7)),$BB$6,IF(OR(COUNTIF('1.연간시수표'!U16,$BC$9),COUNTIF('1.연간시수표'!U16,$BC$7)),$BC$6,IF(OR(COUNTIF('1.연간시수표'!U16,$BF$9),COUNTIF('1.연간시수표'!U16,$BF$7),COUNTIF('1.연간시수표'!U16,$BG$9),COUNTIF('1.연간시수표'!U16,$BG$7),COUNTIF('1.연간시수표'!U16,$BH$9),COUNTIF('1.연간시수표'!U16,$BH$7),COUNTIF('1.연간시수표'!U16,$BI$9),COUNTIF('1.연간시수표'!U16,$BI$7),COUNTIF('1.연간시수표'!U16,$BJ$9),COUNTIF('1.연간시수표'!U16,$BJ$7),COUNTIF('1.연간시수표'!U16,$BK$9),COUNTIF('1.연간시수표'!U16,$BK$7),COUNTIF('1.연간시수표'!U16,$BL$9),COUNTIF('1.연간시수표'!U16,$BL$7),COUNTIF('1.연간시수표'!U16,$BM$9),COUNTIF('1.연간시수표'!U16,$BM$7)),$BF$6,IF(OR(COUNTIF('1.연간시수표'!U16,$BO$9),COUNTIF('1.연간시수표'!U16,$BO$7)),$BO$6,IF(OR(COUNTIF('1.연간시수표'!U16,$BP$9),COUNTIF('1.연간시수표'!U16,$BP$7)),$BP$6,IF(OR(COUNTIF('1.연간시수표'!U16,$BQ$9),COUNTIF('1.연간시수표'!U16,$BQ$7)),$BQ$6,IF(OR(COUNTIF('1.연간시수표'!U16,$BR$9),COUNTIF('1.연간시수표'!U16,$BR$7)),$BR$6,"_")))))))))))))))</f>
        <v>영어</v>
      </c>
      <c r="V16" s="148" t="str">
        <f>IF(OR(COUNTIF('1.연간시수표'!V16,$AT$9),COUNTIF('1.연간시수표'!V16,$AT$7)),$AT$6,IF(OR(COUNTIF('1.연간시수표'!V16,$AU$9),COUNTIF('1.연간시수표'!V16,$AU$7)),$AU$6,IF(OR(COUNTIF('1.연간시수표'!V16,$AV$9),COUNTIF('1.연간시수표'!V16,$AV$7)),$AV$6,IF(OR(COUNTIF('1.연간시수표'!V16,$AW$9),COUNTIF('1.연간시수표'!V16,$AW$7)),$AW$6,IF(OR(COUNTIF('1.연간시수표'!V16,$AX$9),COUNTIF('1.연간시수표'!V16,$AX$7)),$AX$6,IF(OR(COUNTIF('1.연간시수표'!V16,$AY$9),COUNTIF('1.연간시수표'!V16,$AY$7)),$AY$6,IF(OR(COUNTIF('1.연간시수표'!V16,$AZ$9),COUNTIF('1.연간시수표'!V16,$AZ$7)),$AZ$6,IF(OR(COUNTIF('1.연간시수표'!V16,$BA$9),COUNTIF('1.연간시수표'!V16,$BA$7)),$BA$6,IF(OR(COUNTIF('1.연간시수표'!V16,$BB$9),COUNTIF('1.연간시수표'!V16,$BB$7)),$BB$6,IF(OR(COUNTIF('1.연간시수표'!V16,$BC$9),COUNTIF('1.연간시수표'!V16,$BC$7)),$BC$6,IF(OR(COUNTIF('1.연간시수표'!V16,$BF$9),COUNTIF('1.연간시수표'!V16,$BF$7),COUNTIF('1.연간시수표'!V16,$BG$9),COUNTIF('1.연간시수표'!V16,$BG$7),COUNTIF('1.연간시수표'!V16,$BH$9),COUNTIF('1.연간시수표'!V16,$BH$7),COUNTIF('1.연간시수표'!V16,$BI$9),COUNTIF('1.연간시수표'!V16,$BI$7),COUNTIF('1.연간시수표'!V16,$BJ$9),COUNTIF('1.연간시수표'!V16,$BJ$7),COUNTIF('1.연간시수표'!V16,$BK$9),COUNTIF('1.연간시수표'!V16,$BK$7),COUNTIF('1.연간시수표'!V16,$BL$9),COUNTIF('1.연간시수표'!V16,$BL$7),COUNTIF('1.연간시수표'!V16,$BM$9),COUNTIF('1.연간시수표'!V16,$BM$7)),$BF$6,IF(OR(COUNTIF('1.연간시수표'!V16,$BO$9),COUNTIF('1.연간시수표'!V16,$BO$7)),$BO$6,IF(OR(COUNTIF('1.연간시수표'!V16,$BP$9),COUNTIF('1.연간시수표'!V16,$BP$7)),$BP$6,IF(OR(COUNTIF('1.연간시수표'!V16,$BQ$9),COUNTIF('1.연간시수표'!V16,$BQ$7)),$BQ$6,IF(OR(COUNTIF('1.연간시수표'!V16,$BR$9),COUNTIF('1.연간시수표'!V16,$BR$7)),$BR$6,"_")))))))))))))))</f>
        <v>과학</v>
      </c>
      <c r="W16" s="148" t="str">
        <f>IF(OR(COUNTIF('1.연간시수표'!W16,$AT$9),COUNTIF('1.연간시수표'!W16,$AT$7)),$AT$6,IF(OR(COUNTIF('1.연간시수표'!W16,$AU$9),COUNTIF('1.연간시수표'!W16,$AU$7)),$AU$6,IF(OR(COUNTIF('1.연간시수표'!W16,$AV$9),COUNTIF('1.연간시수표'!W16,$AV$7)),$AV$6,IF(OR(COUNTIF('1.연간시수표'!W16,$AW$9),COUNTIF('1.연간시수표'!W16,$AW$7)),$AW$6,IF(OR(COUNTIF('1.연간시수표'!W16,$AX$9),COUNTIF('1.연간시수표'!W16,$AX$7)),$AX$6,IF(OR(COUNTIF('1.연간시수표'!W16,$AY$9),COUNTIF('1.연간시수표'!W16,$AY$7)),$AY$6,IF(OR(COUNTIF('1.연간시수표'!W16,$AZ$9),COUNTIF('1.연간시수표'!W16,$AZ$7)),$AZ$6,IF(OR(COUNTIF('1.연간시수표'!W16,$BA$9),COUNTIF('1.연간시수표'!W16,$BA$7)),$BA$6,IF(OR(COUNTIF('1.연간시수표'!W16,$BB$9),COUNTIF('1.연간시수표'!W16,$BB$7)),$BB$6,IF(OR(COUNTIF('1.연간시수표'!W16,$BC$9),COUNTIF('1.연간시수표'!W16,$BC$7)),$BC$6,IF(OR(COUNTIF('1.연간시수표'!W16,$BF$9),COUNTIF('1.연간시수표'!W16,$BF$7),COUNTIF('1.연간시수표'!W16,$BG$9),COUNTIF('1.연간시수표'!W16,$BG$7),COUNTIF('1.연간시수표'!W16,$BH$9),COUNTIF('1.연간시수표'!W16,$BH$7),COUNTIF('1.연간시수표'!W16,$BI$9),COUNTIF('1.연간시수표'!W16,$BI$7),COUNTIF('1.연간시수표'!W16,$BJ$9),COUNTIF('1.연간시수표'!W16,$BJ$7),COUNTIF('1.연간시수표'!W16,$BK$9),COUNTIF('1.연간시수표'!W16,$BK$7),COUNTIF('1.연간시수표'!W16,$BL$9),COUNTIF('1.연간시수표'!W16,$BL$7),COUNTIF('1.연간시수표'!W16,$BM$9),COUNTIF('1.연간시수표'!W16,$BM$7)),$BF$6,IF(OR(COUNTIF('1.연간시수표'!W16,$BO$9),COUNTIF('1.연간시수표'!W16,$BO$7)),$BO$6,IF(OR(COUNTIF('1.연간시수표'!W16,$BP$9),COUNTIF('1.연간시수표'!W16,$BP$7)),$BP$6,IF(OR(COUNTIF('1.연간시수표'!W16,$BQ$9),COUNTIF('1.연간시수표'!W16,$BQ$7)),$BQ$6,IF(OR(COUNTIF('1.연간시수표'!W16,$BR$9),COUNTIF('1.연간시수표'!W16,$BR$7)),$BR$6,"_")))))))))))))))</f>
        <v>체육</v>
      </c>
      <c r="X16" s="148" t="str">
        <f>IF(OR(COUNTIF('1.연간시수표'!X16,$AT$9),COUNTIF('1.연간시수표'!X16,$AT$7)),$AT$6,IF(OR(COUNTIF('1.연간시수표'!X16,$AU$9),COUNTIF('1.연간시수표'!X16,$AU$7)),$AU$6,IF(OR(COUNTIF('1.연간시수표'!X16,$AV$9),COUNTIF('1.연간시수표'!X16,$AV$7)),$AV$6,IF(OR(COUNTIF('1.연간시수표'!X16,$AW$9),COUNTIF('1.연간시수표'!X16,$AW$7)),$AW$6,IF(OR(COUNTIF('1.연간시수표'!X16,$AX$9),COUNTIF('1.연간시수표'!X16,$AX$7)),$AX$6,IF(OR(COUNTIF('1.연간시수표'!X16,$AY$9),COUNTIF('1.연간시수표'!X16,$AY$7)),$AY$6,IF(OR(COUNTIF('1.연간시수표'!X16,$AZ$9),COUNTIF('1.연간시수표'!X16,$AZ$7)),$AZ$6,IF(OR(COUNTIF('1.연간시수표'!X16,$BA$9),COUNTIF('1.연간시수표'!X16,$BA$7)),$BA$6,IF(OR(COUNTIF('1.연간시수표'!X16,$BB$9),COUNTIF('1.연간시수표'!X16,$BB$7)),$BB$6,IF(OR(COUNTIF('1.연간시수표'!X16,$BC$9),COUNTIF('1.연간시수표'!X16,$BC$7)),$BC$6,IF(OR(COUNTIF('1.연간시수표'!X16,$BF$9),COUNTIF('1.연간시수표'!X16,$BF$7),COUNTIF('1.연간시수표'!X16,$BG$9),COUNTIF('1.연간시수표'!X16,$BG$7),COUNTIF('1.연간시수표'!X16,$BH$9),COUNTIF('1.연간시수표'!X16,$BH$7),COUNTIF('1.연간시수표'!X16,$BI$9),COUNTIF('1.연간시수표'!X16,$BI$7),COUNTIF('1.연간시수표'!X16,$BJ$9),COUNTIF('1.연간시수표'!X16,$BJ$7),COUNTIF('1.연간시수표'!X16,$BK$9),COUNTIF('1.연간시수표'!X16,$BK$7),COUNTIF('1.연간시수표'!X16,$BL$9),COUNTIF('1.연간시수표'!X16,$BL$7),COUNTIF('1.연간시수표'!X16,$BM$9),COUNTIF('1.연간시수표'!X16,$BM$7)),$BF$6,IF(OR(COUNTIF('1.연간시수표'!X16,$BO$9),COUNTIF('1.연간시수표'!X16,$BO$7)),$BO$6,IF(OR(COUNTIF('1.연간시수표'!X16,$BP$9),COUNTIF('1.연간시수표'!X16,$BP$7)),$BP$6,IF(OR(COUNTIF('1.연간시수표'!X16,$BQ$9),COUNTIF('1.연간시수표'!X16,$BQ$7)),$BQ$6,IF(OR(COUNTIF('1.연간시수표'!X16,$BR$9),COUNTIF('1.연간시수표'!X16,$BR$7)),$BR$6,"_")))))))))))))))</f>
        <v>음악</v>
      </c>
      <c r="Y16" s="148" t="str">
        <f>IF(OR(COUNTIF('1.연간시수표'!Y16,$AT$9),COUNTIF('1.연간시수표'!Y16,$AT$7)),$AT$6,IF(OR(COUNTIF('1.연간시수표'!Y16,$AU$9),COUNTIF('1.연간시수표'!Y16,$AU$7)),$AU$6,IF(OR(COUNTIF('1.연간시수표'!Y16,$AV$9),COUNTIF('1.연간시수표'!Y16,$AV$7)),$AV$6,IF(OR(COUNTIF('1.연간시수표'!Y16,$AW$9),COUNTIF('1.연간시수표'!Y16,$AW$7)),$AW$6,IF(OR(COUNTIF('1.연간시수표'!Y16,$AX$9),COUNTIF('1.연간시수표'!Y16,$AX$7)),$AX$6,IF(OR(COUNTIF('1.연간시수표'!Y16,$AY$9),COUNTIF('1.연간시수표'!Y16,$AY$7)),$AY$6,IF(OR(COUNTIF('1.연간시수표'!Y16,$AZ$9),COUNTIF('1.연간시수표'!Y16,$AZ$7)),$AZ$6,IF(OR(COUNTIF('1.연간시수표'!Y16,$BA$9),COUNTIF('1.연간시수표'!Y16,$BA$7)),$BA$6,IF(OR(COUNTIF('1.연간시수표'!Y16,$BB$9),COUNTIF('1.연간시수표'!Y16,$BB$7)),$BB$6,IF(OR(COUNTIF('1.연간시수표'!Y16,$BC$9),COUNTIF('1.연간시수표'!Y16,$BC$7)),$BC$6,IF(OR(COUNTIF('1.연간시수표'!Y16,$BF$9),COUNTIF('1.연간시수표'!Y16,$BF$7),COUNTIF('1.연간시수표'!Y16,$BG$9),COUNTIF('1.연간시수표'!Y16,$BG$7),COUNTIF('1.연간시수표'!Y16,$BH$9),COUNTIF('1.연간시수표'!Y16,$BH$7),COUNTIF('1.연간시수표'!Y16,$BI$9),COUNTIF('1.연간시수표'!Y16,$BI$7),COUNTIF('1.연간시수표'!Y16,$BJ$9),COUNTIF('1.연간시수표'!Y16,$BJ$7),COUNTIF('1.연간시수표'!Y16,$BK$9),COUNTIF('1.연간시수표'!Y16,$BK$7),COUNTIF('1.연간시수표'!Y16,$BL$9),COUNTIF('1.연간시수표'!Y16,$BL$7),COUNTIF('1.연간시수표'!Y16,$BM$9),COUNTIF('1.연간시수표'!Y16,$BM$7)),$BF$6,IF(OR(COUNTIF('1.연간시수표'!Y16,$BO$9),COUNTIF('1.연간시수표'!Y16,$BO$7)),$BO$6,IF(OR(COUNTIF('1.연간시수표'!Y16,$BP$9),COUNTIF('1.연간시수표'!Y16,$BP$7)),$BP$6,IF(OR(COUNTIF('1.연간시수표'!Y16,$BQ$9),COUNTIF('1.연간시수표'!Y16,$BQ$7)),$BQ$6,IF(OR(COUNTIF('1.연간시수표'!Y16,$BR$9),COUNTIF('1.연간시수표'!Y16,$BR$7)),$BR$6,"_")))))))))))))))</f>
        <v>도덕</v>
      </c>
      <c r="Z16" s="148" t="str">
        <f>IF(OR(COUNTIF('1.연간시수표'!Z16,$AT$9),COUNTIF('1.연간시수표'!Z16,$AT$7)),$AT$6,IF(OR(COUNTIF('1.연간시수표'!Z16,$AU$9),COUNTIF('1.연간시수표'!Z16,$AU$7)),$AU$6,IF(OR(COUNTIF('1.연간시수표'!Z16,$AV$9),COUNTIF('1.연간시수표'!Z16,$AV$7)),$AV$6,IF(OR(COUNTIF('1.연간시수표'!Z16,$AW$9),COUNTIF('1.연간시수표'!Z16,$AW$7)),$AW$6,IF(OR(COUNTIF('1.연간시수표'!Z16,$AX$9),COUNTIF('1.연간시수표'!Z16,$AX$7)),$AX$6,IF(OR(COUNTIF('1.연간시수표'!Z16,$AY$9),COUNTIF('1.연간시수표'!Z16,$AY$7)),$AY$6,IF(OR(COUNTIF('1.연간시수표'!Z16,$AZ$9),COUNTIF('1.연간시수표'!Z16,$AZ$7)),$AZ$6,IF(OR(COUNTIF('1.연간시수표'!Z16,$BA$9),COUNTIF('1.연간시수표'!Z16,$BA$7)),$BA$6,IF(OR(COUNTIF('1.연간시수표'!Z16,$BB$9),COUNTIF('1.연간시수표'!Z16,$BB$7)),$BB$6,IF(OR(COUNTIF('1.연간시수표'!Z16,$BC$9),COUNTIF('1.연간시수표'!Z16,$BC$7)),$BC$6,IF(OR(COUNTIF('1.연간시수표'!Z16,$BF$9),COUNTIF('1.연간시수표'!Z16,$BF$7),COUNTIF('1.연간시수표'!Z16,$BG$9),COUNTIF('1.연간시수표'!Z16,$BG$7),COUNTIF('1.연간시수표'!Z16,$BH$9),COUNTIF('1.연간시수표'!Z16,$BH$7),COUNTIF('1.연간시수표'!Z16,$BI$9),COUNTIF('1.연간시수표'!Z16,$BI$7),COUNTIF('1.연간시수표'!Z16,$BJ$9),COUNTIF('1.연간시수표'!Z16,$BJ$7),COUNTIF('1.연간시수표'!Z16,$BK$9),COUNTIF('1.연간시수표'!Z16,$BK$7),COUNTIF('1.연간시수표'!Z16,$BL$9),COUNTIF('1.연간시수표'!Z16,$BL$7),COUNTIF('1.연간시수표'!Z16,$BM$9),COUNTIF('1.연간시수표'!Z16,$BM$7)),$BF$6,IF(OR(COUNTIF('1.연간시수표'!Z16,$BO$9),COUNTIF('1.연간시수표'!Z16,$BO$7)),$BO$6,IF(OR(COUNTIF('1.연간시수표'!Z16,$BP$9),COUNTIF('1.연간시수표'!Z16,$BP$7)),$BP$6,IF(OR(COUNTIF('1.연간시수표'!Z16,$BQ$9),COUNTIF('1.연간시수표'!Z16,$BQ$7)),$BQ$6,IF(OR(COUNTIF('1.연간시수표'!Z16,$BR$9),COUNTIF('1.연간시수표'!Z16,$BR$7)),$BR$6,"_")))))))))))))))</f>
        <v>_</v>
      </c>
      <c r="AA16" s="148" t="str">
        <f>IF(OR(COUNTIF('1.연간시수표'!AA16,$AT$9),COUNTIF('1.연간시수표'!AA16,$AT$7)),$AT$6,IF(OR(COUNTIF('1.연간시수표'!AA16,$AU$9),COUNTIF('1.연간시수표'!AA16,$AU$7)),$AU$6,IF(OR(COUNTIF('1.연간시수표'!AA16,$AV$9),COUNTIF('1.연간시수표'!AA16,$AV$7)),$AV$6,IF(OR(COUNTIF('1.연간시수표'!AA16,$AW$9),COUNTIF('1.연간시수표'!AA16,$AW$7)),$AW$6,IF(OR(COUNTIF('1.연간시수표'!AA16,$AX$9),COUNTIF('1.연간시수표'!AA16,$AX$7)),$AX$6,IF(OR(COUNTIF('1.연간시수표'!AA16,$AY$9),COUNTIF('1.연간시수표'!AA16,$AY$7)),$AY$6,IF(OR(COUNTIF('1.연간시수표'!AA16,$AZ$9),COUNTIF('1.연간시수표'!AA16,$AZ$7)),$AZ$6,IF(OR(COUNTIF('1.연간시수표'!AA16,$BA$9),COUNTIF('1.연간시수표'!AA16,$BA$7)),$BA$6,IF(OR(COUNTIF('1.연간시수표'!AA16,$BB$9),COUNTIF('1.연간시수표'!AA16,$BB$7)),$BB$6,IF(OR(COUNTIF('1.연간시수표'!AA16,$BC$9),COUNTIF('1.연간시수표'!AA16,$BC$7)),$BC$6,IF(OR(COUNTIF('1.연간시수표'!AA16,$BF$9),COUNTIF('1.연간시수표'!AA16,$BF$7),COUNTIF('1.연간시수표'!AA16,$BG$9),COUNTIF('1.연간시수표'!AA16,$BG$7),COUNTIF('1.연간시수표'!AA16,$BH$9),COUNTIF('1.연간시수표'!AA16,$BH$7),COUNTIF('1.연간시수표'!AA16,$BI$9),COUNTIF('1.연간시수표'!AA16,$BI$7),COUNTIF('1.연간시수표'!AA16,$BJ$9),COUNTIF('1.연간시수표'!AA16,$BJ$7),COUNTIF('1.연간시수표'!AA16,$BK$9),COUNTIF('1.연간시수표'!AA16,$BK$7),COUNTIF('1.연간시수표'!AA16,$BL$9),COUNTIF('1.연간시수표'!AA16,$BL$7),COUNTIF('1.연간시수표'!AA16,$BM$9),COUNTIF('1.연간시수표'!AA16,$BM$7)),$BF$6,IF(OR(COUNTIF('1.연간시수표'!AA16,$BO$9),COUNTIF('1.연간시수표'!AA16,$BO$7)),$BO$6,IF(OR(COUNTIF('1.연간시수표'!AA16,$BP$9),COUNTIF('1.연간시수표'!AA16,$BP$7)),$BP$6,IF(OR(COUNTIF('1.연간시수표'!AA16,$BQ$9),COUNTIF('1.연간시수표'!AA16,$BQ$7)),$BQ$6,IF(OR(COUNTIF('1.연간시수표'!AA16,$BR$9),COUNTIF('1.연간시수표'!AA16,$BR$7)),$BR$6,"_")))))))))))))))</f>
        <v>_</v>
      </c>
      <c r="AB16" s="148" t="str">
        <f>IF(OR(COUNTIF('1.연간시수표'!AB16,$AT$9),COUNTIF('1.연간시수표'!AB16,$AT$7)),$AT$6,IF(OR(COUNTIF('1.연간시수표'!AB16,$AU$9),COUNTIF('1.연간시수표'!AB16,$AU$7)),$AU$6,IF(OR(COUNTIF('1.연간시수표'!AB16,$AV$9),COUNTIF('1.연간시수표'!AB16,$AV$7)),$AV$6,IF(OR(COUNTIF('1.연간시수표'!AB16,$AW$9),COUNTIF('1.연간시수표'!AB16,$AW$7)),$AW$6,IF(OR(COUNTIF('1.연간시수표'!AB16,$AX$9),COUNTIF('1.연간시수표'!AB16,$AX$7)),$AX$6,IF(OR(COUNTIF('1.연간시수표'!AB16,$AY$9),COUNTIF('1.연간시수표'!AB16,$AY$7)),$AY$6,IF(OR(COUNTIF('1.연간시수표'!AB16,$AZ$9),COUNTIF('1.연간시수표'!AB16,$AZ$7)),$AZ$6,IF(OR(COUNTIF('1.연간시수표'!AB16,$BA$9),COUNTIF('1.연간시수표'!AB16,$BA$7)),$BA$6,IF(OR(COUNTIF('1.연간시수표'!AB16,$BB$9),COUNTIF('1.연간시수표'!AB16,$BB$7)),$BB$6,IF(OR(COUNTIF('1.연간시수표'!AB16,$BC$9),COUNTIF('1.연간시수표'!AB16,$BC$7)),$BC$6,IF(OR(COUNTIF('1.연간시수표'!AB16,$BF$9),COUNTIF('1.연간시수표'!AB16,$BF$7),COUNTIF('1.연간시수표'!AB16,$BG$9),COUNTIF('1.연간시수표'!AB16,$BG$7),COUNTIF('1.연간시수표'!AB16,$BH$9),COUNTIF('1.연간시수표'!AB16,$BH$7),COUNTIF('1.연간시수표'!AB16,$BI$9),COUNTIF('1.연간시수표'!AB16,$BI$7),COUNTIF('1.연간시수표'!AB16,$BJ$9),COUNTIF('1.연간시수표'!AB16,$BJ$7),COUNTIF('1.연간시수표'!AB16,$BK$9),COUNTIF('1.연간시수표'!AB16,$BK$7),COUNTIF('1.연간시수표'!AB16,$BL$9),COUNTIF('1.연간시수표'!AB16,$BL$7),COUNTIF('1.연간시수표'!AB16,$BM$9),COUNTIF('1.연간시수표'!AB16,$BM$7)),$BF$6,IF(OR(COUNTIF('1.연간시수표'!AB16,$BO$9),COUNTIF('1.연간시수표'!AB16,$BO$7)),$BO$6,IF(OR(COUNTIF('1.연간시수표'!AB16,$BP$9),COUNTIF('1.연간시수표'!AB16,$BP$7)),$BP$6,IF(OR(COUNTIF('1.연간시수표'!AB16,$BQ$9),COUNTIF('1.연간시수표'!AB16,$BQ$7)),$BQ$6,IF(OR(COUNTIF('1.연간시수표'!AB16,$BR$9),COUNTIF('1.연간시수표'!AB16,$BR$7)),$BR$6,"_")))))))))))))))</f>
        <v>_</v>
      </c>
      <c r="AC16" s="148" t="str">
        <f>IF(OR(COUNTIF('1.연간시수표'!AC16,$AT$9),COUNTIF('1.연간시수표'!AC16,$AT$7)),$AT$6,IF(OR(COUNTIF('1.연간시수표'!AC16,$AU$9),COUNTIF('1.연간시수표'!AC16,$AU$7)),$AU$6,IF(OR(COUNTIF('1.연간시수표'!AC16,$AV$9),COUNTIF('1.연간시수표'!AC16,$AV$7)),$AV$6,IF(OR(COUNTIF('1.연간시수표'!AC16,$AW$9),COUNTIF('1.연간시수표'!AC16,$AW$7)),$AW$6,IF(OR(COUNTIF('1.연간시수표'!AC16,$AX$9),COUNTIF('1.연간시수표'!AC16,$AX$7)),$AX$6,IF(OR(COUNTIF('1.연간시수표'!AC16,$AY$9),COUNTIF('1.연간시수표'!AC16,$AY$7)),$AY$6,IF(OR(COUNTIF('1.연간시수표'!AC16,$AZ$9),COUNTIF('1.연간시수표'!AC16,$AZ$7)),$AZ$6,IF(OR(COUNTIF('1.연간시수표'!AC16,$BA$9),COUNTIF('1.연간시수표'!AC16,$BA$7)),$BA$6,IF(OR(COUNTIF('1.연간시수표'!AC16,$BB$9),COUNTIF('1.연간시수표'!AC16,$BB$7)),$BB$6,IF(OR(COUNTIF('1.연간시수표'!AC16,$BC$9),COUNTIF('1.연간시수표'!AC16,$BC$7)),$BC$6,IF(OR(COUNTIF('1.연간시수표'!AC16,$BF$9),COUNTIF('1.연간시수표'!AC16,$BF$7),COUNTIF('1.연간시수표'!AC16,$BG$9),COUNTIF('1.연간시수표'!AC16,$BG$7),COUNTIF('1.연간시수표'!AC16,$BH$9),COUNTIF('1.연간시수표'!AC16,$BH$7),COUNTIF('1.연간시수표'!AC16,$BI$9),COUNTIF('1.연간시수표'!AC16,$BI$7),COUNTIF('1.연간시수표'!AC16,$BJ$9),COUNTIF('1.연간시수표'!AC16,$BJ$7),COUNTIF('1.연간시수표'!AC16,$BK$9),COUNTIF('1.연간시수표'!AC16,$BK$7),COUNTIF('1.연간시수표'!AC16,$BL$9),COUNTIF('1.연간시수표'!AC16,$BL$7),COUNTIF('1.연간시수표'!AC16,$BM$9),COUNTIF('1.연간시수표'!AC16,$BM$7)),$BF$6,IF(OR(COUNTIF('1.연간시수표'!AC16,$BO$9),COUNTIF('1.연간시수표'!AC16,$BO$7)),$BO$6,IF(OR(COUNTIF('1.연간시수표'!AC16,$BP$9),COUNTIF('1.연간시수표'!AC16,$BP$7)),$BP$6,IF(OR(COUNTIF('1.연간시수표'!AC16,$BQ$9),COUNTIF('1.연간시수표'!AC16,$BQ$7)),$BQ$6,IF(OR(COUNTIF('1.연간시수표'!AC16,$BR$9),COUNTIF('1.연간시수표'!AC16,$BR$7)),$BR$6,"_")))))))))))))))</f>
        <v>국어</v>
      </c>
      <c r="AD16" s="148" t="str">
        <f>IF(OR(COUNTIF('1.연간시수표'!AD16,$AT$9),COUNTIF('1.연간시수표'!AD16,$AT$7)),$AT$6,IF(OR(COUNTIF('1.연간시수표'!AD16,$AU$9),COUNTIF('1.연간시수표'!AD16,$AU$7)),$AU$6,IF(OR(COUNTIF('1.연간시수표'!AD16,$AV$9),COUNTIF('1.연간시수표'!AD16,$AV$7)),$AV$6,IF(OR(COUNTIF('1.연간시수표'!AD16,$AW$9),COUNTIF('1.연간시수표'!AD16,$AW$7)),$AW$6,IF(OR(COUNTIF('1.연간시수표'!AD16,$AX$9),COUNTIF('1.연간시수표'!AD16,$AX$7)),$AX$6,IF(OR(COUNTIF('1.연간시수표'!AD16,$AY$9),COUNTIF('1.연간시수표'!AD16,$AY$7)),$AY$6,IF(OR(COUNTIF('1.연간시수표'!AD16,$AZ$9),COUNTIF('1.연간시수표'!AD16,$AZ$7)),$AZ$6,IF(OR(COUNTIF('1.연간시수표'!AD16,$BA$9),COUNTIF('1.연간시수표'!AD16,$BA$7)),$BA$6,IF(OR(COUNTIF('1.연간시수표'!AD16,$BB$9),COUNTIF('1.연간시수표'!AD16,$BB$7)),$BB$6,IF(OR(COUNTIF('1.연간시수표'!AD16,$BC$9),COUNTIF('1.연간시수표'!AD16,$BC$7)),$BC$6,IF(OR(COUNTIF('1.연간시수표'!AD16,$BF$9),COUNTIF('1.연간시수표'!AD16,$BF$7),COUNTIF('1.연간시수표'!AD16,$BG$9),COUNTIF('1.연간시수표'!AD16,$BG$7),COUNTIF('1.연간시수표'!AD16,$BH$9),COUNTIF('1.연간시수표'!AD16,$BH$7),COUNTIF('1.연간시수표'!AD16,$BI$9),COUNTIF('1.연간시수표'!AD16,$BI$7),COUNTIF('1.연간시수표'!AD16,$BJ$9),COUNTIF('1.연간시수표'!AD16,$BJ$7),COUNTIF('1.연간시수표'!AD16,$BK$9),COUNTIF('1.연간시수표'!AD16,$BK$7),COUNTIF('1.연간시수표'!AD16,$BL$9),COUNTIF('1.연간시수표'!AD16,$BL$7),COUNTIF('1.연간시수표'!AD16,$BM$9),COUNTIF('1.연간시수표'!AD16,$BM$7)),$BF$6,IF(OR(COUNTIF('1.연간시수표'!AD16,$BO$9),COUNTIF('1.연간시수표'!AD16,$BO$7)),$BO$6,IF(OR(COUNTIF('1.연간시수표'!AD16,$BP$9),COUNTIF('1.연간시수표'!AD16,$BP$7)),$BP$6,IF(OR(COUNTIF('1.연간시수표'!AD16,$BQ$9),COUNTIF('1.연간시수표'!AD16,$BQ$7)),$BQ$6,IF(OR(COUNTIF('1.연간시수표'!AD16,$BR$9),COUNTIF('1.연간시수표'!AD16,$BR$7)),$BR$6,"_")))))))))))))))</f>
        <v>수학</v>
      </c>
      <c r="AE16" s="148" t="str">
        <f>IF(OR(COUNTIF('1.연간시수표'!AE16,$AT$9),COUNTIF('1.연간시수표'!AE16,$AT$7)),$AT$6,IF(OR(COUNTIF('1.연간시수표'!AE16,$AU$9),COUNTIF('1.연간시수표'!AE16,$AU$7)),$AU$6,IF(OR(COUNTIF('1.연간시수표'!AE16,$AV$9),COUNTIF('1.연간시수표'!AE16,$AV$7)),$AV$6,IF(OR(COUNTIF('1.연간시수표'!AE16,$AW$9),COUNTIF('1.연간시수표'!AE16,$AW$7)),$AW$6,IF(OR(COUNTIF('1.연간시수표'!AE16,$AX$9),COUNTIF('1.연간시수표'!AE16,$AX$7)),$AX$6,IF(OR(COUNTIF('1.연간시수표'!AE16,$AY$9),COUNTIF('1.연간시수표'!AE16,$AY$7)),$AY$6,IF(OR(COUNTIF('1.연간시수표'!AE16,$AZ$9),COUNTIF('1.연간시수표'!AE16,$AZ$7)),$AZ$6,IF(OR(COUNTIF('1.연간시수표'!AE16,$BA$9),COUNTIF('1.연간시수표'!AE16,$BA$7)),$BA$6,IF(OR(COUNTIF('1.연간시수표'!AE16,$BB$9),COUNTIF('1.연간시수표'!AE16,$BB$7)),$BB$6,IF(OR(COUNTIF('1.연간시수표'!AE16,$BC$9),COUNTIF('1.연간시수표'!AE16,$BC$7)),$BC$6,IF(OR(COUNTIF('1.연간시수표'!AE16,$BF$9),COUNTIF('1.연간시수표'!AE16,$BF$7),COUNTIF('1.연간시수표'!AE16,$BG$9),COUNTIF('1.연간시수표'!AE16,$BG$7),COUNTIF('1.연간시수표'!AE16,$BH$9),COUNTIF('1.연간시수표'!AE16,$BH$7),COUNTIF('1.연간시수표'!AE16,$BI$9),COUNTIF('1.연간시수표'!AE16,$BI$7),COUNTIF('1.연간시수표'!AE16,$BJ$9),COUNTIF('1.연간시수표'!AE16,$BJ$7),COUNTIF('1.연간시수표'!AE16,$BK$9),COUNTIF('1.연간시수표'!AE16,$BK$7),COUNTIF('1.연간시수표'!AE16,$BL$9),COUNTIF('1.연간시수표'!AE16,$BL$7),COUNTIF('1.연간시수표'!AE16,$BM$9),COUNTIF('1.연간시수표'!AE16,$BM$7)),$BF$6,IF(OR(COUNTIF('1.연간시수표'!AE16,$BO$9),COUNTIF('1.연간시수표'!AE16,$BO$7)),$BO$6,IF(OR(COUNTIF('1.연간시수표'!AE16,$BP$9),COUNTIF('1.연간시수표'!AE16,$BP$7)),$BP$6,IF(OR(COUNTIF('1.연간시수표'!AE16,$BQ$9),COUNTIF('1.연간시수표'!AE16,$BQ$7)),$BQ$6,IF(OR(COUNTIF('1.연간시수표'!AE16,$BR$9),COUNTIF('1.연간시수표'!AE16,$BR$7)),$BR$6,"_")))))))))))))))</f>
        <v>사회</v>
      </c>
      <c r="AF16" s="148" t="str">
        <f>IF(OR(COUNTIF('1.연간시수표'!AF16,$AT$9),COUNTIF('1.연간시수표'!AF16,$AT$7)),$AT$6,IF(OR(COUNTIF('1.연간시수표'!AF16,$AU$9),COUNTIF('1.연간시수표'!AF16,$AU$7)),$AU$6,IF(OR(COUNTIF('1.연간시수표'!AF16,$AV$9),COUNTIF('1.연간시수표'!AF16,$AV$7)),$AV$6,IF(OR(COUNTIF('1.연간시수표'!AF16,$AW$9),COUNTIF('1.연간시수표'!AF16,$AW$7)),$AW$6,IF(OR(COUNTIF('1.연간시수표'!AF16,$AX$9),COUNTIF('1.연간시수표'!AF16,$AX$7)),$AX$6,IF(OR(COUNTIF('1.연간시수표'!AF16,$AY$9),COUNTIF('1.연간시수표'!AF16,$AY$7)),$AY$6,IF(OR(COUNTIF('1.연간시수표'!AF16,$AZ$9),COUNTIF('1.연간시수표'!AF16,$AZ$7)),$AZ$6,IF(OR(COUNTIF('1.연간시수표'!AF16,$BA$9),COUNTIF('1.연간시수표'!AF16,$BA$7)),$BA$6,IF(OR(COUNTIF('1.연간시수표'!AF16,$BB$9),COUNTIF('1.연간시수표'!AF16,$BB$7)),$BB$6,IF(OR(COUNTIF('1.연간시수표'!AF16,$BC$9),COUNTIF('1.연간시수표'!AF16,$BC$7)),$BC$6,IF(OR(COUNTIF('1.연간시수표'!AF16,$BF$9),COUNTIF('1.연간시수표'!AF16,$BF$7),COUNTIF('1.연간시수표'!AF16,$BG$9),COUNTIF('1.연간시수표'!AF16,$BG$7),COUNTIF('1.연간시수표'!AF16,$BH$9),COUNTIF('1.연간시수표'!AF16,$BH$7),COUNTIF('1.연간시수표'!AF16,$BI$9),COUNTIF('1.연간시수표'!AF16,$BI$7),COUNTIF('1.연간시수표'!AF16,$BJ$9),COUNTIF('1.연간시수표'!AF16,$BJ$7),COUNTIF('1.연간시수표'!AF16,$BK$9),COUNTIF('1.연간시수표'!AF16,$BK$7),COUNTIF('1.연간시수표'!AF16,$BL$9),COUNTIF('1.연간시수표'!AF16,$BL$7),COUNTIF('1.연간시수표'!AF16,$BM$9),COUNTIF('1.연간시수표'!AF16,$BM$7)),$BF$6,IF(OR(COUNTIF('1.연간시수표'!AF16,$BO$9),COUNTIF('1.연간시수표'!AF16,$BO$7)),$BO$6,IF(OR(COUNTIF('1.연간시수표'!AF16,$BP$9),COUNTIF('1.연간시수표'!AF16,$BP$7)),$BP$6,IF(OR(COUNTIF('1.연간시수표'!AF16,$BQ$9),COUNTIF('1.연간시수표'!AF16,$BQ$7)),$BQ$6,IF(OR(COUNTIF('1.연간시수표'!AF16,$BR$9),COUNTIF('1.연간시수표'!AF16,$BR$7)),$BR$6,"_")))))))))))))))</f>
        <v>영어</v>
      </c>
      <c r="AG16" s="148" t="str">
        <f>IF(OR(COUNTIF('1.연간시수표'!AG16,$AT$9),COUNTIF('1.연간시수표'!AG16,$AT$7)),$AT$6,IF(OR(COUNTIF('1.연간시수표'!AG16,$AU$9),COUNTIF('1.연간시수표'!AG16,$AU$7)),$AU$6,IF(OR(COUNTIF('1.연간시수표'!AG16,$AV$9),COUNTIF('1.연간시수표'!AG16,$AV$7)),$AV$6,IF(OR(COUNTIF('1.연간시수표'!AG16,$AW$9),COUNTIF('1.연간시수표'!AG16,$AW$7)),$AW$6,IF(OR(COUNTIF('1.연간시수표'!AG16,$AX$9),COUNTIF('1.연간시수표'!AG16,$AX$7)),$AX$6,IF(OR(COUNTIF('1.연간시수표'!AG16,$AY$9),COUNTIF('1.연간시수표'!AG16,$AY$7)),$AY$6,IF(OR(COUNTIF('1.연간시수표'!AG16,$AZ$9),COUNTIF('1.연간시수표'!AG16,$AZ$7)),$AZ$6,IF(OR(COUNTIF('1.연간시수표'!AG16,$BA$9),COUNTIF('1.연간시수표'!AG16,$BA$7)),$BA$6,IF(OR(COUNTIF('1.연간시수표'!AG16,$BB$9),COUNTIF('1.연간시수표'!AG16,$BB$7)),$BB$6,IF(OR(COUNTIF('1.연간시수표'!AG16,$BC$9),COUNTIF('1.연간시수표'!AG16,$BC$7)),$BC$6,IF(OR(COUNTIF('1.연간시수표'!AG16,$BF$9),COUNTIF('1.연간시수표'!AG16,$BF$7),COUNTIF('1.연간시수표'!AG16,$BG$9),COUNTIF('1.연간시수표'!AG16,$BG$7),COUNTIF('1.연간시수표'!AG16,$BH$9),COUNTIF('1.연간시수표'!AG16,$BH$7),COUNTIF('1.연간시수표'!AG16,$BI$9),COUNTIF('1.연간시수표'!AG16,$BI$7),COUNTIF('1.연간시수표'!AG16,$BJ$9),COUNTIF('1.연간시수표'!AG16,$BJ$7),COUNTIF('1.연간시수표'!AG16,$BK$9),COUNTIF('1.연간시수표'!AG16,$BK$7),COUNTIF('1.연간시수표'!AG16,$BL$9),COUNTIF('1.연간시수표'!AG16,$BL$7),COUNTIF('1.연간시수표'!AG16,$BM$9),COUNTIF('1.연간시수표'!AG16,$BM$7)),$BF$6,IF(OR(COUNTIF('1.연간시수표'!AG16,$BO$9),COUNTIF('1.연간시수표'!AG16,$BO$7)),$BO$6,IF(OR(COUNTIF('1.연간시수표'!AG16,$BP$9),COUNTIF('1.연간시수표'!AG16,$BP$7)),$BP$6,IF(OR(COUNTIF('1.연간시수표'!AG16,$BQ$9),COUNTIF('1.연간시수표'!AG16,$BQ$7)),$BQ$6,IF(OR(COUNTIF('1.연간시수표'!AG16,$BR$9),COUNTIF('1.연간시수표'!AG16,$BR$7)),$BR$6,"_")))))))))))))))</f>
        <v>과학</v>
      </c>
      <c r="AH16" s="148" t="str">
        <f>IF(OR(COUNTIF('1.연간시수표'!AH16,$AT$9),COUNTIF('1.연간시수표'!AH16,$AT$7)),$AT$6,IF(OR(COUNTIF('1.연간시수표'!AH16,$AU$9),COUNTIF('1.연간시수표'!AH16,$AU$7)),$AU$6,IF(OR(COUNTIF('1.연간시수표'!AH16,$AV$9),COUNTIF('1.연간시수표'!AH16,$AV$7)),$AV$6,IF(OR(COUNTIF('1.연간시수표'!AH16,$AW$9),COUNTIF('1.연간시수표'!AH16,$AW$7)),$AW$6,IF(OR(COUNTIF('1.연간시수표'!AH16,$AX$9),COUNTIF('1.연간시수표'!AH16,$AX$7)),$AX$6,IF(OR(COUNTIF('1.연간시수표'!AH16,$AY$9),COUNTIF('1.연간시수표'!AH16,$AY$7)),$AY$6,IF(OR(COUNTIF('1.연간시수표'!AH16,$AZ$9),COUNTIF('1.연간시수표'!AH16,$AZ$7)),$AZ$6,IF(OR(COUNTIF('1.연간시수표'!AH16,$BA$9),COUNTIF('1.연간시수표'!AH16,$BA$7)),$BA$6,IF(OR(COUNTIF('1.연간시수표'!AH16,$BB$9),COUNTIF('1.연간시수표'!AH16,$BB$7)),$BB$6,IF(OR(COUNTIF('1.연간시수표'!AH16,$BC$9),COUNTIF('1.연간시수표'!AH16,$BC$7)),$BC$6,IF(OR(COUNTIF('1.연간시수표'!AH16,$BF$9),COUNTIF('1.연간시수표'!AH16,$BF$7),COUNTIF('1.연간시수표'!AH16,$BG$9),COUNTIF('1.연간시수표'!AH16,$BG$7),COUNTIF('1.연간시수표'!AH16,$BH$9),COUNTIF('1.연간시수표'!AH16,$BH$7),COUNTIF('1.연간시수표'!AH16,$BI$9),COUNTIF('1.연간시수표'!AH16,$BI$7),COUNTIF('1.연간시수표'!AH16,$BJ$9),COUNTIF('1.연간시수표'!AH16,$BJ$7),COUNTIF('1.연간시수표'!AH16,$BK$9),COUNTIF('1.연간시수표'!AH16,$BK$7),COUNTIF('1.연간시수표'!AH16,$BL$9),COUNTIF('1.연간시수표'!AH16,$BL$7),COUNTIF('1.연간시수표'!AH16,$BM$9),COUNTIF('1.연간시수표'!AH16,$BM$7)),$BF$6,IF(OR(COUNTIF('1.연간시수표'!AH16,$BO$9),COUNTIF('1.연간시수표'!AH16,$BO$7)),$BO$6,IF(OR(COUNTIF('1.연간시수표'!AH16,$BP$9),COUNTIF('1.연간시수표'!AH16,$BP$7)),$BP$6,IF(OR(COUNTIF('1.연간시수표'!AH16,$BQ$9),COUNTIF('1.연간시수표'!AH16,$BQ$7)),$BQ$6,IF(OR(COUNTIF('1.연간시수표'!AH16,$BR$9),COUNTIF('1.연간시수표'!AH16,$BR$7)),$BR$6,"_")))))))))))))))</f>
        <v>음악</v>
      </c>
      <c r="AI16" s="148" t="str">
        <f>IF(OR(COUNTIF('1.연간시수표'!AI16,$AT$9),COUNTIF('1.연간시수표'!AI16,$AT$7)),$AT$6,IF(OR(COUNTIF('1.연간시수표'!AI16,$AU$9),COUNTIF('1.연간시수표'!AI16,$AU$7)),$AU$6,IF(OR(COUNTIF('1.연간시수표'!AI16,$AV$9),COUNTIF('1.연간시수표'!AI16,$AV$7)),$AV$6,IF(OR(COUNTIF('1.연간시수표'!AI16,$AW$9),COUNTIF('1.연간시수표'!AI16,$AW$7)),$AW$6,IF(OR(COUNTIF('1.연간시수표'!AI16,$AX$9),COUNTIF('1.연간시수표'!AI16,$AX$7)),$AX$6,IF(OR(COUNTIF('1.연간시수표'!AI16,$AY$9),COUNTIF('1.연간시수표'!AI16,$AY$7)),$AY$6,IF(OR(COUNTIF('1.연간시수표'!AI16,$AZ$9),COUNTIF('1.연간시수표'!AI16,$AZ$7)),$AZ$6,IF(OR(COUNTIF('1.연간시수표'!AI16,$BA$9),COUNTIF('1.연간시수표'!AI16,$BA$7)),$BA$6,IF(OR(COUNTIF('1.연간시수표'!AI16,$BB$9),COUNTIF('1.연간시수표'!AI16,$BB$7)),$BB$6,IF(OR(COUNTIF('1.연간시수표'!AI16,$BC$9),COUNTIF('1.연간시수표'!AI16,$BC$7)),$BC$6,IF(OR(COUNTIF('1.연간시수표'!AI16,$BF$9),COUNTIF('1.연간시수표'!AI16,$BF$7),COUNTIF('1.연간시수표'!AI16,$BG$9),COUNTIF('1.연간시수표'!AI16,$BG$7),COUNTIF('1.연간시수표'!AI16,$BH$9),COUNTIF('1.연간시수표'!AI16,$BH$7),COUNTIF('1.연간시수표'!AI16,$BI$9),COUNTIF('1.연간시수표'!AI16,$BI$7),COUNTIF('1.연간시수표'!AI16,$BJ$9),COUNTIF('1.연간시수표'!AI16,$BJ$7),COUNTIF('1.연간시수표'!AI16,$BK$9),COUNTIF('1.연간시수표'!AI16,$BK$7),COUNTIF('1.연간시수표'!AI16,$BL$9),COUNTIF('1.연간시수표'!AI16,$BL$7),COUNTIF('1.연간시수표'!AI16,$BM$9),COUNTIF('1.연간시수표'!AI16,$BM$7)),$BF$6,IF(OR(COUNTIF('1.연간시수표'!AI16,$BO$9),COUNTIF('1.연간시수표'!AI16,$BO$7)),$BO$6,IF(OR(COUNTIF('1.연간시수표'!AI16,$BP$9),COUNTIF('1.연간시수표'!AI16,$BP$7)),$BP$6,IF(OR(COUNTIF('1.연간시수표'!AI16,$BQ$9),COUNTIF('1.연간시수표'!AI16,$BQ$7)),$BQ$6,IF(OR(COUNTIF('1.연간시수표'!AI16,$BR$9),COUNTIF('1.연간시수표'!AI16,$BR$7)),$BR$6,"_")))))))))))))))</f>
        <v>_</v>
      </c>
      <c r="AJ16" s="148" t="str">
        <f>IF(OR(COUNTIF('1.연간시수표'!AJ16,$AT$9),COUNTIF('1.연간시수표'!AJ16,$AT$7)),$AT$6,IF(OR(COUNTIF('1.연간시수표'!AJ16,$AU$9),COUNTIF('1.연간시수표'!AJ16,$AU$7)),$AU$6,IF(OR(COUNTIF('1.연간시수표'!AJ16,$AV$9),COUNTIF('1.연간시수표'!AJ16,$AV$7)),$AV$6,IF(OR(COUNTIF('1.연간시수표'!AJ16,$AW$9),COUNTIF('1.연간시수표'!AJ16,$AW$7)),$AW$6,IF(OR(COUNTIF('1.연간시수표'!AJ16,$AX$9),COUNTIF('1.연간시수표'!AJ16,$AX$7)),$AX$6,IF(OR(COUNTIF('1.연간시수표'!AJ16,$AY$9),COUNTIF('1.연간시수표'!AJ16,$AY$7)),$AY$6,IF(OR(COUNTIF('1.연간시수표'!AJ16,$AZ$9),COUNTIF('1.연간시수표'!AJ16,$AZ$7)),$AZ$6,IF(OR(COUNTIF('1.연간시수표'!AJ16,$BA$9),COUNTIF('1.연간시수표'!AJ16,$BA$7)),$BA$6,IF(OR(COUNTIF('1.연간시수표'!AJ16,$BB$9),COUNTIF('1.연간시수표'!AJ16,$BB$7)),$BB$6,IF(OR(COUNTIF('1.연간시수표'!AJ16,$BC$9),COUNTIF('1.연간시수표'!AJ16,$BC$7)),$BC$6,IF(OR(COUNTIF('1.연간시수표'!AJ16,$BF$9),COUNTIF('1.연간시수표'!AJ16,$BF$7),COUNTIF('1.연간시수표'!AJ16,$BG$9),COUNTIF('1.연간시수표'!AJ16,$BG$7),COUNTIF('1.연간시수표'!AJ16,$BH$9),COUNTIF('1.연간시수표'!AJ16,$BH$7),COUNTIF('1.연간시수표'!AJ16,$BI$9),COUNTIF('1.연간시수표'!AJ16,$BI$7),COUNTIF('1.연간시수표'!AJ16,$BJ$9),COUNTIF('1.연간시수표'!AJ16,$BJ$7),COUNTIF('1.연간시수표'!AJ16,$BK$9),COUNTIF('1.연간시수표'!AJ16,$BK$7),COUNTIF('1.연간시수표'!AJ16,$BL$9),COUNTIF('1.연간시수표'!AJ16,$BL$7),COUNTIF('1.연간시수표'!AJ16,$BM$9),COUNTIF('1.연간시수표'!AJ16,$BM$7)),$BF$6,IF(OR(COUNTIF('1.연간시수표'!AJ16,$BO$9),COUNTIF('1.연간시수표'!AJ16,$BO$7)),$BO$6,IF(OR(COUNTIF('1.연간시수표'!AJ16,$BP$9),COUNTIF('1.연간시수표'!AJ16,$BP$7)),$BP$6,IF(OR(COUNTIF('1.연간시수표'!AJ16,$BQ$9),COUNTIF('1.연간시수표'!AJ16,$BQ$7)),$BQ$6,IF(OR(COUNTIF('1.연간시수표'!AJ16,$BR$9),COUNTIF('1.연간시수표'!AJ16,$BR$7)),$BR$6,"_")))))))))))))))</f>
        <v>_</v>
      </c>
      <c r="AK16" s="148" t="str">
        <f>IF(OR(COUNTIF('1.연간시수표'!AK16,$AT$9),COUNTIF('1.연간시수표'!AK16,$AT$7)),$AT$6,IF(OR(COUNTIF('1.연간시수표'!AK16,$AU$9),COUNTIF('1.연간시수표'!AK16,$AU$7)),$AU$6,IF(OR(COUNTIF('1.연간시수표'!AK16,$AV$9),COUNTIF('1.연간시수표'!AK16,$AV$7)),$AV$6,IF(OR(COUNTIF('1.연간시수표'!AK16,$AW$9),COUNTIF('1.연간시수표'!AK16,$AW$7)),$AW$6,IF(OR(COUNTIF('1.연간시수표'!AK16,$AX$9),COUNTIF('1.연간시수표'!AK16,$AX$7)),$AX$6,IF(OR(COUNTIF('1.연간시수표'!AK16,$AY$9),COUNTIF('1.연간시수표'!AK16,$AY$7)),$AY$6,IF(OR(COUNTIF('1.연간시수표'!AK16,$AZ$9),COUNTIF('1.연간시수표'!AK16,$AZ$7)),$AZ$6,IF(OR(COUNTIF('1.연간시수표'!AK16,$BA$9),COUNTIF('1.연간시수표'!AK16,$BA$7)),$BA$6,IF(OR(COUNTIF('1.연간시수표'!AK16,$BB$9),COUNTIF('1.연간시수표'!AK16,$BB$7)),$BB$6,IF(OR(COUNTIF('1.연간시수표'!AK16,$BC$9),COUNTIF('1.연간시수표'!AK16,$BC$7)),$BC$6,IF(OR(COUNTIF('1.연간시수표'!AK16,$BF$9),COUNTIF('1.연간시수표'!AK16,$BF$7),COUNTIF('1.연간시수표'!AK16,$BG$9),COUNTIF('1.연간시수표'!AK16,$BG$7),COUNTIF('1.연간시수표'!AK16,$BH$9),COUNTIF('1.연간시수표'!AK16,$BH$7),COUNTIF('1.연간시수표'!AK16,$BI$9),COUNTIF('1.연간시수표'!AK16,$BI$7),COUNTIF('1.연간시수표'!AK16,$BJ$9),COUNTIF('1.연간시수표'!AK16,$BJ$7),COUNTIF('1.연간시수표'!AK16,$BK$9),COUNTIF('1.연간시수표'!AK16,$BK$7),COUNTIF('1.연간시수표'!AK16,$BL$9),COUNTIF('1.연간시수표'!AK16,$BL$7),COUNTIF('1.연간시수표'!AK16,$BM$9),COUNTIF('1.연간시수표'!AK16,$BM$7)),$BF$6,IF(OR(COUNTIF('1.연간시수표'!AK16,$BO$9),COUNTIF('1.연간시수표'!AK16,$BO$7)),$BO$6,IF(OR(COUNTIF('1.연간시수표'!AK16,$BP$9),COUNTIF('1.연간시수표'!AK16,$BP$7)),$BP$6,IF(OR(COUNTIF('1.연간시수표'!AK16,$BQ$9),COUNTIF('1.연간시수표'!AK16,$BQ$7)),$BQ$6,IF(OR(COUNTIF('1.연간시수표'!AK16,$BR$9),COUNTIF('1.연간시수표'!AK16,$BR$7)),$BR$6,"_")))))))))))))))</f>
        <v>국어</v>
      </c>
      <c r="AL16" s="148" t="str">
        <f>IF(OR(COUNTIF('1.연간시수표'!AL16,$AT$9),COUNTIF('1.연간시수표'!AL16,$AT$7)),$AT$6,IF(OR(COUNTIF('1.연간시수표'!AL16,$AU$9),COUNTIF('1.연간시수표'!AL16,$AU$7)),$AU$6,IF(OR(COUNTIF('1.연간시수표'!AL16,$AV$9),COUNTIF('1.연간시수표'!AL16,$AV$7)),$AV$6,IF(OR(COUNTIF('1.연간시수표'!AL16,$AW$9),COUNTIF('1.연간시수표'!AL16,$AW$7)),$AW$6,IF(OR(COUNTIF('1.연간시수표'!AL16,$AX$9),COUNTIF('1.연간시수표'!AL16,$AX$7)),$AX$6,IF(OR(COUNTIF('1.연간시수표'!AL16,$AY$9),COUNTIF('1.연간시수표'!AL16,$AY$7)),$AY$6,IF(OR(COUNTIF('1.연간시수표'!AL16,$AZ$9),COUNTIF('1.연간시수표'!AL16,$AZ$7)),$AZ$6,IF(OR(COUNTIF('1.연간시수표'!AL16,$BA$9),COUNTIF('1.연간시수표'!AL16,$BA$7)),$BA$6,IF(OR(COUNTIF('1.연간시수표'!AL16,$BB$9),COUNTIF('1.연간시수표'!AL16,$BB$7)),$BB$6,IF(OR(COUNTIF('1.연간시수표'!AL16,$BC$9),COUNTIF('1.연간시수표'!AL16,$BC$7)),$BC$6,IF(OR(COUNTIF('1.연간시수표'!AL16,$BF$9),COUNTIF('1.연간시수표'!AL16,$BF$7),COUNTIF('1.연간시수표'!AL16,$BG$9),COUNTIF('1.연간시수표'!AL16,$BG$7),COUNTIF('1.연간시수표'!AL16,$BH$9),COUNTIF('1.연간시수표'!AL16,$BH$7),COUNTIF('1.연간시수표'!AL16,$BI$9),COUNTIF('1.연간시수표'!AL16,$BI$7),COUNTIF('1.연간시수표'!AL16,$BJ$9),COUNTIF('1.연간시수표'!AL16,$BJ$7),COUNTIF('1.연간시수표'!AL16,$BK$9),COUNTIF('1.연간시수표'!AL16,$BK$7),COUNTIF('1.연간시수표'!AL16,$BL$9),COUNTIF('1.연간시수표'!AL16,$BL$7),COUNTIF('1.연간시수표'!AL16,$BM$9),COUNTIF('1.연간시수표'!AL16,$BM$7)),$BF$6,IF(OR(COUNTIF('1.연간시수표'!AL16,$BO$9),COUNTIF('1.연간시수표'!AL16,$BO$7)),$BO$6,IF(OR(COUNTIF('1.연간시수표'!AL16,$BP$9),COUNTIF('1.연간시수표'!AL16,$BP$7)),$BP$6,IF(OR(COUNTIF('1.연간시수표'!AL16,$BQ$9),COUNTIF('1.연간시수표'!AL16,$BQ$7)),$BQ$6,IF(OR(COUNTIF('1.연간시수표'!AL16,$BR$9),COUNTIF('1.연간시수표'!AL16,$BR$7)),$BR$6,"_")))))))))))))))</f>
        <v>체육</v>
      </c>
      <c r="AM16" s="148" t="str">
        <f>IF(OR(COUNTIF('1.연간시수표'!AM16,$AT$9),COUNTIF('1.연간시수표'!AM16,$AT$7)),$AT$6,IF(OR(COUNTIF('1.연간시수표'!AM16,$AU$9),COUNTIF('1.연간시수표'!AM16,$AU$7)),$AU$6,IF(OR(COUNTIF('1.연간시수표'!AM16,$AV$9),COUNTIF('1.연간시수표'!AM16,$AV$7)),$AV$6,IF(OR(COUNTIF('1.연간시수표'!AM16,$AW$9),COUNTIF('1.연간시수표'!AM16,$AW$7)),$AW$6,IF(OR(COUNTIF('1.연간시수표'!AM16,$AX$9),COUNTIF('1.연간시수표'!AM16,$AX$7)),$AX$6,IF(OR(COUNTIF('1.연간시수표'!AM16,$AY$9),COUNTIF('1.연간시수표'!AM16,$AY$7)),$AY$6,IF(OR(COUNTIF('1.연간시수표'!AM16,$AZ$9),COUNTIF('1.연간시수표'!AM16,$AZ$7)),$AZ$6,IF(OR(COUNTIF('1.연간시수표'!AM16,$BA$9),COUNTIF('1.연간시수표'!AM16,$BA$7)),$BA$6,IF(OR(COUNTIF('1.연간시수표'!AM16,$BB$9),COUNTIF('1.연간시수표'!AM16,$BB$7)),$BB$6,IF(OR(COUNTIF('1.연간시수표'!AM16,$BC$9),COUNTIF('1.연간시수표'!AM16,$BC$7)),$BC$6,IF(OR(COUNTIF('1.연간시수표'!AM16,$BF$9),COUNTIF('1.연간시수표'!AM16,$BF$7),COUNTIF('1.연간시수표'!AM16,$BG$9),COUNTIF('1.연간시수표'!AM16,$BG$7),COUNTIF('1.연간시수표'!AM16,$BH$9),COUNTIF('1.연간시수표'!AM16,$BH$7),COUNTIF('1.연간시수표'!AM16,$BI$9),COUNTIF('1.연간시수표'!AM16,$BI$7),COUNTIF('1.연간시수표'!AM16,$BJ$9),COUNTIF('1.연간시수표'!AM16,$BJ$7),COUNTIF('1.연간시수표'!AM16,$BK$9),COUNTIF('1.연간시수표'!AM16,$BK$7),COUNTIF('1.연간시수표'!AM16,$BL$9),COUNTIF('1.연간시수표'!AM16,$BL$7),COUNTIF('1.연간시수표'!AM16,$BM$9),COUNTIF('1.연간시수표'!AM16,$BM$7)),$BF$6,IF(OR(COUNTIF('1.연간시수표'!AM16,$BO$9),COUNTIF('1.연간시수표'!AM16,$BO$7)),$BO$6,IF(OR(COUNTIF('1.연간시수표'!AM16,$BP$9),COUNTIF('1.연간시수표'!AM16,$BP$7)),$BP$6,IF(OR(COUNTIF('1.연간시수표'!AM16,$BQ$9),COUNTIF('1.연간시수표'!AM16,$BQ$7)),$BQ$6,IF(OR(COUNTIF('1.연간시수표'!AM16,$BR$9),COUNTIF('1.연간시수표'!AM16,$BR$7)),$BR$6,"_")))))))))))))))</f>
        <v>수학</v>
      </c>
      <c r="AN16" s="148" t="str">
        <f>IF(OR(COUNTIF('1.연간시수표'!AN16,$AT$9),COUNTIF('1.연간시수표'!AN16,$AT$7)),$AT$6,IF(OR(COUNTIF('1.연간시수표'!AN16,$AU$9),COUNTIF('1.연간시수표'!AN16,$AU$7)),$AU$6,IF(OR(COUNTIF('1.연간시수표'!AN16,$AV$9),COUNTIF('1.연간시수표'!AN16,$AV$7)),$AV$6,IF(OR(COUNTIF('1.연간시수표'!AN16,$AW$9),COUNTIF('1.연간시수표'!AN16,$AW$7)),$AW$6,IF(OR(COUNTIF('1.연간시수표'!AN16,$AX$9),COUNTIF('1.연간시수표'!AN16,$AX$7)),$AX$6,IF(OR(COUNTIF('1.연간시수표'!AN16,$AY$9),COUNTIF('1.연간시수표'!AN16,$AY$7)),$AY$6,IF(OR(COUNTIF('1.연간시수표'!AN16,$AZ$9),COUNTIF('1.연간시수표'!AN16,$AZ$7)),$AZ$6,IF(OR(COUNTIF('1.연간시수표'!AN16,$BA$9),COUNTIF('1.연간시수표'!AN16,$BA$7)),$BA$6,IF(OR(COUNTIF('1.연간시수표'!AN16,$BB$9),COUNTIF('1.연간시수표'!AN16,$BB$7)),$BB$6,IF(OR(COUNTIF('1.연간시수표'!AN16,$BC$9),COUNTIF('1.연간시수표'!AN16,$BC$7)),$BC$6,IF(OR(COUNTIF('1.연간시수표'!AN16,$BF$9),COUNTIF('1.연간시수표'!AN16,$BF$7),COUNTIF('1.연간시수표'!AN16,$BG$9),COUNTIF('1.연간시수표'!AN16,$BG$7),COUNTIF('1.연간시수표'!AN16,$BH$9),COUNTIF('1.연간시수표'!AN16,$BH$7),COUNTIF('1.연간시수표'!AN16,$BI$9),COUNTIF('1.연간시수표'!AN16,$BI$7),COUNTIF('1.연간시수표'!AN16,$BJ$9),COUNTIF('1.연간시수표'!AN16,$BJ$7),COUNTIF('1.연간시수표'!AN16,$BK$9),COUNTIF('1.연간시수표'!AN16,$BK$7),COUNTIF('1.연간시수표'!AN16,$BL$9),COUNTIF('1.연간시수표'!AN16,$BL$7),COUNTIF('1.연간시수표'!AN16,$BM$9),COUNTIF('1.연간시수표'!AN16,$BM$7)),$BF$6,IF(OR(COUNTIF('1.연간시수표'!AN16,$BO$9),COUNTIF('1.연간시수표'!AN16,$BO$7)),$BO$6,IF(OR(COUNTIF('1.연간시수표'!AN16,$BP$9),COUNTIF('1.연간시수표'!AN16,$BP$7)),$BP$6,IF(OR(COUNTIF('1.연간시수표'!AN16,$BQ$9),COUNTIF('1.연간시수표'!AN16,$BQ$7)),$BQ$6,IF(OR(COUNTIF('1.연간시수표'!AN16,$BR$9),COUNTIF('1.연간시수표'!AN16,$BR$7)),$BR$6,"_")))))))))))))))</f>
        <v>국어</v>
      </c>
      <c r="AO16" s="148" t="str">
        <f>IF(OR(COUNTIF('1.연간시수표'!AO16,$AT$9),COUNTIF('1.연간시수표'!AO16,$AT$7)),$AT$6,IF(OR(COUNTIF('1.연간시수표'!AO16,$AU$9),COUNTIF('1.연간시수표'!AO16,$AU$7)),$AU$6,IF(OR(COUNTIF('1.연간시수표'!AO16,$AV$9),COUNTIF('1.연간시수표'!AO16,$AV$7)),$AV$6,IF(OR(COUNTIF('1.연간시수표'!AO16,$AW$9),COUNTIF('1.연간시수표'!AO16,$AW$7)),$AW$6,IF(OR(COUNTIF('1.연간시수표'!AO16,$AX$9),COUNTIF('1.연간시수표'!AO16,$AX$7)),$AX$6,IF(OR(COUNTIF('1.연간시수표'!AO16,$AY$9),COUNTIF('1.연간시수표'!AO16,$AY$7)),$AY$6,IF(OR(COUNTIF('1.연간시수표'!AO16,$AZ$9),COUNTIF('1.연간시수표'!AO16,$AZ$7)),$AZ$6,IF(OR(COUNTIF('1.연간시수표'!AO16,$BA$9),COUNTIF('1.연간시수표'!AO16,$BA$7)),$BA$6,IF(OR(COUNTIF('1.연간시수표'!AO16,$BB$9),COUNTIF('1.연간시수표'!AO16,$BB$7)),$BB$6,IF(OR(COUNTIF('1.연간시수표'!AO16,$BC$9),COUNTIF('1.연간시수표'!AO16,$BC$7)),$BC$6,IF(OR(COUNTIF('1.연간시수표'!AO16,$BF$9),COUNTIF('1.연간시수표'!AO16,$BF$7),COUNTIF('1.연간시수표'!AO16,$BG$9),COUNTIF('1.연간시수표'!AO16,$BG$7),COUNTIF('1.연간시수표'!AO16,$BH$9),COUNTIF('1.연간시수표'!AO16,$BH$7),COUNTIF('1.연간시수표'!AO16,$BI$9),COUNTIF('1.연간시수표'!AO16,$BI$7),COUNTIF('1.연간시수표'!AO16,$BJ$9),COUNTIF('1.연간시수표'!AO16,$BJ$7),COUNTIF('1.연간시수표'!AO16,$BK$9),COUNTIF('1.연간시수표'!AO16,$BK$7),COUNTIF('1.연간시수표'!AO16,$BL$9),COUNTIF('1.연간시수표'!AO16,$BL$7),COUNTIF('1.연간시수표'!AO16,$BM$9),COUNTIF('1.연간시수표'!AO16,$BM$7)),$BF$6,IF(OR(COUNTIF('1.연간시수표'!AO16,$BO$9),COUNTIF('1.연간시수표'!AO16,$BO$7)),$BO$6,IF(OR(COUNTIF('1.연간시수표'!AO16,$BP$9),COUNTIF('1.연간시수표'!AO16,$BP$7)),$BP$6,IF(OR(COUNTIF('1.연간시수표'!AO16,$BQ$9),COUNTIF('1.연간시수표'!AO16,$BQ$7)),$BQ$6,IF(OR(COUNTIF('1.연간시수표'!AO16,$BR$9),COUNTIF('1.연간시수표'!AO16,$BR$7)),$BR$6,"_")))))))))))))))</f>
        <v>사회</v>
      </c>
      <c r="AP16" s="148" t="str">
        <f>IF(OR(COUNTIF('1.연간시수표'!AP16,$AT$9),COUNTIF('1.연간시수표'!AP16,$AT$7)),$AT$6,IF(OR(COUNTIF('1.연간시수표'!AP16,$AU$9),COUNTIF('1.연간시수표'!AP16,$AU$7)),$AU$6,IF(OR(COUNTIF('1.연간시수표'!AP16,$AV$9),COUNTIF('1.연간시수표'!AP16,$AV$7)),$AV$6,IF(OR(COUNTIF('1.연간시수표'!AP16,$AW$9),COUNTIF('1.연간시수표'!AP16,$AW$7)),$AW$6,IF(OR(COUNTIF('1.연간시수표'!AP16,$AX$9),COUNTIF('1.연간시수표'!AP16,$AX$7)),$AX$6,IF(OR(COUNTIF('1.연간시수표'!AP16,$AY$9),COUNTIF('1.연간시수표'!AP16,$AY$7)),$AY$6,IF(OR(COUNTIF('1.연간시수표'!AP16,$AZ$9),COUNTIF('1.연간시수표'!AP16,$AZ$7)),$AZ$6,IF(OR(COUNTIF('1.연간시수표'!AP16,$BA$9),COUNTIF('1.연간시수표'!AP16,$BA$7)),$BA$6,IF(OR(COUNTIF('1.연간시수표'!AP16,$BB$9),COUNTIF('1.연간시수표'!AP16,$BB$7)),$BB$6,IF(OR(COUNTIF('1.연간시수표'!AP16,$BC$9),COUNTIF('1.연간시수표'!AP16,$BC$7)),$BC$6,IF(OR(COUNTIF('1.연간시수표'!AP16,$BF$9),COUNTIF('1.연간시수표'!AP16,$BF$7),COUNTIF('1.연간시수표'!AP16,$BG$9),COUNTIF('1.연간시수표'!AP16,$BG$7),COUNTIF('1.연간시수표'!AP16,$BH$9),COUNTIF('1.연간시수표'!AP16,$BH$7),COUNTIF('1.연간시수표'!AP16,$BI$9),COUNTIF('1.연간시수표'!AP16,$BI$7),COUNTIF('1.연간시수표'!AP16,$BJ$9),COUNTIF('1.연간시수표'!AP16,$BJ$7),COUNTIF('1.연간시수표'!AP16,$BK$9),COUNTIF('1.연간시수표'!AP16,$BK$7),COUNTIF('1.연간시수표'!AP16,$BL$9),COUNTIF('1.연간시수표'!AP16,$BL$7),COUNTIF('1.연간시수표'!AP16,$BM$9),COUNTIF('1.연간시수표'!AP16,$BM$7)),$BF$6,IF(OR(COUNTIF('1.연간시수표'!AP16,$BO$9),COUNTIF('1.연간시수표'!AP16,$BO$7)),$BO$6,IF(OR(COUNTIF('1.연간시수표'!AP16,$BP$9),COUNTIF('1.연간시수표'!AP16,$BP$7)),$BP$6,IF(OR(COUNTIF('1.연간시수표'!AP16,$BQ$9),COUNTIF('1.연간시수표'!AP16,$BQ$7)),$BQ$6,IF(OR(COUNTIF('1.연간시수표'!AP16,$BR$9),COUNTIF('1.연간시수표'!AP16,$BR$7)),$BR$6,"_")))))))))))))))</f>
        <v>실과</v>
      </c>
      <c r="AQ16" s="148" t="str">
        <f>IF(OR(COUNTIF('1.연간시수표'!AQ16,$AT$9),COUNTIF('1.연간시수표'!AQ16,$AT$7)),$AT$6,IF(OR(COUNTIF('1.연간시수표'!AQ16,$AU$9),COUNTIF('1.연간시수표'!AQ16,$AU$7)),$AU$6,IF(OR(COUNTIF('1.연간시수표'!AQ16,$AV$9),COUNTIF('1.연간시수표'!AQ16,$AV$7)),$AV$6,IF(OR(COUNTIF('1.연간시수표'!AQ16,$AW$9),COUNTIF('1.연간시수표'!AQ16,$AW$7)),$AW$6,IF(OR(COUNTIF('1.연간시수표'!AQ16,$AX$9),COUNTIF('1.연간시수표'!AQ16,$AX$7)),$AX$6,IF(OR(COUNTIF('1.연간시수표'!AQ16,$AY$9),COUNTIF('1.연간시수표'!AQ16,$AY$7)),$AY$6,IF(OR(COUNTIF('1.연간시수표'!AQ16,$AZ$9),COUNTIF('1.연간시수표'!AQ16,$AZ$7)),$AZ$6,IF(OR(COUNTIF('1.연간시수표'!AQ16,$BA$9),COUNTIF('1.연간시수표'!AQ16,$BA$7)),$BA$6,IF(OR(COUNTIF('1.연간시수표'!AQ16,$BB$9),COUNTIF('1.연간시수표'!AQ16,$BB$7)),$BB$6,IF(OR(COUNTIF('1.연간시수표'!AQ16,$BC$9),COUNTIF('1.연간시수표'!AQ16,$BC$7)),$BC$6,IF(OR(COUNTIF('1.연간시수표'!AQ16,$BF$9),COUNTIF('1.연간시수표'!AQ16,$BF$7),COUNTIF('1.연간시수표'!AQ16,$BG$9),COUNTIF('1.연간시수표'!AQ16,$BG$7),COUNTIF('1.연간시수표'!AQ16,$BH$9),COUNTIF('1.연간시수표'!AQ16,$BH$7),COUNTIF('1.연간시수표'!AQ16,$BI$9),COUNTIF('1.연간시수표'!AQ16,$BI$7),COUNTIF('1.연간시수표'!AQ16,$BJ$9),COUNTIF('1.연간시수표'!AQ16,$BJ$7),COUNTIF('1.연간시수표'!AQ16,$BK$9),COUNTIF('1.연간시수표'!AQ16,$BK$7),COUNTIF('1.연간시수표'!AQ16,$BL$9),COUNTIF('1.연간시수표'!AQ16,$BL$7),COUNTIF('1.연간시수표'!AQ16,$BM$9),COUNTIF('1.연간시수표'!AQ16,$BM$7)),$BF$6,IF(OR(COUNTIF('1.연간시수표'!AQ16,$BO$9),COUNTIF('1.연간시수표'!AQ16,$BO$7)),$BO$6,IF(OR(COUNTIF('1.연간시수표'!AQ16,$BP$9),COUNTIF('1.연간시수표'!AQ16,$BP$7)),$BP$6,IF(OR(COUNTIF('1.연간시수표'!AQ16,$BQ$9),COUNTIF('1.연간시수표'!AQ16,$BQ$7)),$BQ$6,IF(OR(COUNTIF('1.연간시수표'!AQ16,$BR$9),COUNTIF('1.연간시수표'!AQ16,$BR$7)),$BR$6,"_")))))))))))))))</f>
        <v>_</v>
      </c>
      <c r="AR16" s="148" t="str">
        <f>IF(OR(COUNTIF('1.연간시수표'!AR16,$AT$9),COUNTIF('1.연간시수표'!AR16,$AT$7)),$AT$6,IF(OR(COUNTIF('1.연간시수표'!AR16,$AU$9),COUNTIF('1.연간시수표'!AR16,$AU$7)),$AU$6,IF(OR(COUNTIF('1.연간시수표'!AR16,$AV$9),COUNTIF('1.연간시수표'!AR16,$AV$7)),$AV$6,IF(OR(COUNTIF('1.연간시수표'!AR16,$AW$9),COUNTIF('1.연간시수표'!AR16,$AW$7)),$AW$6,IF(OR(COUNTIF('1.연간시수표'!AR16,$AX$9),COUNTIF('1.연간시수표'!AR16,$AX$7)),$AX$6,IF(OR(COUNTIF('1.연간시수표'!AR16,$AY$9),COUNTIF('1.연간시수표'!AR16,$AY$7)),$AY$6,IF(OR(COUNTIF('1.연간시수표'!AR16,$AZ$9),COUNTIF('1.연간시수표'!AR16,$AZ$7)),$AZ$6,IF(OR(COUNTIF('1.연간시수표'!AR16,$BA$9),COUNTIF('1.연간시수표'!AR16,$BA$7)),$BA$6,IF(OR(COUNTIF('1.연간시수표'!AR16,$BB$9),COUNTIF('1.연간시수표'!AR16,$BB$7)),$BB$6,IF(OR(COUNTIF('1.연간시수표'!AR16,$BC$9),COUNTIF('1.연간시수표'!AR16,$BC$7)),$BC$6,IF(OR(COUNTIF('1.연간시수표'!AR16,$BF$9),COUNTIF('1.연간시수표'!AR16,$BF$7),COUNTIF('1.연간시수표'!AR16,$BG$9),COUNTIF('1.연간시수표'!AR16,$BG$7),COUNTIF('1.연간시수표'!AR16,$BH$9),COUNTIF('1.연간시수표'!AR16,$BH$7),COUNTIF('1.연간시수표'!AR16,$BI$9),COUNTIF('1.연간시수표'!AR16,$BI$7),COUNTIF('1.연간시수표'!AR16,$BJ$9),COUNTIF('1.연간시수표'!AR16,$BJ$7),COUNTIF('1.연간시수표'!AR16,$BK$9),COUNTIF('1.연간시수표'!AR16,$BK$7),COUNTIF('1.연간시수표'!AR16,$BL$9),COUNTIF('1.연간시수표'!AR16,$BL$7),COUNTIF('1.연간시수표'!AR16,$BM$9),COUNTIF('1.연간시수표'!AR16,$BM$7)),$BF$6,IF(OR(COUNTIF('1.연간시수표'!AR16,$BO$9),COUNTIF('1.연간시수표'!AR16,$BO$7)),$BO$6,IF(OR(COUNTIF('1.연간시수표'!AR16,$BP$9),COUNTIF('1.연간시수표'!AR16,$BP$7)),$BP$6,IF(OR(COUNTIF('1.연간시수표'!AR16,$BQ$9),COUNTIF('1.연간시수표'!AR16,$BQ$7)),$BQ$6,IF(OR(COUNTIF('1.연간시수표'!AR16,$BR$9),COUNTIF('1.연간시수표'!AR16,$BR$7)),$BR$6,"_")))))))))))))))</f>
        <v>_</v>
      </c>
      <c r="BU16" s="142" t="str">
        <f>AW6</f>
        <v>수학</v>
      </c>
      <c r="BV16" s="142" t="str">
        <f t="shared" si="0"/>
        <v>수학</v>
      </c>
    </row>
    <row r="17" spans="2:74">
      <c r="B17" s="6"/>
      <c r="C17" s="79">
        <f>'1.연간시수표'!C17</f>
        <v>8</v>
      </c>
      <c r="D17" s="3"/>
      <c r="E17" s="148" t="str">
        <f>IF(OR(COUNTIF('1.연간시수표'!E17,$AT$9),COUNTIF('1.연간시수표'!E17,$AT$7)),$AT$6,IF(OR(COUNTIF('1.연간시수표'!E17,$AU$9),COUNTIF('1.연간시수표'!E17,$AU$7)),$AU$6,IF(OR(COUNTIF('1.연간시수표'!E17,$AV$9),COUNTIF('1.연간시수표'!E17,$AV$7)),$AV$6,IF(OR(COUNTIF('1.연간시수표'!E17,$AW$9),COUNTIF('1.연간시수표'!E17,$AW$7)),$AW$6,IF(OR(COUNTIF('1.연간시수표'!E17,$AX$9),COUNTIF('1.연간시수표'!E17,$AX$7)),$AX$6,IF(OR(COUNTIF('1.연간시수표'!E17,$AY$9),COUNTIF('1.연간시수표'!E17,$AY$7)),$AY$6,IF(OR(COUNTIF('1.연간시수표'!E17,$AZ$9),COUNTIF('1.연간시수표'!E17,$AZ$7)),$AZ$6,IF(OR(COUNTIF('1.연간시수표'!E17,$BA$9),COUNTIF('1.연간시수표'!E17,$BA$7)),$BA$6,IF(OR(COUNTIF('1.연간시수표'!E17,$BB$9),COUNTIF('1.연간시수표'!E17,$BB$7)),$BB$6,IF(OR(COUNTIF('1.연간시수표'!E17,$BC$9),COUNTIF('1.연간시수표'!E17,$BC$7)),$BC$6,IF(OR(COUNTIF('1.연간시수표'!E17,$BF$9),COUNTIF('1.연간시수표'!E17,$BF$7),COUNTIF('1.연간시수표'!E17,$BG$9),COUNTIF('1.연간시수표'!E17,$BG$7),COUNTIF('1.연간시수표'!E17,$BH$9),COUNTIF('1.연간시수표'!E17,$BH$7),COUNTIF('1.연간시수표'!E17,$BI$9),COUNTIF('1.연간시수표'!E17,$BI$7),COUNTIF('1.연간시수표'!E17,$BJ$9),COUNTIF('1.연간시수표'!E17,$BJ$7),COUNTIF('1.연간시수표'!E17,$BK$9),COUNTIF('1.연간시수표'!E17,$BK$7),COUNTIF('1.연간시수표'!E17,$BL$9),COUNTIF('1.연간시수표'!E17,$BL$7),COUNTIF('1.연간시수표'!E17,$BM$9),COUNTIF('1.연간시수표'!E17,$BM$7)),$BF$6,IF(OR(COUNTIF('1.연간시수표'!E17,$BO$9),COUNTIF('1.연간시수표'!E17,$BO$7)),$BO$6,IF(OR(COUNTIF('1.연간시수표'!E17,$BP$9),COUNTIF('1.연간시수표'!E17,$BP$7)),$BP$6,IF(OR(COUNTIF('1.연간시수표'!E17,$BQ$9),COUNTIF('1.연간시수표'!E17,$BQ$7)),$BQ$6,IF(OR(COUNTIF('1.연간시수표'!E17,$BR$9),COUNTIF('1.연간시수표'!E17,$BR$7)),$BR$6,"_")))))))))))))))</f>
        <v>국어</v>
      </c>
      <c r="F17" s="148" t="str">
        <f>IF(OR(COUNTIF('1.연간시수표'!F17,$AT$9),COUNTIF('1.연간시수표'!F17,$AT$7)),$AT$6,IF(OR(COUNTIF('1.연간시수표'!F17,$AU$9),COUNTIF('1.연간시수표'!F17,$AU$7)),$AU$6,IF(OR(COUNTIF('1.연간시수표'!F17,$AV$9),COUNTIF('1.연간시수표'!F17,$AV$7)),$AV$6,IF(OR(COUNTIF('1.연간시수표'!F17,$AW$9),COUNTIF('1.연간시수표'!F17,$AW$7)),$AW$6,IF(OR(COUNTIF('1.연간시수표'!F17,$AX$9),COUNTIF('1.연간시수표'!F17,$AX$7)),$AX$6,IF(OR(COUNTIF('1.연간시수표'!F17,$AY$9),COUNTIF('1.연간시수표'!F17,$AY$7)),$AY$6,IF(OR(COUNTIF('1.연간시수표'!F17,$AZ$9),COUNTIF('1.연간시수표'!F17,$AZ$7)),$AZ$6,IF(OR(COUNTIF('1.연간시수표'!F17,$BA$9),COUNTIF('1.연간시수표'!F17,$BA$7)),$BA$6,IF(OR(COUNTIF('1.연간시수표'!F17,$BB$9),COUNTIF('1.연간시수표'!F17,$BB$7)),$BB$6,IF(OR(COUNTIF('1.연간시수표'!F17,$BC$9),COUNTIF('1.연간시수표'!F17,$BC$7)),$BC$6,IF(OR(COUNTIF('1.연간시수표'!F17,$BF$9),COUNTIF('1.연간시수표'!F17,$BF$7),COUNTIF('1.연간시수표'!F17,$BG$9),COUNTIF('1.연간시수표'!F17,$BG$7),COUNTIF('1.연간시수표'!F17,$BH$9),COUNTIF('1.연간시수표'!F17,$BH$7),COUNTIF('1.연간시수표'!F17,$BI$9),COUNTIF('1.연간시수표'!F17,$BI$7),COUNTIF('1.연간시수표'!F17,$BJ$9),COUNTIF('1.연간시수표'!F17,$BJ$7),COUNTIF('1.연간시수표'!F17,$BK$9),COUNTIF('1.연간시수표'!F17,$BK$7),COUNTIF('1.연간시수표'!F17,$BL$9),COUNTIF('1.연간시수표'!F17,$BL$7),COUNTIF('1.연간시수표'!F17,$BM$9),COUNTIF('1.연간시수표'!F17,$BM$7)),$BF$6,IF(OR(COUNTIF('1.연간시수표'!F17,$BO$9),COUNTIF('1.연간시수표'!F17,$BO$7)),$BO$6,IF(OR(COUNTIF('1.연간시수표'!F17,$BP$9),COUNTIF('1.연간시수표'!F17,$BP$7)),$BP$6,IF(OR(COUNTIF('1.연간시수표'!F17,$BQ$9),COUNTIF('1.연간시수표'!F17,$BQ$7)),$BQ$6,IF(OR(COUNTIF('1.연간시수표'!F17,$BR$9),COUNTIF('1.연간시수표'!F17,$BR$7)),$BR$6,"_")))))))))))))))</f>
        <v>미술</v>
      </c>
      <c r="G17" s="148" t="str">
        <f>IF(OR(COUNTIF('1.연간시수표'!G17,$AT$9),COUNTIF('1.연간시수표'!G17,$AT$7)),$AT$6,IF(OR(COUNTIF('1.연간시수표'!G17,$AU$9),COUNTIF('1.연간시수표'!G17,$AU$7)),$AU$6,IF(OR(COUNTIF('1.연간시수표'!G17,$AV$9),COUNTIF('1.연간시수표'!G17,$AV$7)),$AV$6,IF(OR(COUNTIF('1.연간시수표'!G17,$AW$9),COUNTIF('1.연간시수표'!G17,$AW$7)),$AW$6,IF(OR(COUNTIF('1.연간시수표'!G17,$AX$9),COUNTIF('1.연간시수표'!G17,$AX$7)),$AX$6,IF(OR(COUNTIF('1.연간시수표'!G17,$AY$9),COUNTIF('1.연간시수표'!G17,$AY$7)),$AY$6,IF(OR(COUNTIF('1.연간시수표'!G17,$AZ$9),COUNTIF('1.연간시수표'!G17,$AZ$7)),$AZ$6,IF(OR(COUNTIF('1.연간시수표'!G17,$BA$9),COUNTIF('1.연간시수표'!G17,$BA$7)),$BA$6,IF(OR(COUNTIF('1.연간시수표'!G17,$BB$9),COUNTIF('1.연간시수표'!G17,$BB$7)),$BB$6,IF(OR(COUNTIF('1.연간시수표'!G17,$BC$9),COUNTIF('1.연간시수표'!G17,$BC$7)),$BC$6,IF(OR(COUNTIF('1.연간시수표'!G17,$BF$9),COUNTIF('1.연간시수표'!G17,$BF$7),COUNTIF('1.연간시수표'!G17,$BG$9),COUNTIF('1.연간시수표'!G17,$BG$7),COUNTIF('1.연간시수표'!G17,$BH$9),COUNTIF('1.연간시수표'!G17,$BH$7),COUNTIF('1.연간시수표'!G17,$BI$9),COUNTIF('1.연간시수표'!G17,$BI$7),COUNTIF('1.연간시수표'!G17,$BJ$9),COUNTIF('1.연간시수표'!G17,$BJ$7),COUNTIF('1.연간시수표'!G17,$BK$9),COUNTIF('1.연간시수표'!G17,$BK$7),COUNTIF('1.연간시수표'!G17,$BL$9),COUNTIF('1.연간시수표'!G17,$BL$7),COUNTIF('1.연간시수표'!G17,$BM$9),COUNTIF('1.연간시수표'!G17,$BM$7)),$BF$6,IF(OR(COUNTIF('1.연간시수표'!G17,$BO$9),COUNTIF('1.연간시수표'!G17,$BO$7)),$BO$6,IF(OR(COUNTIF('1.연간시수표'!G17,$BP$9),COUNTIF('1.연간시수표'!G17,$BP$7)),$BP$6,IF(OR(COUNTIF('1.연간시수표'!G17,$BQ$9),COUNTIF('1.연간시수표'!G17,$BQ$7)),$BQ$6,IF(OR(COUNTIF('1.연간시수표'!G17,$BR$9),COUNTIF('1.연간시수표'!G17,$BR$7)),$BR$6,"_")))))))))))))))</f>
        <v>미술</v>
      </c>
      <c r="H17" s="148" t="str">
        <f>IF(OR(COUNTIF('1.연간시수표'!H17,$AT$9),COUNTIF('1.연간시수표'!H17,$AT$7)),$AT$6,IF(OR(COUNTIF('1.연간시수표'!H17,$AU$9),COUNTIF('1.연간시수표'!H17,$AU$7)),$AU$6,IF(OR(COUNTIF('1.연간시수표'!H17,$AV$9),COUNTIF('1.연간시수표'!H17,$AV$7)),$AV$6,IF(OR(COUNTIF('1.연간시수표'!H17,$AW$9),COUNTIF('1.연간시수표'!H17,$AW$7)),$AW$6,IF(OR(COUNTIF('1.연간시수표'!H17,$AX$9),COUNTIF('1.연간시수표'!H17,$AX$7)),$AX$6,IF(OR(COUNTIF('1.연간시수표'!H17,$AY$9),COUNTIF('1.연간시수표'!H17,$AY$7)),$AY$6,IF(OR(COUNTIF('1.연간시수표'!H17,$AZ$9),COUNTIF('1.연간시수표'!H17,$AZ$7)),$AZ$6,IF(OR(COUNTIF('1.연간시수표'!H17,$BA$9),COUNTIF('1.연간시수표'!H17,$BA$7)),$BA$6,IF(OR(COUNTIF('1.연간시수표'!H17,$BB$9),COUNTIF('1.연간시수표'!H17,$BB$7)),$BB$6,IF(OR(COUNTIF('1.연간시수표'!H17,$BC$9),COUNTIF('1.연간시수표'!H17,$BC$7)),$BC$6,IF(OR(COUNTIF('1.연간시수표'!H17,$BF$9),COUNTIF('1.연간시수표'!H17,$BF$7),COUNTIF('1.연간시수표'!H17,$BG$9),COUNTIF('1.연간시수표'!H17,$BG$7),COUNTIF('1.연간시수표'!H17,$BH$9),COUNTIF('1.연간시수표'!H17,$BH$7),COUNTIF('1.연간시수표'!H17,$BI$9),COUNTIF('1.연간시수표'!H17,$BI$7),COUNTIF('1.연간시수표'!H17,$BJ$9),COUNTIF('1.연간시수표'!H17,$BJ$7),COUNTIF('1.연간시수표'!H17,$BK$9),COUNTIF('1.연간시수표'!H17,$BK$7),COUNTIF('1.연간시수표'!H17,$BL$9),COUNTIF('1.연간시수표'!H17,$BL$7),COUNTIF('1.연간시수표'!H17,$BM$9),COUNTIF('1.연간시수표'!H17,$BM$7)),$BF$6,IF(OR(COUNTIF('1.연간시수표'!H17,$BO$9),COUNTIF('1.연간시수표'!H17,$BO$7)),$BO$6,IF(OR(COUNTIF('1.연간시수표'!H17,$BP$9),COUNTIF('1.연간시수표'!H17,$BP$7)),$BP$6,IF(OR(COUNTIF('1.연간시수표'!H17,$BQ$9),COUNTIF('1.연간시수표'!H17,$BQ$7)),$BQ$6,IF(OR(COUNTIF('1.연간시수표'!H17,$BR$9),COUNTIF('1.연간시수표'!H17,$BR$7)),$BR$6,"_")))))))))))))))</f>
        <v>영어</v>
      </c>
      <c r="I17" s="148" t="str">
        <f>IF(OR(COUNTIF('1.연간시수표'!I17,$AT$9),COUNTIF('1.연간시수표'!I17,$AT$7)),$AT$6,IF(OR(COUNTIF('1.연간시수표'!I17,$AU$9),COUNTIF('1.연간시수표'!I17,$AU$7)),$AU$6,IF(OR(COUNTIF('1.연간시수표'!I17,$AV$9),COUNTIF('1.연간시수표'!I17,$AV$7)),$AV$6,IF(OR(COUNTIF('1.연간시수표'!I17,$AW$9),COUNTIF('1.연간시수표'!I17,$AW$7)),$AW$6,IF(OR(COUNTIF('1.연간시수표'!I17,$AX$9),COUNTIF('1.연간시수표'!I17,$AX$7)),$AX$6,IF(OR(COUNTIF('1.연간시수표'!I17,$AY$9),COUNTIF('1.연간시수표'!I17,$AY$7)),$AY$6,IF(OR(COUNTIF('1.연간시수표'!I17,$AZ$9),COUNTIF('1.연간시수표'!I17,$AZ$7)),$AZ$6,IF(OR(COUNTIF('1.연간시수표'!I17,$BA$9),COUNTIF('1.연간시수표'!I17,$BA$7)),$BA$6,IF(OR(COUNTIF('1.연간시수표'!I17,$BB$9),COUNTIF('1.연간시수표'!I17,$BB$7)),$BB$6,IF(OR(COUNTIF('1.연간시수표'!I17,$BC$9),COUNTIF('1.연간시수표'!I17,$BC$7)),$BC$6,IF(OR(COUNTIF('1.연간시수표'!I17,$BF$9),COUNTIF('1.연간시수표'!I17,$BF$7),COUNTIF('1.연간시수표'!I17,$BG$9),COUNTIF('1.연간시수표'!I17,$BG$7),COUNTIF('1.연간시수표'!I17,$BH$9),COUNTIF('1.연간시수표'!I17,$BH$7),COUNTIF('1.연간시수표'!I17,$BI$9),COUNTIF('1.연간시수표'!I17,$BI$7),COUNTIF('1.연간시수표'!I17,$BJ$9),COUNTIF('1.연간시수표'!I17,$BJ$7),COUNTIF('1.연간시수표'!I17,$BK$9),COUNTIF('1.연간시수표'!I17,$BK$7),COUNTIF('1.연간시수표'!I17,$BL$9),COUNTIF('1.연간시수표'!I17,$BL$7),COUNTIF('1.연간시수표'!I17,$BM$9),COUNTIF('1.연간시수표'!I17,$BM$7)),$BF$6,IF(OR(COUNTIF('1.연간시수표'!I17,$BO$9),COUNTIF('1.연간시수표'!I17,$BO$7)),$BO$6,IF(OR(COUNTIF('1.연간시수표'!I17,$BP$9),COUNTIF('1.연간시수표'!I17,$BP$7)),$BP$6,IF(OR(COUNTIF('1.연간시수표'!I17,$BQ$9),COUNTIF('1.연간시수표'!I17,$BQ$7)),$BQ$6,IF(OR(COUNTIF('1.연간시수표'!I17,$BR$9),COUNTIF('1.연간시수표'!I17,$BR$7)),$BR$6,"_")))))))))))))))</f>
        <v>수학</v>
      </c>
      <c r="J17" s="148" t="str">
        <f>IF(OR(COUNTIF('1.연간시수표'!J17,$AT$9),COUNTIF('1.연간시수표'!J17,$AT$7)),$AT$6,IF(OR(COUNTIF('1.연간시수표'!J17,$AU$9),COUNTIF('1.연간시수표'!J17,$AU$7)),$AU$6,IF(OR(COUNTIF('1.연간시수표'!J17,$AV$9),COUNTIF('1.연간시수표'!J17,$AV$7)),$AV$6,IF(OR(COUNTIF('1.연간시수표'!J17,$AW$9),COUNTIF('1.연간시수표'!J17,$AW$7)),$AW$6,IF(OR(COUNTIF('1.연간시수표'!J17,$AX$9),COUNTIF('1.연간시수표'!J17,$AX$7)),$AX$6,IF(OR(COUNTIF('1.연간시수표'!J17,$AY$9),COUNTIF('1.연간시수표'!J17,$AY$7)),$AY$6,IF(OR(COUNTIF('1.연간시수표'!J17,$AZ$9),COUNTIF('1.연간시수표'!J17,$AZ$7)),$AZ$6,IF(OR(COUNTIF('1.연간시수표'!J17,$BA$9),COUNTIF('1.연간시수표'!J17,$BA$7)),$BA$6,IF(OR(COUNTIF('1.연간시수표'!J17,$BB$9),COUNTIF('1.연간시수표'!J17,$BB$7)),$BB$6,IF(OR(COUNTIF('1.연간시수표'!J17,$BC$9),COUNTIF('1.연간시수표'!J17,$BC$7)),$BC$6,IF(OR(COUNTIF('1.연간시수표'!J17,$BF$9),COUNTIF('1.연간시수표'!J17,$BF$7),COUNTIF('1.연간시수표'!J17,$BG$9),COUNTIF('1.연간시수표'!J17,$BG$7),COUNTIF('1.연간시수표'!J17,$BH$9),COUNTIF('1.연간시수표'!J17,$BH$7),COUNTIF('1.연간시수표'!J17,$BI$9),COUNTIF('1.연간시수표'!J17,$BI$7),COUNTIF('1.연간시수표'!J17,$BJ$9),COUNTIF('1.연간시수표'!J17,$BJ$7),COUNTIF('1.연간시수표'!J17,$BK$9),COUNTIF('1.연간시수표'!J17,$BK$7),COUNTIF('1.연간시수표'!J17,$BL$9),COUNTIF('1.연간시수표'!J17,$BL$7),COUNTIF('1.연간시수표'!J17,$BM$9),COUNTIF('1.연간시수표'!J17,$BM$7)),$BF$6,IF(OR(COUNTIF('1.연간시수표'!J17,$BO$9),COUNTIF('1.연간시수표'!J17,$BO$7)),$BO$6,IF(OR(COUNTIF('1.연간시수표'!J17,$BP$9),COUNTIF('1.연간시수표'!J17,$BP$7)),$BP$6,IF(OR(COUNTIF('1.연간시수표'!J17,$BQ$9),COUNTIF('1.연간시수표'!J17,$BQ$7)),$BQ$6,IF(OR(COUNTIF('1.연간시수표'!J17,$BR$9),COUNTIF('1.연간시수표'!J17,$BR$7)),$BR$6,"_")))))))))))))))</f>
        <v>자율활동</v>
      </c>
      <c r="K17" s="148" t="str">
        <f>IF(OR(COUNTIF('1.연간시수표'!K17,$AT$9),COUNTIF('1.연간시수표'!K17,$AT$7)),$AT$6,IF(OR(COUNTIF('1.연간시수표'!K17,$AU$9),COUNTIF('1.연간시수표'!K17,$AU$7)),$AU$6,IF(OR(COUNTIF('1.연간시수표'!K17,$AV$9),COUNTIF('1.연간시수표'!K17,$AV$7)),$AV$6,IF(OR(COUNTIF('1.연간시수표'!K17,$AW$9),COUNTIF('1.연간시수표'!K17,$AW$7)),$AW$6,IF(OR(COUNTIF('1.연간시수표'!K17,$AX$9),COUNTIF('1.연간시수표'!K17,$AX$7)),$AX$6,IF(OR(COUNTIF('1.연간시수표'!K17,$AY$9),COUNTIF('1.연간시수표'!K17,$AY$7)),$AY$6,IF(OR(COUNTIF('1.연간시수표'!K17,$AZ$9),COUNTIF('1.연간시수표'!K17,$AZ$7)),$AZ$6,IF(OR(COUNTIF('1.연간시수표'!K17,$BA$9),COUNTIF('1.연간시수표'!K17,$BA$7)),$BA$6,IF(OR(COUNTIF('1.연간시수표'!K17,$BB$9),COUNTIF('1.연간시수표'!K17,$BB$7)),$BB$6,IF(OR(COUNTIF('1.연간시수표'!K17,$BC$9),COUNTIF('1.연간시수표'!K17,$BC$7)),$BC$6,IF(OR(COUNTIF('1.연간시수표'!K17,$BF$9),COUNTIF('1.연간시수표'!K17,$BF$7),COUNTIF('1.연간시수표'!K17,$BG$9),COUNTIF('1.연간시수표'!K17,$BG$7),COUNTIF('1.연간시수표'!K17,$BH$9),COUNTIF('1.연간시수표'!K17,$BH$7),COUNTIF('1.연간시수표'!K17,$BI$9),COUNTIF('1.연간시수표'!K17,$BI$7),COUNTIF('1.연간시수표'!K17,$BJ$9),COUNTIF('1.연간시수표'!K17,$BJ$7),COUNTIF('1.연간시수표'!K17,$BK$9),COUNTIF('1.연간시수표'!K17,$BK$7),COUNTIF('1.연간시수표'!K17,$BL$9),COUNTIF('1.연간시수표'!K17,$BL$7),COUNTIF('1.연간시수표'!K17,$BM$9),COUNTIF('1.연간시수표'!K17,$BM$7)),$BF$6,IF(OR(COUNTIF('1.연간시수표'!K17,$BO$9),COUNTIF('1.연간시수표'!K17,$BO$7)),$BO$6,IF(OR(COUNTIF('1.연간시수표'!K17,$BP$9),COUNTIF('1.연간시수표'!K17,$BP$7)),$BP$6,IF(OR(COUNTIF('1.연간시수표'!K17,$BQ$9),COUNTIF('1.연간시수표'!K17,$BQ$7)),$BQ$6,IF(OR(COUNTIF('1.연간시수표'!K17,$BR$9),COUNTIF('1.연간시수표'!K17,$BR$7)),$BR$6,"_")))))))))))))))</f>
        <v>_</v>
      </c>
      <c r="L17" s="148" t="str">
        <f>IF(OR(COUNTIF('1.연간시수표'!L17,$AT$9),COUNTIF('1.연간시수표'!L17,$AT$7)),$AT$6,IF(OR(COUNTIF('1.연간시수표'!L17,$AU$9),COUNTIF('1.연간시수표'!L17,$AU$7)),$AU$6,IF(OR(COUNTIF('1.연간시수표'!L17,$AV$9),COUNTIF('1.연간시수표'!L17,$AV$7)),$AV$6,IF(OR(COUNTIF('1.연간시수표'!L17,$AW$9),COUNTIF('1.연간시수표'!L17,$AW$7)),$AW$6,IF(OR(COUNTIF('1.연간시수표'!L17,$AX$9),COUNTIF('1.연간시수표'!L17,$AX$7)),$AX$6,IF(OR(COUNTIF('1.연간시수표'!L17,$AY$9),COUNTIF('1.연간시수표'!L17,$AY$7)),$AY$6,IF(OR(COUNTIF('1.연간시수표'!L17,$AZ$9),COUNTIF('1.연간시수표'!L17,$AZ$7)),$AZ$6,IF(OR(COUNTIF('1.연간시수표'!L17,$BA$9),COUNTIF('1.연간시수표'!L17,$BA$7)),$BA$6,IF(OR(COUNTIF('1.연간시수표'!L17,$BB$9),COUNTIF('1.연간시수표'!L17,$BB$7)),$BB$6,IF(OR(COUNTIF('1.연간시수표'!L17,$BC$9),COUNTIF('1.연간시수표'!L17,$BC$7)),$BC$6,IF(OR(COUNTIF('1.연간시수표'!L17,$BF$9),COUNTIF('1.연간시수표'!L17,$BF$7),COUNTIF('1.연간시수표'!L17,$BG$9),COUNTIF('1.연간시수표'!L17,$BG$7),COUNTIF('1.연간시수표'!L17,$BH$9),COUNTIF('1.연간시수표'!L17,$BH$7),COUNTIF('1.연간시수표'!L17,$BI$9),COUNTIF('1.연간시수표'!L17,$BI$7),COUNTIF('1.연간시수표'!L17,$BJ$9),COUNTIF('1.연간시수표'!L17,$BJ$7),COUNTIF('1.연간시수표'!L17,$BK$9),COUNTIF('1.연간시수표'!L17,$BK$7),COUNTIF('1.연간시수표'!L17,$BL$9),COUNTIF('1.연간시수표'!L17,$BL$7),COUNTIF('1.연간시수표'!L17,$BM$9),COUNTIF('1.연간시수표'!L17,$BM$7)),$BF$6,IF(OR(COUNTIF('1.연간시수표'!L17,$BO$9),COUNTIF('1.연간시수표'!L17,$BO$7)),$BO$6,IF(OR(COUNTIF('1.연간시수표'!L17,$BP$9),COUNTIF('1.연간시수표'!L17,$BP$7)),$BP$6,IF(OR(COUNTIF('1.연간시수표'!L17,$BQ$9),COUNTIF('1.연간시수표'!L17,$BQ$7)),$BQ$6,IF(OR(COUNTIF('1.연간시수표'!L17,$BR$9),COUNTIF('1.연간시수표'!L17,$BR$7)),$BR$6,"_")))))))))))))))</f>
        <v>_</v>
      </c>
      <c r="M17" s="148" t="str">
        <f>IF(OR(COUNTIF('1.연간시수표'!M17,$AT$9),COUNTIF('1.연간시수표'!M17,$AT$7)),$AT$6,IF(OR(COUNTIF('1.연간시수표'!M17,$AU$9),COUNTIF('1.연간시수표'!M17,$AU$7)),$AU$6,IF(OR(COUNTIF('1.연간시수표'!M17,$AV$9),COUNTIF('1.연간시수표'!M17,$AV$7)),$AV$6,IF(OR(COUNTIF('1.연간시수표'!M17,$AW$9),COUNTIF('1.연간시수표'!M17,$AW$7)),$AW$6,IF(OR(COUNTIF('1.연간시수표'!M17,$AX$9),COUNTIF('1.연간시수표'!M17,$AX$7)),$AX$6,IF(OR(COUNTIF('1.연간시수표'!M17,$AY$9),COUNTIF('1.연간시수표'!M17,$AY$7)),$AY$6,IF(OR(COUNTIF('1.연간시수표'!M17,$AZ$9),COUNTIF('1.연간시수표'!M17,$AZ$7)),$AZ$6,IF(OR(COUNTIF('1.연간시수표'!M17,$BA$9),COUNTIF('1.연간시수표'!M17,$BA$7)),$BA$6,IF(OR(COUNTIF('1.연간시수표'!M17,$BB$9),COUNTIF('1.연간시수표'!M17,$BB$7)),$BB$6,IF(OR(COUNTIF('1.연간시수표'!M17,$BC$9),COUNTIF('1.연간시수표'!M17,$BC$7)),$BC$6,IF(OR(COUNTIF('1.연간시수표'!M17,$BF$9),COUNTIF('1.연간시수표'!M17,$BF$7),COUNTIF('1.연간시수표'!M17,$BG$9),COUNTIF('1.연간시수표'!M17,$BG$7),COUNTIF('1.연간시수표'!M17,$BH$9),COUNTIF('1.연간시수표'!M17,$BH$7),COUNTIF('1.연간시수표'!M17,$BI$9),COUNTIF('1.연간시수표'!M17,$BI$7),COUNTIF('1.연간시수표'!M17,$BJ$9),COUNTIF('1.연간시수표'!M17,$BJ$7),COUNTIF('1.연간시수표'!M17,$BK$9),COUNTIF('1.연간시수표'!M17,$BK$7),COUNTIF('1.연간시수표'!M17,$BL$9),COUNTIF('1.연간시수표'!M17,$BL$7),COUNTIF('1.연간시수표'!M17,$BM$9),COUNTIF('1.연간시수표'!M17,$BM$7)),$BF$6,IF(OR(COUNTIF('1.연간시수표'!M17,$BO$9),COUNTIF('1.연간시수표'!M17,$BO$7)),$BO$6,IF(OR(COUNTIF('1.연간시수표'!M17,$BP$9),COUNTIF('1.연간시수표'!M17,$BP$7)),$BP$6,IF(OR(COUNTIF('1.연간시수표'!M17,$BQ$9),COUNTIF('1.연간시수표'!M17,$BQ$7)),$BQ$6,IF(OR(COUNTIF('1.연간시수표'!M17,$BR$9),COUNTIF('1.연간시수표'!M17,$BR$7)),$BR$6,"_")))))))))))))))</f>
        <v>국어</v>
      </c>
      <c r="N17" s="148" t="str">
        <f>IF(OR(COUNTIF('1.연간시수표'!N17,$AT$9),COUNTIF('1.연간시수표'!N17,$AT$7)),$AT$6,IF(OR(COUNTIF('1.연간시수표'!N17,$AU$9),COUNTIF('1.연간시수표'!N17,$AU$7)),$AU$6,IF(OR(COUNTIF('1.연간시수표'!N17,$AV$9),COUNTIF('1.연간시수표'!N17,$AV$7)),$AV$6,IF(OR(COUNTIF('1.연간시수표'!N17,$AW$9),COUNTIF('1.연간시수표'!N17,$AW$7)),$AW$6,IF(OR(COUNTIF('1.연간시수표'!N17,$AX$9),COUNTIF('1.연간시수표'!N17,$AX$7)),$AX$6,IF(OR(COUNTIF('1.연간시수표'!N17,$AY$9),COUNTIF('1.연간시수표'!N17,$AY$7)),$AY$6,IF(OR(COUNTIF('1.연간시수표'!N17,$AZ$9),COUNTIF('1.연간시수표'!N17,$AZ$7)),$AZ$6,IF(OR(COUNTIF('1.연간시수표'!N17,$BA$9),COUNTIF('1.연간시수표'!N17,$BA$7)),$BA$6,IF(OR(COUNTIF('1.연간시수표'!N17,$BB$9),COUNTIF('1.연간시수표'!N17,$BB$7)),$BB$6,IF(OR(COUNTIF('1.연간시수표'!N17,$BC$9),COUNTIF('1.연간시수표'!N17,$BC$7)),$BC$6,IF(OR(COUNTIF('1.연간시수표'!N17,$BF$9),COUNTIF('1.연간시수표'!N17,$BF$7),COUNTIF('1.연간시수표'!N17,$BG$9),COUNTIF('1.연간시수표'!N17,$BG$7),COUNTIF('1.연간시수표'!N17,$BH$9),COUNTIF('1.연간시수표'!N17,$BH$7),COUNTIF('1.연간시수표'!N17,$BI$9),COUNTIF('1.연간시수표'!N17,$BI$7),COUNTIF('1.연간시수표'!N17,$BJ$9),COUNTIF('1.연간시수표'!N17,$BJ$7),COUNTIF('1.연간시수표'!N17,$BK$9),COUNTIF('1.연간시수표'!N17,$BK$7),COUNTIF('1.연간시수표'!N17,$BL$9),COUNTIF('1.연간시수표'!N17,$BL$7),COUNTIF('1.연간시수표'!N17,$BM$9),COUNTIF('1.연간시수표'!N17,$BM$7)),$BF$6,IF(OR(COUNTIF('1.연간시수표'!N17,$BO$9),COUNTIF('1.연간시수표'!N17,$BO$7)),$BO$6,IF(OR(COUNTIF('1.연간시수표'!N17,$BP$9),COUNTIF('1.연간시수표'!N17,$BP$7)),$BP$6,IF(OR(COUNTIF('1.연간시수표'!N17,$BQ$9),COUNTIF('1.연간시수표'!N17,$BQ$7)),$BQ$6,IF(OR(COUNTIF('1.연간시수표'!N17,$BR$9),COUNTIF('1.연간시수표'!N17,$BR$7)),$BR$6,"_")))))))))))))))</f>
        <v>국어</v>
      </c>
      <c r="O17" s="148" t="str">
        <f>IF(OR(COUNTIF('1.연간시수표'!O17,$AT$9),COUNTIF('1.연간시수표'!O17,$AT$7)),$AT$6,IF(OR(COUNTIF('1.연간시수표'!O17,$AU$9),COUNTIF('1.연간시수표'!O17,$AU$7)),$AU$6,IF(OR(COUNTIF('1.연간시수표'!O17,$AV$9),COUNTIF('1.연간시수표'!O17,$AV$7)),$AV$6,IF(OR(COUNTIF('1.연간시수표'!O17,$AW$9),COUNTIF('1.연간시수표'!O17,$AW$7)),$AW$6,IF(OR(COUNTIF('1.연간시수표'!O17,$AX$9),COUNTIF('1.연간시수표'!O17,$AX$7)),$AX$6,IF(OR(COUNTIF('1.연간시수표'!O17,$AY$9),COUNTIF('1.연간시수표'!O17,$AY$7)),$AY$6,IF(OR(COUNTIF('1.연간시수표'!O17,$AZ$9),COUNTIF('1.연간시수표'!O17,$AZ$7)),$AZ$6,IF(OR(COUNTIF('1.연간시수표'!O17,$BA$9),COUNTIF('1.연간시수표'!O17,$BA$7)),$BA$6,IF(OR(COUNTIF('1.연간시수표'!O17,$BB$9),COUNTIF('1.연간시수표'!O17,$BB$7)),$BB$6,IF(OR(COUNTIF('1.연간시수표'!O17,$BC$9),COUNTIF('1.연간시수표'!O17,$BC$7)),$BC$6,IF(OR(COUNTIF('1.연간시수표'!O17,$BF$9),COUNTIF('1.연간시수표'!O17,$BF$7),COUNTIF('1.연간시수표'!O17,$BG$9),COUNTIF('1.연간시수표'!O17,$BG$7),COUNTIF('1.연간시수표'!O17,$BH$9),COUNTIF('1.연간시수표'!O17,$BH$7),COUNTIF('1.연간시수표'!O17,$BI$9),COUNTIF('1.연간시수표'!O17,$BI$7),COUNTIF('1.연간시수표'!O17,$BJ$9),COUNTIF('1.연간시수표'!O17,$BJ$7),COUNTIF('1.연간시수표'!O17,$BK$9),COUNTIF('1.연간시수표'!O17,$BK$7),COUNTIF('1.연간시수표'!O17,$BL$9),COUNTIF('1.연간시수표'!O17,$BL$7),COUNTIF('1.연간시수표'!O17,$BM$9),COUNTIF('1.연간시수표'!O17,$BM$7)),$BF$6,IF(OR(COUNTIF('1.연간시수표'!O17,$BO$9),COUNTIF('1.연간시수표'!O17,$BO$7)),$BO$6,IF(OR(COUNTIF('1.연간시수표'!O17,$BP$9),COUNTIF('1.연간시수표'!O17,$BP$7)),$BP$6,IF(OR(COUNTIF('1.연간시수표'!O17,$BQ$9),COUNTIF('1.연간시수표'!O17,$BQ$7)),$BQ$6,IF(OR(COUNTIF('1.연간시수표'!O17,$BR$9),COUNTIF('1.연간시수표'!O17,$BR$7)),$BR$6,"_")))))))))))))))</f>
        <v>사회</v>
      </c>
      <c r="P17" s="148" t="str">
        <f>IF(OR(COUNTIF('1.연간시수표'!P17,$AT$9),COUNTIF('1.연간시수표'!P17,$AT$7)),$AT$6,IF(OR(COUNTIF('1.연간시수표'!P17,$AU$9),COUNTIF('1.연간시수표'!P17,$AU$7)),$AU$6,IF(OR(COUNTIF('1.연간시수표'!P17,$AV$9),COUNTIF('1.연간시수표'!P17,$AV$7)),$AV$6,IF(OR(COUNTIF('1.연간시수표'!P17,$AW$9),COUNTIF('1.연간시수표'!P17,$AW$7)),$AW$6,IF(OR(COUNTIF('1.연간시수표'!P17,$AX$9),COUNTIF('1.연간시수표'!P17,$AX$7)),$AX$6,IF(OR(COUNTIF('1.연간시수표'!P17,$AY$9),COUNTIF('1.연간시수표'!P17,$AY$7)),$AY$6,IF(OR(COUNTIF('1.연간시수표'!P17,$AZ$9),COUNTIF('1.연간시수표'!P17,$AZ$7)),$AZ$6,IF(OR(COUNTIF('1.연간시수표'!P17,$BA$9),COUNTIF('1.연간시수표'!P17,$BA$7)),$BA$6,IF(OR(COUNTIF('1.연간시수표'!P17,$BB$9),COUNTIF('1.연간시수표'!P17,$BB$7)),$BB$6,IF(OR(COUNTIF('1.연간시수표'!P17,$BC$9),COUNTIF('1.연간시수표'!P17,$BC$7)),$BC$6,IF(OR(COUNTIF('1.연간시수표'!P17,$BF$9),COUNTIF('1.연간시수표'!P17,$BF$7),COUNTIF('1.연간시수표'!P17,$BG$9),COUNTIF('1.연간시수표'!P17,$BG$7),COUNTIF('1.연간시수표'!P17,$BH$9),COUNTIF('1.연간시수표'!P17,$BH$7),COUNTIF('1.연간시수표'!P17,$BI$9),COUNTIF('1.연간시수표'!P17,$BI$7),COUNTIF('1.연간시수표'!P17,$BJ$9),COUNTIF('1.연간시수표'!P17,$BJ$7),COUNTIF('1.연간시수표'!P17,$BK$9),COUNTIF('1.연간시수표'!P17,$BK$7),COUNTIF('1.연간시수표'!P17,$BL$9),COUNTIF('1.연간시수표'!P17,$BL$7),COUNTIF('1.연간시수표'!P17,$BM$9),COUNTIF('1.연간시수표'!P17,$BM$7)),$BF$6,IF(OR(COUNTIF('1.연간시수표'!P17,$BO$9),COUNTIF('1.연간시수표'!P17,$BO$7)),$BO$6,IF(OR(COUNTIF('1.연간시수표'!P17,$BP$9),COUNTIF('1.연간시수표'!P17,$BP$7)),$BP$6,IF(OR(COUNTIF('1.연간시수표'!P17,$BQ$9),COUNTIF('1.연간시수표'!P17,$BQ$7)),$BQ$6,IF(OR(COUNTIF('1.연간시수표'!P17,$BR$9),COUNTIF('1.연간시수표'!P17,$BR$7)),$BR$6,"_")))))))))))))))</f>
        <v>수학</v>
      </c>
      <c r="Q17" s="148" t="str">
        <f>IF(OR(COUNTIF('1.연간시수표'!Q17,$AT$9),COUNTIF('1.연간시수표'!Q17,$AT$7)),$AT$6,IF(OR(COUNTIF('1.연간시수표'!Q17,$AU$9),COUNTIF('1.연간시수표'!Q17,$AU$7)),$AU$6,IF(OR(COUNTIF('1.연간시수표'!Q17,$AV$9),COUNTIF('1.연간시수표'!Q17,$AV$7)),$AV$6,IF(OR(COUNTIF('1.연간시수표'!Q17,$AW$9),COUNTIF('1.연간시수표'!Q17,$AW$7)),$AW$6,IF(OR(COUNTIF('1.연간시수표'!Q17,$AX$9),COUNTIF('1.연간시수표'!Q17,$AX$7)),$AX$6,IF(OR(COUNTIF('1.연간시수표'!Q17,$AY$9),COUNTIF('1.연간시수표'!Q17,$AY$7)),$AY$6,IF(OR(COUNTIF('1.연간시수표'!Q17,$AZ$9),COUNTIF('1.연간시수표'!Q17,$AZ$7)),$AZ$6,IF(OR(COUNTIF('1.연간시수표'!Q17,$BA$9),COUNTIF('1.연간시수표'!Q17,$BA$7)),$BA$6,IF(OR(COUNTIF('1.연간시수표'!Q17,$BB$9),COUNTIF('1.연간시수표'!Q17,$BB$7)),$BB$6,IF(OR(COUNTIF('1.연간시수표'!Q17,$BC$9),COUNTIF('1.연간시수표'!Q17,$BC$7)),$BC$6,IF(OR(COUNTIF('1.연간시수표'!Q17,$BF$9),COUNTIF('1.연간시수표'!Q17,$BF$7),COUNTIF('1.연간시수표'!Q17,$BG$9),COUNTIF('1.연간시수표'!Q17,$BG$7),COUNTIF('1.연간시수표'!Q17,$BH$9),COUNTIF('1.연간시수표'!Q17,$BH$7),COUNTIF('1.연간시수표'!Q17,$BI$9),COUNTIF('1.연간시수표'!Q17,$BI$7),COUNTIF('1.연간시수표'!Q17,$BJ$9),COUNTIF('1.연간시수표'!Q17,$BJ$7),COUNTIF('1.연간시수표'!Q17,$BK$9),COUNTIF('1.연간시수표'!Q17,$BK$7),COUNTIF('1.연간시수표'!Q17,$BL$9),COUNTIF('1.연간시수표'!Q17,$BL$7),COUNTIF('1.연간시수표'!Q17,$BM$9),COUNTIF('1.연간시수표'!Q17,$BM$7)),$BF$6,IF(OR(COUNTIF('1.연간시수표'!Q17,$BO$9),COUNTIF('1.연간시수표'!Q17,$BO$7)),$BO$6,IF(OR(COUNTIF('1.연간시수표'!Q17,$BP$9),COUNTIF('1.연간시수표'!Q17,$BP$7)),$BP$6,IF(OR(COUNTIF('1.연간시수표'!Q17,$BQ$9),COUNTIF('1.연간시수표'!Q17,$BQ$7)),$BQ$6,IF(OR(COUNTIF('1.연간시수표'!Q17,$BR$9),COUNTIF('1.연간시수표'!Q17,$BR$7)),$BR$6,"_")))))))))))))))</f>
        <v>과학</v>
      </c>
      <c r="R17" s="148" t="str">
        <f>IF(OR(COUNTIF('1.연간시수표'!R17,$AT$9),COUNTIF('1.연간시수표'!R17,$AT$7)),$AT$6,IF(OR(COUNTIF('1.연간시수표'!R17,$AU$9),COUNTIF('1.연간시수표'!R17,$AU$7)),$AU$6,IF(OR(COUNTIF('1.연간시수표'!R17,$AV$9),COUNTIF('1.연간시수표'!R17,$AV$7)),$AV$6,IF(OR(COUNTIF('1.연간시수표'!R17,$AW$9),COUNTIF('1.연간시수표'!R17,$AW$7)),$AW$6,IF(OR(COUNTIF('1.연간시수표'!R17,$AX$9),COUNTIF('1.연간시수표'!R17,$AX$7)),$AX$6,IF(OR(COUNTIF('1.연간시수표'!R17,$AY$9),COUNTIF('1.연간시수표'!R17,$AY$7)),$AY$6,IF(OR(COUNTIF('1.연간시수표'!R17,$AZ$9),COUNTIF('1.연간시수표'!R17,$AZ$7)),$AZ$6,IF(OR(COUNTIF('1.연간시수표'!R17,$BA$9),COUNTIF('1.연간시수표'!R17,$BA$7)),$BA$6,IF(OR(COUNTIF('1.연간시수표'!R17,$BB$9),COUNTIF('1.연간시수표'!R17,$BB$7)),$BB$6,IF(OR(COUNTIF('1.연간시수표'!R17,$BC$9),COUNTIF('1.연간시수표'!R17,$BC$7)),$BC$6,IF(OR(COUNTIF('1.연간시수표'!R17,$BF$9),COUNTIF('1.연간시수표'!R17,$BF$7),COUNTIF('1.연간시수표'!R17,$BG$9),COUNTIF('1.연간시수표'!R17,$BG$7),COUNTIF('1.연간시수표'!R17,$BH$9),COUNTIF('1.연간시수표'!R17,$BH$7),COUNTIF('1.연간시수표'!R17,$BI$9),COUNTIF('1.연간시수표'!R17,$BI$7),COUNTIF('1.연간시수표'!R17,$BJ$9),COUNTIF('1.연간시수표'!R17,$BJ$7),COUNTIF('1.연간시수표'!R17,$BK$9),COUNTIF('1.연간시수표'!R17,$BK$7),COUNTIF('1.연간시수표'!R17,$BL$9),COUNTIF('1.연간시수표'!R17,$BL$7),COUNTIF('1.연간시수표'!R17,$BM$9),COUNTIF('1.연간시수표'!R17,$BM$7)),$BF$6,IF(OR(COUNTIF('1.연간시수표'!R17,$BO$9),COUNTIF('1.연간시수표'!R17,$BO$7)),$BO$6,IF(OR(COUNTIF('1.연간시수표'!R17,$BP$9),COUNTIF('1.연간시수표'!R17,$BP$7)),$BP$6,IF(OR(COUNTIF('1.연간시수표'!R17,$BQ$9),COUNTIF('1.연간시수표'!R17,$BQ$7)),$BQ$6,IF(OR(COUNTIF('1.연간시수표'!R17,$BR$9),COUNTIF('1.연간시수표'!R17,$BR$7)),$BR$6,"_")))))))))))))))</f>
        <v>실과</v>
      </c>
      <c r="S17" s="148" t="str">
        <f>IF(OR(COUNTIF('1.연간시수표'!S17,$AT$9),COUNTIF('1.연간시수표'!S17,$AT$7)),$AT$6,IF(OR(COUNTIF('1.연간시수표'!S17,$AU$9),COUNTIF('1.연간시수표'!S17,$AU$7)),$AU$6,IF(OR(COUNTIF('1.연간시수표'!S17,$AV$9),COUNTIF('1.연간시수표'!S17,$AV$7)),$AV$6,IF(OR(COUNTIF('1.연간시수표'!S17,$AW$9),COUNTIF('1.연간시수표'!S17,$AW$7)),$AW$6,IF(OR(COUNTIF('1.연간시수표'!S17,$AX$9),COUNTIF('1.연간시수표'!S17,$AX$7)),$AX$6,IF(OR(COUNTIF('1.연간시수표'!S17,$AY$9),COUNTIF('1.연간시수표'!S17,$AY$7)),$AY$6,IF(OR(COUNTIF('1.연간시수표'!S17,$AZ$9),COUNTIF('1.연간시수표'!S17,$AZ$7)),$AZ$6,IF(OR(COUNTIF('1.연간시수표'!S17,$BA$9),COUNTIF('1.연간시수표'!S17,$BA$7)),$BA$6,IF(OR(COUNTIF('1.연간시수표'!S17,$BB$9),COUNTIF('1.연간시수표'!S17,$BB$7)),$BB$6,IF(OR(COUNTIF('1.연간시수표'!S17,$BC$9),COUNTIF('1.연간시수표'!S17,$BC$7)),$BC$6,IF(OR(COUNTIF('1.연간시수표'!S17,$BF$9),COUNTIF('1.연간시수표'!S17,$BF$7),COUNTIF('1.연간시수표'!S17,$BG$9),COUNTIF('1.연간시수표'!S17,$BG$7),COUNTIF('1.연간시수표'!S17,$BH$9),COUNTIF('1.연간시수표'!S17,$BH$7),COUNTIF('1.연간시수표'!S17,$BI$9),COUNTIF('1.연간시수표'!S17,$BI$7),COUNTIF('1.연간시수표'!S17,$BJ$9),COUNTIF('1.연간시수표'!S17,$BJ$7),COUNTIF('1.연간시수표'!S17,$BK$9),COUNTIF('1.연간시수표'!S17,$BK$7),COUNTIF('1.연간시수표'!S17,$BL$9),COUNTIF('1.연간시수표'!S17,$BL$7),COUNTIF('1.연간시수표'!S17,$BM$9),COUNTIF('1.연간시수표'!S17,$BM$7)),$BF$6,IF(OR(COUNTIF('1.연간시수표'!S17,$BO$9),COUNTIF('1.연간시수표'!S17,$BO$7)),$BO$6,IF(OR(COUNTIF('1.연간시수표'!S17,$BP$9),COUNTIF('1.연간시수표'!S17,$BP$7)),$BP$6,IF(OR(COUNTIF('1.연간시수표'!S17,$BQ$9),COUNTIF('1.연간시수표'!S17,$BQ$7)),$BQ$6,IF(OR(COUNTIF('1.연간시수표'!S17,$BR$9),COUNTIF('1.연간시수표'!S17,$BR$7)),$BR$6,"_")))))))))))))))</f>
        <v>_</v>
      </c>
      <c r="T17" s="148" t="str">
        <f>IF(OR(COUNTIF('1.연간시수표'!T17,$AT$9),COUNTIF('1.연간시수표'!T17,$AT$7)),$AT$6,IF(OR(COUNTIF('1.연간시수표'!T17,$AU$9),COUNTIF('1.연간시수표'!T17,$AU$7)),$AU$6,IF(OR(COUNTIF('1.연간시수표'!T17,$AV$9),COUNTIF('1.연간시수표'!T17,$AV$7)),$AV$6,IF(OR(COUNTIF('1.연간시수표'!T17,$AW$9),COUNTIF('1.연간시수표'!T17,$AW$7)),$AW$6,IF(OR(COUNTIF('1.연간시수표'!T17,$AX$9),COUNTIF('1.연간시수표'!T17,$AX$7)),$AX$6,IF(OR(COUNTIF('1.연간시수표'!T17,$AY$9),COUNTIF('1.연간시수표'!T17,$AY$7)),$AY$6,IF(OR(COUNTIF('1.연간시수표'!T17,$AZ$9),COUNTIF('1.연간시수표'!T17,$AZ$7)),$AZ$6,IF(OR(COUNTIF('1.연간시수표'!T17,$BA$9),COUNTIF('1.연간시수표'!T17,$BA$7)),$BA$6,IF(OR(COUNTIF('1.연간시수표'!T17,$BB$9),COUNTIF('1.연간시수표'!T17,$BB$7)),$BB$6,IF(OR(COUNTIF('1.연간시수표'!T17,$BC$9),COUNTIF('1.연간시수표'!T17,$BC$7)),$BC$6,IF(OR(COUNTIF('1.연간시수표'!T17,$BF$9),COUNTIF('1.연간시수표'!T17,$BF$7),COUNTIF('1.연간시수표'!T17,$BG$9),COUNTIF('1.연간시수표'!T17,$BG$7),COUNTIF('1.연간시수표'!T17,$BH$9),COUNTIF('1.연간시수표'!T17,$BH$7),COUNTIF('1.연간시수표'!T17,$BI$9),COUNTIF('1.연간시수표'!T17,$BI$7),COUNTIF('1.연간시수표'!T17,$BJ$9),COUNTIF('1.연간시수표'!T17,$BJ$7),COUNTIF('1.연간시수표'!T17,$BK$9),COUNTIF('1.연간시수표'!T17,$BK$7),COUNTIF('1.연간시수표'!T17,$BL$9),COUNTIF('1.연간시수표'!T17,$BL$7),COUNTIF('1.연간시수표'!T17,$BM$9),COUNTIF('1.연간시수표'!T17,$BM$7)),$BF$6,IF(OR(COUNTIF('1.연간시수표'!T17,$BO$9),COUNTIF('1.연간시수표'!T17,$BO$7)),$BO$6,IF(OR(COUNTIF('1.연간시수표'!T17,$BP$9),COUNTIF('1.연간시수표'!T17,$BP$7)),$BP$6,IF(OR(COUNTIF('1.연간시수표'!T17,$BQ$9),COUNTIF('1.연간시수표'!T17,$BQ$7)),$BQ$6,IF(OR(COUNTIF('1.연간시수표'!T17,$BR$9),COUNTIF('1.연간시수표'!T17,$BR$7)),$BR$6,"_")))))))))))))))</f>
        <v>_</v>
      </c>
      <c r="U17" s="148" t="str">
        <f>IF(OR(COUNTIF('1.연간시수표'!U17,$AT$9),COUNTIF('1.연간시수표'!U17,$AT$7)),$AT$6,IF(OR(COUNTIF('1.연간시수표'!U17,$AU$9),COUNTIF('1.연간시수표'!U17,$AU$7)),$AU$6,IF(OR(COUNTIF('1.연간시수표'!U17,$AV$9),COUNTIF('1.연간시수표'!U17,$AV$7)),$AV$6,IF(OR(COUNTIF('1.연간시수표'!U17,$AW$9),COUNTIF('1.연간시수표'!U17,$AW$7)),$AW$6,IF(OR(COUNTIF('1.연간시수표'!U17,$AX$9),COUNTIF('1.연간시수표'!U17,$AX$7)),$AX$6,IF(OR(COUNTIF('1.연간시수표'!U17,$AY$9),COUNTIF('1.연간시수표'!U17,$AY$7)),$AY$6,IF(OR(COUNTIF('1.연간시수표'!U17,$AZ$9),COUNTIF('1.연간시수표'!U17,$AZ$7)),$AZ$6,IF(OR(COUNTIF('1.연간시수표'!U17,$BA$9),COUNTIF('1.연간시수표'!U17,$BA$7)),$BA$6,IF(OR(COUNTIF('1.연간시수표'!U17,$BB$9),COUNTIF('1.연간시수표'!U17,$BB$7)),$BB$6,IF(OR(COUNTIF('1.연간시수표'!U17,$BC$9),COUNTIF('1.연간시수표'!U17,$BC$7)),$BC$6,IF(OR(COUNTIF('1.연간시수표'!U17,$BF$9),COUNTIF('1.연간시수표'!U17,$BF$7),COUNTIF('1.연간시수표'!U17,$BG$9),COUNTIF('1.연간시수표'!U17,$BG$7),COUNTIF('1.연간시수표'!U17,$BH$9),COUNTIF('1.연간시수표'!U17,$BH$7),COUNTIF('1.연간시수표'!U17,$BI$9),COUNTIF('1.연간시수표'!U17,$BI$7),COUNTIF('1.연간시수표'!U17,$BJ$9),COUNTIF('1.연간시수표'!U17,$BJ$7),COUNTIF('1.연간시수표'!U17,$BK$9),COUNTIF('1.연간시수표'!U17,$BK$7),COUNTIF('1.연간시수표'!U17,$BL$9),COUNTIF('1.연간시수표'!U17,$BL$7),COUNTIF('1.연간시수표'!U17,$BM$9),COUNTIF('1.연간시수표'!U17,$BM$7)),$BF$6,IF(OR(COUNTIF('1.연간시수표'!U17,$BO$9),COUNTIF('1.연간시수표'!U17,$BO$7)),$BO$6,IF(OR(COUNTIF('1.연간시수표'!U17,$BP$9),COUNTIF('1.연간시수표'!U17,$BP$7)),$BP$6,IF(OR(COUNTIF('1.연간시수표'!U17,$BQ$9),COUNTIF('1.연간시수표'!U17,$BQ$7)),$BQ$6,IF(OR(COUNTIF('1.연간시수표'!U17,$BR$9),COUNTIF('1.연간시수표'!U17,$BR$7)),$BR$6,"_")))))))))))))))</f>
        <v>영어</v>
      </c>
      <c r="V17" s="148" t="str">
        <f>IF(OR(COUNTIF('1.연간시수표'!V17,$AT$9),COUNTIF('1.연간시수표'!V17,$AT$7)),$AT$6,IF(OR(COUNTIF('1.연간시수표'!V17,$AU$9),COUNTIF('1.연간시수표'!V17,$AU$7)),$AU$6,IF(OR(COUNTIF('1.연간시수표'!V17,$AV$9),COUNTIF('1.연간시수표'!V17,$AV$7)),$AV$6,IF(OR(COUNTIF('1.연간시수표'!V17,$AW$9),COUNTIF('1.연간시수표'!V17,$AW$7)),$AW$6,IF(OR(COUNTIF('1.연간시수표'!V17,$AX$9),COUNTIF('1.연간시수표'!V17,$AX$7)),$AX$6,IF(OR(COUNTIF('1.연간시수표'!V17,$AY$9),COUNTIF('1.연간시수표'!V17,$AY$7)),$AY$6,IF(OR(COUNTIF('1.연간시수표'!V17,$AZ$9),COUNTIF('1.연간시수표'!V17,$AZ$7)),$AZ$6,IF(OR(COUNTIF('1.연간시수표'!V17,$BA$9),COUNTIF('1.연간시수표'!V17,$BA$7)),$BA$6,IF(OR(COUNTIF('1.연간시수표'!V17,$BB$9),COUNTIF('1.연간시수표'!V17,$BB$7)),$BB$6,IF(OR(COUNTIF('1.연간시수표'!V17,$BC$9),COUNTIF('1.연간시수표'!V17,$BC$7)),$BC$6,IF(OR(COUNTIF('1.연간시수표'!V17,$BF$9),COUNTIF('1.연간시수표'!V17,$BF$7),COUNTIF('1.연간시수표'!V17,$BG$9),COUNTIF('1.연간시수표'!V17,$BG$7),COUNTIF('1.연간시수표'!V17,$BH$9),COUNTIF('1.연간시수표'!V17,$BH$7),COUNTIF('1.연간시수표'!V17,$BI$9),COUNTIF('1.연간시수표'!V17,$BI$7),COUNTIF('1.연간시수표'!V17,$BJ$9),COUNTIF('1.연간시수표'!V17,$BJ$7),COUNTIF('1.연간시수표'!V17,$BK$9),COUNTIF('1.연간시수표'!V17,$BK$7),COUNTIF('1.연간시수표'!V17,$BL$9),COUNTIF('1.연간시수표'!V17,$BL$7),COUNTIF('1.연간시수표'!V17,$BM$9),COUNTIF('1.연간시수표'!V17,$BM$7)),$BF$6,IF(OR(COUNTIF('1.연간시수표'!V17,$BO$9),COUNTIF('1.연간시수표'!V17,$BO$7)),$BO$6,IF(OR(COUNTIF('1.연간시수표'!V17,$BP$9),COUNTIF('1.연간시수표'!V17,$BP$7)),$BP$6,IF(OR(COUNTIF('1.연간시수표'!V17,$BQ$9),COUNTIF('1.연간시수표'!V17,$BQ$7)),$BQ$6,IF(OR(COUNTIF('1.연간시수표'!V17,$BR$9),COUNTIF('1.연간시수표'!V17,$BR$7)),$BR$6,"_")))))))))))))))</f>
        <v>자율활동</v>
      </c>
      <c r="W17" s="148" t="str">
        <f>IF(OR(COUNTIF('1.연간시수표'!W17,$AT$9),COUNTIF('1.연간시수표'!W17,$AT$7)),$AT$6,IF(OR(COUNTIF('1.연간시수표'!W17,$AU$9),COUNTIF('1.연간시수표'!W17,$AU$7)),$AU$6,IF(OR(COUNTIF('1.연간시수표'!W17,$AV$9),COUNTIF('1.연간시수표'!W17,$AV$7)),$AV$6,IF(OR(COUNTIF('1.연간시수표'!W17,$AW$9),COUNTIF('1.연간시수표'!W17,$AW$7)),$AW$6,IF(OR(COUNTIF('1.연간시수표'!W17,$AX$9),COUNTIF('1.연간시수표'!W17,$AX$7)),$AX$6,IF(OR(COUNTIF('1.연간시수표'!W17,$AY$9),COUNTIF('1.연간시수표'!W17,$AY$7)),$AY$6,IF(OR(COUNTIF('1.연간시수표'!W17,$AZ$9),COUNTIF('1.연간시수표'!W17,$AZ$7)),$AZ$6,IF(OR(COUNTIF('1.연간시수표'!W17,$BA$9),COUNTIF('1.연간시수표'!W17,$BA$7)),$BA$6,IF(OR(COUNTIF('1.연간시수표'!W17,$BB$9),COUNTIF('1.연간시수표'!W17,$BB$7)),$BB$6,IF(OR(COUNTIF('1.연간시수표'!W17,$BC$9),COUNTIF('1.연간시수표'!W17,$BC$7)),$BC$6,IF(OR(COUNTIF('1.연간시수표'!W17,$BF$9),COUNTIF('1.연간시수표'!W17,$BF$7),COUNTIF('1.연간시수표'!W17,$BG$9),COUNTIF('1.연간시수표'!W17,$BG$7),COUNTIF('1.연간시수표'!W17,$BH$9),COUNTIF('1.연간시수표'!W17,$BH$7),COUNTIF('1.연간시수표'!W17,$BI$9),COUNTIF('1.연간시수표'!W17,$BI$7),COUNTIF('1.연간시수표'!W17,$BJ$9),COUNTIF('1.연간시수표'!W17,$BJ$7),COUNTIF('1.연간시수표'!W17,$BK$9),COUNTIF('1.연간시수표'!W17,$BK$7),COUNTIF('1.연간시수표'!W17,$BL$9),COUNTIF('1.연간시수표'!W17,$BL$7),COUNTIF('1.연간시수표'!W17,$BM$9),COUNTIF('1.연간시수표'!W17,$BM$7)),$BF$6,IF(OR(COUNTIF('1.연간시수표'!W17,$BO$9),COUNTIF('1.연간시수표'!W17,$BO$7)),$BO$6,IF(OR(COUNTIF('1.연간시수표'!W17,$BP$9),COUNTIF('1.연간시수표'!W17,$BP$7)),$BP$6,IF(OR(COUNTIF('1.연간시수표'!W17,$BQ$9),COUNTIF('1.연간시수표'!W17,$BQ$7)),$BQ$6,IF(OR(COUNTIF('1.연간시수표'!W17,$BR$9),COUNTIF('1.연간시수표'!W17,$BR$7)),$BR$6,"_")))))))))))))))</f>
        <v>체육</v>
      </c>
      <c r="X17" s="148" t="str">
        <f>IF(OR(COUNTIF('1.연간시수표'!X17,$AT$9),COUNTIF('1.연간시수표'!X17,$AT$7)),$AT$6,IF(OR(COUNTIF('1.연간시수표'!X17,$AU$9),COUNTIF('1.연간시수표'!X17,$AU$7)),$AU$6,IF(OR(COUNTIF('1.연간시수표'!X17,$AV$9),COUNTIF('1.연간시수표'!X17,$AV$7)),$AV$6,IF(OR(COUNTIF('1.연간시수표'!X17,$AW$9),COUNTIF('1.연간시수표'!X17,$AW$7)),$AW$6,IF(OR(COUNTIF('1.연간시수표'!X17,$AX$9),COUNTIF('1.연간시수표'!X17,$AX$7)),$AX$6,IF(OR(COUNTIF('1.연간시수표'!X17,$AY$9),COUNTIF('1.연간시수표'!X17,$AY$7)),$AY$6,IF(OR(COUNTIF('1.연간시수표'!X17,$AZ$9),COUNTIF('1.연간시수표'!X17,$AZ$7)),$AZ$6,IF(OR(COUNTIF('1.연간시수표'!X17,$BA$9),COUNTIF('1.연간시수표'!X17,$BA$7)),$BA$6,IF(OR(COUNTIF('1.연간시수표'!X17,$BB$9),COUNTIF('1.연간시수표'!X17,$BB$7)),$BB$6,IF(OR(COUNTIF('1.연간시수표'!X17,$BC$9),COUNTIF('1.연간시수표'!X17,$BC$7)),$BC$6,IF(OR(COUNTIF('1.연간시수표'!X17,$BF$9),COUNTIF('1.연간시수표'!X17,$BF$7),COUNTIF('1.연간시수표'!X17,$BG$9),COUNTIF('1.연간시수표'!X17,$BG$7),COUNTIF('1.연간시수표'!X17,$BH$9),COUNTIF('1.연간시수표'!X17,$BH$7),COUNTIF('1.연간시수표'!X17,$BI$9),COUNTIF('1.연간시수표'!X17,$BI$7),COUNTIF('1.연간시수표'!X17,$BJ$9),COUNTIF('1.연간시수표'!X17,$BJ$7),COUNTIF('1.연간시수표'!X17,$BK$9),COUNTIF('1.연간시수표'!X17,$BK$7),COUNTIF('1.연간시수표'!X17,$BL$9),COUNTIF('1.연간시수표'!X17,$BL$7),COUNTIF('1.연간시수표'!X17,$BM$9),COUNTIF('1.연간시수표'!X17,$BM$7)),$BF$6,IF(OR(COUNTIF('1.연간시수표'!X17,$BO$9),COUNTIF('1.연간시수표'!X17,$BO$7)),$BO$6,IF(OR(COUNTIF('1.연간시수표'!X17,$BP$9),COUNTIF('1.연간시수표'!X17,$BP$7)),$BP$6,IF(OR(COUNTIF('1.연간시수표'!X17,$BQ$9),COUNTIF('1.연간시수표'!X17,$BQ$7)),$BQ$6,IF(OR(COUNTIF('1.연간시수표'!X17,$BR$9),COUNTIF('1.연간시수표'!X17,$BR$7)),$BR$6,"_")))))))))))))))</f>
        <v>음악</v>
      </c>
      <c r="Y17" s="148" t="str">
        <f>IF(OR(COUNTIF('1.연간시수표'!Y17,$AT$9),COUNTIF('1.연간시수표'!Y17,$AT$7)),$AT$6,IF(OR(COUNTIF('1.연간시수표'!Y17,$AU$9),COUNTIF('1.연간시수표'!Y17,$AU$7)),$AU$6,IF(OR(COUNTIF('1.연간시수표'!Y17,$AV$9),COUNTIF('1.연간시수표'!Y17,$AV$7)),$AV$6,IF(OR(COUNTIF('1.연간시수표'!Y17,$AW$9),COUNTIF('1.연간시수표'!Y17,$AW$7)),$AW$6,IF(OR(COUNTIF('1.연간시수표'!Y17,$AX$9),COUNTIF('1.연간시수표'!Y17,$AX$7)),$AX$6,IF(OR(COUNTIF('1.연간시수표'!Y17,$AY$9),COUNTIF('1.연간시수표'!Y17,$AY$7)),$AY$6,IF(OR(COUNTIF('1.연간시수표'!Y17,$AZ$9),COUNTIF('1.연간시수표'!Y17,$AZ$7)),$AZ$6,IF(OR(COUNTIF('1.연간시수표'!Y17,$BA$9),COUNTIF('1.연간시수표'!Y17,$BA$7)),$BA$6,IF(OR(COUNTIF('1.연간시수표'!Y17,$BB$9),COUNTIF('1.연간시수표'!Y17,$BB$7)),$BB$6,IF(OR(COUNTIF('1.연간시수표'!Y17,$BC$9),COUNTIF('1.연간시수표'!Y17,$BC$7)),$BC$6,IF(OR(COUNTIF('1.연간시수표'!Y17,$BF$9),COUNTIF('1.연간시수표'!Y17,$BF$7),COUNTIF('1.연간시수표'!Y17,$BG$9),COUNTIF('1.연간시수표'!Y17,$BG$7),COUNTIF('1.연간시수표'!Y17,$BH$9),COUNTIF('1.연간시수표'!Y17,$BH$7),COUNTIF('1.연간시수표'!Y17,$BI$9),COUNTIF('1.연간시수표'!Y17,$BI$7),COUNTIF('1.연간시수표'!Y17,$BJ$9),COUNTIF('1.연간시수표'!Y17,$BJ$7),COUNTIF('1.연간시수표'!Y17,$BK$9),COUNTIF('1.연간시수표'!Y17,$BK$7),COUNTIF('1.연간시수표'!Y17,$BL$9),COUNTIF('1.연간시수표'!Y17,$BL$7),COUNTIF('1.연간시수표'!Y17,$BM$9),COUNTIF('1.연간시수표'!Y17,$BM$7)),$BF$6,IF(OR(COUNTIF('1.연간시수표'!Y17,$BO$9),COUNTIF('1.연간시수표'!Y17,$BO$7)),$BO$6,IF(OR(COUNTIF('1.연간시수표'!Y17,$BP$9),COUNTIF('1.연간시수표'!Y17,$BP$7)),$BP$6,IF(OR(COUNTIF('1.연간시수표'!Y17,$BQ$9),COUNTIF('1.연간시수표'!Y17,$BQ$7)),$BQ$6,IF(OR(COUNTIF('1.연간시수표'!Y17,$BR$9),COUNTIF('1.연간시수표'!Y17,$BR$7)),$BR$6,"_")))))))))))))))</f>
        <v>도덕</v>
      </c>
      <c r="Z17" s="148" t="str">
        <f>IF(OR(COUNTIF('1.연간시수표'!Z17,$AT$9),COUNTIF('1.연간시수표'!Z17,$AT$7)),$AT$6,IF(OR(COUNTIF('1.연간시수표'!Z17,$AU$9),COUNTIF('1.연간시수표'!Z17,$AU$7)),$AU$6,IF(OR(COUNTIF('1.연간시수표'!Z17,$AV$9),COUNTIF('1.연간시수표'!Z17,$AV$7)),$AV$6,IF(OR(COUNTIF('1.연간시수표'!Z17,$AW$9),COUNTIF('1.연간시수표'!Z17,$AW$7)),$AW$6,IF(OR(COUNTIF('1.연간시수표'!Z17,$AX$9),COUNTIF('1.연간시수표'!Z17,$AX$7)),$AX$6,IF(OR(COUNTIF('1.연간시수표'!Z17,$AY$9),COUNTIF('1.연간시수표'!Z17,$AY$7)),$AY$6,IF(OR(COUNTIF('1.연간시수표'!Z17,$AZ$9),COUNTIF('1.연간시수표'!Z17,$AZ$7)),$AZ$6,IF(OR(COUNTIF('1.연간시수표'!Z17,$BA$9),COUNTIF('1.연간시수표'!Z17,$BA$7)),$BA$6,IF(OR(COUNTIF('1.연간시수표'!Z17,$BB$9),COUNTIF('1.연간시수표'!Z17,$BB$7)),$BB$6,IF(OR(COUNTIF('1.연간시수표'!Z17,$BC$9),COUNTIF('1.연간시수표'!Z17,$BC$7)),$BC$6,IF(OR(COUNTIF('1.연간시수표'!Z17,$BF$9),COUNTIF('1.연간시수표'!Z17,$BF$7),COUNTIF('1.연간시수표'!Z17,$BG$9),COUNTIF('1.연간시수표'!Z17,$BG$7),COUNTIF('1.연간시수표'!Z17,$BH$9),COUNTIF('1.연간시수표'!Z17,$BH$7),COUNTIF('1.연간시수표'!Z17,$BI$9),COUNTIF('1.연간시수표'!Z17,$BI$7),COUNTIF('1.연간시수표'!Z17,$BJ$9),COUNTIF('1.연간시수표'!Z17,$BJ$7),COUNTIF('1.연간시수표'!Z17,$BK$9),COUNTIF('1.연간시수표'!Z17,$BK$7),COUNTIF('1.연간시수표'!Z17,$BL$9),COUNTIF('1.연간시수표'!Z17,$BL$7),COUNTIF('1.연간시수표'!Z17,$BM$9),COUNTIF('1.연간시수표'!Z17,$BM$7)),$BF$6,IF(OR(COUNTIF('1.연간시수표'!Z17,$BO$9),COUNTIF('1.연간시수표'!Z17,$BO$7)),$BO$6,IF(OR(COUNTIF('1.연간시수표'!Z17,$BP$9),COUNTIF('1.연간시수표'!Z17,$BP$7)),$BP$6,IF(OR(COUNTIF('1.연간시수표'!Z17,$BQ$9),COUNTIF('1.연간시수표'!Z17,$BQ$7)),$BQ$6,IF(OR(COUNTIF('1.연간시수표'!Z17,$BR$9),COUNTIF('1.연간시수표'!Z17,$BR$7)),$BR$6,"_")))))))))))))))</f>
        <v>_</v>
      </c>
      <c r="AA17" s="148" t="str">
        <f>IF(OR(COUNTIF('1.연간시수표'!AA17,$AT$9),COUNTIF('1.연간시수표'!AA17,$AT$7)),$AT$6,IF(OR(COUNTIF('1.연간시수표'!AA17,$AU$9),COUNTIF('1.연간시수표'!AA17,$AU$7)),$AU$6,IF(OR(COUNTIF('1.연간시수표'!AA17,$AV$9),COUNTIF('1.연간시수표'!AA17,$AV$7)),$AV$6,IF(OR(COUNTIF('1.연간시수표'!AA17,$AW$9),COUNTIF('1.연간시수표'!AA17,$AW$7)),$AW$6,IF(OR(COUNTIF('1.연간시수표'!AA17,$AX$9),COUNTIF('1.연간시수표'!AA17,$AX$7)),$AX$6,IF(OR(COUNTIF('1.연간시수표'!AA17,$AY$9),COUNTIF('1.연간시수표'!AA17,$AY$7)),$AY$6,IF(OR(COUNTIF('1.연간시수표'!AA17,$AZ$9),COUNTIF('1.연간시수표'!AA17,$AZ$7)),$AZ$6,IF(OR(COUNTIF('1.연간시수표'!AA17,$BA$9),COUNTIF('1.연간시수표'!AA17,$BA$7)),$BA$6,IF(OR(COUNTIF('1.연간시수표'!AA17,$BB$9),COUNTIF('1.연간시수표'!AA17,$BB$7)),$BB$6,IF(OR(COUNTIF('1.연간시수표'!AA17,$BC$9),COUNTIF('1.연간시수표'!AA17,$BC$7)),$BC$6,IF(OR(COUNTIF('1.연간시수표'!AA17,$BF$9),COUNTIF('1.연간시수표'!AA17,$BF$7),COUNTIF('1.연간시수표'!AA17,$BG$9),COUNTIF('1.연간시수표'!AA17,$BG$7),COUNTIF('1.연간시수표'!AA17,$BH$9),COUNTIF('1.연간시수표'!AA17,$BH$7),COUNTIF('1.연간시수표'!AA17,$BI$9),COUNTIF('1.연간시수표'!AA17,$BI$7),COUNTIF('1.연간시수표'!AA17,$BJ$9),COUNTIF('1.연간시수표'!AA17,$BJ$7),COUNTIF('1.연간시수표'!AA17,$BK$9),COUNTIF('1.연간시수표'!AA17,$BK$7),COUNTIF('1.연간시수표'!AA17,$BL$9),COUNTIF('1.연간시수표'!AA17,$BL$7),COUNTIF('1.연간시수표'!AA17,$BM$9),COUNTIF('1.연간시수표'!AA17,$BM$7)),$BF$6,IF(OR(COUNTIF('1.연간시수표'!AA17,$BO$9),COUNTIF('1.연간시수표'!AA17,$BO$7)),$BO$6,IF(OR(COUNTIF('1.연간시수표'!AA17,$BP$9),COUNTIF('1.연간시수표'!AA17,$BP$7)),$BP$6,IF(OR(COUNTIF('1.연간시수표'!AA17,$BQ$9),COUNTIF('1.연간시수표'!AA17,$BQ$7)),$BQ$6,IF(OR(COUNTIF('1.연간시수표'!AA17,$BR$9),COUNTIF('1.연간시수표'!AA17,$BR$7)),$BR$6,"_")))))))))))))))</f>
        <v>_</v>
      </c>
      <c r="AB17" s="148" t="str">
        <f>IF(OR(COUNTIF('1.연간시수표'!AB17,$AT$9),COUNTIF('1.연간시수표'!AB17,$AT$7)),$AT$6,IF(OR(COUNTIF('1.연간시수표'!AB17,$AU$9),COUNTIF('1.연간시수표'!AB17,$AU$7)),$AU$6,IF(OR(COUNTIF('1.연간시수표'!AB17,$AV$9),COUNTIF('1.연간시수표'!AB17,$AV$7)),$AV$6,IF(OR(COUNTIF('1.연간시수표'!AB17,$AW$9),COUNTIF('1.연간시수표'!AB17,$AW$7)),$AW$6,IF(OR(COUNTIF('1.연간시수표'!AB17,$AX$9),COUNTIF('1.연간시수표'!AB17,$AX$7)),$AX$6,IF(OR(COUNTIF('1.연간시수표'!AB17,$AY$9),COUNTIF('1.연간시수표'!AB17,$AY$7)),$AY$6,IF(OR(COUNTIF('1.연간시수표'!AB17,$AZ$9),COUNTIF('1.연간시수표'!AB17,$AZ$7)),$AZ$6,IF(OR(COUNTIF('1.연간시수표'!AB17,$BA$9),COUNTIF('1.연간시수표'!AB17,$BA$7)),$BA$6,IF(OR(COUNTIF('1.연간시수표'!AB17,$BB$9),COUNTIF('1.연간시수표'!AB17,$BB$7)),$BB$6,IF(OR(COUNTIF('1.연간시수표'!AB17,$BC$9),COUNTIF('1.연간시수표'!AB17,$BC$7)),$BC$6,IF(OR(COUNTIF('1.연간시수표'!AB17,$BF$9),COUNTIF('1.연간시수표'!AB17,$BF$7),COUNTIF('1.연간시수표'!AB17,$BG$9),COUNTIF('1.연간시수표'!AB17,$BG$7),COUNTIF('1.연간시수표'!AB17,$BH$9),COUNTIF('1.연간시수표'!AB17,$BH$7),COUNTIF('1.연간시수표'!AB17,$BI$9),COUNTIF('1.연간시수표'!AB17,$BI$7),COUNTIF('1.연간시수표'!AB17,$BJ$9),COUNTIF('1.연간시수표'!AB17,$BJ$7),COUNTIF('1.연간시수표'!AB17,$BK$9),COUNTIF('1.연간시수표'!AB17,$BK$7),COUNTIF('1.연간시수표'!AB17,$BL$9),COUNTIF('1.연간시수표'!AB17,$BL$7),COUNTIF('1.연간시수표'!AB17,$BM$9),COUNTIF('1.연간시수표'!AB17,$BM$7)),$BF$6,IF(OR(COUNTIF('1.연간시수표'!AB17,$BO$9),COUNTIF('1.연간시수표'!AB17,$BO$7)),$BO$6,IF(OR(COUNTIF('1.연간시수표'!AB17,$BP$9),COUNTIF('1.연간시수표'!AB17,$BP$7)),$BP$6,IF(OR(COUNTIF('1.연간시수표'!AB17,$BQ$9),COUNTIF('1.연간시수표'!AB17,$BQ$7)),$BQ$6,IF(OR(COUNTIF('1.연간시수표'!AB17,$BR$9),COUNTIF('1.연간시수표'!AB17,$BR$7)),$BR$6,"_")))))))))))))))</f>
        <v>_</v>
      </c>
      <c r="AC17" s="148" t="str">
        <f>IF(OR(COUNTIF('1.연간시수표'!AC17,$AT$9),COUNTIF('1.연간시수표'!AC17,$AT$7)),$AT$6,IF(OR(COUNTIF('1.연간시수표'!AC17,$AU$9),COUNTIF('1.연간시수표'!AC17,$AU$7)),$AU$6,IF(OR(COUNTIF('1.연간시수표'!AC17,$AV$9),COUNTIF('1.연간시수표'!AC17,$AV$7)),$AV$6,IF(OR(COUNTIF('1.연간시수표'!AC17,$AW$9),COUNTIF('1.연간시수표'!AC17,$AW$7)),$AW$6,IF(OR(COUNTIF('1.연간시수표'!AC17,$AX$9),COUNTIF('1.연간시수표'!AC17,$AX$7)),$AX$6,IF(OR(COUNTIF('1.연간시수표'!AC17,$AY$9),COUNTIF('1.연간시수표'!AC17,$AY$7)),$AY$6,IF(OR(COUNTIF('1.연간시수표'!AC17,$AZ$9),COUNTIF('1.연간시수표'!AC17,$AZ$7)),$AZ$6,IF(OR(COUNTIF('1.연간시수표'!AC17,$BA$9),COUNTIF('1.연간시수표'!AC17,$BA$7)),$BA$6,IF(OR(COUNTIF('1.연간시수표'!AC17,$BB$9),COUNTIF('1.연간시수표'!AC17,$BB$7)),$BB$6,IF(OR(COUNTIF('1.연간시수표'!AC17,$BC$9),COUNTIF('1.연간시수표'!AC17,$BC$7)),$BC$6,IF(OR(COUNTIF('1.연간시수표'!AC17,$BF$9),COUNTIF('1.연간시수표'!AC17,$BF$7),COUNTIF('1.연간시수표'!AC17,$BG$9),COUNTIF('1.연간시수표'!AC17,$BG$7),COUNTIF('1.연간시수표'!AC17,$BH$9),COUNTIF('1.연간시수표'!AC17,$BH$7),COUNTIF('1.연간시수표'!AC17,$BI$9),COUNTIF('1.연간시수표'!AC17,$BI$7),COUNTIF('1.연간시수표'!AC17,$BJ$9),COUNTIF('1.연간시수표'!AC17,$BJ$7),COUNTIF('1.연간시수표'!AC17,$BK$9),COUNTIF('1.연간시수표'!AC17,$BK$7),COUNTIF('1.연간시수표'!AC17,$BL$9),COUNTIF('1.연간시수표'!AC17,$BL$7),COUNTIF('1.연간시수표'!AC17,$BM$9),COUNTIF('1.연간시수표'!AC17,$BM$7)),$BF$6,IF(OR(COUNTIF('1.연간시수표'!AC17,$BO$9),COUNTIF('1.연간시수표'!AC17,$BO$7)),$BO$6,IF(OR(COUNTIF('1.연간시수표'!AC17,$BP$9),COUNTIF('1.연간시수표'!AC17,$BP$7)),$BP$6,IF(OR(COUNTIF('1.연간시수표'!AC17,$BQ$9),COUNTIF('1.연간시수표'!AC17,$BQ$7)),$BQ$6,IF(OR(COUNTIF('1.연간시수표'!AC17,$BR$9),COUNTIF('1.연간시수표'!AC17,$BR$7)),$BR$6,"_")))))))))))))))</f>
        <v>국어</v>
      </c>
      <c r="AD17" s="148" t="str">
        <f>IF(OR(COUNTIF('1.연간시수표'!AD17,$AT$9),COUNTIF('1.연간시수표'!AD17,$AT$7)),$AT$6,IF(OR(COUNTIF('1.연간시수표'!AD17,$AU$9),COUNTIF('1.연간시수표'!AD17,$AU$7)),$AU$6,IF(OR(COUNTIF('1.연간시수표'!AD17,$AV$9),COUNTIF('1.연간시수표'!AD17,$AV$7)),$AV$6,IF(OR(COUNTIF('1.연간시수표'!AD17,$AW$9),COUNTIF('1.연간시수표'!AD17,$AW$7)),$AW$6,IF(OR(COUNTIF('1.연간시수표'!AD17,$AX$9),COUNTIF('1.연간시수표'!AD17,$AX$7)),$AX$6,IF(OR(COUNTIF('1.연간시수표'!AD17,$AY$9),COUNTIF('1.연간시수표'!AD17,$AY$7)),$AY$6,IF(OR(COUNTIF('1.연간시수표'!AD17,$AZ$9),COUNTIF('1.연간시수표'!AD17,$AZ$7)),$AZ$6,IF(OR(COUNTIF('1.연간시수표'!AD17,$BA$9),COUNTIF('1.연간시수표'!AD17,$BA$7)),$BA$6,IF(OR(COUNTIF('1.연간시수표'!AD17,$BB$9),COUNTIF('1.연간시수표'!AD17,$BB$7)),$BB$6,IF(OR(COUNTIF('1.연간시수표'!AD17,$BC$9),COUNTIF('1.연간시수표'!AD17,$BC$7)),$BC$6,IF(OR(COUNTIF('1.연간시수표'!AD17,$BF$9),COUNTIF('1.연간시수표'!AD17,$BF$7),COUNTIF('1.연간시수표'!AD17,$BG$9),COUNTIF('1.연간시수표'!AD17,$BG$7),COUNTIF('1.연간시수표'!AD17,$BH$9),COUNTIF('1.연간시수표'!AD17,$BH$7),COUNTIF('1.연간시수표'!AD17,$BI$9),COUNTIF('1.연간시수표'!AD17,$BI$7),COUNTIF('1.연간시수표'!AD17,$BJ$9),COUNTIF('1.연간시수표'!AD17,$BJ$7),COUNTIF('1.연간시수표'!AD17,$BK$9),COUNTIF('1.연간시수표'!AD17,$BK$7),COUNTIF('1.연간시수표'!AD17,$BL$9),COUNTIF('1.연간시수표'!AD17,$BL$7),COUNTIF('1.연간시수표'!AD17,$BM$9),COUNTIF('1.연간시수표'!AD17,$BM$7)),$BF$6,IF(OR(COUNTIF('1.연간시수표'!AD17,$BO$9),COUNTIF('1.연간시수표'!AD17,$BO$7)),$BO$6,IF(OR(COUNTIF('1.연간시수표'!AD17,$BP$9),COUNTIF('1.연간시수표'!AD17,$BP$7)),$BP$6,IF(OR(COUNTIF('1.연간시수표'!AD17,$BQ$9),COUNTIF('1.연간시수표'!AD17,$BQ$7)),$BQ$6,IF(OR(COUNTIF('1.연간시수표'!AD17,$BR$9),COUNTIF('1.연간시수표'!AD17,$BR$7)),$BR$6,"_")))))))))))))))</f>
        <v>수학</v>
      </c>
      <c r="AE17" s="148" t="str">
        <f>IF(OR(COUNTIF('1.연간시수표'!AE17,$AT$9),COUNTIF('1.연간시수표'!AE17,$AT$7)),$AT$6,IF(OR(COUNTIF('1.연간시수표'!AE17,$AU$9),COUNTIF('1.연간시수표'!AE17,$AU$7)),$AU$6,IF(OR(COUNTIF('1.연간시수표'!AE17,$AV$9),COUNTIF('1.연간시수표'!AE17,$AV$7)),$AV$6,IF(OR(COUNTIF('1.연간시수표'!AE17,$AW$9),COUNTIF('1.연간시수표'!AE17,$AW$7)),$AW$6,IF(OR(COUNTIF('1.연간시수표'!AE17,$AX$9),COUNTIF('1.연간시수표'!AE17,$AX$7)),$AX$6,IF(OR(COUNTIF('1.연간시수표'!AE17,$AY$9),COUNTIF('1.연간시수표'!AE17,$AY$7)),$AY$6,IF(OR(COUNTIF('1.연간시수표'!AE17,$AZ$9),COUNTIF('1.연간시수표'!AE17,$AZ$7)),$AZ$6,IF(OR(COUNTIF('1.연간시수표'!AE17,$BA$9),COUNTIF('1.연간시수표'!AE17,$BA$7)),$BA$6,IF(OR(COUNTIF('1.연간시수표'!AE17,$BB$9),COUNTIF('1.연간시수표'!AE17,$BB$7)),$BB$6,IF(OR(COUNTIF('1.연간시수표'!AE17,$BC$9),COUNTIF('1.연간시수표'!AE17,$BC$7)),$BC$6,IF(OR(COUNTIF('1.연간시수표'!AE17,$BF$9),COUNTIF('1.연간시수표'!AE17,$BF$7),COUNTIF('1.연간시수표'!AE17,$BG$9),COUNTIF('1.연간시수표'!AE17,$BG$7),COUNTIF('1.연간시수표'!AE17,$BH$9),COUNTIF('1.연간시수표'!AE17,$BH$7),COUNTIF('1.연간시수표'!AE17,$BI$9),COUNTIF('1.연간시수표'!AE17,$BI$7),COUNTIF('1.연간시수표'!AE17,$BJ$9),COUNTIF('1.연간시수표'!AE17,$BJ$7),COUNTIF('1.연간시수표'!AE17,$BK$9),COUNTIF('1.연간시수표'!AE17,$BK$7),COUNTIF('1.연간시수표'!AE17,$BL$9),COUNTIF('1.연간시수표'!AE17,$BL$7),COUNTIF('1.연간시수표'!AE17,$BM$9),COUNTIF('1.연간시수표'!AE17,$BM$7)),$BF$6,IF(OR(COUNTIF('1.연간시수표'!AE17,$BO$9),COUNTIF('1.연간시수표'!AE17,$BO$7)),$BO$6,IF(OR(COUNTIF('1.연간시수표'!AE17,$BP$9),COUNTIF('1.연간시수표'!AE17,$BP$7)),$BP$6,IF(OR(COUNTIF('1.연간시수표'!AE17,$BQ$9),COUNTIF('1.연간시수표'!AE17,$BQ$7)),$BQ$6,IF(OR(COUNTIF('1.연간시수표'!AE17,$BR$9),COUNTIF('1.연간시수표'!AE17,$BR$7)),$BR$6,"_")))))))))))))))</f>
        <v>사회</v>
      </c>
      <c r="AF17" s="148" t="str">
        <f>IF(OR(COUNTIF('1.연간시수표'!AF17,$AT$9),COUNTIF('1.연간시수표'!AF17,$AT$7)),$AT$6,IF(OR(COUNTIF('1.연간시수표'!AF17,$AU$9),COUNTIF('1.연간시수표'!AF17,$AU$7)),$AU$6,IF(OR(COUNTIF('1.연간시수표'!AF17,$AV$9),COUNTIF('1.연간시수표'!AF17,$AV$7)),$AV$6,IF(OR(COUNTIF('1.연간시수표'!AF17,$AW$9),COUNTIF('1.연간시수표'!AF17,$AW$7)),$AW$6,IF(OR(COUNTIF('1.연간시수표'!AF17,$AX$9),COUNTIF('1.연간시수표'!AF17,$AX$7)),$AX$6,IF(OR(COUNTIF('1.연간시수표'!AF17,$AY$9),COUNTIF('1.연간시수표'!AF17,$AY$7)),$AY$6,IF(OR(COUNTIF('1.연간시수표'!AF17,$AZ$9),COUNTIF('1.연간시수표'!AF17,$AZ$7)),$AZ$6,IF(OR(COUNTIF('1.연간시수표'!AF17,$BA$9),COUNTIF('1.연간시수표'!AF17,$BA$7)),$BA$6,IF(OR(COUNTIF('1.연간시수표'!AF17,$BB$9),COUNTIF('1.연간시수표'!AF17,$BB$7)),$BB$6,IF(OR(COUNTIF('1.연간시수표'!AF17,$BC$9),COUNTIF('1.연간시수표'!AF17,$BC$7)),$BC$6,IF(OR(COUNTIF('1.연간시수표'!AF17,$BF$9),COUNTIF('1.연간시수표'!AF17,$BF$7),COUNTIF('1.연간시수표'!AF17,$BG$9),COUNTIF('1.연간시수표'!AF17,$BG$7),COUNTIF('1.연간시수표'!AF17,$BH$9),COUNTIF('1.연간시수표'!AF17,$BH$7),COUNTIF('1.연간시수표'!AF17,$BI$9),COUNTIF('1.연간시수표'!AF17,$BI$7),COUNTIF('1.연간시수표'!AF17,$BJ$9),COUNTIF('1.연간시수표'!AF17,$BJ$7),COUNTIF('1.연간시수표'!AF17,$BK$9),COUNTIF('1.연간시수표'!AF17,$BK$7),COUNTIF('1.연간시수표'!AF17,$BL$9),COUNTIF('1.연간시수표'!AF17,$BL$7),COUNTIF('1.연간시수표'!AF17,$BM$9),COUNTIF('1.연간시수표'!AF17,$BM$7)),$BF$6,IF(OR(COUNTIF('1.연간시수표'!AF17,$BO$9),COUNTIF('1.연간시수표'!AF17,$BO$7)),$BO$6,IF(OR(COUNTIF('1.연간시수표'!AF17,$BP$9),COUNTIF('1.연간시수표'!AF17,$BP$7)),$BP$6,IF(OR(COUNTIF('1.연간시수표'!AF17,$BQ$9),COUNTIF('1.연간시수표'!AF17,$BQ$7)),$BQ$6,IF(OR(COUNTIF('1.연간시수표'!AF17,$BR$9),COUNTIF('1.연간시수표'!AF17,$BR$7)),$BR$6,"_")))))))))))))))</f>
        <v>영어</v>
      </c>
      <c r="AG17" s="148" t="str">
        <f>IF(OR(COUNTIF('1.연간시수표'!AG17,$AT$9),COUNTIF('1.연간시수표'!AG17,$AT$7)),$AT$6,IF(OR(COUNTIF('1.연간시수표'!AG17,$AU$9),COUNTIF('1.연간시수표'!AG17,$AU$7)),$AU$6,IF(OR(COUNTIF('1.연간시수표'!AG17,$AV$9),COUNTIF('1.연간시수표'!AG17,$AV$7)),$AV$6,IF(OR(COUNTIF('1.연간시수표'!AG17,$AW$9),COUNTIF('1.연간시수표'!AG17,$AW$7)),$AW$6,IF(OR(COUNTIF('1.연간시수표'!AG17,$AX$9),COUNTIF('1.연간시수표'!AG17,$AX$7)),$AX$6,IF(OR(COUNTIF('1.연간시수표'!AG17,$AY$9),COUNTIF('1.연간시수표'!AG17,$AY$7)),$AY$6,IF(OR(COUNTIF('1.연간시수표'!AG17,$AZ$9),COUNTIF('1.연간시수표'!AG17,$AZ$7)),$AZ$6,IF(OR(COUNTIF('1.연간시수표'!AG17,$BA$9),COUNTIF('1.연간시수표'!AG17,$BA$7)),$BA$6,IF(OR(COUNTIF('1.연간시수표'!AG17,$BB$9),COUNTIF('1.연간시수표'!AG17,$BB$7)),$BB$6,IF(OR(COUNTIF('1.연간시수표'!AG17,$BC$9),COUNTIF('1.연간시수표'!AG17,$BC$7)),$BC$6,IF(OR(COUNTIF('1.연간시수표'!AG17,$BF$9),COUNTIF('1.연간시수표'!AG17,$BF$7),COUNTIF('1.연간시수표'!AG17,$BG$9),COUNTIF('1.연간시수표'!AG17,$BG$7),COUNTIF('1.연간시수표'!AG17,$BH$9),COUNTIF('1.연간시수표'!AG17,$BH$7),COUNTIF('1.연간시수표'!AG17,$BI$9),COUNTIF('1.연간시수표'!AG17,$BI$7),COUNTIF('1.연간시수표'!AG17,$BJ$9),COUNTIF('1.연간시수표'!AG17,$BJ$7),COUNTIF('1.연간시수표'!AG17,$BK$9),COUNTIF('1.연간시수표'!AG17,$BK$7),COUNTIF('1.연간시수표'!AG17,$BL$9),COUNTIF('1.연간시수표'!AG17,$BL$7),COUNTIF('1.연간시수표'!AG17,$BM$9),COUNTIF('1.연간시수표'!AG17,$BM$7)),$BF$6,IF(OR(COUNTIF('1.연간시수표'!AG17,$BO$9),COUNTIF('1.연간시수표'!AG17,$BO$7)),$BO$6,IF(OR(COUNTIF('1.연간시수표'!AG17,$BP$9),COUNTIF('1.연간시수표'!AG17,$BP$7)),$BP$6,IF(OR(COUNTIF('1.연간시수표'!AG17,$BQ$9),COUNTIF('1.연간시수표'!AG17,$BQ$7)),$BQ$6,IF(OR(COUNTIF('1.연간시수표'!AG17,$BR$9),COUNTIF('1.연간시수표'!AG17,$BR$7)),$BR$6,"_")))))))))))))))</f>
        <v>동아리활동</v>
      </c>
      <c r="AH17" s="148" t="str">
        <f>IF(OR(COUNTIF('1.연간시수표'!AH17,$AT$9),COUNTIF('1.연간시수표'!AH17,$AT$7)),$AT$6,IF(OR(COUNTIF('1.연간시수표'!AH17,$AU$9),COUNTIF('1.연간시수표'!AH17,$AU$7)),$AU$6,IF(OR(COUNTIF('1.연간시수표'!AH17,$AV$9),COUNTIF('1.연간시수표'!AH17,$AV$7)),$AV$6,IF(OR(COUNTIF('1.연간시수표'!AH17,$AW$9),COUNTIF('1.연간시수표'!AH17,$AW$7)),$AW$6,IF(OR(COUNTIF('1.연간시수표'!AH17,$AX$9),COUNTIF('1.연간시수표'!AH17,$AX$7)),$AX$6,IF(OR(COUNTIF('1.연간시수표'!AH17,$AY$9),COUNTIF('1.연간시수표'!AH17,$AY$7)),$AY$6,IF(OR(COUNTIF('1.연간시수표'!AH17,$AZ$9),COUNTIF('1.연간시수표'!AH17,$AZ$7)),$AZ$6,IF(OR(COUNTIF('1.연간시수표'!AH17,$BA$9),COUNTIF('1.연간시수표'!AH17,$BA$7)),$BA$6,IF(OR(COUNTIF('1.연간시수표'!AH17,$BB$9),COUNTIF('1.연간시수표'!AH17,$BB$7)),$BB$6,IF(OR(COUNTIF('1.연간시수표'!AH17,$BC$9),COUNTIF('1.연간시수표'!AH17,$BC$7)),$BC$6,IF(OR(COUNTIF('1.연간시수표'!AH17,$BF$9),COUNTIF('1.연간시수표'!AH17,$BF$7),COUNTIF('1.연간시수표'!AH17,$BG$9),COUNTIF('1.연간시수표'!AH17,$BG$7),COUNTIF('1.연간시수표'!AH17,$BH$9),COUNTIF('1.연간시수표'!AH17,$BH$7),COUNTIF('1.연간시수표'!AH17,$BI$9),COUNTIF('1.연간시수표'!AH17,$BI$7),COUNTIF('1.연간시수표'!AH17,$BJ$9),COUNTIF('1.연간시수표'!AH17,$BJ$7),COUNTIF('1.연간시수표'!AH17,$BK$9),COUNTIF('1.연간시수표'!AH17,$BK$7),COUNTIF('1.연간시수표'!AH17,$BL$9),COUNTIF('1.연간시수표'!AH17,$BL$7),COUNTIF('1.연간시수표'!AH17,$BM$9),COUNTIF('1.연간시수표'!AH17,$BM$7)),$BF$6,IF(OR(COUNTIF('1.연간시수표'!AH17,$BO$9),COUNTIF('1.연간시수표'!AH17,$BO$7)),$BO$6,IF(OR(COUNTIF('1.연간시수표'!AH17,$BP$9),COUNTIF('1.연간시수표'!AH17,$BP$7)),$BP$6,IF(OR(COUNTIF('1.연간시수표'!AH17,$BQ$9),COUNTIF('1.연간시수표'!AH17,$BQ$7)),$BQ$6,IF(OR(COUNTIF('1.연간시수표'!AH17,$BR$9),COUNTIF('1.연간시수표'!AH17,$BR$7)),$BR$6,"_")))))))))))))))</f>
        <v>동아리활동</v>
      </c>
      <c r="AI17" s="148" t="str">
        <f>IF(OR(COUNTIF('1.연간시수표'!AI17,$AT$9),COUNTIF('1.연간시수표'!AI17,$AT$7)),$AT$6,IF(OR(COUNTIF('1.연간시수표'!AI17,$AU$9),COUNTIF('1.연간시수표'!AI17,$AU$7)),$AU$6,IF(OR(COUNTIF('1.연간시수표'!AI17,$AV$9),COUNTIF('1.연간시수표'!AI17,$AV$7)),$AV$6,IF(OR(COUNTIF('1.연간시수표'!AI17,$AW$9),COUNTIF('1.연간시수표'!AI17,$AW$7)),$AW$6,IF(OR(COUNTIF('1.연간시수표'!AI17,$AX$9),COUNTIF('1.연간시수표'!AI17,$AX$7)),$AX$6,IF(OR(COUNTIF('1.연간시수표'!AI17,$AY$9),COUNTIF('1.연간시수표'!AI17,$AY$7)),$AY$6,IF(OR(COUNTIF('1.연간시수표'!AI17,$AZ$9),COUNTIF('1.연간시수표'!AI17,$AZ$7)),$AZ$6,IF(OR(COUNTIF('1.연간시수표'!AI17,$BA$9),COUNTIF('1.연간시수표'!AI17,$BA$7)),$BA$6,IF(OR(COUNTIF('1.연간시수표'!AI17,$BB$9),COUNTIF('1.연간시수표'!AI17,$BB$7)),$BB$6,IF(OR(COUNTIF('1.연간시수표'!AI17,$BC$9),COUNTIF('1.연간시수표'!AI17,$BC$7)),$BC$6,IF(OR(COUNTIF('1.연간시수표'!AI17,$BF$9),COUNTIF('1.연간시수표'!AI17,$BF$7),COUNTIF('1.연간시수표'!AI17,$BG$9),COUNTIF('1.연간시수표'!AI17,$BG$7),COUNTIF('1.연간시수표'!AI17,$BH$9),COUNTIF('1.연간시수표'!AI17,$BH$7),COUNTIF('1.연간시수표'!AI17,$BI$9),COUNTIF('1.연간시수표'!AI17,$BI$7),COUNTIF('1.연간시수표'!AI17,$BJ$9),COUNTIF('1.연간시수표'!AI17,$BJ$7),COUNTIF('1.연간시수표'!AI17,$BK$9),COUNTIF('1.연간시수표'!AI17,$BK$7),COUNTIF('1.연간시수표'!AI17,$BL$9),COUNTIF('1.연간시수표'!AI17,$BL$7),COUNTIF('1.연간시수표'!AI17,$BM$9),COUNTIF('1.연간시수표'!AI17,$BM$7)),$BF$6,IF(OR(COUNTIF('1.연간시수표'!AI17,$BO$9),COUNTIF('1.연간시수표'!AI17,$BO$7)),$BO$6,IF(OR(COUNTIF('1.연간시수표'!AI17,$BP$9),COUNTIF('1.연간시수표'!AI17,$BP$7)),$BP$6,IF(OR(COUNTIF('1.연간시수표'!AI17,$BQ$9),COUNTIF('1.연간시수표'!AI17,$BQ$7)),$BQ$6,IF(OR(COUNTIF('1.연간시수표'!AI17,$BR$9),COUNTIF('1.연간시수표'!AI17,$BR$7)),$BR$6,"_")))))))))))))))</f>
        <v>_</v>
      </c>
      <c r="AJ17" s="148" t="str">
        <f>IF(OR(COUNTIF('1.연간시수표'!AJ17,$AT$9),COUNTIF('1.연간시수표'!AJ17,$AT$7)),$AT$6,IF(OR(COUNTIF('1.연간시수표'!AJ17,$AU$9),COUNTIF('1.연간시수표'!AJ17,$AU$7)),$AU$6,IF(OR(COUNTIF('1.연간시수표'!AJ17,$AV$9),COUNTIF('1.연간시수표'!AJ17,$AV$7)),$AV$6,IF(OR(COUNTIF('1.연간시수표'!AJ17,$AW$9),COUNTIF('1.연간시수표'!AJ17,$AW$7)),$AW$6,IF(OR(COUNTIF('1.연간시수표'!AJ17,$AX$9),COUNTIF('1.연간시수표'!AJ17,$AX$7)),$AX$6,IF(OR(COUNTIF('1.연간시수표'!AJ17,$AY$9),COUNTIF('1.연간시수표'!AJ17,$AY$7)),$AY$6,IF(OR(COUNTIF('1.연간시수표'!AJ17,$AZ$9),COUNTIF('1.연간시수표'!AJ17,$AZ$7)),$AZ$6,IF(OR(COUNTIF('1.연간시수표'!AJ17,$BA$9),COUNTIF('1.연간시수표'!AJ17,$BA$7)),$BA$6,IF(OR(COUNTIF('1.연간시수표'!AJ17,$BB$9),COUNTIF('1.연간시수표'!AJ17,$BB$7)),$BB$6,IF(OR(COUNTIF('1.연간시수표'!AJ17,$BC$9),COUNTIF('1.연간시수표'!AJ17,$BC$7)),$BC$6,IF(OR(COUNTIF('1.연간시수표'!AJ17,$BF$9),COUNTIF('1.연간시수표'!AJ17,$BF$7),COUNTIF('1.연간시수표'!AJ17,$BG$9),COUNTIF('1.연간시수표'!AJ17,$BG$7),COUNTIF('1.연간시수표'!AJ17,$BH$9),COUNTIF('1.연간시수표'!AJ17,$BH$7),COUNTIF('1.연간시수표'!AJ17,$BI$9),COUNTIF('1.연간시수표'!AJ17,$BI$7),COUNTIF('1.연간시수표'!AJ17,$BJ$9),COUNTIF('1.연간시수표'!AJ17,$BJ$7),COUNTIF('1.연간시수표'!AJ17,$BK$9),COUNTIF('1.연간시수표'!AJ17,$BK$7),COUNTIF('1.연간시수표'!AJ17,$BL$9),COUNTIF('1.연간시수표'!AJ17,$BL$7),COUNTIF('1.연간시수표'!AJ17,$BM$9),COUNTIF('1.연간시수표'!AJ17,$BM$7)),$BF$6,IF(OR(COUNTIF('1.연간시수표'!AJ17,$BO$9),COUNTIF('1.연간시수표'!AJ17,$BO$7)),$BO$6,IF(OR(COUNTIF('1.연간시수표'!AJ17,$BP$9),COUNTIF('1.연간시수표'!AJ17,$BP$7)),$BP$6,IF(OR(COUNTIF('1.연간시수표'!AJ17,$BQ$9),COUNTIF('1.연간시수표'!AJ17,$BQ$7)),$BQ$6,IF(OR(COUNTIF('1.연간시수표'!AJ17,$BR$9),COUNTIF('1.연간시수표'!AJ17,$BR$7)),$BR$6,"_")))))))))))))))</f>
        <v>_</v>
      </c>
      <c r="AK17" s="148" t="str">
        <f>IF(OR(COUNTIF('1.연간시수표'!AK17,$AT$9),COUNTIF('1.연간시수표'!AK17,$AT$7)),$AT$6,IF(OR(COUNTIF('1.연간시수표'!AK17,$AU$9),COUNTIF('1.연간시수표'!AK17,$AU$7)),$AU$6,IF(OR(COUNTIF('1.연간시수표'!AK17,$AV$9),COUNTIF('1.연간시수표'!AK17,$AV$7)),$AV$6,IF(OR(COUNTIF('1.연간시수표'!AK17,$AW$9),COUNTIF('1.연간시수표'!AK17,$AW$7)),$AW$6,IF(OR(COUNTIF('1.연간시수표'!AK17,$AX$9),COUNTIF('1.연간시수표'!AK17,$AX$7)),$AX$6,IF(OR(COUNTIF('1.연간시수표'!AK17,$AY$9),COUNTIF('1.연간시수표'!AK17,$AY$7)),$AY$6,IF(OR(COUNTIF('1.연간시수표'!AK17,$AZ$9),COUNTIF('1.연간시수표'!AK17,$AZ$7)),$AZ$6,IF(OR(COUNTIF('1.연간시수표'!AK17,$BA$9),COUNTIF('1.연간시수표'!AK17,$BA$7)),$BA$6,IF(OR(COUNTIF('1.연간시수표'!AK17,$BB$9),COUNTIF('1.연간시수표'!AK17,$BB$7)),$BB$6,IF(OR(COUNTIF('1.연간시수표'!AK17,$BC$9),COUNTIF('1.연간시수표'!AK17,$BC$7)),$BC$6,IF(OR(COUNTIF('1.연간시수표'!AK17,$BF$9),COUNTIF('1.연간시수표'!AK17,$BF$7),COUNTIF('1.연간시수표'!AK17,$BG$9),COUNTIF('1.연간시수표'!AK17,$BG$7),COUNTIF('1.연간시수표'!AK17,$BH$9),COUNTIF('1.연간시수표'!AK17,$BH$7),COUNTIF('1.연간시수표'!AK17,$BI$9),COUNTIF('1.연간시수표'!AK17,$BI$7),COUNTIF('1.연간시수표'!AK17,$BJ$9),COUNTIF('1.연간시수표'!AK17,$BJ$7),COUNTIF('1.연간시수표'!AK17,$BK$9),COUNTIF('1.연간시수표'!AK17,$BK$7),COUNTIF('1.연간시수표'!AK17,$BL$9),COUNTIF('1.연간시수표'!AK17,$BL$7),COUNTIF('1.연간시수표'!AK17,$BM$9),COUNTIF('1.연간시수표'!AK17,$BM$7)),$BF$6,IF(OR(COUNTIF('1.연간시수표'!AK17,$BO$9),COUNTIF('1.연간시수표'!AK17,$BO$7)),$BO$6,IF(OR(COUNTIF('1.연간시수표'!AK17,$BP$9),COUNTIF('1.연간시수표'!AK17,$BP$7)),$BP$6,IF(OR(COUNTIF('1.연간시수표'!AK17,$BQ$9),COUNTIF('1.연간시수표'!AK17,$BQ$7)),$BQ$6,IF(OR(COUNTIF('1.연간시수표'!AK17,$BR$9),COUNTIF('1.연간시수표'!AK17,$BR$7)),$BR$6,"_")))))))))))))))</f>
        <v>국어</v>
      </c>
      <c r="AL17" s="148" t="str">
        <f>IF(OR(COUNTIF('1.연간시수표'!AL17,$AT$9),COUNTIF('1.연간시수표'!AL17,$AT$7)),$AT$6,IF(OR(COUNTIF('1.연간시수표'!AL17,$AU$9),COUNTIF('1.연간시수표'!AL17,$AU$7)),$AU$6,IF(OR(COUNTIF('1.연간시수표'!AL17,$AV$9),COUNTIF('1.연간시수표'!AL17,$AV$7)),$AV$6,IF(OR(COUNTIF('1.연간시수표'!AL17,$AW$9),COUNTIF('1.연간시수표'!AL17,$AW$7)),$AW$6,IF(OR(COUNTIF('1.연간시수표'!AL17,$AX$9),COUNTIF('1.연간시수표'!AL17,$AX$7)),$AX$6,IF(OR(COUNTIF('1.연간시수표'!AL17,$AY$9),COUNTIF('1.연간시수표'!AL17,$AY$7)),$AY$6,IF(OR(COUNTIF('1.연간시수표'!AL17,$AZ$9),COUNTIF('1.연간시수표'!AL17,$AZ$7)),$AZ$6,IF(OR(COUNTIF('1.연간시수표'!AL17,$BA$9),COUNTIF('1.연간시수표'!AL17,$BA$7)),$BA$6,IF(OR(COUNTIF('1.연간시수표'!AL17,$BB$9),COUNTIF('1.연간시수표'!AL17,$BB$7)),$BB$6,IF(OR(COUNTIF('1.연간시수표'!AL17,$BC$9),COUNTIF('1.연간시수표'!AL17,$BC$7)),$BC$6,IF(OR(COUNTIF('1.연간시수표'!AL17,$BF$9),COUNTIF('1.연간시수표'!AL17,$BF$7),COUNTIF('1.연간시수표'!AL17,$BG$9),COUNTIF('1.연간시수표'!AL17,$BG$7),COUNTIF('1.연간시수표'!AL17,$BH$9),COUNTIF('1.연간시수표'!AL17,$BH$7),COUNTIF('1.연간시수표'!AL17,$BI$9),COUNTIF('1.연간시수표'!AL17,$BI$7),COUNTIF('1.연간시수표'!AL17,$BJ$9),COUNTIF('1.연간시수표'!AL17,$BJ$7),COUNTIF('1.연간시수표'!AL17,$BK$9),COUNTIF('1.연간시수표'!AL17,$BK$7),COUNTIF('1.연간시수표'!AL17,$BL$9),COUNTIF('1.연간시수표'!AL17,$BL$7),COUNTIF('1.연간시수표'!AL17,$BM$9),COUNTIF('1.연간시수표'!AL17,$BM$7)),$BF$6,IF(OR(COUNTIF('1.연간시수표'!AL17,$BO$9),COUNTIF('1.연간시수표'!AL17,$BO$7)),$BO$6,IF(OR(COUNTIF('1.연간시수표'!AL17,$BP$9),COUNTIF('1.연간시수표'!AL17,$BP$7)),$BP$6,IF(OR(COUNTIF('1.연간시수표'!AL17,$BQ$9),COUNTIF('1.연간시수표'!AL17,$BQ$7)),$BQ$6,IF(OR(COUNTIF('1.연간시수표'!AL17,$BR$9),COUNTIF('1.연간시수표'!AL17,$BR$7)),$BR$6,"_")))))))))))))))</f>
        <v>체육</v>
      </c>
      <c r="AM17" s="148" t="str">
        <f>IF(OR(COUNTIF('1.연간시수표'!AM17,$AT$9),COUNTIF('1.연간시수표'!AM17,$AT$7)),$AT$6,IF(OR(COUNTIF('1.연간시수표'!AM17,$AU$9),COUNTIF('1.연간시수표'!AM17,$AU$7)),$AU$6,IF(OR(COUNTIF('1.연간시수표'!AM17,$AV$9),COUNTIF('1.연간시수표'!AM17,$AV$7)),$AV$6,IF(OR(COUNTIF('1.연간시수표'!AM17,$AW$9),COUNTIF('1.연간시수표'!AM17,$AW$7)),$AW$6,IF(OR(COUNTIF('1.연간시수표'!AM17,$AX$9),COUNTIF('1.연간시수표'!AM17,$AX$7)),$AX$6,IF(OR(COUNTIF('1.연간시수표'!AM17,$AY$9),COUNTIF('1.연간시수표'!AM17,$AY$7)),$AY$6,IF(OR(COUNTIF('1.연간시수표'!AM17,$AZ$9),COUNTIF('1.연간시수표'!AM17,$AZ$7)),$AZ$6,IF(OR(COUNTIF('1.연간시수표'!AM17,$BA$9),COUNTIF('1.연간시수표'!AM17,$BA$7)),$BA$6,IF(OR(COUNTIF('1.연간시수표'!AM17,$BB$9),COUNTIF('1.연간시수표'!AM17,$BB$7)),$BB$6,IF(OR(COUNTIF('1.연간시수표'!AM17,$BC$9),COUNTIF('1.연간시수표'!AM17,$BC$7)),$BC$6,IF(OR(COUNTIF('1.연간시수표'!AM17,$BF$9),COUNTIF('1.연간시수표'!AM17,$BF$7),COUNTIF('1.연간시수표'!AM17,$BG$9),COUNTIF('1.연간시수표'!AM17,$BG$7),COUNTIF('1.연간시수표'!AM17,$BH$9),COUNTIF('1.연간시수표'!AM17,$BH$7),COUNTIF('1.연간시수표'!AM17,$BI$9),COUNTIF('1.연간시수표'!AM17,$BI$7),COUNTIF('1.연간시수표'!AM17,$BJ$9),COUNTIF('1.연간시수표'!AM17,$BJ$7),COUNTIF('1.연간시수표'!AM17,$BK$9),COUNTIF('1.연간시수표'!AM17,$BK$7),COUNTIF('1.연간시수표'!AM17,$BL$9),COUNTIF('1.연간시수표'!AM17,$BL$7),COUNTIF('1.연간시수표'!AM17,$BM$9),COUNTIF('1.연간시수표'!AM17,$BM$7)),$BF$6,IF(OR(COUNTIF('1.연간시수표'!AM17,$BO$9),COUNTIF('1.연간시수표'!AM17,$BO$7)),$BO$6,IF(OR(COUNTIF('1.연간시수표'!AM17,$BP$9),COUNTIF('1.연간시수표'!AM17,$BP$7)),$BP$6,IF(OR(COUNTIF('1.연간시수표'!AM17,$BQ$9),COUNTIF('1.연간시수표'!AM17,$BQ$7)),$BQ$6,IF(OR(COUNTIF('1.연간시수표'!AM17,$BR$9),COUNTIF('1.연간시수표'!AM17,$BR$7)),$BR$6,"_")))))))))))))))</f>
        <v>수학</v>
      </c>
      <c r="AN17" s="148" t="str">
        <f>IF(OR(COUNTIF('1.연간시수표'!AN17,$AT$9),COUNTIF('1.연간시수표'!AN17,$AT$7)),$AT$6,IF(OR(COUNTIF('1.연간시수표'!AN17,$AU$9),COUNTIF('1.연간시수표'!AN17,$AU$7)),$AU$6,IF(OR(COUNTIF('1.연간시수표'!AN17,$AV$9),COUNTIF('1.연간시수표'!AN17,$AV$7)),$AV$6,IF(OR(COUNTIF('1.연간시수표'!AN17,$AW$9),COUNTIF('1.연간시수표'!AN17,$AW$7)),$AW$6,IF(OR(COUNTIF('1.연간시수표'!AN17,$AX$9),COUNTIF('1.연간시수표'!AN17,$AX$7)),$AX$6,IF(OR(COUNTIF('1.연간시수표'!AN17,$AY$9),COUNTIF('1.연간시수표'!AN17,$AY$7)),$AY$6,IF(OR(COUNTIF('1.연간시수표'!AN17,$AZ$9),COUNTIF('1.연간시수표'!AN17,$AZ$7)),$AZ$6,IF(OR(COUNTIF('1.연간시수표'!AN17,$BA$9),COUNTIF('1.연간시수표'!AN17,$BA$7)),$BA$6,IF(OR(COUNTIF('1.연간시수표'!AN17,$BB$9),COUNTIF('1.연간시수표'!AN17,$BB$7)),$BB$6,IF(OR(COUNTIF('1.연간시수표'!AN17,$BC$9),COUNTIF('1.연간시수표'!AN17,$BC$7)),$BC$6,IF(OR(COUNTIF('1.연간시수표'!AN17,$BF$9),COUNTIF('1.연간시수표'!AN17,$BF$7),COUNTIF('1.연간시수표'!AN17,$BG$9),COUNTIF('1.연간시수표'!AN17,$BG$7),COUNTIF('1.연간시수표'!AN17,$BH$9),COUNTIF('1.연간시수표'!AN17,$BH$7),COUNTIF('1.연간시수표'!AN17,$BI$9),COUNTIF('1.연간시수표'!AN17,$BI$7),COUNTIF('1.연간시수표'!AN17,$BJ$9),COUNTIF('1.연간시수표'!AN17,$BJ$7),COUNTIF('1.연간시수표'!AN17,$BK$9),COUNTIF('1.연간시수표'!AN17,$BK$7),COUNTIF('1.연간시수표'!AN17,$BL$9),COUNTIF('1.연간시수표'!AN17,$BL$7),COUNTIF('1.연간시수표'!AN17,$BM$9),COUNTIF('1.연간시수표'!AN17,$BM$7)),$BF$6,IF(OR(COUNTIF('1.연간시수표'!AN17,$BO$9),COUNTIF('1.연간시수표'!AN17,$BO$7)),$BO$6,IF(OR(COUNTIF('1.연간시수표'!AN17,$BP$9),COUNTIF('1.연간시수표'!AN17,$BP$7)),$BP$6,IF(OR(COUNTIF('1.연간시수표'!AN17,$BQ$9),COUNTIF('1.연간시수표'!AN17,$BQ$7)),$BQ$6,IF(OR(COUNTIF('1.연간시수표'!AN17,$BR$9),COUNTIF('1.연간시수표'!AN17,$BR$7)),$BR$6,"_")))))))))))))))</f>
        <v>국어</v>
      </c>
      <c r="AO17" s="148" t="str">
        <f>IF(OR(COUNTIF('1.연간시수표'!AO17,$AT$9),COUNTIF('1.연간시수표'!AO17,$AT$7)),$AT$6,IF(OR(COUNTIF('1.연간시수표'!AO17,$AU$9),COUNTIF('1.연간시수표'!AO17,$AU$7)),$AU$6,IF(OR(COUNTIF('1.연간시수표'!AO17,$AV$9),COUNTIF('1.연간시수표'!AO17,$AV$7)),$AV$6,IF(OR(COUNTIF('1.연간시수표'!AO17,$AW$9),COUNTIF('1.연간시수표'!AO17,$AW$7)),$AW$6,IF(OR(COUNTIF('1.연간시수표'!AO17,$AX$9),COUNTIF('1.연간시수표'!AO17,$AX$7)),$AX$6,IF(OR(COUNTIF('1.연간시수표'!AO17,$AY$9),COUNTIF('1.연간시수표'!AO17,$AY$7)),$AY$6,IF(OR(COUNTIF('1.연간시수표'!AO17,$AZ$9),COUNTIF('1.연간시수표'!AO17,$AZ$7)),$AZ$6,IF(OR(COUNTIF('1.연간시수표'!AO17,$BA$9),COUNTIF('1.연간시수표'!AO17,$BA$7)),$BA$6,IF(OR(COUNTIF('1.연간시수표'!AO17,$BB$9),COUNTIF('1.연간시수표'!AO17,$BB$7)),$BB$6,IF(OR(COUNTIF('1.연간시수표'!AO17,$BC$9),COUNTIF('1.연간시수표'!AO17,$BC$7)),$BC$6,IF(OR(COUNTIF('1.연간시수표'!AO17,$BF$9),COUNTIF('1.연간시수표'!AO17,$BF$7),COUNTIF('1.연간시수표'!AO17,$BG$9),COUNTIF('1.연간시수표'!AO17,$BG$7),COUNTIF('1.연간시수표'!AO17,$BH$9),COUNTIF('1.연간시수표'!AO17,$BH$7),COUNTIF('1.연간시수표'!AO17,$BI$9),COUNTIF('1.연간시수표'!AO17,$BI$7),COUNTIF('1.연간시수표'!AO17,$BJ$9),COUNTIF('1.연간시수표'!AO17,$BJ$7),COUNTIF('1.연간시수표'!AO17,$BK$9),COUNTIF('1.연간시수표'!AO17,$BK$7),COUNTIF('1.연간시수표'!AO17,$BL$9),COUNTIF('1.연간시수표'!AO17,$BL$7),COUNTIF('1.연간시수표'!AO17,$BM$9),COUNTIF('1.연간시수표'!AO17,$BM$7)),$BF$6,IF(OR(COUNTIF('1.연간시수표'!AO17,$BO$9),COUNTIF('1.연간시수표'!AO17,$BO$7)),$BO$6,IF(OR(COUNTIF('1.연간시수표'!AO17,$BP$9),COUNTIF('1.연간시수표'!AO17,$BP$7)),$BP$6,IF(OR(COUNTIF('1.연간시수표'!AO17,$BQ$9),COUNTIF('1.연간시수표'!AO17,$BQ$7)),$BQ$6,IF(OR(COUNTIF('1.연간시수표'!AO17,$BR$9),COUNTIF('1.연간시수표'!AO17,$BR$7)),$BR$6,"_")))))))))))))))</f>
        <v>사회</v>
      </c>
      <c r="AP17" s="148" t="str">
        <f>IF(OR(COUNTIF('1.연간시수표'!AP17,$AT$9),COUNTIF('1.연간시수표'!AP17,$AT$7)),$AT$6,IF(OR(COUNTIF('1.연간시수표'!AP17,$AU$9),COUNTIF('1.연간시수표'!AP17,$AU$7)),$AU$6,IF(OR(COUNTIF('1.연간시수표'!AP17,$AV$9),COUNTIF('1.연간시수표'!AP17,$AV$7)),$AV$6,IF(OR(COUNTIF('1.연간시수표'!AP17,$AW$9),COUNTIF('1.연간시수표'!AP17,$AW$7)),$AW$6,IF(OR(COUNTIF('1.연간시수표'!AP17,$AX$9),COUNTIF('1.연간시수표'!AP17,$AX$7)),$AX$6,IF(OR(COUNTIF('1.연간시수표'!AP17,$AY$9),COUNTIF('1.연간시수표'!AP17,$AY$7)),$AY$6,IF(OR(COUNTIF('1.연간시수표'!AP17,$AZ$9),COUNTIF('1.연간시수표'!AP17,$AZ$7)),$AZ$6,IF(OR(COUNTIF('1.연간시수표'!AP17,$BA$9),COUNTIF('1.연간시수표'!AP17,$BA$7)),$BA$6,IF(OR(COUNTIF('1.연간시수표'!AP17,$BB$9),COUNTIF('1.연간시수표'!AP17,$BB$7)),$BB$6,IF(OR(COUNTIF('1.연간시수표'!AP17,$BC$9),COUNTIF('1.연간시수표'!AP17,$BC$7)),$BC$6,IF(OR(COUNTIF('1.연간시수표'!AP17,$BF$9),COUNTIF('1.연간시수표'!AP17,$BF$7),COUNTIF('1.연간시수표'!AP17,$BG$9),COUNTIF('1.연간시수표'!AP17,$BG$7),COUNTIF('1.연간시수표'!AP17,$BH$9),COUNTIF('1.연간시수표'!AP17,$BH$7),COUNTIF('1.연간시수표'!AP17,$BI$9),COUNTIF('1.연간시수표'!AP17,$BI$7),COUNTIF('1.연간시수표'!AP17,$BJ$9),COUNTIF('1.연간시수표'!AP17,$BJ$7),COUNTIF('1.연간시수표'!AP17,$BK$9),COUNTIF('1.연간시수표'!AP17,$BK$7),COUNTIF('1.연간시수표'!AP17,$BL$9),COUNTIF('1.연간시수표'!AP17,$BL$7),COUNTIF('1.연간시수표'!AP17,$BM$9),COUNTIF('1.연간시수표'!AP17,$BM$7)),$BF$6,IF(OR(COUNTIF('1.연간시수표'!AP17,$BO$9),COUNTIF('1.연간시수표'!AP17,$BO$7)),$BO$6,IF(OR(COUNTIF('1.연간시수표'!AP17,$BP$9),COUNTIF('1.연간시수표'!AP17,$BP$7)),$BP$6,IF(OR(COUNTIF('1.연간시수표'!AP17,$BQ$9),COUNTIF('1.연간시수표'!AP17,$BQ$7)),$BQ$6,IF(OR(COUNTIF('1.연간시수표'!AP17,$BR$9),COUNTIF('1.연간시수표'!AP17,$BR$7)),$BR$6,"_")))))))))))))))</f>
        <v>실과</v>
      </c>
      <c r="AQ17" s="148" t="str">
        <f>IF(OR(COUNTIF('1.연간시수표'!AQ17,$AT$9),COUNTIF('1.연간시수표'!AQ17,$AT$7)),$AT$6,IF(OR(COUNTIF('1.연간시수표'!AQ17,$AU$9),COUNTIF('1.연간시수표'!AQ17,$AU$7)),$AU$6,IF(OR(COUNTIF('1.연간시수표'!AQ17,$AV$9),COUNTIF('1.연간시수표'!AQ17,$AV$7)),$AV$6,IF(OR(COUNTIF('1.연간시수표'!AQ17,$AW$9),COUNTIF('1.연간시수표'!AQ17,$AW$7)),$AW$6,IF(OR(COUNTIF('1.연간시수표'!AQ17,$AX$9),COUNTIF('1.연간시수표'!AQ17,$AX$7)),$AX$6,IF(OR(COUNTIF('1.연간시수표'!AQ17,$AY$9),COUNTIF('1.연간시수표'!AQ17,$AY$7)),$AY$6,IF(OR(COUNTIF('1.연간시수표'!AQ17,$AZ$9),COUNTIF('1.연간시수표'!AQ17,$AZ$7)),$AZ$6,IF(OR(COUNTIF('1.연간시수표'!AQ17,$BA$9),COUNTIF('1.연간시수표'!AQ17,$BA$7)),$BA$6,IF(OR(COUNTIF('1.연간시수표'!AQ17,$BB$9),COUNTIF('1.연간시수표'!AQ17,$BB$7)),$BB$6,IF(OR(COUNTIF('1.연간시수표'!AQ17,$BC$9),COUNTIF('1.연간시수표'!AQ17,$BC$7)),$BC$6,IF(OR(COUNTIF('1.연간시수표'!AQ17,$BF$9),COUNTIF('1.연간시수표'!AQ17,$BF$7),COUNTIF('1.연간시수표'!AQ17,$BG$9),COUNTIF('1.연간시수표'!AQ17,$BG$7),COUNTIF('1.연간시수표'!AQ17,$BH$9),COUNTIF('1.연간시수표'!AQ17,$BH$7),COUNTIF('1.연간시수표'!AQ17,$BI$9),COUNTIF('1.연간시수표'!AQ17,$BI$7),COUNTIF('1.연간시수표'!AQ17,$BJ$9),COUNTIF('1.연간시수표'!AQ17,$BJ$7),COUNTIF('1.연간시수표'!AQ17,$BK$9),COUNTIF('1.연간시수표'!AQ17,$BK$7),COUNTIF('1.연간시수표'!AQ17,$BL$9),COUNTIF('1.연간시수표'!AQ17,$BL$7),COUNTIF('1.연간시수표'!AQ17,$BM$9),COUNTIF('1.연간시수표'!AQ17,$BM$7)),$BF$6,IF(OR(COUNTIF('1.연간시수표'!AQ17,$BO$9),COUNTIF('1.연간시수표'!AQ17,$BO$7)),$BO$6,IF(OR(COUNTIF('1.연간시수표'!AQ17,$BP$9),COUNTIF('1.연간시수표'!AQ17,$BP$7)),$BP$6,IF(OR(COUNTIF('1.연간시수표'!AQ17,$BQ$9),COUNTIF('1.연간시수표'!AQ17,$BQ$7)),$BQ$6,IF(OR(COUNTIF('1.연간시수표'!AQ17,$BR$9),COUNTIF('1.연간시수표'!AQ17,$BR$7)),$BR$6,"_")))))))))))))))</f>
        <v>_</v>
      </c>
      <c r="AR17" s="148" t="str">
        <f>IF(OR(COUNTIF('1.연간시수표'!AR17,$AT$9),COUNTIF('1.연간시수표'!AR17,$AT$7)),$AT$6,IF(OR(COUNTIF('1.연간시수표'!AR17,$AU$9),COUNTIF('1.연간시수표'!AR17,$AU$7)),$AU$6,IF(OR(COUNTIF('1.연간시수표'!AR17,$AV$9),COUNTIF('1.연간시수표'!AR17,$AV$7)),$AV$6,IF(OR(COUNTIF('1.연간시수표'!AR17,$AW$9),COUNTIF('1.연간시수표'!AR17,$AW$7)),$AW$6,IF(OR(COUNTIF('1.연간시수표'!AR17,$AX$9),COUNTIF('1.연간시수표'!AR17,$AX$7)),$AX$6,IF(OR(COUNTIF('1.연간시수표'!AR17,$AY$9),COUNTIF('1.연간시수표'!AR17,$AY$7)),$AY$6,IF(OR(COUNTIF('1.연간시수표'!AR17,$AZ$9),COUNTIF('1.연간시수표'!AR17,$AZ$7)),$AZ$6,IF(OR(COUNTIF('1.연간시수표'!AR17,$BA$9),COUNTIF('1.연간시수표'!AR17,$BA$7)),$BA$6,IF(OR(COUNTIF('1.연간시수표'!AR17,$BB$9),COUNTIF('1.연간시수표'!AR17,$BB$7)),$BB$6,IF(OR(COUNTIF('1.연간시수표'!AR17,$BC$9),COUNTIF('1.연간시수표'!AR17,$BC$7)),$BC$6,IF(OR(COUNTIF('1.연간시수표'!AR17,$BF$9),COUNTIF('1.연간시수표'!AR17,$BF$7),COUNTIF('1.연간시수표'!AR17,$BG$9),COUNTIF('1.연간시수표'!AR17,$BG$7),COUNTIF('1.연간시수표'!AR17,$BH$9),COUNTIF('1.연간시수표'!AR17,$BH$7),COUNTIF('1.연간시수표'!AR17,$BI$9),COUNTIF('1.연간시수표'!AR17,$BI$7),COUNTIF('1.연간시수표'!AR17,$BJ$9),COUNTIF('1.연간시수표'!AR17,$BJ$7),COUNTIF('1.연간시수표'!AR17,$BK$9),COUNTIF('1.연간시수표'!AR17,$BK$7),COUNTIF('1.연간시수표'!AR17,$BL$9),COUNTIF('1.연간시수표'!AR17,$BL$7),COUNTIF('1.연간시수표'!AR17,$BM$9),COUNTIF('1.연간시수표'!AR17,$BM$7)),$BF$6,IF(OR(COUNTIF('1.연간시수표'!AR17,$BO$9),COUNTIF('1.연간시수표'!AR17,$BO$7)),$BO$6,IF(OR(COUNTIF('1.연간시수표'!AR17,$BP$9),COUNTIF('1.연간시수표'!AR17,$BP$7)),$BP$6,IF(OR(COUNTIF('1.연간시수표'!AR17,$BQ$9),COUNTIF('1.연간시수표'!AR17,$BQ$7)),$BQ$6,IF(OR(COUNTIF('1.연간시수표'!AR17,$BR$9),COUNTIF('1.연간시수표'!AR17,$BR$7)),$BR$6,"_")))))))))))))))</f>
        <v>_</v>
      </c>
      <c r="BU17" s="142" t="str">
        <f>AX6</f>
        <v>과학</v>
      </c>
      <c r="BV17" s="142" t="str">
        <f t="shared" si="0"/>
        <v>과학</v>
      </c>
    </row>
    <row r="18" spans="2:74">
      <c r="B18" s="6"/>
      <c r="C18" s="79">
        <f>'1.연간시수표'!C18</f>
        <v>9</v>
      </c>
      <c r="D18" s="3"/>
      <c r="E18" s="148" t="str">
        <f>IF(OR(COUNTIF('1.연간시수표'!E18,$AT$9),COUNTIF('1.연간시수표'!E18,$AT$7)),$AT$6,IF(OR(COUNTIF('1.연간시수표'!E18,$AU$9),COUNTIF('1.연간시수표'!E18,$AU$7)),$AU$6,IF(OR(COUNTIF('1.연간시수표'!E18,$AV$9),COUNTIF('1.연간시수표'!E18,$AV$7)),$AV$6,IF(OR(COUNTIF('1.연간시수표'!E18,$AW$9),COUNTIF('1.연간시수표'!E18,$AW$7)),$AW$6,IF(OR(COUNTIF('1.연간시수표'!E18,$AX$9),COUNTIF('1.연간시수표'!E18,$AX$7)),$AX$6,IF(OR(COUNTIF('1.연간시수표'!E18,$AY$9),COUNTIF('1.연간시수표'!E18,$AY$7)),$AY$6,IF(OR(COUNTIF('1.연간시수표'!E18,$AZ$9),COUNTIF('1.연간시수표'!E18,$AZ$7)),$AZ$6,IF(OR(COUNTIF('1.연간시수표'!E18,$BA$9),COUNTIF('1.연간시수표'!E18,$BA$7)),$BA$6,IF(OR(COUNTIF('1.연간시수표'!E18,$BB$9),COUNTIF('1.연간시수표'!E18,$BB$7)),$BB$6,IF(OR(COUNTIF('1.연간시수표'!E18,$BC$9),COUNTIF('1.연간시수표'!E18,$BC$7)),$BC$6,IF(OR(COUNTIF('1.연간시수표'!E18,$BF$9),COUNTIF('1.연간시수표'!E18,$BF$7),COUNTIF('1.연간시수표'!E18,$BG$9),COUNTIF('1.연간시수표'!E18,$BG$7),COUNTIF('1.연간시수표'!E18,$BH$9),COUNTIF('1.연간시수표'!E18,$BH$7),COUNTIF('1.연간시수표'!E18,$BI$9),COUNTIF('1.연간시수표'!E18,$BI$7),COUNTIF('1.연간시수표'!E18,$BJ$9),COUNTIF('1.연간시수표'!E18,$BJ$7),COUNTIF('1.연간시수표'!E18,$BK$9),COUNTIF('1.연간시수표'!E18,$BK$7),COUNTIF('1.연간시수표'!E18,$BL$9),COUNTIF('1.연간시수표'!E18,$BL$7),COUNTIF('1.연간시수표'!E18,$BM$9),COUNTIF('1.연간시수표'!E18,$BM$7)),$BF$6,IF(OR(COUNTIF('1.연간시수표'!E18,$BO$9),COUNTIF('1.연간시수표'!E18,$BO$7)),$BO$6,IF(OR(COUNTIF('1.연간시수표'!E18,$BP$9),COUNTIF('1.연간시수표'!E18,$BP$7)),$BP$6,IF(OR(COUNTIF('1.연간시수표'!E18,$BQ$9),COUNTIF('1.연간시수표'!E18,$BQ$7)),$BQ$6,IF(OR(COUNTIF('1.연간시수표'!E18,$BR$9),COUNTIF('1.연간시수표'!E18,$BR$7)),$BR$6,"_")))))))))))))))</f>
        <v>국어</v>
      </c>
      <c r="F18" s="148" t="str">
        <f>IF(OR(COUNTIF('1.연간시수표'!F18,$AT$9),COUNTIF('1.연간시수표'!F18,$AT$7)),$AT$6,IF(OR(COUNTIF('1.연간시수표'!F18,$AU$9),COUNTIF('1.연간시수표'!F18,$AU$7)),$AU$6,IF(OR(COUNTIF('1.연간시수표'!F18,$AV$9),COUNTIF('1.연간시수표'!F18,$AV$7)),$AV$6,IF(OR(COUNTIF('1.연간시수표'!F18,$AW$9),COUNTIF('1.연간시수표'!F18,$AW$7)),$AW$6,IF(OR(COUNTIF('1.연간시수표'!F18,$AX$9),COUNTIF('1.연간시수표'!F18,$AX$7)),$AX$6,IF(OR(COUNTIF('1.연간시수표'!F18,$AY$9),COUNTIF('1.연간시수표'!F18,$AY$7)),$AY$6,IF(OR(COUNTIF('1.연간시수표'!F18,$AZ$9),COUNTIF('1.연간시수표'!F18,$AZ$7)),$AZ$6,IF(OR(COUNTIF('1.연간시수표'!F18,$BA$9),COUNTIF('1.연간시수표'!F18,$BA$7)),$BA$6,IF(OR(COUNTIF('1.연간시수표'!F18,$BB$9),COUNTIF('1.연간시수표'!F18,$BB$7)),$BB$6,IF(OR(COUNTIF('1.연간시수표'!F18,$BC$9),COUNTIF('1.연간시수표'!F18,$BC$7)),$BC$6,IF(OR(COUNTIF('1.연간시수표'!F18,$BF$9),COUNTIF('1.연간시수표'!F18,$BF$7),COUNTIF('1.연간시수표'!F18,$BG$9),COUNTIF('1.연간시수표'!F18,$BG$7),COUNTIF('1.연간시수표'!F18,$BH$9),COUNTIF('1.연간시수표'!F18,$BH$7),COUNTIF('1.연간시수표'!F18,$BI$9),COUNTIF('1.연간시수표'!F18,$BI$7),COUNTIF('1.연간시수표'!F18,$BJ$9),COUNTIF('1.연간시수표'!F18,$BJ$7),COUNTIF('1.연간시수표'!F18,$BK$9),COUNTIF('1.연간시수표'!F18,$BK$7),COUNTIF('1.연간시수표'!F18,$BL$9),COUNTIF('1.연간시수표'!F18,$BL$7),COUNTIF('1.연간시수표'!F18,$BM$9),COUNTIF('1.연간시수표'!F18,$BM$7)),$BF$6,IF(OR(COUNTIF('1.연간시수표'!F18,$BO$9),COUNTIF('1.연간시수표'!F18,$BO$7)),$BO$6,IF(OR(COUNTIF('1.연간시수표'!F18,$BP$9),COUNTIF('1.연간시수표'!F18,$BP$7)),$BP$6,IF(OR(COUNTIF('1.연간시수표'!F18,$BQ$9),COUNTIF('1.연간시수표'!F18,$BQ$7)),$BQ$6,IF(OR(COUNTIF('1.연간시수표'!F18,$BR$9),COUNTIF('1.연간시수표'!F18,$BR$7)),$BR$6,"_")))))))))))))))</f>
        <v>미술</v>
      </c>
      <c r="G18" s="148" t="str">
        <f>IF(OR(COUNTIF('1.연간시수표'!G18,$AT$9),COUNTIF('1.연간시수표'!G18,$AT$7)),$AT$6,IF(OR(COUNTIF('1.연간시수표'!G18,$AU$9),COUNTIF('1.연간시수표'!G18,$AU$7)),$AU$6,IF(OR(COUNTIF('1.연간시수표'!G18,$AV$9),COUNTIF('1.연간시수표'!G18,$AV$7)),$AV$6,IF(OR(COUNTIF('1.연간시수표'!G18,$AW$9),COUNTIF('1.연간시수표'!G18,$AW$7)),$AW$6,IF(OR(COUNTIF('1.연간시수표'!G18,$AX$9),COUNTIF('1.연간시수표'!G18,$AX$7)),$AX$6,IF(OR(COUNTIF('1.연간시수표'!G18,$AY$9),COUNTIF('1.연간시수표'!G18,$AY$7)),$AY$6,IF(OR(COUNTIF('1.연간시수표'!G18,$AZ$9),COUNTIF('1.연간시수표'!G18,$AZ$7)),$AZ$6,IF(OR(COUNTIF('1.연간시수표'!G18,$BA$9),COUNTIF('1.연간시수표'!G18,$BA$7)),$BA$6,IF(OR(COUNTIF('1.연간시수표'!G18,$BB$9),COUNTIF('1.연간시수표'!G18,$BB$7)),$BB$6,IF(OR(COUNTIF('1.연간시수표'!G18,$BC$9),COUNTIF('1.연간시수표'!G18,$BC$7)),$BC$6,IF(OR(COUNTIF('1.연간시수표'!G18,$BF$9),COUNTIF('1.연간시수표'!G18,$BF$7),COUNTIF('1.연간시수표'!G18,$BG$9),COUNTIF('1.연간시수표'!G18,$BG$7),COUNTIF('1.연간시수표'!G18,$BH$9),COUNTIF('1.연간시수표'!G18,$BH$7),COUNTIF('1.연간시수표'!G18,$BI$9),COUNTIF('1.연간시수표'!G18,$BI$7),COUNTIF('1.연간시수표'!G18,$BJ$9),COUNTIF('1.연간시수표'!G18,$BJ$7),COUNTIF('1.연간시수표'!G18,$BK$9),COUNTIF('1.연간시수표'!G18,$BK$7),COUNTIF('1.연간시수표'!G18,$BL$9),COUNTIF('1.연간시수표'!G18,$BL$7),COUNTIF('1.연간시수표'!G18,$BM$9),COUNTIF('1.연간시수표'!G18,$BM$7)),$BF$6,IF(OR(COUNTIF('1.연간시수표'!G18,$BO$9),COUNTIF('1.연간시수표'!G18,$BO$7)),$BO$6,IF(OR(COUNTIF('1.연간시수표'!G18,$BP$9),COUNTIF('1.연간시수표'!G18,$BP$7)),$BP$6,IF(OR(COUNTIF('1.연간시수표'!G18,$BQ$9),COUNTIF('1.연간시수표'!G18,$BQ$7)),$BQ$6,IF(OR(COUNTIF('1.연간시수표'!G18,$BR$9),COUNTIF('1.연간시수표'!G18,$BR$7)),$BR$6,"_")))))))))))))))</f>
        <v>미술</v>
      </c>
      <c r="H18" s="148" t="str">
        <f>IF(OR(COUNTIF('1.연간시수표'!H18,$AT$9),COUNTIF('1.연간시수표'!H18,$AT$7)),$AT$6,IF(OR(COUNTIF('1.연간시수표'!H18,$AU$9),COUNTIF('1.연간시수표'!H18,$AU$7)),$AU$6,IF(OR(COUNTIF('1.연간시수표'!H18,$AV$9),COUNTIF('1.연간시수표'!H18,$AV$7)),$AV$6,IF(OR(COUNTIF('1.연간시수표'!H18,$AW$9),COUNTIF('1.연간시수표'!H18,$AW$7)),$AW$6,IF(OR(COUNTIF('1.연간시수표'!H18,$AX$9),COUNTIF('1.연간시수표'!H18,$AX$7)),$AX$6,IF(OR(COUNTIF('1.연간시수표'!H18,$AY$9),COUNTIF('1.연간시수표'!H18,$AY$7)),$AY$6,IF(OR(COUNTIF('1.연간시수표'!H18,$AZ$9),COUNTIF('1.연간시수표'!H18,$AZ$7)),$AZ$6,IF(OR(COUNTIF('1.연간시수표'!H18,$BA$9),COUNTIF('1.연간시수표'!H18,$BA$7)),$BA$6,IF(OR(COUNTIF('1.연간시수표'!H18,$BB$9),COUNTIF('1.연간시수표'!H18,$BB$7)),$BB$6,IF(OR(COUNTIF('1.연간시수표'!H18,$BC$9),COUNTIF('1.연간시수표'!H18,$BC$7)),$BC$6,IF(OR(COUNTIF('1.연간시수표'!H18,$BF$9),COUNTIF('1.연간시수표'!H18,$BF$7),COUNTIF('1.연간시수표'!H18,$BG$9),COUNTIF('1.연간시수표'!H18,$BG$7),COUNTIF('1.연간시수표'!H18,$BH$9),COUNTIF('1.연간시수표'!H18,$BH$7),COUNTIF('1.연간시수표'!H18,$BI$9),COUNTIF('1.연간시수표'!H18,$BI$7),COUNTIF('1.연간시수표'!H18,$BJ$9),COUNTIF('1.연간시수표'!H18,$BJ$7),COUNTIF('1.연간시수표'!H18,$BK$9),COUNTIF('1.연간시수표'!H18,$BK$7),COUNTIF('1.연간시수표'!H18,$BL$9),COUNTIF('1.연간시수표'!H18,$BL$7),COUNTIF('1.연간시수표'!H18,$BM$9),COUNTIF('1.연간시수표'!H18,$BM$7)),$BF$6,IF(OR(COUNTIF('1.연간시수표'!H18,$BO$9),COUNTIF('1.연간시수표'!H18,$BO$7)),$BO$6,IF(OR(COUNTIF('1.연간시수표'!H18,$BP$9),COUNTIF('1.연간시수표'!H18,$BP$7)),$BP$6,IF(OR(COUNTIF('1.연간시수표'!H18,$BQ$9),COUNTIF('1.연간시수표'!H18,$BQ$7)),$BQ$6,IF(OR(COUNTIF('1.연간시수표'!H18,$BR$9),COUNTIF('1.연간시수표'!H18,$BR$7)),$BR$6,"_")))))))))))))))</f>
        <v>영어</v>
      </c>
      <c r="I18" s="148" t="str">
        <f>IF(OR(COUNTIF('1.연간시수표'!I18,$AT$9),COUNTIF('1.연간시수표'!I18,$AT$7)),$AT$6,IF(OR(COUNTIF('1.연간시수표'!I18,$AU$9),COUNTIF('1.연간시수표'!I18,$AU$7)),$AU$6,IF(OR(COUNTIF('1.연간시수표'!I18,$AV$9),COUNTIF('1.연간시수표'!I18,$AV$7)),$AV$6,IF(OR(COUNTIF('1.연간시수표'!I18,$AW$9),COUNTIF('1.연간시수표'!I18,$AW$7)),$AW$6,IF(OR(COUNTIF('1.연간시수표'!I18,$AX$9),COUNTIF('1.연간시수표'!I18,$AX$7)),$AX$6,IF(OR(COUNTIF('1.연간시수표'!I18,$AY$9),COUNTIF('1.연간시수표'!I18,$AY$7)),$AY$6,IF(OR(COUNTIF('1.연간시수표'!I18,$AZ$9),COUNTIF('1.연간시수표'!I18,$AZ$7)),$AZ$6,IF(OR(COUNTIF('1.연간시수표'!I18,$BA$9),COUNTIF('1.연간시수표'!I18,$BA$7)),$BA$6,IF(OR(COUNTIF('1.연간시수표'!I18,$BB$9),COUNTIF('1.연간시수표'!I18,$BB$7)),$BB$6,IF(OR(COUNTIF('1.연간시수표'!I18,$BC$9),COUNTIF('1.연간시수표'!I18,$BC$7)),$BC$6,IF(OR(COUNTIF('1.연간시수표'!I18,$BF$9),COUNTIF('1.연간시수표'!I18,$BF$7),COUNTIF('1.연간시수표'!I18,$BG$9),COUNTIF('1.연간시수표'!I18,$BG$7),COUNTIF('1.연간시수표'!I18,$BH$9),COUNTIF('1.연간시수표'!I18,$BH$7),COUNTIF('1.연간시수표'!I18,$BI$9),COUNTIF('1.연간시수표'!I18,$BI$7),COUNTIF('1.연간시수표'!I18,$BJ$9),COUNTIF('1.연간시수표'!I18,$BJ$7),COUNTIF('1.연간시수표'!I18,$BK$9),COUNTIF('1.연간시수표'!I18,$BK$7),COUNTIF('1.연간시수표'!I18,$BL$9),COUNTIF('1.연간시수표'!I18,$BL$7),COUNTIF('1.연간시수표'!I18,$BM$9),COUNTIF('1.연간시수표'!I18,$BM$7)),$BF$6,IF(OR(COUNTIF('1.연간시수표'!I18,$BO$9),COUNTIF('1.연간시수표'!I18,$BO$7)),$BO$6,IF(OR(COUNTIF('1.연간시수표'!I18,$BP$9),COUNTIF('1.연간시수표'!I18,$BP$7)),$BP$6,IF(OR(COUNTIF('1.연간시수표'!I18,$BQ$9),COUNTIF('1.연간시수표'!I18,$BQ$7)),$BQ$6,IF(OR(COUNTIF('1.연간시수표'!I18,$BR$9),COUNTIF('1.연간시수표'!I18,$BR$7)),$BR$6,"_")))))))))))))))</f>
        <v>수학</v>
      </c>
      <c r="J18" s="148" t="str">
        <f>IF(OR(COUNTIF('1.연간시수표'!J18,$AT$9),COUNTIF('1.연간시수표'!J18,$AT$7)),$AT$6,IF(OR(COUNTIF('1.연간시수표'!J18,$AU$9),COUNTIF('1.연간시수표'!J18,$AU$7)),$AU$6,IF(OR(COUNTIF('1.연간시수표'!J18,$AV$9),COUNTIF('1.연간시수표'!J18,$AV$7)),$AV$6,IF(OR(COUNTIF('1.연간시수표'!J18,$AW$9),COUNTIF('1.연간시수표'!J18,$AW$7)),$AW$6,IF(OR(COUNTIF('1.연간시수표'!J18,$AX$9),COUNTIF('1.연간시수표'!J18,$AX$7)),$AX$6,IF(OR(COUNTIF('1.연간시수표'!J18,$AY$9),COUNTIF('1.연간시수표'!J18,$AY$7)),$AY$6,IF(OR(COUNTIF('1.연간시수표'!J18,$AZ$9),COUNTIF('1.연간시수표'!J18,$AZ$7)),$AZ$6,IF(OR(COUNTIF('1.연간시수표'!J18,$BA$9),COUNTIF('1.연간시수표'!J18,$BA$7)),$BA$6,IF(OR(COUNTIF('1.연간시수표'!J18,$BB$9),COUNTIF('1.연간시수표'!J18,$BB$7)),$BB$6,IF(OR(COUNTIF('1.연간시수표'!J18,$BC$9),COUNTIF('1.연간시수표'!J18,$BC$7)),$BC$6,IF(OR(COUNTIF('1.연간시수표'!J18,$BF$9),COUNTIF('1.연간시수표'!J18,$BF$7),COUNTIF('1.연간시수표'!J18,$BG$9),COUNTIF('1.연간시수표'!J18,$BG$7),COUNTIF('1.연간시수표'!J18,$BH$9),COUNTIF('1.연간시수표'!J18,$BH$7),COUNTIF('1.연간시수표'!J18,$BI$9),COUNTIF('1.연간시수표'!J18,$BI$7),COUNTIF('1.연간시수표'!J18,$BJ$9),COUNTIF('1.연간시수표'!J18,$BJ$7),COUNTIF('1.연간시수표'!J18,$BK$9),COUNTIF('1.연간시수표'!J18,$BK$7),COUNTIF('1.연간시수표'!J18,$BL$9),COUNTIF('1.연간시수표'!J18,$BL$7),COUNTIF('1.연간시수표'!J18,$BM$9),COUNTIF('1.연간시수표'!J18,$BM$7)),$BF$6,IF(OR(COUNTIF('1.연간시수표'!J18,$BO$9),COUNTIF('1.연간시수표'!J18,$BO$7)),$BO$6,IF(OR(COUNTIF('1.연간시수표'!J18,$BP$9),COUNTIF('1.연간시수표'!J18,$BP$7)),$BP$6,IF(OR(COUNTIF('1.연간시수표'!J18,$BQ$9),COUNTIF('1.연간시수표'!J18,$BQ$7)),$BQ$6,IF(OR(COUNTIF('1.연간시수표'!J18,$BR$9),COUNTIF('1.연간시수표'!J18,$BR$7)),$BR$6,"_")))))))))))))))</f>
        <v>국어</v>
      </c>
      <c r="K18" s="148" t="str">
        <f>IF(OR(COUNTIF('1.연간시수표'!K18,$AT$9),COUNTIF('1.연간시수표'!K18,$AT$7)),$AT$6,IF(OR(COUNTIF('1.연간시수표'!K18,$AU$9),COUNTIF('1.연간시수표'!K18,$AU$7)),$AU$6,IF(OR(COUNTIF('1.연간시수표'!K18,$AV$9),COUNTIF('1.연간시수표'!K18,$AV$7)),$AV$6,IF(OR(COUNTIF('1.연간시수표'!K18,$AW$9),COUNTIF('1.연간시수표'!K18,$AW$7)),$AW$6,IF(OR(COUNTIF('1.연간시수표'!K18,$AX$9),COUNTIF('1.연간시수표'!K18,$AX$7)),$AX$6,IF(OR(COUNTIF('1.연간시수표'!K18,$AY$9),COUNTIF('1.연간시수표'!K18,$AY$7)),$AY$6,IF(OR(COUNTIF('1.연간시수표'!K18,$AZ$9),COUNTIF('1.연간시수표'!K18,$AZ$7)),$AZ$6,IF(OR(COUNTIF('1.연간시수표'!K18,$BA$9),COUNTIF('1.연간시수표'!K18,$BA$7)),$BA$6,IF(OR(COUNTIF('1.연간시수표'!K18,$BB$9),COUNTIF('1.연간시수표'!K18,$BB$7)),$BB$6,IF(OR(COUNTIF('1.연간시수표'!K18,$BC$9),COUNTIF('1.연간시수표'!K18,$BC$7)),$BC$6,IF(OR(COUNTIF('1.연간시수표'!K18,$BF$9),COUNTIF('1.연간시수표'!K18,$BF$7),COUNTIF('1.연간시수표'!K18,$BG$9),COUNTIF('1.연간시수표'!K18,$BG$7),COUNTIF('1.연간시수표'!K18,$BH$9),COUNTIF('1.연간시수표'!K18,$BH$7),COUNTIF('1.연간시수표'!K18,$BI$9),COUNTIF('1.연간시수표'!K18,$BI$7),COUNTIF('1.연간시수표'!K18,$BJ$9),COUNTIF('1.연간시수표'!K18,$BJ$7),COUNTIF('1.연간시수표'!K18,$BK$9),COUNTIF('1.연간시수표'!K18,$BK$7),COUNTIF('1.연간시수표'!K18,$BL$9),COUNTIF('1.연간시수표'!K18,$BL$7),COUNTIF('1.연간시수표'!K18,$BM$9),COUNTIF('1.연간시수표'!K18,$BM$7)),$BF$6,IF(OR(COUNTIF('1.연간시수표'!K18,$BO$9),COUNTIF('1.연간시수표'!K18,$BO$7)),$BO$6,IF(OR(COUNTIF('1.연간시수표'!K18,$BP$9),COUNTIF('1.연간시수표'!K18,$BP$7)),$BP$6,IF(OR(COUNTIF('1.연간시수표'!K18,$BQ$9),COUNTIF('1.연간시수표'!K18,$BQ$7)),$BQ$6,IF(OR(COUNTIF('1.연간시수표'!K18,$BR$9),COUNTIF('1.연간시수표'!K18,$BR$7)),$BR$6,"_")))))))))))))))</f>
        <v>_</v>
      </c>
      <c r="L18" s="148" t="str">
        <f>IF(OR(COUNTIF('1.연간시수표'!L18,$AT$9),COUNTIF('1.연간시수표'!L18,$AT$7)),$AT$6,IF(OR(COUNTIF('1.연간시수표'!L18,$AU$9),COUNTIF('1.연간시수표'!L18,$AU$7)),$AU$6,IF(OR(COUNTIF('1.연간시수표'!L18,$AV$9),COUNTIF('1.연간시수표'!L18,$AV$7)),$AV$6,IF(OR(COUNTIF('1.연간시수표'!L18,$AW$9),COUNTIF('1.연간시수표'!L18,$AW$7)),$AW$6,IF(OR(COUNTIF('1.연간시수표'!L18,$AX$9),COUNTIF('1.연간시수표'!L18,$AX$7)),$AX$6,IF(OR(COUNTIF('1.연간시수표'!L18,$AY$9),COUNTIF('1.연간시수표'!L18,$AY$7)),$AY$6,IF(OR(COUNTIF('1.연간시수표'!L18,$AZ$9),COUNTIF('1.연간시수표'!L18,$AZ$7)),$AZ$6,IF(OR(COUNTIF('1.연간시수표'!L18,$BA$9),COUNTIF('1.연간시수표'!L18,$BA$7)),$BA$6,IF(OR(COUNTIF('1.연간시수표'!L18,$BB$9),COUNTIF('1.연간시수표'!L18,$BB$7)),$BB$6,IF(OR(COUNTIF('1.연간시수표'!L18,$BC$9),COUNTIF('1.연간시수표'!L18,$BC$7)),$BC$6,IF(OR(COUNTIF('1.연간시수표'!L18,$BF$9),COUNTIF('1.연간시수표'!L18,$BF$7),COUNTIF('1.연간시수표'!L18,$BG$9),COUNTIF('1.연간시수표'!L18,$BG$7),COUNTIF('1.연간시수표'!L18,$BH$9),COUNTIF('1.연간시수표'!L18,$BH$7),COUNTIF('1.연간시수표'!L18,$BI$9),COUNTIF('1.연간시수표'!L18,$BI$7),COUNTIF('1.연간시수표'!L18,$BJ$9),COUNTIF('1.연간시수표'!L18,$BJ$7),COUNTIF('1.연간시수표'!L18,$BK$9),COUNTIF('1.연간시수표'!L18,$BK$7),COUNTIF('1.연간시수표'!L18,$BL$9),COUNTIF('1.연간시수표'!L18,$BL$7),COUNTIF('1.연간시수표'!L18,$BM$9),COUNTIF('1.연간시수표'!L18,$BM$7)),$BF$6,IF(OR(COUNTIF('1.연간시수표'!L18,$BO$9),COUNTIF('1.연간시수표'!L18,$BO$7)),$BO$6,IF(OR(COUNTIF('1.연간시수표'!L18,$BP$9),COUNTIF('1.연간시수표'!L18,$BP$7)),$BP$6,IF(OR(COUNTIF('1.연간시수표'!L18,$BQ$9),COUNTIF('1.연간시수표'!L18,$BQ$7)),$BQ$6,IF(OR(COUNTIF('1.연간시수표'!L18,$BR$9),COUNTIF('1.연간시수표'!L18,$BR$7)),$BR$6,"_")))))))))))))))</f>
        <v>_</v>
      </c>
      <c r="M18" s="148" t="str">
        <f>IF(OR(COUNTIF('1.연간시수표'!M18,$AT$9),COUNTIF('1.연간시수표'!M18,$AT$7)),$AT$6,IF(OR(COUNTIF('1.연간시수표'!M18,$AU$9),COUNTIF('1.연간시수표'!M18,$AU$7)),$AU$6,IF(OR(COUNTIF('1.연간시수표'!M18,$AV$9),COUNTIF('1.연간시수표'!M18,$AV$7)),$AV$6,IF(OR(COUNTIF('1.연간시수표'!M18,$AW$9),COUNTIF('1.연간시수표'!M18,$AW$7)),$AW$6,IF(OR(COUNTIF('1.연간시수표'!M18,$AX$9),COUNTIF('1.연간시수표'!M18,$AX$7)),$AX$6,IF(OR(COUNTIF('1.연간시수표'!M18,$AY$9),COUNTIF('1.연간시수표'!M18,$AY$7)),$AY$6,IF(OR(COUNTIF('1.연간시수표'!M18,$AZ$9),COUNTIF('1.연간시수표'!M18,$AZ$7)),$AZ$6,IF(OR(COUNTIF('1.연간시수표'!M18,$BA$9),COUNTIF('1.연간시수표'!M18,$BA$7)),$BA$6,IF(OR(COUNTIF('1.연간시수표'!M18,$BB$9),COUNTIF('1.연간시수표'!M18,$BB$7)),$BB$6,IF(OR(COUNTIF('1.연간시수표'!M18,$BC$9),COUNTIF('1.연간시수표'!M18,$BC$7)),$BC$6,IF(OR(COUNTIF('1.연간시수표'!M18,$BF$9),COUNTIF('1.연간시수표'!M18,$BF$7),COUNTIF('1.연간시수표'!M18,$BG$9),COUNTIF('1.연간시수표'!M18,$BG$7),COUNTIF('1.연간시수표'!M18,$BH$9),COUNTIF('1.연간시수표'!M18,$BH$7),COUNTIF('1.연간시수표'!M18,$BI$9),COUNTIF('1.연간시수표'!M18,$BI$7),COUNTIF('1.연간시수표'!M18,$BJ$9),COUNTIF('1.연간시수표'!M18,$BJ$7),COUNTIF('1.연간시수표'!M18,$BK$9),COUNTIF('1.연간시수표'!M18,$BK$7),COUNTIF('1.연간시수표'!M18,$BL$9),COUNTIF('1.연간시수표'!M18,$BL$7),COUNTIF('1.연간시수표'!M18,$BM$9),COUNTIF('1.연간시수표'!M18,$BM$7)),$BF$6,IF(OR(COUNTIF('1.연간시수표'!M18,$BO$9),COUNTIF('1.연간시수표'!M18,$BO$7)),$BO$6,IF(OR(COUNTIF('1.연간시수표'!M18,$BP$9),COUNTIF('1.연간시수표'!M18,$BP$7)),$BP$6,IF(OR(COUNTIF('1.연간시수표'!M18,$BQ$9),COUNTIF('1.연간시수표'!M18,$BQ$7)),$BQ$6,IF(OR(COUNTIF('1.연간시수표'!M18,$BR$9),COUNTIF('1.연간시수표'!M18,$BR$7)),$BR$6,"_")))))))))))))))</f>
        <v>국어</v>
      </c>
      <c r="N18" s="148" t="str">
        <f>IF(OR(COUNTIF('1.연간시수표'!N18,$AT$9),COUNTIF('1.연간시수표'!N18,$AT$7)),$AT$6,IF(OR(COUNTIF('1.연간시수표'!N18,$AU$9),COUNTIF('1.연간시수표'!N18,$AU$7)),$AU$6,IF(OR(COUNTIF('1.연간시수표'!N18,$AV$9),COUNTIF('1.연간시수표'!N18,$AV$7)),$AV$6,IF(OR(COUNTIF('1.연간시수표'!N18,$AW$9),COUNTIF('1.연간시수표'!N18,$AW$7)),$AW$6,IF(OR(COUNTIF('1.연간시수표'!N18,$AX$9),COUNTIF('1.연간시수표'!N18,$AX$7)),$AX$6,IF(OR(COUNTIF('1.연간시수표'!N18,$AY$9),COUNTIF('1.연간시수표'!N18,$AY$7)),$AY$6,IF(OR(COUNTIF('1.연간시수표'!N18,$AZ$9),COUNTIF('1.연간시수표'!N18,$AZ$7)),$AZ$6,IF(OR(COUNTIF('1.연간시수표'!N18,$BA$9),COUNTIF('1.연간시수표'!N18,$BA$7)),$BA$6,IF(OR(COUNTIF('1.연간시수표'!N18,$BB$9),COUNTIF('1.연간시수표'!N18,$BB$7)),$BB$6,IF(OR(COUNTIF('1.연간시수표'!N18,$BC$9),COUNTIF('1.연간시수표'!N18,$BC$7)),$BC$6,IF(OR(COUNTIF('1.연간시수표'!N18,$BF$9),COUNTIF('1.연간시수표'!N18,$BF$7),COUNTIF('1.연간시수표'!N18,$BG$9),COUNTIF('1.연간시수표'!N18,$BG$7),COUNTIF('1.연간시수표'!N18,$BH$9),COUNTIF('1.연간시수표'!N18,$BH$7),COUNTIF('1.연간시수표'!N18,$BI$9),COUNTIF('1.연간시수표'!N18,$BI$7),COUNTIF('1.연간시수표'!N18,$BJ$9),COUNTIF('1.연간시수표'!N18,$BJ$7),COUNTIF('1.연간시수표'!N18,$BK$9),COUNTIF('1.연간시수표'!N18,$BK$7),COUNTIF('1.연간시수표'!N18,$BL$9),COUNTIF('1.연간시수표'!N18,$BL$7),COUNTIF('1.연간시수표'!N18,$BM$9),COUNTIF('1.연간시수표'!N18,$BM$7)),$BF$6,IF(OR(COUNTIF('1.연간시수표'!N18,$BO$9),COUNTIF('1.연간시수표'!N18,$BO$7)),$BO$6,IF(OR(COUNTIF('1.연간시수표'!N18,$BP$9),COUNTIF('1.연간시수표'!N18,$BP$7)),$BP$6,IF(OR(COUNTIF('1.연간시수표'!N18,$BQ$9),COUNTIF('1.연간시수표'!N18,$BQ$7)),$BQ$6,IF(OR(COUNTIF('1.연간시수표'!N18,$BR$9),COUNTIF('1.연간시수표'!N18,$BR$7)),$BR$6,"_")))))))))))))))</f>
        <v>국어</v>
      </c>
      <c r="O18" s="148" t="str">
        <f>IF(OR(COUNTIF('1.연간시수표'!O18,$AT$9),COUNTIF('1.연간시수표'!O18,$AT$7)),$AT$6,IF(OR(COUNTIF('1.연간시수표'!O18,$AU$9),COUNTIF('1.연간시수표'!O18,$AU$7)),$AU$6,IF(OR(COUNTIF('1.연간시수표'!O18,$AV$9),COUNTIF('1.연간시수표'!O18,$AV$7)),$AV$6,IF(OR(COUNTIF('1.연간시수표'!O18,$AW$9),COUNTIF('1.연간시수표'!O18,$AW$7)),$AW$6,IF(OR(COUNTIF('1.연간시수표'!O18,$AX$9),COUNTIF('1.연간시수표'!O18,$AX$7)),$AX$6,IF(OR(COUNTIF('1.연간시수표'!O18,$AY$9),COUNTIF('1.연간시수표'!O18,$AY$7)),$AY$6,IF(OR(COUNTIF('1.연간시수표'!O18,$AZ$9),COUNTIF('1.연간시수표'!O18,$AZ$7)),$AZ$6,IF(OR(COUNTIF('1.연간시수표'!O18,$BA$9),COUNTIF('1.연간시수표'!O18,$BA$7)),$BA$6,IF(OR(COUNTIF('1.연간시수표'!O18,$BB$9),COUNTIF('1.연간시수표'!O18,$BB$7)),$BB$6,IF(OR(COUNTIF('1.연간시수표'!O18,$BC$9),COUNTIF('1.연간시수표'!O18,$BC$7)),$BC$6,IF(OR(COUNTIF('1.연간시수표'!O18,$BF$9),COUNTIF('1.연간시수표'!O18,$BF$7),COUNTIF('1.연간시수표'!O18,$BG$9),COUNTIF('1.연간시수표'!O18,$BG$7),COUNTIF('1.연간시수표'!O18,$BH$9),COUNTIF('1.연간시수표'!O18,$BH$7),COUNTIF('1.연간시수표'!O18,$BI$9),COUNTIF('1.연간시수표'!O18,$BI$7),COUNTIF('1.연간시수표'!O18,$BJ$9),COUNTIF('1.연간시수표'!O18,$BJ$7),COUNTIF('1.연간시수표'!O18,$BK$9),COUNTIF('1.연간시수표'!O18,$BK$7),COUNTIF('1.연간시수표'!O18,$BL$9),COUNTIF('1.연간시수표'!O18,$BL$7),COUNTIF('1.연간시수표'!O18,$BM$9),COUNTIF('1.연간시수표'!O18,$BM$7)),$BF$6,IF(OR(COUNTIF('1.연간시수표'!O18,$BO$9),COUNTIF('1.연간시수표'!O18,$BO$7)),$BO$6,IF(OR(COUNTIF('1.연간시수표'!O18,$BP$9),COUNTIF('1.연간시수표'!O18,$BP$7)),$BP$6,IF(OR(COUNTIF('1.연간시수표'!O18,$BQ$9),COUNTIF('1.연간시수표'!O18,$BQ$7)),$BQ$6,IF(OR(COUNTIF('1.연간시수표'!O18,$BR$9),COUNTIF('1.연간시수표'!O18,$BR$7)),$BR$6,"_")))))))))))))))</f>
        <v>사회</v>
      </c>
      <c r="P18" s="148" t="str">
        <f>IF(OR(COUNTIF('1.연간시수표'!P18,$AT$9),COUNTIF('1.연간시수표'!P18,$AT$7)),$AT$6,IF(OR(COUNTIF('1.연간시수표'!P18,$AU$9),COUNTIF('1.연간시수표'!P18,$AU$7)),$AU$6,IF(OR(COUNTIF('1.연간시수표'!P18,$AV$9),COUNTIF('1.연간시수표'!P18,$AV$7)),$AV$6,IF(OR(COUNTIF('1.연간시수표'!P18,$AW$9),COUNTIF('1.연간시수표'!P18,$AW$7)),$AW$6,IF(OR(COUNTIF('1.연간시수표'!P18,$AX$9),COUNTIF('1.연간시수표'!P18,$AX$7)),$AX$6,IF(OR(COUNTIF('1.연간시수표'!P18,$AY$9),COUNTIF('1.연간시수표'!P18,$AY$7)),$AY$6,IF(OR(COUNTIF('1.연간시수표'!P18,$AZ$9),COUNTIF('1.연간시수표'!P18,$AZ$7)),$AZ$6,IF(OR(COUNTIF('1.연간시수표'!P18,$BA$9),COUNTIF('1.연간시수표'!P18,$BA$7)),$BA$6,IF(OR(COUNTIF('1.연간시수표'!P18,$BB$9),COUNTIF('1.연간시수표'!P18,$BB$7)),$BB$6,IF(OR(COUNTIF('1.연간시수표'!P18,$BC$9),COUNTIF('1.연간시수표'!P18,$BC$7)),$BC$6,IF(OR(COUNTIF('1.연간시수표'!P18,$BF$9),COUNTIF('1.연간시수표'!P18,$BF$7),COUNTIF('1.연간시수표'!P18,$BG$9),COUNTIF('1.연간시수표'!P18,$BG$7),COUNTIF('1.연간시수표'!P18,$BH$9),COUNTIF('1.연간시수표'!P18,$BH$7),COUNTIF('1.연간시수표'!P18,$BI$9),COUNTIF('1.연간시수표'!P18,$BI$7),COUNTIF('1.연간시수표'!P18,$BJ$9),COUNTIF('1.연간시수표'!P18,$BJ$7),COUNTIF('1.연간시수표'!P18,$BK$9),COUNTIF('1.연간시수표'!P18,$BK$7),COUNTIF('1.연간시수표'!P18,$BL$9),COUNTIF('1.연간시수표'!P18,$BL$7),COUNTIF('1.연간시수표'!P18,$BM$9),COUNTIF('1.연간시수표'!P18,$BM$7)),$BF$6,IF(OR(COUNTIF('1.연간시수표'!P18,$BO$9),COUNTIF('1.연간시수표'!P18,$BO$7)),$BO$6,IF(OR(COUNTIF('1.연간시수표'!P18,$BP$9),COUNTIF('1.연간시수표'!P18,$BP$7)),$BP$6,IF(OR(COUNTIF('1.연간시수표'!P18,$BQ$9),COUNTIF('1.연간시수표'!P18,$BQ$7)),$BQ$6,IF(OR(COUNTIF('1.연간시수표'!P18,$BR$9),COUNTIF('1.연간시수표'!P18,$BR$7)),$BR$6,"_")))))))))))))))</f>
        <v>수학</v>
      </c>
      <c r="Q18" s="148" t="str">
        <f>IF(OR(COUNTIF('1.연간시수표'!Q18,$AT$9),COUNTIF('1.연간시수표'!Q18,$AT$7)),$AT$6,IF(OR(COUNTIF('1.연간시수표'!Q18,$AU$9),COUNTIF('1.연간시수표'!Q18,$AU$7)),$AU$6,IF(OR(COUNTIF('1.연간시수표'!Q18,$AV$9),COUNTIF('1.연간시수표'!Q18,$AV$7)),$AV$6,IF(OR(COUNTIF('1.연간시수표'!Q18,$AW$9),COUNTIF('1.연간시수표'!Q18,$AW$7)),$AW$6,IF(OR(COUNTIF('1.연간시수표'!Q18,$AX$9),COUNTIF('1.연간시수표'!Q18,$AX$7)),$AX$6,IF(OR(COUNTIF('1.연간시수표'!Q18,$AY$9),COUNTIF('1.연간시수표'!Q18,$AY$7)),$AY$6,IF(OR(COUNTIF('1.연간시수표'!Q18,$AZ$9),COUNTIF('1.연간시수표'!Q18,$AZ$7)),$AZ$6,IF(OR(COUNTIF('1.연간시수표'!Q18,$BA$9),COUNTIF('1.연간시수표'!Q18,$BA$7)),$BA$6,IF(OR(COUNTIF('1.연간시수표'!Q18,$BB$9),COUNTIF('1.연간시수표'!Q18,$BB$7)),$BB$6,IF(OR(COUNTIF('1.연간시수표'!Q18,$BC$9),COUNTIF('1.연간시수표'!Q18,$BC$7)),$BC$6,IF(OR(COUNTIF('1.연간시수표'!Q18,$BF$9),COUNTIF('1.연간시수표'!Q18,$BF$7),COUNTIF('1.연간시수표'!Q18,$BG$9),COUNTIF('1.연간시수표'!Q18,$BG$7),COUNTIF('1.연간시수표'!Q18,$BH$9),COUNTIF('1.연간시수표'!Q18,$BH$7),COUNTIF('1.연간시수표'!Q18,$BI$9),COUNTIF('1.연간시수표'!Q18,$BI$7),COUNTIF('1.연간시수표'!Q18,$BJ$9),COUNTIF('1.연간시수표'!Q18,$BJ$7),COUNTIF('1.연간시수표'!Q18,$BK$9),COUNTIF('1.연간시수표'!Q18,$BK$7),COUNTIF('1.연간시수표'!Q18,$BL$9),COUNTIF('1.연간시수표'!Q18,$BL$7),COUNTIF('1.연간시수표'!Q18,$BM$9),COUNTIF('1.연간시수표'!Q18,$BM$7)),$BF$6,IF(OR(COUNTIF('1.연간시수표'!Q18,$BO$9),COUNTIF('1.연간시수표'!Q18,$BO$7)),$BO$6,IF(OR(COUNTIF('1.연간시수표'!Q18,$BP$9),COUNTIF('1.연간시수표'!Q18,$BP$7)),$BP$6,IF(OR(COUNTIF('1.연간시수표'!Q18,$BQ$9),COUNTIF('1.연간시수표'!Q18,$BQ$7)),$BQ$6,IF(OR(COUNTIF('1.연간시수표'!Q18,$BR$9),COUNTIF('1.연간시수표'!Q18,$BR$7)),$BR$6,"_")))))))))))))))</f>
        <v>과학</v>
      </c>
      <c r="R18" s="148" t="str">
        <f>IF(OR(COUNTIF('1.연간시수표'!R18,$AT$9),COUNTIF('1.연간시수표'!R18,$AT$7)),$AT$6,IF(OR(COUNTIF('1.연간시수표'!R18,$AU$9),COUNTIF('1.연간시수표'!R18,$AU$7)),$AU$6,IF(OR(COUNTIF('1.연간시수표'!R18,$AV$9),COUNTIF('1.연간시수표'!R18,$AV$7)),$AV$6,IF(OR(COUNTIF('1.연간시수표'!R18,$AW$9),COUNTIF('1.연간시수표'!R18,$AW$7)),$AW$6,IF(OR(COUNTIF('1.연간시수표'!R18,$AX$9),COUNTIF('1.연간시수표'!R18,$AX$7)),$AX$6,IF(OR(COUNTIF('1.연간시수표'!R18,$AY$9),COUNTIF('1.연간시수표'!R18,$AY$7)),$AY$6,IF(OR(COUNTIF('1.연간시수표'!R18,$AZ$9),COUNTIF('1.연간시수표'!R18,$AZ$7)),$AZ$6,IF(OR(COUNTIF('1.연간시수표'!R18,$BA$9),COUNTIF('1.연간시수표'!R18,$BA$7)),$BA$6,IF(OR(COUNTIF('1.연간시수표'!R18,$BB$9),COUNTIF('1.연간시수표'!R18,$BB$7)),$BB$6,IF(OR(COUNTIF('1.연간시수표'!R18,$BC$9),COUNTIF('1.연간시수표'!R18,$BC$7)),$BC$6,IF(OR(COUNTIF('1.연간시수표'!R18,$BF$9),COUNTIF('1.연간시수표'!R18,$BF$7),COUNTIF('1.연간시수표'!R18,$BG$9),COUNTIF('1.연간시수표'!R18,$BG$7),COUNTIF('1.연간시수표'!R18,$BH$9),COUNTIF('1.연간시수표'!R18,$BH$7),COUNTIF('1.연간시수표'!R18,$BI$9),COUNTIF('1.연간시수표'!R18,$BI$7),COUNTIF('1.연간시수표'!R18,$BJ$9),COUNTIF('1.연간시수표'!R18,$BJ$7),COUNTIF('1.연간시수표'!R18,$BK$9),COUNTIF('1.연간시수표'!R18,$BK$7),COUNTIF('1.연간시수표'!R18,$BL$9),COUNTIF('1.연간시수표'!R18,$BL$7),COUNTIF('1.연간시수표'!R18,$BM$9),COUNTIF('1.연간시수표'!R18,$BM$7)),$BF$6,IF(OR(COUNTIF('1.연간시수표'!R18,$BO$9),COUNTIF('1.연간시수표'!R18,$BO$7)),$BO$6,IF(OR(COUNTIF('1.연간시수표'!R18,$BP$9),COUNTIF('1.연간시수표'!R18,$BP$7)),$BP$6,IF(OR(COUNTIF('1.연간시수표'!R18,$BQ$9),COUNTIF('1.연간시수표'!R18,$BQ$7)),$BQ$6,IF(OR(COUNTIF('1.연간시수표'!R18,$BR$9),COUNTIF('1.연간시수표'!R18,$BR$7)),$BR$6,"_")))))))))))))))</f>
        <v>실과</v>
      </c>
      <c r="S18" s="148" t="str">
        <f>IF(OR(COUNTIF('1.연간시수표'!S18,$AT$9),COUNTIF('1.연간시수표'!S18,$AT$7)),$AT$6,IF(OR(COUNTIF('1.연간시수표'!S18,$AU$9),COUNTIF('1.연간시수표'!S18,$AU$7)),$AU$6,IF(OR(COUNTIF('1.연간시수표'!S18,$AV$9),COUNTIF('1.연간시수표'!S18,$AV$7)),$AV$6,IF(OR(COUNTIF('1.연간시수표'!S18,$AW$9),COUNTIF('1.연간시수표'!S18,$AW$7)),$AW$6,IF(OR(COUNTIF('1.연간시수표'!S18,$AX$9),COUNTIF('1.연간시수표'!S18,$AX$7)),$AX$6,IF(OR(COUNTIF('1.연간시수표'!S18,$AY$9),COUNTIF('1.연간시수표'!S18,$AY$7)),$AY$6,IF(OR(COUNTIF('1.연간시수표'!S18,$AZ$9),COUNTIF('1.연간시수표'!S18,$AZ$7)),$AZ$6,IF(OR(COUNTIF('1.연간시수표'!S18,$BA$9),COUNTIF('1.연간시수표'!S18,$BA$7)),$BA$6,IF(OR(COUNTIF('1.연간시수표'!S18,$BB$9),COUNTIF('1.연간시수표'!S18,$BB$7)),$BB$6,IF(OR(COUNTIF('1.연간시수표'!S18,$BC$9),COUNTIF('1.연간시수표'!S18,$BC$7)),$BC$6,IF(OR(COUNTIF('1.연간시수표'!S18,$BF$9),COUNTIF('1.연간시수표'!S18,$BF$7),COUNTIF('1.연간시수표'!S18,$BG$9),COUNTIF('1.연간시수표'!S18,$BG$7),COUNTIF('1.연간시수표'!S18,$BH$9),COUNTIF('1.연간시수표'!S18,$BH$7),COUNTIF('1.연간시수표'!S18,$BI$9),COUNTIF('1.연간시수표'!S18,$BI$7),COUNTIF('1.연간시수표'!S18,$BJ$9),COUNTIF('1.연간시수표'!S18,$BJ$7),COUNTIF('1.연간시수표'!S18,$BK$9),COUNTIF('1.연간시수표'!S18,$BK$7),COUNTIF('1.연간시수표'!S18,$BL$9),COUNTIF('1.연간시수표'!S18,$BL$7),COUNTIF('1.연간시수표'!S18,$BM$9),COUNTIF('1.연간시수표'!S18,$BM$7)),$BF$6,IF(OR(COUNTIF('1.연간시수표'!S18,$BO$9),COUNTIF('1.연간시수표'!S18,$BO$7)),$BO$6,IF(OR(COUNTIF('1.연간시수표'!S18,$BP$9),COUNTIF('1.연간시수표'!S18,$BP$7)),$BP$6,IF(OR(COUNTIF('1.연간시수표'!S18,$BQ$9),COUNTIF('1.연간시수표'!S18,$BQ$7)),$BQ$6,IF(OR(COUNTIF('1.연간시수표'!S18,$BR$9),COUNTIF('1.연간시수표'!S18,$BR$7)),$BR$6,"_")))))))))))))))</f>
        <v>_</v>
      </c>
      <c r="T18" s="148" t="str">
        <f>IF(OR(COUNTIF('1.연간시수표'!T18,$AT$9),COUNTIF('1.연간시수표'!T18,$AT$7)),$AT$6,IF(OR(COUNTIF('1.연간시수표'!T18,$AU$9),COUNTIF('1.연간시수표'!T18,$AU$7)),$AU$6,IF(OR(COUNTIF('1.연간시수표'!T18,$AV$9),COUNTIF('1.연간시수표'!T18,$AV$7)),$AV$6,IF(OR(COUNTIF('1.연간시수표'!T18,$AW$9),COUNTIF('1.연간시수표'!T18,$AW$7)),$AW$6,IF(OR(COUNTIF('1.연간시수표'!T18,$AX$9),COUNTIF('1.연간시수표'!T18,$AX$7)),$AX$6,IF(OR(COUNTIF('1.연간시수표'!T18,$AY$9),COUNTIF('1.연간시수표'!T18,$AY$7)),$AY$6,IF(OR(COUNTIF('1.연간시수표'!T18,$AZ$9),COUNTIF('1.연간시수표'!T18,$AZ$7)),$AZ$6,IF(OR(COUNTIF('1.연간시수표'!T18,$BA$9),COUNTIF('1.연간시수표'!T18,$BA$7)),$BA$6,IF(OR(COUNTIF('1.연간시수표'!T18,$BB$9),COUNTIF('1.연간시수표'!T18,$BB$7)),$BB$6,IF(OR(COUNTIF('1.연간시수표'!T18,$BC$9),COUNTIF('1.연간시수표'!T18,$BC$7)),$BC$6,IF(OR(COUNTIF('1.연간시수표'!T18,$BF$9),COUNTIF('1.연간시수표'!T18,$BF$7),COUNTIF('1.연간시수표'!T18,$BG$9),COUNTIF('1.연간시수표'!T18,$BG$7),COUNTIF('1.연간시수표'!T18,$BH$9),COUNTIF('1.연간시수표'!T18,$BH$7),COUNTIF('1.연간시수표'!T18,$BI$9),COUNTIF('1.연간시수표'!T18,$BI$7),COUNTIF('1.연간시수표'!T18,$BJ$9),COUNTIF('1.연간시수표'!T18,$BJ$7),COUNTIF('1.연간시수표'!T18,$BK$9),COUNTIF('1.연간시수표'!T18,$BK$7),COUNTIF('1.연간시수표'!T18,$BL$9),COUNTIF('1.연간시수표'!T18,$BL$7),COUNTIF('1.연간시수표'!T18,$BM$9),COUNTIF('1.연간시수표'!T18,$BM$7)),$BF$6,IF(OR(COUNTIF('1.연간시수표'!T18,$BO$9),COUNTIF('1.연간시수표'!T18,$BO$7)),$BO$6,IF(OR(COUNTIF('1.연간시수표'!T18,$BP$9),COUNTIF('1.연간시수표'!T18,$BP$7)),$BP$6,IF(OR(COUNTIF('1.연간시수표'!T18,$BQ$9),COUNTIF('1.연간시수표'!T18,$BQ$7)),$BQ$6,IF(OR(COUNTIF('1.연간시수표'!T18,$BR$9),COUNTIF('1.연간시수표'!T18,$BR$7)),$BR$6,"_")))))))))))))))</f>
        <v>_</v>
      </c>
      <c r="U18" s="148" t="str">
        <f>IF(OR(COUNTIF('1.연간시수표'!U18,$AT$9),COUNTIF('1.연간시수표'!U18,$AT$7)),$AT$6,IF(OR(COUNTIF('1.연간시수표'!U18,$AU$9),COUNTIF('1.연간시수표'!U18,$AU$7)),$AU$6,IF(OR(COUNTIF('1.연간시수표'!U18,$AV$9),COUNTIF('1.연간시수표'!U18,$AV$7)),$AV$6,IF(OR(COUNTIF('1.연간시수표'!U18,$AW$9),COUNTIF('1.연간시수표'!U18,$AW$7)),$AW$6,IF(OR(COUNTIF('1.연간시수표'!U18,$AX$9),COUNTIF('1.연간시수표'!U18,$AX$7)),$AX$6,IF(OR(COUNTIF('1.연간시수표'!U18,$AY$9),COUNTIF('1.연간시수표'!U18,$AY$7)),$AY$6,IF(OR(COUNTIF('1.연간시수표'!U18,$AZ$9),COUNTIF('1.연간시수표'!U18,$AZ$7)),$AZ$6,IF(OR(COUNTIF('1.연간시수표'!U18,$BA$9),COUNTIF('1.연간시수표'!U18,$BA$7)),$BA$6,IF(OR(COUNTIF('1.연간시수표'!U18,$BB$9),COUNTIF('1.연간시수표'!U18,$BB$7)),$BB$6,IF(OR(COUNTIF('1.연간시수표'!U18,$BC$9),COUNTIF('1.연간시수표'!U18,$BC$7)),$BC$6,IF(OR(COUNTIF('1.연간시수표'!U18,$BF$9),COUNTIF('1.연간시수표'!U18,$BF$7),COUNTIF('1.연간시수표'!U18,$BG$9),COUNTIF('1.연간시수표'!U18,$BG$7),COUNTIF('1.연간시수표'!U18,$BH$9),COUNTIF('1.연간시수표'!U18,$BH$7),COUNTIF('1.연간시수표'!U18,$BI$9),COUNTIF('1.연간시수표'!U18,$BI$7),COUNTIF('1.연간시수표'!U18,$BJ$9),COUNTIF('1.연간시수표'!U18,$BJ$7),COUNTIF('1.연간시수표'!U18,$BK$9),COUNTIF('1.연간시수표'!U18,$BK$7),COUNTIF('1.연간시수표'!U18,$BL$9),COUNTIF('1.연간시수표'!U18,$BL$7),COUNTIF('1.연간시수표'!U18,$BM$9),COUNTIF('1.연간시수표'!U18,$BM$7)),$BF$6,IF(OR(COUNTIF('1.연간시수표'!U18,$BO$9),COUNTIF('1.연간시수표'!U18,$BO$7)),$BO$6,IF(OR(COUNTIF('1.연간시수표'!U18,$BP$9),COUNTIF('1.연간시수표'!U18,$BP$7)),$BP$6,IF(OR(COUNTIF('1.연간시수표'!U18,$BQ$9),COUNTIF('1.연간시수표'!U18,$BQ$7)),$BQ$6,IF(OR(COUNTIF('1.연간시수표'!U18,$BR$9),COUNTIF('1.연간시수표'!U18,$BR$7)),$BR$6,"_")))))))))))))))</f>
        <v>영어</v>
      </c>
      <c r="V18" s="148" t="str">
        <f>IF(OR(COUNTIF('1.연간시수표'!V18,$AT$9),COUNTIF('1.연간시수표'!V18,$AT$7)),$AT$6,IF(OR(COUNTIF('1.연간시수표'!V18,$AU$9),COUNTIF('1.연간시수표'!V18,$AU$7)),$AU$6,IF(OR(COUNTIF('1.연간시수표'!V18,$AV$9),COUNTIF('1.연간시수표'!V18,$AV$7)),$AV$6,IF(OR(COUNTIF('1.연간시수표'!V18,$AW$9),COUNTIF('1.연간시수표'!V18,$AW$7)),$AW$6,IF(OR(COUNTIF('1.연간시수표'!V18,$AX$9),COUNTIF('1.연간시수표'!V18,$AX$7)),$AX$6,IF(OR(COUNTIF('1.연간시수표'!V18,$AY$9),COUNTIF('1.연간시수표'!V18,$AY$7)),$AY$6,IF(OR(COUNTIF('1.연간시수표'!V18,$AZ$9),COUNTIF('1.연간시수표'!V18,$AZ$7)),$AZ$6,IF(OR(COUNTIF('1.연간시수표'!V18,$BA$9),COUNTIF('1.연간시수표'!V18,$BA$7)),$BA$6,IF(OR(COUNTIF('1.연간시수표'!V18,$BB$9),COUNTIF('1.연간시수표'!V18,$BB$7)),$BB$6,IF(OR(COUNTIF('1.연간시수표'!V18,$BC$9),COUNTIF('1.연간시수표'!V18,$BC$7)),$BC$6,IF(OR(COUNTIF('1.연간시수표'!V18,$BF$9),COUNTIF('1.연간시수표'!V18,$BF$7),COUNTIF('1.연간시수표'!V18,$BG$9),COUNTIF('1.연간시수표'!V18,$BG$7),COUNTIF('1.연간시수표'!V18,$BH$9),COUNTIF('1.연간시수표'!V18,$BH$7),COUNTIF('1.연간시수표'!V18,$BI$9),COUNTIF('1.연간시수표'!V18,$BI$7),COUNTIF('1.연간시수표'!V18,$BJ$9),COUNTIF('1.연간시수표'!V18,$BJ$7),COUNTIF('1.연간시수표'!V18,$BK$9),COUNTIF('1.연간시수표'!V18,$BK$7),COUNTIF('1.연간시수표'!V18,$BL$9),COUNTIF('1.연간시수표'!V18,$BL$7),COUNTIF('1.연간시수표'!V18,$BM$9),COUNTIF('1.연간시수표'!V18,$BM$7)),$BF$6,IF(OR(COUNTIF('1.연간시수표'!V18,$BO$9),COUNTIF('1.연간시수표'!V18,$BO$7)),$BO$6,IF(OR(COUNTIF('1.연간시수표'!V18,$BP$9),COUNTIF('1.연간시수표'!V18,$BP$7)),$BP$6,IF(OR(COUNTIF('1.연간시수표'!V18,$BQ$9),COUNTIF('1.연간시수표'!V18,$BQ$7)),$BQ$6,IF(OR(COUNTIF('1.연간시수표'!V18,$BR$9),COUNTIF('1.연간시수표'!V18,$BR$7)),$BR$6,"_")))))))))))))))</f>
        <v>과학</v>
      </c>
      <c r="W18" s="148" t="str">
        <f>IF(OR(COUNTIF('1.연간시수표'!W18,$AT$9),COUNTIF('1.연간시수표'!W18,$AT$7)),$AT$6,IF(OR(COUNTIF('1.연간시수표'!W18,$AU$9),COUNTIF('1.연간시수표'!W18,$AU$7)),$AU$6,IF(OR(COUNTIF('1.연간시수표'!W18,$AV$9),COUNTIF('1.연간시수표'!W18,$AV$7)),$AV$6,IF(OR(COUNTIF('1.연간시수표'!W18,$AW$9),COUNTIF('1.연간시수표'!W18,$AW$7)),$AW$6,IF(OR(COUNTIF('1.연간시수표'!W18,$AX$9),COUNTIF('1.연간시수표'!W18,$AX$7)),$AX$6,IF(OR(COUNTIF('1.연간시수표'!W18,$AY$9),COUNTIF('1.연간시수표'!W18,$AY$7)),$AY$6,IF(OR(COUNTIF('1.연간시수표'!W18,$AZ$9),COUNTIF('1.연간시수표'!W18,$AZ$7)),$AZ$6,IF(OR(COUNTIF('1.연간시수표'!W18,$BA$9),COUNTIF('1.연간시수표'!W18,$BA$7)),$BA$6,IF(OR(COUNTIF('1.연간시수표'!W18,$BB$9),COUNTIF('1.연간시수표'!W18,$BB$7)),$BB$6,IF(OR(COUNTIF('1.연간시수표'!W18,$BC$9),COUNTIF('1.연간시수표'!W18,$BC$7)),$BC$6,IF(OR(COUNTIF('1.연간시수표'!W18,$BF$9),COUNTIF('1.연간시수표'!W18,$BF$7),COUNTIF('1.연간시수표'!W18,$BG$9),COUNTIF('1.연간시수표'!W18,$BG$7),COUNTIF('1.연간시수표'!W18,$BH$9),COUNTIF('1.연간시수표'!W18,$BH$7),COUNTIF('1.연간시수표'!W18,$BI$9),COUNTIF('1.연간시수표'!W18,$BI$7),COUNTIF('1.연간시수표'!W18,$BJ$9),COUNTIF('1.연간시수표'!W18,$BJ$7),COUNTIF('1.연간시수표'!W18,$BK$9),COUNTIF('1.연간시수표'!W18,$BK$7),COUNTIF('1.연간시수표'!W18,$BL$9),COUNTIF('1.연간시수표'!W18,$BL$7),COUNTIF('1.연간시수표'!W18,$BM$9),COUNTIF('1.연간시수표'!W18,$BM$7)),$BF$6,IF(OR(COUNTIF('1.연간시수표'!W18,$BO$9),COUNTIF('1.연간시수표'!W18,$BO$7)),$BO$6,IF(OR(COUNTIF('1.연간시수표'!W18,$BP$9),COUNTIF('1.연간시수표'!W18,$BP$7)),$BP$6,IF(OR(COUNTIF('1.연간시수표'!W18,$BQ$9),COUNTIF('1.연간시수표'!W18,$BQ$7)),$BQ$6,IF(OR(COUNTIF('1.연간시수표'!W18,$BR$9),COUNTIF('1.연간시수표'!W18,$BR$7)),$BR$6,"_")))))))))))))))</f>
        <v>체육</v>
      </c>
      <c r="X18" s="148" t="str">
        <f>IF(OR(COUNTIF('1.연간시수표'!X18,$AT$9),COUNTIF('1.연간시수표'!X18,$AT$7)),$AT$6,IF(OR(COUNTIF('1.연간시수표'!X18,$AU$9),COUNTIF('1.연간시수표'!X18,$AU$7)),$AU$6,IF(OR(COUNTIF('1.연간시수표'!X18,$AV$9),COUNTIF('1.연간시수표'!X18,$AV$7)),$AV$6,IF(OR(COUNTIF('1.연간시수표'!X18,$AW$9),COUNTIF('1.연간시수표'!X18,$AW$7)),$AW$6,IF(OR(COUNTIF('1.연간시수표'!X18,$AX$9),COUNTIF('1.연간시수표'!X18,$AX$7)),$AX$6,IF(OR(COUNTIF('1.연간시수표'!X18,$AY$9),COUNTIF('1.연간시수표'!X18,$AY$7)),$AY$6,IF(OR(COUNTIF('1.연간시수표'!X18,$AZ$9),COUNTIF('1.연간시수표'!X18,$AZ$7)),$AZ$6,IF(OR(COUNTIF('1.연간시수표'!X18,$BA$9),COUNTIF('1.연간시수표'!X18,$BA$7)),$BA$6,IF(OR(COUNTIF('1.연간시수표'!X18,$BB$9),COUNTIF('1.연간시수표'!X18,$BB$7)),$BB$6,IF(OR(COUNTIF('1.연간시수표'!X18,$BC$9),COUNTIF('1.연간시수표'!X18,$BC$7)),$BC$6,IF(OR(COUNTIF('1.연간시수표'!X18,$BF$9),COUNTIF('1.연간시수표'!X18,$BF$7),COUNTIF('1.연간시수표'!X18,$BG$9),COUNTIF('1.연간시수표'!X18,$BG$7),COUNTIF('1.연간시수표'!X18,$BH$9),COUNTIF('1.연간시수표'!X18,$BH$7),COUNTIF('1.연간시수표'!X18,$BI$9),COUNTIF('1.연간시수표'!X18,$BI$7),COUNTIF('1.연간시수표'!X18,$BJ$9),COUNTIF('1.연간시수표'!X18,$BJ$7),COUNTIF('1.연간시수표'!X18,$BK$9),COUNTIF('1.연간시수표'!X18,$BK$7),COUNTIF('1.연간시수표'!X18,$BL$9),COUNTIF('1.연간시수표'!X18,$BL$7),COUNTIF('1.연간시수표'!X18,$BM$9),COUNTIF('1.연간시수표'!X18,$BM$7)),$BF$6,IF(OR(COUNTIF('1.연간시수표'!X18,$BO$9),COUNTIF('1.연간시수표'!X18,$BO$7)),$BO$6,IF(OR(COUNTIF('1.연간시수표'!X18,$BP$9),COUNTIF('1.연간시수표'!X18,$BP$7)),$BP$6,IF(OR(COUNTIF('1.연간시수표'!X18,$BQ$9),COUNTIF('1.연간시수표'!X18,$BQ$7)),$BQ$6,IF(OR(COUNTIF('1.연간시수표'!X18,$BR$9),COUNTIF('1.연간시수표'!X18,$BR$7)),$BR$6,"_")))))))))))))))</f>
        <v>음악</v>
      </c>
      <c r="Y18" s="148" t="str">
        <f>IF(OR(COUNTIF('1.연간시수표'!Y18,$AT$9),COUNTIF('1.연간시수표'!Y18,$AT$7)),$AT$6,IF(OR(COUNTIF('1.연간시수표'!Y18,$AU$9),COUNTIF('1.연간시수표'!Y18,$AU$7)),$AU$6,IF(OR(COUNTIF('1.연간시수표'!Y18,$AV$9),COUNTIF('1.연간시수표'!Y18,$AV$7)),$AV$6,IF(OR(COUNTIF('1.연간시수표'!Y18,$AW$9),COUNTIF('1.연간시수표'!Y18,$AW$7)),$AW$6,IF(OR(COUNTIF('1.연간시수표'!Y18,$AX$9),COUNTIF('1.연간시수표'!Y18,$AX$7)),$AX$6,IF(OR(COUNTIF('1.연간시수표'!Y18,$AY$9),COUNTIF('1.연간시수표'!Y18,$AY$7)),$AY$6,IF(OR(COUNTIF('1.연간시수표'!Y18,$AZ$9),COUNTIF('1.연간시수표'!Y18,$AZ$7)),$AZ$6,IF(OR(COUNTIF('1.연간시수표'!Y18,$BA$9),COUNTIF('1.연간시수표'!Y18,$BA$7)),$BA$6,IF(OR(COUNTIF('1.연간시수표'!Y18,$BB$9),COUNTIF('1.연간시수표'!Y18,$BB$7)),$BB$6,IF(OR(COUNTIF('1.연간시수표'!Y18,$BC$9),COUNTIF('1.연간시수표'!Y18,$BC$7)),$BC$6,IF(OR(COUNTIF('1.연간시수표'!Y18,$BF$9),COUNTIF('1.연간시수표'!Y18,$BF$7),COUNTIF('1.연간시수표'!Y18,$BG$9),COUNTIF('1.연간시수표'!Y18,$BG$7),COUNTIF('1.연간시수표'!Y18,$BH$9),COUNTIF('1.연간시수표'!Y18,$BH$7),COUNTIF('1.연간시수표'!Y18,$BI$9),COUNTIF('1.연간시수표'!Y18,$BI$7),COUNTIF('1.연간시수표'!Y18,$BJ$9),COUNTIF('1.연간시수표'!Y18,$BJ$7),COUNTIF('1.연간시수표'!Y18,$BK$9),COUNTIF('1.연간시수표'!Y18,$BK$7),COUNTIF('1.연간시수표'!Y18,$BL$9),COUNTIF('1.연간시수표'!Y18,$BL$7),COUNTIF('1.연간시수표'!Y18,$BM$9),COUNTIF('1.연간시수표'!Y18,$BM$7)),$BF$6,IF(OR(COUNTIF('1.연간시수표'!Y18,$BO$9),COUNTIF('1.연간시수표'!Y18,$BO$7)),$BO$6,IF(OR(COUNTIF('1.연간시수표'!Y18,$BP$9),COUNTIF('1.연간시수표'!Y18,$BP$7)),$BP$6,IF(OR(COUNTIF('1.연간시수표'!Y18,$BQ$9),COUNTIF('1.연간시수표'!Y18,$BQ$7)),$BQ$6,IF(OR(COUNTIF('1.연간시수표'!Y18,$BR$9),COUNTIF('1.연간시수표'!Y18,$BR$7)),$BR$6,"_")))))))))))))))</f>
        <v>도덕</v>
      </c>
      <c r="Z18" s="148" t="str">
        <f>IF(OR(COUNTIF('1.연간시수표'!Z18,$AT$9),COUNTIF('1.연간시수표'!Z18,$AT$7)),$AT$6,IF(OR(COUNTIF('1.연간시수표'!Z18,$AU$9),COUNTIF('1.연간시수표'!Z18,$AU$7)),$AU$6,IF(OR(COUNTIF('1.연간시수표'!Z18,$AV$9),COUNTIF('1.연간시수표'!Z18,$AV$7)),$AV$6,IF(OR(COUNTIF('1.연간시수표'!Z18,$AW$9),COUNTIF('1.연간시수표'!Z18,$AW$7)),$AW$6,IF(OR(COUNTIF('1.연간시수표'!Z18,$AX$9),COUNTIF('1.연간시수표'!Z18,$AX$7)),$AX$6,IF(OR(COUNTIF('1.연간시수표'!Z18,$AY$9),COUNTIF('1.연간시수표'!Z18,$AY$7)),$AY$6,IF(OR(COUNTIF('1.연간시수표'!Z18,$AZ$9),COUNTIF('1.연간시수표'!Z18,$AZ$7)),$AZ$6,IF(OR(COUNTIF('1.연간시수표'!Z18,$BA$9),COUNTIF('1.연간시수표'!Z18,$BA$7)),$BA$6,IF(OR(COUNTIF('1.연간시수표'!Z18,$BB$9),COUNTIF('1.연간시수표'!Z18,$BB$7)),$BB$6,IF(OR(COUNTIF('1.연간시수표'!Z18,$BC$9),COUNTIF('1.연간시수표'!Z18,$BC$7)),$BC$6,IF(OR(COUNTIF('1.연간시수표'!Z18,$BF$9),COUNTIF('1.연간시수표'!Z18,$BF$7),COUNTIF('1.연간시수표'!Z18,$BG$9),COUNTIF('1.연간시수표'!Z18,$BG$7),COUNTIF('1.연간시수표'!Z18,$BH$9),COUNTIF('1.연간시수표'!Z18,$BH$7),COUNTIF('1.연간시수표'!Z18,$BI$9),COUNTIF('1.연간시수표'!Z18,$BI$7),COUNTIF('1.연간시수표'!Z18,$BJ$9),COUNTIF('1.연간시수표'!Z18,$BJ$7),COUNTIF('1.연간시수표'!Z18,$BK$9),COUNTIF('1.연간시수표'!Z18,$BK$7),COUNTIF('1.연간시수표'!Z18,$BL$9),COUNTIF('1.연간시수표'!Z18,$BL$7),COUNTIF('1.연간시수표'!Z18,$BM$9),COUNTIF('1.연간시수표'!Z18,$BM$7)),$BF$6,IF(OR(COUNTIF('1.연간시수표'!Z18,$BO$9),COUNTIF('1.연간시수표'!Z18,$BO$7)),$BO$6,IF(OR(COUNTIF('1.연간시수표'!Z18,$BP$9),COUNTIF('1.연간시수표'!Z18,$BP$7)),$BP$6,IF(OR(COUNTIF('1.연간시수표'!Z18,$BQ$9),COUNTIF('1.연간시수표'!Z18,$BQ$7)),$BQ$6,IF(OR(COUNTIF('1.연간시수표'!Z18,$BR$9),COUNTIF('1.연간시수표'!Z18,$BR$7)),$BR$6,"_")))))))))))))))</f>
        <v>_</v>
      </c>
      <c r="AA18" s="148" t="str">
        <f>IF(OR(COUNTIF('1.연간시수표'!AA18,$AT$9),COUNTIF('1.연간시수표'!AA18,$AT$7)),$AT$6,IF(OR(COUNTIF('1.연간시수표'!AA18,$AU$9),COUNTIF('1.연간시수표'!AA18,$AU$7)),$AU$6,IF(OR(COUNTIF('1.연간시수표'!AA18,$AV$9),COUNTIF('1.연간시수표'!AA18,$AV$7)),$AV$6,IF(OR(COUNTIF('1.연간시수표'!AA18,$AW$9),COUNTIF('1.연간시수표'!AA18,$AW$7)),$AW$6,IF(OR(COUNTIF('1.연간시수표'!AA18,$AX$9),COUNTIF('1.연간시수표'!AA18,$AX$7)),$AX$6,IF(OR(COUNTIF('1.연간시수표'!AA18,$AY$9),COUNTIF('1.연간시수표'!AA18,$AY$7)),$AY$6,IF(OR(COUNTIF('1.연간시수표'!AA18,$AZ$9),COUNTIF('1.연간시수표'!AA18,$AZ$7)),$AZ$6,IF(OR(COUNTIF('1.연간시수표'!AA18,$BA$9),COUNTIF('1.연간시수표'!AA18,$BA$7)),$BA$6,IF(OR(COUNTIF('1.연간시수표'!AA18,$BB$9),COUNTIF('1.연간시수표'!AA18,$BB$7)),$BB$6,IF(OR(COUNTIF('1.연간시수표'!AA18,$BC$9),COUNTIF('1.연간시수표'!AA18,$BC$7)),$BC$6,IF(OR(COUNTIF('1.연간시수표'!AA18,$BF$9),COUNTIF('1.연간시수표'!AA18,$BF$7),COUNTIF('1.연간시수표'!AA18,$BG$9),COUNTIF('1.연간시수표'!AA18,$BG$7),COUNTIF('1.연간시수표'!AA18,$BH$9),COUNTIF('1.연간시수표'!AA18,$BH$7),COUNTIF('1.연간시수표'!AA18,$BI$9),COUNTIF('1.연간시수표'!AA18,$BI$7),COUNTIF('1.연간시수표'!AA18,$BJ$9),COUNTIF('1.연간시수표'!AA18,$BJ$7),COUNTIF('1.연간시수표'!AA18,$BK$9),COUNTIF('1.연간시수표'!AA18,$BK$7),COUNTIF('1.연간시수표'!AA18,$BL$9),COUNTIF('1.연간시수표'!AA18,$BL$7),COUNTIF('1.연간시수표'!AA18,$BM$9),COUNTIF('1.연간시수표'!AA18,$BM$7)),$BF$6,IF(OR(COUNTIF('1.연간시수표'!AA18,$BO$9),COUNTIF('1.연간시수표'!AA18,$BO$7)),$BO$6,IF(OR(COUNTIF('1.연간시수표'!AA18,$BP$9),COUNTIF('1.연간시수표'!AA18,$BP$7)),$BP$6,IF(OR(COUNTIF('1.연간시수표'!AA18,$BQ$9),COUNTIF('1.연간시수표'!AA18,$BQ$7)),$BQ$6,IF(OR(COUNTIF('1.연간시수표'!AA18,$BR$9),COUNTIF('1.연간시수표'!AA18,$BR$7)),$BR$6,"_")))))))))))))))</f>
        <v>_</v>
      </c>
      <c r="AB18" s="148" t="str">
        <f>IF(OR(COUNTIF('1.연간시수표'!AB18,$AT$9),COUNTIF('1.연간시수표'!AB18,$AT$7)),$AT$6,IF(OR(COUNTIF('1.연간시수표'!AB18,$AU$9),COUNTIF('1.연간시수표'!AB18,$AU$7)),$AU$6,IF(OR(COUNTIF('1.연간시수표'!AB18,$AV$9),COUNTIF('1.연간시수표'!AB18,$AV$7)),$AV$6,IF(OR(COUNTIF('1.연간시수표'!AB18,$AW$9),COUNTIF('1.연간시수표'!AB18,$AW$7)),$AW$6,IF(OR(COUNTIF('1.연간시수표'!AB18,$AX$9),COUNTIF('1.연간시수표'!AB18,$AX$7)),$AX$6,IF(OR(COUNTIF('1.연간시수표'!AB18,$AY$9),COUNTIF('1.연간시수표'!AB18,$AY$7)),$AY$6,IF(OR(COUNTIF('1.연간시수표'!AB18,$AZ$9),COUNTIF('1.연간시수표'!AB18,$AZ$7)),$AZ$6,IF(OR(COUNTIF('1.연간시수표'!AB18,$BA$9),COUNTIF('1.연간시수표'!AB18,$BA$7)),$BA$6,IF(OR(COUNTIF('1.연간시수표'!AB18,$BB$9),COUNTIF('1.연간시수표'!AB18,$BB$7)),$BB$6,IF(OR(COUNTIF('1.연간시수표'!AB18,$BC$9),COUNTIF('1.연간시수표'!AB18,$BC$7)),$BC$6,IF(OR(COUNTIF('1.연간시수표'!AB18,$BF$9),COUNTIF('1.연간시수표'!AB18,$BF$7),COUNTIF('1.연간시수표'!AB18,$BG$9),COUNTIF('1.연간시수표'!AB18,$BG$7),COUNTIF('1.연간시수표'!AB18,$BH$9),COUNTIF('1.연간시수표'!AB18,$BH$7),COUNTIF('1.연간시수표'!AB18,$BI$9),COUNTIF('1.연간시수표'!AB18,$BI$7),COUNTIF('1.연간시수표'!AB18,$BJ$9),COUNTIF('1.연간시수표'!AB18,$BJ$7),COUNTIF('1.연간시수표'!AB18,$BK$9),COUNTIF('1.연간시수표'!AB18,$BK$7),COUNTIF('1.연간시수표'!AB18,$BL$9),COUNTIF('1.연간시수표'!AB18,$BL$7),COUNTIF('1.연간시수표'!AB18,$BM$9),COUNTIF('1.연간시수표'!AB18,$BM$7)),$BF$6,IF(OR(COUNTIF('1.연간시수표'!AB18,$BO$9),COUNTIF('1.연간시수표'!AB18,$BO$7)),$BO$6,IF(OR(COUNTIF('1.연간시수표'!AB18,$BP$9),COUNTIF('1.연간시수표'!AB18,$BP$7)),$BP$6,IF(OR(COUNTIF('1.연간시수표'!AB18,$BQ$9),COUNTIF('1.연간시수표'!AB18,$BQ$7)),$BQ$6,IF(OR(COUNTIF('1.연간시수표'!AB18,$BR$9),COUNTIF('1.연간시수표'!AB18,$BR$7)),$BR$6,"_")))))))))))))))</f>
        <v>_</v>
      </c>
      <c r="AC18" s="148" t="str">
        <f>IF(OR(COUNTIF('1.연간시수표'!AC18,$AT$9),COUNTIF('1.연간시수표'!AC18,$AT$7)),$AT$6,IF(OR(COUNTIF('1.연간시수표'!AC18,$AU$9),COUNTIF('1.연간시수표'!AC18,$AU$7)),$AU$6,IF(OR(COUNTIF('1.연간시수표'!AC18,$AV$9),COUNTIF('1.연간시수표'!AC18,$AV$7)),$AV$6,IF(OR(COUNTIF('1.연간시수표'!AC18,$AW$9),COUNTIF('1.연간시수표'!AC18,$AW$7)),$AW$6,IF(OR(COUNTIF('1.연간시수표'!AC18,$AX$9),COUNTIF('1.연간시수표'!AC18,$AX$7)),$AX$6,IF(OR(COUNTIF('1.연간시수표'!AC18,$AY$9),COUNTIF('1.연간시수표'!AC18,$AY$7)),$AY$6,IF(OR(COUNTIF('1.연간시수표'!AC18,$AZ$9),COUNTIF('1.연간시수표'!AC18,$AZ$7)),$AZ$6,IF(OR(COUNTIF('1.연간시수표'!AC18,$BA$9),COUNTIF('1.연간시수표'!AC18,$BA$7)),$BA$6,IF(OR(COUNTIF('1.연간시수표'!AC18,$BB$9),COUNTIF('1.연간시수표'!AC18,$BB$7)),$BB$6,IF(OR(COUNTIF('1.연간시수표'!AC18,$BC$9),COUNTIF('1.연간시수표'!AC18,$BC$7)),$BC$6,IF(OR(COUNTIF('1.연간시수표'!AC18,$BF$9),COUNTIF('1.연간시수표'!AC18,$BF$7),COUNTIF('1.연간시수표'!AC18,$BG$9),COUNTIF('1.연간시수표'!AC18,$BG$7),COUNTIF('1.연간시수표'!AC18,$BH$9),COUNTIF('1.연간시수표'!AC18,$BH$7),COUNTIF('1.연간시수표'!AC18,$BI$9),COUNTIF('1.연간시수표'!AC18,$BI$7),COUNTIF('1.연간시수표'!AC18,$BJ$9),COUNTIF('1.연간시수표'!AC18,$BJ$7),COUNTIF('1.연간시수표'!AC18,$BK$9),COUNTIF('1.연간시수표'!AC18,$BK$7),COUNTIF('1.연간시수표'!AC18,$BL$9),COUNTIF('1.연간시수표'!AC18,$BL$7),COUNTIF('1.연간시수표'!AC18,$BM$9),COUNTIF('1.연간시수표'!AC18,$BM$7)),$BF$6,IF(OR(COUNTIF('1.연간시수표'!AC18,$BO$9),COUNTIF('1.연간시수표'!AC18,$BO$7)),$BO$6,IF(OR(COUNTIF('1.연간시수표'!AC18,$BP$9),COUNTIF('1.연간시수표'!AC18,$BP$7)),$BP$6,IF(OR(COUNTIF('1.연간시수표'!AC18,$BQ$9),COUNTIF('1.연간시수표'!AC18,$BQ$7)),$BQ$6,IF(OR(COUNTIF('1.연간시수표'!AC18,$BR$9),COUNTIF('1.연간시수표'!AC18,$BR$7)),$BR$6,"_")))))))))))))))</f>
        <v>국어</v>
      </c>
      <c r="AD18" s="148" t="str">
        <f>IF(OR(COUNTIF('1.연간시수표'!AD18,$AT$9),COUNTIF('1.연간시수표'!AD18,$AT$7)),$AT$6,IF(OR(COUNTIF('1.연간시수표'!AD18,$AU$9),COUNTIF('1.연간시수표'!AD18,$AU$7)),$AU$6,IF(OR(COUNTIF('1.연간시수표'!AD18,$AV$9),COUNTIF('1.연간시수표'!AD18,$AV$7)),$AV$6,IF(OR(COUNTIF('1.연간시수표'!AD18,$AW$9),COUNTIF('1.연간시수표'!AD18,$AW$7)),$AW$6,IF(OR(COUNTIF('1.연간시수표'!AD18,$AX$9),COUNTIF('1.연간시수표'!AD18,$AX$7)),$AX$6,IF(OR(COUNTIF('1.연간시수표'!AD18,$AY$9),COUNTIF('1.연간시수표'!AD18,$AY$7)),$AY$6,IF(OR(COUNTIF('1.연간시수표'!AD18,$AZ$9),COUNTIF('1.연간시수표'!AD18,$AZ$7)),$AZ$6,IF(OR(COUNTIF('1.연간시수표'!AD18,$BA$9),COUNTIF('1.연간시수표'!AD18,$BA$7)),$BA$6,IF(OR(COUNTIF('1.연간시수표'!AD18,$BB$9),COUNTIF('1.연간시수표'!AD18,$BB$7)),$BB$6,IF(OR(COUNTIF('1.연간시수표'!AD18,$BC$9),COUNTIF('1.연간시수표'!AD18,$BC$7)),$BC$6,IF(OR(COUNTIF('1.연간시수표'!AD18,$BF$9),COUNTIF('1.연간시수표'!AD18,$BF$7),COUNTIF('1.연간시수표'!AD18,$BG$9),COUNTIF('1.연간시수표'!AD18,$BG$7),COUNTIF('1.연간시수표'!AD18,$BH$9),COUNTIF('1.연간시수표'!AD18,$BH$7),COUNTIF('1.연간시수표'!AD18,$BI$9),COUNTIF('1.연간시수표'!AD18,$BI$7),COUNTIF('1.연간시수표'!AD18,$BJ$9),COUNTIF('1.연간시수표'!AD18,$BJ$7),COUNTIF('1.연간시수표'!AD18,$BK$9),COUNTIF('1.연간시수표'!AD18,$BK$7),COUNTIF('1.연간시수표'!AD18,$BL$9),COUNTIF('1.연간시수표'!AD18,$BL$7),COUNTIF('1.연간시수표'!AD18,$BM$9),COUNTIF('1.연간시수표'!AD18,$BM$7)),$BF$6,IF(OR(COUNTIF('1.연간시수표'!AD18,$BO$9),COUNTIF('1.연간시수표'!AD18,$BO$7)),$BO$6,IF(OR(COUNTIF('1.연간시수표'!AD18,$BP$9),COUNTIF('1.연간시수표'!AD18,$BP$7)),$BP$6,IF(OR(COUNTIF('1.연간시수표'!AD18,$BQ$9),COUNTIF('1.연간시수표'!AD18,$BQ$7)),$BQ$6,IF(OR(COUNTIF('1.연간시수표'!AD18,$BR$9),COUNTIF('1.연간시수표'!AD18,$BR$7)),$BR$6,"_")))))))))))))))</f>
        <v>수학</v>
      </c>
      <c r="AE18" s="148" t="str">
        <f>IF(OR(COUNTIF('1.연간시수표'!AE18,$AT$9),COUNTIF('1.연간시수표'!AE18,$AT$7)),$AT$6,IF(OR(COUNTIF('1.연간시수표'!AE18,$AU$9),COUNTIF('1.연간시수표'!AE18,$AU$7)),$AU$6,IF(OR(COUNTIF('1.연간시수표'!AE18,$AV$9),COUNTIF('1.연간시수표'!AE18,$AV$7)),$AV$6,IF(OR(COUNTIF('1.연간시수표'!AE18,$AW$9),COUNTIF('1.연간시수표'!AE18,$AW$7)),$AW$6,IF(OR(COUNTIF('1.연간시수표'!AE18,$AX$9),COUNTIF('1.연간시수표'!AE18,$AX$7)),$AX$6,IF(OR(COUNTIF('1.연간시수표'!AE18,$AY$9),COUNTIF('1.연간시수표'!AE18,$AY$7)),$AY$6,IF(OR(COUNTIF('1.연간시수표'!AE18,$AZ$9),COUNTIF('1.연간시수표'!AE18,$AZ$7)),$AZ$6,IF(OR(COUNTIF('1.연간시수표'!AE18,$BA$9),COUNTIF('1.연간시수표'!AE18,$BA$7)),$BA$6,IF(OR(COUNTIF('1.연간시수표'!AE18,$BB$9),COUNTIF('1.연간시수표'!AE18,$BB$7)),$BB$6,IF(OR(COUNTIF('1.연간시수표'!AE18,$BC$9),COUNTIF('1.연간시수표'!AE18,$BC$7)),$BC$6,IF(OR(COUNTIF('1.연간시수표'!AE18,$BF$9),COUNTIF('1.연간시수표'!AE18,$BF$7),COUNTIF('1.연간시수표'!AE18,$BG$9),COUNTIF('1.연간시수표'!AE18,$BG$7),COUNTIF('1.연간시수표'!AE18,$BH$9),COUNTIF('1.연간시수표'!AE18,$BH$7),COUNTIF('1.연간시수표'!AE18,$BI$9),COUNTIF('1.연간시수표'!AE18,$BI$7),COUNTIF('1.연간시수표'!AE18,$BJ$9),COUNTIF('1.연간시수표'!AE18,$BJ$7),COUNTIF('1.연간시수표'!AE18,$BK$9),COUNTIF('1.연간시수표'!AE18,$BK$7),COUNTIF('1.연간시수표'!AE18,$BL$9),COUNTIF('1.연간시수표'!AE18,$BL$7),COUNTIF('1.연간시수표'!AE18,$BM$9),COUNTIF('1.연간시수표'!AE18,$BM$7)),$BF$6,IF(OR(COUNTIF('1.연간시수표'!AE18,$BO$9),COUNTIF('1.연간시수표'!AE18,$BO$7)),$BO$6,IF(OR(COUNTIF('1.연간시수표'!AE18,$BP$9),COUNTIF('1.연간시수표'!AE18,$BP$7)),$BP$6,IF(OR(COUNTIF('1.연간시수표'!AE18,$BQ$9),COUNTIF('1.연간시수표'!AE18,$BQ$7)),$BQ$6,IF(OR(COUNTIF('1.연간시수표'!AE18,$BR$9),COUNTIF('1.연간시수표'!AE18,$BR$7)),$BR$6,"_")))))))))))))))</f>
        <v>사회</v>
      </c>
      <c r="AF18" s="148" t="str">
        <f>IF(OR(COUNTIF('1.연간시수표'!AF18,$AT$9),COUNTIF('1.연간시수표'!AF18,$AT$7)),$AT$6,IF(OR(COUNTIF('1.연간시수표'!AF18,$AU$9),COUNTIF('1.연간시수표'!AF18,$AU$7)),$AU$6,IF(OR(COUNTIF('1.연간시수표'!AF18,$AV$9),COUNTIF('1.연간시수표'!AF18,$AV$7)),$AV$6,IF(OR(COUNTIF('1.연간시수표'!AF18,$AW$9),COUNTIF('1.연간시수표'!AF18,$AW$7)),$AW$6,IF(OR(COUNTIF('1.연간시수표'!AF18,$AX$9),COUNTIF('1.연간시수표'!AF18,$AX$7)),$AX$6,IF(OR(COUNTIF('1.연간시수표'!AF18,$AY$9),COUNTIF('1.연간시수표'!AF18,$AY$7)),$AY$6,IF(OR(COUNTIF('1.연간시수표'!AF18,$AZ$9),COUNTIF('1.연간시수표'!AF18,$AZ$7)),$AZ$6,IF(OR(COUNTIF('1.연간시수표'!AF18,$BA$9),COUNTIF('1.연간시수표'!AF18,$BA$7)),$BA$6,IF(OR(COUNTIF('1.연간시수표'!AF18,$BB$9),COUNTIF('1.연간시수표'!AF18,$BB$7)),$BB$6,IF(OR(COUNTIF('1.연간시수표'!AF18,$BC$9),COUNTIF('1.연간시수표'!AF18,$BC$7)),$BC$6,IF(OR(COUNTIF('1.연간시수표'!AF18,$BF$9),COUNTIF('1.연간시수표'!AF18,$BF$7),COUNTIF('1.연간시수표'!AF18,$BG$9),COUNTIF('1.연간시수표'!AF18,$BG$7),COUNTIF('1.연간시수표'!AF18,$BH$9),COUNTIF('1.연간시수표'!AF18,$BH$7),COUNTIF('1.연간시수표'!AF18,$BI$9),COUNTIF('1.연간시수표'!AF18,$BI$7),COUNTIF('1.연간시수표'!AF18,$BJ$9),COUNTIF('1.연간시수표'!AF18,$BJ$7),COUNTIF('1.연간시수표'!AF18,$BK$9),COUNTIF('1.연간시수표'!AF18,$BK$7),COUNTIF('1.연간시수표'!AF18,$BL$9),COUNTIF('1.연간시수표'!AF18,$BL$7),COUNTIF('1.연간시수표'!AF18,$BM$9),COUNTIF('1.연간시수표'!AF18,$BM$7)),$BF$6,IF(OR(COUNTIF('1.연간시수표'!AF18,$BO$9),COUNTIF('1.연간시수표'!AF18,$BO$7)),$BO$6,IF(OR(COUNTIF('1.연간시수표'!AF18,$BP$9),COUNTIF('1.연간시수표'!AF18,$BP$7)),$BP$6,IF(OR(COUNTIF('1.연간시수표'!AF18,$BQ$9),COUNTIF('1.연간시수표'!AF18,$BQ$7)),$BQ$6,IF(OR(COUNTIF('1.연간시수표'!AF18,$BR$9),COUNTIF('1.연간시수표'!AF18,$BR$7)),$BR$6,"_")))))))))))))))</f>
        <v>영어</v>
      </c>
      <c r="AG18" s="148" t="str">
        <f>IF(OR(COUNTIF('1.연간시수표'!AG18,$AT$9),COUNTIF('1.연간시수표'!AG18,$AT$7)),$AT$6,IF(OR(COUNTIF('1.연간시수표'!AG18,$AU$9),COUNTIF('1.연간시수표'!AG18,$AU$7)),$AU$6,IF(OR(COUNTIF('1.연간시수표'!AG18,$AV$9),COUNTIF('1.연간시수표'!AG18,$AV$7)),$AV$6,IF(OR(COUNTIF('1.연간시수표'!AG18,$AW$9),COUNTIF('1.연간시수표'!AG18,$AW$7)),$AW$6,IF(OR(COUNTIF('1.연간시수표'!AG18,$AX$9),COUNTIF('1.연간시수표'!AG18,$AX$7)),$AX$6,IF(OR(COUNTIF('1.연간시수표'!AG18,$AY$9),COUNTIF('1.연간시수표'!AG18,$AY$7)),$AY$6,IF(OR(COUNTIF('1.연간시수표'!AG18,$AZ$9),COUNTIF('1.연간시수표'!AG18,$AZ$7)),$AZ$6,IF(OR(COUNTIF('1.연간시수표'!AG18,$BA$9),COUNTIF('1.연간시수표'!AG18,$BA$7)),$BA$6,IF(OR(COUNTIF('1.연간시수표'!AG18,$BB$9),COUNTIF('1.연간시수표'!AG18,$BB$7)),$BB$6,IF(OR(COUNTIF('1.연간시수표'!AG18,$BC$9),COUNTIF('1.연간시수표'!AG18,$BC$7)),$BC$6,IF(OR(COUNTIF('1.연간시수표'!AG18,$BF$9),COUNTIF('1.연간시수표'!AG18,$BF$7),COUNTIF('1.연간시수표'!AG18,$BG$9),COUNTIF('1.연간시수표'!AG18,$BG$7),COUNTIF('1.연간시수표'!AG18,$BH$9),COUNTIF('1.연간시수표'!AG18,$BH$7),COUNTIF('1.연간시수표'!AG18,$BI$9),COUNTIF('1.연간시수표'!AG18,$BI$7),COUNTIF('1.연간시수표'!AG18,$BJ$9),COUNTIF('1.연간시수표'!AG18,$BJ$7),COUNTIF('1.연간시수표'!AG18,$BK$9),COUNTIF('1.연간시수표'!AG18,$BK$7),COUNTIF('1.연간시수표'!AG18,$BL$9),COUNTIF('1.연간시수표'!AG18,$BL$7),COUNTIF('1.연간시수표'!AG18,$BM$9),COUNTIF('1.연간시수표'!AG18,$BM$7)),$BF$6,IF(OR(COUNTIF('1.연간시수표'!AG18,$BO$9),COUNTIF('1.연간시수표'!AG18,$BO$7)),$BO$6,IF(OR(COUNTIF('1.연간시수표'!AG18,$BP$9),COUNTIF('1.연간시수표'!AG18,$BP$7)),$BP$6,IF(OR(COUNTIF('1.연간시수표'!AG18,$BQ$9),COUNTIF('1.연간시수표'!AG18,$BQ$7)),$BQ$6,IF(OR(COUNTIF('1.연간시수표'!AG18,$BR$9),COUNTIF('1.연간시수표'!AG18,$BR$7)),$BR$6,"_")))))))))))))))</f>
        <v>동아리활동</v>
      </c>
      <c r="AH18" s="148" t="str">
        <f>IF(OR(COUNTIF('1.연간시수표'!AH18,$AT$9),COUNTIF('1.연간시수표'!AH18,$AT$7)),$AT$6,IF(OR(COUNTIF('1.연간시수표'!AH18,$AU$9),COUNTIF('1.연간시수표'!AH18,$AU$7)),$AU$6,IF(OR(COUNTIF('1.연간시수표'!AH18,$AV$9),COUNTIF('1.연간시수표'!AH18,$AV$7)),$AV$6,IF(OR(COUNTIF('1.연간시수표'!AH18,$AW$9),COUNTIF('1.연간시수표'!AH18,$AW$7)),$AW$6,IF(OR(COUNTIF('1.연간시수표'!AH18,$AX$9),COUNTIF('1.연간시수표'!AH18,$AX$7)),$AX$6,IF(OR(COUNTIF('1.연간시수표'!AH18,$AY$9),COUNTIF('1.연간시수표'!AH18,$AY$7)),$AY$6,IF(OR(COUNTIF('1.연간시수표'!AH18,$AZ$9),COUNTIF('1.연간시수표'!AH18,$AZ$7)),$AZ$6,IF(OR(COUNTIF('1.연간시수표'!AH18,$BA$9),COUNTIF('1.연간시수표'!AH18,$BA$7)),$BA$6,IF(OR(COUNTIF('1.연간시수표'!AH18,$BB$9),COUNTIF('1.연간시수표'!AH18,$BB$7)),$BB$6,IF(OR(COUNTIF('1.연간시수표'!AH18,$BC$9),COUNTIF('1.연간시수표'!AH18,$BC$7)),$BC$6,IF(OR(COUNTIF('1.연간시수표'!AH18,$BF$9),COUNTIF('1.연간시수표'!AH18,$BF$7),COUNTIF('1.연간시수표'!AH18,$BG$9),COUNTIF('1.연간시수표'!AH18,$BG$7),COUNTIF('1.연간시수표'!AH18,$BH$9),COUNTIF('1.연간시수표'!AH18,$BH$7),COUNTIF('1.연간시수표'!AH18,$BI$9),COUNTIF('1.연간시수표'!AH18,$BI$7),COUNTIF('1.연간시수표'!AH18,$BJ$9),COUNTIF('1.연간시수표'!AH18,$BJ$7),COUNTIF('1.연간시수표'!AH18,$BK$9),COUNTIF('1.연간시수표'!AH18,$BK$7),COUNTIF('1.연간시수표'!AH18,$BL$9),COUNTIF('1.연간시수표'!AH18,$BL$7),COUNTIF('1.연간시수표'!AH18,$BM$9),COUNTIF('1.연간시수표'!AH18,$BM$7)),$BF$6,IF(OR(COUNTIF('1.연간시수표'!AH18,$BO$9),COUNTIF('1.연간시수표'!AH18,$BO$7)),$BO$6,IF(OR(COUNTIF('1.연간시수표'!AH18,$BP$9),COUNTIF('1.연간시수표'!AH18,$BP$7)),$BP$6,IF(OR(COUNTIF('1.연간시수표'!AH18,$BQ$9),COUNTIF('1.연간시수표'!AH18,$BQ$7)),$BQ$6,IF(OR(COUNTIF('1.연간시수표'!AH18,$BR$9),COUNTIF('1.연간시수표'!AH18,$BR$7)),$BR$6,"_")))))))))))))))</f>
        <v>동아리활동</v>
      </c>
      <c r="AI18" s="148" t="str">
        <f>IF(OR(COUNTIF('1.연간시수표'!AI18,$AT$9),COUNTIF('1.연간시수표'!AI18,$AT$7)),$AT$6,IF(OR(COUNTIF('1.연간시수표'!AI18,$AU$9),COUNTIF('1.연간시수표'!AI18,$AU$7)),$AU$6,IF(OR(COUNTIF('1.연간시수표'!AI18,$AV$9),COUNTIF('1.연간시수표'!AI18,$AV$7)),$AV$6,IF(OR(COUNTIF('1.연간시수표'!AI18,$AW$9),COUNTIF('1.연간시수표'!AI18,$AW$7)),$AW$6,IF(OR(COUNTIF('1.연간시수표'!AI18,$AX$9),COUNTIF('1.연간시수표'!AI18,$AX$7)),$AX$6,IF(OR(COUNTIF('1.연간시수표'!AI18,$AY$9),COUNTIF('1.연간시수표'!AI18,$AY$7)),$AY$6,IF(OR(COUNTIF('1.연간시수표'!AI18,$AZ$9),COUNTIF('1.연간시수표'!AI18,$AZ$7)),$AZ$6,IF(OR(COUNTIF('1.연간시수표'!AI18,$BA$9),COUNTIF('1.연간시수표'!AI18,$BA$7)),$BA$6,IF(OR(COUNTIF('1.연간시수표'!AI18,$BB$9),COUNTIF('1.연간시수표'!AI18,$BB$7)),$BB$6,IF(OR(COUNTIF('1.연간시수표'!AI18,$BC$9),COUNTIF('1.연간시수표'!AI18,$BC$7)),$BC$6,IF(OR(COUNTIF('1.연간시수표'!AI18,$BF$9),COUNTIF('1.연간시수표'!AI18,$BF$7),COUNTIF('1.연간시수표'!AI18,$BG$9),COUNTIF('1.연간시수표'!AI18,$BG$7),COUNTIF('1.연간시수표'!AI18,$BH$9),COUNTIF('1.연간시수표'!AI18,$BH$7),COUNTIF('1.연간시수표'!AI18,$BI$9),COUNTIF('1.연간시수표'!AI18,$BI$7),COUNTIF('1.연간시수표'!AI18,$BJ$9),COUNTIF('1.연간시수표'!AI18,$BJ$7),COUNTIF('1.연간시수표'!AI18,$BK$9),COUNTIF('1.연간시수표'!AI18,$BK$7),COUNTIF('1.연간시수표'!AI18,$BL$9),COUNTIF('1.연간시수표'!AI18,$BL$7),COUNTIF('1.연간시수표'!AI18,$BM$9),COUNTIF('1.연간시수표'!AI18,$BM$7)),$BF$6,IF(OR(COUNTIF('1.연간시수표'!AI18,$BO$9),COUNTIF('1.연간시수표'!AI18,$BO$7)),$BO$6,IF(OR(COUNTIF('1.연간시수표'!AI18,$BP$9),COUNTIF('1.연간시수표'!AI18,$BP$7)),$BP$6,IF(OR(COUNTIF('1.연간시수표'!AI18,$BQ$9),COUNTIF('1.연간시수표'!AI18,$BQ$7)),$BQ$6,IF(OR(COUNTIF('1.연간시수표'!AI18,$BR$9),COUNTIF('1.연간시수표'!AI18,$BR$7)),$BR$6,"_")))))))))))))))</f>
        <v>_</v>
      </c>
      <c r="AJ18" s="148" t="str">
        <f>IF(OR(COUNTIF('1.연간시수표'!AJ18,$AT$9),COUNTIF('1.연간시수표'!AJ18,$AT$7)),$AT$6,IF(OR(COUNTIF('1.연간시수표'!AJ18,$AU$9),COUNTIF('1.연간시수표'!AJ18,$AU$7)),$AU$6,IF(OR(COUNTIF('1.연간시수표'!AJ18,$AV$9),COUNTIF('1.연간시수표'!AJ18,$AV$7)),$AV$6,IF(OR(COUNTIF('1.연간시수표'!AJ18,$AW$9),COUNTIF('1.연간시수표'!AJ18,$AW$7)),$AW$6,IF(OR(COUNTIF('1.연간시수표'!AJ18,$AX$9),COUNTIF('1.연간시수표'!AJ18,$AX$7)),$AX$6,IF(OR(COUNTIF('1.연간시수표'!AJ18,$AY$9),COUNTIF('1.연간시수표'!AJ18,$AY$7)),$AY$6,IF(OR(COUNTIF('1.연간시수표'!AJ18,$AZ$9),COUNTIF('1.연간시수표'!AJ18,$AZ$7)),$AZ$6,IF(OR(COUNTIF('1.연간시수표'!AJ18,$BA$9),COUNTIF('1.연간시수표'!AJ18,$BA$7)),$BA$6,IF(OR(COUNTIF('1.연간시수표'!AJ18,$BB$9),COUNTIF('1.연간시수표'!AJ18,$BB$7)),$BB$6,IF(OR(COUNTIF('1.연간시수표'!AJ18,$BC$9),COUNTIF('1.연간시수표'!AJ18,$BC$7)),$BC$6,IF(OR(COUNTIF('1.연간시수표'!AJ18,$BF$9),COUNTIF('1.연간시수표'!AJ18,$BF$7),COUNTIF('1.연간시수표'!AJ18,$BG$9),COUNTIF('1.연간시수표'!AJ18,$BG$7),COUNTIF('1.연간시수표'!AJ18,$BH$9),COUNTIF('1.연간시수표'!AJ18,$BH$7),COUNTIF('1.연간시수표'!AJ18,$BI$9),COUNTIF('1.연간시수표'!AJ18,$BI$7),COUNTIF('1.연간시수표'!AJ18,$BJ$9),COUNTIF('1.연간시수표'!AJ18,$BJ$7),COUNTIF('1.연간시수표'!AJ18,$BK$9),COUNTIF('1.연간시수표'!AJ18,$BK$7),COUNTIF('1.연간시수표'!AJ18,$BL$9),COUNTIF('1.연간시수표'!AJ18,$BL$7),COUNTIF('1.연간시수표'!AJ18,$BM$9),COUNTIF('1.연간시수표'!AJ18,$BM$7)),$BF$6,IF(OR(COUNTIF('1.연간시수표'!AJ18,$BO$9),COUNTIF('1.연간시수표'!AJ18,$BO$7)),$BO$6,IF(OR(COUNTIF('1.연간시수표'!AJ18,$BP$9),COUNTIF('1.연간시수표'!AJ18,$BP$7)),$BP$6,IF(OR(COUNTIF('1.연간시수표'!AJ18,$BQ$9),COUNTIF('1.연간시수표'!AJ18,$BQ$7)),$BQ$6,IF(OR(COUNTIF('1.연간시수표'!AJ18,$BR$9),COUNTIF('1.연간시수표'!AJ18,$BR$7)),$BR$6,"_")))))))))))))))</f>
        <v>_</v>
      </c>
      <c r="AK18" s="148" t="str">
        <f>IF(OR(COUNTIF('1.연간시수표'!AK18,$AT$9),COUNTIF('1.연간시수표'!AK18,$AT$7)),$AT$6,IF(OR(COUNTIF('1.연간시수표'!AK18,$AU$9),COUNTIF('1.연간시수표'!AK18,$AU$7)),$AU$6,IF(OR(COUNTIF('1.연간시수표'!AK18,$AV$9),COUNTIF('1.연간시수표'!AK18,$AV$7)),$AV$6,IF(OR(COUNTIF('1.연간시수표'!AK18,$AW$9),COUNTIF('1.연간시수표'!AK18,$AW$7)),$AW$6,IF(OR(COUNTIF('1.연간시수표'!AK18,$AX$9),COUNTIF('1.연간시수표'!AK18,$AX$7)),$AX$6,IF(OR(COUNTIF('1.연간시수표'!AK18,$AY$9),COUNTIF('1.연간시수표'!AK18,$AY$7)),$AY$6,IF(OR(COUNTIF('1.연간시수표'!AK18,$AZ$9),COUNTIF('1.연간시수표'!AK18,$AZ$7)),$AZ$6,IF(OR(COUNTIF('1.연간시수표'!AK18,$BA$9),COUNTIF('1.연간시수표'!AK18,$BA$7)),$BA$6,IF(OR(COUNTIF('1.연간시수표'!AK18,$BB$9),COUNTIF('1.연간시수표'!AK18,$BB$7)),$BB$6,IF(OR(COUNTIF('1.연간시수표'!AK18,$BC$9),COUNTIF('1.연간시수표'!AK18,$BC$7)),$BC$6,IF(OR(COUNTIF('1.연간시수표'!AK18,$BF$9),COUNTIF('1.연간시수표'!AK18,$BF$7),COUNTIF('1.연간시수표'!AK18,$BG$9),COUNTIF('1.연간시수표'!AK18,$BG$7),COUNTIF('1.연간시수표'!AK18,$BH$9),COUNTIF('1.연간시수표'!AK18,$BH$7),COUNTIF('1.연간시수표'!AK18,$BI$9),COUNTIF('1.연간시수표'!AK18,$BI$7),COUNTIF('1.연간시수표'!AK18,$BJ$9),COUNTIF('1.연간시수표'!AK18,$BJ$7),COUNTIF('1.연간시수표'!AK18,$BK$9),COUNTIF('1.연간시수표'!AK18,$BK$7),COUNTIF('1.연간시수표'!AK18,$BL$9),COUNTIF('1.연간시수표'!AK18,$BL$7),COUNTIF('1.연간시수표'!AK18,$BM$9),COUNTIF('1.연간시수표'!AK18,$BM$7)),$BF$6,IF(OR(COUNTIF('1.연간시수표'!AK18,$BO$9),COUNTIF('1.연간시수표'!AK18,$BO$7)),$BO$6,IF(OR(COUNTIF('1.연간시수표'!AK18,$BP$9),COUNTIF('1.연간시수표'!AK18,$BP$7)),$BP$6,IF(OR(COUNTIF('1.연간시수표'!AK18,$BQ$9),COUNTIF('1.연간시수표'!AK18,$BQ$7)),$BQ$6,IF(OR(COUNTIF('1.연간시수표'!AK18,$BR$9),COUNTIF('1.연간시수표'!AK18,$BR$7)),$BR$6,"_")))))))))))))))</f>
        <v>국어</v>
      </c>
      <c r="AL18" s="148" t="str">
        <f>IF(OR(COUNTIF('1.연간시수표'!AL18,$AT$9),COUNTIF('1.연간시수표'!AL18,$AT$7)),$AT$6,IF(OR(COUNTIF('1.연간시수표'!AL18,$AU$9),COUNTIF('1.연간시수표'!AL18,$AU$7)),$AU$6,IF(OR(COUNTIF('1.연간시수표'!AL18,$AV$9),COUNTIF('1.연간시수표'!AL18,$AV$7)),$AV$6,IF(OR(COUNTIF('1.연간시수표'!AL18,$AW$9),COUNTIF('1.연간시수표'!AL18,$AW$7)),$AW$6,IF(OR(COUNTIF('1.연간시수표'!AL18,$AX$9),COUNTIF('1.연간시수표'!AL18,$AX$7)),$AX$6,IF(OR(COUNTIF('1.연간시수표'!AL18,$AY$9),COUNTIF('1.연간시수표'!AL18,$AY$7)),$AY$6,IF(OR(COUNTIF('1.연간시수표'!AL18,$AZ$9),COUNTIF('1.연간시수표'!AL18,$AZ$7)),$AZ$6,IF(OR(COUNTIF('1.연간시수표'!AL18,$BA$9),COUNTIF('1.연간시수표'!AL18,$BA$7)),$BA$6,IF(OR(COUNTIF('1.연간시수표'!AL18,$BB$9),COUNTIF('1.연간시수표'!AL18,$BB$7)),$BB$6,IF(OR(COUNTIF('1.연간시수표'!AL18,$BC$9),COUNTIF('1.연간시수표'!AL18,$BC$7)),$BC$6,IF(OR(COUNTIF('1.연간시수표'!AL18,$BF$9),COUNTIF('1.연간시수표'!AL18,$BF$7),COUNTIF('1.연간시수표'!AL18,$BG$9),COUNTIF('1.연간시수표'!AL18,$BG$7),COUNTIF('1.연간시수표'!AL18,$BH$9),COUNTIF('1.연간시수표'!AL18,$BH$7),COUNTIF('1.연간시수표'!AL18,$BI$9),COUNTIF('1.연간시수표'!AL18,$BI$7),COUNTIF('1.연간시수표'!AL18,$BJ$9),COUNTIF('1.연간시수표'!AL18,$BJ$7),COUNTIF('1.연간시수표'!AL18,$BK$9),COUNTIF('1.연간시수표'!AL18,$BK$7),COUNTIF('1.연간시수표'!AL18,$BL$9),COUNTIF('1.연간시수표'!AL18,$BL$7),COUNTIF('1.연간시수표'!AL18,$BM$9),COUNTIF('1.연간시수표'!AL18,$BM$7)),$BF$6,IF(OR(COUNTIF('1.연간시수표'!AL18,$BO$9),COUNTIF('1.연간시수표'!AL18,$BO$7)),$BO$6,IF(OR(COUNTIF('1.연간시수표'!AL18,$BP$9),COUNTIF('1.연간시수표'!AL18,$BP$7)),$BP$6,IF(OR(COUNTIF('1.연간시수표'!AL18,$BQ$9),COUNTIF('1.연간시수표'!AL18,$BQ$7)),$BQ$6,IF(OR(COUNTIF('1.연간시수표'!AL18,$BR$9),COUNTIF('1.연간시수표'!AL18,$BR$7)),$BR$6,"_")))))))))))))))</f>
        <v>체육</v>
      </c>
      <c r="AM18" s="148" t="str">
        <f>IF(OR(COUNTIF('1.연간시수표'!AM18,$AT$9),COUNTIF('1.연간시수표'!AM18,$AT$7)),$AT$6,IF(OR(COUNTIF('1.연간시수표'!AM18,$AU$9),COUNTIF('1.연간시수표'!AM18,$AU$7)),$AU$6,IF(OR(COUNTIF('1.연간시수표'!AM18,$AV$9),COUNTIF('1.연간시수표'!AM18,$AV$7)),$AV$6,IF(OR(COUNTIF('1.연간시수표'!AM18,$AW$9),COUNTIF('1.연간시수표'!AM18,$AW$7)),$AW$6,IF(OR(COUNTIF('1.연간시수표'!AM18,$AX$9),COUNTIF('1.연간시수표'!AM18,$AX$7)),$AX$6,IF(OR(COUNTIF('1.연간시수표'!AM18,$AY$9),COUNTIF('1.연간시수표'!AM18,$AY$7)),$AY$6,IF(OR(COUNTIF('1.연간시수표'!AM18,$AZ$9),COUNTIF('1.연간시수표'!AM18,$AZ$7)),$AZ$6,IF(OR(COUNTIF('1.연간시수표'!AM18,$BA$9),COUNTIF('1.연간시수표'!AM18,$BA$7)),$BA$6,IF(OR(COUNTIF('1.연간시수표'!AM18,$BB$9),COUNTIF('1.연간시수표'!AM18,$BB$7)),$BB$6,IF(OR(COUNTIF('1.연간시수표'!AM18,$BC$9),COUNTIF('1.연간시수표'!AM18,$BC$7)),$BC$6,IF(OR(COUNTIF('1.연간시수표'!AM18,$BF$9),COUNTIF('1.연간시수표'!AM18,$BF$7),COUNTIF('1.연간시수표'!AM18,$BG$9),COUNTIF('1.연간시수표'!AM18,$BG$7),COUNTIF('1.연간시수표'!AM18,$BH$9),COUNTIF('1.연간시수표'!AM18,$BH$7),COUNTIF('1.연간시수표'!AM18,$BI$9),COUNTIF('1.연간시수표'!AM18,$BI$7),COUNTIF('1.연간시수표'!AM18,$BJ$9),COUNTIF('1.연간시수표'!AM18,$BJ$7),COUNTIF('1.연간시수표'!AM18,$BK$9),COUNTIF('1.연간시수표'!AM18,$BK$7),COUNTIF('1.연간시수표'!AM18,$BL$9),COUNTIF('1.연간시수표'!AM18,$BL$7),COUNTIF('1.연간시수표'!AM18,$BM$9),COUNTIF('1.연간시수표'!AM18,$BM$7)),$BF$6,IF(OR(COUNTIF('1.연간시수표'!AM18,$BO$9),COUNTIF('1.연간시수표'!AM18,$BO$7)),$BO$6,IF(OR(COUNTIF('1.연간시수표'!AM18,$BP$9),COUNTIF('1.연간시수표'!AM18,$BP$7)),$BP$6,IF(OR(COUNTIF('1.연간시수표'!AM18,$BQ$9),COUNTIF('1.연간시수표'!AM18,$BQ$7)),$BQ$6,IF(OR(COUNTIF('1.연간시수표'!AM18,$BR$9),COUNTIF('1.연간시수표'!AM18,$BR$7)),$BR$6,"_")))))))))))))))</f>
        <v>수학</v>
      </c>
      <c r="AN18" s="148" t="str">
        <f>IF(OR(COUNTIF('1.연간시수표'!AN18,$AT$9),COUNTIF('1.연간시수표'!AN18,$AT$7)),$AT$6,IF(OR(COUNTIF('1.연간시수표'!AN18,$AU$9),COUNTIF('1.연간시수표'!AN18,$AU$7)),$AU$6,IF(OR(COUNTIF('1.연간시수표'!AN18,$AV$9),COUNTIF('1.연간시수표'!AN18,$AV$7)),$AV$6,IF(OR(COUNTIF('1.연간시수표'!AN18,$AW$9),COUNTIF('1.연간시수표'!AN18,$AW$7)),$AW$6,IF(OR(COUNTIF('1.연간시수표'!AN18,$AX$9),COUNTIF('1.연간시수표'!AN18,$AX$7)),$AX$6,IF(OR(COUNTIF('1.연간시수표'!AN18,$AY$9),COUNTIF('1.연간시수표'!AN18,$AY$7)),$AY$6,IF(OR(COUNTIF('1.연간시수표'!AN18,$AZ$9),COUNTIF('1.연간시수표'!AN18,$AZ$7)),$AZ$6,IF(OR(COUNTIF('1.연간시수표'!AN18,$BA$9),COUNTIF('1.연간시수표'!AN18,$BA$7)),$BA$6,IF(OR(COUNTIF('1.연간시수표'!AN18,$BB$9),COUNTIF('1.연간시수표'!AN18,$BB$7)),$BB$6,IF(OR(COUNTIF('1.연간시수표'!AN18,$BC$9),COUNTIF('1.연간시수표'!AN18,$BC$7)),$BC$6,IF(OR(COUNTIF('1.연간시수표'!AN18,$BF$9),COUNTIF('1.연간시수표'!AN18,$BF$7),COUNTIF('1.연간시수표'!AN18,$BG$9),COUNTIF('1.연간시수표'!AN18,$BG$7),COUNTIF('1.연간시수표'!AN18,$BH$9),COUNTIF('1.연간시수표'!AN18,$BH$7),COUNTIF('1.연간시수표'!AN18,$BI$9),COUNTIF('1.연간시수표'!AN18,$BI$7),COUNTIF('1.연간시수표'!AN18,$BJ$9),COUNTIF('1.연간시수표'!AN18,$BJ$7),COUNTIF('1.연간시수표'!AN18,$BK$9),COUNTIF('1.연간시수표'!AN18,$BK$7),COUNTIF('1.연간시수표'!AN18,$BL$9),COUNTIF('1.연간시수표'!AN18,$BL$7),COUNTIF('1.연간시수표'!AN18,$BM$9),COUNTIF('1.연간시수표'!AN18,$BM$7)),$BF$6,IF(OR(COUNTIF('1.연간시수표'!AN18,$BO$9),COUNTIF('1.연간시수표'!AN18,$BO$7)),$BO$6,IF(OR(COUNTIF('1.연간시수표'!AN18,$BP$9),COUNTIF('1.연간시수표'!AN18,$BP$7)),$BP$6,IF(OR(COUNTIF('1.연간시수표'!AN18,$BQ$9),COUNTIF('1.연간시수표'!AN18,$BQ$7)),$BQ$6,IF(OR(COUNTIF('1.연간시수표'!AN18,$BR$9),COUNTIF('1.연간시수표'!AN18,$BR$7)),$BR$6,"_")))))))))))))))</f>
        <v>국어</v>
      </c>
      <c r="AO18" s="148" t="str">
        <f>IF(OR(COUNTIF('1.연간시수표'!AO18,$AT$9),COUNTIF('1.연간시수표'!AO18,$AT$7)),$AT$6,IF(OR(COUNTIF('1.연간시수표'!AO18,$AU$9),COUNTIF('1.연간시수표'!AO18,$AU$7)),$AU$6,IF(OR(COUNTIF('1.연간시수표'!AO18,$AV$9),COUNTIF('1.연간시수표'!AO18,$AV$7)),$AV$6,IF(OR(COUNTIF('1.연간시수표'!AO18,$AW$9),COUNTIF('1.연간시수표'!AO18,$AW$7)),$AW$6,IF(OR(COUNTIF('1.연간시수표'!AO18,$AX$9),COUNTIF('1.연간시수표'!AO18,$AX$7)),$AX$6,IF(OR(COUNTIF('1.연간시수표'!AO18,$AY$9),COUNTIF('1.연간시수표'!AO18,$AY$7)),$AY$6,IF(OR(COUNTIF('1.연간시수표'!AO18,$AZ$9),COUNTIF('1.연간시수표'!AO18,$AZ$7)),$AZ$6,IF(OR(COUNTIF('1.연간시수표'!AO18,$BA$9),COUNTIF('1.연간시수표'!AO18,$BA$7)),$BA$6,IF(OR(COUNTIF('1.연간시수표'!AO18,$BB$9),COUNTIF('1.연간시수표'!AO18,$BB$7)),$BB$6,IF(OR(COUNTIF('1.연간시수표'!AO18,$BC$9),COUNTIF('1.연간시수표'!AO18,$BC$7)),$BC$6,IF(OR(COUNTIF('1.연간시수표'!AO18,$BF$9),COUNTIF('1.연간시수표'!AO18,$BF$7),COUNTIF('1.연간시수표'!AO18,$BG$9),COUNTIF('1.연간시수표'!AO18,$BG$7),COUNTIF('1.연간시수표'!AO18,$BH$9),COUNTIF('1.연간시수표'!AO18,$BH$7),COUNTIF('1.연간시수표'!AO18,$BI$9),COUNTIF('1.연간시수표'!AO18,$BI$7),COUNTIF('1.연간시수표'!AO18,$BJ$9),COUNTIF('1.연간시수표'!AO18,$BJ$7),COUNTIF('1.연간시수표'!AO18,$BK$9),COUNTIF('1.연간시수표'!AO18,$BK$7),COUNTIF('1.연간시수표'!AO18,$BL$9),COUNTIF('1.연간시수표'!AO18,$BL$7),COUNTIF('1.연간시수표'!AO18,$BM$9),COUNTIF('1.연간시수표'!AO18,$BM$7)),$BF$6,IF(OR(COUNTIF('1.연간시수표'!AO18,$BO$9),COUNTIF('1.연간시수표'!AO18,$BO$7)),$BO$6,IF(OR(COUNTIF('1.연간시수표'!AO18,$BP$9),COUNTIF('1.연간시수표'!AO18,$BP$7)),$BP$6,IF(OR(COUNTIF('1.연간시수표'!AO18,$BQ$9),COUNTIF('1.연간시수표'!AO18,$BQ$7)),$BQ$6,IF(OR(COUNTIF('1.연간시수표'!AO18,$BR$9),COUNTIF('1.연간시수표'!AO18,$BR$7)),$BR$6,"_")))))))))))))))</f>
        <v>사회</v>
      </c>
      <c r="AP18" s="148" t="str">
        <f>IF(OR(COUNTIF('1.연간시수표'!AP18,$AT$9),COUNTIF('1.연간시수표'!AP18,$AT$7)),$AT$6,IF(OR(COUNTIF('1.연간시수표'!AP18,$AU$9),COUNTIF('1.연간시수표'!AP18,$AU$7)),$AU$6,IF(OR(COUNTIF('1.연간시수표'!AP18,$AV$9),COUNTIF('1.연간시수표'!AP18,$AV$7)),$AV$6,IF(OR(COUNTIF('1.연간시수표'!AP18,$AW$9),COUNTIF('1.연간시수표'!AP18,$AW$7)),$AW$6,IF(OR(COUNTIF('1.연간시수표'!AP18,$AX$9),COUNTIF('1.연간시수표'!AP18,$AX$7)),$AX$6,IF(OR(COUNTIF('1.연간시수표'!AP18,$AY$9),COUNTIF('1.연간시수표'!AP18,$AY$7)),$AY$6,IF(OR(COUNTIF('1.연간시수표'!AP18,$AZ$9),COUNTIF('1.연간시수표'!AP18,$AZ$7)),$AZ$6,IF(OR(COUNTIF('1.연간시수표'!AP18,$BA$9),COUNTIF('1.연간시수표'!AP18,$BA$7)),$BA$6,IF(OR(COUNTIF('1.연간시수표'!AP18,$BB$9),COUNTIF('1.연간시수표'!AP18,$BB$7)),$BB$6,IF(OR(COUNTIF('1.연간시수표'!AP18,$BC$9),COUNTIF('1.연간시수표'!AP18,$BC$7)),$BC$6,IF(OR(COUNTIF('1.연간시수표'!AP18,$BF$9),COUNTIF('1.연간시수표'!AP18,$BF$7),COUNTIF('1.연간시수표'!AP18,$BG$9),COUNTIF('1.연간시수표'!AP18,$BG$7),COUNTIF('1.연간시수표'!AP18,$BH$9),COUNTIF('1.연간시수표'!AP18,$BH$7),COUNTIF('1.연간시수표'!AP18,$BI$9),COUNTIF('1.연간시수표'!AP18,$BI$7),COUNTIF('1.연간시수표'!AP18,$BJ$9),COUNTIF('1.연간시수표'!AP18,$BJ$7),COUNTIF('1.연간시수표'!AP18,$BK$9),COUNTIF('1.연간시수표'!AP18,$BK$7),COUNTIF('1.연간시수표'!AP18,$BL$9),COUNTIF('1.연간시수표'!AP18,$BL$7),COUNTIF('1.연간시수표'!AP18,$BM$9),COUNTIF('1.연간시수표'!AP18,$BM$7)),$BF$6,IF(OR(COUNTIF('1.연간시수표'!AP18,$BO$9),COUNTIF('1.연간시수표'!AP18,$BO$7)),$BO$6,IF(OR(COUNTIF('1.연간시수표'!AP18,$BP$9),COUNTIF('1.연간시수표'!AP18,$BP$7)),$BP$6,IF(OR(COUNTIF('1.연간시수표'!AP18,$BQ$9),COUNTIF('1.연간시수표'!AP18,$BQ$7)),$BQ$6,IF(OR(COUNTIF('1.연간시수표'!AP18,$BR$9),COUNTIF('1.연간시수표'!AP18,$BR$7)),$BR$6,"_")))))))))))))))</f>
        <v>실과</v>
      </c>
      <c r="AQ18" s="148" t="str">
        <f>IF(OR(COUNTIF('1.연간시수표'!AQ18,$AT$9),COUNTIF('1.연간시수표'!AQ18,$AT$7)),$AT$6,IF(OR(COUNTIF('1.연간시수표'!AQ18,$AU$9),COUNTIF('1.연간시수표'!AQ18,$AU$7)),$AU$6,IF(OR(COUNTIF('1.연간시수표'!AQ18,$AV$9),COUNTIF('1.연간시수표'!AQ18,$AV$7)),$AV$6,IF(OR(COUNTIF('1.연간시수표'!AQ18,$AW$9),COUNTIF('1.연간시수표'!AQ18,$AW$7)),$AW$6,IF(OR(COUNTIF('1.연간시수표'!AQ18,$AX$9),COUNTIF('1.연간시수표'!AQ18,$AX$7)),$AX$6,IF(OR(COUNTIF('1.연간시수표'!AQ18,$AY$9),COUNTIF('1.연간시수표'!AQ18,$AY$7)),$AY$6,IF(OR(COUNTIF('1.연간시수표'!AQ18,$AZ$9),COUNTIF('1.연간시수표'!AQ18,$AZ$7)),$AZ$6,IF(OR(COUNTIF('1.연간시수표'!AQ18,$BA$9),COUNTIF('1.연간시수표'!AQ18,$BA$7)),$BA$6,IF(OR(COUNTIF('1.연간시수표'!AQ18,$BB$9),COUNTIF('1.연간시수표'!AQ18,$BB$7)),$BB$6,IF(OR(COUNTIF('1.연간시수표'!AQ18,$BC$9),COUNTIF('1.연간시수표'!AQ18,$BC$7)),$BC$6,IF(OR(COUNTIF('1.연간시수표'!AQ18,$BF$9),COUNTIF('1.연간시수표'!AQ18,$BF$7),COUNTIF('1.연간시수표'!AQ18,$BG$9),COUNTIF('1.연간시수표'!AQ18,$BG$7),COUNTIF('1.연간시수표'!AQ18,$BH$9),COUNTIF('1.연간시수표'!AQ18,$BH$7),COUNTIF('1.연간시수표'!AQ18,$BI$9),COUNTIF('1.연간시수표'!AQ18,$BI$7),COUNTIF('1.연간시수표'!AQ18,$BJ$9),COUNTIF('1.연간시수표'!AQ18,$BJ$7),COUNTIF('1.연간시수표'!AQ18,$BK$9),COUNTIF('1.연간시수표'!AQ18,$BK$7),COUNTIF('1.연간시수표'!AQ18,$BL$9),COUNTIF('1.연간시수표'!AQ18,$BL$7),COUNTIF('1.연간시수표'!AQ18,$BM$9),COUNTIF('1.연간시수표'!AQ18,$BM$7)),$BF$6,IF(OR(COUNTIF('1.연간시수표'!AQ18,$BO$9),COUNTIF('1.연간시수표'!AQ18,$BO$7)),$BO$6,IF(OR(COUNTIF('1.연간시수표'!AQ18,$BP$9),COUNTIF('1.연간시수표'!AQ18,$BP$7)),$BP$6,IF(OR(COUNTIF('1.연간시수표'!AQ18,$BQ$9),COUNTIF('1.연간시수표'!AQ18,$BQ$7)),$BQ$6,IF(OR(COUNTIF('1.연간시수표'!AQ18,$BR$9),COUNTIF('1.연간시수표'!AQ18,$BR$7)),$BR$6,"_")))))))))))))))</f>
        <v>_</v>
      </c>
      <c r="AR18" s="148" t="str">
        <f>IF(OR(COUNTIF('1.연간시수표'!AR18,$AT$9),COUNTIF('1.연간시수표'!AR18,$AT$7)),$AT$6,IF(OR(COUNTIF('1.연간시수표'!AR18,$AU$9),COUNTIF('1.연간시수표'!AR18,$AU$7)),$AU$6,IF(OR(COUNTIF('1.연간시수표'!AR18,$AV$9),COUNTIF('1.연간시수표'!AR18,$AV$7)),$AV$6,IF(OR(COUNTIF('1.연간시수표'!AR18,$AW$9),COUNTIF('1.연간시수표'!AR18,$AW$7)),$AW$6,IF(OR(COUNTIF('1.연간시수표'!AR18,$AX$9),COUNTIF('1.연간시수표'!AR18,$AX$7)),$AX$6,IF(OR(COUNTIF('1.연간시수표'!AR18,$AY$9),COUNTIF('1.연간시수표'!AR18,$AY$7)),$AY$6,IF(OR(COUNTIF('1.연간시수표'!AR18,$AZ$9),COUNTIF('1.연간시수표'!AR18,$AZ$7)),$AZ$6,IF(OR(COUNTIF('1.연간시수표'!AR18,$BA$9),COUNTIF('1.연간시수표'!AR18,$BA$7)),$BA$6,IF(OR(COUNTIF('1.연간시수표'!AR18,$BB$9),COUNTIF('1.연간시수표'!AR18,$BB$7)),$BB$6,IF(OR(COUNTIF('1.연간시수표'!AR18,$BC$9),COUNTIF('1.연간시수표'!AR18,$BC$7)),$BC$6,IF(OR(COUNTIF('1.연간시수표'!AR18,$BF$9),COUNTIF('1.연간시수표'!AR18,$BF$7),COUNTIF('1.연간시수표'!AR18,$BG$9),COUNTIF('1.연간시수표'!AR18,$BG$7),COUNTIF('1.연간시수표'!AR18,$BH$9),COUNTIF('1.연간시수표'!AR18,$BH$7),COUNTIF('1.연간시수표'!AR18,$BI$9),COUNTIF('1.연간시수표'!AR18,$BI$7),COUNTIF('1.연간시수표'!AR18,$BJ$9),COUNTIF('1.연간시수표'!AR18,$BJ$7),COUNTIF('1.연간시수표'!AR18,$BK$9),COUNTIF('1.연간시수표'!AR18,$BK$7),COUNTIF('1.연간시수표'!AR18,$BL$9),COUNTIF('1.연간시수표'!AR18,$BL$7),COUNTIF('1.연간시수표'!AR18,$BM$9),COUNTIF('1.연간시수표'!AR18,$BM$7)),$BF$6,IF(OR(COUNTIF('1.연간시수표'!AR18,$BO$9),COUNTIF('1.연간시수표'!AR18,$BO$7)),$BO$6,IF(OR(COUNTIF('1.연간시수표'!AR18,$BP$9),COUNTIF('1.연간시수표'!AR18,$BP$7)),$BP$6,IF(OR(COUNTIF('1.연간시수표'!AR18,$BQ$9),COUNTIF('1.연간시수표'!AR18,$BQ$7)),$BQ$6,IF(OR(COUNTIF('1.연간시수표'!AR18,$BR$9),COUNTIF('1.연간시수표'!AR18,$BR$7)),$BR$6,"_")))))))))))))))</f>
        <v>_</v>
      </c>
      <c r="BU18" s="142" t="str">
        <f>AY6</f>
        <v>실과</v>
      </c>
      <c r="BV18" s="142" t="str">
        <f t="shared" si="0"/>
        <v>실과</v>
      </c>
    </row>
    <row r="19" spans="2:74">
      <c r="B19" s="6"/>
      <c r="C19" s="79">
        <f>'1.연간시수표'!C19</f>
        <v>10</v>
      </c>
      <c r="D19" s="3"/>
      <c r="E19" s="148" t="str">
        <f>IF(OR(COUNTIF('1.연간시수표'!E19,$AT$9),COUNTIF('1.연간시수표'!E19,$AT$7)),$AT$6,IF(OR(COUNTIF('1.연간시수표'!E19,$AU$9),COUNTIF('1.연간시수표'!E19,$AU$7)),$AU$6,IF(OR(COUNTIF('1.연간시수표'!E19,$AV$9),COUNTIF('1.연간시수표'!E19,$AV$7)),$AV$6,IF(OR(COUNTIF('1.연간시수표'!E19,$AW$9),COUNTIF('1.연간시수표'!E19,$AW$7)),$AW$6,IF(OR(COUNTIF('1.연간시수표'!E19,$AX$9),COUNTIF('1.연간시수표'!E19,$AX$7)),$AX$6,IF(OR(COUNTIF('1.연간시수표'!E19,$AY$9),COUNTIF('1.연간시수표'!E19,$AY$7)),$AY$6,IF(OR(COUNTIF('1.연간시수표'!E19,$AZ$9),COUNTIF('1.연간시수표'!E19,$AZ$7)),$AZ$6,IF(OR(COUNTIF('1.연간시수표'!E19,$BA$9),COUNTIF('1.연간시수표'!E19,$BA$7)),$BA$6,IF(OR(COUNTIF('1.연간시수표'!E19,$BB$9),COUNTIF('1.연간시수표'!E19,$BB$7)),$BB$6,IF(OR(COUNTIF('1.연간시수표'!E19,$BC$9),COUNTIF('1.연간시수표'!E19,$BC$7)),$BC$6,IF(OR(COUNTIF('1.연간시수표'!E19,$BF$9),COUNTIF('1.연간시수표'!E19,$BF$7),COUNTIF('1.연간시수표'!E19,$BG$9),COUNTIF('1.연간시수표'!E19,$BG$7),COUNTIF('1.연간시수표'!E19,$BH$9),COUNTIF('1.연간시수표'!E19,$BH$7),COUNTIF('1.연간시수표'!E19,$BI$9),COUNTIF('1.연간시수표'!E19,$BI$7),COUNTIF('1.연간시수표'!E19,$BJ$9),COUNTIF('1.연간시수표'!E19,$BJ$7),COUNTIF('1.연간시수표'!E19,$BK$9),COUNTIF('1.연간시수표'!E19,$BK$7),COUNTIF('1.연간시수표'!E19,$BL$9),COUNTIF('1.연간시수표'!E19,$BL$7),COUNTIF('1.연간시수표'!E19,$BM$9),COUNTIF('1.연간시수표'!E19,$BM$7)),$BF$6,IF(OR(COUNTIF('1.연간시수표'!E19,$BO$9),COUNTIF('1.연간시수표'!E19,$BO$7)),$BO$6,IF(OR(COUNTIF('1.연간시수표'!E19,$BP$9),COUNTIF('1.연간시수표'!E19,$BP$7)),$BP$6,IF(OR(COUNTIF('1.연간시수표'!E19,$BQ$9),COUNTIF('1.연간시수표'!E19,$BQ$7)),$BQ$6,IF(OR(COUNTIF('1.연간시수표'!E19,$BR$9),COUNTIF('1.연간시수표'!E19,$BR$7)),$BR$6,"_")))))))))))))))</f>
        <v>국어</v>
      </c>
      <c r="F19" s="148" t="str">
        <f>IF(OR(COUNTIF('1.연간시수표'!F19,$AT$9),COUNTIF('1.연간시수표'!F19,$AT$7)),$AT$6,IF(OR(COUNTIF('1.연간시수표'!F19,$AU$9),COUNTIF('1.연간시수표'!F19,$AU$7)),$AU$6,IF(OR(COUNTIF('1.연간시수표'!F19,$AV$9),COUNTIF('1.연간시수표'!F19,$AV$7)),$AV$6,IF(OR(COUNTIF('1.연간시수표'!F19,$AW$9),COUNTIF('1.연간시수표'!F19,$AW$7)),$AW$6,IF(OR(COUNTIF('1.연간시수표'!F19,$AX$9),COUNTIF('1.연간시수표'!F19,$AX$7)),$AX$6,IF(OR(COUNTIF('1.연간시수표'!F19,$AY$9),COUNTIF('1.연간시수표'!F19,$AY$7)),$AY$6,IF(OR(COUNTIF('1.연간시수표'!F19,$AZ$9),COUNTIF('1.연간시수표'!F19,$AZ$7)),$AZ$6,IF(OR(COUNTIF('1.연간시수표'!F19,$BA$9),COUNTIF('1.연간시수표'!F19,$BA$7)),$BA$6,IF(OR(COUNTIF('1.연간시수표'!F19,$BB$9),COUNTIF('1.연간시수표'!F19,$BB$7)),$BB$6,IF(OR(COUNTIF('1.연간시수표'!F19,$BC$9),COUNTIF('1.연간시수표'!F19,$BC$7)),$BC$6,IF(OR(COUNTIF('1.연간시수표'!F19,$BF$9),COUNTIF('1.연간시수표'!F19,$BF$7),COUNTIF('1.연간시수표'!F19,$BG$9),COUNTIF('1.연간시수표'!F19,$BG$7),COUNTIF('1.연간시수표'!F19,$BH$9),COUNTIF('1.연간시수표'!F19,$BH$7),COUNTIF('1.연간시수표'!F19,$BI$9),COUNTIF('1.연간시수표'!F19,$BI$7),COUNTIF('1.연간시수표'!F19,$BJ$9),COUNTIF('1.연간시수표'!F19,$BJ$7),COUNTIF('1.연간시수표'!F19,$BK$9),COUNTIF('1.연간시수표'!F19,$BK$7),COUNTIF('1.연간시수표'!F19,$BL$9),COUNTIF('1.연간시수표'!F19,$BL$7),COUNTIF('1.연간시수표'!F19,$BM$9),COUNTIF('1.연간시수표'!F19,$BM$7)),$BF$6,IF(OR(COUNTIF('1.연간시수표'!F19,$BO$9),COUNTIF('1.연간시수표'!F19,$BO$7)),$BO$6,IF(OR(COUNTIF('1.연간시수표'!F19,$BP$9),COUNTIF('1.연간시수표'!F19,$BP$7)),$BP$6,IF(OR(COUNTIF('1.연간시수표'!F19,$BQ$9),COUNTIF('1.연간시수표'!F19,$BQ$7)),$BQ$6,IF(OR(COUNTIF('1.연간시수표'!F19,$BR$9),COUNTIF('1.연간시수표'!F19,$BR$7)),$BR$6,"_")))))))))))))))</f>
        <v>미술</v>
      </c>
      <c r="G19" s="148" t="str">
        <f>IF(OR(COUNTIF('1.연간시수표'!G19,$AT$9),COUNTIF('1.연간시수표'!G19,$AT$7)),$AT$6,IF(OR(COUNTIF('1.연간시수표'!G19,$AU$9),COUNTIF('1.연간시수표'!G19,$AU$7)),$AU$6,IF(OR(COUNTIF('1.연간시수표'!G19,$AV$9),COUNTIF('1.연간시수표'!G19,$AV$7)),$AV$6,IF(OR(COUNTIF('1.연간시수표'!G19,$AW$9),COUNTIF('1.연간시수표'!G19,$AW$7)),$AW$6,IF(OR(COUNTIF('1.연간시수표'!G19,$AX$9),COUNTIF('1.연간시수표'!G19,$AX$7)),$AX$6,IF(OR(COUNTIF('1.연간시수표'!G19,$AY$9),COUNTIF('1.연간시수표'!G19,$AY$7)),$AY$6,IF(OR(COUNTIF('1.연간시수표'!G19,$AZ$9),COUNTIF('1.연간시수표'!G19,$AZ$7)),$AZ$6,IF(OR(COUNTIF('1.연간시수표'!G19,$BA$9),COUNTIF('1.연간시수표'!G19,$BA$7)),$BA$6,IF(OR(COUNTIF('1.연간시수표'!G19,$BB$9),COUNTIF('1.연간시수표'!G19,$BB$7)),$BB$6,IF(OR(COUNTIF('1.연간시수표'!G19,$BC$9),COUNTIF('1.연간시수표'!G19,$BC$7)),$BC$6,IF(OR(COUNTIF('1.연간시수표'!G19,$BF$9),COUNTIF('1.연간시수표'!G19,$BF$7),COUNTIF('1.연간시수표'!G19,$BG$9),COUNTIF('1.연간시수표'!G19,$BG$7),COUNTIF('1.연간시수표'!G19,$BH$9),COUNTIF('1.연간시수표'!G19,$BH$7),COUNTIF('1.연간시수표'!G19,$BI$9),COUNTIF('1.연간시수표'!G19,$BI$7),COUNTIF('1.연간시수표'!G19,$BJ$9),COUNTIF('1.연간시수표'!G19,$BJ$7),COUNTIF('1.연간시수표'!G19,$BK$9),COUNTIF('1.연간시수표'!G19,$BK$7),COUNTIF('1.연간시수표'!G19,$BL$9),COUNTIF('1.연간시수표'!G19,$BL$7),COUNTIF('1.연간시수표'!G19,$BM$9),COUNTIF('1.연간시수표'!G19,$BM$7)),$BF$6,IF(OR(COUNTIF('1.연간시수표'!G19,$BO$9),COUNTIF('1.연간시수표'!G19,$BO$7)),$BO$6,IF(OR(COUNTIF('1.연간시수표'!G19,$BP$9),COUNTIF('1.연간시수표'!G19,$BP$7)),$BP$6,IF(OR(COUNTIF('1.연간시수표'!G19,$BQ$9),COUNTIF('1.연간시수표'!G19,$BQ$7)),$BQ$6,IF(OR(COUNTIF('1.연간시수표'!G19,$BR$9),COUNTIF('1.연간시수표'!G19,$BR$7)),$BR$6,"_")))))))))))))))</f>
        <v>미술</v>
      </c>
      <c r="H19" s="148" t="str">
        <f>IF(OR(COUNTIF('1.연간시수표'!H19,$AT$9),COUNTIF('1.연간시수표'!H19,$AT$7)),$AT$6,IF(OR(COUNTIF('1.연간시수표'!H19,$AU$9),COUNTIF('1.연간시수표'!H19,$AU$7)),$AU$6,IF(OR(COUNTIF('1.연간시수표'!H19,$AV$9),COUNTIF('1.연간시수표'!H19,$AV$7)),$AV$6,IF(OR(COUNTIF('1.연간시수표'!H19,$AW$9),COUNTIF('1.연간시수표'!H19,$AW$7)),$AW$6,IF(OR(COUNTIF('1.연간시수표'!H19,$AX$9),COUNTIF('1.연간시수표'!H19,$AX$7)),$AX$6,IF(OR(COUNTIF('1.연간시수표'!H19,$AY$9),COUNTIF('1.연간시수표'!H19,$AY$7)),$AY$6,IF(OR(COUNTIF('1.연간시수표'!H19,$AZ$9),COUNTIF('1.연간시수표'!H19,$AZ$7)),$AZ$6,IF(OR(COUNTIF('1.연간시수표'!H19,$BA$9),COUNTIF('1.연간시수표'!H19,$BA$7)),$BA$6,IF(OR(COUNTIF('1.연간시수표'!H19,$BB$9),COUNTIF('1.연간시수표'!H19,$BB$7)),$BB$6,IF(OR(COUNTIF('1.연간시수표'!H19,$BC$9),COUNTIF('1.연간시수표'!H19,$BC$7)),$BC$6,IF(OR(COUNTIF('1.연간시수표'!H19,$BF$9),COUNTIF('1.연간시수표'!H19,$BF$7),COUNTIF('1.연간시수표'!H19,$BG$9),COUNTIF('1.연간시수표'!H19,$BG$7),COUNTIF('1.연간시수표'!H19,$BH$9),COUNTIF('1.연간시수표'!H19,$BH$7),COUNTIF('1.연간시수표'!H19,$BI$9),COUNTIF('1.연간시수표'!H19,$BI$7),COUNTIF('1.연간시수표'!H19,$BJ$9),COUNTIF('1.연간시수표'!H19,$BJ$7),COUNTIF('1.연간시수표'!H19,$BK$9),COUNTIF('1.연간시수표'!H19,$BK$7),COUNTIF('1.연간시수표'!H19,$BL$9),COUNTIF('1.연간시수표'!H19,$BL$7),COUNTIF('1.연간시수표'!H19,$BM$9),COUNTIF('1.연간시수표'!H19,$BM$7)),$BF$6,IF(OR(COUNTIF('1.연간시수표'!H19,$BO$9),COUNTIF('1.연간시수표'!H19,$BO$7)),$BO$6,IF(OR(COUNTIF('1.연간시수표'!H19,$BP$9),COUNTIF('1.연간시수표'!H19,$BP$7)),$BP$6,IF(OR(COUNTIF('1.연간시수표'!H19,$BQ$9),COUNTIF('1.연간시수표'!H19,$BQ$7)),$BQ$6,IF(OR(COUNTIF('1.연간시수표'!H19,$BR$9),COUNTIF('1.연간시수표'!H19,$BR$7)),$BR$6,"_")))))))))))))))</f>
        <v>영어</v>
      </c>
      <c r="I19" s="148" t="str">
        <f>IF(OR(COUNTIF('1.연간시수표'!I19,$AT$9),COUNTIF('1.연간시수표'!I19,$AT$7)),$AT$6,IF(OR(COUNTIF('1.연간시수표'!I19,$AU$9),COUNTIF('1.연간시수표'!I19,$AU$7)),$AU$6,IF(OR(COUNTIF('1.연간시수표'!I19,$AV$9),COUNTIF('1.연간시수표'!I19,$AV$7)),$AV$6,IF(OR(COUNTIF('1.연간시수표'!I19,$AW$9),COUNTIF('1.연간시수표'!I19,$AW$7)),$AW$6,IF(OR(COUNTIF('1.연간시수표'!I19,$AX$9),COUNTIF('1.연간시수표'!I19,$AX$7)),$AX$6,IF(OR(COUNTIF('1.연간시수표'!I19,$AY$9),COUNTIF('1.연간시수표'!I19,$AY$7)),$AY$6,IF(OR(COUNTIF('1.연간시수표'!I19,$AZ$9),COUNTIF('1.연간시수표'!I19,$AZ$7)),$AZ$6,IF(OR(COUNTIF('1.연간시수표'!I19,$BA$9),COUNTIF('1.연간시수표'!I19,$BA$7)),$BA$6,IF(OR(COUNTIF('1.연간시수표'!I19,$BB$9),COUNTIF('1.연간시수표'!I19,$BB$7)),$BB$6,IF(OR(COUNTIF('1.연간시수표'!I19,$BC$9),COUNTIF('1.연간시수표'!I19,$BC$7)),$BC$6,IF(OR(COUNTIF('1.연간시수표'!I19,$BF$9),COUNTIF('1.연간시수표'!I19,$BF$7),COUNTIF('1.연간시수표'!I19,$BG$9),COUNTIF('1.연간시수표'!I19,$BG$7),COUNTIF('1.연간시수표'!I19,$BH$9),COUNTIF('1.연간시수표'!I19,$BH$7),COUNTIF('1.연간시수표'!I19,$BI$9),COUNTIF('1.연간시수표'!I19,$BI$7),COUNTIF('1.연간시수표'!I19,$BJ$9),COUNTIF('1.연간시수표'!I19,$BJ$7),COUNTIF('1.연간시수표'!I19,$BK$9),COUNTIF('1.연간시수표'!I19,$BK$7),COUNTIF('1.연간시수표'!I19,$BL$9),COUNTIF('1.연간시수표'!I19,$BL$7),COUNTIF('1.연간시수표'!I19,$BM$9),COUNTIF('1.연간시수표'!I19,$BM$7)),$BF$6,IF(OR(COUNTIF('1.연간시수표'!I19,$BO$9),COUNTIF('1.연간시수표'!I19,$BO$7)),$BO$6,IF(OR(COUNTIF('1.연간시수표'!I19,$BP$9),COUNTIF('1.연간시수표'!I19,$BP$7)),$BP$6,IF(OR(COUNTIF('1.연간시수표'!I19,$BQ$9),COUNTIF('1.연간시수표'!I19,$BQ$7)),$BQ$6,IF(OR(COUNTIF('1.연간시수표'!I19,$BR$9),COUNTIF('1.연간시수표'!I19,$BR$7)),$BR$6,"_")))))))))))))))</f>
        <v>수학</v>
      </c>
      <c r="J19" s="148" t="str">
        <f>IF(OR(COUNTIF('1.연간시수표'!J19,$AT$9),COUNTIF('1.연간시수표'!J19,$AT$7)),$AT$6,IF(OR(COUNTIF('1.연간시수표'!J19,$AU$9),COUNTIF('1.연간시수표'!J19,$AU$7)),$AU$6,IF(OR(COUNTIF('1.연간시수표'!J19,$AV$9),COUNTIF('1.연간시수표'!J19,$AV$7)),$AV$6,IF(OR(COUNTIF('1.연간시수표'!J19,$AW$9),COUNTIF('1.연간시수표'!J19,$AW$7)),$AW$6,IF(OR(COUNTIF('1.연간시수표'!J19,$AX$9),COUNTIF('1.연간시수표'!J19,$AX$7)),$AX$6,IF(OR(COUNTIF('1.연간시수표'!J19,$AY$9),COUNTIF('1.연간시수표'!J19,$AY$7)),$AY$6,IF(OR(COUNTIF('1.연간시수표'!J19,$AZ$9),COUNTIF('1.연간시수표'!J19,$AZ$7)),$AZ$6,IF(OR(COUNTIF('1.연간시수표'!J19,$BA$9),COUNTIF('1.연간시수표'!J19,$BA$7)),$BA$6,IF(OR(COUNTIF('1.연간시수표'!J19,$BB$9),COUNTIF('1.연간시수표'!J19,$BB$7)),$BB$6,IF(OR(COUNTIF('1.연간시수표'!J19,$BC$9),COUNTIF('1.연간시수표'!J19,$BC$7)),$BC$6,IF(OR(COUNTIF('1.연간시수표'!J19,$BF$9),COUNTIF('1.연간시수표'!J19,$BF$7),COUNTIF('1.연간시수표'!J19,$BG$9),COUNTIF('1.연간시수표'!J19,$BG$7),COUNTIF('1.연간시수표'!J19,$BH$9),COUNTIF('1.연간시수표'!J19,$BH$7),COUNTIF('1.연간시수표'!J19,$BI$9),COUNTIF('1.연간시수표'!J19,$BI$7),COUNTIF('1.연간시수표'!J19,$BJ$9),COUNTIF('1.연간시수표'!J19,$BJ$7),COUNTIF('1.연간시수표'!J19,$BK$9),COUNTIF('1.연간시수표'!J19,$BK$7),COUNTIF('1.연간시수표'!J19,$BL$9),COUNTIF('1.연간시수표'!J19,$BL$7),COUNTIF('1.연간시수표'!J19,$BM$9),COUNTIF('1.연간시수표'!J19,$BM$7)),$BF$6,IF(OR(COUNTIF('1.연간시수표'!J19,$BO$9),COUNTIF('1.연간시수표'!J19,$BO$7)),$BO$6,IF(OR(COUNTIF('1.연간시수표'!J19,$BP$9),COUNTIF('1.연간시수표'!J19,$BP$7)),$BP$6,IF(OR(COUNTIF('1.연간시수표'!J19,$BQ$9),COUNTIF('1.연간시수표'!J19,$BQ$7)),$BQ$6,IF(OR(COUNTIF('1.연간시수표'!J19,$BR$9),COUNTIF('1.연간시수표'!J19,$BR$7)),$BR$6,"_")))))))))))))))</f>
        <v>국어</v>
      </c>
      <c r="K19" s="148" t="str">
        <f>IF(OR(COUNTIF('1.연간시수표'!K19,$AT$9),COUNTIF('1.연간시수표'!K19,$AT$7)),$AT$6,IF(OR(COUNTIF('1.연간시수표'!K19,$AU$9),COUNTIF('1.연간시수표'!K19,$AU$7)),$AU$6,IF(OR(COUNTIF('1.연간시수표'!K19,$AV$9),COUNTIF('1.연간시수표'!K19,$AV$7)),$AV$6,IF(OR(COUNTIF('1.연간시수표'!K19,$AW$9),COUNTIF('1.연간시수표'!K19,$AW$7)),$AW$6,IF(OR(COUNTIF('1.연간시수표'!K19,$AX$9),COUNTIF('1.연간시수표'!K19,$AX$7)),$AX$6,IF(OR(COUNTIF('1.연간시수표'!K19,$AY$9),COUNTIF('1.연간시수표'!K19,$AY$7)),$AY$6,IF(OR(COUNTIF('1.연간시수표'!K19,$AZ$9),COUNTIF('1.연간시수표'!K19,$AZ$7)),$AZ$6,IF(OR(COUNTIF('1.연간시수표'!K19,$BA$9),COUNTIF('1.연간시수표'!K19,$BA$7)),$BA$6,IF(OR(COUNTIF('1.연간시수표'!K19,$BB$9),COUNTIF('1.연간시수표'!K19,$BB$7)),$BB$6,IF(OR(COUNTIF('1.연간시수표'!K19,$BC$9),COUNTIF('1.연간시수표'!K19,$BC$7)),$BC$6,IF(OR(COUNTIF('1.연간시수표'!K19,$BF$9),COUNTIF('1.연간시수표'!K19,$BF$7),COUNTIF('1.연간시수표'!K19,$BG$9),COUNTIF('1.연간시수표'!K19,$BG$7),COUNTIF('1.연간시수표'!K19,$BH$9),COUNTIF('1.연간시수표'!K19,$BH$7),COUNTIF('1.연간시수표'!K19,$BI$9),COUNTIF('1.연간시수표'!K19,$BI$7),COUNTIF('1.연간시수표'!K19,$BJ$9),COUNTIF('1.연간시수표'!K19,$BJ$7),COUNTIF('1.연간시수표'!K19,$BK$9),COUNTIF('1.연간시수표'!K19,$BK$7),COUNTIF('1.연간시수표'!K19,$BL$9),COUNTIF('1.연간시수표'!K19,$BL$7),COUNTIF('1.연간시수표'!K19,$BM$9),COUNTIF('1.연간시수표'!K19,$BM$7)),$BF$6,IF(OR(COUNTIF('1.연간시수표'!K19,$BO$9),COUNTIF('1.연간시수표'!K19,$BO$7)),$BO$6,IF(OR(COUNTIF('1.연간시수표'!K19,$BP$9),COUNTIF('1.연간시수표'!K19,$BP$7)),$BP$6,IF(OR(COUNTIF('1.연간시수표'!K19,$BQ$9),COUNTIF('1.연간시수표'!K19,$BQ$7)),$BQ$6,IF(OR(COUNTIF('1.연간시수표'!K19,$BR$9),COUNTIF('1.연간시수표'!K19,$BR$7)),$BR$6,"_")))))))))))))))</f>
        <v>_</v>
      </c>
      <c r="L19" s="148" t="str">
        <f>IF(OR(COUNTIF('1.연간시수표'!L19,$AT$9),COUNTIF('1.연간시수표'!L19,$AT$7)),$AT$6,IF(OR(COUNTIF('1.연간시수표'!L19,$AU$9),COUNTIF('1.연간시수표'!L19,$AU$7)),$AU$6,IF(OR(COUNTIF('1.연간시수표'!L19,$AV$9),COUNTIF('1.연간시수표'!L19,$AV$7)),$AV$6,IF(OR(COUNTIF('1.연간시수표'!L19,$AW$9),COUNTIF('1.연간시수표'!L19,$AW$7)),$AW$6,IF(OR(COUNTIF('1.연간시수표'!L19,$AX$9),COUNTIF('1.연간시수표'!L19,$AX$7)),$AX$6,IF(OR(COUNTIF('1.연간시수표'!L19,$AY$9),COUNTIF('1.연간시수표'!L19,$AY$7)),$AY$6,IF(OR(COUNTIF('1.연간시수표'!L19,$AZ$9),COUNTIF('1.연간시수표'!L19,$AZ$7)),$AZ$6,IF(OR(COUNTIF('1.연간시수표'!L19,$BA$9),COUNTIF('1.연간시수표'!L19,$BA$7)),$BA$6,IF(OR(COUNTIF('1.연간시수표'!L19,$BB$9),COUNTIF('1.연간시수표'!L19,$BB$7)),$BB$6,IF(OR(COUNTIF('1.연간시수표'!L19,$BC$9),COUNTIF('1.연간시수표'!L19,$BC$7)),$BC$6,IF(OR(COUNTIF('1.연간시수표'!L19,$BF$9),COUNTIF('1.연간시수표'!L19,$BF$7),COUNTIF('1.연간시수표'!L19,$BG$9),COUNTIF('1.연간시수표'!L19,$BG$7),COUNTIF('1.연간시수표'!L19,$BH$9),COUNTIF('1.연간시수표'!L19,$BH$7),COUNTIF('1.연간시수표'!L19,$BI$9),COUNTIF('1.연간시수표'!L19,$BI$7),COUNTIF('1.연간시수표'!L19,$BJ$9),COUNTIF('1.연간시수표'!L19,$BJ$7),COUNTIF('1.연간시수표'!L19,$BK$9),COUNTIF('1.연간시수표'!L19,$BK$7),COUNTIF('1.연간시수표'!L19,$BL$9),COUNTIF('1.연간시수표'!L19,$BL$7),COUNTIF('1.연간시수표'!L19,$BM$9),COUNTIF('1.연간시수표'!L19,$BM$7)),$BF$6,IF(OR(COUNTIF('1.연간시수표'!L19,$BO$9),COUNTIF('1.연간시수표'!L19,$BO$7)),$BO$6,IF(OR(COUNTIF('1.연간시수표'!L19,$BP$9),COUNTIF('1.연간시수표'!L19,$BP$7)),$BP$6,IF(OR(COUNTIF('1.연간시수표'!L19,$BQ$9),COUNTIF('1.연간시수표'!L19,$BQ$7)),$BQ$6,IF(OR(COUNTIF('1.연간시수표'!L19,$BR$9),COUNTIF('1.연간시수표'!L19,$BR$7)),$BR$6,"_")))))))))))))))</f>
        <v>_</v>
      </c>
      <c r="M19" s="148" t="str">
        <f>IF(OR(COUNTIF('1.연간시수표'!M19,$AT$9),COUNTIF('1.연간시수표'!M19,$AT$7)),$AT$6,IF(OR(COUNTIF('1.연간시수표'!M19,$AU$9),COUNTIF('1.연간시수표'!M19,$AU$7)),$AU$6,IF(OR(COUNTIF('1.연간시수표'!M19,$AV$9),COUNTIF('1.연간시수표'!M19,$AV$7)),$AV$6,IF(OR(COUNTIF('1.연간시수표'!M19,$AW$9),COUNTIF('1.연간시수표'!M19,$AW$7)),$AW$6,IF(OR(COUNTIF('1.연간시수표'!M19,$AX$9),COUNTIF('1.연간시수표'!M19,$AX$7)),$AX$6,IF(OR(COUNTIF('1.연간시수표'!M19,$AY$9),COUNTIF('1.연간시수표'!M19,$AY$7)),$AY$6,IF(OR(COUNTIF('1.연간시수표'!M19,$AZ$9),COUNTIF('1.연간시수표'!M19,$AZ$7)),$AZ$6,IF(OR(COUNTIF('1.연간시수표'!M19,$BA$9),COUNTIF('1.연간시수표'!M19,$BA$7)),$BA$6,IF(OR(COUNTIF('1.연간시수표'!M19,$BB$9),COUNTIF('1.연간시수표'!M19,$BB$7)),$BB$6,IF(OR(COUNTIF('1.연간시수표'!M19,$BC$9),COUNTIF('1.연간시수표'!M19,$BC$7)),$BC$6,IF(OR(COUNTIF('1.연간시수표'!M19,$BF$9),COUNTIF('1.연간시수표'!M19,$BF$7),COUNTIF('1.연간시수표'!M19,$BG$9),COUNTIF('1.연간시수표'!M19,$BG$7),COUNTIF('1.연간시수표'!M19,$BH$9),COUNTIF('1.연간시수표'!M19,$BH$7),COUNTIF('1.연간시수표'!M19,$BI$9),COUNTIF('1.연간시수표'!M19,$BI$7),COUNTIF('1.연간시수표'!M19,$BJ$9),COUNTIF('1.연간시수표'!M19,$BJ$7),COUNTIF('1.연간시수표'!M19,$BK$9),COUNTIF('1.연간시수표'!M19,$BK$7),COUNTIF('1.연간시수표'!M19,$BL$9),COUNTIF('1.연간시수표'!M19,$BL$7),COUNTIF('1.연간시수표'!M19,$BM$9),COUNTIF('1.연간시수표'!M19,$BM$7)),$BF$6,IF(OR(COUNTIF('1.연간시수표'!M19,$BO$9),COUNTIF('1.연간시수표'!M19,$BO$7)),$BO$6,IF(OR(COUNTIF('1.연간시수표'!M19,$BP$9),COUNTIF('1.연간시수표'!M19,$BP$7)),$BP$6,IF(OR(COUNTIF('1.연간시수표'!M19,$BQ$9),COUNTIF('1.연간시수표'!M19,$BQ$7)),$BQ$6,IF(OR(COUNTIF('1.연간시수표'!M19,$BR$9),COUNTIF('1.연간시수표'!M19,$BR$7)),$BR$6,"_")))))))))))))))</f>
        <v>국어</v>
      </c>
      <c r="N19" s="148" t="str">
        <f>IF(OR(COUNTIF('1.연간시수표'!N19,$AT$9),COUNTIF('1.연간시수표'!N19,$AT$7)),$AT$6,IF(OR(COUNTIF('1.연간시수표'!N19,$AU$9),COUNTIF('1.연간시수표'!N19,$AU$7)),$AU$6,IF(OR(COUNTIF('1.연간시수표'!N19,$AV$9),COUNTIF('1.연간시수표'!N19,$AV$7)),$AV$6,IF(OR(COUNTIF('1.연간시수표'!N19,$AW$9),COUNTIF('1.연간시수표'!N19,$AW$7)),$AW$6,IF(OR(COUNTIF('1.연간시수표'!N19,$AX$9),COUNTIF('1.연간시수표'!N19,$AX$7)),$AX$6,IF(OR(COUNTIF('1.연간시수표'!N19,$AY$9),COUNTIF('1.연간시수표'!N19,$AY$7)),$AY$6,IF(OR(COUNTIF('1.연간시수표'!N19,$AZ$9),COUNTIF('1.연간시수표'!N19,$AZ$7)),$AZ$6,IF(OR(COUNTIF('1.연간시수표'!N19,$BA$9),COUNTIF('1.연간시수표'!N19,$BA$7)),$BA$6,IF(OR(COUNTIF('1.연간시수표'!N19,$BB$9),COUNTIF('1.연간시수표'!N19,$BB$7)),$BB$6,IF(OR(COUNTIF('1.연간시수표'!N19,$BC$9),COUNTIF('1.연간시수표'!N19,$BC$7)),$BC$6,IF(OR(COUNTIF('1.연간시수표'!N19,$BF$9),COUNTIF('1.연간시수표'!N19,$BF$7),COUNTIF('1.연간시수표'!N19,$BG$9),COUNTIF('1.연간시수표'!N19,$BG$7),COUNTIF('1.연간시수표'!N19,$BH$9),COUNTIF('1.연간시수표'!N19,$BH$7),COUNTIF('1.연간시수표'!N19,$BI$9),COUNTIF('1.연간시수표'!N19,$BI$7),COUNTIF('1.연간시수표'!N19,$BJ$9),COUNTIF('1.연간시수표'!N19,$BJ$7),COUNTIF('1.연간시수표'!N19,$BK$9),COUNTIF('1.연간시수표'!N19,$BK$7),COUNTIF('1.연간시수표'!N19,$BL$9),COUNTIF('1.연간시수표'!N19,$BL$7),COUNTIF('1.연간시수표'!N19,$BM$9),COUNTIF('1.연간시수표'!N19,$BM$7)),$BF$6,IF(OR(COUNTIF('1.연간시수표'!N19,$BO$9),COUNTIF('1.연간시수표'!N19,$BO$7)),$BO$6,IF(OR(COUNTIF('1.연간시수표'!N19,$BP$9),COUNTIF('1.연간시수표'!N19,$BP$7)),$BP$6,IF(OR(COUNTIF('1.연간시수표'!N19,$BQ$9),COUNTIF('1.연간시수표'!N19,$BQ$7)),$BQ$6,IF(OR(COUNTIF('1.연간시수표'!N19,$BR$9),COUNTIF('1.연간시수표'!N19,$BR$7)),$BR$6,"_")))))))))))))))</f>
        <v>국어</v>
      </c>
      <c r="O19" s="148" t="str">
        <f>IF(OR(COUNTIF('1.연간시수표'!O19,$AT$9),COUNTIF('1.연간시수표'!O19,$AT$7)),$AT$6,IF(OR(COUNTIF('1.연간시수표'!O19,$AU$9),COUNTIF('1.연간시수표'!O19,$AU$7)),$AU$6,IF(OR(COUNTIF('1.연간시수표'!O19,$AV$9),COUNTIF('1.연간시수표'!O19,$AV$7)),$AV$6,IF(OR(COUNTIF('1.연간시수표'!O19,$AW$9),COUNTIF('1.연간시수표'!O19,$AW$7)),$AW$6,IF(OR(COUNTIF('1.연간시수표'!O19,$AX$9),COUNTIF('1.연간시수표'!O19,$AX$7)),$AX$6,IF(OR(COUNTIF('1.연간시수표'!O19,$AY$9),COUNTIF('1.연간시수표'!O19,$AY$7)),$AY$6,IF(OR(COUNTIF('1.연간시수표'!O19,$AZ$9),COUNTIF('1.연간시수표'!O19,$AZ$7)),$AZ$6,IF(OR(COUNTIF('1.연간시수표'!O19,$BA$9),COUNTIF('1.연간시수표'!O19,$BA$7)),$BA$6,IF(OR(COUNTIF('1.연간시수표'!O19,$BB$9),COUNTIF('1.연간시수표'!O19,$BB$7)),$BB$6,IF(OR(COUNTIF('1.연간시수표'!O19,$BC$9),COUNTIF('1.연간시수표'!O19,$BC$7)),$BC$6,IF(OR(COUNTIF('1.연간시수표'!O19,$BF$9),COUNTIF('1.연간시수표'!O19,$BF$7),COUNTIF('1.연간시수표'!O19,$BG$9),COUNTIF('1.연간시수표'!O19,$BG$7),COUNTIF('1.연간시수표'!O19,$BH$9),COUNTIF('1.연간시수표'!O19,$BH$7),COUNTIF('1.연간시수표'!O19,$BI$9),COUNTIF('1.연간시수표'!O19,$BI$7),COUNTIF('1.연간시수표'!O19,$BJ$9),COUNTIF('1.연간시수표'!O19,$BJ$7),COUNTIF('1.연간시수표'!O19,$BK$9),COUNTIF('1.연간시수표'!O19,$BK$7),COUNTIF('1.연간시수표'!O19,$BL$9),COUNTIF('1.연간시수표'!O19,$BL$7),COUNTIF('1.연간시수표'!O19,$BM$9),COUNTIF('1.연간시수표'!O19,$BM$7)),$BF$6,IF(OR(COUNTIF('1.연간시수표'!O19,$BO$9),COUNTIF('1.연간시수표'!O19,$BO$7)),$BO$6,IF(OR(COUNTIF('1.연간시수표'!O19,$BP$9),COUNTIF('1.연간시수표'!O19,$BP$7)),$BP$6,IF(OR(COUNTIF('1.연간시수표'!O19,$BQ$9),COUNTIF('1.연간시수표'!O19,$BQ$7)),$BQ$6,IF(OR(COUNTIF('1.연간시수표'!O19,$BR$9),COUNTIF('1.연간시수표'!O19,$BR$7)),$BR$6,"_")))))))))))))))</f>
        <v>사회</v>
      </c>
      <c r="P19" s="148" t="str">
        <f>IF(OR(COUNTIF('1.연간시수표'!P19,$AT$9),COUNTIF('1.연간시수표'!P19,$AT$7)),$AT$6,IF(OR(COUNTIF('1.연간시수표'!P19,$AU$9),COUNTIF('1.연간시수표'!P19,$AU$7)),$AU$6,IF(OR(COUNTIF('1.연간시수표'!P19,$AV$9),COUNTIF('1.연간시수표'!P19,$AV$7)),$AV$6,IF(OR(COUNTIF('1.연간시수표'!P19,$AW$9),COUNTIF('1.연간시수표'!P19,$AW$7)),$AW$6,IF(OR(COUNTIF('1.연간시수표'!P19,$AX$9),COUNTIF('1.연간시수표'!P19,$AX$7)),$AX$6,IF(OR(COUNTIF('1.연간시수표'!P19,$AY$9),COUNTIF('1.연간시수표'!P19,$AY$7)),$AY$6,IF(OR(COUNTIF('1.연간시수표'!P19,$AZ$9),COUNTIF('1.연간시수표'!P19,$AZ$7)),$AZ$6,IF(OR(COUNTIF('1.연간시수표'!P19,$BA$9),COUNTIF('1.연간시수표'!P19,$BA$7)),$BA$6,IF(OR(COUNTIF('1.연간시수표'!P19,$BB$9),COUNTIF('1.연간시수표'!P19,$BB$7)),$BB$6,IF(OR(COUNTIF('1.연간시수표'!P19,$BC$9),COUNTIF('1.연간시수표'!P19,$BC$7)),$BC$6,IF(OR(COUNTIF('1.연간시수표'!P19,$BF$9),COUNTIF('1.연간시수표'!P19,$BF$7),COUNTIF('1.연간시수표'!P19,$BG$9),COUNTIF('1.연간시수표'!P19,$BG$7),COUNTIF('1.연간시수표'!P19,$BH$9),COUNTIF('1.연간시수표'!P19,$BH$7),COUNTIF('1.연간시수표'!P19,$BI$9),COUNTIF('1.연간시수표'!P19,$BI$7),COUNTIF('1.연간시수표'!P19,$BJ$9),COUNTIF('1.연간시수표'!P19,$BJ$7),COUNTIF('1.연간시수표'!P19,$BK$9),COUNTIF('1.연간시수표'!P19,$BK$7),COUNTIF('1.연간시수표'!P19,$BL$9),COUNTIF('1.연간시수표'!P19,$BL$7),COUNTIF('1.연간시수표'!P19,$BM$9),COUNTIF('1.연간시수표'!P19,$BM$7)),$BF$6,IF(OR(COUNTIF('1.연간시수표'!P19,$BO$9),COUNTIF('1.연간시수표'!P19,$BO$7)),$BO$6,IF(OR(COUNTIF('1.연간시수표'!P19,$BP$9),COUNTIF('1.연간시수표'!P19,$BP$7)),$BP$6,IF(OR(COUNTIF('1.연간시수표'!P19,$BQ$9),COUNTIF('1.연간시수표'!P19,$BQ$7)),$BQ$6,IF(OR(COUNTIF('1.연간시수표'!P19,$BR$9),COUNTIF('1.연간시수표'!P19,$BR$7)),$BR$6,"_")))))))))))))))</f>
        <v>수학</v>
      </c>
      <c r="Q19" s="148" t="str">
        <f>IF(OR(COUNTIF('1.연간시수표'!Q19,$AT$9),COUNTIF('1.연간시수표'!Q19,$AT$7)),$AT$6,IF(OR(COUNTIF('1.연간시수표'!Q19,$AU$9),COUNTIF('1.연간시수표'!Q19,$AU$7)),$AU$6,IF(OR(COUNTIF('1.연간시수표'!Q19,$AV$9),COUNTIF('1.연간시수표'!Q19,$AV$7)),$AV$6,IF(OR(COUNTIF('1.연간시수표'!Q19,$AW$9),COUNTIF('1.연간시수표'!Q19,$AW$7)),$AW$6,IF(OR(COUNTIF('1.연간시수표'!Q19,$AX$9),COUNTIF('1.연간시수표'!Q19,$AX$7)),$AX$6,IF(OR(COUNTIF('1.연간시수표'!Q19,$AY$9),COUNTIF('1.연간시수표'!Q19,$AY$7)),$AY$6,IF(OR(COUNTIF('1.연간시수표'!Q19,$AZ$9),COUNTIF('1.연간시수표'!Q19,$AZ$7)),$AZ$6,IF(OR(COUNTIF('1.연간시수표'!Q19,$BA$9),COUNTIF('1.연간시수표'!Q19,$BA$7)),$BA$6,IF(OR(COUNTIF('1.연간시수표'!Q19,$BB$9),COUNTIF('1.연간시수표'!Q19,$BB$7)),$BB$6,IF(OR(COUNTIF('1.연간시수표'!Q19,$BC$9),COUNTIF('1.연간시수표'!Q19,$BC$7)),$BC$6,IF(OR(COUNTIF('1.연간시수표'!Q19,$BF$9),COUNTIF('1.연간시수표'!Q19,$BF$7),COUNTIF('1.연간시수표'!Q19,$BG$9),COUNTIF('1.연간시수표'!Q19,$BG$7),COUNTIF('1.연간시수표'!Q19,$BH$9),COUNTIF('1.연간시수표'!Q19,$BH$7),COUNTIF('1.연간시수표'!Q19,$BI$9),COUNTIF('1.연간시수표'!Q19,$BI$7),COUNTIF('1.연간시수표'!Q19,$BJ$9),COUNTIF('1.연간시수표'!Q19,$BJ$7),COUNTIF('1.연간시수표'!Q19,$BK$9),COUNTIF('1.연간시수표'!Q19,$BK$7),COUNTIF('1.연간시수표'!Q19,$BL$9),COUNTIF('1.연간시수표'!Q19,$BL$7),COUNTIF('1.연간시수표'!Q19,$BM$9),COUNTIF('1.연간시수표'!Q19,$BM$7)),$BF$6,IF(OR(COUNTIF('1.연간시수표'!Q19,$BO$9),COUNTIF('1.연간시수표'!Q19,$BO$7)),$BO$6,IF(OR(COUNTIF('1.연간시수표'!Q19,$BP$9),COUNTIF('1.연간시수표'!Q19,$BP$7)),$BP$6,IF(OR(COUNTIF('1.연간시수표'!Q19,$BQ$9),COUNTIF('1.연간시수표'!Q19,$BQ$7)),$BQ$6,IF(OR(COUNTIF('1.연간시수표'!Q19,$BR$9),COUNTIF('1.연간시수표'!Q19,$BR$7)),$BR$6,"_")))))))))))))))</f>
        <v>과학</v>
      </c>
      <c r="R19" s="148" t="str">
        <f>IF(OR(COUNTIF('1.연간시수표'!R19,$AT$9),COUNTIF('1.연간시수표'!R19,$AT$7)),$AT$6,IF(OR(COUNTIF('1.연간시수표'!R19,$AU$9),COUNTIF('1.연간시수표'!R19,$AU$7)),$AU$6,IF(OR(COUNTIF('1.연간시수표'!R19,$AV$9),COUNTIF('1.연간시수표'!R19,$AV$7)),$AV$6,IF(OR(COUNTIF('1.연간시수표'!R19,$AW$9),COUNTIF('1.연간시수표'!R19,$AW$7)),$AW$6,IF(OR(COUNTIF('1.연간시수표'!R19,$AX$9),COUNTIF('1.연간시수표'!R19,$AX$7)),$AX$6,IF(OR(COUNTIF('1.연간시수표'!R19,$AY$9),COUNTIF('1.연간시수표'!R19,$AY$7)),$AY$6,IF(OR(COUNTIF('1.연간시수표'!R19,$AZ$9),COUNTIF('1.연간시수표'!R19,$AZ$7)),$AZ$6,IF(OR(COUNTIF('1.연간시수표'!R19,$BA$9),COUNTIF('1.연간시수표'!R19,$BA$7)),$BA$6,IF(OR(COUNTIF('1.연간시수표'!R19,$BB$9),COUNTIF('1.연간시수표'!R19,$BB$7)),$BB$6,IF(OR(COUNTIF('1.연간시수표'!R19,$BC$9),COUNTIF('1.연간시수표'!R19,$BC$7)),$BC$6,IF(OR(COUNTIF('1.연간시수표'!R19,$BF$9),COUNTIF('1.연간시수표'!R19,$BF$7),COUNTIF('1.연간시수표'!R19,$BG$9),COUNTIF('1.연간시수표'!R19,$BG$7),COUNTIF('1.연간시수표'!R19,$BH$9),COUNTIF('1.연간시수표'!R19,$BH$7),COUNTIF('1.연간시수표'!R19,$BI$9),COUNTIF('1.연간시수표'!R19,$BI$7),COUNTIF('1.연간시수표'!R19,$BJ$9),COUNTIF('1.연간시수표'!R19,$BJ$7),COUNTIF('1.연간시수표'!R19,$BK$9),COUNTIF('1.연간시수표'!R19,$BK$7),COUNTIF('1.연간시수표'!R19,$BL$9),COUNTIF('1.연간시수표'!R19,$BL$7),COUNTIF('1.연간시수표'!R19,$BM$9),COUNTIF('1.연간시수표'!R19,$BM$7)),$BF$6,IF(OR(COUNTIF('1.연간시수표'!R19,$BO$9),COUNTIF('1.연간시수표'!R19,$BO$7)),$BO$6,IF(OR(COUNTIF('1.연간시수표'!R19,$BP$9),COUNTIF('1.연간시수표'!R19,$BP$7)),$BP$6,IF(OR(COUNTIF('1.연간시수표'!R19,$BQ$9),COUNTIF('1.연간시수표'!R19,$BQ$7)),$BQ$6,IF(OR(COUNTIF('1.연간시수표'!R19,$BR$9),COUNTIF('1.연간시수표'!R19,$BR$7)),$BR$6,"_")))))))))))))))</f>
        <v>실과</v>
      </c>
      <c r="S19" s="148" t="str">
        <f>IF(OR(COUNTIF('1.연간시수표'!S19,$AT$9),COUNTIF('1.연간시수표'!S19,$AT$7)),$AT$6,IF(OR(COUNTIF('1.연간시수표'!S19,$AU$9),COUNTIF('1.연간시수표'!S19,$AU$7)),$AU$6,IF(OR(COUNTIF('1.연간시수표'!S19,$AV$9),COUNTIF('1.연간시수표'!S19,$AV$7)),$AV$6,IF(OR(COUNTIF('1.연간시수표'!S19,$AW$9),COUNTIF('1.연간시수표'!S19,$AW$7)),$AW$6,IF(OR(COUNTIF('1.연간시수표'!S19,$AX$9),COUNTIF('1.연간시수표'!S19,$AX$7)),$AX$6,IF(OR(COUNTIF('1.연간시수표'!S19,$AY$9),COUNTIF('1.연간시수표'!S19,$AY$7)),$AY$6,IF(OR(COUNTIF('1.연간시수표'!S19,$AZ$9),COUNTIF('1.연간시수표'!S19,$AZ$7)),$AZ$6,IF(OR(COUNTIF('1.연간시수표'!S19,$BA$9),COUNTIF('1.연간시수표'!S19,$BA$7)),$BA$6,IF(OR(COUNTIF('1.연간시수표'!S19,$BB$9),COUNTIF('1.연간시수표'!S19,$BB$7)),$BB$6,IF(OR(COUNTIF('1.연간시수표'!S19,$BC$9),COUNTIF('1.연간시수표'!S19,$BC$7)),$BC$6,IF(OR(COUNTIF('1.연간시수표'!S19,$BF$9),COUNTIF('1.연간시수표'!S19,$BF$7),COUNTIF('1.연간시수표'!S19,$BG$9),COUNTIF('1.연간시수표'!S19,$BG$7),COUNTIF('1.연간시수표'!S19,$BH$9),COUNTIF('1.연간시수표'!S19,$BH$7),COUNTIF('1.연간시수표'!S19,$BI$9),COUNTIF('1.연간시수표'!S19,$BI$7),COUNTIF('1.연간시수표'!S19,$BJ$9),COUNTIF('1.연간시수표'!S19,$BJ$7),COUNTIF('1.연간시수표'!S19,$BK$9),COUNTIF('1.연간시수표'!S19,$BK$7),COUNTIF('1.연간시수표'!S19,$BL$9),COUNTIF('1.연간시수표'!S19,$BL$7),COUNTIF('1.연간시수표'!S19,$BM$9),COUNTIF('1.연간시수표'!S19,$BM$7)),$BF$6,IF(OR(COUNTIF('1.연간시수표'!S19,$BO$9),COUNTIF('1.연간시수표'!S19,$BO$7)),$BO$6,IF(OR(COUNTIF('1.연간시수표'!S19,$BP$9),COUNTIF('1.연간시수표'!S19,$BP$7)),$BP$6,IF(OR(COUNTIF('1.연간시수표'!S19,$BQ$9),COUNTIF('1.연간시수표'!S19,$BQ$7)),$BQ$6,IF(OR(COUNTIF('1.연간시수표'!S19,$BR$9),COUNTIF('1.연간시수표'!S19,$BR$7)),$BR$6,"_")))))))))))))))</f>
        <v>_</v>
      </c>
      <c r="T19" s="148" t="str">
        <f>IF(OR(COUNTIF('1.연간시수표'!T19,$AT$9),COUNTIF('1.연간시수표'!T19,$AT$7)),$AT$6,IF(OR(COUNTIF('1.연간시수표'!T19,$AU$9),COUNTIF('1.연간시수표'!T19,$AU$7)),$AU$6,IF(OR(COUNTIF('1.연간시수표'!T19,$AV$9),COUNTIF('1.연간시수표'!T19,$AV$7)),$AV$6,IF(OR(COUNTIF('1.연간시수표'!T19,$AW$9),COUNTIF('1.연간시수표'!T19,$AW$7)),$AW$6,IF(OR(COUNTIF('1.연간시수표'!T19,$AX$9),COUNTIF('1.연간시수표'!T19,$AX$7)),$AX$6,IF(OR(COUNTIF('1.연간시수표'!T19,$AY$9),COUNTIF('1.연간시수표'!T19,$AY$7)),$AY$6,IF(OR(COUNTIF('1.연간시수표'!T19,$AZ$9),COUNTIF('1.연간시수표'!T19,$AZ$7)),$AZ$6,IF(OR(COUNTIF('1.연간시수표'!T19,$BA$9),COUNTIF('1.연간시수표'!T19,$BA$7)),$BA$6,IF(OR(COUNTIF('1.연간시수표'!T19,$BB$9),COUNTIF('1.연간시수표'!T19,$BB$7)),$BB$6,IF(OR(COUNTIF('1.연간시수표'!T19,$BC$9),COUNTIF('1.연간시수표'!T19,$BC$7)),$BC$6,IF(OR(COUNTIF('1.연간시수표'!T19,$BF$9),COUNTIF('1.연간시수표'!T19,$BF$7),COUNTIF('1.연간시수표'!T19,$BG$9),COUNTIF('1.연간시수표'!T19,$BG$7),COUNTIF('1.연간시수표'!T19,$BH$9),COUNTIF('1.연간시수표'!T19,$BH$7),COUNTIF('1.연간시수표'!T19,$BI$9),COUNTIF('1.연간시수표'!T19,$BI$7),COUNTIF('1.연간시수표'!T19,$BJ$9),COUNTIF('1.연간시수표'!T19,$BJ$7),COUNTIF('1.연간시수표'!T19,$BK$9),COUNTIF('1.연간시수표'!T19,$BK$7),COUNTIF('1.연간시수표'!T19,$BL$9),COUNTIF('1.연간시수표'!T19,$BL$7),COUNTIF('1.연간시수표'!T19,$BM$9),COUNTIF('1.연간시수표'!T19,$BM$7)),$BF$6,IF(OR(COUNTIF('1.연간시수표'!T19,$BO$9),COUNTIF('1.연간시수표'!T19,$BO$7)),$BO$6,IF(OR(COUNTIF('1.연간시수표'!T19,$BP$9),COUNTIF('1.연간시수표'!T19,$BP$7)),$BP$6,IF(OR(COUNTIF('1.연간시수표'!T19,$BQ$9),COUNTIF('1.연간시수표'!T19,$BQ$7)),$BQ$6,IF(OR(COUNTIF('1.연간시수표'!T19,$BR$9),COUNTIF('1.연간시수표'!T19,$BR$7)),$BR$6,"_")))))))))))))))</f>
        <v>_</v>
      </c>
      <c r="U19" s="148" t="str">
        <f>IF(OR(COUNTIF('1.연간시수표'!U19,$AT$9),COUNTIF('1.연간시수표'!U19,$AT$7)),$AT$6,IF(OR(COUNTIF('1.연간시수표'!U19,$AU$9),COUNTIF('1.연간시수표'!U19,$AU$7)),$AU$6,IF(OR(COUNTIF('1.연간시수표'!U19,$AV$9),COUNTIF('1.연간시수표'!U19,$AV$7)),$AV$6,IF(OR(COUNTIF('1.연간시수표'!U19,$AW$9),COUNTIF('1.연간시수표'!U19,$AW$7)),$AW$6,IF(OR(COUNTIF('1.연간시수표'!U19,$AX$9),COUNTIF('1.연간시수표'!U19,$AX$7)),$AX$6,IF(OR(COUNTIF('1.연간시수표'!U19,$AY$9),COUNTIF('1.연간시수표'!U19,$AY$7)),$AY$6,IF(OR(COUNTIF('1.연간시수표'!U19,$AZ$9),COUNTIF('1.연간시수표'!U19,$AZ$7)),$AZ$6,IF(OR(COUNTIF('1.연간시수표'!U19,$BA$9),COUNTIF('1.연간시수표'!U19,$BA$7)),$BA$6,IF(OR(COUNTIF('1.연간시수표'!U19,$BB$9),COUNTIF('1.연간시수표'!U19,$BB$7)),$BB$6,IF(OR(COUNTIF('1.연간시수표'!U19,$BC$9),COUNTIF('1.연간시수표'!U19,$BC$7)),$BC$6,IF(OR(COUNTIF('1.연간시수표'!U19,$BF$9),COUNTIF('1.연간시수표'!U19,$BF$7),COUNTIF('1.연간시수표'!U19,$BG$9),COUNTIF('1.연간시수표'!U19,$BG$7),COUNTIF('1.연간시수표'!U19,$BH$9),COUNTIF('1.연간시수표'!U19,$BH$7),COUNTIF('1.연간시수표'!U19,$BI$9),COUNTIF('1.연간시수표'!U19,$BI$7),COUNTIF('1.연간시수표'!U19,$BJ$9),COUNTIF('1.연간시수표'!U19,$BJ$7),COUNTIF('1.연간시수표'!U19,$BK$9),COUNTIF('1.연간시수표'!U19,$BK$7),COUNTIF('1.연간시수표'!U19,$BL$9),COUNTIF('1.연간시수표'!U19,$BL$7),COUNTIF('1.연간시수표'!U19,$BM$9),COUNTIF('1.연간시수표'!U19,$BM$7)),$BF$6,IF(OR(COUNTIF('1.연간시수표'!U19,$BO$9),COUNTIF('1.연간시수표'!U19,$BO$7)),$BO$6,IF(OR(COUNTIF('1.연간시수표'!U19,$BP$9),COUNTIF('1.연간시수표'!U19,$BP$7)),$BP$6,IF(OR(COUNTIF('1.연간시수표'!U19,$BQ$9),COUNTIF('1.연간시수표'!U19,$BQ$7)),$BQ$6,IF(OR(COUNTIF('1.연간시수표'!U19,$BR$9),COUNTIF('1.연간시수표'!U19,$BR$7)),$BR$6,"_")))))))))))))))</f>
        <v>영어</v>
      </c>
      <c r="V19" s="148" t="str">
        <f>IF(OR(COUNTIF('1.연간시수표'!V19,$AT$9),COUNTIF('1.연간시수표'!V19,$AT$7)),$AT$6,IF(OR(COUNTIF('1.연간시수표'!V19,$AU$9),COUNTIF('1.연간시수표'!V19,$AU$7)),$AU$6,IF(OR(COUNTIF('1.연간시수표'!V19,$AV$9),COUNTIF('1.연간시수표'!V19,$AV$7)),$AV$6,IF(OR(COUNTIF('1.연간시수표'!V19,$AW$9),COUNTIF('1.연간시수표'!V19,$AW$7)),$AW$6,IF(OR(COUNTIF('1.연간시수표'!V19,$AX$9),COUNTIF('1.연간시수표'!V19,$AX$7)),$AX$6,IF(OR(COUNTIF('1.연간시수표'!V19,$AY$9),COUNTIF('1.연간시수표'!V19,$AY$7)),$AY$6,IF(OR(COUNTIF('1.연간시수표'!V19,$AZ$9),COUNTIF('1.연간시수표'!V19,$AZ$7)),$AZ$6,IF(OR(COUNTIF('1.연간시수표'!V19,$BA$9),COUNTIF('1.연간시수표'!V19,$BA$7)),$BA$6,IF(OR(COUNTIF('1.연간시수표'!V19,$BB$9),COUNTIF('1.연간시수표'!V19,$BB$7)),$BB$6,IF(OR(COUNTIF('1.연간시수표'!V19,$BC$9),COUNTIF('1.연간시수표'!V19,$BC$7)),$BC$6,IF(OR(COUNTIF('1.연간시수표'!V19,$BF$9),COUNTIF('1.연간시수표'!V19,$BF$7),COUNTIF('1.연간시수표'!V19,$BG$9),COUNTIF('1.연간시수표'!V19,$BG$7),COUNTIF('1.연간시수표'!V19,$BH$9),COUNTIF('1.연간시수표'!V19,$BH$7),COUNTIF('1.연간시수표'!V19,$BI$9),COUNTIF('1.연간시수표'!V19,$BI$7),COUNTIF('1.연간시수표'!V19,$BJ$9),COUNTIF('1.연간시수표'!V19,$BJ$7),COUNTIF('1.연간시수표'!V19,$BK$9),COUNTIF('1.연간시수표'!V19,$BK$7),COUNTIF('1.연간시수표'!V19,$BL$9),COUNTIF('1.연간시수표'!V19,$BL$7),COUNTIF('1.연간시수표'!V19,$BM$9),COUNTIF('1.연간시수표'!V19,$BM$7)),$BF$6,IF(OR(COUNTIF('1.연간시수표'!V19,$BO$9),COUNTIF('1.연간시수표'!V19,$BO$7)),$BO$6,IF(OR(COUNTIF('1.연간시수표'!V19,$BP$9),COUNTIF('1.연간시수표'!V19,$BP$7)),$BP$6,IF(OR(COUNTIF('1.연간시수표'!V19,$BQ$9),COUNTIF('1.연간시수표'!V19,$BQ$7)),$BQ$6,IF(OR(COUNTIF('1.연간시수표'!V19,$BR$9),COUNTIF('1.연간시수표'!V19,$BR$7)),$BR$6,"_")))))))))))))))</f>
        <v>과학</v>
      </c>
      <c r="W19" s="148" t="str">
        <f>IF(OR(COUNTIF('1.연간시수표'!W19,$AT$9),COUNTIF('1.연간시수표'!W19,$AT$7)),$AT$6,IF(OR(COUNTIF('1.연간시수표'!W19,$AU$9),COUNTIF('1.연간시수표'!W19,$AU$7)),$AU$6,IF(OR(COUNTIF('1.연간시수표'!W19,$AV$9),COUNTIF('1.연간시수표'!W19,$AV$7)),$AV$6,IF(OR(COUNTIF('1.연간시수표'!W19,$AW$9),COUNTIF('1.연간시수표'!W19,$AW$7)),$AW$6,IF(OR(COUNTIF('1.연간시수표'!W19,$AX$9),COUNTIF('1.연간시수표'!W19,$AX$7)),$AX$6,IF(OR(COUNTIF('1.연간시수표'!W19,$AY$9),COUNTIF('1.연간시수표'!W19,$AY$7)),$AY$6,IF(OR(COUNTIF('1.연간시수표'!W19,$AZ$9),COUNTIF('1.연간시수표'!W19,$AZ$7)),$AZ$6,IF(OR(COUNTIF('1.연간시수표'!W19,$BA$9),COUNTIF('1.연간시수표'!W19,$BA$7)),$BA$6,IF(OR(COUNTIF('1.연간시수표'!W19,$BB$9),COUNTIF('1.연간시수표'!W19,$BB$7)),$BB$6,IF(OR(COUNTIF('1.연간시수표'!W19,$BC$9),COUNTIF('1.연간시수표'!W19,$BC$7)),$BC$6,IF(OR(COUNTIF('1.연간시수표'!W19,$BF$9),COUNTIF('1.연간시수표'!W19,$BF$7),COUNTIF('1.연간시수표'!W19,$BG$9),COUNTIF('1.연간시수표'!W19,$BG$7),COUNTIF('1.연간시수표'!W19,$BH$9),COUNTIF('1.연간시수표'!W19,$BH$7),COUNTIF('1.연간시수표'!W19,$BI$9),COUNTIF('1.연간시수표'!W19,$BI$7),COUNTIF('1.연간시수표'!W19,$BJ$9),COUNTIF('1.연간시수표'!W19,$BJ$7),COUNTIF('1.연간시수표'!W19,$BK$9),COUNTIF('1.연간시수표'!W19,$BK$7),COUNTIF('1.연간시수표'!W19,$BL$9),COUNTIF('1.연간시수표'!W19,$BL$7),COUNTIF('1.연간시수표'!W19,$BM$9),COUNTIF('1.연간시수표'!W19,$BM$7)),$BF$6,IF(OR(COUNTIF('1.연간시수표'!W19,$BO$9),COUNTIF('1.연간시수표'!W19,$BO$7)),$BO$6,IF(OR(COUNTIF('1.연간시수표'!W19,$BP$9),COUNTIF('1.연간시수표'!W19,$BP$7)),$BP$6,IF(OR(COUNTIF('1.연간시수표'!W19,$BQ$9),COUNTIF('1.연간시수표'!W19,$BQ$7)),$BQ$6,IF(OR(COUNTIF('1.연간시수표'!W19,$BR$9),COUNTIF('1.연간시수표'!W19,$BR$7)),$BR$6,"_")))))))))))))))</f>
        <v>체육</v>
      </c>
      <c r="X19" s="148" t="str">
        <f>IF(OR(COUNTIF('1.연간시수표'!X19,$AT$9),COUNTIF('1.연간시수표'!X19,$AT$7)),$AT$6,IF(OR(COUNTIF('1.연간시수표'!X19,$AU$9),COUNTIF('1.연간시수표'!X19,$AU$7)),$AU$6,IF(OR(COUNTIF('1.연간시수표'!X19,$AV$9),COUNTIF('1.연간시수표'!X19,$AV$7)),$AV$6,IF(OR(COUNTIF('1.연간시수표'!X19,$AW$9),COUNTIF('1.연간시수표'!X19,$AW$7)),$AW$6,IF(OR(COUNTIF('1.연간시수표'!X19,$AX$9),COUNTIF('1.연간시수표'!X19,$AX$7)),$AX$6,IF(OR(COUNTIF('1.연간시수표'!X19,$AY$9),COUNTIF('1.연간시수표'!X19,$AY$7)),$AY$6,IF(OR(COUNTIF('1.연간시수표'!X19,$AZ$9),COUNTIF('1.연간시수표'!X19,$AZ$7)),$AZ$6,IF(OR(COUNTIF('1.연간시수표'!X19,$BA$9),COUNTIF('1.연간시수표'!X19,$BA$7)),$BA$6,IF(OR(COUNTIF('1.연간시수표'!X19,$BB$9),COUNTIF('1.연간시수표'!X19,$BB$7)),$BB$6,IF(OR(COUNTIF('1.연간시수표'!X19,$BC$9),COUNTIF('1.연간시수표'!X19,$BC$7)),$BC$6,IF(OR(COUNTIF('1.연간시수표'!X19,$BF$9),COUNTIF('1.연간시수표'!X19,$BF$7),COUNTIF('1.연간시수표'!X19,$BG$9),COUNTIF('1.연간시수표'!X19,$BG$7),COUNTIF('1.연간시수표'!X19,$BH$9),COUNTIF('1.연간시수표'!X19,$BH$7),COUNTIF('1.연간시수표'!X19,$BI$9),COUNTIF('1.연간시수표'!X19,$BI$7),COUNTIF('1.연간시수표'!X19,$BJ$9),COUNTIF('1.연간시수표'!X19,$BJ$7),COUNTIF('1.연간시수표'!X19,$BK$9),COUNTIF('1.연간시수표'!X19,$BK$7),COUNTIF('1.연간시수표'!X19,$BL$9),COUNTIF('1.연간시수표'!X19,$BL$7),COUNTIF('1.연간시수표'!X19,$BM$9),COUNTIF('1.연간시수표'!X19,$BM$7)),$BF$6,IF(OR(COUNTIF('1.연간시수표'!X19,$BO$9),COUNTIF('1.연간시수표'!X19,$BO$7)),$BO$6,IF(OR(COUNTIF('1.연간시수표'!X19,$BP$9),COUNTIF('1.연간시수표'!X19,$BP$7)),$BP$6,IF(OR(COUNTIF('1.연간시수표'!X19,$BQ$9),COUNTIF('1.연간시수표'!X19,$BQ$7)),$BQ$6,IF(OR(COUNTIF('1.연간시수표'!X19,$BR$9),COUNTIF('1.연간시수표'!X19,$BR$7)),$BR$6,"_")))))))))))))))</f>
        <v>음악</v>
      </c>
      <c r="Y19" s="148" t="str">
        <f>IF(OR(COUNTIF('1.연간시수표'!Y19,$AT$9),COUNTIF('1.연간시수표'!Y19,$AT$7)),$AT$6,IF(OR(COUNTIF('1.연간시수표'!Y19,$AU$9),COUNTIF('1.연간시수표'!Y19,$AU$7)),$AU$6,IF(OR(COUNTIF('1.연간시수표'!Y19,$AV$9),COUNTIF('1.연간시수표'!Y19,$AV$7)),$AV$6,IF(OR(COUNTIF('1.연간시수표'!Y19,$AW$9),COUNTIF('1.연간시수표'!Y19,$AW$7)),$AW$6,IF(OR(COUNTIF('1.연간시수표'!Y19,$AX$9),COUNTIF('1.연간시수표'!Y19,$AX$7)),$AX$6,IF(OR(COUNTIF('1.연간시수표'!Y19,$AY$9),COUNTIF('1.연간시수표'!Y19,$AY$7)),$AY$6,IF(OR(COUNTIF('1.연간시수표'!Y19,$AZ$9),COUNTIF('1.연간시수표'!Y19,$AZ$7)),$AZ$6,IF(OR(COUNTIF('1.연간시수표'!Y19,$BA$9),COUNTIF('1.연간시수표'!Y19,$BA$7)),$BA$6,IF(OR(COUNTIF('1.연간시수표'!Y19,$BB$9),COUNTIF('1.연간시수표'!Y19,$BB$7)),$BB$6,IF(OR(COUNTIF('1.연간시수표'!Y19,$BC$9),COUNTIF('1.연간시수표'!Y19,$BC$7)),$BC$6,IF(OR(COUNTIF('1.연간시수표'!Y19,$BF$9),COUNTIF('1.연간시수표'!Y19,$BF$7),COUNTIF('1.연간시수표'!Y19,$BG$9),COUNTIF('1.연간시수표'!Y19,$BG$7),COUNTIF('1.연간시수표'!Y19,$BH$9),COUNTIF('1.연간시수표'!Y19,$BH$7),COUNTIF('1.연간시수표'!Y19,$BI$9),COUNTIF('1.연간시수표'!Y19,$BI$7),COUNTIF('1.연간시수표'!Y19,$BJ$9),COUNTIF('1.연간시수표'!Y19,$BJ$7),COUNTIF('1.연간시수표'!Y19,$BK$9),COUNTIF('1.연간시수표'!Y19,$BK$7),COUNTIF('1.연간시수표'!Y19,$BL$9),COUNTIF('1.연간시수표'!Y19,$BL$7),COUNTIF('1.연간시수표'!Y19,$BM$9),COUNTIF('1.연간시수표'!Y19,$BM$7)),$BF$6,IF(OR(COUNTIF('1.연간시수표'!Y19,$BO$9),COUNTIF('1.연간시수표'!Y19,$BO$7)),$BO$6,IF(OR(COUNTIF('1.연간시수표'!Y19,$BP$9),COUNTIF('1.연간시수표'!Y19,$BP$7)),$BP$6,IF(OR(COUNTIF('1.연간시수표'!Y19,$BQ$9),COUNTIF('1.연간시수표'!Y19,$BQ$7)),$BQ$6,IF(OR(COUNTIF('1.연간시수표'!Y19,$BR$9),COUNTIF('1.연간시수표'!Y19,$BR$7)),$BR$6,"_")))))))))))))))</f>
        <v>도덕</v>
      </c>
      <c r="Z19" s="148" t="str">
        <f>IF(OR(COUNTIF('1.연간시수표'!Z19,$AT$9),COUNTIF('1.연간시수표'!Z19,$AT$7)),$AT$6,IF(OR(COUNTIF('1.연간시수표'!Z19,$AU$9),COUNTIF('1.연간시수표'!Z19,$AU$7)),$AU$6,IF(OR(COUNTIF('1.연간시수표'!Z19,$AV$9),COUNTIF('1.연간시수표'!Z19,$AV$7)),$AV$6,IF(OR(COUNTIF('1.연간시수표'!Z19,$AW$9),COUNTIF('1.연간시수표'!Z19,$AW$7)),$AW$6,IF(OR(COUNTIF('1.연간시수표'!Z19,$AX$9),COUNTIF('1.연간시수표'!Z19,$AX$7)),$AX$6,IF(OR(COUNTIF('1.연간시수표'!Z19,$AY$9),COUNTIF('1.연간시수표'!Z19,$AY$7)),$AY$6,IF(OR(COUNTIF('1.연간시수표'!Z19,$AZ$9),COUNTIF('1.연간시수표'!Z19,$AZ$7)),$AZ$6,IF(OR(COUNTIF('1.연간시수표'!Z19,$BA$9),COUNTIF('1.연간시수표'!Z19,$BA$7)),$BA$6,IF(OR(COUNTIF('1.연간시수표'!Z19,$BB$9),COUNTIF('1.연간시수표'!Z19,$BB$7)),$BB$6,IF(OR(COUNTIF('1.연간시수표'!Z19,$BC$9),COUNTIF('1.연간시수표'!Z19,$BC$7)),$BC$6,IF(OR(COUNTIF('1.연간시수표'!Z19,$BF$9),COUNTIF('1.연간시수표'!Z19,$BF$7),COUNTIF('1.연간시수표'!Z19,$BG$9),COUNTIF('1.연간시수표'!Z19,$BG$7),COUNTIF('1.연간시수표'!Z19,$BH$9),COUNTIF('1.연간시수표'!Z19,$BH$7),COUNTIF('1.연간시수표'!Z19,$BI$9),COUNTIF('1.연간시수표'!Z19,$BI$7),COUNTIF('1.연간시수표'!Z19,$BJ$9),COUNTIF('1.연간시수표'!Z19,$BJ$7),COUNTIF('1.연간시수표'!Z19,$BK$9),COUNTIF('1.연간시수표'!Z19,$BK$7),COUNTIF('1.연간시수표'!Z19,$BL$9),COUNTIF('1.연간시수표'!Z19,$BL$7),COUNTIF('1.연간시수표'!Z19,$BM$9),COUNTIF('1.연간시수표'!Z19,$BM$7)),$BF$6,IF(OR(COUNTIF('1.연간시수표'!Z19,$BO$9),COUNTIF('1.연간시수표'!Z19,$BO$7)),$BO$6,IF(OR(COUNTIF('1.연간시수표'!Z19,$BP$9),COUNTIF('1.연간시수표'!Z19,$BP$7)),$BP$6,IF(OR(COUNTIF('1.연간시수표'!Z19,$BQ$9),COUNTIF('1.연간시수표'!Z19,$BQ$7)),$BQ$6,IF(OR(COUNTIF('1.연간시수표'!Z19,$BR$9),COUNTIF('1.연간시수표'!Z19,$BR$7)),$BR$6,"_")))))))))))))))</f>
        <v>_</v>
      </c>
      <c r="AA19" s="148" t="str">
        <f>IF(OR(COUNTIF('1.연간시수표'!AA19,$AT$9),COUNTIF('1.연간시수표'!AA19,$AT$7)),$AT$6,IF(OR(COUNTIF('1.연간시수표'!AA19,$AU$9),COUNTIF('1.연간시수표'!AA19,$AU$7)),$AU$6,IF(OR(COUNTIF('1.연간시수표'!AA19,$AV$9),COUNTIF('1.연간시수표'!AA19,$AV$7)),$AV$6,IF(OR(COUNTIF('1.연간시수표'!AA19,$AW$9),COUNTIF('1.연간시수표'!AA19,$AW$7)),$AW$6,IF(OR(COUNTIF('1.연간시수표'!AA19,$AX$9),COUNTIF('1.연간시수표'!AA19,$AX$7)),$AX$6,IF(OR(COUNTIF('1.연간시수표'!AA19,$AY$9),COUNTIF('1.연간시수표'!AA19,$AY$7)),$AY$6,IF(OR(COUNTIF('1.연간시수표'!AA19,$AZ$9),COUNTIF('1.연간시수표'!AA19,$AZ$7)),$AZ$6,IF(OR(COUNTIF('1.연간시수표'!AA19,$BA$9),COUNTIF('1.연간시수표'!AA19,$BA$7)),$BA$6,IF(OR(COUNTIF('1.연간시수표'!AA19,$BB$9),COUNTIF('1.연간시수표'!AA19,$BB$7)),$BB$6,IF(OR(COUNTIF('1.연간시수표'!AA19,$BC$9),COUNTIF('1.연간시수표'!AA19,$BC$7)),$BC$6,IF(OR(COUNTIF('1.연간시수표'!AA19,$BF$9),COUNTIF('1.연간시수표'!AA19,$BF$7),COUNTIF('1.연간시수표'!AA19,$BG$9),COUNTIF('1.연간시수표'!AA19,$BG$7),COUNTIF('1.연간시수표'!AA19,$BH$9),COUNTIF('1.연간시수표'!AA19,$BH$7),COUNTIF('1.연간시수표'!AA19,$BI$9),COUNTIF('1.연간시수표'!AA19,$BI$7),COUNTIF('1.연간시수표'!AA19,$BJ$9),COUNTIF('1.연간시수표'!AA19,$BJ$7),COUNTIF('1.연간시수표'!AA19,$BK$9),COUNTIF('1.연간시수표'!AA19,$BK$7),COUNTIF('1.연간시수표'!AA19,$BL$9),COUNTIF('1.연간시수표'!AA19,$BL$7),COUNTIF('1.연간시수표'!AA19,$BM$9),COUNTIF('1.연간시수표'!AA19,$BM$7)),$BF$6,IF(OR(COUNTIF('1.연간시수표'!AA19,$BO$9),COUNTIF('1.연간시수표'!AA19,$BO$7)),$BO$6,IF(OR(COUNTIF('1.연간시수표'!AA19,$BP$9),COUNTIF('1.연간시수표'!AA19,$BP$7)),$BP$6,IF(OR(COUNTIF('1.연간시수표'!AA19,$BQ$9),COUNTIF('1.연간시수표'!AA19,$BQ$7)),$BQ$6,IF(OR(COUNTIF('1.연간시수표'!AA19,$BR$9),COUNTIF('1.연간시수표'!AA19,$BR$7)),$BR$6,"_")))))))))))))))</f>
        <v>_</v>
      </c>
      <c r="AB19" s="148" t="str">
        <f>IF(OR(COUNTIF('1.연간시수표'!AB19,$AT$9),COUNTIF('1.연간시수표'!AB19,$AT$7)),$AT$6,IF(OR(COUNTIF('1.연간시수표'!AB19,$AU$9),COUNTIF('1.연간시수표'!AB19,$AU$7)),$AU$6,IF(OR(COUNTIF('1.연간시수표'!AB19,$AV$9),COUNTIF('1.연간시수표'!AB19,$AV$7)),$AV$6,IF(OR(COUNTIF('1.연간시수표'!AB19,$AW$9),COUNTIF('1.연간시수표'!AB19,$AW$7)),$AW$6,IF(OR(COUNTIF('1.연간시수표'!AB19,$AX$9),COUNTIF('1.연간시수표'!AB19,$AX$7)),$AX$6,IF(OR(COUNTIF('1.연간시수표'!AB19,$AY$9),COUNTIF('1.연간시수표'!AB19,$AY$7)),$AY$6,IF(OR(COUNTIF('1.연간시수표'!AB19,$AZ$9),COUNTIF('1.연간시수표'!AB19,$AZ$7)),$AZ$6,IF(OR(COUNTIF('1.연간시수표'!AB19,$BA$9),COUNTIF('1.연간시수표'!AB19,$BA$7)),$BA$6,IF(OR(COUNTIF('1.연간시수표'!AB19,$BB$9),COUNTIF('1.연간시수표'!AB19,$BB$7)),$BB$6,IF(OR(COUNTIF('1.연간시수표'!AB19,$BC$9),COUNTIF('1.연간시수표'!AB19,$BC$7)),$BC$6,IF(OR(COUNTIF('1.연간시수표'!AB19,$BF$9),COUNTIF('1.연간시수표'!AB19,$BF$7),COUNTIF('1.연간시수표'!AB19,$BG$9),COUNTIF('1.연간시수표'!AB19,$BG$7),COUNTIF('1.연간시수표'!AB19,$BH$9),COUNTIF('1.연간시수표'!AB19,$BH$7),COUNTIF('1.연간시수표'!AB19,$BI$9),COUNTIF('1.연간시수표'!AB19,$BI$7),COUNTIF('1.연간시수표'!AB19,$BJ$9),COUNTIF('1.연간시수표'!AB19,$BJ$7),COUNTIF('1.연간시수표'!AB19,$BK$9),COUNTIF('1.연간시수표'!AB19,$BK$7),COUNTIF('1.연간시수표'!AB19,$BL$9),COUNTIF('1.연간시수표'!AB19,$BL$7),COUNTIF('1.연간시수표'!AB19,$BM$9),COUNTIF('1.연간시수표'!AB19,$BM$7)),$BF$6,IF(OR(COUNTIF('1.연간시수표'!AB19,$BO$9),COUNTIF('1.연간시수표'!AB19,$BO$7)),$BO$6,IF(OR(COUNTIF('1.연간시수표'!AB19,$BP$9),COUNTIF('1.연간시수표'!AB19,$BP$7)),$BP$6,IF(OR(COUNTIF('1.연간시수표'!AB19,$BQ$9),COUNTIF('1.연간시수표'!AB19,$BQ$7)),$BQ$6,IF(OR(COUNTIF('1.연간시수표'!AB19,$BR$9),COUNTIF('1.연간시수표'!AB19,$BR$7)),$BR$6,"_")))))))))))))))</f>
        <v>_</v>
      </c>
      <c r="AC19" s="148" t="str">
        <f>IF(OR(COUNTIF('1.연간시수표'!AC19,$AT$9),COUNTIF('1.연간시수표'!AC19,$AT$7)),$AT$6,IF(OR(COUNTIF('1.연간시수표'!AC19,$AU$9),COUNTIF('1.연간시수표'!AC19,$AU$7)),$AU$6,IF(OR(COUNTIF('1.연간시수표'!AC19,$AV$9),COUNTIF('1.연간시수표'!AC19,$AV$7)),$AV$6,IF(OR(COUNTIF('1.연간시수표'!AC19,$AW$9),COUNTIF('1.연간시수표'!AC19,$AW$7)),$AW$6,IF(OR(COUNTIF('1.연간시수표'!AC19,$AX$9),COUNTIF('1.연간시수표'!AC19,$AX$7)),$AX$6,IF(OR(COUNTIF('1.연간시수표'!AC19,$AY$9),COUNTIF('1.연간시수표'!AC19,$AY$7)),$AY$6,IF(OR(COUNTIF('1.연간시수표'!AC19,$AZ$9),COUNTIF('1.연간시수표'!AC19,$AZ$7)),$AZ$6,IF(OR(COUNTIF('1.연간시수표'!AC19,$BA$9),COUNTIF('1.연간시수표'!AC19,$BA$7)),$BA$6,IF(OR(COUNTIF('1.연간시수표'!AC19,$BB$9),COUNTIF('1.연간시수표'!AC19,$BB$7)),$BB$6,IF(OR(COUNTIF('1.연간시수표'!AC19,$BC$9),COUNTIF('1.연간시수표'!AC19,$BC$7)),$BC$6,IF(OR(COUNTIF('1.연간시수표'!AC19,$BF$9),COUNTIF('1.연간시수표'!AC19,$BF$7),COUNTIF('1.연간시수표'!AC19,$BG$9),COUNTIF('1.연간시수표'!AC19,$BG$7),COUNTIF('1.연간시수표'!AC19,$BH$9),COUNTIF('1.연간시수표'!AC19,$BH$7),COUNTIF('1.연간시수표'!AC19,$BI$9),COUNTIF('1.연간시수표'!AC19,$BI$7),COUNTIF('1.연간시수표'!AC19,$BJ$9),COUNTIF('1.연간시수표'!AC19,$BJ$7),COUNTIF('1.연간시수표'!AC19,$BK$9),COUNTIF('1.연간시수표'!AC19,$BK$7),COUNTIF('1.연간시수표'!AC19,$BL$9),COUNTIF('1.연간시수표'!AC19,$BL$7),COUNTIF('1.연간시수표'!AC19,$BM$9),COUNTIF('1.연간시수표'!AC19,$BM$7)),$BF$6,IF(OR(COUNTIF('1.연간시수표'!AC19,$BO$9),COUNTIF('1.연간시수표'!AC19,$BO$7)),$BO$6,IF(OR(COUNTIF('1.연간시수표'!AC19,$BP$9),COUNTIF('1.연간시수표'!AC19,$BP$7)),$BP$6,IF(OR(COUNTIF('1.연간시수표'!AC19,$BQ$9),COUNTIF('1.연간시수표'!AC19,$BQ$7)),$BQ$6,IF(OR(COUNTIF('1.연간시수표'!AC19,$BR$9),COUNTIF('1.연간시수표'!AC19,$BR$7)),$BR$6,"_")))))))))))))))</f>
        <v>_</v>
      </c>
      <c r="AD19" s="148" t="str">
        <f>IF(OR(COUNTIF('1.연간시수표'!AD19,$AT$9),COUNTIF('1.연간시수표'!AD19,$AT$7)),$AT$6,IF(OR(COUNTIF('1.연간시수표'!AD19,$AU$9),COUNTIF('1.연간시수표'!AD19,$AU$7)),$AU$6,IF(OR(COUNTIF('1.연간시수표'!AD19,$AV$9),COUNTIF('1.연간시수표'!AD19,$AV$7)),$AV$6,IF(OR(COUNTIF('1.연간시수표'!AD19,$AW$9),COUNTIF('1.연간시수표'!AD19,$AW$7)),$AW$6,IF(OR(COUNTIF('1.연간시수표'!AD19,$AX$9),COUNTIF('1.연간시수표'!AD19,$AX$7)),$AX$6,IF(OR(COUNTIF('1.연간시수표'!AD19,$AY$9),COUNTIF('1.연간시수표'!AD19,$AY$7)),$AY$6,IF(OR(COUNTIF('1.연간시수표'!AD19,$AZ$9),COUNTIF('1.연간시수표'!AD19,$AZ$7)),$AZ$6,IF(OR(COUNTIF('1.연간시수표'!AD19,$BA$9),COUNTIF('1.연간시수표'!AD19,$BA$7)),$BA$6,IF(OR(COUNTIF('1.연간시수표'!AD19,$BB$9),COUNTIF('1.연간시수표'!AD19,$BB$7)),$BB$6,IF(OR(COUNTIF('1.연간시수표'!AD19,$BC$9),COUNTIF('1.연간시수표'!AD19,$BC$7)),$BC$6,IF(OR(COUNTIF('1.연간시수표'!AD19,$BF$9),COUNTIF('1.연간시수표'!AD19,$BF$7),COUNTIF('1.연간시수표'!AD19,$BG$9),COUNTIF('1.연간시수표'!AD19,$BG$7),COUNTIF('1.연간시수표'!AD19,$BH$9),COUNTIF('1.연간시수표'!AD19,$BH$7),COUNTIF('1.연간시수표'!AD19,$BI$9),COUNTIF('1.연간시수표'!AD19,$BI$7),COUNTIF('1.연간시수표'!AD19,$BJ$9),COUNTIF('1.연간시수표'!AD19,$BJ$7),COUNTIF('1.연간시수표'!AD19,$BK$9),COUNTIF('1.연간시수표'!AD19,$BK$7),COUNTIF('1.연간시수표'!AD19,$BL$9),COUNTIF('1.연간시수표'!AD19,$BL$7),COUNTIF('1.연간시수표'!AD19,$BM$9),COUNTIF('1.연간시수표'!AD19,$BM$7)),$BF$6,IF(OR(COUNTIF('1.연간시수표'!AD19,$BO$9),COUNTIF('1.연간시수표'!AD19,$BO$7)),$BO$6,IF(OR(COUNTIF('1.연간시수표'!AD19,$BP$9),COUNTIF('1.연간시수표'!AD19,$BP$7)),$BP$6,IF(OR(COUNTIF('1.연간시수표'!AD19,$BQ$9),COUNTIF('1.연간시수표'!AD19,$BQ$7)),$BQ$6,IF(OR(COUNTIF('1.연간시수표'!AD19,$BR$9),COUNTIF('1.연간시수표'!AD19,$BR$7)),$BR$6,"_")))))))))))))))</f>
        <v>_</v>
      </c>
      <c r="AE19" s="148" t="str">
        <f>IF(OR(COUNTIF('1.연간시수표'!AE19,$AT$9),COUNTIF('1.연간시수표'!AE19,$AT$7)),$AT$6,IF(OR(COUNTIF('1.연간시수표'!AE19,$AU$9),COUNTIF('1.연간시수표'!AE19,$AU$7)),$AU$6,IF(OR(COUNTIF('1.연간시수표'!AE19,$AV$9),COUNTIF('1.연간시수표'!AE19,$AV$7)),$AV$6,IF(OR(COUNTIF('1.연간시수표'!AE19,$AW$9),COUNTIF('1.연간시수표'!AE19,$AW$7)),$AW$6,IF(OR(COUNTIF('1.연간시수표'!AE19,$AX$9),COUNTIF('1.연간시수표'!AE19,$AX$7)),$AX$6,IF(OR(COUNTIF('1.연간시수표'!AE19,$AY$9),COUNTIF('1.연간시수표'!AE19,$AY$7)),$AY$6,IF(OR(COUNTIF('1.연간시수표'!AE19,$AZ$9),COUNTIF('1.연간시수표'!AE19,$AZ$7)),$AZ$6,IF(OR(COUNTIF('1.연간시수표'!AE19,$BA$9),COUNTIF('1.연간시수표'!AE19,$BA$7)),$BA$6,IF(OR(COUNTIF('1.연간시수표'!AE19,$BB$9),COUNTIF('1.연간시수표'!AE19,$BB$7)),$BB$6,IF(OR(COUNTIF('1.연간시수표'!AE19,$BC$9),COUNTIF('1.연간시수표'!AE19,$BC$7)),$BC$6,IF(OR(COUNTIF('1.연간시수표'!AE19,$BF$9),COUNTIF('1.연간시수표'!AE19,$BF$7),COUNTIF('1.연간시수표'!AE19,$BG$9),COUNTIF('1.연간시수표'!AE19,$BG$7),COUNTIF('1.연간시수표'!AE19,$BH$9),COUNTIF('1.연간시수표'!AE19,$BH$7),COUNTIF('1.연간시수표'!AE19,$BI$9),COUNTIF('1.연간시수표'!AE19,$BI$7),COUNTIF('1.연간시수표'!AE19,$BJ$9),COUNTIF('1.연간시수표'!AE19,$BJ$7),COUNTIF('1.연간시수표'!AE19,$BK$9),COUNTIF('1.연간시수표'!AE19,$BK$7),COUNTIF('1.연간시수표'!AE19,$BL$9),COUNTIF('1.연간시수표'!AE19,$BL$7),COUNTIF('1.연간시수표'!AE19,$BM$9),COUNTIF('1.연간시수표'!AE19,$BM$7)),$BF$6,IF(OR(COUNTIF('1.연간시수표'!AE19,$BO$9),COUNTIF('1.연간시수표'!AE19,$BO$7)),$BO$6,IF(OR(COUNTIF('1.연간시수표'!AE19,$BP$9),COUNTIF('1.연간시수표'!AE19,$BP$7)),$BP$6,IF(OR(COUNTIF('1.연간시수표'!AE19,$BQ$9),COUNTIF('1.연간시수표'!AE19,$BQ$7)),$BQ$6,IF(OR(COUNTIF('1.연간시수표'!AE19,$BR$9),COUNTIF('1.연간시수표'!AE19,$BR$7)),$BR$6,"_")))))))))))))))</f>
        <v>_</v>
      </c>
      <c r="AF19" s="148" t="str">
        <f>IF(OR(COUNTIF('1.연간시수표'!AF19,$AT$9),COUNTIF('1.연간시수표'!AF19,$AT$7)),$AT$6,IF(OR(COUNTIF('1.연간시수표'!AF19,$AU$9),COUNTIF('1.연간시수표'!AF19,$AU$7)),$AU$6,IF(OR(COUNTIF('1.연간시수표'!AF19,$AV$9),COUNTIF('1.연간시수표'!AF19,$AV$7)),$AV$6,IF(OR(COUNTIF('1.연간시수표'!AF19,$AW$9),COUNTIF('1.연간시수표'!AF19,$AW$7)),$AW$6,IF(OR(COUNTIF('1.연간시수표'!AF19,$AX$9),COUNTIF('1.연간시수표'!AF19,$AX$7)),$AX$6,IF(OR(COUNTIF('1.연간시수표'!AF19,$AY$9),COUNTIF('1.연간시수표'!AF19,$AY$7)),$AY$6,IF(OR(COUNTIF('1.연간시수표'!AF19,$AZ$9),COUNTIF('1.연간시수표'!AF19,$AZ$7)),$AZ$6,IF(OR(COUNTIF('1.연간시수표'!AF19,$BA$9),COUNTIF('1.연간시수표'!AF19,$BA$7)),$BA$6,IF(OR(COUNTIF('1.연간시수표'!AF19,$BB$9),COUNTIF('1.연간시수표'!AF19,$BB$7)),$BB$6,IF(OR(COUNTIF('1.연간시수표'!AF19,$BC$9),COUNTIF('1.연간시수표'!AF19,$BC$7)),$BC$6,IF(OR(COUNTIF('1.연간시수표'!AF19,$BF$9),COUNTIF('1.연간시수표'!AF19,$BF$7),COUNTIF('1.연간시수표'!AF19,$BG$9),COUNTIF('1.연간시수표'!AF19,$BG$7),COUNTIF('1.연간시수표'!AF19,$BH$9),COUNTIF('1.연간시수표'!AF19,$BH$7),COUNTIF('1.연간시수표'!AF19,$BI$9),COUNTIF('1.연간시수표'!AF19,$BI$7),COUNTIF('1.연간시수표'!AF19,$BJ$9),COUNTIF('1.연간시수표'!AF19,$BJ$7),COUNTIF('1.연간시수표'!AF19,$BK$9),COUNTIF('1.연간시수표'!AF19,$BK$7),COUNTIF('1.연간시수표'!AF19,$BL$9),COUNTIF('1.연간시수표'!AF19,$BL$7),COUNTIF('1.연간시수표'!AF19,$BM$9),COUNTIF('1.연간시수표'!AF19,$BM$7)),$BF$6,IF(OR(COUNTIF('1.연간시수표'!AF19,$BO$9),COUNTIF('1.연간시수표'!AF19,$BO$7)),$BO$6,IF(OR(COUNTIF('1.연간시수표'!AF19,$BP$9),COUNTIF('1.연간시수표'!AF19,$BP$7)),$BP$6,IF(OR(COUNTIF('1.연간시수표'!AF19,$BQ$9),COUNTIF('1.연간시수표'!AF19,$BQ$7)),$BQ$6,IF(OR(COUNTIF('1.연간시수표'!AF19,$BR$9),COUNTIF('1.연간시수표'!AF19,$BR$7)),$BR$6,"_")))))))))))))))</f>
        <v>_</v>
      </c>
      <c r="AG19" s="148" t="str">
        <f>IF(OR(COUNTIF('1.연간시수표'!AG19,$AT$9),COUNTIF('1.연간시수표'!AG19,$AT$7)),$AT$6,IF(OR(COUNTIF('1.연간시수표'!AG19,$AU$9),COUNTIF('1.연간시수표'!AG19,$AU$7)),$AU$6,IF(OR(COUNTIF('1.연간시수표'!AG19,$AV$9),COUNTIF('1.연간시수표'!AG19,$AV$7)),$AV$6,IF(OR(COUNTIF('1.연간시수표'!AG19,$AW$9),COUNTIF('1.연간시수표'!AG19,$AW$7)),$AW$6,IF(OR(COUNTIF('1.연간시수표'!AG19,$AX$9),COUNTIF('1.연간시수표'!AG19,$AX$7)),$AX$6,IF(OR(COUNTIF('1.연간시수표'!AG19,$AY$9),COUNTIF('1.연간시수표'!AG19,$AY$7)),$AY$6,IF(OR(COUNTIF('1.연간시수표'!AG19,$AZ$9),COUNTIF('1.연간시수표'!AG19,$AZ$7)),$AZ$6,IF(OR(COUNTIF('1.연간시수표'!AG19,$BA$9),COUNTIF('1.연간시수표'!AG19,$BA$7)),$BA$6,IF(OR(COUNTIF('1.연간시수표'!AG19,$BB$9),COUNTIF('1.연간시수표'!AG19,$BB$7)),$BB$6,IF(OR(COUNTIF('1.연간시수표'!AG19,$BC$9),COUNTIF('1.연간시수표'!AG19,$BC$7)),$BC$6,IF(OR(COUNTIF('1.연간시수표'!AG19,$BF$9),COUNTIF('1.연간시수표'!AG19,$BF$7),COUNTIF('1.연간시수표'!AG19,$BG$9),COUNTIF('1.연간시수표'!AG19,$BG$7),COUNTIF('1.연간시수표'!AG19,$BH$9),COUNTIF('1.연간시수표'!AG19,$BH$7),COUNTIF('1.연간시수표'!AG19,$BI$9),COUNTIF('1.연간시수표'!AG19,$BI$7),COUNTIF('1.연간시수표'!AG19,$BJ$9),COUNTIF('1.연간시수표'!AG19,$BJ$7),COUNTIF('1.연간시수표'!AG19,$BK$9),COUNTIF('1.연간시수표'!AG19,$BK$7),COUNTIF('1.연간시수표'!AG19,$BL$9),COUNTIF('1.연간시수표'!AG19,$BL$7),COUNTIF('1.연간시수표'!AG19,$BM$9),COUNTIF('1.연간시수표'!AG19,$BM$7)),$BF$6,IF(OR(COUNTIF('1.연간시수표'!AG19,$BO$9),COUNTIF('1.연간시수표'!AG19,$BO$7)),$BO$6,IF(OR(COUNTIF('1.연간시수표'!AG19,$BP$9),COUNTIF('1.연간시수표'!AG19,$BP$7)),$BP$6,IF(OR(COUNTIF('1.연간시수표'!AG19,$BQ$9),COUNTIF('1.연간시수표'!AG19,$BQ$7)),$BQ$6,IF(OR(COUNTIF('1.연간시수표'!AG19,$BR$9),COUNTIF('1.연간시수표'!AG19,$BR$7)),$BR$6,"_")))))))))))))))</f>
        <v>_</v>
      </c>
      <c r="AH19" s="148" t="str">
        <f>IF(OR(COUNTIF('1.연간시수표'!AH19,$AT$9),COUNTIF('1.연간시수표'!AH19,$AT$7)),$AT$6,IF(OR(COUNTIF('1.연간시수표'!AH19,$AU$9),COUNTIF('1.연간시수표'!AH19,$AU$7)),$AU$6,IF(OR(COUNTIF('1.연간시수표'!AH19,$AV$9),COUNTIF('1.연간시수표'!AH19,$AV$7)),$AV$6,IF(OR(COUNTIF('1.연간시수표'!AH19,$AW$9),COUNTIF('1.연간시수표'!AH19,$AW$7)),$AW$6,IF(OR(COUNTIF('1.연간시수표'!AH19,$AX$9),COUNTIF('1.연간시수표'!AH19,$AX$7)),$AX$6,IF(OR(COUNTIF('1.연간시수표'!AH19,$AY$9),COUNTIF('1.연간시수표'!AH19,$AY$7)),$AY$6,IF(OR(COUNTIF('1.연간시수표'!AH19,$AZ$9),COUNTIF('1.연간시수표'!AH19,$AZ$7)),$AZ$6,IF(OR(COUNTIF('1.연간시수표'!AH19,$BA$9),COUNTIF('1.연간시수표'!AH19,$BA$7)),$BA$6,IF(OR(COUNTIF('1.연간시수표'!AH19,$BB$9),COUNTIF('1.연간시수표'!AH19,$BB$7)),$BB$6,IF(OR(COUNTIF('1.연간시수표'!AH19,$BC$9),COUNTIF('1.연간시수표'!AH19,$BC$7)),$BC$6,IF(OR(COUNTIF('1.연간시수표'!AH19,$BF$9),COUNTIF('1.연간시수표'!AH19,$BF$7),COUNTIF('1.연간시수표'!AH19,$BG$9),COUNTIF('1.연간시수표'!AH19,$BG$7),COUNTIF('1.연간시수표'!AH19,$BH$9),COUNTIF('1.연간시수표'!AH19,$BH$7),COUNTIF('1.연간시수표'!AH19,$BI$9),COUNTIF('1.연간시수표'!AH19,$BI$7),COUNTIF('1.연간시수표'!AH19,$BJ$9),COUNTIF('1.연간시수표'!AH19,$BJ$7),COUNTIF('1.연간시수표'!AH19,$BK$9),COUNTIF('1.연간시수표'!AH19,$BK$7),COUNTIF('1.연간시수표'!AH19,$BL$9),COUNTIF('1.연간시수표'!AH19,$BL$7),COUNTIF('1.연간시수표'!AH19,$BM$9),COUNTIF('1.연간시수표'!AH19,$BM$7)),$BF$6,IF(OR(COUNTIF('1.연간시수표'!AH19,$BO$9),COUNTIF('1.연간시수표'!AH19,$BO$7)),$BO$6,IF(OR(COUNTIF('1.연간시수표'!AH19,$BP$9),COUNTIF('1.연간시수표'!AH19,$BP$7)),$BP$6,IF(OR(COUNTIF('1.연간시수표'!AH19,$BQ$9),COUNTIF('1.연간시수표'!AH19,$BQ$7)),$BQ$6,IF(OR(COUNTIF('1.연간시수표'!AH19,$BR$9),COUNTIF('1.연간시수표'!AH19,$BR$7)),$BR$6,"_")))))))))))))))</f>
        <v>_</v>
      </c>
      <c r="AI19" s="148" t="str">
        <f>IF(OR(COUNTIF('1.연간시수표'!AI19,$AT$9),COUNTIF('1.연간시수표'!AI19,$AT$7)),$AT$6,IF(OR(COUNTIF('1.연간시수표'!AI19,$AU$9),COUNTIF('1.연간시수표'!AI19,$AU$7)),$AU$6,IF(OR(COUNTIF('1.연간시수표'!AI19,$AV$9),COUNTIF('1.연간시수표'!AI19,$AV$7)),$AV$6,IF(OR(COUNTIF('1.연간시수표'!AI19,$AW$9),COUNTIF('1.연간시수표'!AI19,$AW$7)),$AW$6,IF(OR(COUNTIF('1.연간시수표'!AI19,$AX$9),COUNTIF('1.연간시수표'!AI19,$AX$7)),$AX$6,IF(OR(COUNTIF('1.연간시수표'!AI19,$AY$9),COUNTIF('1.연간시수표'!AI19,$AY$7)),$AY$6,IF(OR(COUNTIF('1.연간시수표'!AI19,$AZ$9),COUNTIF('1.연간시수표'!AI19,$AZ$7)),$AZ$6,IF(OR(COUNTIF('1.연간시수표'!AI19,$BA$9),COUNTIF('1.연간시수표'!AI19,$BA$7)),$BA$6,IF(OR(COUNTIF('1.연간시수표'!AI19,$BB$9),COUNTIF('1.연간시수표'!AI19,$BB$7)),$BB$6,IF(OR(COUNTIF('1.연간시수표'!AI19,$BC$9),COUNTIF('1.연간시수표'!AI19,$BC$7)),$BC$6,IF(OR(COUNTIF('1.연간시수표'!AI19,$BF$9),COUNTIF('1.연간시수표'!AI19,$BF$7),COUNTIF('1.연간시수표'!AI19,$BG$9),COUNTIF('1.연간시수표'!AI19,$BG$7),COUNTIF('1.연간시수표'!AI19,$BH$9),COUNTIF('1.연간시수표'!AI19,$BH$7),COUNTIF('1.연간시수표'!AI19,$BI$9),COUNTIF('1.연간시수표'!AI19,$BI$7),COUNTIF('1.연간시수표'!AI19,$BJ$9),COUNTIF('1.연간시수표'!AI19,$BJ$7),COUNTIF('1.연간시수표'!AI19,$BK$9),COUNTIF('1.연간시수표'!AI19,$BK$7),COUNTIF('1.연간시수표'!AI19,$BL$9),COUNTIF('1.연간시수표'!AI19,$BL$7),COUNTIF('1.연간시수표'!AI19,$BM$9),COUNTIF('1.연간시수표'!AI19,$BM$7)),$BF$6,IF(OR(COUNTIF('1.연간시수표'!AI19,$BO$9),COUNTIF('1.연간시수표'!AI19,$BO$7)),$BO$6,IF(OR(COUNTIF('1.연간시수표'!AI19,$BP$9),COUNTIF('1.연간시수표'!AI19,$BP$7)),$BP$6,IF(OR(COUNTIF('1.연간시수표'!AI19,$BQ$9),COUNTIF('1.연간시수표'!AI19,$BQ$7)),$BQ$6,IF(OR(COUNTIF('1.연간시수표'!AI19,$BR$9),COUNTIF('1.연간시수표'!AI19,$BR$7)),$BR$6,"_")))))))))))))))</f>
        <v>_</v>
      </c>
      <c r="AJ19" s="148" t="str">
        <f>IF(OR(COUNTIF('1.연간시수표'!AJ19,$AT$9),COUNTIF('1.연간시수표'!AJ19,$AT$7)),$AT$6,IF(OR(COUNTIF('1.연간시수표'!AJ19,$AU$9),COUNTIF('1.연간시수표'!AJ19,$AU$7)),$AU$6,IF(OR(COUNTIF('1.연간시수표'!AJ19,$AV$9),COUNTIF('1.연간시수표'!AJ19,$AV$7)),$AV$6,IF(OR(COUNTIF('1.연간시수표'!AJ19,$AW$9),COUNTIF('1.연간시수표'!AJ19,$AW$7)),$AW$6,IF(OR(COUNTIF('1.연간시수표'!AJ19,$AX$9),COUNTIF('1.연간시수표'!AJ19,$AX$7)),$AX$6,IF(OR(COUNTIF('1.연간시수표'!AJ19,$AY$9),COUNTIF('1.연간시수표'!AJ19,$AY$7)),$AY$6,IF(OR(COUNTIF('1.연간시수표'!AJ19,$AZ$9),COUNTIF('1.연간시수표'!AJ19,$AZ$7)),$AZ$6,IF(OR(COUNTIF('1.연간시수표'!AJ19,$BA$9),COUNTIF('1.연간시수표'!AJ19,$BA$7)),$BA$6,IF(OR(COUNTIF('1.연간시수표'!AJ19,$BB$9),COUNTIF('1.연간시수표'!AJ19,$BB$7)),$BB$6,IF(OR(COUNTIF('1.연간시수표'!AJ19,$BC$9),COUNTIF('1.연간시수표'!AJ19,$BC$7)),$BC$6,IF(OR(COUNTIF('1.연간시수표'!AJ19,$BF$9),COUNTIF('1.연간시수표'!AJ19,$BF$7),COUNTIF('1.연간시수표'!AJ19,$BG$9),COUNTIF('1.연간시수표'!AJ19,$BG$7),COUNTIF('1.연간시수표'!AJ19,$BH$9),COUNTIF('1.연간시수표'!AJ19,$BH$7),COUNTIF('1.연간시수표'!AJ19,$BI$9),COUNTIF('1.연간시수표'!AJ19,$BI$7),COUNTIF('1.연간시수표'!AJ19,$BJ$9),COUNTIF('1.연간시수표'!AJ19,$BJ$7),COUNTIF('1.연간시수표'!AJ19,$BK$9),COUNTIF('1.연간시수표'!AJ19,$BK$7),COUNTIF('1.연간시수표'!AJ19,$BL$9),COUNTIF('1.연간시수표'!AJ19,$BL$7),COUNTIF('1.연간시수표'!AJ19,$BM$9),COUNTIF('1.연간시수표'!AJ19,$BM$7)),$BF$6,IF(OR(COUNTIF('1.연간시수표'!AJ19,$BO$9),COUNTIF('1.연간시수표'!AJ19,$BO$7)),$BO$6,IF(OR(COUNTIF('1.연간시수표'!AJ19,$BP$9),COUNTIF('1.연간시수표'!AJ19,$BP$7)),$BP$6,IF(OR(COUNTIF('1.연간시수표'!AJ19,$BQ$9),COUNTIF('1.연간시수표'!AJ19,$BQ$7)),$BQ$6,IF(OR(COUNTIF('1.연간시수표'!AJ19,$BR$9),COUNTIF('1.연간시수표'!AJ19,$BR$7)),$BR$6,"_")))))))))))))))</f>
        <v>_</v>
      </c>
      <c r="AK19" s="148" t="str">
        <f>IF(OR(COUNTIF('1.연간시수표'!AK19,$AT$9),COUNTIF('1.연간시수표'!AK19,$AT$7)),$AT$6,IF(OR(COUNTIF('1.연간시수표'!AK19,$AU$9),COUNTIF('1.연간시수표'!AK19,$AU$7)),$AU$6,IF(OR(COUNTIF('1.연간시수표'!AK19,$AV$9),COUNTIF('1.연간시수표'!AK19,$AV$7)),$AV$6,IF(OR(COUNTIF('1.연간시수표'!AK19,$AW$9),COUNTIF('1.연간시수표'!AK19,$AW$7)),$AW$6,IF(OR(COUNTIF('1.연간시수표'!AK19,$AX$9),COUNTIF('1.연간시수표'!AK19,$AX$7)),$AX$6,IF(OR(COUNTIF('1.연간시수표'!AK19,$AY$9),COUNTIF('1.연간시수표'!AK19,$AY$7)),$AY$6,IF(OR(COUNTIF('1.연간시수표'!AK19,$AZ$9),COUNTIF('1.연간시수표'!AK19,$AZ$7)),$AZ$6,IF(OR(COUNTIF('1.연간시수표'!AK19,$BA$9),COUNTIF('1.연간시수표'!AK19,$BA$7)),$BA$6,IF(OR(COUNTIF('1.연간시수표'!AK19,$BB$9),COUNTIF('1.연간시수표'!AK19,$BB$7)),$BB$6,IF(OR(COUNTIF('1.연간시수표'!AK19,$BC$9),COUNTIF('1.연간시수표'!AK19,$BC$7)),$BC$6,IF(OR(COUNTIF('1.연간시수표'!AK19,$BF$9),COUNTIF('1.연간시수표'!AK19,$BF$7),COUNTIF('1.연간시수표'!AK19,$BG$9),COUNTIF('1.연간시수표'!AK19,$BG$7),COUNTIF('1.연간시수표'!AK19,$BH$9),COUNTIF('1.연간시수표'!AK19,$BH$7),COUNTIF('1.연간시수표'!AK19,$BI$9),COUNTIF('1.연간시수표'!AK19,$BI$7),COUNTIF('1.연간시수표'!AK19,$BJ$9),COUNTIF('1.연간시수표'!AK19,$BJ$7),COUNTIF('1.연간시수표'!AK19,$BK$9),COUNTIF('1.연간시수표'!AK19,$BK$7),COUNTIF('1.연간시수표'!AK19,$BL$9),COUNTIF('1.연간시수표'!AK19,$BL$7),COUNTIF('1.연간시수표'!AK19,$BM$9),COUNTIF('1.연간시수표'!AK19,$BM$7)),$BF$6,IF(OR(COUNTIF('1.연간시수표'!AK19,$BO$9),COUNTIF('1.연간시수표'!AK19,$BO$7)),$BO$6,IF(OR(COUNTIF('1.연간시수표'!AK19,$BP$9),COUNTIF('1.연간시수표'!AK19,$BP$7)),$BP$6,IF(OR(COUNTIF('1.연간시수표'!AK19,$BQ$9),COUNTIF('1.연간시수표'!AK19,$BQ$7)),$BQ$6,IF(OR(COUNTIF('1.연간시수표'!AK19,$BR$9),COUNTIF('1.연간시수표'!AK19,$BR$7)),$BR$6,"_")))))))))))))))</f>
        <v>_</v>
      </c>
      <c r="AL19" s="148" t="str">
        <f>IF(OR(COUNTIF('1.연간시수표'!AL19,$AT$9),COUNTIF('1.연간시수표'!AL19,$AT$7)),$AT$6,IF(OR(COUNTIF('1.연간시수표'!AL19,$AU$9),COUNTIF('1.연간시수표'!AL19,$AU$7)),$AU$6,IF(OR(COUNTIF('1.연간시수표'!AL19,$AV$9),COUNTIF('1.연간시수표'!AL19,$AV$7)),$AV$6,IF(OR(COUNTIF('1.연간시수표'!AL19,$AW$9),COUNTIF('1.연간시수표'!AL19,$AW$7)),$AW$6,IF(OR(COUNTIF('1.연간시수표'!AL19,$AX$9),COUNTIF('1.연간시수표'!AL19,$AX$7)),$AX$6,IF(OR(COUNTIF('1.연간시수표'!AL19,$AY$9),COUNTIF('1.연간시수표'!AL19,$AY$7)),$AY$6,IF(OR(COUNTIF('1.연간시수표'!AL19,$AZ$9),COUNTIF('1.연간시수표'!AL19,$AZ$7)),$AZ$6,IF(OR(COUNTIF('1.연간시수표'!AL19,$BA$9),COUNTIF('1.연간시수표'!AL19,$BA$7)),$BA$6,IF(OR(COUNTIF('1.연간시수표'!AL19,$BB$9),COUNTIF('1.연간시수표'!AL19,$BB$7)),$BB$6,IF(OR(COUNTIF('1.연간시수표'!AL19,$BC$9),COUNTIF('1.연간시수표'!AL19,$BC$7)),$BC$6,IF(OR(COUNTIF('1.연간시수표'!AL19,$BF$9),COUNTIF('1.연간시수표'!AL19,$BF$7),COUNTIF('1.연간시수표'!AL19,$BG$9),COUNTIF('1.연간시수표'!AL19,$BG$7),COUNTIF('1.연간시수표'!AL19,$BH$9),COUNTIF('1.연간시수표'!AL19,$BH$7),COUNTIF('1.연간시수표'!AL19,$BI$9),COUNTIF('1.연간시수표'!AL19,$BI$7),COUNTIF('1.연간시수표'!AL19,$BJ$9),COUNTIF('1.연간시수표'!AL19,$BJ$7),COUNTIF('1.연간시수표'!AL19,$BK$9),COUNTIF('1.연간시수표'!AL19,$BK$7),COUNTIF('1.연간시수표'!AL19,$BL$9),COUNTIF('1.연간시수표'!AL19,$BL$7),COUNTIF('1.연간시수표'!AL19,$BM$9),COUNTIF('1.연간시수표'!AL19,$BM$7)),$BF$6,IF(OR(COUNTIF('1.연간시수표'!AL19,$BO$9),COUNTIF('1.연간시수표'!AL19,$BO$7)),$BO$6,IF(OR(COUNTIF('1.연간시수표'!AL19,$BP$9),COUNTIF('1.연간시수표'!AL19,$BP$7)),$BP$6,IF(OR(COUNTIF('1.연간시수표'!AL19,$BQ$9),COUNTIF('1.연간시수표'!AL19,$BQ$7)),$BQ$6,IF(OR(COUNTIF('1.연간시수표'!AL19,$BR$9),COUNTIF('1.연간시수표'!AL19,$BR$7)),$BR$6,"_")))))))))))))))</f>
        <v>_</v>
      </c>
      <c r="AM19" s="148" t="str">
        <f>IF(OR(COUNTIF('1.연간시수표'!AM19,$AT$9),COUNTIF('1.연간시수표'!AM19,$AT$7)),$AT$6,IF(OR(COUNTIF('1.연간시수표'!AM19,$AU$9),COUNTIF('1.연간시수표'!AM19,$AU$7)),$AU$6,IF(OR(COUNTIF('1.연간시수표'!AM19,$AV$9),COUNTIF('1.연간시수표'!AM19,$AV$7)),$AV$6,IF(OR(COUNTIF('1.연간시수표'!AM19,$AW$9),COUNTIF('1.연간시수표'!AM19,$AW$7)),$AW$6,IF(OR(COUNTIF('1.연간시수표'!AM19,$AX$9),COUNTIF('1.연간시수표'!AM19,$AX$7)),$AX$6,IF(OR(COUNTIF('1.연간시수표'!AM19,$AY$9),COUNTIF('1.연간시수표'!AM19,$AY$7)),$AY$6,IF(OR(COUNTIF('1.연간시수표'!AM19,$AZ$9),COUNTIF('1.연간시수표'!AM19,$AZ$7)),$AZ$6,IF(OR(COUNTIF('1.연간시수표'!AM19,$BA$9),COUNTIF('1.연간시수표'!AM19,$BA$7)),$BA$6,IF(OR(COUNTIF('1.연간시수표'!AM19,$BB$9),COUNTIF('1.연간시수표'!AM19,$BB$7)),$BB$6,IF(OR(COUNTIF('1.연간시수표'!AM19,$BC$9),COUNTIF('1.연간시수표'!AM19,$BC$7)),$BC$6,IF(OR(COUNTIF('1.연간시수표'!AM19,$BF$9),COUNTIF('1.연간시수표'!AM19,$BF$7),COUNTIF('1.연간시수표'!AM19,$BG$9),COUNTIF('1.연간시수표'!AM19,$BG$7),COUNTIF('1.연간시수표'!AM19,$BH$9),COUNTIF('1.연간시수표'!AM19,$BH$7),COUNTIF('1.연간시수표'!AM19,$BI$9),COUNTIF('1.연간시수표'!AM19,$BI$7),COUNTIF('1.연간시수표'!AM19,$BJ$9),COUNTIF('1.연간시수표'!AM19,$BJ$7),COUNTIF('1.연간시수표'!AM19,$BK$9),COUNTIF('1.연간시수표'!AM19,$BK$7),COUNTIF('1.연간시수표'!AM19,$BL$9),COUNTIF('1.연간시수표'!AM19,$BL$7),COUNTIF('1.연간시수표'!AM19,$BM$9),COUNTIF('1.연간시수표'!AM19,$BM$7)),$BF$6,IF(OR(COUNTIF('1.연간시수표'!AM19,$BO$9),COUNTIF('1.연간시수표'!AM19,$BO$7)),$BO$6,IF(OR(COUNTIF('1.연간시수표'!AM19,$BP$9),COUNTIF('1.연간시수표'!AM19,$BP$7)),$BP$6,IF(OR(COUNTIF('1.연간시수표'!AM19,$BQ$9),COUNTIF('1.연간시수표'!AM19,$BQ$7)),$BQ$6,IF(OR(COUNTIF('1.연간시수표'!AM19,$BR$9),COUNTIF('1.연간시수표'!AM19,$BR$7)),$BR$6,"_")))))))))))))))</f>
        <v>_</v>
      </c>
      <c r="AN19" s="148" t="str">
        <f>IF(OR(COUNTIF('1.연간시수표'!AN19,$AT$9),COUNTIF('1.연간시수표'!AN19,$AT$7)),$AT$6,IF(OR(COUNTIF('1.연간시수표'!AN19,$AU$9),COUNTIF('1.연간시수표'!AN19,$AU$7)),$AU$6,IF(OR(COUNTIF('1.연간시수표'!AN19,$AV$9),COUNTIF('1.연간시수표'!AN19,$AV$7)),$AV$6,IF(OR(COUNTIF('1.연간시수표'!AN19,$AW$9),COUNTIF('1.연간시수표'!AN19,$AW$7)),$AW$6,IF(OR(COUNTIF('1.연간시수표'!AN19,$AX$9),COUNTIF('1.연간시수표'!AN19,$AX$7)),$AX$6,IF(OR(COUNTIF('1.연간시수표'!AN19,$AY$9),COUNTIF('1.연간시수표'!AN19,$AY$7)),$AY$6,IF(OR(COUNTIF('1.연간시수표'!AN19,$AZ$9),COUNTIF('1.연간시수표'!AN19,$AZ$7)),$AZ$6,IF(OR(COUNTIF('1.연간시수표'!AN19,$BA$9),COUNTIF('1.연간시수표'!AN19,$BA$7)),$BA$6,IF(OR(COUNTIF('1.연간시수표'!AN19,$BB$9),COUNTIF('1.연간시수표'!AN19,$BB$7)),$BB$6,IF(OR(COUNTIF('1.연간시수표'!AN19,$BC$9),COUNTIF('1.연간시수표'!AN19,$BC$7)),$BC$6,IF(OR(COUNTIF('1.연간시수표'!AN19,$BF$9),COUNTIF('1.연간시수표'!AN19,$BF$7),COUNTIF('1.연간시수표'!AN19,$BG$9),COUNTIF('1.연간시수표'!AN19,$BG$7),COUNTIF('1.연간시수표'!AN19,$BH$9),COUNTIF('1.연간시수표'!AN19,$BH$7),COUNTIF('1.연간시수표'!AN19,$BI$9),COUNTIF('1.연간시수표'!AN19,$BI$7),COUNTIF('1.연간시수표'!AN19,$BJ$9),COUNTIF('1.연간시수표'!AN19,$BJ$7),COUNTIF('1.연간시수표'!AN19,$BK$9),COUNTIF('1.연간시수표'!AN19,$BK$7),COUNTIF('1.연간시수표'!AN19,$BL$9),COUNTIF('1.연간시수표'!AN19,$BL$7),COUNTIF('1.연간시수표'!AN19,$BM$9),COUNTIF('1.연간시수표'!AN19,$BM$7)),$BF$6,IF(OR(COUNTIF('1.연간시수표'!AN19,$BO$9),COUNTIF('1.연간시수표'!AN19,$BO$7)),$BO$6,IF(OR(COUNTIF('1.연간시수표'!AN19,$BP$9),COUNTIF('1.연간시수표'!AN19,$BP$7)),$BP$6,IF(OR(COUNTIF('1.연간시수표'!AN19,$BQ$9),COUNTIF('1.연간시수표'!AN19,$BQ$7)),$BQ$6,IF(OR(COUNTIF('1.연간시수표'!AN19,$BR$9),COUNTIF('1.연간시수표'!AN19,$BR$7)),$BR$6,"_")))))))))))))))</f>
        <v>_</v>
      </c>
      <c r="AO19" s="148" t="str">
        <f>IF(OR(COUNTIF('1.연간시수표'!AO19,$AT$9),COUNTIF('1.연간시수표'!AO19,$AT$7)),$AT$6,IF(OR(COUNTIF('1.연간시수표'!AO19,$AU$9),COUNTIF('1.연간시수표'!AO19,$AU$7)),$AU$6,IF(OR(COUNTIF('1.연간시수표'!AO19,$AV$9),COUNTIF('1.연간시수표'!AO19,$AV$7)),$AV$6,IF(OR(COUNTIF('1.연간시수표'!AO19,$AW$9),COUNTIF('1.연간시수표'!AO19,$AW$7)),$AW$6,IF(OR(COUNTIF('1.연간시수표'!AO19,$AX$9),COUNTIF('1.연간시수표'!AO19,$AX$7)),$AX$6,IF(OR(COUNTIF('1.연간시수표'!AO19,$AY$9),COUNTIF('1.연간시수표'!AO19,$AY$7)),$AY$6,IF(OR(COUNTIF('1.연간시수표'!AO19,$AZ$9),COUNTIF('1.연간시수표'!AO19,$AZ$7)),$AZ$6,IF(OR(COUNTIF('1.연간시수표'!AO19,$BA$9),COUNTIF('1.연간시수표'!AO19,$BA$7)),$BA$6,IF(OR(COUNTIF('1.연간시수표'!AO19,$BB$9),COUNTIF('1.연간시수표'!AO19,$BB$7)),$BB$6,IF(OR(COUNTIF('1.연간시수표'!AO19,$BC$9),COUNTIF('1.연간시수표'!AO19,$BC$7)),$BC$6,IF(OR(COUNTIF('1.연간시수표'!AO19,$BF$9),COUNTIF('1.연간시수표'!AO19,$BF$7),COUNTIF('1.연간시수표'!AO19,$BG$9),COUNTIF('1.연간시수표'!AO19,$BG$7),COUNTIF('1.연간시수표'!AO19,$BH$9),COUNTIF('1.연간시수표'!AO19,$BH$7),COUNTIF('1.연간시수표'!AO19,$BI$9),COUNTIF('1.연간시수표'!AO19,$BI$7),COUNTIF('1.연간시수표'!AO19,$BJ$9),COUNTIF('1.연간시수표'!AO19,$BJ$7),COUNTIF('1.연간시수표'!AO19,$BK$9),COUNTIF('1.연간시수표'!AO19,$BK$7),COUNTIF('1.연간시수표'!AO19,$BL$9),COUNTIF('1.연간시수표'!AO19,$BL$7),COUNTIF('1.연간시수표'!AO19,$BM$9),COUNTIF('1.연간시수표'!AO19,$BM$7)),$BF$6,IF(OR(COUNTIF('1.연간시수표'!AO19,$BO$9),COUNTIF('1.연간시수표'!AO19,$BO$7)),$BO$6,IF(OR(COUNTIF('1.연간시수표'!AO19,$BP$9),COUNTIF('1.연간시수표'!AO19,$BP$7)),$BP$6,IF(OR(COUNTIF('1.연간시수표'!AO19,$BQ$9),COUNTIF('1.연간시수표'!AO19,$BQ$7)),$BQ$6,IF(OR(COUNTIF('1.연간시수표'!AO19,$BR$9),COUNTIF('1.연간시수표'!AO19,$BR$7)),$BR$6,"_")))))))))))))))</f>
        <v>_</v>
      </c>
      <c r="AP19" s="148" t="str">
        <f>IF(OR(COUNTIF('1.연간시수표'!AP19,$AT$9),COUNTIF('1.연간시수표'!AP19,$AT$7)),$AT$6,IF(OR(COUNTIF('1.연간시수표'!AP19,$AU$9),COUNTIF('1.연간시수표'!AP19,$AU$7)),$AU$6,IF(OR(COUNTIF('1.연간시수표'!AP19,$AV$9),COUNTIF('1.연간시수표'!AP19,$AV$7)),$AV$6,IF(OR(COUNTIF('1.연간시수표'!AP19,$AW$9),COUNTIF('1.연간시수표'!AP19,$AW$7)),$AW$6,IF(OR(COUNTIF('1.연간시수표'!AP19,$AX$9),COUNTIF('1.연간시수표'!AP19,$AX$7)),$AX$6,IF(OR(COUNTIF('1.연간시수표'!AP19,$AY$9),COUNTIF('1.연간시수표'!AP19,$AY$7)),$AY$6,IF(OR(COUNTIF('1.연간시수표'!AP19,$AZ$9),COUNTIF('1.연간시수표'!AP19,$AZ$7)),$AZ$6,IF(OR(COUNTIF('1.연간시수표'!AP19,$BA$9),COUNTIF('1.연간시수표'!AP19,$BA$7)),$BA$6,IF(OR(COUNTIF('1.연간시수표'!AP19,$BB$9),COUNTIF('1.연간시수표'!AP19,$BB$7)),$BB$6,IF(OR(COUNTIF('1.연간시수표'!AP19,$BC$9),COUNTIF('1.연간시수표'!AP19,$BC$7)),$BC$6,IF(OR(COUNTIF('1.연간시수표'!AP19,$BF$9),COUNTIF('1.연간시수표'!AP19,$BF$7),COUNTIF('1.연간시수표'!AP19,$BG$9),COUNTIF('1.연간시수표'!AP19,$BG$7),COUNTIF('1.연간시수표'!AP19,$BH$9),COUNTIF('1.연간시수표'!AP19,$BH$7),COUNTIF('1.연간시수표'!AP19,$BI$9),COUNTIF('1.연간시수표'!AP19,$BI$7),COUNTIF('1.연간시수표'!AP19,$BJ$9),COUNTIF('1.연간시수표'!AP19,$BJ$7),COUNTIF('1.연간시수표'!AP19,$BK$9),COUNTIF('1.연간시수표'!AP19,$BK$7),COUNTIF('1.연간시수표'!AP19,$BL$9),COUNTIF('1.연간시수표'!AP19,$BL$7),COUNTIF('1.연간시수표'!AP19,$BM$9),COUNTIF('1.연간시수표'!AP19,$BM$7)),$BF$6,IF(OR(COUNTIF('1.연간시수표'!AP19,$BO$9),COUNTIF('1.연간시수표'!AP19,$BO$7)),$BO$6,IF(OR(COUNTIF('1.연간시수표'!AP19,$BP$9),COUNTIF('1.연간시수표'!AP19,$BP$7)),$BP$6,IF(OR(COUNTIF('1.연간시수표'!AP19,$BQ$9),COUNTIF('1.연간시수표'!AP19,$BQ$7)),$BQ$6,IF(OR(COUNTIF('1.연간시수표'!AP19,$BR$9),COUNTIF('1.연간시수표'!AP19,$BR$7)),$BR$6,"_")))))))))))))))</f>
        <v>_</v>
      </c>
      <c r="AQ19" s="148" t="str">
        <f>IF(OR(COUNTIF('1.연간시수표'!AQ19,$AT$9),COUNTIF('1.연간시수표'!AQ19,$AT$7)),$AT$6,IF(OR(COUNTIF('1.연간시수표'!AQ19,$AU$9),COUNTIF('1.연간시수표'!AQ19,$AU$7)),$AU$6,IF(OR(COUNTIF('1.연간시수표'!AQ19,$AV$9),COUNTIF('1.연간시수표'!AQ19,$AV$7)),$AV$6,IF(OR(COUNTIF('1.연간시수표'!AQ19,$AW$9),COUNTIF('1.연간시수표'!AQ19,$AW$7)),$AW$6,IF(OR(COUNTIF('1.연간시수표'!AQ19,$AX$9),COUNTIF('1.연간시수표'!AQ19,$AX$7)),$AX$6,IF(OR(COUNTIF('1.연간시수표'!AQ19,$AY$9),COUNTIF('1.연간시수표'!AQ19,$AY$7)),$AY$6,IF(OR(COUNTIF('1.연간시수표'!AQ19,$AZ$9),COUNTIF('1.연간시수표'!AQ19,$AZ$7)),$AZ$6,IF(OR(COUNTIF('1.연간시수표'!AQ19,$BA$9),COUNTIF('1.연간시수표'!AQ19,$BA$7)),$BA$6,IF(OR(COUNTIF('1.연간시수표'!AQ19,$BB$9),COUNTIF('1.연간시수표'!AQ19,$BB$7)),$BB$6,IF(OR(COUNTIF('1.연간시수표'!AQ19,$BC$9),COUNTIF('1.연간시수표'!AQ19,$BC$7)),$BC$6,IF(OR(COUNTIF('1.연간시수표'!AQ19,$BF$9),COUNTIF('1.연간시수표'!AQ19,$BF$7),COUNTIF('1.연간시수표'!AQ19,$BG$9),COUNTIF('1.연간시수표'!AQ19,$BG$7),COUNTIF('1.연간시수표'!AQ19,$BH$9),COUNTIF('1.연간시수표'!AQ19,$BH$7),COUNTIF('1.연간시수표'!AQ19,$BI$9),COUNTIF('1.연간시수표'!AQ19,$BI$7),COUNTIF('1.연간시수표'!AQ19,$BJ$9),COUNTIF('1.연간시수표'!AQ19,$BJ$7),COUNTIF('1.연간시수표'!AQ19,$BK$9),COUNTIF('1.연간시수표'!AQ19,$BK$7),COUNTIF('1.연간시수표'!AQ19,$BL$9),COUNTIF('1.연간시수표'!AQ19,$BL$7),COUNTIF('1.연간시수표'!AQ19,$BM$9),COUNTIF('1.연간시수표'!AQ19,$BM$7)),$BF$6,IF(OR(COUNTIF('1.연간시수표'!AQ19,$BO$9),COUNTIF('1.연간시수표'!AQ19,$BO$7)),$BO$6,IF(OR(COUNTIF('1.연간시수표'!AQ19,$BP$9),COUNTIF('1.연간시수표'!AQ19,$BP$7)),$BP$6,IF(OR(COUNTIF('1.연간시수표'!AQ19,$BQ$9),COUNTIF('1.연간시수표'!AQ19,$BQ$7)),$BQ$6,IF(OR(COUNTIF('1.연간시수표'!AQ19,$BR$9),COUNTIF('1.연간시수표'!AQ19,$BR$7)),$BR$6,"_")))))))))))))))</f>
        <v>_</v>
      </c>
      <c r="AR19" s="148" t="str">
        <f>IF(OR(COUNTIF('1.연간시수표'!AR19,$AT$9),COUNTIF('1.연간시수표'!AR19,$AT$7)),$AT$6,IF(OR(COUNTIF('1.연간시수표'!AR19,$AU$9),COUNTIF('1.연간시수표'!AR19,$AU$7)),$AU$6,IF(OR(COUNTIF('1.연간시수표'!AR19,$AV$9),COUNTIF('1.연간시수표'!AR19,$AV$7)),$AV$6,IF(OR(COUNTIF('1.연간시수표'!AR19,$AW$9),COUNTIF('1.연간시수표'!AR19,$AW$7)),$AW$6,IF(OR(COUNTIF('1.연간시수표'!AR19,$AX$9),COUNTIF('1.연간시수표'!AR19,$AX$7)),$AX$6,IF(OR(COUNTIF('1.연간시수표'!AR19,$AY$9),COUNTIF('1.연간시수표'!AR19,$AY$7)),$AY$6,IF(OR(COUNTIF('1.연간시수표'!AR19,$AZ$9),COUNTIF('1.연간시수표'!AR19,$AZ$7)),$AZ$6,IF(OR(COUNTIF('1.연간시수표'!AR19,$BA$9),COUNTIF('1.연간시수표'!AR19,$BA$7)),$BA$6,IF(OR(COUNTIF('1.연간시수표'!AR19,$BB$9),COUNTIF('1.연간시수표'!AR19,$BB$7)),$BB$6,IF(OR(COUNTIF('1.연간시수표'!AR19,$BC$9),COUNTIF('1.연간시수표'!AR19,$BC$7)),$BC$6,IF(OR(COUNTIF('1.연간시수표'!AR19,$BF$9),COUNTIF('1.연간시수표'!AR19,$BF$7),COUNTIF('1.연간시수표'!AR19,$BG$9),COUNTIF('1.연간시수표'!AR19,$BG$7),COUNTIF('1.연간시수표'!AR19,$BH$9),COUNTIF('1.연간시수표'!AR19,$BH$7),COUNTIF('1.연간시수표'!AR19,$BI$9),COUNTIF('1.연간시수표'!AR19,$BI$7),COUNTIF('1.연간시수표'!AR19,$BJ$9),COUNTIF('1.연간시수표'!AR19,$BJ$7),COUNTIF('1.연간시수표'!AR19,$BK$9),COUNTIF('1.연간시수표'!AR19,$BK$7),COUNTIF('1.연간시수표'!AR19,$BL$9),COUNTIF('1.연간시수표'!AR19,$BL$7),COUNTIF('1.연간시수표'!AR19,$BM$9),COUNTIF('1.연간시수표'!AR19,$BM$7)),$BF$6,IF(OR(COUNTIF('1.연간시수표'!AR19,$BO$9),COUNTIF('1.연간시수표'!AR19,$BO$7)),$BO$6,IF(OR(COUNTIF('1.연간시수표'!AR19,$BP$9),COUNTIF('1.연간시수표'!AR19,$BP$7)),$BP$6,IF(OR(COUNTIF('1.연간시수표'!AR19,$BQ$9),COUNTIF('1.연간시수표'!AR19,$BQ$7)),$BQ$6,IF(OR(COUNTIF('1.연간시수표'!AR19,$BR$9),COUNTIF('1.연간시수표'!AR19,$BR$7)),$BR$6,"_")))))))))))))))</f>
        <v>_</v>
      </c>
      <c r="BU19" s="142" t="str">
        <f>AZ6</f>
        <v>체육</v>
      </c>
      <c r="BV19" s="142" t="str">
        <f t="shared" si="0"/>
        <v>체육</v>
      </c>
    </row>
    <row r="20" spans="2:74">
      <c r="B20" s="6"/>
      <c r="C20" s="79">
        <f>'1.연간시수표'!C20</f>
        <v>11</v>
      </c>
      <c r="D20" s="3"/>
      <c r="E20" s="148" t="str">
        <f>IF(OR(COUNTIF('1.연간시수표'!E20,$AT$9),COUNTIF('1.연간시수표'!E20,$AT$7)),$AT$6,IF(OR(COUNTIF('1.연간시수표'!E20,$AU$9),COUNTIF('1.연간시수표'!E20,$AU$7)),$AU$6,IF(OR(COUNTIF('1.연간시수표'!E20,$AV$9),COUNTIF('1.연간시수표'!E20,$AV$7)),$AV$6,IF(OR(COUNTIF('1.연간시수표'!E20,$AW$9),COUNTIF('1.연간시수표'!E20,$AW$7)),$AW$6,IF(OR(COUNTIF('1.연간시수표'!E20,$AX$9),COUNTIF('1.연간시수표'!E20,$AX$7)),$AX$6,IF(OR(COUNTIF('1.연간시수표'!E20,$AY$9),COUNTIF('1.연간시수표'!E20,$AY$7)),$AY$6,IF(OR(COUNTIF('1.연간시수표'!E20,$AZ$9),COUNTIF('1.연간시수표'!E20,$AZ$7)),$AZ$6,IF(OR(COUNTIF('1.연간시수표'!E20,$BA$9),COUNTIF('1.연간시수표'!E20,$BA$7)),$BA$6,IF(OR(COUNTIF('1.연간시수표'!E20,$BB$9),COUNTIF('1.연간시수표'!E20,$BB$7)),$BB$6,IF(OR(COUNTIF('1.연간시수표'!E20,$BC$9),COUNTIF('1.연간시수표'!E20,$BC$7)),$BC$6,IF(OR(COUNTIF('1.연간시수표'!E20,$BF$9),COUNTIF('1.연간시수표'!E20,$BF$7),COUNTIF('1.연간시수표'!E20,$BG$9),COUNTIF('1.연간시수표'!E20,$BG$7),COUNTIF('1.연간시수표'!E20,$BH$9),COUNTIF('1.연간시수표'!E20,$BH$7),COUNTIF('1.연간시수표'!E20,$BI$9),COUNTIF('1.연간시수표'!E20,$BI$7),COUNTIF('1.연간시수표'!E20,$BJ$9),COUNTIF('1.연간시수표'!E20,$BJ$7),COUNTIF('1.연간시수표'!E20,$BK$9),COUNTIF('1.연간시수표'!E20,$BK$7),COUNTIF('1.연간시수표'!E20,$BL$9),COUNTIF('1.연간시수표'!E20,$BL$7),COUNTIF('1.연간시수표'!E20,$BM$9),COUNTIF('1.연간시수표'!E20,$BM$7)),$BF$6,IF(OR(COUNTIF('1.연간시수표'!E20,$BO$9),COUNTIF('1.연간시수표'!E20,$BO$7)),$BO$6,IF(OR(COUNTIF('1.연간시수표'!E20,$BP$9),COUNTIF('1.연간시수표'!E20,$BP$7)),$BP$6,IF(OR(COUNTIF('1.연간시수표'!E20,$BQ$9),COUNTIF('1.연간시수표'!E20,$BQ$7)),$BQ$6,IF(OR(COUNTIF('1.연간시수표'!E20,$BR$9),COUNTIF('1.연간시수표'!E20,$BR$7)),$BR$6,"_")))))))))))))))</f>
        <v>국어</v>
      </c>
      <c r="F20" s="148" t="str">
        <f>IF(OR(COUNTIF('1.연간시수표'!F20,$AT$9),COUNTIF('1.연간시수표'!F20,$AT$7)),$AT$6,IF(OR(COUNTIF('1.연간시수표'!F20,$AU$9),COUNTIF('1.연간시수표'!F20,$AU$7)),$AU$6,IF(OR(COUNTIF('1.연간시수표'!F20,$AV$9),COUNTIF('1.연간시수표'!F20,$AV$7)),$AV$6,IF(OR(COUNTIF('1.연간시수표'!F20,$AW$9),COUNTIF('1.연간시수표'!F20,$AW$7)),$AW$6,IF(OR(COUNTIF('1.연간시수표'!F20,$AX$9),COUNTIF('1.연간시수표'!F20,$AX$7)),$AX$6,IF(OR(COUNTIF('1.연간시수표'!F20,$AY$9),COUNTIF('1.연간시수표'!F20,$AY$7)),$AY$6,IF(OR(COUNTIF('1.연간시수표'!F20,$AZ$9),COUNTIF('1.연간시수표'!F20,$AZ$7)),$AZ$6,IF(OR(COUNTIF('1.연간시수표'!F20,$BA$9),COUNTIF('1.연간시수표'!F20,$BA$7)),$BA$6,IF(OR(COUNTIF('1.연간시수표'!F20,$BB$9),COUNTIF('1.연간시수표'!F20,$BB$7)),$BB$6,IF(OR(COUNTIF('1.연간시수표'!F20,$BC$9),COUNTIF('1.연간시수표'!F20,$BC$7)),$BC$6,IF(OR(COUNTIF('1.연간시수표'!F20,$BF$9),COUNTIF('1.연간시수표'!F20,$BF$7),COUNTIF('1.연간시수표'!F20,$BG$9),COUNTIF('1.연간시수표'!F20,$BG$7),COUNTIF('1.연간시수표'!F20,$BH$9),COUNTIF('1.연간시수표'!F20,$BH$7),COUNTIF('1.연간시수표'!F20,$BI$9),COUNTIF('1.연간시수표'!F20,$BI$7),COUNTIF('1.연간시수표'!F20,$BJ$9),COUNTIF('1.연간시수표'!F20,$BJ$7),COUNTIF('1.연간시수표'!F20,$BK$9),COUNTIF('1.연간시수표'!F20,$BK$7),COUNTIF('1.연간시수표'!F20,$BL$9),COUNTIF('1.연간시수표'!F20,$BL$7),COUNTIF('1.연간시수표'!F20,$BM$9),COUNTIF('1.연간시수표'!F20,$BM$7)),$BF$6,IF(OR(COUNTIF('1.연간시수표'!F20,$BO$9),COUNTIF('1.연간시수표'!F20,$BO$7)),$BO$6,IF(OR(COUNTIF('1.연간시수표'!F20,$BP$9),COUNTIF('1.연간시수표'!F20,$BP$7)),$BP$6,IF(OR(COUNTIF('1.연간시수표'!F20,$BQ$9),COUNTIF('1.연간시수표'!F20,$BQ$7)),$BQ$6,IF(OR(COUNTIF('1.연간시수표'!F20,$BR$9),COUNTIF('1.연간시수표'!F20,$BR$7)),$BR$6,"_")))))))))))))))</f>
        <v>미술</v>
      </c>
      <c r="G20" s="148" t="str">
        <f>IF(OR(COUNTIF('1.연간시수표'!G20,$AT$9),COUNTIF('1.연간시수표'!G20,$AT$7)),$AT$6,IF(OR(COUNTIF('1.연간시수표'!G20,$AU$9),COUNTIF('1.연간시수표'!G20,$AU$7)),$AU$6,IF(OR(COUNTIF('1.연간시수표'!G20,$AV$9),COUNTIF('1.연간시수표'!G20,$AV$7)),$AV$6,IF(OR(COUNTIF('1.연간시수표'!G20,$AW$9),COUNTIF('1.연간시수표'!G20,$AW$7)),$AW$6,IF(OR(COUNTIF('1.연간시수표'!G20,$AX$9),COUNTIF('1.연간시수표'!G20,$AX$7)),$AX$6,IF(OR(COUNTIF('1.연간시수표'!G20,$AY$9),COUNTIF('1.연간시수표'!G20,$AY$7)),$AY$6,IF(OR(COUNTIF('1.연간시수표'!G20,$AZ$9),COUNTIF('1.연간시수표'!G20,$AZ$7)),$AZ$6,IF(OR(COUNTIF('1.연간시수표'!G20,$BA$9),COUNTIF('1.연간시수표'!G20,$BA$7)),$BA$6,IF(OR(COUNTIF('1.연간시수표'!G20,$BB$9),COUNTIF('1.연간시수표'!G20,$BB$7)),$BB$6,IF(OR(COUNTIF('1.연간시수표'!G20,$BC$9),COUNTIF('1.연간시수표'!G20,$BC$7)),$BC$6,IF(OR(COUNTIF('1.연간시수표'!G20,$BF$9),COUNTIF('1.연간시수표'!G20,$BF$7),COUNTIF('1.연간시수표'!G20,$BG$9),COUNTIF('1.연간시수표'!G20,$BG$7),COUNTIF('1.연간시수표'!G20,$BH$9),COUNTIF('1.연간시수표'!G20,$BH$7),COUNTIF('1.연간시수표'!G20,$BI$9),COUNTIF('1.연간시수표'!G20,$BI$7),COUNTIF('1.연간시수표'!G20,$BJ$9),COUNTIF('1.연간시수표'!G20,$BJ$7),COUNTIF('1.연간시수표'!G20,$BK$9),COUNTIF('1.연간시수표'!G20,$BK$7),COUNTIF('1.연간시수표'!G20,$BL$9),COUNTIF('1.연간시수표'!G20,$BL$7),COUNTIF('1.연간시수표'!G20,$BM$9),COUNTIF('1.연간시수표'!G20,$BM$7)),$BF$6,IF(OR(COUNTIF('1.연간시수표'!G20,$BO$9),COUNTIF('1.연간시수표'!G20,$BO$7)),$BO$6,IF(OR(COUNTIF('1.연간시수표'!G20,$BP$9),COUNTIF('1.연간시수표'!G20,$BP$7)),$BP$6,IF(OR(COUNTIF('1.연간시수표'!G20,$BQ$9),COUNTIF('1.연간시수표'!G20,$BQ$7)),$BQ$6,IF(OR(COUNTIF('1.연간시수표'!G20,$BR$9),COUNTIF('1.연간시수표'!G20,$BR$7)),$BR$6,"_")))))))))))))))</f>
        <v>미술</v>
      </c>
      <c r="H20" s="148" t="str">
        <f>IF(OR(COUNTIF('1.연간시수표'!H20,$AT$9),COUNTIF('1.연간시수표'!H20,$AT$7)),$AT$6,IF(OR(COUNTIF('1.연간시수표'!H20,$AU$9),COUNTIF('1.연간시수표'!H20,$AU$7)),$AU$6,IF(OR(COUNTIF('1.연간시수표'!H20,$AV$9),COUNTIF('1.연간시수표'!H20,$AV$7)),$AV$6,IF(OR(COUNTIF('1.연간시수표'!H20,$AW$9),COUNTIF('1.연간시수표'!H20,$AW$7)),$AW$6,IF(OR(COUNTIF('1.연간시수표'!H20,$AX$9),COUNTIF('1.연간시수표'!H20,$AX$7)),$AX$6,IF(OR(COUNTIF('1.연간시수표'!H20,$AY$9),COUNTIF('1.연간시수표'!H20,$AY$7)),$AY$6,IF(OR(COUNTIF('1.연간시수표'!H20,$AZ$9),COUNTIF('1.연간시수표'!H20,$AZ$7)),$AZ$6,IF(OR(COUNTIF('1.연간시수표'!H20,$BA$9),COUNTIF('1.연간시수표'!H20,$BA$7)),$BA$6,IF(OR(COUNTIF('1.연간시수표'!H20,$BB$9),COUNTIF('1.연간시수표'!H20,$BB$7)),$BB$6,IF(OR(COUNTIF('1.연간시수표'!H20,$BC$9),COUNTIF('1.연간시수표'!H20,$BC$7)),$BC$6,IF(OR(COUNTIF('1.연간시수표'!H20,$BF$9),COUNTIF('1.연간시수표'!H20,$BF$7),COUNTIF('1.연간시수표'!H20,$BG$9),COUNTIF('1.연간시수표'!H20,$BG$7),COUNTIF('1.연간시수표'!H20,$BH$9),COUNTIF('1.연간시수표'!H20,$BH$7),COUNTIF('1.연간시수표'!H20,$BI$9),COUNTIF('1.연간시수표'!H20,$BI$7),COUNTIF('1.연간시수표'!H20,$BJ$9),COUNTIF('1.연간시수표'!H20,$BJ$7),COUNTIF('1.연간시수표'!H20,$BK$9),COUNTIF('1.연간시수표'!H20,$BK$7),COUNTIF('1.연간시수표'!H20,$BL$9),COUNTIF('1.연간시수표'!H20,$BL$7),COUNTIF('1.연간시수표'!H20,$BM$9),COUNTIF('1.연간시수표'!H20,$BM$7)),$BF$6,IF(OR(COUNTIF('1.연간시수표'!H20,$BO$9),COUNTIF('1.연간시수표'!H20,$BO$7)),$BO$6,IF(OR(COUNTIF('1.연간시수표'!H20,$BP$9),COUNTIF('1.연간시수표'!H20,$BP$7)),$BP$6,IF(OR(COUNTIF('1.연간시수표'!H20,$BQ$9),COUNTIF('1.연간시수표'!H20,$BQ$7)),$BQ$6,IF(OR(COUNTIF('1.연간시수표'!H20,$BR$9),COUNTIF('1.연간시수표'!H20,$BR$7)),$BR$6,"_")))))))))))))))</f>
        <v>영어</v>
      </c>
      <c r="I20" s="148" t="str">
        <f>IF(OR(COUNTIF('1.연간시수표'!I20,$AT$9),COUNTIF('1.연간시수표'!I20,$AT$7)),$AT$6,IF(OR(COUNTIF('1.연간시수표'!I20,$AU$9),COUNTIF('1.연간시수표'!I20,$AU$7)),$AU$6,IF(OR(COUNTIF('1.연간시수표'!I20,$AV$9),COUNTIF('1.연간시수표'!I20,$AV$7)),$AV$6,IF(OR(COUNTIF('1.연간시수표'!I20,$AW$9),COUNTIF('1.연간시수표'!I20,$AW$7)),$AW$6,IF(OR(COUNTIF('1.연간시수표'!I20,$AX$9),COUNTIF('1.연간시수표'!I20,$AX$7)),$AX$6,IF(OR(COUNTIF('1.연간시수표'!I20,$AY$9),COUNTIF('1.연간시수표'!I20,$AY$7)),$AY$6,IF(OR(COUNTIF('1.연간시수표'!I20,$AZ$9),COUNTIF('1.연간시수표'!I20,$AZ$7)),$AZ$6,IF(OR(COUNTIF('1.연간시수표'!I20,$BA$9),COUNTIF('1.연간시수표'!I20,$BA$7)),$BA$6,IF(OR(COUNTIF('1.연간시수표'!I20,$BB$9),COUNTIF('1.연간시수표'!I20,$BB$7)),$BB$6,IF(OR(COUNTIF('1.연간시수표'!I20,$BC$9),COUNTIF('1.연간시수표'!I20,$BC$7)),$BC$6,IF(OR(COUNTIF('1.연간시수표'!I20,$BF$9),COUNTIF('1.연간시수표'!I20,$BF$7),COUNTIF('1.연간시수표'!I20,$BG$9),COUNTIF('1.연간시수표'!I20,$BG$7),COUNTIF('1.연간시수표'!I20,$BH$9),COUNTIF('1.연간시수표'!I20,$BH$7),COUNTIF('1.연간시수표'!I20,$BI$9),COUNTIF('1.연간시수표'!I20,$BI$7),COUNTIF('1.연간시수표'!I20,$BJ$9),COUNTIF('1.연간시수표'!I20,$BJ$7),COUNTIF('1.연간시수표'!I20,$BK$9),COUNTIF('1.연간시수표'!I20,$BK$7),COUNTIF('1.연간시수표'!I20,$BL$9),COUNTIF('1.연간시수표'!I20,$BL$7),COUNTIF('1.연간시수표'!I20,$BM$9),COUNTIF('1.연간시수표'!I20,$BM$7)),$BF$6,IF(OR(COUNTIF('1.연간시수표'!I20,$BO$9),COUNTIF('1.연간시수표'!I20,$BO$7)),$BO$6,IF(OR(COUNTIF('1.연간시수표'!I20,$BP$9),COUNTIF('1.연간시수표'!I20,$BP$7)),$BP$6,IF(OR(COUNTIF('1.연간시수표'!I20,$BQ$9),COUNTIF('1.연간시수표'!I20,$BQ$7)),$BQ$6,IF(OR(COUNTIF('1.연간시수표'!I20,$BR$9),COUNTIF('1.연간시수표'!I20,$BR$7)),$BR$6,"_")))))))))))))))</f>
        <v>수학</v>
      </c>
      <c r="J20" s="148" t="str">
        <f>IF(OR(COUNTIF('1.연간시수표'!J20,$AT$9),COUNTIF('1.연간시수표'!J20,$AT$7)),$AT$6,IF(OR(COUNTIF('1.연간시수표'!J20,$AU$9),COUNTIF('1.연간시수표'!J20,$AU$7)),$AU$6,IF(OR(COUNTIF('1.연간시수표'!J20,$AV$9),COUNTIF('1.연간시수표'!J20,$AV$7)),$AV$6,IF(OR(COUNTIF('1.연간시수표'!J20,$AW$9),COUNTIF('1.연간시수표'!J20,$AW$7)),$AW$6,IF(OR(COUNTIF('1.연간시수표'!J20,$AX$9),COUNTIF('1.연간시수표'!J20,$AX$7)),$AX$6,IF(OR(COUNTIF('1.연간시수표'!J20,$AY$9),COUNTIF('1.연간시수표'!J20,$AY$7)),$AY$6,IF(OR(COUNTIF('1.연간시수표'!J20,$AZ$9),COUNTIF('1.연간시수표'!J20,$AZ$7)),$AZ$6,IF(OR(COUNTIF('1.연간시수표'!J20,$BA$9),COUNTIF('1.연간시수표'!J20,$BA$7)),$BA$6,IF(OR(COUNTIF('1.연간시수표'!J20,$BB$9),COUNTIF('1.연간시수표'!J20,$BB$7)),$BB$6,IF(OR(COUNTIF('1.연간시수표'!J20,$BC$9),COUNTIF('1.연간시수표'!J20,$BC$7)),$BC$6,IF(OR(COUNTIF('1.연간시수표'!J20,$BF$9),COUNTIF('1.연간시수표'!J20,$BF$7),COUNTIF('1.연간시수표'!J20,$BG$9),COUNTIF('1.연간시수표'!J20,$BG$7),COUNTIF('1.연간시수표'!J20,$BH$9),COUNTIF('1.연간시수표'!J20,$BH$7),COUNTIF('1.연간시수표'!J20,$BI$9),COUNTIF('1.연간시수표'!J20,$BI$7),COUNTIF('1.연간시수표'!J20,$BJ$9),COUNTIF('1.연간시수표'!J20,$BJ$7),COUNTIF('1.연간시수표'!J20,$BK$9),COUNTIF('1.연간시수표'!J20,$BK$7),COUNTIF('1.연간시수표'!J20,$BL$9),COUNTIF('1.연간시수표'!J20,$BL$7),COUNTIF('1.연간시수표'!J20,$BM$9),COUNTIF('1.연간시수표'!J20,$BM$7)),$BF$6,IF(OR(COUNTIF('1.연간시수표'!J20,$BO$9),COUNTIF('1.연간시수표'!J20,$BO$7)),$BO$6,IF(OR(COUNTIF('1.연간시수표'!J20,$BP$9),COUNTIF('1.연간시수표'!J20,$BP$7)),$BP$6,IF(OR(COUNTIF('1.연간시수표'!J20,$BQ$9),COUNTIF('1.연간시수표'!J20,$BQ$7)),$BQ$6,IF(OR(COUNTIF('1.연간시수표'!J20,$BR$9),COUNTIF('1.연간시수표'!J20,$BR$7)),$BR$6,"_")))))))))))))))</f>
        <v>국어</v>
      </c>
      <c r="K20" s="148" t="str">
        <f>IF(OR(COUNTIF('1.연간시수표'!K20,$AT$9),COUNTIF('1.연간시수표'!K20,$AT$7)),$AT$6,IF(OR(COUNTIF('1.연간시수표'!K20,$AU$9),COUNTIF('1.연간시수표'!K20,$AU$7)),$AU$6,IF(OR(COUNTIF('1.연간시수표'!K20,$AV$9),COUNTIF('1.연간시수표'!K20,$AV$7)),$AV$6,IF(OR(COUNTIF('1.연간시수표'!K20,$AW$9),COUNTIF('1.연간시수표'!K20,$AW$7)),$AW$6,IF(OR(COUNTIF('1.연간시수표'!K20,$AX$9),COUNTIF('1.연간시수표'!K20,$AX$7)),$AX$6,IF(OR(COUNTIF('1.연간시수표'!K20,$AY$9),COUNTIF('1.연간시수표'!K20,$AY$7)),$AY$6,IF(OR(COUNTIF('1.연간시수표'!K20,$AZ$9),COUNTIF('1.연간시수표'!K20,$AZ$7)),$AZ$6,IF(OR(COUNTIF('1.연간시수표'!K20,$BA$9),COUNTIF('1.연간시수표'!K20,$BA$7)),$BA$6,IF(OR(COUNTIF('1.연간시수표'!K20,$BB$9),COUNTIF('1.연간시수표'!K20,$BB$7)),$BB$6,IF(OR(COUNTIF('1.연간시수표'!K20,$BC$9),COUNTIF('1.연간시수표'!K20,$BC$7)),$BC$6,IF(OR(COUNTIF('1.연간시수표'!K20,$BF$9),COUNTIF('1.연간시수표'!K20,$BF$7),COUNTIF('1.연간시수표'!K20,$BG$9),COUNTIF('1.연간시수표'!K20,$BG$7),COUNTIF('1.연간시수표'!K20,$BH$9),COUNTIF('1.연간시수표'!K20,$BH$7),COUNTIF('1.연간시수표'!K20,$BI$9),COUNTIF('1.연간시수표'!K20,$BI$7),COUNTIF('1.연간시수표'!K20,$BJ$9),COUNTIF('1.연간시수표'!K20,$BJ$7),COUNTIF('1.연간시수표'!K20,$BK$9),COUNTIF('1.연간시수표'!K20,$BK$7),COUNTIF('1.연간시수표'!K20,$BL$9),COUNTIF('1.연간시수표'!K20,$BL$7),COUNTIF('1.연간시수표'!K20,$BM$9),COUNTIF('1.연간시수표'!K20,$BM$7)),$BF$6,IF(OR(COUNTIF('1.연간시수표'!K20,$BO$9),COUNTIF('1.연간시수표'!K20,$BO$7)),$BO$6,IF(OR(COUNTIF('1.연간시수표'!K20,$BP$9),COUNTIF('1.연간시수표'!K20,$BP$7)),$BP$6,IF(OR(COUNTIF('1.연간시수표'!K20,$BQ$9),COUNTIF('1.연간시수표'!K20,$BQ$7)),$BQ$6,IF(OR(COUNTIF('1.연간시수표'!K20,$BR$9),COUNTIF('1.연간시수표'!K20,$BR$7)),$BR$6,"_")))))))))))))))</f>
        <v>_</v>
      </c>
      <c r="L20" s="148" t="str">
        <f>IF(OR(COUNTIF('1.연간시수표'!L20,$AT$9),COUNTIF('1.연간시수표'!L20,$AT$7)),$AT$6,IF(OR(COUNTIF('1.연간시수표'!L20,$AU$9),COUNTIF('1.연간시수표'!L20,$AU$7)),$AU$6,IF(OR(COUNTIF('1.연간시수표'!L20,$AV$9),COUNTIF('1.연간시수표'!L20,$AV$7)),$AV$6,IF(OR(COUNTIF('1.연간시수표'!L20,$AW$9),COUNTIF('1.연간시수표'!L20,$AW$7)),$AW$6,IF(OR(COUNTIF('1.연간시수표'!L20,$AX$9),COUNTIF('1.연간시수표'!L20,$AX$7)),$AX$6,IF(OR(COUNTIF('1.연간시수표'!L20,$AY$9),COUNTIF('1.연간시수표'!L20,$AY$7)),$AY$6,IF(OR(COUNTIF('1.연간시수표'!L20,$AZ$9),COUNTIF('1.연간시수표'!L20,$AZ$7)),$AZ$6,IF(OR(COUNTIF('1.연간시수표'!L20,$BA$9),COUNTIF('1.연간시수표'!L20,$BA$7)),$BA$6,IF(OR(COUNTIF('1.연간시수표'!L20,$BB$9),COUNTIF('1.연간시수표'!L20,$BB$7)),$BB$6,IF(OR(COUNTIF('1.연간시수표'!L20,$BC$9),COUNTIF('1.연간시수표'!L20,$BC$7)),$BC$6,IF(OR(COUNTIF('1.연간시수표'!L20,$BF$9),COUNTIF('1.연간시수표'!L20,$BF$7),COUNTIF('1.연간시수표'!L20,$BG$9),COUNTIF('1.연간시수표'!L20,$BG$7),COUNTIF('1.연간시수표'!L20,$BH$9),COUNTIF('1.연간시수표'!L20,$BH$7),COUNTIF('1.연간시수표'!L20,$BI$9),COUNTIF('1.연간시수표'!L20,$BI$7),COUNTIF('1.연간시수표'!L20,$BJ$9),COUNTIF('1.연간시수표'!L20,$BJ$7),COUNTIF('1.연간시수표'!L20,$BK$9),COUNTIF('1.연간시수표'!L20,$BK$7),COUNTIF('1.연간시수표'!L20,$BL$9),COUNTIF('1.연간시수표'!L20,$BL$7),COUNTIF('1.연간시수표'!L20,$BM$9),COUNTIF('1.연간시수표'!L20,$BM$7)),$BF$6,IF(OR(COUNTIF('1.연간시수표'!L20,$BO$9),COUNTIF('1.연간시수표'!L20,$BO$7)),$BO$6,IF(OR(COUNTIF('1.연간시수표'!L20,$BP$9),COUNTIF('1.연간시수표'!L20,$BP$7)),$BP$6,IF(OR(COUNTIF('1.연간시수표'!L20,$BQ$9),COUNTIF('1.연간시수표'!L20,$BQ$7)),$BQ$6,IF(OR(COUNTIF('1.연간시수표'!L20,$BR$9),COUNTIF('1.연간시수표'!L20,$BR$7)),$BR$6,"_")))))))))))))))</f>
        <v>_</v>
      </c>
      <c r="M20" s="148" t="str">
        <f>IF(OR(COUNTIF('1.연간시수표'!M20,$AT$9),COUNTIF('1.연간시수표'!M20,$AT$7)),$AT$6,IF(OR(COUNTIF('1.연간시수표'!M20,$AU$9),COUNTIF('1.연간시수표'!M20,$AU$7)),$AU$6,IF(OR(COUNTIF('1.연간시수표'!M20,$AV$9),COUNTIF('1.연간시수표'!M20,$AV$7)),$AV$6,IF(OR(COUNTIF('1.연간시수표'!M20,$AW$9),COUNTIF('1.연간시수표'!M20,$AW$7)),$AW$6,IF(OR(COUNTIF('1.연간시수표'!M20,$AX$9),COUNTIF('1.연간시수표'!M20,$AX$7)),$AX$6,IF(OR(COUNTIF('1.연간시수표'!M20,$AY$9),COUNTIF('1.연간시수표'!M20,$AY$7)),$AY$6,IF(OR(COUNTIF('1.연간시수표'!M20,$AZ$9),COUNTIF('1.연간시수표'!M20,$AZ$7)),$AZ$6,IF(OR(COUNTIF('1.연간시수표'!M20,$BA$9),COUNTIF('1.연간시수표'!M20,$BA$7)),$BA$6,IF(OR(COUNTIF('1.연간시수표'!M20,$BB$9),COUNTIF('1.연간시수표'!M20,$BB$7)),$BB$6,IF(OR(COUNTIF('1.연간시수표'!M20,$BC$9),COUNTIF('1.연간시수표'!M20,$BC$7)),$BC$6,IF(OR(COUNTIF('1.연간시수표'!M20,$BF$9),COUNTIF('1.연간시수표'!M20,$BF$7),COUNTIF('1.연간시수표'!M20,$BG$9),COUNTIF('1.연간시수표'!M20,$BG$7),COUNTIF('1.연간시수표'!M20,$BH$9),COUNTIF('1.연간시수표'!M20,$BH$7),COUNTIF('1.연간시수표'!M20,$BI$9),COUNTIF('1.연간시수표'!M20,$BI$7),COUNTIF('1.연간시수표'!M20,$BJ$9),COUNTIF('1.연간시수표'!M20,$BJ$7),COUNTIF('1.연간시수표'!M20,$BK$9),COUNTIF('1.연간시수표'!M20,$BK$7),COUNTIF('1.연간시수표'!M20,$BL$9),COUNTIF('1.연간시수표'!M20,$BL$7),COUNTIF('1.연간시수표'!M20,$BM$9),COUNTIF('1.연간시수표'!M20,$BM$7)),$BF$6,IF(OR(COUNTIF('1.연간시수표'!M20,$BO$9),COUNTIF('1.연간시수표'!M20,$BO$7)),$BO$6,IF(OR(COUNTIF('1.연간시수표'!M20,$BP$9),COUNTIF('1.연간시수표'!M20,$BP$7)),$BP$6,IF(OR(COUNTIF('1.연간시수표'!M20,$BQ$9),COUNTIF('1.연간시수표'!M20,$BQ$7)),$BQ$6,IF(OR(COUNTIF('1.연간시수표'!M20,$BR$9),COUNTIF('1.연간시수표'!M20,$BR$7)),$BR$6,"_")))))))))))))))</f>
        <v>국어</v>
      </c>
      <c r="N20" s="148" t="str">
        <f>IF(OR(COUNTIF('1.연간시수표'!N20,$AT$9),COUNTIF('1.연간시수표'!N20,$AT$7)),$AT$6,IF(OR(COUNTIF('1.연간시수표'!N20,$AU$9),COUNTIF('1.연간시수표'!N20,$AU$7)),$AU$6,IF(OR(COUNTIF('1.연간시수표'!N20,$AV$9),COUNTIF('1.연간시수표'!N20,$AV$7)),$AV$6,IF(OR(COUNTIF('1.연간시수표'!N20,$AW$9),COUNTIF('1.연간시수표'!N20,$AW$7)),$AW$6,IF(OR(COUNTIF('1.연간시수표'!N20,$AX$9),COUNTIF('1.연간시수표'!N20,$AX$7)),$AX$6,IF(OR(COUNTIF('1.연간시수표'!N20,$AY$9),COUNTIF('1.연간시수표'!N20,$AY$7)),$AY$6,IF(OR(COUNTIF('1.연간시수표'!N20,$AZ$9),COUNTIF('1.연간시수표'!N20,$AZ$7)),$AZ$6,IF(OR(COUNTIF('1.연간시수표'!N20,$BA$9),COUNTIF('1.연간시수표'!N20,$BA$7)),$BA$6,IF(OR(COUNTIF('1.연간시수표'!N20,$BB$9),COUNTIF('1.연간시수표'!N20,$BB$7)),$BB$6,IF(OR(COUNTIF('1.연간시수표'!N20,$BC$9),COUNTIF('1.연간시수표'!N20,$BC$7)),$BC$6,IF(OR(COUNTIF('1.연간시수표'!N20,$BF$9),COUNTIF('1.연간시수표'!N20,$BF$7),COUNTIF('1.연간시수표'!N20,$BG$9),COUNTIF('1.연간시수표'!N20,$BG$7),COUNTIF('1.연간시수표'!N20,$BH$9),COUNTIF('1.연간시수표'!N20,$BH$7),COUNTIF('1.연간시수표'!N20,$BI$9),COUNTIF('1.연간시수표'!N20,$BI$7),COUNTIF('1.연간시수표'!N20,$BJ$9),COUNTIF('1.연간시수표'!N20,$BJ$7),COUNTIF('1.연간시수표'!N20,$BK$9),COUNTIF('1.연간시수표'!N20,$BK$7),COUNTIF('1.연간시수표'!N20,$BL$9),COUNTIF('1.연간시수표'!N20,$BL$7),COUNTIF('1.연간시수표'!N20,$BM$9),COUNTIF('1.연간시수표'!N20,$BM$7)),$BF$6,IF(OR(COUNTIF('1.연간시수표'!N20,$BO$9),COUNTIF('1.연간시수표'!N20,$BO$7)),$BO$6,IF(OR(COUNTIF('1.연간시수표'!N20,$BP$9),COUNTIF('1.연간시수표'!N20,$BP$7)),$BP$6,IF(OR(COUNTIF('1.연간시수표'!N20,$BQ$9),COUNTIF('1.연간시수표'!N20,$BQ$7)),$BQ$6,IF(OR(COUNTIF('1.연간시수표'!N20,$BR$9),COUNTIF('1.연간시수표'!N20,$BR$7)),$BR$6,"_")))))))))))))))</f>
        <v>국어</v>
      </c>
      <c r="O20" s="148" t="str">
        <f>IF(OR(COUNTIF('1.연간시수표'!O20,$AT$9),COUNTIF('1.연간시수표'!O20,$AT$7)),$AT$6,IF(OR(COUNTIF('1.연간시수표'!O20,$AU$9),COUNTIF('1.연간시수표'!O20,$AU$7)),$AU$6,IF(OR(COUNTIF('1.연간시수표'!O20,$AV$9),COUNTIF('1.연간시수표'!O20,$AV$7)),$AV$6,IF(OR(COUNTIF('1.연간시수표'!O20,$AW$9),COUNTIF('1.연간시수표'!O20,$AW$7)),$AW$6,IF(OR(COUNTIF('1.연간시수표'!O20,$AX$9),COUNTIF('1.연간시수표'!O20,$AX$7)),$AX$6,IF(OR(COUNTIF('1.연간시수표'!O20,$AY$9),COUNTIF('1.연간시수표'!O20,$AY$7)),$AY$6,IF(OR(COUNTIF('1.연간시수표'!O20,$AZ$9),COUNTIF('1.연간시수표'!O20,$AZ$7)),$AZ$6,IF(OR(COUNTIF('1.연간시수표'!O20,$BA$9),COUNTIF('1.연간시수표'!O20,$BA$7)),$BA$6,IF(OR(COUNTIF('1.연간시수표'!O20,$BB$9),COUNTIF('1.연간시수표'!O20,$BB$7)),$BB$6,IF(OR(COUNTIF('1.연간시수표'!O20,$BC$9),COUNTIF('1.연간시수표'!O20,$BC$7)),$BC$6,IF(OR(COUNTIF('1.연간시수표'!O20,$BF$9),COUNTIF('1.연간시수표'!O20,$BF$7),COUNTIF('1.연간시수표'!O20,$BG$9),COUNTIF('1.연간시수표'!O20,$BG$7),COUNTIF('1.연간시수표'!O20,$BH$9),COUNTIF('1.연간시수표'!O20,$BH$7),COUNTIF('1.연간시수표'!O20,$BI$9),COUNTIF('1.연간시수표'!O20,$BI$7),COUNTIF('1.연간시수표'!O20,$BJ$9),COUNTIF('1.연간시수표'!O20,$BJ$7),COUNTIF('1.연간시수표'!O20,$BK$9),COUNTIF('1.연간시수표'!O20,$BK$7),COUNTIF('1.연간시수표'!O20,$BL$9),COUNTIF('1.연간시수표'!O20,$BL$7),COUNTIF('1.연간시수표'!O20,$BM$9),COUNTIF('1.연간시수표'!O20,$BM$7)),$BF$6,IF(OR(COUNTIF('1.연간시수표'!O20,$BO$9),COUNTIF('1.연간시수표'!O20,$BO$7)),$BO$6,IF(OR(COUNTIF('1.연간시수표'!O20,$BP$9),COUNTIF('1.연간시수표'!O20,$BP$7)),$BP$6,IF(OR(COUNTIF('1.연간시수표'!O20,$BQ$9),COUNTIF('1.연간시수표'!O20,$BQ$7)),$BQ$6,IF(OR(COUNTIF('1.연간시수표'!O20,$BR$9),COUNTIF('1.연간시수표'!O20,$BR$7)),$BR$6,"_")))))))))))))))</f>
        <v>사회</v>
      </c>
      <c r="P20" s="148" t="str">
        <f>IF(OR(COUNTIF('1.연간시수표'!P20,$AT$9),COUNTIF('1.연간시수표'!P20,$AT$7)),$AT$6,IF(OR(COUNTIF('1.연간시수표'!P20,$AU$9),COUNTIF('1.연간시수표'!P20,$AU$7)),$AU$6,IF(OR(COUNTIF('1.연간시수표'!P20,$AV$9),COUNTIF('1.연간시수표'!P20,$AV$7)),$AV$6,IF(OR(COUNTIF('1.연간시수표'!P20,$AW$9),COUNTIF('1.연간시수표'!P20,$AW$7)),$AW$6,IF(OR(COUNTIF('1.연간시수표'!P20,$AX$9),COUNTIF('1.연간시수표'!P20,$AX$7)),$AX$6,IF(OR(COUNTIF('1.연간시수표'!P20,$AY$9),COUNTIF('1.연간시수표'!P20,$AY$7)),$AY$6,IF(OR(COUNTIF('1.연간시수표'!P20,$AZ$9),COUNTIF('1.연간시수표'!P20,$AZ$7)),$AZ$6,IF(OR(COUNTIF('1.연간시수표'!P20,$BA$9),COUNTIF('1.연간시수표'!P20,$BA$7)),$BA$6,IF(OR(COUNTIF('1.연간시수표'!P20,$BB$9),COUNTIF('1.연간시수표'!P20,$BB$7)),$BB$6,IF(OR(COUNTIF('1.연간시수표'!P20,$BC$9),COUNTIF('1.연간시수표'!P20,$BC$7)),$BC$6,IF(OR(COUNTIF('1.연간시수표'!P20,$BF$9),COUNTIF('1.연간시수표'!P20,$BF$7),COUNTIF('1.연간시수표'!P20,$BG$9),COUNTIF('1.연간시수표'!P20,$BG$7),COUNTIF('1.연간시수표'!P20,$BH$9),COUNTIF('1.연간시수표'!P20,$BH$7),COUNTIF('1.연간시수표'!P20,$BI$9),COUNTIF('1.연간시수표'!P20,$BI$7),COUNTIF('1.연간시수표'!P20,$BJ$9),COUNTIF('1.연간시수표'!P20,$BJ$7),COUNTIF('1.연간시수표'!P20,$BK$9),COUNTIF('1.연간시수표'!P20,$BK$7),COUNTIF('1.연간시수표'!P20,$BL$9),COUNTIF('1.연간시수표'!P20,$BL$7),COUNTIF('1.연간시수표'!P20,$BM$9),COUNTIF('1.연간시수표'!P20,$BM$7)),$BF$6,IF(OR(COUNTIF('1.연간시수표'!P20,$BO$9),COUNTIF('1.연간시수표'!P20,$BO$7)),$BO$6,IF(OR(COUNTIF('1.연간시수표'!P20,$BP$9),COUNTIF('1.연간시수표'!P20,$BP$7)),$BP$6,IF(OR(COUNTIF('1.연간시수표'!P20,$BQ$9),COUNTIF('1.연간시수표'!P20,$BQ$7)),$BQ$6,IF(OR(COUNTIF('1.연간시수표'!P20,$BR$9),COUNTIF('1.연간시수표'!P20,$BR$7)),$BR$6,"_")))))))))))))))</f>
        <v>수학</v>
      </c>
      <c r="Q20" s="148" t="str">
        <f>IF(OR(COUNTIF('1.연간시수표'!Q20,$AT$9),COUNTIF('1.연간시수표'!Q20,$AT$7)),$AT$6,IF(OR(COUNTIF('1.연간시수표'!Q20,$AU$9),COUNTIF('1.연간시수표'!Q20,$AU$7)),$AU$6,IF(OR(COUNTIF('1.연간시수표'!Q20,$AV$9),COUNTIF('1.연간시수표'!Q20,$AV$7)),$AV$6,IF(OR(COUNTIF('1.연간시수표'!Q20,$AW$9),COUNTIF('1.연간시수표'!Q20,$AW$7)),$AW$6,IF(OR(COUNTIF('1.연간시수표'!Q20,$AX$9),COUNTIF('1.연간시수표'!Q20,$AX$7)),$AX$6,IF(OR(COUNTIF('1.연간시수표'!Q20,$AY$9),COUNTIF('1.연간시수표'!Q20,$AY$7)),$AY$6,IF(OR(COUNTIF('1.연간시수표'!Q20,$AZ$9),COUNTIF('1.연간시수표'!Q20,$AZ$7)),$AZ$6,IF(OR(COUNTIF('1.연간시수표'!Q20,$BA$9),COUNTIF('1.연간시수표'!Q20,$BA$7)),$BA$6,IF(OR(COUNTIF('1.연간시수표'!Q20,$BB$9),COUNTIF('1.연간시수표'!Q20,$BB$7)),$BB$6,IF(OR(COUNTIF('1.연간시수표'!Q20,$BC$9),COUNTIF('1.연간시수표'!Q20,$BC$7)),$BC$6,IF(OR(COUNTIF('1.연간시수표'!Q20,$BF$9),COUNTIF('1.연간시수표'!Q20,$BF$7),COUNTIF('1.연간시수표'!Q20,$BG$9),COUNTIF('1.연간시수표'!Q20,$BG$7),COUNTIF('1.연간시수표'!Q20,$BH$9),COUNTIF('1.연간시수표'!Q20,$BH$7),COUNTIF('1.연간시수표'!Q20,$BI$9),COUNTIF('1.연간시수표'!Q20,$BI$7),COUNTIF('1.연간시수표'!Q20,$BJ$9),COUNTIF('1.연간시수표'!Q20,$BJ$7),COUNTIF('1.연간시수표'!Q20,$BK$9),COUNTIF('1.연간시수표'!Q20,$BK$7),COUNTIF('1.연간시수표'!Q20,$BL$9),COUNTIF('1.연간시수표'!Q20,$BL$7),COUNTIF('1.연간시수표'!Q20,$BM$9),COUNTIF('1.연간시수표'!Q20,$BM$7)),$BF$6,IF(OR(COUNTIF('1.연간시수표'!Q20,$BO$9),COUNTIF('1.연간시수표'!Q20,$BO$7)),$BO$6,IF(OR(COUNTIF('1.연간시수표'!Q20,$BP$9),COUNTIF('1.연간시수표'!Q20,$BP$7)),$BP$6,IF(OR(COUNTIF('1.연간시수표'!Q20,$BQ$9),COUNTIF('1.연간시수표'!Q20,$BQ$7)),$BQ$6,IF(OR(COUNTIF('1.연간시수표'!Q20,$BR$9),COUNTIF('1.연간시수표'!Q20,$BR$7)),$BR$6,"_")))))))))))))))</f>
        <v>과학</v>
      </c>
      <c r="R20" s="148" t="str">
        <f>IF(OR(COUNTIF('1.연간시수표'!R20,$AT$9),COUNTIF('1.연간시수표'!R20,$AT$7)),$AT$6,IF(OR(COUNTIF('1.연간시수표'!R20,$AU$9),COUNTIF('1.연간시수표'!R20,$AU$7)),$AU$6,IF(OR(COUNTIF('1.연간시수표'!R20,$AV$9),COUNTIF('1.연간시수표'!R20,$AV$7)),$AV$6,IF(OR(COUNTIF('1.연간시수표'!R20,$AW$9),COUNTIF('1.연간시수표'!R20,$AW$7)),$AW$6,IF(OR(COUNTIF('1.연간시수표'!R20,$AX$9),COUNTIF('1.연간시수표'!R20,$AX$7)),$AX$6,IF(OR(COUNTIF('1.연간시수표'!R20,$AY$9),COUNTIF('1.연간시수표'!R20,$AY$7)),$AY$6,IF(OR(COUNTIF('1.연간시수표'!R20,$AZ$9),COUNTIF('1.연간시수표'!R20,$AZ$7)),$AZ$6,IF(OR(COUNTIF('1.연간시수표'!R20,$BA$9),COUNTIF('1.연간시수표'!R20,$BA$7)),$BA$6,IF(OR(COUNTIF('1.연간시수표'!R20,$BB$9),COUNTIF('1.연간시수표'!R20,$BB$7)),$BB$6,IF(OR(COUNTIF('1.연간시수표'!R20,$BC$9),COUNTIF('1.연간시수표'!R20,$BC$7)),$BC$6,IF(OR(COUNTIF('1.연간시수표'!R20,$BF$9),COUNTIF('1.연간시수표'!R20,$BF$7),COUNTIF('1.연간시수표'!R20,$BG$9),COUNTIF('1.연간시수표'!R20,$BG$7),COUNTIF('1.연간시수표'!R20,$BH$9),COUNTIF('1.연간시수표'!R20,$BH$7),COUNTIF('1.연간시수표'!R20,$BI$9),COUNTIF('1.연간시수표'!R20,$BI$7),COUNTIF('1.연간시수표'!R20,$BJ$9),COUNTIF('1.연간시수표'!R20,$BJ$7),COUNTIF('1.연간시수표'!R20,$BK$9),COUNTIF('1.연간시수표'!R20,$BK$7),COUNTIF('1.연간시수표'!R20,$BL$9),COUNTIF('1.연간시수표'!R20,$BL$7),COUNTIF('1.연간시수표'!R20,$BM$9),COUNTIF('1.연간시수표'!R20,$BM$7)),$BF$6,IF(OR(COUNTIF('1.연간시수표'!R20,$BO$9),COUNTIF('1.연간시수표'!R20,$BO$7)),$BO$6,IF(OR(COUNTIF('1.연간시수표'!R20,$BP$9),COUNTIF('1.연간시수표'!R20,$BP$7)),$BP$6,IF(OR(COUNTIF('1.연간시수표'!R20,$BQ$9),COUNTIF('1.연간시수표'!R20,$BQ$7)),$BQ$6,IF(OR(COUNTIF('1.연간시수표'!R20,$BR$9),COUNTIF('1.연간시수표'!R20,$BR$7)),$BR$6,"_")))))))))))))))</f>
        <v>실과</v>
      </c>
      <c r="S20" s="148" t="str">
        <f>IF(OR(COUNTIF('1.연간시수표'!S20,$AT$9),COUNTIF('1.연간시수표'!S20,$AT$7)),$AT$6,IF(OR(COUNTIF('1.연간시수표'!S20,$AU$9),COUNTIF('1.연간시수표'!S20,$AU$7)),$AU$6,IF(OR(COUNTIF('1.연간시수표'!S20,$AV$9),COUNTIF('1.연간시수표'!S20,$AV$7)),$AV$6,IF(OR(COUNTIF('1.연간시수표'!S20,$AW$9),COUNTIF('1.연간시수표'!S20,$AW$7)),$AW$6,IF(OR(COUNTIF('1.연간시수표'!S20,$AX$9),COUNTIF('1.연간시수표'!S20,$AX$7)),$AX$6,IF(OR(COUNTIF('1.연간시수표'!S20,$AY$9),COUNTIF('1.연간시수표'!S20,$AY$7)),$AY$6,IF(OR(COUNTIF('1.연간시수표'!S20,$AZ$9),COUNTIF('1.연간시수표'!S20,$AZ$7)),$AZ$6,IF(OR(COUNTIF('1.연간시수표'!S20,$BA$9),COUNTIF('1.연간시수표'!S20,$BA$7)),$BA$6,IF(OR(COUNTIF('1.연간시수표'!S20,$BB$9),COUNTIF('1.연간시수표'!S20,$BB$7)),$BB$6,IF(OR(COUNTIF('1.연간시수표'!S20,$BC$9),COUNTIF('1.연간시수표'!S20,$BC$7)),$BC$6,IF(OR(COUNTIF('1.연간시수표'!S20,$BF$9),COUNTIF('1.연간시수표'!S20,$BF$7),COUNTIF('1.연간시수표'!S20,$BG$9),COUNTIF('1.연간시수표'!S20,$BG$7),COUNTIF('1.연간시수표'!S20,$BH$9),COUNTIF('1.연간시수표'!S20,$BH$7),COUNTIF('1.연간시수표'!S20,$BI$9),COUNTIF('1.연간시수표'!S20,$BI$7),COUNTIF('1.연간시수표'!S20,$BJ$9),COUNTIF('1.연간시수표'!S20,$BJ$7),COUNTIF('1.연간시수표'!S20,$BK$9),COUNTIF('1.연간시수표'!S20,$BK$7),COUNTIF('1.연간시수표'!S20,$BL$9),COUNTIF('1.연간시수표'!S20,$BL$7),COUNTIF('1.연간시수표'!S20,$BM$9),COUNTIF('1.연간시수표'!S20,$BM$7)),$BF$6,IF(OR(COUNTIF('1.연간시수표'!S20,$BO$9),COUNTIF('1.연간시수표'!S20,$BO$7)),$BO$6,IF(OR(COUNTIF('1.연간시수표'!S20,$BP$9),COUNTIF('1.연간시수표'!S20,$BP$7)),$BP$6,IF(OR(COUNTIF('1.연간시수표'!S20,$BQ$9),COUNTIF('1.연간시수표'!S20,$BQ$7)),$BQ$6,IF(OR(COUNTIF('1.연간시수표'!S20,$BR$9),COUNTIF('1.연간시수표'!S20,$BR$7)),$BR$6,"_")))))))))))))))</f>
        <v>_</v>
      </c>
      <c r="T20" s="148" t="str">
        <f>IF(OR(COUNTIF('1.연간시수표'!T20,$AT$9),COUNTIF('1.연간시수표'!T20,$AT$7)),$AT$6,IF(OR(COUNTIF('1.연간시수표'!T20,$AU$9),COUNTIF('1.연간시수표'!T20,$AU$7)),$AU$6,IF(OR(COUNTIF('1.연간시수표'!T20,$AV$9),COUNTIF('1.연간시수표'!T20,$AV$7)),$AV$6,IF(OR(COUNTIF('1.연간시수표'!T20,$AW$9),COUNTIF('1.연간시수표'!T20,$AW$7)),$AW$6,IF(OR(COUNTIF('1.연간시수표'!T20,$AX$9),COUNTIF('1.연간시수표'!T20,$AX$7)),$AX$6,IF(OR(COUNTIF('1.연간시수표'!T20,$AY$9),COUNTIF('1.연간시수표'!T20,$AY$7)),$AY$6,IF(OR(COUNTIF('1.연간시수표'!T20,$AZ$9),COUNTIF('1.연간시수표'!T20,$AZ$7)),$AZ$6,IF(OR(COUNTIF('1.연간시수표'!T20,$BA$9),COUNTIF('1.연간시수표'!T20,$BA$7)),$BA$6,IF(OR(COUNTIF('1.연간시수표'!T20,$BB$9),COUNTIF('1.연간시수표'!T20,$BB$7)),$BB$6,IF(OR(COUNTIF('1.연간시수표'!T20,$BC$9),COUNTIF('1.연간시수표'!T20,$BC$7)),$BC$6,IF(OR(COUNTIF('1.연간시수표'!T20,$BF$9),COUNTIF('1.연간시수표'!T20,$BF$7),COUNTIF('1.연간시수표'!T20,$BG$9),COUNTIF('1.연간시수표'!T20,$BG$7),COUNTIF('1.연간시수표'!T20,$BH$9),COUNTIF('1.연간시수표'!T20,$BH$7),COUNTIF('1.연간시수표'!T20,$BI$9),COUNTIF('1.연간시수표'!T20,$BI$7),COUNTIF('1.연간시수표'!T20,$BJ$9),COUNTIF('1.연간시수표'!T20,$BJ$7),COUNTIF('1.연간시수표'!T20,$BK$9),COUNTIF('1.연간시수표'!T20,$BK$7),COUNTIF('1.연간시수표'!T20,$BL$9),COUNTIF('1.연간시수표'!T20,$BL$7),COUNTIF('1.연간시수표'!T20,$BM$9),COUNTIF('1.연간시수표'!T20,$BM$7)),$BF$6,IF(OR(COUNTIF('1.연간시수표'!T20,$BO$9),COUNTIF('1.연간시수표'!T20,$BO$7)),$BO$6,IF(OR(COUNTIF('1.연간시수표'!T20,$BP$9),COUNTIF('1.연간시수표'!T20,$BP$7)),$BP$6,IF(OR(COUNTIF('1.연간시수표'!T20,$BQ$9),COUNTIF('1.연간시수표'!T20,$BQ$7)),$BQ$6,IF(OR(COUNTIF('1.연간시수표'!T20,$BR$9),COUNTIF('1.연간시수표'!T20,$BR$7)),$BR$6,"_")))))))))))))))</f>
        <v>_</v>
      </c>
      <c r="U20" s="148" t="str">
        <f>IF(OR(COUNTIF('1.연간시수표'!U20,$AT$9),COUNTIF('1.연간시수표'!U20,$AT$7)),$AT$6,IF(OR(COUNTIF('1.연간시수표'!U20,$AU$9),COUNTIF('1.연간시수표'!U20,$AU$7)),$AU$6,IF(OR(COUNTIF('1.연간시수표'!U20,$AV$9),COUNTIF('1.연간시수표'!U20,$AV$7)),$AV$6,IF(OR(COUNTIF('1.연간시수표'!U20,$AW$9),COUNTIF('1.연간시수표'!U20,$AW$7)),$AW$6,IF(OR(COUNTIF('1.연간시수표'!U20,$AX$9),COUNTIF('1.연간시수표'!U20,$AX$7)),$AX$6,IF(OR(COUNTIF('1.연간시수표'!U20,$AY$9),COUNTIF('1.연간시수표'!U20,$AY$7)),$AY$6,IF(OR(COUNTIF('1.연간시수표'!U20,$AZ$9),COUNTIF('1.연간시수표'!U20,$AZ$7)),$AZ$6,IF(OR(COUNTIF('1.연간시수표'!U20,$BA$9),COUNTIF('1.연간시수표'!U20,$BA$7)),$BA$6,IF(OR(COUNTIF('1.연간시수표'!U20,$BB$9),COUNTIF('1.연간시수표'!U20,$BB$7)),$BB$6,IF(OR(COUNTIF('1.연간시수표'!U20,$BC$9),COUNTIF('1.연간시수표'!U20,$BC$7)),$BC$6,IF(OR(COUNTIF('1.연간시수표'!U20,$BF$9),COUNTIF('1.연간시수표'!U20,$BF$7),COUNTIF('1.연간시수표'!U20,$BG$9),COUNTIF('1.연간시수표'!U20,$BG$7),COUNTIF('1.연간시수표'!U20,$BH$9),COUNTIF('1.연간시수표'!U20,$BH$7),COUNTIF('1.연간시수표'!U20,$BI$9),COUNTIF('1.연간시수표'!U20,$BI$7),COUNTIF('1.연간시수표'!U20,$BJ$9),COUNTIF('1.연간시수표'!U20,$BJ$7),COUNTIF('1.연간시수표'!U20,$BK$9),COUNTIF('1.연간시수표'!U20,$BK$7),COUNTIF('1.연간시수표'!U20,$BL$9),COUNTIF('1.연간시수표'!U20,$BL$7),COUNTIF('1.연간시수표'!U20,$BM$9),COUNTIF('1.연간시수표'!U20,$BM$7)),$BF$6,IF(OR(COUNTIF('1.연간시수표'!U20,$BO$9),COUNTIF('1.연간시수표'!U20,$BO$7)),$BO$6,IF(OR(COUNTIF('1.연간시수표'!U20,$BP$9),COUNTIF('1.연간시수표'!U20,$BP$7)),$BP$6,IF(OR(COUNTIF('1.연간시수표'!U20,$BQ$9),COUNTIF('1.연간시수표'!U20,$BQ$7)),$BQ$6,IF(OR(COUNTIF('1.연간시수표'!U20,$BR$9),COUNTIF('1.연간시수표'!U20,$BR$7)),$BR$6,"_")))))))))))))))</f>
        <v>영어</v>
      </c>
      <c r="V20" s="148" t="str">
        <f>IF(OR(COUNTIF('1.연간시수표'!V20,$AT$9),COUNTIF('1.연간시수표'!V20,$AT$7)),$AT$6,IF(OR(COUNTIF('1.연간시수표'!V20,$AU$9),COUNTIF('1.연간시수표'!V20,$AU$7)),$AU$6,IF(OR(COUNTIF('1.연간시수표'!V20,$AV$9),COUNTIF('1.연간시수표'!V20,$AV$7)),$AV$6,IF(OR(COUNTIF('1.연간시수표'!V20,$AW$9),COUNTIF('1.연간시수표'!V20,$AW$7)),$AW$6,IF(OR(COUNTIF('1.연간시수표'!V20,$AX$9),COUNTIF('1.연간시수표'!V20,$AX$7)),$AX$6,IF(OR(COUNTIF('1.연간시수표'!V20,$AY$9),COUNTIF('1.연간시수표'!V20,$AY$7)),$AY$6,IF(OR(COUNTIF('1.연간시수표'!V20,$AZ$9),COUNTIF('1.연간시수표'!V20,$AZ$7)),$AZ$6,IF(OR(COUNTIF('1.연간시수표'!V20,$BA$9),COUNTIF('1.연간시수표'!V20,$BA$7)),$BA$6,IF(OR(COUNTIF('1.연간시수표'!V20,$BB$9),COUNTIF('1.연간시수표'!V20,$BB$7)),$BB$6,IF(OR(COUNTIF('1.연간시수표'!V20,$BC$9),COUNTIF('1.연간시수표'!V20,$BC$7)),$BC$6,IF(OR(COUNTIF('1.연간시수표'!V20,$BF$9),COUNTIF('1.연간시수표'!V20,$BF$7),COUNTIF('1.연간시수표'!V20,$BG$9),COUNTIF('1.연간시수표'!V20,$BG$7),COUNTIF('1.연간시수표'!V20,$BH$9),COUNTIF('1.연간시수표'!V20,$BH$7),COUNTIF('1.연간시수표'!V20,$BI$9),COUNTIF('1.연간시수표'!V20,$BI$7),COUNTIF('1.연간시수표'!V20,$BJ$9),COUNTIF('1.연간시수표'!V20,$BJ$7),COUNTIF('1.연간시수표'!V20,$BK$9),COUNTIF('1.연간시수표'!V20,$BK$7),COUNTIF('1.연간시수표'!V20,$BL$9),COUNTIF('1.연간시수표'!V20,$BL$7),COUNTIF('1.연간시수표'!V20,$BM$9),COUNTIF('1.연간시수표'!V20,$BM$7)),$BF$6,IF(OR(COUNTIF('1.연간시수표'!V20,$BO$9),COUNTIF('1.연간시수표'!V20,$BO$7)),$BO$6,IF(OR(COUNTIF('1.연간시수표'!V20,$BP$9),COUNTIF('1.연간시수표'!V20,$BP$7)),$BP$6,IF(OR(COUNTIF('1.연간시수표'!V20,$BQ$9),COUNTIF('1.연간시수표'!V20,$BQ$7)),$BQ$6,IF(OR(COUNTIF('1.연간시수표'!V20,$BR$9),COUNTIF('1.연간시수표'!V20,$BR$7)),$BR$6,"_")))))))))))))))</f>
        <v>과학</v>
      </c>
      <c r="W20" s="148" t="str">
        <f>IF(OR(COUNTIF('1.연간시수표'!W20,$AT$9),COUNTIF('1.연간시수표'!W20,$AT$7)),$AT$6,IF(OR(COUNTIF('1.연간시수표'!W20,$AU$9),COUNTIF('1.연간시수표'!W20,$AU$7)),$AU$6,IF(OR(COUNTIF('1.연간시수표'!W20,$AV$9),COUNTIF('1.연간시수표'!W20,$AV$7)),$AV$6,IF(OR(COUNTIF('1.연간시수표'!W20,$AW$9),COUNTIF('1.연간시수표'!W20,$AW$7)),$AW$6,IF(OR(COUNTIF('1.연간시수표'!W20,$AX$9),COUNTIF('1.연간시수표'!W20,$AX$7)),$AX$6,IF(OR(COUNTIF('1.연간시수표'!W20,$AY$9),COUNTIF('1.연간시수표'!W20,$AY$7)),$AY$6,IF(OR(COUNTIF('1.연간시수표'!W20,$AZ$9),COUNTIF('1.연간시수표'!W20,$AZ$7)),$AZ$6,IF(OR(COUNTIF('1.연간시수표'!W20,$BA$9),COUNTIF('1.연간시수표'!W20,$BA$7)),$BA$6,IF(OR(COUNTIF('1.연간시수표'!W20,$BB$9),COUNTIF('1.연간시수표'!W20,$BB$7)),$BB$6,IF(OR(COUNTIF('1.연간시수표'!W20,$BC$9),COUNTIF('1.연간시수표'!W20,$BC$7)),$BC$6,IF(OR(COUNTIF('1.연간시수표'!W20,$BF$9),COUNTIF('1.연간시수표'!W20,$BF$7),COUNTIF('1.연간시수표'!W20,$BG$9),COUNTIF('1.연간시수표'!W20,$BG$7),COUNTIF('1.연간시수표'!W20,$BH$9),COUNTIF('1.연간시수표'!W20,$BH$7),COUNTIF('1.연간시수표'!W20,$BI$9),COUNTIF('1.연간시수표'!W20,$BI$7),COUNTIF('1.연간시수표'!W20,$BJ$9),COUNTIF('1.연간시수표'!W20,$BJ$7),COUNTIF('1.연간시수표'!W20,$BK$9),COUNTIF('1.연간시수표'!W20,$BK$7),COUNTIF('1.연간시수표'!W20,$BL$9),COUNTIF('1.연간시수표'!W20,$BL$7),COUNTIF('1.연간시수표'!W20,$BM$9),COUNTIF('1.연간시수표'!W20,$BM$7)),$BF$6,IF(OR(COUNTIF('1.연간시수표'!W20,$BO$9),COUNTIF('1.연간시수표'!W20,$BO$7)),$BO$6,IF(OR(COUNTIF('1.연간시수표'!W20,$BP$9),COUNTIF('1.연간시수표'!W20,$BP$7)),$BP$6,IF(OR(COUNTIF('1.연간시수표'!W20,$BQ$9),COUNTIF('1.연간시수표'!W20,$BQ$7)),$BQ$6,IF(OR(COUNTIF('1.연간시수표'!W20,$BR$9),COUNTIF('1.연간시수표'!W20,$BR$7)),$BR$6,"_")))))))))))))))</f>
        <v>체육</v>
      </c>
      <c r="X20" s="148" t="str">
        <f>IF(OR(COUNTIF('1.연간시수표'!X20,$AT$9),COUNTIF('1.연간시수표'!X20,$AT$7)),$AT$6,IF(OR(COUNTIF('1.연간시수표'!X20,$AU$9),COUNTIF('1.연간시수표'!X20,$AU$7)),$AU$6,IF(OR(COUNTIF('1.연간시수표'!X20,$AV$9),COUNTIF('1.연간시수표'!X20,$AV$7)),$AV$6,IF(OR(COUNTIF('1.연간시수표'!X20,$AW$9),COUNTIF('1.연간시수표'!X20,$AW$7)),$AW$6,IF(OR(COUNTIF('1.연간시수표'!X20,$AX$9),COUNTIF('1.연간시수표'!X20,$AX$7)),$AX$6,IF(OR(COUNTIF('1.연간시수표'!X20,$AY$9),COUNTIF('1.연간시수표'!X20,$AY$7)),$AY$6,IF(OR(COUNTIF('1.연간시수표'!X20,$AZ$9),COUNTIF('1.연간시수표'!X20,$AZ$7)),$AZ$6,IF(OR(COUNTIF('1.연간시수표'!X20,$BA$9),COUNTIF('1.연간시수표'!X20,$BA$7)),$BA$6,IF(OR(COUNTIF('1.연간시수표'!X20,$BB$9),COUNTIF('1.연간시수표'!X20,$BB$7)),$BB$6,IF(OR(COUNTIF('1.연간시수표'!X20,$BC$9),COUNTIF('1.연간시수표'!X20,$BC$7)),$BC$6,IF(OR(COUNTIF('1.연간시수표'!X20,$BF$9),COUNTIF('1.연간시수표'!X20,$BF$7),COUNTIF('1.연간시수표'!X20,$BG$9),COUNTIF('1.연간시수표'!X20,$BG$7),COUNTIF('1.연간시수표'!X20,$BH$9),COUNTIF('1.연간시수표'!X20,$BH$7),COUNTIF('1.연간시수표'!X20,$BI$9),COUNTIF('1.연간시수표'!X20,$BI$7),COUNTIF('1.연간시수표'!X20,$BJ$9),COUNTIF('1.연간시수표'!X20,$BJ$7),COUNTIF('1.연간시수표'!X20,$BK$9),COUNTIF('1.연간시수표'!X20,$BK$7),COUNTIF('1.연간시수표'!X20,$BL$9),COUNTIF('1.연간시수표'!X20,$BL$7),COUNTIF('1.연간시수표'!X20,$BM$9),COUNTIF('1.연간시수표'!X20,$BM$7)),$BF$6,IF(OR(COUNTIF('1.연간시수표'!X20,$BO$9),COUNTIF('1.연간시수표'!X20,$BO$7)),$BO$6,IF(OR(COUNTIF('1.연간시수표'!X20,$BP$9),COUNTIF('1.연간시수표'!X20,$BP$7)),$BP$6,IF(OR(COUNTIF('1.연간시수표'!X20,$BQ$9),COUNTIF('1.연간시수표'!X20,$BQ$7)),$BQ$6,IF(OR(COUNTIF('1.연간시수표'!X20,$BR$9),COUNTIF('1.연간시수표'!X20,$BR$7)),$BR$6,"_")))))))))))))))</f>
        <v>음악</v>
      </c>
      <c r="Y20" s="148" t="str">
        <f>IF(OR(COUNTIF('1.연간시수표'!Y20,$AT$9),COUNTIF('1.연간시수표'!Y20,$AT$7)),$AT$6,IF(OR(COUNTIF('1.연간시수표'!Y20,$AU$9),COUNTIF('1.연간시수표'!Y20,$AU$7)),$AU$6,IF(OR(COUNTIF('1.연간시수표'!Y20,$AV$9),COUNTIF('1.연간시수표'!Y20,$AV$7)),$AV$6,IF(OR(COUNTIF('1.연간시수표'!Y20,$AW$9),COUNTIF('1.연간시수표'!Y20,$AW$7)),$AW$6,IF(OR(COUNTIF('1.연간시수표'!Y20,$AX$9),COUNTIF('1.연간시수표'!Y20,$AX$7)),$AX$6,IF(OR(COUNTIF('1.연간시수표'!Y20,$AY$9),COUNTIF('1.연간시수표'!Y20,$AY$7)),$AY$6,IF(OR(COUNTIF('1.연간시수표'!Y20,$AZ$9),COUNTIF('1.연간시수표'!Y20,$AZ$7)),$AZ$6,IF(OR(COUNTIF('1.연간시수표'!Y20,$BA$9),COUNTIF('1.연간시수표'!Y20,$BA$7)),$BA$6,IF(OR(COUNTIF('1.연간시수표'!Y20,$BB$9),COUNTIF('1.연간시수표'!Y20,$BB$7)),$BB$6,IF(OR(COUNTIF('1.연간시수표'!Y20,$BC$9),COUNTIF('1.연간시수표'!Y20,$BC$7)),$BC$6,IF(OR(COUNTIF('1.연간시수표'!Y20,$BF$9),COUNTIF('1.연간시수표'!Y20,$BF$7),COUNTIF('1.연간시수표'!Y20,$BG$9),COUNTIF('1.연간시수표'!Y20,$BG$7),COUNTIF('1.연간시수표'!Y20,$BH$9),COUNTIF('1.연간시수표'!Y20,$BH$7),COUNTIF('1.연간시수표'!Y20,$BI$9),COUNTIF('1.연간시수표'!Y20,$BI$7),COUNTIF('1.연간시수표'!Y20,$BJ$9),COUNTIF('1.연간시수표'!Y20,$BJ$7),COUNTIF('1.연간시수표'!Y20,$BK$9),COUNTIF('1.연간시수표'!Y20,$BK$7),COUNTIF('1.연간시수표'!Y20,$BL$9),COUNTIF('1.연간시수표'!Y20,$BL$7),COUNTIF('1.연간시수표'!Y20,$BM$9),COUNTIF('1.연간시수표'!Y20,$BM$7)),$BF$6,IF(OR(COUNTIF('1.연간시수표'!Y20,$BO$9),COUNTIF('1.연간시수표'!Y20,$BO$7)),$BO$6,IF(OR(COUNTIF('1.연간시수표'!Y20,$BP$9),COUNTIF('1.연간시수표'!Y20,$BP$7)),$BP$6,IF(OR(COUNTIF('1.연간시수표'!Y20,$BQ$9),COUNTIF('1.연간시수표'!Y20,$BQ$7)),$BQ$6,IF(OR(COUNTIF('1.연간시수표'!Y20,$BR$9),COUNTIF('1.연간시수표'!Y20,$BR$7)),$BR$6,"_")))))))))))))))</f>
        <v>도덕</v>
      </c>
      <c r="Z20" s="148" t="str">
        <f>IF(OR(COUNTIF('1.연간시수표'!Z20,$AT$9),COUNTIF('1.연간시수표'!Z20,$AT$7)),$AT$6,IF(OR(COUNTIF('1.연간시수표'!Z20,$AU$9),COUNTIF('1.연간시수표'!Z20,$AU$7)),$AU$6,IF(OR(COUNTIF('1.연간시수표'!Z20,$AV$9),COUNTIF('1.연간시수표'!Z20,$AV$7)),$AV$6,IF(OR(COUNTIF('1.연간시수표'!Z20,$AW$9),COUNTIF('1.연간시수표'!Z20,$AW$7)),$AW$6,IF(OR(COUNTIF('1.연간시수표'!Z20,$AX$9),COUNTIF('1.연간시수표'!Z20,$AX$7)),$AX$6,IF(OR(COUNTIF('1.연간시수표'!Z20,$AY$9),COUNTIF('1.연간시수표'!Z20,$AY$7)),$AY$6,IF(OR(COUNTIF('1.연간시수표'!Z20,$AZ$9),COUNTIF('1.연간시수표'!Z20,$AZ$7)),$AZ$6,IF(OR(COUNTIF('1.연간시수표'!Z20,$BA$9),COUNTIF('1.연간시수표'!Z20,$BA$7)),$BA$6,IF(OR(COUNTIF('1.연간시수표'!Z20,$BB$9),COUNTIF('1.연간시수표'!Z20,$BB$7)),$BB$6,IF(OR(COUNTIF('1.연간시수표'!Z20,$BC$9),COUNTIF('1.연간시수표'!Z20,$BC$7)),$BC$6,IF(OR(COUNTIF('1.연간시수표'!Z20,$BF$9),COUNTIF('1.연간시수표'!Z20,$BF$7),COUNTIF('1.연간시수표'!Z20,$BG$9),COUNTIF('1.연간시수표'!Z20,$BG$7),COUNTIF('1.연간시수표'!Z20,$BH$9),COUNTIF('1.연간시수표'!Z20,$BH$7),COUNTIF('1.연간시수표'!Z20,$BI$9),COUNTIF('1.연간시수표'!Z20,$BI$7),COUNTIF('1.연간시수표'!Z20,$BJ$9),COUNTIF('1.연간시수표'!Z20,$BJ$7),COUNTIF('1.연간시수표'!Z20,$BK$9),COUNTIF('1.연간시수표'!Z20,$BK$7),COUNTIF('1.연간시수표'!Z20,$BL$9),COUNTIF('1.연간시수표'!Z20,$BL$7),COUNTIF('1.연간시수표'!Z20,$BM$9),COUNTIF('1.연간시수표'!Z20,$BM$7)),$BF$6,IF(OR(COUNTIF('1.연간시수표'!Z20,$BO$9),COUNTIF('1.연간시수표'!Z20,$BO$7)),$BO$6,IF(OR(COUNTIF('1.연간시수표'!Z20,$BP$9),COUNTIF('1.연간시수표'!Z20,$BP$7)),$BP$6,IF(OR(COUNTIF('1.연간시수표'!Z20,$BQ$9),COUNTIF('1.연간시수표'!Z20,$BQ$7)),$BQ$6,IF(OR(COUNTIF('1.연간시수표'!Z20,$BR$9),COUNTIF('1.연간시수표'!Z20,$BR$7)),$BR$6,"_")))))))))))))))</f>
        <v>_</v>
      </c>
      <c r="AA20" s="148" t="str">
        <f>IF(OR(COUNTIF('1.연간시수표'!AA20,$AT$9),COUNTIF('1.연간시수표'!AA20,$AT$7)),$AT$6,IF(OR(COUNTIF('1.연간시수표'!AA20,$AU$9),COUNTIF('1.연간시수표'!AA20,$AU$7)),$AU$6,IF(OR(COUNTIF('1.연간시수표'!AA20,$AV$9),COUNTIF('1.연간시수표'!AA20,$AV$7)),$AV$6,IF(OR(COUNTIF('1.연간시수표'!AA20,$AW$9),COUNTIF('1.연간시수표'!AA20,$AW$7)),$AW$6,IF(OR(COUNTIF('1.연간시수표'!AA20,$AX$9),COUNTIF('1.연간시수표'!AA20,$AX$7)),$AX$6,IF(OR(COUNTIF('1.연간시수표'!AA20,$AY$9),COUNTIF('1.연간시수표'!AA20,$AY$7)),$AY$6,IF(OR(COUNTIF('1.연간시수표'!AA20,$AZ$9),COUNTIF('1.연간시수표'!AA20,$AZ$7)),$AZ$6,IF(OR(COUNTIF('1.연간시수표'!AA20,$BA$9),COUNTIF('1.연간시수표'!AA20,$BA$7)),$BA$6,IF(OR(COUNTIF('1.연간시수표'!AA20,$BB$9),COUNTIF('1.연간시수표'!AA20,$BB$7)),$BB$6,IF(OR(COUNTIF('1.연간시수표'!AA20,$BC$9),COUNTIF('1.연간시수표'!AA20,$BC$7)),$BC$6,IF(OR(COUNTIF('1.연간시수표'!AA20,$BF$9),COUNTIF('1.연간시수표'!AA20,$BF$7),COUNTIF('1.연간시수표'!AA20,$BG$9),COUNTIF('1.연간시수표'!AA20,$BG$7),COUNTIF('1.연간시수표'!AA20,$BH$9),COUNTIF('1.연간시수표'!AA20,$BH$7),COUNTIF('1.연간시수표'!AA20,$BI$9),COUNTIF('1.연간시수표'!AA20,$BI$7),COUNTIF('1.연간시수표'!AA20,$BJ$9),COUNTIF('1.연간시수표'!AA20,$BJ$7),COUNTIF('1.연간시수표'!AA20,$BK$9),COUNTIF('1.연간시수표'!AA20,$BK$7),COUNTIF('1.연간시수표'!AA20,$BL$9),COUNTIF('1.연간시수표'!AA20,$BL$7),COUNTIF('1.연간시수표'!AA20,$BM$9),COUNTIF('1.연간시수표'!AA20,$BM$7)),$BF$6,IF(OR(COUNTIF('1.연간시수표'!AA20,$BO$9),COUNTIF('1.연간시수표'!AA20,$BO$7)),$BO$6,IF(OR(COUNTIF('1.연간시수표'!AA20,$BP$9),COUNTIF('1.연간시수표'!AA20,$BP$7)),$BP$6,IF(OR(COUNTIF('1.연간시수표'!AA20,$BQ$9),COUNTIF('1.연간시수표'!AA20,$BQ$7)),$BQ$6,IF(OR(COUNTIF('1.연간시수표'!AA20,$BR$9),COUNTIF('1.연간시수표'!AA20,$BR$7)),$BR$6,"_")))))))))))))))</f>
        <v>_</v>
      </c>
      <c r="AB20" s="148" t="str">
        <f>IF(OR(COUNTIF('1.연간시수표'!AB20,$AT$9),COUNTIF('1.연간시수표'!AB20,$AT$7)),$AT$6,IF(OR(COUNTIF('1.연간시수표'!AB20,$AU$9),COUNTIF('1.연간시수표'!AB20,$AU$7)),$AU$6,IF(OR(COUNTIF('1.연간시수표'!AB20,$AV$9),COUNTIF('1.연간시수표'!AB20,$AV$7)),$AV$6,IF(OR(COUNTIF('1.연간시수표'!AB20,$AW$9),COUNTIF('1.연간시수표'!AB20,$AW$7)),$AW$6,IF(OR(COUNTIF('1.연간시수표'!AB20,$AX$9),COUNTIF('1.연간시수표'!AB20,$AX$7)),$AX$6,IF(OR(COUNTIF('1.연간시수표'!AB20,$AY$9),COUNTIF('1.연간시수표'!AB20,$AY$7)),$AY$6,IF(OR(COUNTIF('1.연간시수표'!AB20,$AZ$9),COUNTIF('1.연간시수표'!AB20,$AZ$7)),$AZ$6,IF(OR(COUNTIF('1.연간시수표'!AB20,$BA$9),COUNTIF('1.연간시수표'!AB20,$BA$7)),$BA$6,IF(OR(COUNTIF('1.연간시수표'!AB20,$BB$9),COUNTIF('1.연간시수표'!AB20,$BB$7)),$BB$6,IF(OR(COUNTIF('1.연간시수표'!AB20,$BC$9),COUNTIF('1.연간시수표'!AB20,$BC$7)),$BC$6,IF(OR(COUNTIF('1.연간시수표'!AB20,$BF$9),COUNTIF('1.연간시수표'!AB20,$BF$7),COUNTIF('1.연간시수표'!AB20,$BG$9),COUNTIF('1.연간시수표'!AB20,$BG$7),COUNTIF('1.연간시수표'!AB20,$BH$9),COUNTIF('1.연간시수표'!AB20,$BH$7),COUNTIF('1.연간시수표'!AB20,$BI$9),COUNTIF('1.연간시수표'!AB20,$BI$7),COUNTIF('1.연간시수표'!AB20,$BJ$9),COUNTIF('1.연간시수표'!AB20,$BJ$7),COUNTIF('1.연간시수표'!AB20,$BK$9),COUNTIF('1.연간시수표'!AB20,$BK$7),COUNTIF('1.연간시수표'!AB20,$BL$9),COUNTIF('1.연간시수표'!AB20,$BL$7),COUNTIF('1.연간시수표'!AB20,$BM$9),COUNTIF('1.연간시수표'!AB20,$BM$7)),$BF$6,IF(OR(COUNTIF('1.연간시수표'!AB20,$BO$9),COUNTIF('1.연간시수표'!AB20,$BO$7)),$BO$6,IF(OR(COUNTIF('1.연간시수표'!AB20,$BP$9),COUNTIF('1.연간시수표'!AB20,$BP$7)),$BP$6,IF(OR(COUNTIF('1.연간시수표'!AB20,$BQ$9),COUNTIF('1.연간시수표'!AB20,$BQ$7)),$BQ$6,IF(OR(COUNTIF('1.연간시수표'!AB20,$BR$9),COUNTIF('1.연간시수표'!AB20,$BR$7)),$BR$6,"_")))))))))))))))</f>
        <v>_</v>
      </c>
      <c r="AC20" s="148" t="str">
        <f>IF(OR(COUNTIF('1.연간시수표'!AC20,$AT$9),COUNTIF('1.연간시수표'!AC20,$AT$7)),$AT$6,IF(OR(COUNTIF('1.연간시수표'!AC20,$AU$9),COUNTIF('1.연간시수표'!AC20,$AU$7)),$AU$6,IF(OR(COUNTIF('1.연간시수표'!AC20,$AV$9),COUNTIF('1.연간시수표'!AC20,$AV$7)),$AV$6,IF(OR(COUNTIF('1.연간시수표'!AC20,$AW$9),COUNTIF('1.연간시수표'!AC20,$AW$7)),$AW$6,IF(OR(COUNTIF('1.연간시수표'!AC20,$AX$9),COUNTIF('1.연간시수표'!AC20,$AX$7)),$AX$6,IF(OR(COUNTIF('1.연간시수표'!AC20,$AY$9),COUNTIF('1.연간시수표'!AC20,$AY$7)),$AY$6,IF(OR(COUNTIF('1.연간시수표'!AC20,$AZ$9),COUNTIF('1.연간시수표'!AC20,$AZ$7)),$AZ$6,IF(OR(COUNTIF('1.연간시수표'!AC20,$BA$9),COUNTIF('1.연간시수표'!AC20,$BA$7)),$BA$6,IF(OR(COUNTIF('1.연간시수표'!AC20,$BB$9),COUNTIF('1.연간시수표'!AC20,$BB$7)),$BB$6,IF(OR(COUNTIF('1.연간시수표'!AC20,$BC$9),COUNTIF('1.연간시수표'!AC20,$BC$7)),$BC$6,IF(OR(COUNTIF('1.연간시수표'!AC20,$BF$9),COUNTIF('1.연간시수표'!AC20,$BF$7),COUNTIF('1.연간시수표'!AC20,$BG$9),COUNTIF('1.연간시수표'!AC20,$BG$7),COUNTIF('1.연간시수표'!AC20,$BH$9),COUNTIF('1.연간시수표'!AC20,$BH$7),COUNTIF('1.연간시수표'!AC20,$BI$9),COUNTIF('1.연간시수표'!AC20,$BI$7),COUNTIF('1.연간시수표'!AC20,$BJ$9),COUNTIF('1.연간시수표'!AC20,$BJ$7),COUNTIF('1.연간시수표'!AC20,$BK$9),COUNTIF('1.연간시수표'!AC20,$BK$7),COUNTIF('1.연간시수표'!AC20,$BL$9),COUNTIF('1.연간시수표'!AC20,$BL$7),COUNTIF('1.연간시수표'!AC20,$BM$9),COUNTIF('1.연간시수표'!AC20,$BM$7)),$BF$6,IF(OR(COUNTIF('1.연간시수표'!AC20,$BO$9),COUNTIF('1.연간시수표'!AC20,$BO$7)),$BO$6,IF(OR(COUNTIF('1.연간시수표'!AC20,$BP$9),COUNTIF('1.연간시수표'!AC20,$BP$7)),$BP$6,IF(OR(COUNTIF('1.연간시수표'!AC20,$BQ$9),COUNTIF('1.연간시수표'!AC20,$BQ$7)),$BQ$6,IF(OR(COUNTIF('1.연간시수표'!AC20,$BR$9),COUNTIF('1.연간시수표'!AC20,$BR$7)),$BR$6,"_")))))))))))))))</f>
        <v>국어</v>
      </c>
      <c r="AD20" s="148" t="str">
        <f>IF(OR(COUNTIF('1.연간시수표'!AD20,$AT$9),COUNTIF('1.연간시수표'!AD20,$AT$7)),$AT$6,IF(OR(COUNTIF('1.연간시수표'!AD20,$AU$9),COUNTIF('1.연간시수표'!AD20,$AU$7)),$AU$6,IF(OR(COUNTIF('1.연간시수표'!AD20,$AV$9),COUNTIF('1.연간시수표'!AD20,$AV$7)),$AV$6,IF(OR(COUNTIF('1.연간시수표'!AD20,$AW$9),COUNTIF('1.연간시수표'!AD20,$AW$7)),$AW$6,IF(OR(COUNTIF('1.연간시수표'!AD20,$AX$9),COUNTIF('1.연간시수표'!AD20,$AX$7)),$AX$6,IF(OR(COUNTIF('1.연간시수표'!AD20,$AY$9),COUNTIF('1.연간시수표'!AD20,$AY$7)),$AY$6,IF(OR(COUNTIF('1.연간시수표'!AD20,$AZ$9),COUNTIF('1.연간시수표'!AD20,$AZ$7)),$AZ$6,IF(OR(COUNTIF('1.연간시수표'!AD20,$BA$9),COUNTIF('1.연간시수표'!AD20,$BA$7)),$BA$6,IF(OR(COUNTIF('1.연간시수표'!AD20,$BB$9),COUNTIF('1.연간시수표'!AD20,$BB$7)),$BB$6,IF(OR(COUNTIF('1.연간시수표'!AD20,$BC$9),COUNTIF('1.연간시수표'!AD20,$BC$7)),$BC$6,IF(OR(COUNTIF('1.연간시수표'!AD20,$BF$9),COUNTIF('1.연간시수표'!AD20,$BF$7),COUNTIF('1.연간시수표'!AD20,$BG$9),COUNTIF('1.연간시수표'!AD20,$BG$7),COUNTIF('1.연간시수표'!AD20,$BH$9),COUNTIF('1.연간시수표'!AD20,$BH$7),COUNTIF('1.연간시수표'!AD20,$BI$9),COUNTIF('1.연간시수표'!AD20,$BI$7),COUNTIF('1.연간시수표'!AD20,$BJ$9),COUNTIF('1.연간시수표'!AD20,$BJ$7),COUNTIF('1.연간시수표'!AD20,$BK$9),COUNTIF('1.연간시수표'!AD20,$BK$7),COUNTIF('1.연간시수표'!AD20,$BL$9),COUNTIF('1.연간시수표'!AD20,$BL$7),COUNTIF('1.연간시수표'!AD20,$BM$9),COUNTIF('1.연간시수표'!AD20,$BM$7)),$BF$6,IF(OR(COUNTIF('1.연간시수표'!AD20,$BO$9),COUNTIF('1.연간시수표'!AD20,$BO$7)),$BO$6,IF(OR(COUNTIF('1.연간시수표'!AD20,$BP$9),COUNTIF('1.연간시수표'!AD20,$BP$7)),$BP$6,IF(OR(COUNTIF('1.연간시수표'!AD20,$BQ$9),COUNTIF('1.연간시수표'!AD20,$BQ$7)),$BQ$6,IF(OR(COUNTIF('1.연간시수표'!AD20,$BR$9),COUNTIF('1.연간시수표'!AD20,$BR$7)),$BR$6,"_")))))))))))))))</f>
        <v>수학</v>
      </c>
      <c r="AE20" s="148" t="str">
        <f>IF(OR(COUNTIF('1.연간시수표'!AE20,$AT$9),COUNTIF('1.연간시수표'!AE20,$AT$7)),$AT$6,IF(OR(COUNTIF('1.연간시수표'!AE20,$AU$9),COUNTIF('1.연간시수표'!AE20,$AU$7)),$AU$6,IF(OR(COUNTIF('1.연간시수표'!AE20,$AV$9),COUNTIF('1.연간시수표'!AE20,$AV$7)),$AV$6,IF(OR(COUNTIF('1.연간시수표'!AE20,$AW$9),COUNTIF('1.연간시수표'!AE20,$AW$7)),$AW$6,IF(OR(COUNTIF('1.연간시수표'!AE20,$AX$9),COUNTIF('1.연간시수표'!AE20,$AX$7)),$AX$6,IF(OR(COUNTIF('1.연간시수표'!AE20,$AY$9),COUNTIF('1.연간시수표'!AE20,$AY$7)),$AY$6,IF(OR(COUNTIF('1.연간시수표'!AE20,$AZ$9),COUNTIF('1.연간시수표'!AE20,$AZ$7)),$AZ$6,IF(OR(COUNTIF('1.연간시수표'!AE20,$BA$9),COUNTIF('1.연간시수표'!AE20,$BA$7)),$BA$6,IF(OR(COUNTIF('1.연간시수표'!AE20,$BB$9),COUNTIF('1.연간시수표'!AE20,$BB$7)),$BB$6,IF(OR(COUNTIF('1.연간시수표'!AE20,$BC$9),COUNTIF('1.연간시수표'!AE20,$BC$7)),$BC$6,IF(OR(COUNTIF('1.연간시수표'!AE20,$BF$9),COUNTIF('1.연간시수표'!AE20,$BF$7),COUNTIF('1.연간시수표'!AE20,$BG$9),COUNTIF('1.연간시수표'!AE20,$BG$7),COUNTIF('1.연간시수표'!AE20,$BH$9),COUNTIF('1.연간시수표'!AE20,$BH$7),COUNTIF('1.연간시수표'!AE20,$BI$9),COUNTIF('1.연간시수표'!AE20,$BI$7),COUNTIF('1.연간시수표'!AE20,$BJ$9),COUNTIF('1.연간시수표'!AE20,$BJ$7),COUNTIF('1.연간시수표'!AE20,$BK$9),COUNTIF('1.연간시수표'!AE20,$BK$7),COUNTIF('1.연간시수표'!AE20,$BL$9),COUNTIF('1.연간시수표'!AE20,$BL$7),COUNTIF('1.연간시수표'!AE20,$BM$9),COUNTIF('1.연간시수표'!AE20,$BM$7)),$BF$6,IF(OR(COUNTIF('1.연간시수표'!AE20,$BO$9),COUNTIF('1.연간시수표'!AE20,$BO$7)),$BO$6,IF(OR(COUNTIF('1.연간시수표'!AE20,$BP$9),COUNTIF('1.연간시수표'!AE20,$BP$7)),$BP$6,IF(OR(COUNTIF('1.연간시수표'!AE20,$BQ$9),COUNTIF('1.연간시수표'!AE20,$BQ$7)),$BQ$6,IF(OR(COUNTIF('1.연간시수표'!AE20,$BR$9),COUNTIF('1.연간시수표'!AE20,$BR$7)),$BR$6,"_")))))))))))))))</f>
        <v>사회</v>
      </c>
      <c r="AF20" s="148" t="str">
        <f>IF(OR(COUNTIF('1.연간시수표'!AF20,$AT$9),COUNTIF('1.연간시수표'!AF20,$AT$7)),$AT$6,IF(OR(COUNTIF('1.연간시수표'!AF20,$AU$9),COUNTIF('1.연간시수표'!AF20,$AU$7)),$AU$6,IF(OR(COUNTIF('1.연간시수표'!AF20,$AV$9),COUNTIF('1.연간시수표'!AF20,$AV$7)),$AV$6,IF(OR(COUNTIF('1.연간시수표'!AF20,$AW$9),COUNTIF('1.연간시수표'!AF20,$AW$7)),$AW$6,IF(OR(COUNTIF('1.연간시수표'!AF20,$AX$9),COUNTIF('1.연간시수표'!AF20,$AX$7)),$AX$6,IF(OR(COUNTIF('1.연간시수표'!AF20,$AY$9),COUNTIF('1.연간시수표'!AF20,$AY$7)),$AY$6,IF(OR(COUNTIF('1.연간시수표'!AF20,$AZ$9),COUNTIF('1.연간시수표'!AF20,$AZ$7)),$AZ$6,IF(OR(COUNTIF('1.연간시수표'!AF20,$BA$9),COUNTIF('1.연간시수표'!AF20,$BA$7)),$BA$6,IF(OR(COUNTIF('1.연간시수표'!AF20,$BB$9),COUNTIF('1.연간시수표'!AF20,$BB$7)),$BB$6,IF(OR(COUNTIF('1.연간시수표'!AF20,$BC$9),COUNTIF('1.연간시수표'!AF20,$BC$7)),$BC$6,IF(OR(COUNTIF('1.연간시수표'!AF20,$BF$9),COUNTIF('1.연간시수표'!AF20,$BF$7),COUNTIF('1.연간시수표'!AF20,$BG$9),COUNTIF('1.연간시수표'!AF20,$BG$7),COUNTIF('1.연간시수표'!AF20,$BH$9),COUNTIF('1.연간시수표'!AF20,$BH$7),COUNTIF('1.연간시수표'!AF20,$BI$9),COUNTIF('1.연간시수표'!AF20,$BI$7),COUNTIF('1.연간시수표'!AF20,$BJ$9),COUNTIF('1.연간시수표'!AF20,$BJ$7),COUNTIF('1.연간시수표'!AF20,$BK$9),COUNTIF('1.연간시수표'!AF20,$BK$7),COUNTIF('1.연간시수표'!AF20,$BL$9),COUNTIF('1.연간시수표'!AF20,$BL$7),COUNTIF('1.연간시수표'!AF20,$BM$9),COUNTIF('1.연간시수표'!AF20,$BM$7)),$BF$6,IF(OR(COUNTIF('1.연간시수표'!AF20,$BO$9),COUNTIF('1.연간시수표'!AF20,$BO$7)),$BO$6,IF(OR(COUNTIF('1.연간시수표'!AF20,$BP$9),COUNTIF('1.연간시수표'!AF20,$BP$7)),$BP$6,IF(OR(COUNTIF('1.연간시수표'!AF20,$BQ$9),COUNTIF('1.연간시수표'!AF20,$BQ$7)),$BQ$6,IF(OR(COUNTIF('1.연간시수표'!AF20,$BR$9),COUNTIF('1.연간시수표'!AF20,$BR$7)),$BR$6,"_")))))))))))))))</f>
        <v>영어</v>
      </c>
      <c r="AG20" s="148" t="str">
        <f>IF(OR(COUNTIF('1.연간시수표'!AG20,$AT$9),COUNTIF('1.연간시수표'!AG20,$AT$7)),$AT$6,IF(OR(COUNTIF('1.연간시수표'!AG20,$AU$9),COUNTIF('1.연간시수표'!AG20,$AU$7)),$AU$6,IF(OR(COUNTIF('1.연간시수표'!AG20,$AV$9),COUNTIF('1.연간시수표'!AG20,$AV$7)),$AV$6,IF(OR(COUNTIF('1.연간시수표'!AG20,$AW$9),COUNTIF('1.연간시수표'!AG20,$AW$7)),$AW$6,IF(OR(COUNTIF('1.연간시수표'!AG20,$AX$9),COUNTIF('1.연간시수표'!AG20,$AX$7)),$AX$6,IF(OR(COUNTIF('1.연간시수표'!AG20,$AY$9),COUNTIF('1.연간시수표'!AG20,$AY$7)),$AY$6,IF(OR(COUNTIF('1.연간시수표'!AG20,$AZ$9),COUNTIF('1.연간시수표'!AG20,$AZ$7)),$AZ$6,IF(OR(COUNTIF('1.연간시수표'!AG20,$BA$9),COUNTIF('1.연간시수표'!AG20,$BA$7)),$BA$6,IF(OR(COUNTIF('1.연간시수표'!AG20,$BB$9),COUNTIF('1.연간시수표'!AG20,$BB$7)),$BB$6,IF(OR(COUNTIF('1.연간시수표'!AG20,$BC$9),COUNTIF('1.연간시수표'!AG20,$BC$7)),$BC$6,IF(OR(COUNTIF('1.연간시수표'!AG20,$BF$9),COUNTIF('1.연간시수표'!AG20,$BF$7),COUNTIF('1.연간시수표'!AG20,$BG$9),COUNTIF('1.연간시수표'!AG20,$BG$7),COUNTIF('1.연간시수표'!AG20,$BH$9),COUNTIF('1.연간시수표'!AG20,$BH$7),COUNTIF('1.연간시수표'!AG20,$BI$9),COUNTIF('1.연간시수표'!AG20,$BI$7),COUNTIF('1.연간시수표'!AG20,$BJ$9),COUNTIF('1.연간시수표'!AG20,$BJ$7),COUNTIF('1.연간시수표'!AG20,$BK$9),COUNTIF('1.연간시수표'!AG20,$BK$7),COUNTIF('1.연간시수표'!AG20,$BL$9),COUNTIF('1.연간시수표'!AG20,$BL$7),COUNTIF('1.연간시수표'!AG20,$BM$9),COUNTIF('1.연간시수표'!AG20,$BM$7)),$BF$6,IF(OR(COUNTIF('1.연간시수표'!AG20,$BO$9),COUNTIF('1.연간시수표'!AG20,$BO$7)),$BO$6,IF(OR(COUNTIF('1.연간시수표'!AG20,$BP$9),COUNTIF('1.연간시수표'!AG20,$BP$7)),$BP$6,IF(OR(COUNTIF('1.연간시수표'!AG20,$BQ$9),COUNTIF('1.연간시수표'!AG20,$BQ$7)),$BQ$6,IF(OR(COUNTIF('1.연간시수표'!AG20,$BR$9),COUNTIF('1.연간시수표'!AG20,$BR$7)),$BR$6,"_")))))))))))))))</f>
        <v>과학</v>
      </c>
      <c r="AH20" s="148" t="str">
        <f>IF(OR(COUNTIF('1.연간시수표'!AH20,$AT$9),COUNTIF('1.연간시수표'!AH20,$AT$7)),$AT$6,IF(OR(COUNTIF('1.연간시수표'!AH20,$AU$9),COUNTIF('1.연간시수표'!AH20,$AU$7)),$AU$6,IF(OR(COUNTIF('1.연간시수표'!AH20,$AV$9),COUNTIF('1.연간시수표'!AH20,$AV$7)),$AV$6,IF(OR(COUNTIF('1.연간시수표'!AH20,$AW$9),COUNTIF('1.연간시수표'!AH20,$AW$7)),$AW$6,IF(OR(COUNTIF('1.연간시수표'!AH20,$AX$9),COUNTIF('1.연간시수표'!AH20,$AX$7)),$AX$6,IF(OR(COUNTIF('1.연간시수표'!AH20,$AY$9),COUNTIF('1.연간시수표'!AH20,$AY$7)),$AY$6,IF(OR(COUNTIF('1.연간시수표'!AH20,$AZ$9),COUNTIF('1.연간시수표'!AH20,$AZ$7)),$AZ$6,IF(OR(COUNTIF('1.연간시수표'!AH20,$BA$9),COUNTIF('1.연간시수표'!AH20,$BA$7)),$BA$6,IF(OR(COUNTIF('1.연간시수표'!AH20,$BB$9),COUNTIF('1.연간시수표'!AH20,$BB$7)),$BB$6,IF(OR(COUNTIF('1.연간시수표'!AH20,$BC$9),COUNTIF('1.연간시수표'!AH20,$BC$7)),$BC$6,IF(OR(COUNTIF('1.연간시수표'!AH20,$BF$9),COUNTIF('1.연간시수표'!AH20,$BF$7),COUNTIF('1.연간시수표'!AH20,$BG$9),COUNTIF('1.연간시수표'!AH20,$BG$7),COUNTIF('1.연간시수표'!AH20,$BH$9),COUNTIF('1.연간시수표'!AH20,$BH$7),COUNTIF('1.연간시수표'!AH20,$BI$9),COUNTIF('1.연간시수표'!AH20,$BI$7),COUNTIF('1.연간시수표'!AH20,$BJ$9),COUNTIF('1.연간시수표'!AH20,$BJ$7),COUNTIF('1.연간시수표'!AH20,$BK$9),COUNTIF('1.연간시수표'!AH20,$BK$7),COUNTIF('1.연간시수표'!AH20,$BL$9),COUNTIF('1.연간시수표'!AH20,$BL$7),COUNTIF('1.연간시수표'!AH20,$BM$9),COUNTIF('1.연간시수표'!AH20,$BM$7)),$BF$6,IF(OR(COUNTIF('1.연간시수표'!AH20,$BO$9),COUNTIF('1.연간시수표'!AH20,$BO$7)),$BO$6,IF(OR(COUNTIF('1.연간시수표'!AH20,$BP$9),COUNTIF('1.연간시수표'!AH20,$BP$7)),$BP$6,IF(OR(COUNTIF('1.연간시수표'!AH20,$BQ$9),COUNTIF('1.연간시수표'!AH20,$BQ$7)),$BQ$6,IF(OR(COUNTIF('1.연간시수표'!AH20,$BR$9),COUNTIF('1.연간시수표'!AH20,$BR$7)),$BR$6,"_")))))))))))))))</f>
        <v>음악</v>
      </c>
      <c r="AI20" s="148" t="str">
        <f>IF(OR(COUNTIF('1.연간시수표'!AI20,$AT$9),COUNTIF('1.연간시수표'!AI20,$AT$7)),$AT$6,IF(OR(COUNTIF('1.연간시수표'!AI20,$AU$9),COUNTIF('1.연간시수표'!AI20,$AU$7)),$AU$6,IF(OR(COUNTIF('1.연간시수표'!AI20,$AV$9),COUNTIF('1.연간시수표'!AI20,$AV$7)),$AV$6,IF(OR(COUNTIF('1.연간시수표'!AI20,$AW$9),COUNTIF('1.연간시수표'!AI20,$AW$7)),$AW$6,IF(OR(COUNTIF('1.연간시수표'!AI20,$AX$9),COUNTIF('1.연간시수표'!AI20,$AX$7)),$AX$6,IF(OR(COUNTIF('1.연간시수표'!AI20,$AY$9),COUNTIF('1.연간시수표'!AI20,$AY$7)),$AY$6,IF(OR(COUNTIF('1.연간시수표'!AI20,$AZ$9),COUNTIF('1.연간시수표'!AI20,$AZ$7)),$AZ$6,IF(OR(COUNTIF('1.연간시수표'!AI20,$BA$9),COUNTIF('1.연간시수표'!AI20,$BA$7)),$BA$6,IF(OR(COUNTIF('1.연간시수표'!AI20,$BB$9),COUNTIF('1.연간시수표'!AI20,$BB$7)),$BB$6,IF(OR(COUNTIF('1.연간시수표'!AI20,$BC$9),COUNTIF('1.연간시수표'!AI20,$BC$7)),$BC$6,IF(OR(COUNTIF('1.연간시수표'!AI20,$BF$9),COUNTIF('1.연간시수표'!AI20,$BF$7),COUNTIF('1.연간시수표'!AI20,$BG$9),COUNTIF('1.연간시수표'!AI20,$BG$7),COUNTIF('1.연간시수표'!AI20,$BH$9),COUNTIF('1.연간시수표'!AI20,$BH$7),COUNTIF('1.연간시수표'!AI20,$BI$9),COUNTIF('1.연간시수표'!AI20,$BI$7),COUNTIF('1.연간시수표'!AI20,$BJ$9),COUNTIF('1.연간시수표'!AI20,$BJ$7),COUNTIF('1.연간시수표'!AI20,$BK$9),COUNTIF('1.연간시수표'!AI20,$BK$7),COUNTIF('1.연간시수표'!AI20,$BL$9),COUNTIF('1.연간시수표'!AI20,$BL$7),COUNTIF('1.연간시수표'!AI20,$BM$9),COUNTIF('1.연간시수표'!AI20,$BM$7)),$BF$6,IF(OR(COUNTIF('1.연간시수표'!AI20,$BO$9),COUNTIF('1.연간시수표'!AI20,$BO$7)),$BO$6,IF(OR(COUNTIF('1.연간시수표'!AI20,$BP$9),COUNTIF('1.연간시수표'!AI20,$BP$7)),$BP$6,IF(OR(COUNTIF('1.연간시수표'!AI20,$BQ$9),COUNTIF('1.연간시수표'!AI20,$BQ$7)),$BQ$6,IF(OR(COUNTIF('1.연간시수표'!AI20,$BR$9),COUNTIF('1.연간시수표'!AI20,$BR$7)),$BR$6,"_")))))))))))))))</f>
        <v>_</v>
      </c>
      <c r="AJ20" s="148" t="str">
        <f>IF(OR(COUNTIF('1.연간시수표'!AJ20,$AT$9),COUNTIF('1.연간시수표'!AJ20,$AT$7)),$AT$6,IF(OR(COUNTIF('1.연간시수표'!AJ20,$AU$9),COUNTIF('1.연간시수표'!AJ20,$AU$7)),$AU$6,IF(OR(COUNTIF('1.연간시수표'!AJ20,$AV$9),COUNTIF('1.연간시수표'!AJ20,$AV$7)),$AV$6,IF(OR(COUNTIF('1.연간시수표'!AJ20,$AW$9),COUNTIF('1.연간시수표'!AJ20,$AW$7)),$AW$6,IF(OR(COUNTIF('1.연간시수표'!AJ20,$AX$9),COUNTIF('1.연간시수표'!AJ20,$AX$7)),$AX$6,IF(OR(COUNTIF('1.연간시수표'!AJ20,$AY$9),COUNTIF('1.연간시수표'!AJ20,$AY$7)),$AY$6,IF(OR(COUNTIF('1.연간시수표'!AJ20,$AZ$9),COUNTIF('1.연간시수표'!AJ20,$AZ$7)),$AZ$6,IF(OR(COUNTIF('1.연간시수표'!AJ20,$BA$9),COUNTIF('1.연간시수표'!AJ20,$BA$7)),$BA$6,IF(OR(COUNTIF('1.연간시수표'!AJ20,$BB$9),COUNTIF('1.연간시수표'!AJ20,$BB$7)),$BB$6,IF(OR(COUNTIF('1.연간시수표'!AJ20,$BC$9),COUNTIF('1.연간시수표'!AJ20,$BC$7)),$BC$6,IF(OR(COUNTIF('1.연간시수표'!AJ20,$BF$9),COUNTIF('1.연간시수표'!AJ20,$BF$7),COUNTIF('1.연간시수표'!AJ20,$BG$9),COUNTIF('1.연간시수표'!AJ20,$BG$7),COUNTIF('1.연간시수표'!AJ20,$BH$9),COUNTIF('1.연간시수표'!AJ20,$BH$7),COUNTIF('1.연간시수표'!AJ20,$BI$9),COUNTIF('1.연간시수표'!AJ20,$BI$7),COUNTIF('1.연간시수표'!AJ20,$BJ$9),COUNTIF('1.연간시수표'!AJ20,$BJ$7),COUNTIF('1.연간시수표'!AJ20,$BK$9),COUNTIF('1.연간시수표'!AJ20,$BK$7),COUNTIF('1.연간시수표'!AJ20,$BL$9),COUNTIF('1.연간시수표'!AJ20,$BL$7),COUNTIF('1.연간시수표'!AJ20,$BM$9),COUNTIF('1.연간시수표'!AJ20,$BM$7)),$BF$6,IF(OR(COUNTIF('1.연간시수표'!AJ20,$BO$9),COUNTIF('1.연간시수표'!AJ20,$BO$7)),$BO$6,IF(OR(COUNTIF('1.연간시수표'!AJ20,$BP$9),COUNTIF('1.연간시수표'!AJ20,$BP$7)),$BP$6,IF(OR(COUNTIF('1.연간시수표'!AJ20,$BQ$9),COUNTIF('1.연간시수표'!AJ20,$BQ$7)),$BQ$6,IF(OR(COUNTIF('1.연간시수표'!AJ20,$BR$9),COUNTIF('1.연간시수표'!AJ20,$BR$7)),$BR$6,"_")))))))))))))))</f>
        <v>_</v>
      </c>
      <c r="AK20" s="148" t="str">
        <f>IF(OR(COUNTIF('1.연간시수표'!AK20,$AT$9),COUNTIF('1.연간시수표'!AK20,$AT$7)),$AT$6,IF(OR(COUNTIF('1.연간시수표'!AK20,$AU$9),COUNTIF('1.연간시수표'!AK20,$AU$7)),$AU$6,IF(OR(COUNTIF('1.연간시수표'!AK20,$AV$9),COUNTIF('1.연간시수표'!AK20,$AV$7)),$AV$6,IF(OR(COUNTIF('1.연간시수표'!AK20,$AW$9),COUNTIF('1.연간시수표'!AK20,$AW$7)),$AW$6,IF(OR(COUNTIF('1.연간시수표'!AK20,$AX$9),COUNTIF('1.연간시수표'!AK20,$AX$7)),$AX$6,IF(OR(COUNTIF('1.연간시수표'!AK20,$AY$9),COUNTIF('1.연간시수표'!AK20,$AY$7)),$AY$6,IF(OR(COUNTIF('1.연간시수표'!AK20,$AZ$9),COUNTIF('1.연간시수표'!AK20,$AZ$7)),$AZ$6,IF(OR(COUNTIF('1.연간시수표'!AK20,$BA$9),COUNTIF('1.연간시수표'!AK20,$BA$7)),$BA$6,IF(OR(COUNTIF('1.연간시수표'!AK20,$BB$9),COUNTIF('1.연간시수표'!AK20,$BB$7)),$BB$6,IF(OR(COUNTIF('1.연간시수표'!AK20,$BC$9),COUNTIF('1.연간시수표'!AK20,$BC$7)),$BC$6,IF(OR(COUNTIF('1.연간시수표'!AK20,$BF$9),COUNTIF('1.연간시수표'!AK20,$BF$7),COUNTIF('1.연간시수표'!AK20,$BG$9),COUNTIF('1.연간시수표'!AK20,$BG$7),COUNTIF('1.연간시수표'!AK20,$BH$9),COUNTIF('1.연간시수표'!AK20,$BH$7),COUNTIF('1.연간시수표'!AK20,$BI$9),COUNTIF('1.연간시수표'!AK20,$BI$7),COUNTIF('1.연간시수표'!AK20,$BJ$9),COUNTIF('1.연간시수표'!AK20,$BJ$7),COUNTIF('1.연간시수표'!AK20,$BK$9),COUNTIF('1.연간시수표'!AK20,$BK$7),COUNTIF('1.연간시수표'!AK20,$BL$9),COUNTIF('1.연간시수표'!AK20,$BL$7),COUNTIF('1.연간시수표'!AK20,$BM$9),COUNTIF('1.연간시수표'!AK20,$BM$7)),$BF$6,IF(OR(COUNTIF('1.연간시수표'!AK20,$BO$9),COUNTIF('1.연간시수표'!AK20,$BO$7)),$BO$6,IF(OR(COUNTIF('1.연간시수표'!AK20,$BP$9),COUNTIF('1.연간시수표'!AK20,$BP$7)),$BP$6,IF(OR(COUNTIF('1.연간시수표'!AK20,$BQ$9),COUNTIF('1.연간시수표'!AK20,$BQ$7)),$BQ$6,IF(OR(COUNTIF('1.연간시수표'!AK20,$BR$9),COUNTIF('1.연간시수표'!AK20,$BR$7)),$BR$6,"_")))))))))))))))</f>
        <v>국어</v>
      </c>
      <c r="AL20" s="148" t="str">
        <f>IF(OR(COUNTIF('1.연간시수표'!AL20,$AT$9),COUNTIF('1.연간시수표'!AL20,$AT$7)),$AT$6,IF(OR(COUNTIF('1.연간시수표'!AL20,$AU$9),COUNTIF('1.연간시수표'!AL20,$AU$7)),$AU$6,IF(OR(COUNTIF('1.연간시수표'!AL20,$AV$9),COUNTIF('1.연간시수표'!AL20,$AV$7)),$AV$6,IF(OR(COUNTIF('1.연간시수표'!AL20,$AW$9),COUNTIF('1.연간시수표'!AL20,$AW$7)),$AW$6,IF(OR(COUNTIF('1.연간시수표'!AL20,$AX$9),COUNTIF('1.연간시수표'!AL20,$AX$7)),$AX$6,IF(OR(COUNTIF('1.연간시수표'!AL20,$AY$9),COUNTIF('1.연간시수표'!AL20,$AY$7)),$AY$6,IF(OR(COUNTIF('1.연간시수표'!AL20,$AZ$9),COUNTIF('1.연간시수표'!AL20,$AZ$7)),$AZ$6,IF(OR(COUNTIF('1.연간시수표'!AL20,$BA$9),COUNTIF('1.연간시수표'!AL20,$BA$7)),$BA$6,IF(OR(COUNTIF('1.연간시수표'!AL20,$BB$9),COUNTIF('1.연간시수표'!AL20,$BB$7)),$BB$6,IF(OR(COUNTIF('1.연간시수표'!AL20,$BC$9),COUNTIF('1.연간시수표'!AL20,$BC$7)),$BC$6,IF(OR(COUNTIF('1.연간시수표'!AL20,$BF$9),COUNTIF('1.연간시수표'!AL20,$BF$7),COUNTIF('1.연간시수표'!AL20,$BG$9),COUNTIF('1.연간시수표'!AL20,$BG$7),COUNTIF('1.연간시수표'!AL20,$BH$9),COUNTIF('1.연간시수표'!AL20,$BH$7),COUNTIF('1.연간시수표'!AL20,$BI$9),COUNTIF('1.연간시수표'!AL20,$BI$7),COUNTIF('1.연간시수표'!AL20,$BJ$9),COUNTIF('1.연간시수표'!AL20,$BJ$7),COUNTIF('1.연간시수표'!AL20,$BK$9),COUNTIF('1.연간시수표'!AL20,$BK$7),COUNTIF('1.연간시수표'!AL20,$BL$9),COUNTIF('1.연간시수표'!AL20,$BL$7),COUNTIF('1.연간시수표'!AL20,$BM$9),COUNTIF('1.연간시수표'!AL20,$BM$7)),$BF$6,IF(OR(COUNTIF('1.연간시수표'!AL20,$BO$9),COUNTIF('1.연간시수표'!AL20,$BO$7)),$BO$6,IF(OR(COUNTIF('1.연간시수표'!AL20,$BP$9),COUNTIF('1.연간시수표'!AL20,$BP$7)),$BP$6,IF(OR(COUNTIF('1.연간시수표'!AL20,$BQ$9),COUNTIF('1.연간시수표'!AL20,$BQ$7)),$BQ$6,IF(OR(COUNTIF('1.연간시수표'!AL20,$BR$9),COUNTIF('1.연간시수표'!AL20,$BR$7)),$BR$6,"_")))))))))))))))</f>
        <v>체육</v>
      </c>
      <c r="AM20" s="148" t="str">
        <f>IF(OR(COUNTIF('1.연간시수표'!AM20,$AT$9),COUNTIF('1.연간시수표'!AM20,$AT$7)),$AT$6,IF(OR(COUNTIF('1.연간시수표'!AM20,$AU$9),COUNTIF('1.연간시수표'!AM20,$AU$7)),$AU$6,IF(OR(COUNTIF('1.연간시수표'!AM20,$AV$9),COUNTIF('1.연간시수표'!AM20,$AV$7)),$AV$6,IF(OR(COUNTIF('1.연간시수표'!AM20,$AW$9),COUNTIF('1.연간시수표'!AM20,$AW$7)),$AW$6,IF(OR(COUNTIF('1.연간시수표'!AM20,$AX$9),COUNTIF('1.연간시수표'!AM20,$AX$7)),$AX$6,IF(OR(COUNTIF('1.연간시수표'!AM20,$AY$9),COUNTIF('1.연간시수표'!AM20,$AY$7)),$AY$6,IF(OR(COUNTIF('1.연간시수표'!AM20,$AZ$9),COUNTIF('1.연간시수표'!AM20,$AZ$7)),$AZ$6,IF(OR(COUNTIF('1.연간시수표'!AM20,$BA$9),COUNTIF('1.연간시수표'!AM20,$BA$7)),$BA$6,IF(OR(COUNTIF('1.연간시수표'!AM20,$BB$9),COUNTIF('1.연간시수표'!AM20,$BB$7)),$BB$6,IF(OR(COUNTIF('1.연간시수표'!AM20,$BC$9),COUNTIF('1.연간시수표'!AM20,$BC$7)),$BC$6,IF(OR(COUNTIF('1.연간시수표'!AM20,$BF$9),COUNTIF('1.연간시수표'!AM20,$BF$7),COUNTIF('1.연간시수표'!AM20,$BG$9),COUNTIF('1.연간시수표'!AM20,$BG$7),COUNTIF('1.연간시수표'!AM20,$BH$9),COUNTIF('1.연간시수표'!AM20,$BH$7),COUNTIF('1.연간시수표'!AM20,$BI$9),COUNTIF('1.연간시수표'!AM20,$BI$7),COUNTIF('1.연간시수표'!AM20,$BJ$9),COUNTIF('1.연간시수표'!AM20,$BJ$7),COUNTIF('1.연간시수표'!AM20,$BK$9),COUNTIF('1.연간시수표'!AM20,$BK$7),COUNTIF('1.연간시수표'!AM20,$BL$9),COUNTIF('1.연간시수표'!AM20,$BL$7),COUNTIF('1.연간시수표'!AM20,$BM$9),COUNTIF('1.연간시수표'!AM20,$BM$7)),$BF$6,IF(OR(COUNTIF('1.연간시수표'!AM20,$BO$9),COUNTIF('1.연간시수표'!AM20,$BO$7)),$BO$6,IF(OR(COUNTIF('1.연간시수표'!AM20,$BP$9),COUNTIF('1.연간시수표'!AM20,$BP$7)),$BP$6,IF(OR(COUNTIF('1.연간시수표'!AM20,$BQ$9),COUNTIF('1.연간시수표'!AM20,$BQ$7)),$BQ$6,IF(OR(COUNTIF('1.연간시수표'!AM20,$BR$9),COUNTIF('1.연간시수표'!AM20,$BR$7)),$BR$6,"_")))))))))))))))</f>
        <v>수학</v>
      </c>
      <c r="AN20" s="148" t="str">
        <f>IF(OR(COUNTIF('1.연간시수표'!AN20,$AT$9),COUNTIF('1.연간시수표'!AN20,$AT$7)),$AT$6,IF(OR(COUNTIF('1.연간시수표'!AN20,$AU$9),COUNTIF('1.연간시수표'!AN20,$AU$7)),$AU$6,IF(OR(COUNTIF('1.연간시수표'!AN20,$AV$9),COUNTIF('1.연간시수표'!AN20,$AV$7)),$AV$6,IF(OR(COUNTIF('1.연간시수표'!AN20,$AW$9),COUNTIF('1.연간시수표'!AN20,$AW$7)),$AW$6,IF(OR(COUNTIF('1.연간시수표'!AN20,$AX$9),COUNTIF('1.연간시수표'!AN20,$AX$7)),$AX$6,IF(OR(COUNTIF('1.연간시수표'!AN20,$AY$9),COUNTIF('1.연간시수표'!AN20,$AY$7)),$AY$6,IF(OR(COUNTIF('1.연간시수표'!AN20,$AZ$9),COUNTIF('1.연간시수표'!AN20,$AZ$7)),$AZ$6,IF(OR(COUNTIF('1.연간시수표'!AN20,$BA$9),COUNTIF('1.연간시수표'!AN20,$BA$7)),$BA$6,IF(OR(COUNTIF('1.연간시수표'!AN20,$BB$9),COUNTIF('1.연간시수표'!AN20,$BB$7)),$BB$6,IF(OR(COUNTIF('1.연간시수표'!AN20,$BC$9),COUNTIF('1.연간시수표'!AN20,$BC$7)),$BC$6,IF(OR(COUNTIF('1.연간시수표'!AN20,$BF$9),COUNTIF('1.연간시수표'!AN20,$BF$7),COUNTIF('1.연간시수표'!AN20,$BG$9),COUNTIF('1.연간시수표'!AN20,$BG$7),COUNTIF('1.연간시수표'!AN20,$BH$9),COUNTIF('1.연간시수표'!AN20,$BH$7),COUNTIF('1.연간시수표'!AN20,$BI$9),COUNTIF('1.연간시수표'!AN20,$BI$7),COUNTIF('1.연간시수표'!AN20,$BJ$9),COUNTIF('1.연간시수표'!AN20,$BJ$7),COUNTIF('1.연간시수표'!AN20,$BK$9),COUNTIF('1.연간시수표'!AN20,$BK$7),COUNTIF('1.연간시수표'!AN20,$BL$9),COUNTIF('1.연간시수표'!AN20,$BL$7),COUNTIF('1.연간시수표'!AN20,$BM$9),COUNTIF('1.연간시수표'!AN20,$BM$7)),$BF$6,IF(OR(COUNTIF('1.연간시수표'!AN20,$BO$9),COUNTIF('1.연간시수표'!AN20,$BO$7)),$BO$6,IF(OR(COUNTIF('1.연간시수표'!AN20,$BP$9),COUNTIF('1.연간시수표'!AN20,$BP$7)),$BP$6,IF(OR(COUNTIF('1.연간시수표'!AN20,$BQ$9),COUNTIF('1.연간시수표'!AN20,$BQ$7)),$BQ$6,IF(OR(COUNTIF('1.연간시수표'!AN20,$BR$9),COUNTIF('1.연간시수표'!AN20,$BR$7)),$BR$6,"_")))))))))))))))</f>
        <v>국어</v>
      </c>
      <c r="AO20" s="148" t="str">
        <f>IF(OR(COUNTIF('1.연간시수표'!AO20,$AT$9),COUNTIF('1.연간시수표'!AO20,$AT$7)),$AT$6,IF(OR(COUNTIF('1.연간시수표'!AO20,$AU$9),COUNTIF('1.연간시수표'!AO20,$AU$7)),$AU$6,IF(OR(COUNTIF('1.연간시수표'!AO20,$AV$9),COUNTIF('1.연간시수표'!AO20,$AV$7)),$AV$6,IF(OR(COUNTIF('1.연간시수표'!AO20,$AW$9),COUNTIF('1.연간시수표'!AO20,$AW$7)),$AW$6,IF(OR(COUNTIF('1.연간시수표'!AO20,$AX$9),COUNTIF('1.연간시수표'!AO20,$AX$7)),$AX$6,IF(OR(COUNTIF('1.연간시수표'!AO20,$AY$9),COUNTIF('1.연간시수표'!AO20,$AY$7)),$AY$6,IF(OR(COUNTIF('1.연간시수표'!AO20,$AZ$9),COUNTIF('1.연간시수표'!AO20,$AZ$7)),$AZ$6,IF(OR(COUNTIF('1.연간시수표'!AO20,$BA$9),COUNTIF('1.연간시수표'!AO20,$BA$7)),$BA$6,IF(OR(COUNTIF('1.연간시수표'!AO20,$BB$9),COUNTIF('1.연간시수표'!AO20,$BB$7)),$BB$6,IF(OR(COUNTIF('1.연간시수표'!AO20,$BC$9),COUNTIF('1.연간시수표'!AO20,$BC$7)),$BC$6,IF(OR(COUNTIF('1.연간시수표'!AO20,$BF$9),COUNTIF('1.연간시수표'!AO20,$BF$7),COUNTIF('1.연간시수표'!AO20,$BG$9),COUNTIF('1.연간시수표'!AO20,$BG$7),COUNTIF('1.연간시수표'!AO20,$BH$9),COUNTIF('1.연간시수표'!AO20,$BH$7),COUNTIF('1.연간시수표'!AO20,$BI$9),COUNTIF('1.연간시수표'!AO20,$BI$7),COUNTIF('1.연간시수표'!AO20,$BJ$9),COUNTIF('1.연간시수표'!AO20,$BJ$7),COUNTIF('1.연간시수표'!AO20,$BK$9),COUNTIF('1.연간시수표'!AO20,$BK$7),COUNTIF('1.연간시수표'!AO20,$BL$9),COUNTIF('1.연간시수표'!AO20,$BL$7),COUNTIF('1.연간시수표'!AO20,$BM$9),COUNTIF('1.연간시수표'!AO20,$BM$7)),$BF$6,IF(OR(COUNTIF('1.연간시수표'!AO20,$BO$9),COUNTIF('1.연간시수표'!AO20,$BO$7)),$BO$6,IF(OR(COUNTIF('1.연간시수표'!AO20,$BP$9),COUNTIF('1.연간시수표'!AO20,$BP$7)),$BP$6,IF(OR(COUNTIF('1.연간시수표'!AO20,$BQ$9),COUNTIF('1.연간시수표'!AO20,$BQ$7)),$BQ$6,IF(OR(COUNTIF('1.연간시수표'!AO20,$BR$9),COUNTIF('1.연간시수표'!AO20,$BR$7)),$BR$6,"_")))))))))))))))</f>
        <v>사회</v>
      </c>
      <c r="AP20" s="148" t="str">
        <f>IF(OR(COUNTIF('1.연간시수표'!AP20,$AT$9),COUNTIF('1.연간시수표'!AP20,$AT$7)),$AT$6,IF(OR(COUNTIF('1.연간시수표'!AP20,$AU$9),COUNTIF('1.연간시수표'!AP20,$AU$7)),$AU$6,IF(OR(COUNTIF('1.연간시수표'!AP20,$AV$9),COUNTIF('1.연간시수표'!AP20,$AV$7)),$AV$6,IF(OR(COUNTIF('1.연간시수표'!AP20,$AW$9),COUNTIF('1.연간시수표'!AP20,$AW$7)),$AW$6,IF(OR(COUNTIF('1.연간시수표'!AP20,$AX$9),COUNTIF('1.연간시수표'!AP20,$AX$7)),$AX$6,IF(OR(COUNTIF('1.연간시수표'!AP20,$AY$9),COUNTIF('1.연간시수표'!AP20,$AY$7)),$AY$6,IF(OR(COUNTIF('1.연간시수표'!AP20,$AZ$9),COUNTIF('1.연간시수표'!AP20,$AZ$7)),$AZ$6,IF(OR(COUNTIF('1.연간시수표'!AP20,$BA$9),COUNTIF('1.연간시수표'!AP20,$BA$7)),$BA$6,IF(OR(COUNTIF('1.연간시수표'!AP20,$BB$9),COUNTIF('1.연간시수표'!AP20,$BB$7)),$BB$6,IF(OR(COUNTIF('1.연간시수표'!AP20,$BC$9),COUNTIF('1.연간시수표'!AP20,$BC$7)),$BC$6,IF(OR(COUNTIF('1.연간시수표'!AP20,$BF$9),COUNTIF('1.연간시수표'!AP20,$BF$7),COUNTIF('1.연간시수표'!AP20,$BG$9),COUNTIF('1.연간시수표'!AP20,$BG$7),COUNTIF('1.연간시수표'!AP20,$BH$9),COUNTIF('1.연간시수표'!AP20,$BH$7),COUNTIF('1.연간시수표'!AP20,$BI$9),COUNTIF('1.연간시수표'!AP20,$BI$7),COUNTIF('1.연간시수표'!AP20,$BJ$9),COUNTIF('1.연간시수표'!AP20,$BJ$7),COUNTIF('1.연간시수표'!AP20,$BK$9),COUNTIF('1.연간시수표'!AP20,$BK$7),COUNTIF('1.연간시수표'!AP20,$BL$9),COUNTIF('1.연간시수표'!AP20,$BL$7),COUNTIF('1.연간시수표'!AP20,$BM$9),COUNTIF('1.연간시수표'!AP20,$BM$7)),$BF$6,IF(OR(COUNTIF('1.연간시수표'!AP20,$BO$9),COUNTIF('1.연간시수표'!AP20,$BO$7)),$BO$6,IF(OR(COUNTIF('1.연간시수표'!AP20,$BP$9),COUNTIF('1.연간시수표'!AP20,$BP$7)),$BP$6,IF(OR(COUNTIF('1.연간시수표'!AP20,$BQ$9),COUNTIF('1.연간시수표'!AP20,$BQ$7)),$BQ$6,IF(OR(COUNTIF('1.연간시수표'!AP20,$BR$9),COUNTIF('1.연간시수표'!AP20,$BR$7)),$BR$6,"_")))))))))))))))</f>
        <v>실과</v>
      </c>
      <c r="AQ20" s="148" t="str">
        <f>IF(OR(COUNTIF('1.연간시수표'!AQ20,$AT$9),COUNTIF('1.연간시수표'!AQ20,$AT$7)),$AT$6,IF(OR(COUNTIF('1.연간시수표'!AQ20,$AU$9),COUNTIF('1.연간시수표'!AQ20,$AU$7)),$AU$6,IF(OR(COUNTIF('1.연간시수표'!AQ20,$AV$9),COUNTIF('1.연간시수표'!AQ20,$AV$7)),$AV$6,IF(OR(COUNTIF('1.연간시수표'!AQ20,$AW$9),COUNTIF('1.연간시수표'!AQ20,$AW$7)),$AW$6,IF(OR(COUNTIF('1.연간시수표'!AQ20,$AX$9),COUNTIF('1.연간시수표'!AQ20,$AX$7)),$AX$6,IF(OR(COUNTIF('1.연간시수표'!AQ20,$AY$9),COUNTIF('1.연간시수표'!AQ20,$AY$7)),$AY$6,IF(OR(COUNTIF('1.연간시수표'!AQ20,$AZ$9),COUNTIF('1.연간시수표'!AQ20,$AZ$7)),$AZ$6,IF(OR(COUNTIF('1.연간시수표'!AQ20,$BA$9),COUNTIF('1.연간시수표'!AQ20,$BA$7)),$BA$6,IF(OR(COUNTIF('1.연간시수표'!AQ20,$BB$9),COUNTIF('1.연간시수표'!AQ20,$BB$7)),$BB$6,IF(OR(COUNTIF('1.연간시수표'!AQ20,$BC$9),COUNTIF('1.연간시수표'!AQ20,$BC$7)),$BC$6,IF(OR(COUNTIF('1.연간시수표'!AQ20,$BF$9),COUNTIF('1.연간시수표'!AQ20,$BF$7),COUNTIF('1.연간시수표'!AQ20,$BG$9),COUNTIF('1.연간시수표'!AQ20,$BG$7),COUNTIF('1.연간시수표'!AQ20,$BH$9),COUNTIF('1.연간시수표'!AQ20,$BH$7),COUNTIF('1.연간시수표'!AQ20,$BI$9),COUNTIF('1.연간시수표'!AQ20,$BI$7),COUNTIF('1.연간시수표'!AQ20,$BJ$9),COUNTIF('1.연간시수표'!AQ20,$BJ$7),COUNTIF('1.연간시수표'!AQ20,$BK$9),COUNTIF('1.연간시수표'!AQ20,$BK$7),COUNTIF('1.연간시수표'!AQ20,$BL$9),COUNTIF('1.연간시수표'!AQ20,$BL$7),COUNTIF('1.연간시수표'!AQ20,$BM$9),COUNTIF('1.연간시수표'!AQ20,$BM$7)),$BF$6,IF(OR(COUNTIF('1.연간시수표'!AQ20,$BO$9),COUNTIF('1.연간시수표'!AQ20,$BO$7)),$BO$6,IF(OR(COUNTIF('1.연간시수표'!AQ20,$BP$9),COUNTIF('1.연간시수표'!AQ20,$BP$7)),$BP$6,IF(OR(COUNTIF('1.연간시수표'!AQ20,$BQ$9),COUNTIF('1.연간시수표'!AQ20,$BQ$7)),$BQ$6,IF(OR(COUNTIF('1.연간시수표'!AQ20,$BR$9),COUNTIF('1.연간시수표'!AQ20,$BR$7)),$BR$6,"_")))))))))))))))</f>
        <v>_</v>
      </c>
      <c r="AR20" s="148" t="str">
        <f>IF(OR(COUNTIF('1.연간시수표'!AR20,$AT$9),COUNTIF('1.연간시수표'!AR20,$AT$7)),$AT$6,IF(OR(COUNTIF('1.연간시수표'!AR20,$AU$9),COUNTIF('1.연간시수표'!AR20,$AU$7)),$AU$6,IF(OR(COUNTIF('1.연간시수표'!AR20,$AV$9),COUNTIF('1.연간시수표'!AR20,$AV$7)),$AV$6,IF(OR(COUNTIF('1.연간시수표'!AR20,$AW$9),COUNTIF('1.연간시수표'!AR20,$AW$7)),$AW$6,IF(OR(COUNTIF('1.연간시수표'!AR20,$AX$9),COUNTIF('1.연간시수표'!AR20,$AX$7)),$AX$6,IF(OR(COUNTIF('1.연간시수표'!AR20,$AY$9),COUNTIF('1.연간시수표'!AR20,$AY$7)),$AY$6,IF(OR(COUNTIF('1.연간시수표'!AR20,$AZ$9),COUNTIF('1.연간시수표'!AR20,$AZ$7)),$AZ$6,IF(OR(COUNTIF('1.연간시수표'!AR20,$BA$9),COUNTIF('1.연간시수표'!AR20,$BA$7)),$BA$6,IF(OR(COUNTIF('1.연간시수표'!AR20,$BB$9),COUNTIF('1.연간시수표'!AR20,$BB$7)),$BB$6,IF(OR(COUNTIF('1.연간시수표'!AR20,$BC$9),COUNTIF('1.연간시수표'!AR20,$BC$7)),$BC$6,IF(OR(COUNTIF('1.연간시수표'!AR20,$BF$9),COUNTIF('1.연간시수표'!AR20,$BF$7),COUNTIF('1.연간시수표'!AR20,$BG$9),COUNTIF('1.연간시수표'!AR20,$BG$7),COUNTIF('1.연간시수표'!AR20,$BH$9),COUNTIF('1.연간시수표'!AR20,$BH$7),COUNTIF('1.연간시수표'!AR20,$BI$9),COUNTIF('1.연간시수표'!AR20,$BI$7),COUNTIF('1.연간시수표'!AR20,$BJ$9),COUNTIF('1.연간시수표'!AR20,$BJ$7),COUNTIF('1.연간시수표'!AR20,$BK$9),COUNTIF('1.연간시수표'!AR20,$BK$7),COUNTIF('1.연간시수표'!AR20,$BL$9),COUNTIF('1.연간시수표'!AR20,$BL$7),COUNTIF('1.연간시수표'!AR20,$BM$9),COUNTIF('1.연간시수표'!AR20,$BM$7)),$BF$6,IF(OR(COUNTIF('1.연간시수표'!AR20,$BO$9),COUNTIF('1.연간시수표'!AR20,$BO$7)),$BO$6,IF(OR(COUNTIF('1.연간시수표'!AR20,$BP$9),COUNTIF('1.연간시수표'!AR20,$BP$7)),$BP$6,IF(OR(COUNTIF('1.연간시수표'!AR20,$BQ$9),COUNTIF('1.연간시수표'!AR20,$BQ$7)),$BQ$6,IF(OR(COUNTIF('1.연간시수표'!AR20,$BR$9),COUNTIF('1.연간시수표'!AR20,$BR$7)),$BR$6,"_")))))))))))))))</f>
        <v>_</v>
      </c>
      <c r="BU20" s="142" t="str">
        <f>BA6</f>
        <v>음악</v>
      </c>
      <c r="BV20" s="142" t="str">
        <f t="shared" si="0"/>
        <v>음악</v>
      </c>
    </row>
    <row r="21" spans="2:74">
      <c r="B21" s="6"/>
      <c r="C21" s="79">
        <f>'1.연간시수표'!C21</f>
        <v>12</v>
      </c>
      <c r="D21" s="3"/>
      <c r="E21" s="148" t="str">
        <f>IF(OR(COUNTIF('1.연간시수표'!E21,$AT$9),COUNTIF('1.연간시수표'!E21,$AT$7)),$AT$6,IF(OR(COUNTIF('1.연간시수표'!E21,$AU$9),COUNTIF('1.연간시수표'!E21,$AU$7)),$AU$6,IF(OR(COUNTIF('1.연간시수표'!E21,$AV$9),COUNTIF('1.연간시수표'!E21,$AV$7)),$AV$6,IF(OR(COUNTIF('1.연간시수표'!E21,$AW$9),COUNTIF('1.연간시수표'!E21,$AW$7)),$AW$6,IF(OR(COUNTIF('1.연간시수표'!E21,$AX$9),COUNTIF('1.연간시수표'!E21,$AX$7)),$AX$6,IF(OR(COUNTIF('1.연간시수표'!E21,$AY$9),COUNTIF('1.연간시수표'!E21,$AY$7)),$AY$6,IF(OR(COUNTIF('1.연간시수표'!E21,$AZ$9),COUNTIF('1.연간시수표'!E21,$AZ$7)),$AZ$6,IF(OR(COUNTIF('1.연간시수표'!E21,$BA$9),COUNTIF('1.연간시수표'!E21,$BA$7)),$BA$6,IF(OR(COUNTIF('1.연간시수표'!E21,$BB$9),COUNTIF('1.연간시수표'!E21,$BB$7)),$BB$6,IF(OR(COUNTIF('1.연간시수표'!E21,$BC$9),COUNTIF('1.연간시수표'!E21,$BC$7)),$BC$6,IF(OR(COUNTIF('1.연간시수표'!E21,$BF$9),COUNTIF('1.연간시수표'!E21,$BF$7),COUNTIF('1.연간시수표'!E21,$BG$9),COUNTIF('1.연간시수표'!E21,$BG$7),COUNTIF('1.연간시수표'!E21,$BH$9),COUNTIF('1.연간시수표'!E21,$BH$7),COUNTIF('1.연간시수표'!E21,$BI$9),COUNTIF('1.연간시수표'!E21,$BI$7),COUNTIF('1.연간시수표'!E21,$BJ$9),COUNTIF('1.연간시수표'!E21,$BJ$7),COUNTIF('1.연간시수표'!E21,$BK$9),COUNTIF('1.연간시수표'!E21,$BK$7),COUNTIF('1.연간시수표'!E21,$BL$9),COUNTIF('1.연간시수표'!E21,$BL$7),COUNTIF('1.연간시수표'!E21,$BM$9),COUNTIF('1.연간시수표'!E21,$BM$7)),$BF$6,IF(OR(COUNTIF('1.연간시수표'!E21,$BO$9),COUNTIF('1.연간시수표'!E21,$BO$7)),$BO$6,IF(OR(COUNTIF('1.연간시수표'!E21,$BP$9),COUNTIF('1.연간시수표'!E21,$BP$7)),$BP$6,IF(OR(COUNTIF('1.연간시수표'!E21,$BQ$9),COUNTIF('1.연간시수표'!E21,$BQ$7)),$BQ$6,IF(OR(COUNTIF('1.연간시수표'!E21,$BR$9),COUNTIF('1.연간시수표'!E21,$BR$7)),$BR$6,"_")))))))))))))))</f>
        <v>국어</v>
      </c>
      <c r="F21" s="148" t="str">
        <f>IF(OR(COUNTIF('1.연간시수표'!F21,$AT$9),COUNTIF('1.연간시수표'!F21,$AT$7)),$AT$6,IF(OR(COUNTIF('1.연간시수표'!F21,$AU$9),COUNTIF('1.연간시수표'!F21,$AU$7)),$AU$6,IF(OR(COUNTIF('1.연간시수표'!F21,$AV$9),COUNTIF('1.연간시수표'!F21,$AV$7)),$AV$6,IF(OR(COUNTIF('1.연간시수표'!F21,$AW$9),COUNTIF('1.연간시수표'!F21,$AW$7)),$AW$6,IF(OR(COUNTIF('1.연간시수표'!F21,$AX$9),COUNTIF('1.연간시수표'!F21,$AX$7)),$AX$6,IF(OR(COUNTIF('1.연간시수표'!F21,$AY$9),COUNTIF('1.연간시수표'!F21,$AY$7)),$AY$6,IF(OR(COUNTIF('1.연간시수표'!F21,$AZ$9),COUNTIF('1.연간시수표'!F21,$AZ$7)),$AZ$6,IF(OR(COUNTIF('1.연간시수표'!F21,$BA$9),COUNTIF('1.연간시수표'!F21,$BA$7)),$BA$6,IF(OR(COUNTIF('1.연간시수표'!F21,$BB$9),COUNTIF('1.연간시수표'!F21,$BB$7)),$BB$6,IF(OR(COUNTIF('1.연간시수표'!F21,$BC$9),COUNTIF('1.연간시수표'!F21,$BC$7)),$BC$6,IF(OR(COUNTIF('1.연간시수표'!F21,$BF$9),COUNTIF('1.연간시수표'!F21,$BF$7),COUNTIF('1.연간시수표'!F21,$BG$9),COUNTIF('1.연간시수표'!F21,$BG$7),COUNTIF('1.연간시수표'!F21,$BH$9),COUNTIF('1.연간시수표'!F21,$BH$7),COUNTIF('1.연간시수표'!F21,$BI$9),COUNTIF('1.연간시수표'!F21,$BI$7),COUNTIF('1.연간시수표'!F21,$BJ$9),COUNTIF('1.연간시수표'!F21,$BJ$7),COUNTIF('1.연간시수표'!F21,$BK$9),COUNTIF('1.연간시수표'!F21,$BK$7),COUNTIF('1.연간시수표'!F21,$BL$9),COUNTIF('1.연간시수표'!F21,$BL$7),COUNTIF('1.연간시수표'!F21,$BM$9),COUNTIF('1.연간시수표'!F21,$BM$7)),$BF$6,IF(OR(COUNTIF('1.연간시수표'!F21,$BO$9),COUNTIF('1.연간시수표'!F21,$BO$7)),$BO$6,IF(OR(COUNTIF('1.연간시수표'!F21,$BP$9),COUNTIF('1.연간시수표'!F21,$BP$7)),$BP$6,IF(OR(COUNTIF('1.연간시수표'!F21,$BQ$9),COUNTIF('1.연간시수표'!F21,$BQ$7)),$BQ$6,IF(OR(COUNTIF('1.연간시수표'!F21,$BR$9),COUNTIF('1.연간시수표'!F21,$BR$7)),$BR$6,"_")))))))))))))))</f>
        <v>미술</v>
      </c>
      <c r="G21" s="148" t="str">
        <f>IF(OR(COUNTIF('1.연간시수표'!G21,$AT$9),COUNTIF('1.연간시수표'!G21,$AT$7)),$AT$6,IF(OR(COUNTIF('1.연간시수표'!G21,$AU$9),COUNTIF('1.연간시수표'!G21,$AU$7)),$AU$6,IF(OR(COUNTIF('1.연간시수표'!G21,$AV$9),COUNTIF('1.연간시수표'!G21,$AV$7)),$AV$6,IF(OR(COUNTIF('1.연간시수표'!G21,$AW$9),COUNTIF('1.연간시수표'!G21,$AW$7)),$AW$6,IF(OR(COUNTIF('1.연간시수표'!G21,$AX$9),COUNTIF('1.연간시수표'!G21,$AX$7)),$AX$6,IF(OR(COUNTIF('1.연간시수표'!G21,$AY$9),COUNTIF('1.연간시수표'!G21,$AY$7)),$AY$6,IF(OR(COUNTIF('1.연간시수표'!G21,$AZ$9),COUNTIF('1.연간시수표'!G21,$AZ$7)),$AZ$6,IF(OR(COUNTIF('1.연간시수표'!G21,$BA$9),COUNTIF('1.연간시수표'!G21,$BA$7)),$BA$6,IF(OR(COUNTIF('1.연간시수표'!G21,$BB$9),COUNTIF('1.연간시수표'!G21,$BB$7)),$BB$6,IF(OR(COUNTIF('1.연간시수표'!G21,$BC$9),COUNTIF('1.연간시수표'!G21,$BC$7)),$BC$6,IF(OR(COUNTIF('1.연간시수표'!G21,$BF$9),COUNTIF('1.연간시수표'!G21,$BF$7),COUNTIF('1.연간시수표'!G21,$BG$9),COUNTIF('1.연간시수표'!G21,$BG$7),COUNTIF('1.연간시수표'!G21,$BH$9),COUNTIF('1.연간시수표'!G21,$BH$7),COUNTIF('1.연간시수표'!G21,$BI$9),COUNTIF('1.연간시수표'!G21,$BI$7),COUNTIF('1.연간시수표'!G21,$BJ$9),COUNTIF('1.연간시수표'!G21,$BJ$7),COUNTIF('1.연간시수표'!G21,$BK$9),COUNTIF('1.연간시수표'!G21,$BK$7),COUNTIF('1.연간시수표'!G21,$BL$9),COUNTIF('1.연간시수표'!G21,$BL$7),COUNTIF('1.연간시수표'!G21,$BM$9),COUNTIF('1.연간시수표'!G21,$BM$7)),$BF$6,IF(OR(COUNTIF('1.연간시수표'!G21,$BO$9),COUNTIF('1.연간시수표'!G21,$BO$7)),$BO$6,IF(OR(COUNTIF('1.연간시수표'!G21,$BP$9),COUNTIF('1.연간시수표'!G21,$BP$7)),$BP$6,IF(OR(COUNTIF('1.연간시수표'!G21,$BQ$9),COUNTIF('1.연간시수표'!G21,$BQ$7)),$BQ$6,IF(OR(COUNTIF('1.연간시수표'!G21,$BR$9),COUNTIF('1.연간시수표'!G21,$BR$7)),$BR$6,"_")))))))))))))))</f>
        <v>미술</v>
      </c>
      <c r="H21" s="148" t="str">
        <f>IF(OR(COUNTIF('1.연간시수표'!H21,$AT$9),COUNTIF('1.연간시수표'!H21,$AT$7)),$AT$6,IF(OR(COUNTIF('1.연간시수표'!H21,$AU$9),COUNTIF('1.연간시수표'!H21,$AU$7)),$AU$6,IF(OR(COUNTIF('1.연간시수표'!H21,$AV$9),COUNTIF('1.연간시수표'!H21,$AV$7)),$AV$6,IF(OR(COUNTIF('1.연간시수표'!H21,$AW$9),COUNTIF('1.연간시수표'!H21,$AW$7)),$AW$6,IF(OR(COUNTIF('1.연간시수표'!H21,$AX$9),COUNTIF('1.연간시수표'!H21,$AX$7)),$AX$6,IF(OR(COUNTIF('1.연간시수표'!H21,$AY$9),COUNTIF('1.연간시수표'!H21,$AY$7)),$AY$6,IF(OR(COUNTIF('1.연간시수표'!H21,$AZ$9),COUNTIF('1.연간시수표'!H21,$AZ$7)),$AZ$6,IF(OR(COUNTIF('1.연간시수표'!H21,$BA$9),COUNTIF('1.연간시수표'!H21,$BA$7)),$BA$6,IF(OR(COUNTIF('1.연간시수표'!H21,$BB$9),COUNTIF('1.연간시수표'!H21,$BB$7)),$BB$6,IF(OR(COUNTIF('1.연간시수표'!H21,$BC$9),COUNTIF('1.연간시수표'!H21,$BC$7)),$BC$6,IF(OR(COUNTIF('1.연간시수표'!H21,$BF$9),COUNTIF('1.연간시수표'!H21,$BF$7),COUNTIF('1.연간시수표'!H21,$BG$9),COUNTIF('1.연간시수표'!H21,$BG$7),COUNTIF('1.연간시수표'!H21,$BH$9),COUNTIF('1.연간시수표'!H21,$BH$7),COUNTIF('1.연간시수표'!H21,$BI$9),COUNTIF('1.연간시수표'!H21,$BI$7),COUNTIF('1.연간시수표'!H21,$BJ$9),COUNTIF('1.연간시수표'!H21,$BJ$7),COUNTIF('1.연간시수표'!H21,$BK$9),COUNTIF('1.연간시수표'!H21,$BK$7),COUNTIF('1.연간시수표'!H21,$BL$9),COUNTIF('1.연간시수표'!H21,$BL$7),COUNTIF('1.연간시수표'!H21,$BM$9),COUNTIF('1.연간시수표'!H21,$BM$7)),$BF$6,IF(OR(COUNTIF('1.연간시수표'!H21,$BO$9),COUNTIF('1.연간시수표'!H21,$BO$7)),$BO$6,IF(OR(COUNTIF('1.연간시수표'!H21,$BP$9),COUNTIF('1.연간시수표'!H21,$BP$7)),$BP$6,IF(OR(COUNTIF('1.연간시수표'!H21,$BQ$9),COUNTIF('1.연간시수표'!H21,$BQ$7)),$BQ$6,IF(OR(COUNTIF('1.연간시수표'!H21,$BR$9),COUNTIF('1.연간시수표'!H21,$BR$7)),$BR$6,"_")))))))))))))))</f>
        <v>영어</v>
      </c>
      <c r="I21" s="148" t="str">
        <f>IF(OR(COUNTIF('1.연간시수표'!I21,$AT$9),COUNTIF('1.연간시수표'!I21,$AT$7)),$AT$6,IF(OR(COUNTIF('1.연간시수표'!I21,$AU$9),COUNTIF('1.연간시수표'!I21,$AU$7)),$AU$6,IF(OR(COUNTIF('1.연간시수표'!I21,$AV$9),COUNTIF('1.연간시수표'!I21,$AV$7)),$AV$6,IF(OR(COUNTIF('1.연간시수표'!I21,$AW$9),COUNTIF('1.연간시수표'!I21,$AW$7)),$AW$6,IF(OR(COUNTIF('1.연간시수표'!I21,$AX$9),COUNTIF('1.연간시수표'!I21,$AX$7)),$AX$6,IF(OR(COUNTIF('1.연간시수표'!I21,$AY$9),COUNTIF('1.연간시수표'!I21,$AY$7)),$AY$6,IF(OR(COUNTIF('1.연간시수표'!I21,$AZ$9),COUNTIF('1.연간시수표'!I21,$AZ$7)),$AZ$6,IF(OR(COUNTIF('1.연간시수표'!I21,$BA$9),COUNTIF('1.연간시수표'!I21,$BA$7)),$BA$6,IF(OR(COUNTIF('1.연간시수표'!I21,$BB$9),COUNTIF('1.연간시수표'!I21,$BB$7)),$BB$6,IF(OR(COUNTIF('1.연간시수표'!I21,$BC$9),COUNTIF('1.연간시수표'!I21,$BC$7)),$BC$6,IF(OR(COUNTIF('1.연간시수표'!I21,$BF$9),COUNTIF('1.연간시수표'!I21,$BF$7),COUNTIF('1.연간시수표'!I21,$BG$9),COUNTIF('1.연간시수표'!I21,$BG$7),COUNTIF('1.연간시수표'!I21,$BH$9),COUNTIF('1.연간시수표'!I21,$BH$7),COUNTIF('1.연간시수표'!I21,$BI$9),COUNTIF('1.연간시수표'!I21,$BI$7),COUNTIF('1.연간시수표'!I21,$BJ$9),COUNTIF('1.연간시수표'!I21,$BJ$7),COUNTIF('1.연간시수표'!I21,$BK$9),COUNTIF('1.연간시수표'!I21,$BK$7),COUNTIF('1.연간시수표'!I21,$BL$9),COUNTIF('1.연간시수표'!I21,$BL$7),COUNTIF('1.연간시수표'!I21,$BM$9),COUNTIF('1.연간시수표'!I21,$BM$7)),$BF$6,IF(OR(COUNTIF('1.연간시수표'!I21,$BO$9),COUNTIF('1.연간시수표'!I21,$BO$7)),$BO$6,IF(OR(COUNTIF('1.연간시수표'!I21,$BP$9),COUNTIF('1.연간시수표'!I21,$BP$7)),$BP$6,IF(OR(COUNTIF('1.연간시수표'!I21,$BQ$9),COUNTIF('1.연간시수표'!I21,$BQ$7)),$BQ$6,IF(OR(COUNTIF('1.연간시수표'!I21,$BR$9),COUNTIF('1.연간시수표'!I21,$BR$7)),$BR$6,"_")))))))))))))))</f>
        <v>수학</v>
      </c>
      <c r="J21" s="148" t="str">
        <f>IF(OR(COUNTIF('1.연간시수표'!J21,$AT$9),COUNTIF('1.연간시수표'!J21,$AT$7)),$AT$6,IF(OR(COUNTIF('1.연간시수표'!J21,$AU$9),COUNTIF('1.연간시수표'!J21,$AU$7)),$AU$6,IF(OR(COUNTIF('1.연간시수표'!J21,$AV$9),COUNTIF('1.연간시수표'!J21,$AV$7)),$AV$6,IF(OR(COUNTIF('1.연간시수표'!J21,$AW$9),COUNTIF('1.연간시수표'!J21,$AW$7)),$AW$6,IF(OR(COUNTIF('1.연간시수표'!J21,$AX$9),COUNTIF('1.연간시수표'!J21,$AX$7)),$AX$6,IF(OR(COUNTIF('1.연간시수표'!J21,$AY$9),COUNTIF('1.연간시수표'!J21,$AY$7)),$AY$6,IF(OR(COUNTIF('1.연간시수표'!J21,$AZ$9),COUNTIF('1.연간시수표'!J21,$AZ$7)),$AZ$6,IF(OR(COUNTIF('1.연간시수표'!J21,$BA$9),COUNTIF('1.연간시수표'!J21,$BA$7)),$BA$6,IF(OR(COUNTIF('1.연간시수표'!J21,$BB$9),COUNTIF('1.연간시수표'!J21,$BB$7)),$BB$6,IF(OR(COUNTIF('1.연간시수표'!J21,$BC$9),COUNTIF('1.연간시수표'!J21,$BC$7)),$BC$6,IF(OR(COUNTIF('1.연간시수표'!J21,$BF$9),COUNTIF('1.연간시수표'!J21,$BF$7),COUNTIF('1.연간시수표'!J21,$BG$9),COUNTIF('1.연간시수표'!J21,$BG$7),COUNTIF('1.연간시수표'!J21,$BH$9),COUNTIF('1.연간시수표'!J21,$BH$7),COUNTIF('1.연간시수표'!J21,$BI$9),COUNTIF('1.연간시수표'!J21,$BI$7),COUNTIF('1.연간시수표'!J21,$BJ$9),COUNTIF('1.연간시수표'!J21,$BJ$7),COUNTIF('1.연간시수표'!J21,$BK$9),COUNTIF('1.연간시수표'!J21,$BK$7),COUNTIF('1.연간시수표'!J21,$BL$9),COUNTIF('1.연간시수표'!J21,$BL$7),COUNTIF('1.연간시수표'!J21,$BM$9),COUNTIF('1.연간시수표'!J21,$BM$7)),$BF$6,IF(OR(COUNTIF('1.연간시수표'!J21,$BO$9),COUNTIF('1.연간시수표'!J21,$BO$7)),$BO$6,IF(OR(COUNTIF('1.연간시수표'!J21,$BP$9),COUNTIF('1.연간시수표'!J21,$BP$7)),$BP$6,IF(OR(COUNTIF('1.연간시수표'!J21,$BQ$9),COUNTIF('1.연간시수표'!J21,$BQ$7)),$BQ$6,IF(OR(COUNTIF('1.연간시수표'!J21,$BR$9),COUNTIF('1.연간시수표'!J21,$BR$7)),$BR$6,"_")))))))))))))))</f>
        <v>국어</v>
      </c>
      <c r="K21" s="148" t="str">
        <f>IF(OR(COUNTIF('1.연간시수표'!K21,$AT$9),COUNTIF('1.연간시수표'!K21,$AT$7)),$AT$6,IF(OR(COUNTIF('1.연간시수표'!K21,$AU$9),COUNTIF('1.연간시수표'!K21,$AU$7)),$AU$6,IF(OR(COUNTIF('1.연간시수표'!K21,$AV$9),COUNTIF('1.연간시수표'!K21,$AV$7)),$AV$6,IF(OR(COUNTIF('1.연간시수표'!K21,$AW$9),COUNTIF('1.연간시수표'!K21,$AW$7)),$AW$6,IF(OR(COUNTIF('1.연간시수표'!K21,$AX$9),COUNTIF('1.연간시수표'!K21,$AX$7)),$AX$6,IF(OR(COUNTIF('1.연간시수표'!K21,$AY$9),COUNTIF('1.연간시수표'!K21,$AY$7)),$AY$6,IF(OR(COUNTIF('1.연간시수표'!K21,$AZ$9),COUNTIF('1.연간시수표'!K21,$AZ$7)),$AZ$6,IF(OR(COUNTIF('1.연간시수표'!K21,$BA$9),COUNTIF('1.연간시수표'!K21,$BA$7)),$BA$6,IF(OR(COUNTIF('1.연간시수표'!K21,$BB$9),COUNTIF('1.연간시수표'!K21,$BB$7)),$BB$6,IF(OR(COUNTIF('1.연간시수표'!K21,$BC$9),COUNTIF('1.연간시수표'!K21,$BC$7)),$BC$6,IF(OR(COUNTIF('1.연간시수표'!K21,$BF$9),COUNTIF('1.연간시수표'!K21,$BF$7),COUNTIF('1.연간시수표'!K21,$BG$9),COUNTIF('1.연간시수표'!K21,$BG$7),COUNTIF('1.연간시수표'!K21,$BH$9),COUNTIF('1.연간시수표'!K21,$BH$7),COUNTIF('1.연간시수표'!K21,$BI$9),COUNTIF('1.연간시수표'!K21,$BI$7),COUNTIF('1.연간시수표'!K21,$BJ$9),COUNTIF('1.연간시수표'!K21,$BJ$7),COUNTIF('1.연간시수표'!K21,$BK$9),COUNTIF('1.연간시수표'!K21,$BK$7),COUNTIF('1.연간시수표'!K21,$BL$9),COUNTIF('1.연간시수표'!K21,$BL$7),COUNTIF('1.연간시수표'!K21,$BM$9),COUNTIF('1.연간시수표'!K21,$BM$7)),$BF$6,IF(OR(COUNTIF('1.연간시수표'!K21,$BO$9),COUNTIF('1.연간시수표'!K21,$BO$7)),$BO$6,IF(OR(COUNTIF('1.연간시수표'!K21,$BP$9),COUNTIF('1.연간시수표'!K21,$BP$7)),$BP$6,IF(OR(COUNTIF('1.연간시수표'!K21,$BQ$9),COUNTIF('1.연간시수표'!K21,$BQ$7)),$BQ$6,IF(OR(COUNTIF('1.연간시수표'!K21,$BR$9),COUNTIF('1.연간시수표'!K21,$BR$7)),$BR$6,"_")))))))))))))))</f>
        <v>_</v>
      </c>
      <c r="L21" s="148" t="str">
        <f>IF(OR(COUNTIF('1.연간시수표'!L21,$AT$9),COUNTIF('1.연간시수표'!L21,$AT$7)),$AT$6,IF(OR(COUNTIF('1.연간시수표'!L21,$AU$9),COUNTIF('1.연간시수표'!L21,$AU$7)),$AU$6,IF(OR(COUNTIF('1.연간시수표'!L21,$AV$9),COUNTIF('1.연간시수표'!L21,$AV$7)),$AV$6,IF(OR(COUNTIF('1.연간시수표'!L21,$AW$9),COUNTIF('1.연간시수표'!L21,$AW$7)),$AW$6,IF(OR(COUNTIF('1.연간시수표'!L21,$AX$9),COUNTIF('1.연간시수표'!L21,$AX$7)),$AX$6,IF(OR(COUNTIF('1.연간시수표'!L21,$AY$9),COUNTIF('1.연간시수표'!L21,$AY$7)),$AY$6,IF(OR(COUNTIF('1.연간시수표'!L21,$AZ$9),COUNTIF('1.연간시수표'!L21,$AZ$7)),$AZ$6,IF(OR(COUNTIF('1.연간시수표'!L21,$BA$9),COUNTIF('1.연간시수표'!L21,$BA$7)),$BA$6,IF(OR(COUNTIF('1.연간시수표'!L21,$BB$9),COUNTIF('1.연간시수표'!L21,$BB$7)),$BB$6,IF(OR(COUNTIF('1.연간시수표'!L21,$BC$9),COUNTIF('1.연간시수표'!L21,$BC$7)),$BC$6,IF(OR(COUNTIF('1.연간시수표'!L21,$BF$9),COUNTIF('1.연간시수표'!L21,$BF$7),COUNTIF('1.연간시수표'!L21,$BG$9),COUNTIF('1.연간시수표'!L21,$BG$7),COUNTIF('1.연간시수표'!L21,$BH$9),COUNTIF('1.연간시수표'!L21,$BH$7),COUNTIF('1.연간시수표'!L21,$BI$9),COUNTIF('1.연간시수표'!L21,$BI$7),COUNTIF('1.연간시수표'!L21,$BJ$9),COUNTIF('1.연간시수표'!L21,$BJ$7),COUNTIF('1.연간시수표'!L21,$BK$9),COUNTIF('1.연간시수표'!L21,$BK$7),COUNTIF('1.연간시수표'!L21,$BL$9),COUNTIF('1.연간시수표'!L21,$BL$7),COUNTIF('1.연간시수표'!L21,$BM$9),COUNTIF('1.연간시수표'!L21,$BM$7)),$BF$6,IF(OR(COUNTIF('1.연간시수표'!L21,$BO$9),COUNTIF('1.연간시수표'!L21,$BO$7)),$BO$6,IF(OR(COUNTIF('1.연간시수표'!L21,$BP$9),COUNTIF('1.연간시수표'!L21,$BP$7)),$BP$6,IF(OR(COUNTIF('1.연간시수표'!L21,$BQ$9),COUNTIF('1.연간시수표'!L21,$BQ$7)),$BQ$6,IF(OR(COUNTIF('1.연간시수표'!L21,$BR$9),COUNTIF('1.연간시수표'!L21,$BR$7)),$BR$6,"_")))))))))))))))</f>
        <v>_</v>
      </c>
      <c r="M21" s="148" t="str">
        <f>IF(OR(COUNTIF('1.연간시수표'!M21,$AT$9),COUNTIF('1.연간시수표'!M21,$AT$7)),$AT$6,IF(OR(COUNTIF('1.연간시수표'!M21,$AU$9),COUNTIF('1.연간시수표'!M21,$AU$7)),$AU$6,IF(OR(COUNTIF('1.연간시수표'!M21,$AV$9),COUNTIF('1.연간시수표'!M21,$AV$7)),$AV$6,IF(OR(COUNTIF('1.연간시수표'!M21,$AW$9),COUNTIF('1.연간시수표'!M21,$AW$7)),$AW$6,IF(OR(COUNTIF('1.연간시수표'!M21,$AX$9),COUNTIF('1.연간시수표'!M21,$AX$7)),$AX$6,IF(OR(COUNTIF('1.연간시수표'!M21,$AY$9),COUNTIF('1.연간시수표'!M21,$AY$7)),$AY$6,IF(OR(COUNTIF('1.연간시수표'!M21,$AZ$9),COUNTIF('1.연간시수표'!M21,$AZ$7)),$AZ$6,IF(OR(COUNTIF('1.연간시수표'!M21,$BA$9),COUNTIF('1.연간시수표'!M21,$BA$7)),$BA$6,IF(OR(COUNTIF('1.연간시수표'!M21,$BB$9),COUNTIF('1.연간시수표'!M21,$BB$7)),$BB$6,IF(OR(COUNTIF('1.연간시수표'!M21,$BC$9),COUNTIF('1.연간시수표'!M21,$BC$7)),$BC$6,IF(OR(COUNTIF('1.연간시수표'!M21,$BF$9),COUNTIF('1.연간시수표'!M21,$BF$7),COUNTIF('1.연간시수표'!M21,$BG$9),COUNTIF('1.연간시수표'!M21,$BG$7),COUNTIF('1.연간시수표'!M21,$BH$9),COUNTIF('1.연간시수표'!M21,$BH$7),COUNTIF('1.연간시수표'!M21,$BI$9),COUNTIF('1.연간시수표'!M21,$BI$7),COUNTIF('1.연간시수표'!M21,$BJ$9),COUNTIF('1.연간시수표'!M21,$BJ$7),COUNTIF('1.연간시수표'!M21,$BK$9),COUNTIF('1.연간시수표'!M21,$BK$7),COUNTIF('1.연간시수표'!M21,$BL$9),COUNTIF('1.연간시수표'!M21,$BL$7),COUNTIF('1.연간시수표'!M21,$BM$9),COUNTIF('1.연간시수표'!M21,$BM$7)),$BF$6,IF(OR(COUNTIF('1.연간시수표'!M21,$BO$9),COUNTIF('1.연간시수표'!M21,$BO$7)),$BO$6,IF(OR(COUNTIF('1.연간시수표'!M21,$BP$9),COUNTIF('1.연간시수표'!M21,$BP$7)),$BP$6,IF(OR(COUNTIF('1.연간시수표'!M21,$BQ$9),COUNTIF('1.연간시수표'!M21,$BQ$7)),$BQ$6,IF(OR(COUNTIF('1.연간시수표'!M21,$BR$9),COUNTIF('1.연간시수표'!M21,$BR$7)),$BR$6,"_")))))))))))))))</f>
        <v>국어</v>
      </c>
      <c r="N21" s="148" t="str">
        <f>IF(OR(COUNTIF('1.연간시수표'!N21,$AT$9),COUNTIF('1.연간시수표'!N21,$AT$7)),$AT$6,IF(OR(COUNTIF('1.연간시수표'!N21,$AU$9),COUNTIF('1.연간시수표'!N21,$AU$7)),$AU$6,IF(OR(COUNTIF('1.연간시수표'!N21,$AV$9),COUNTIF('1.연간시수표'!N21,$AV$7)),$AV$6,IF(OR(COUNTIF('1.연간시수표'!N21,$AW$9),COUNTIF('1.연간시수표'!N21,$AW$7)),$AW$6,IF(OR(COUNTIF('1.연간시수표'!N21,$AX$9),COUNTIF('1.연간시수표'!N21,$AX$7)),$AX$6,IF(OR(COUNTIF('1.연간시수표'!N21,$AY$9),COUNTIF('1.연간시수표'!N21,$AY$7)),$AY$6,IF(OR(COUNTIF('1.연간시수표'!N21,$AZ$9),COUNTIF('1.연간시수표'!N21,$AZ$7)),$AZ$6,IF(OR(COUNTIF('1.연간시수표'!N21,$BA$9),COUNTIF('1.연간시수표'!N21,$BA$7)),$BA$6,IF(OR(COUNTIF('1.연간시수표'!N21,$BB$9),COUNTIF('1.연간시수표'!N21,$BB$7)),$BB$6,IF(OR(COUNTIF('1.연간시수표'!N21,$BC$9),COUNTIF('1.연간시수표'!N21,$BC$7)),$BC$6,IF(OR(COUNTIF('1.연간시수표'!N21,$BF$9),COUNTIF('1.연간시수표'!N21,$BF$7),COUNTIF('1.연간시수표'!N21,$BG$9),COUNTIF('1.연간시수표'!N21,$BG$7),COUNTIF('1.연간시수표'!N21,$BH$9),COUNTIF('1.연간시수표'!N21,$BH$7),COUNTIF('1.연간시수표'!N21,$BI$9),COUNTIF('1.연간시수표'!N21,$BI$7),COUNTIF('1.연간시수표'!N21,$BJ$9),COUNTIF('1.연간시수표'!N21,$BJ$7),COUNTIF('1.연간시수표'!N21,$BK$9),COUNTIF('1.연간시수표'!N21,$BK$7),COUNTIF('1.연간시수표'!N21,$BL$9),COUNTIF('1.연간시수표'!N21,$BL$7),COUNTIF('1.연간시수표'!N21,$BM$9),COUNTIF('1.연간시수표'!N21,$BM$7)),$BF$6,IF(OR(COUNTIF('1.연간시수표'!N21,$BO$9),COUNTIF('1.연간시수표'!N21,$BO$7)),$BO$6,IF(OR(COUNTIF('1.연간시수표'!N21,$BP$9),COUNTIF('1.연간시수표'!N21,$BP$7)),$BP$6,IF(OR(COUNTIF('1.연간시수표'!N21,$BQ$9),COUNTIF('1.연간시수표'!N21,$BQ$7)),$BQ$6,IF(OR(COUNTIF('1.연간시수표'!N21,$BR$9),COUNTIF('1.연간시수표'!N21,$BR$7)),$BR$6,"_")))))))))))))))</f>
        <v>국어</v>
      </c>
      <c r="O21" s="148" t="str">
        <f>IF(OR(COUNTIF('1.연간시수표'!O21,$AT$9),COUNTIF('1.연간시수표'!O21,$AT$7)),$AT$6,IF(OR(COUNTIF('1.연간시수표'!O21,$AU$9),COUNTIF('1.연간시수표'!O21,$AU$7)),$AU$6,IF(OR(COUNTIF('1.연간시수표'!O21,$AV$9),COUNTIF('1.연간시수표'!O21,$AV$7)),$AV$6,IF(OR(COUNTIF('1.연간시수표'!O21,$AW$9),COUNTIF('1.연간시수표'!O21,$AW$7)),$AW$6,IF(OR(COUNTIF('1.연간시수표'!O21,$AX$9),COUNTIF('1.연간시수표'!O21,$AX$7)),$AX$6,IF(OR(COUNTIF('1.연간시수표'!O21,$AY$9),COUNTIF('1.연간시수표'!O21,$AY$7)),$AY$6,IF(OR(COUNTIF('1.연간시수표'!O21,$AZ$9),COUNTIF('1.연간시수표'!O21,$AZ$7)),$AZ$6,IF(OR(COUNTIF('1.연간시수표'!O21,$BA$9),COUNTIF('1.연간시수표'!O21,$BA$7)),$BA$6,IF(OR(COUNTIF('1.연간시수표'!O21,$BB$9),COUNTIF('1.연간시수표'!O21,$BB$7)),$BB$6,IF(OR(COUNTIF('1.연간시수표'!O21,$BC$9),COUNTIF('1.연간시수표'!O21,$BC$7)),$BC$6,IF(OR(COUNTIF('1.연간시수표'!O21,$BF$9),COUNTIF('1.연간시수표'!O21,$BF$7),COUNTIF('1.연간시수표'!O21,$BG$9),COUNTIF('1.연간시수표'!O21,$BG$7),COUNTIF('1.연간시수표'!O21,$BH$9),COUNTIF('1.연간시수표'!O21,$BH$7),COUNTIF('1.연간시수표'!O21,$BI$9),COUNTIF('1.연간시수표'!O21,$BI$7),COUNTIF('1.연간시수표'!O21,$BJ$9),COUNTIF('1.연간시수표'!O21,$BJ$7),COUNTIF('1.연간시수표'!O21,$BK$9),COUNTIF('1.연간시수표'!O21,$BK$7),COUNTIF('1.연간시수표'!O21,$BL$9),COUNTIF('1.연간시수표'!O21,$BL$7),COUNTIF('1.연간시수표'!O21,$BM$9),COUNTIF('1.연간시수표'!O21,$BM$7)),$BF$6,IF(OR(COUNTIF('1.연간시수표'!O21,$BO$9),COUNTIF('1.연간시수표'!O21,$BO$7)),$BO$6,IF(OR(COUNTIF('1.연간시수표'!O21,$BP$9),COUNTIF('1.연간시수표'!O21,$BP$7)),$BP$6,IF(OR(COUNTIF('1.연간시수표'!O21,$BQ$9),COUNTIF('1.연간시수표'!O21,$BQ$7)),$BQ$6,IF(OR(COUNTIF('1.연간시수표'!O21,$BR$9),COUNTIF('1.연간시수표'!O21,$BR$7)),$BR$6,"_")))))))))))))))</f>
        <v>사회</v>
      </c>
      <c r="P21" s="148" t="str">
        <f>IF(OR(COUNTIF('1.연간시수표'!P21,$AT$9),COUNTIF('1.연간시수표'!P21,$AT$7)),$AT$6,IF(OR(COUNTIF('1.연간시수표'!P21,$AU$9),COUNTIF('1.연간시수표'!P21,$AU$7)),$AU$6,IF(OR(COUNTIF('1.연간시수표'!P21,$AV$9),COUNTIF('1.연간시수표'!P21,$AV$7)),$AV$6,IF(OR(COUNTIF('1.연간시수표'!P21,$AW$9),COUNTIF('1.연간시수표'!P21,$AW$7)),$AW$6,IF(OR(COUNTIF('1.연간시수표'!P21,$AX$9),COUNTIF('1.연간시수표'!P21,$AX$7)),$AX$6,IF(OR(COUNTIF('1.연간시수표'!P21,$AY$9),COUNTIF('1.연간시수표'!P21,$AY$7)),$AY$6,IF(OR(COUNTIF('1.연간시수표'!P21,$AZ$9),COUNTIF('1.연간시수표'!P21,$AZ$7)),$AZ$6,IF(OR(COUNTIF('1.연간시수표'!P21,$BA$9),COUNTIF('1.연간시수표'!P21,$BA$7)),$BA$6,IF(OR(COUNTIF('1.연간시수표'!P21,$BB$9),COUNTIF('1.연간시수표'!P21,$BB$7)),$BB$6,IF(OR(COUNTIF('1.연간시수표'!P21,$BC$9),COUNTIF('1.연간시수표'!P21,$BC$7)),$BC$6,IF(OR(COUNTIF('1.연간시수표'!P21,$BF$9),COUNTIF('1.연간시수표'!P21,$BF$7),COUNTIF('1.연간시수표'!P21,$BG$9),COUNTIF('1.연간시수표'!P21,$BG$7),COUNTIF('1.연간시수표'!P21,$BH$9),COUNTIF('1.연간시수표'!P21,$BH$7),COUNTIF('1.연간시수표'!P21,$BI$9),COUNTIF('1.연간시수표'!P21,$BI$7),COUNTIF('1.연간시수표'!P21,$BJ$9),COUNTIF('1.연간시수표'!P21,$BJ$7),COUNTIF('1.연간시수표'!P21,$BK$9),COUNTIF('1.연간시수표'!P21,$BK$7),COUNTIF('1.연간시수표'!P21,$BL$9),COUNTIF('1.연간시수표'!P21,$BL$7),COUNTIF('1.연간시수표'!P21,$BM$9),COUNTIF('1.연간시수표'!P21,$BM$7)),$BF$6,IF(OR(COUNTIF('1.연간시수표'!P21,$BO$9),COUNTIF('1.연간시수표'!P21,$BO$7)),$BO$6,IF(OR(COUNTIF('1.연간시수표'!P21,$BP$9),COUNTIF('1.연간시수표'!P21,$BP$7)),$BP$6,IF(OR(COUNTIF('1.연간시수표'!P21,$BQ$9),COUNTIF('1.연간시수표'!P21,$BQ$7)),$BQ$6,IF(OR(COUNTIF('1.연간시수표'!P21,$BR$9),COUNTIF('1.연간시수표'!P21,$BR$7)),$BR$6,"_")))))))))))))))</f>
        <v>수학</v>
      </c>
      <c r="Q21" s="148" t="str">
        <f>IF(OR(COUNTIF('1.연간시수표'!Q21,$AT$9),COUNTIF('1.연간시수표'!Q21,$AT$7)),$AT$6,IF(OR(COUNTIF('1.연간시수표'!Q21,$AU$9),COUNTIF('1.연간시수표'!Q21,$AU$7)),$AU$6,IF(OR(COUNTIF('1.연간시수표'!Q21,$AV$9),COUNTIF('1.연간시수표'!Q21,$AV$7)),$AV$6,IF(OR(COUNTIF('1.연간시수표'!Q21,$AW$9),COUNTIF('1.연간시수표'!Q21,$AW$7)),$AW$6,IF(OR(COUNTIF('1.연간시수표'!Q21,$AX$9),COUNTIF('1.연간시수표'!Q21,$AX$7)),$AX$6,IF(OR(COUNTIF('1.연간시수표'!Q21,$AY$9),COUNTIF('1.연간시수표'!Q21,$AY$7)),$AY$6,IF(OR(COUNTIF('1.연간시수표'!Q21,$AZ$9),COUNTIF('1.연간시수표'!Q21,$AZ$7)),$AZ$6,IF(OR(COUNTIF('1.연간시수표'!Q21,$BA$9),COUNTIF('1.연간시수표'!Q21,$BA$7)),$BA$6,IF(OR(COUNTIF('1.연간시수표'!Q21,$BB$9),COUNTIF('1.연간시수표'!Q21,$BB$7)),$BB$6,IF(OR(COUNTIF('1.연간시수표'!Q21,$BC$9),COUNTIF('1.연간시수표'!Q21,$BC$7)),$BC$6,IF(OR(COUNTIF('1.연간시수표'!Q21,$BF$9),COUNTIF('1.연간시수표'!Q21,$BF$7),COUNTIF('1.연간시수표'!Q21,$BG$9),COUNTIF('1.연간시수표'!Q21,$BG$7),COUNTIF('1.연간시수표'!Q21,$BH$9),COUNTIF('1.연간시수표'!Q21,$BH$7),COUNTIF('1.연간시수표'!Q21,$BI$9),COUNTIF('1.연간시수표'!Q21,$BI$7),COUNTIF('1.연간시수표'!Q21,$BJ$9),COUNTIF('1.연간시수표'!Q21,$BJ$7),COUNTIF('1.연간시수표'!Q21,$BK$9),COUNTIF('1.연간시수표'!Q21,$BK$7),COUNTIF('1.연간시수표'!Q21,$BL$9),COUNTIF('1.연간시수표'!Q21,$BL$7),COUNTIF('1.연간시수표'!Q21,$BM$9),COUNTIF('1.연간시수표'!Q21,$BM$7)),$BF$6,IF(OR(COUNTIF('1.연간시수표'!Q21,$BO$9),COUNTIF('1.연간시수표'!Q21,$BO$7)),$BO$6,IF(OR(COUNTIF('1.연간시수표'!Q21,$BP$9),COUNTIF('1.연간시수표'!Q21,$BP$7)),$BP$6,IF(OR(COUNTIF('1.연간시수표'!Q21,$BQ$9),COUNTIF('1.연간시수표'!Q21,$BQ$7)),$BQ$6,IF(OR(COUNTIF('1.연간시수표'!Q21,$BR$9),COUNTIF('1.연간시수표'!Q21,$BR$7)),$BR$6,"_")))))))))))))))</f>
        <v>과학</v>
      </c>
      <c r="R21" s="148" t="str">
        <f>IF(OR(COUNTIF('1.연간시수표'!R21,$AT$9),COUNTIF('1.연간시수표'!R21,$AT$7)),$AT$6,IF(OR(COUNTIF('1.연간시수표'!R21,$AU$9),COUNTIF('1.연간시수표'!R21,$AU$7)),$AU$6,IF(OR(COUNTIF('1.연간시수표'!R21,$AV$9),COUNTIF('1.연간시수표'!R21,$AV$7)),$AV$6,IF(OR(COUNTIF('1.연간시수표'!R21,$AW$9),COUNTIF('1.연간시수표'!R21,$AW$7)),$AW$6,IF(OR(COUNTIF('1.연간시수표'!R21,$AX$9),COUNTIF('1.연간시수표'!R21,$AX$7)),$AX$6,IF(OR(COUNTIF('1.연간시수표'!R21,$AY$9),COUNTIF('1.연간시수표'!R21,$AY$7)),$AY$6,IF(OR(COUNTIF('1.연간시수표'!R21,$AZ$9),COUNTIF('1.연간시수표'!R21,$AZ$7)),$AZ$6,IF(OR(COUNTIF('1.연간시수표'!R21,$BA$9),COUNTIF('1.연간시수표'!R21,$BA$7)),$BA$6,IF(OR(COUNTIF('1.연간시수표'!R21,$BB$9),COUNTIF('1.연간시수표'!R21,$BB$7)),$BB$6,IF(OR(COUNTIF('1.연간시수표'!R21,$BC$9),COUNTIF('1.연간시수표'!R21,$BC$7)),$BC$6,IF(OR(COUNTIF('1.연간시수표'!R21,$BF$9),COUNTIF('1.연간시수표'!R21,$BF$7),COUNTIF('1.연간시수표'!R21,$BG$9),COUNTIF('1.연간시수표'!R21,$BG$7),COUNTIF('1.연간시수표'!R21,$BH$9),COUNTIF('1.연간시수표'!R21,$BH$7),COUNTIF('1.연간시수표'!R21,$BI$9),COUNTIF('1.연간시수표'!R21,$BI$7),COUNTIF('1.연간시수표'!R21,$BJ$9),COUNTIF('1.연간시수표'!R21,$BJ$7),COUNTIF('1.연간시수표'!R21,$BK$9),COUNTIF('1.연간시수표'!R21,$BK$7),COUNTIF('1.연간시수표'!R21,$BL$9),COUNTIF('1.연간시수표'!R21,$BL$7),COUNTIF('1.연간시수표'!R21,$BM$9),COUNTIF('1.연간시수표'!R21,$BM$7)),$BF$6,IF(OR(COUNTIF('1.연간시수표'!R21,$BO$9),COUNTIF('1.연간시수표'!R21,$BO$7)),$BO$6,IF(OR(COUNTIF('1.연간시수표'!R21,$BP$9),COUNTIF('1.연간시수표'!R21,$BP$7)),$BP$6,IF(OR(COUNTIF('1.연간시수표'!R21,$BQ$9),COUNTIF('1.연간시수표'!R21,$BQ$7)),$BQ$6,IF(OR(COUNTIF('1.연간시수표'!R21,$BR$9),COUNTIF('1.연간시수표'!R21,$BR$7)),$BR$6,"_")))))))))))))))</f>
        <v>실과</v>
      </c>
      <c r="S21" s="148" t="str">
        <f>IF(OR(COUNTIF('1.연간시수표'!S21,$AT$9),COUNTIF('1.연간시수표'!S21,$AT$7)),$AT$6,IF(OR(COUNTIF('1.연간시수표'!S21,$AU$9),COUNTIF('1.연간시수표'!S21,$AU$7)),$AU$6,IF(OR(COUNTIF('1.연간시수표'!S21,$AV$9),COUNTIF('1.연간시수표'!S21,$AV$7)),$AV$6,IF(OR(COUNTIF('1.연간시수표'!S21,$AW$9),COUNTIF('1.연간시수표'!S21,$AW$7)),$AW$6,IF(OR(COUNTIF('1.연간시수표'!S21,$AX$9),COUNTIF('1.연간시수표'!S21,$AX$7)),$AX$6,IF(OR(COUNTIF('1.연간시수표'!S21,$AY$9),COUNTIF('1.연간시수표'!S21,$AY$7)),$AY$6,IF(OR(COUNTIF('1.연간시수표'!S21,$AZ$9),COUNTIF('1.연간시수표'!S21,$AZ$7)),$AZ$6,IF(OR(COUNTIF('1.연간시수표'!S21,$BA$9),COUNTIF('1.연간시수표'!S21,$BA$7)),$BA$6,IF(OR(COUNTIF('1.연간시수표'!S21,$BB$9),COUNTIF('1.연간시수표'!S21,$BB$7)),$BB$6,IF(OR(COUNTIF('1.연간시수표'!S21,$BC$9),COUNTIF('1.연간시수표'!S21,$BC$7)),$BC$6,IF(OR(COUNTIF('1.연간시수표'!S21,$BF$9),COUNTIF('1.연간시수표'!S21,$BF$7),COUNTIF('1.연간시수표'!S21,$BG$9),COUNTIF('1.연간시수표'!S21,$BG$7),COUNTIF('1.연간시수표'!S21,$BH$9),COUNTIF('1.연간시수표'!S21,$BH$7),COUNTIF('1.연간시수표'!S21,$BI$9),COUNTIF('1.연간시수표'!S21,$BI$7),COUNTIF('1.연간시수표'!S21,$BJ$9),COUNTIF('1.연간시수표'!S21,$BJ$7),COUNTIF('1.연간시수표'!S21,$BK$9),COUNTIF('1.연간시수표'!S21,$BK$7),COUNTIF('1.연간시수표'!S21,$BL$9),COUNTIF('1.연간시수표'!S21,$BL$7),COUNTIF('1.연간시수표'!S21,$BM$9),COUNTIF('1.연간시수표'!S21,$BM$7)),$BF$6,IF(OR(COUNTIF('1.연간시수표'!S21,$BO$9),COUNTIF('1.연간시수표'!S21,$BO$7)),$BO$6,IF(OR(COUNTIF('1.연간시수표'!S21,$BP$9),COUNTIF('1.연간시수표'!S21,$BP$7)),$BP$6,IF(OR(COUNTIF('1.연간시수표'!S21,$BQ$9),COUNTIF('1.연간시수표'!S21,$BQ$7)),$BQ$6,IF(OR(COUNTIF('1.연간시수표'!S21,$BR$9),COUNTIF('1.연간시수표'!S21,$BR$7)),$BR$6,"_")))))))))))))))</f>
        <v>_</v>
      </c>
      <c r="T21" s="148" t="str">
        <f>IF(OR(COUNTIF('1.연간시수표'!T21,$AT$9),COUNTIF('1.연간시수표'!T21,$AT$7)),$AT$6,IF(OR(COUNTIF('1.연간시수표'!T21,$AU$9),COUNTIF('1.연간시수표'!T21,$AU$7)),$AU$6,IF(OR(COUNTIF('1.연간시수표'!T21,$AV$9),COUNTIF('1.연간시수표'!T21,$AV$7)),$AV$6,IF(OR(COUNTIF('1.연간시수표'!T21,$AW$9),COUNTIF('1.연간시수표'!T21,$AW$7)),$AW$6,IF(OR(COUNTIF('1.연간시수표'!T21,$AX$9),COUNTIF('1.연간시수표'!T21,$AX$7)),$AX$6,IF(OR(COUNTIF('1.연간시수표'!T21,$AY$9),COUNTIF('1.연간시수표'!T21,$AY$7)),$AY$6,IF(OR(COUNTIF('1.연간시수표'!T21,$AZ$9),COUNTIF('1.연간시수표'!T21,$AZ$7)),$AZ$6,IF(OR(COUNTIF('1.연간시수표'!T21,$BA$9),COUNTIF('1.연간시수표'!T21,$BA$7)),$BA$6,IF(OR(COUNTIF('1.연간시수표'!T21,$BB$9),COUNTIF('1.연간시수표'!T21,$BB$7)),$BB$6,IF(OR(COUNTIF('1.연간시수표'!T21,$BC$9),COUNTIF('1.연간시수표'!T21,$BC$7)),$BC$6,IF(OR(COUNTIF('1.연간시수표'!T21,$BF$9),COUNTIF('1.연간시수표'!T21,$BF$7),COUNTIF('1.연간시수표'!T21,$BG$9),COUNTIF('1.연간시수표'!T21,$BG$7),COUNTIF('1.연간시수표'!T21,$BH$9),COUNTIF('1.연간시수표'!T21,$BH$7),COUNTIF('1.연간시수표'!T21,$BI$9),COUNTIF('1.연간시수표'!T21,$BI$7),COUNTIF('1.연간시수표'!T21,$BJ$9),COUNTIF('1.연간시수표'!T21,$BJ$7),COUNTIF('1.연간시수표'!T21,$BK$9),COUNTIF('1.연간시수표'!T21,$BK$7),COUNTIF('1.연간시수표'!T21,$BL$9),COUNTIF('1.연간시수표'!T21,$BL$7),COUNTIF('1.연간시수표'!T21,$BM$9),COUNTIF('1.연간시수표'!T21,$BM$7)),$BF$6,IF(OR(COUNTIF('1.연간시수표'!T21,$BO$9),COUNTIF('1.연간시수표'!T21,$BO$7)),$BO$6,IF(OR(COUNTIF('1.연간시수표'!T21,$BP$9),COUNTIF('1.연간시수표'!T21,$BP$7)),$BP$6,IF(OR(COUNTIF('1.연간시수표'!T21,$BQ$9),COUNTIF('1.연간시수표'!T21,$BQ$7)),$BQ$6,IF(OR(COUNTIF('1.연간시수표'!T21,$BR$9),COUNTIF('1.연간시수표'!T21,$BR$7)),$BR$6,"_")))))))))))))))</f>
        <v>_</v>
      </c>
      <c r="U21" s="148" t="str">
        <f>IF(OR(COUNTIF('1.연간시수표'!U21,$AT$9),COUNTIF('1.연간시수표'!U21,$AT$7)),$AT$6,IF(OR(COUNTIF('1.연간시수표'!U21,$AU$9),COUNTIF('1.연간시수표'!U21,$AU$7)),$AU$6,IF(OR(COUNTIF('1.연간시수표'!U21,$AV$9),COUNTIF('1.연간시수표'!U21,$AV$7)),$AV$6,IF(OR(COUNTIF('1.연간시수표'!U21,$AW$9),COUNTIF('1.연간시수표'!U21,$AW$7)),$AW$6,IF(OR(COUNTIF('1.연간시수표'!U21,$AX$9),COUNTIF('1.연간시수표'!U21,$AX$7)),$AX$6,IF(OR(COUNTIF('1.연간시수표'!U21,$AY$9),COUNTIF('1.연간시수표'!U21,$AY$7)),$AY$6,IF(OR(COUNTIF('1.연간시수표'!U21,$AZ$9),COUNTIF('1.연간시수표'!U21,$AZ$7)),$AZ$6,IF(OR(COUNTIF('1.연간시수표'!U21,$BA$9),COUNTIF('1.연간시수표'!U21,$BA$7)),$BA$6,IF(OR(COUNTIF('1.연간시수표'!U21,$BB$9),COUNTIF('1.연간시수표'!U21,$BB$7)),$BB$6,IF(OR(COUNTIF('1.연간시수표'!U21,$BC$9),COUNTIF('1.연간시수표'!U21,$BC$7)),$BC$6,IF(OR(COUNTIF('1.연간시수표'!U21,$BF$9),COUNTIF('1.연간시수표'!U21,$BF$7),COUNTIF('1.연간시수표'!U21,$BG$9),COUNTIF('1.연간시수표'!U21,$BG$7),COUNTIF('1.연간시수표'!U21,$BH$9),COUNTIF('1.연간시수표'!U21,$BH$7),COUNTIF('1.연간시수표'!U21,$BI$9),COUNTIF('1.연간시수표'!U21,$BI$7),COUNTIF('1.연간시수표'!U21,$BJ$9),COUNTIF('1.연간시수표'!U21,$BJ$7),COUNTIF('1.연간시수표'!U21,$BK$9),COUNTIF('1.연간시수표'!U21,$BK$7),COUNTIF('1.연간시수표'!U21,$BL$9),COUNTIF('1.연간시수표'!U21,$BL$7),COUNTIF('1.연간시수표'!U21,$BM$9),COUNTIF('1.연간시수표'!U21,$BM$7)),$BF$6,IF(OR(COUNTIF('1.연간시수표'!U21,$BO$9),COUNTIF('1.연간시수표'!U21,$BO$7)),$BO$6,IF(OR(COUNTIF('1.연간시수표'!U21,$BP$9),COUNTIF('1.연간시수표'!U21,$BP$7)),$BP$6,IF(OR(COUNTIF('1.연간시수표'!U21,$BQ$9),COUNTIF('1.연간시수표'!U21,$BQ$7)),$BQ$6,IF(OR(COUNTIF('1.연간시수표'!U21,$BR$9),COUNTIF('1.연간시수표'!U21,$BR$7)),$BR$6,"_")))))))))))))))</f>
        <v>영어</v>
      </c>
      <c r="V21" s="148" t="str">
        <f>IF(OR(COUNTIF('1.연간시수표'!V21,$AT$9),COUNTIF('1.연간시수표'!V21,$AT$7)),$AT$6,IF(OR(COUNTIF('1.연간시수표'!V21,$AU$9),COUNTIF('1.연간시수표'!V21,$AU$7)),$AU$6,IF(OR(COUNTIF('1.연간시수표'!V21,$AV$9),COUNTIF('1.연간시수표'!V21,$AV$7)),$AV$6,IF(OR(COUNTIF('1.연간시수표'!V21,$AW$9),COUNTIF('1.연간시수표'!V21,$AW$7)),$AW$6,IF(OR(COUNTIF('1.연간시수표'!V21,$AX$9),COUNTIF('1.연간시수표'!V21,$AX$7)),$AX$6,IF(OR(COUNTIF('1.연간시수표'!V21,$AY$9),COUNTIF('1.연간시수표'!V21,$AY$7)),$AY$6,IF(OR(COUNTIF('1.연간시수표'!V21,$AZ$9),COUNTIF('1.연간시수표'!V21,$AZ$7)),$AZ$6,IF(OR(COUNTIF('1.연간시수표'!V21,$BA$9),COUNTIF('1.연간시수표'!V21,$BA$7)),$BA$6,IF(OR(COUNTIF('1.연간시수표'!V21,$BB$9),COUNTIF('1.연간시수표'!V21,$BB$7)),$BB$6,IF(OR(COUNTIF('1.연간시수표'!V21,$BC$9),COUNTIF('1.연간시수표'!V21,$BC$7)),$BC$6,IF(OR(COUNTIF('1.연간시수표'!V21,$BF$9),COUNTIF('1.연간시수표'!V21,$BF$7),COUNTIF('1.연간시수표'!V21,$BG$9),COUNTIF('1.연간시수표'!V21,$BG$7),COUNTIF('1.연간시수표'!V21,$BH$9),COUNTIF('1.연간시수표'!V21,$BH$7),COUNTIF('1.연간시수표'!V21,$BI$9),COUNTIF('1.연간시수표'!V21,$BI$7),COUNTIF('1.연간시수표'!V21,$BJ$9),COUNTIF('1.연간시수표'!V21,$BJ$7),COUNTIF('1.연간시수표'!V21,$BK$9),COUNTIF('1.연간시수표'!V21,$BK$7),COUNTIF('1.연간시수표'!V21,$BL$9),COUNTIF('1.연간시수표'!V21,$BL$7),COUNTIF('1.연간시수표'!V21,$BM$9),COUNTIF('1.연간시수표'!V21,$BM$7)),$BF$6,IF(OR(COUNTIF('1.연간시수표'!V21,$BO$9),COUNTIF('1.연간시수표'!V21,$BO$7)),$BO$6,IF(OR(COUNTIF('1.연간시수표'!V21,$BP$9),COUNTIF('1.연간시수표'!V21,$BP$7)),$BP$6,IF(OR(COUNTIF('1.연간시수표'!V21,$BQ$9),COUNTIF('1.연간시수표'!V21,$BQ$7)),$BQ$6,IF(OR(COUNTIF('1.연간시수표'!V21,$BR$9),COUNTIF('1.연간시수표'!V21,$BR$7)),$BR$6,"_")))))))))))))))</f>
        <v>과학</v>
      </c>
      <c r="W21" s="148" t="str">
        <f>IF(OR(COUNTIF('1.연간시수표'!W21,$AT$9),COUNTIF('1.연간시수표'!W21,$AT$7)),$AT$6,IF(OR(COUNTIF('1.연간시수표'!W21,$AU$9),COUNTIF('1.연간시수표'!W21,$AU$7)),$AU$6,IF(OR(COUNTIF('1.연간시수표'!W21,$AV$9),COUNTIF('1.연간시수표'!W21,$AV$7)),$AV$6,IF(OR(COUNTIF('1.연간시수표'!W21,$AW$9),COUNTIF('1.연간시수표'!W21,$AW$7)),$AW$6,IF(OR(COUNTIF('1.연간시수표'!W21,$AX$9),COUNTIF('1.연간시수표'!W21,$AX$7)),$AX$6,IF(OR(COUNTIF('1.연간시수표'!W21,$AY$9),COUNTIF('1.연간시수표'!W21,$AY$7)),$AY$6,IF(OR(COUNTIF('1.연간시수표'!W21,$AZ$9),COUNTIF('1.연간시수표'!W21,$AZ$7)),$AZ$6,IF(OR(COUNTIF('1.연간시수표'!W21,$BA$9),COUNTIF('1.연간시수표'!W21,$BA$7)),$BA$6,IF(OR(COUNTIF('1.연간시수표'!W21,$BB$9),COUNTIF('1.연간시수표'!W21,$BB$7)),$BB$6,IF(OR(COUNTIF('1.연간시수표'!W21,$BC$9),COUNTIF('1.연간시수표'!W21,$BC$7)),$BC$6,IF(OR(COUNTIF('1.연간시수표'!W21,$BF$9),COUNTIF('1.연간시수표'!W21,$BF$7),COUNTIF('1.연간시수표'!W21,$BG$9),COUNTIF('1.연간시수표'!W21,$BG$7),COUNTIF('1.연간시수표'!W21,$BH$9),COUNTIF('1.연간시수표'!W21,$BH$7),COUNTIF('1.연간시수표'!W21,$BI$9),COUNTIF('1.연간시수표'!W21,$BI$7),COUNTIF('1.연간시수표'!W21,$BJ$9),COUNTIF('1.연간시수표'!W21,$BJ$7),COUNTIF('1.연간시수표'!W21,$BK$9),COUNTIF('1.연간시수표'!W21,$BK$7),COUNTIF('1.연간시수표'!W21,$BL$9),COUNTIF('1.연간시수표'!W21,$BL$7),COUNTIF('1.연간시수표'!W21,$BM$9),COUNTIF('1.연간시수표'!W21,$BM$7)),$BF$6,IF(OR(COUNTIF('1.연간시수표'!W21,$BO$9),COUNTIF('1.연간시수표'!W21,$BO$7)),$BO$6,IF(OR(COUNTIF('1.연간시수표'!W21,$BP$9),COUNTIF('1.연간시수표'!W21,$BP$7)),$BP$6,IF(OR(COUNTIF('1.연간시수표'!W21,$BQ$9),COUNTIF('1.연간시수표'!W21,$BQ$7)),$BQ$6,IF(OR(COUNTIF('1.연간시수표'!W21,$BR$9),COUNTIF('1.연간시수표'!W21,$BR$7)),$BR$6,"_")))))))))))))))</f>
        <v>체육</v>
      </c>
      <c r="X21" s="148" t="str">
        <f>IF(OR(COUNTIF('1.연간시수표'!X21,$AT$9),COUNTIF('1.연간시수표'!X21,$AT$7)),$AT$6,IF(OR(COUNTIF('1.연간시수표'!X21,$AU$9),COUNTIF('1.연간시수표'!X21,$AU$7)),$AU$6,IF(OR(COUNTIF('1.연간시수표'!X21,$AV$9),COUNTIF('1.연간시수표'!X21,$AV$7)),$AV$6,IF(OR(COUNTIF('1.연간시수표'!X21,$AW$9),COUNTIF('1.연간시수표'!X21,$AW$7)),$AW$6,IF(OR(COUNTIF('1.연간시수표'!X21,$AX$9),COUNTIF('1.연간시수표'!X21,$AX$7)),$AX$6,IF(OR(COUNTIF('1.연간시수표'!X21,$AY$9),COUNTIF('1.연간시수표'!X21,$AY$7)),$AY$6,IF(OR(COUNTIF('1.연간시수표'!X21,$AZ$9),COUNTIF('1.연간시수표'!X21,$AZ$7)),$AZ$6,IF(OR(COUNTIF('1.연간시수표'!X21,$BA$9),COUNTIF('1.연간시수표'!X21,$BA$7)),$BA$6,IF(OR(COUNTIF('1.연간시수표'!X21,$BB$9),COUNTIF('1.연간시수표'!X21,$BB$7)),$BB$6,IF(OR(COUNTIF('1.연간시수표'!X21,$BC$9),COUNTIF('1.연간시수표'!X21,$BC$7)),$BC$6,IF(OR(COUNTIF('1.연간시수표'!X21,$BF$9),COUNTIF('1.연간시수표'!X21,$BF$7),COUNTIF('1.연간시수표'!X21,$BG$9),COUNTIF('1.연간시수표'!X21,$BG$7),COUNTIF('1.연간시수표'!X21,$BH$9),COUNTIF('1.연간시수표'!X21,$BH$7),COUNTIF('1.연간시수표'!X21,$BI$9),COUNTIF('1.연간시수표'!X21,$BI$7),COUNTIF('1.연간시수표'!X21,$BJ$9),COUNTIF('1.연간시수표'!X21,$BJ$7),COUNTIF('1.연간시수표'!X21,$BK$9),COUNTIF('1.연간시수표'!X21,$BK$7),COUNTIF('1.연간시수표'!X21,$BL$9),COUNTIF('1.연간시수표'!X21,$BL$7),COUNTIF('1.연간시수표'!X21,$BM$9),COUNTIF('1.연간시수표'!X21,$BM$7)),$BF$6,IF(OR(COUNTIF('1.연간시수표'!X21,$BO$9),COUNTIF('1.연간시수표'!X21,$BO$7)),$BO$6,IF(OR(COUNTIF('1.연간시수표'!X21,$BP$9),COUNTIF('1.연간시수표'!X21,$BP$7)),$BP$6,IF(OR(COUNTIF('1.연간시수표'!X21,$BQ$9),COUNTIF('1.연간시수표'!X21,$BQ$7)),$BQ$6,IF(OR(COUNTIF('1.연간시수표'!X21,$BR$9),COUNTIF('1.연간시수표'!X21,$BR$7)),$BR$6,"_")))))))))))))))</f>
        <v>음악</v>
      </c>
      <c r="Y21" s="148" t="str">
        <f>IF(OR(COUNTIF('1.연간시수표'!Y21,$AT$9),COUNTIF('1.연간시수표'!Y21,$AT$7)),$AT$6,IF(OR(COUNTIF('1.연간시수표'!Y21,$AU$9),COUNTIF('1.연간시수표'!Y21,$AU$7)),$AU$6,IF(OR(COUNTIF('1.연간시수표'!Y21,$AV$9),COUNTIF('1.연간시수표'!Y21,$AV$7)),$AV$6,IF(OR(COUNTIF('1.연간시수표'!Y21,$AW$9),COUNTIF('1.연간시수표'!Y21,$AW$7)),$AW$6,IF(OR(COUNTIF('1.연간시수표'!Y21,$AX$9),COUNTIF('1.연간시수표'!Y21,$AX$7)),$AX$6,IF(OR(COUNTIF('1.연간시수표'!Y21,$AY$9),COUNTIF('1.연간시수표'!Y21,$AY$7)),$AY$6,IF(OR(COUNTIF('1.연간시수표'!Y21,$AZ$9),COUNTIF('1.연간시수표'!Y21,$AZ$7)),$AZ$6,IF(OR(COUNTIF('1.연간시수표'!Y21,$BA$9),COUNTIF('1.연간시수표'!Y21,$BA$7)),$BA$6,IF(OR(COUNTIF('1.연간시수표'!Y21,$BB$9),COUNTIF('1.연간시수표'!Y21,$BB$7)),$BB$6,IF(OR(COUNTIF('1.연간시수표'!Y21,$BC$9),COUNTIF('1.연간시수표'!Y21,$BC$7)),$BC$6,IF(OR(COUNTIF('1.연간시수표'!Y21,$BF$9),COUNTIF('1.연간시수표'!Y21,$BF$7),COUNTIF('1.연간시수표'!Y21,$BG$9),COUNTIF('1.연간시수표'!Y21,$BG$7),COUNTIF('1.연간시수표'!Y21,$BH$9),COUNTIF('1.연간시수표'!Y21,$BH$7),COUNTIF('1.연간시수표'!Y21,$BI$9),COUNTIF('1.연간시수표'!Y21,$BI$7),COUNTIF('1.연간시수표'!Y21,$BJ$9),COUNTIF('1.연간시수표'!Y21,$BJ$7),COUNTIF('1.연간시수표'!Y21,$BK$9),COUNTIF('1.연간시수표'!Y21,$BK$7),COUNTIF('1.연간시수표'!Y21,$BL$9),COUNTIF('1.연간시수표'!Y21,$BL$7),COUNTIF('1.연간시수표'!Y21,$BM$9),COUNTIF('1.연간시수표'!Y21,$BM$7)),$BF$6,IF(OR(COUNTIF('1.연간시수표'!Y21,$BO$9),COUNTIF('1.연간시수표'!Y21,$BO$7)),$BO$6,IF(OR(COUNTIF('1.연간시수표'!Y21,$BP$9),COUNTIF('1.연간시수표'!Y21,$BP$7)),$BP$6,IF(OR(COUNTIF('1.연간시수표'!Y21,$BQ$9),COUNTIF('1.연간시수표'!Y21,$BQ$7)),$BQ$6,IF(OR(COUNTIF('1.연간시수표'!Y21,$BR$9),COUNTIF('1.연간시수표'!Y21,$BR$7)),$BR$6,"_")))))))))))))))</f>
        <v>도덕</v>
      </c>
      <c r="Z21" s="148" t="str">
        <f>IF(OR(COUNTIF('1.연간시수표'!Z21,$AT$9),COUNTIF('1.연간시수표'!Z21,$AT$7)),$AT$6,IF(OR(COUNTIF('1.연간시수표'!Z21,$AU$9),COUNTIF('1.연간시수표'!Z21,$AU$7)),$AU$6,IF(OR(COUNTIF('1.연간시수표'!Z21,$AV$9),COUNTIF('1.연간시수표'!Z21,$AV$7)),$AV$6,IF(OR(COUNTIF('1.연간시수표'!Z21,$AW$9),COUNTIF('1.연간시수표'!Z21,$AW$7)),$AW$6,IF(OR(COUNTIF('1.연간시수표'!Z21,$AX$9),COUNTIF('1.연간시수표'!Z21,$AX$7)),$AX$6,IF(OR(COUNTIF('1.연간시수표'!Z21,$AY$9),COUNTIF('1.연간시수표'!Z21,$AY$7)),$AY$6,IF(OR(COUNTIF('1.연간시수표'!Z21,$AZ$9),COUNTIF('1.연간시수표'!Z21,$AZ$7)),$AZ$6,IF(OR(COUNTIF('1.연간시수표'!Z21,$BA$9),COUNTIF('1.연간시수표'!Z21,$BA$7)),$BA$6,IF(OR(COUNTIF('1.연간시수표'!Z21,$BB$9),COUNTIF('1.연간시수표'!Z21,$BB$7)),$BB$6,IF(OR(COUNTIF('1.연간시수표'!Z21,$BC$9),COUNTIF('1.연간시수표'!Z21,$BC$7)),$BC$6,IF(OR(COUNTIF('1.연간시수표'!Z21,$BF$9),COUNTIF('1.연간시수표'!Z21,$BF$7),COUNTIF('1.연간시수표'!Z21,$BG$9),COUNTIF('1.연간시수표'!Z21,$BG$7),COUNTIF('1.연간시수표'!Z21,$BH$9),COUNTIF('1.연간시수표'!Z21,$BH$7),COUNTIF('1.연간시수표'!Z21,$BI$9),COUNTIF('1.연간시수표'!Z21,$BI$7),COUNTIF('1.연간시수표'!Z21,$BJ$9),COUNTIF('1.연간시수표'!Z21,$BJ$7),COUNTIF('1.연간시수표'!Z21,$BK$9),COUNTIF('1.연간시수표'!Z21,$BK$7),COUNTIF('1.연간시수표'!Z21,$BL$9),COUNTIF('1.연간시수표'!Z21,$BL$7),COUNTIF('1.연간시수표'!Z21,$BM$9),COUNTIF('1.연간시수표'!Z21,$BM$7)),$BF$6,IF(OR(COUNTIF('1.연간시수표'!Z21,$BO$9),COUNTIF('1.연간시수표'!Z21,$BO$7)),$BO$6,IF(OR(COUNTIF('1.연간시수표'!Z21,$BP$9),COUNTIF('1.연간시수표'!Z21,$BP$7)),$BP$6,IF(OR(COUNTIF('1.연간시수표'!Z21,$BQ$9),COUNTIF('1.연간시수표'!Z21,$BQ$7)),$BQ$6,IF(OR(COUNTIF('1.연간시수표'!Z21,$BR$9),COUNTIF('1.연간시수표'!Z21,$BR$7)),$BR$6,"_")))))))))))))))</f>
        <v>_</v>
      </c>
      <c r="AA21" s="148" t="str">
        <f>IF(OR(COUNTIF('1.연간시수표'!AA21,$AT$9),COUNTIF('1.연간시수표'!AA21,$AT$7)),$AT$6,IF(OR(COUNTIF('1.연간시수표'!AA21,$AU$9),COUNTIF('1.연간시수표'!AA21,$AU$7)),$AU$6,IF(OR(COUNTIF('1.연간시수표'!AA21,$AV$9),COUNTIF('1.연간시수표'!AA21,$AV$7)),$AV$6,IF(OR(COUNTIF('1.연간시수표'!AA21,$AW$9),COUNTIF('1.연간시수표'!AA21,$AW$7)),$AW$6,IF(OR(COUNTIF('1.연간시수표'!AA21,$AX$9),COUNTIF('1.연간시수표'!AA21,$AX$7)),$AX$6,IF(OR(COUNTIF('1.연간시수표'!AA21,$AY$9),COUNTIF('1.연간시수표'!AA21,$AY$7)),$AY$6,IF(OR(COUNTIF('1.연간시수표'!AA21,$AZ$9),COUNTIF('1.연간시수표'!AA21,$AZ$7)),$AZ$6,IF(OR(COUNTIF('1.연간시수표'!AA21,$BA$9),COUNTIF('1.연간시수표'!AA21,$BA$7)),$BA$6,IF(OR(COUNTIF('1.연간시수표'!AA21,$BB$9),COUNTIF('1.연간시수표'!AA21,$BB$7)),$BB$6,IF(OR(COUNTIF('1.연간시수표'!AA21,$BC$9),COUNTIF('1.연간시수표'!AA21,$BC$7)),$BC$6,IF(OR(COUNTIF('1.연간시수표'!AA21,$BF$9),COUNTIF('1.연간시수표'!AA21,$BF$7),COUNTIF('1.연간시수표'!AA21,$BG$9),COUNTIF('1.연간시수표'!AA21,$BG$7),COUNTIF('1.연간시수표'!AA21,$BH$9),COUNTIF('1.연간시수표'!AA21,$BH$7),COUNTIF('1.연간시수표'!AA21,$BI$9),COUNTIF('1.연간시수표'!AA21,$BI$7),COUNTIF('1.연간시수표'!AA21,$BJ$9),COUNTIF('1.연간시수표'!AA21,$BJ$7),COUNTIF('1.연간시수표'!AA21,$BK$9),COUNTIF('1.연간시수표'!AA21,$BK$7),COUNTIF('1.연간시수표'!AA21,$BL$9),COUNTIF('1.연간시수표'!AA21,$BL$7),COUNTIF('1.연간시수표'!AA21,$BM$9),COUNTIF('1.연간시수표'!AA21,$BM$7)),$BF$6,IF(OR(COUNTIF('1.연간시수표'!AA21,$BO$9),COUNTIF('1.연간시수표'!AA21,$BO$7)),$BO$6,IF(OR(COUNTIF('1.연간시수표'!AA21,$BP$9),COUNTIF('1.연간시수표'!AA21,$BP$7)),$BP$6,IF(OR(COUNTIF('1.연간시수표'!AA21,$BQ$9),COUNTIF('1.연간시수표'!AA21,$BQ$7)),$BQ$6,IF(OR(COUNTIF('1.연간시수표'!AA21,$BR$9),COUNTIF('1.연간시수표'!AA21,$BR$7)),$BR$6,"_")))))))))))))))</f>
        <v>_</v>
      </c>
      <c r="AB21" s="148" t="str">
        <f>IF(OR(COUNTIF('1.연간시수표'!AB21,$AT$9),COUNTIF('1.연간시수표'!AB21,$AT$7)),$AT$6,IF(OR(COUNTIF('1.연간시수표'!AB21,$AU$9),COUNTIF('1.연간시수표'!AB21,$AU$7)),$AU$6,IF(OR(COUNTIF('1.연간시수표'!AB21,$AV$9),COUNTIF('1.연간시수표'!AB21,$AV$7)),$AV$6,IF(OR(COUNTIF('1.연간시수표'!AB21,$AW$9),COUNTIF('1.연간시수표'!AB21,$AW$7)),$AW$6,IF(OR(COUNTIF('1.연간시수표'!AB21,$AX$9),COUNTIF('1.연간시수표'!AB21,$AX$7)),$AX$6,IF(OR(COUNTIF('1.연간시수표'!AB21,$AY$9),COUNTIF('1.연간시수표'!AB21,$AY$7)),$AY$6,IF(OR(COUNTIF('1.연간시수표'!AB21,$AZ$9),COUNTIF('1.연간시수표'!AB21,$AZ$7)),$AZ$6,IF(OR(COUNTIF('1.연간시수표'!AB21,$BA$9),COUNTIF('1.연간시수표'!AB21,$BA$7)),$BA$6,IF(OR(COUNTIF('1.연간시수표'!AB21,$BB$9),COUNTIF('1.연간시수표'!AB21,$BB$7)),$BB$6,IF(OR(COUNTIF('1.연간시수표'!AB21,$BC$9),COUNTIF('1.연간시수표'!AB21,$BC$7)),$BC$6,IF(OR(COUNTIF('1.연간시수표'!AB21,$BF$9),COUNTIF('1.연간시수표'!AB21,$BF$7),COUNTIF('1.연간시수표'!AB21,$BG$9),COUNTIF('1.연간시수표'!AB21,$BG$7),COUNTIF('1.연간시수표'!AB21,$BH$9),COUNTIF('1.연간시수표'!AB21,$BH$7),COUNTIF('1.연간시수표'!AB21,$BI$9),COUNTIF('1.연간시수표'!AB21,$BI$7),COUNTIF('1.연간시수표'!AB21,$BJ$9),COUNTIF('1.연간시수표'!AB21,$BJ$7),COUNTIF('1.연간시수표'!AB21,$BK$9),COUNTIF('1.연간시수표'!AB21,$BK$7),COUNTIF('1.연간시수표'!AB21,$BL$9),COUNTIF('1.연간시수표'!AB21,$BL$7),COUNTIF('1.연간시수표'!AB21,$BM$9),COUNTIF('1.연간시수표'!AB21,$BM$7)),$BF$6,IF(OR(COUNTIF('1.연간시수표'!AB21,$BO$9),COUNTIF('1.연간시수표'!AB21,$BO$7)),$BO$6,IF(OR(COUNTIF('1.연간시수표'!AB21,$BP$9),COUNTIF('1.연간시수표'!AB21,$BP$7)),$BP$6,IF(OR(COUNTIF('1.연간시수표'!AB21,$BQ$9),COUNTIF('1.연간시수표'!AB21,$BQ$7)),$BQ$6,IF(OR(COUNTIF('1.연간시수표'!AB21,$BR$9),COUNTIF('1.연간시수표'!AB21,$BR$7)),$BR$6,"_")))))))))))))))</f>
        <v>_</v>
      </c>
      <c r="AC21" s="148" t="str">
        <f>IF(OR(COUNTIF('1.연간시수표'!AC21,$AT$9),COUNTIF('1.연간시수표'!AC21,$AT$7)),$AT$6,IF(OR(COUNTIF('1.연간시수표'!AC21,$AU$9),COUNTIF('1.연간시수표'!AC21,$AU$7)),$AU$6,IF(OR(COUNTIF('1.연간시수표'!AC21,$AV$9),COUNTIF('1.연간시수표'!AC21,$AV$7)),$AV$6,IF(OR(COUNTIF('1.연간시수표'!AC21,$AW$9),COUNTIF('1.연간시수표'!AC21,$AW$7)),$AW$6,IF(OR(COUNTIF('1.연간시수표'!AC21,$AX$9),COUNTIF('1.연간시수표'!AC21,$AX$7)),$AX$6,IF(OR(COUNTIF('1.연간시수표'!AC21,$AY$9),COUNTIF('1.연간시수표'!AC21,$AY$7)),$AY$6,IF(OR(COUNTIF('1.연간시수표'!AC21,$AZ$9),COUNTIF('1.연간시수표'!AC21,$AZ$7)),$AZ$6,IF(OR(COUNTIF('1.연간시수표'!AC21,$BA$9),COUNTIF('1.연간시수표'!AC21,$BA$7)),$BA$6,IF(OR(COUNTIF('1.연간시수표'!AC21,$BB$9),COUNTIF('1.연간시수표'!AC21,$BB$7)),$BB$6,IF(OR(COUNTIF('1.연간시수표'!AC21,$BC$9),COUNTIF('1.연간시수표'!AC21,$BC$7)),$BC$6,IF(OR(COUNTIF('1.연간시수표'!AC21,$BF$9),COUNTIF('1.연간시수표'!AC21,$BF$7),COUNTIF('1.연간시수표'!AC21,$BG$9),COUNTIF('1.연간시수표'!AC21,$BG$7),COUNTIF('1.연간시수표'!AC21,$BH$9),COUNTIF('1.연간시수표'!AC21,$BH$7),COUNTIF('1.연간시수표'!AC21,$BI$9),COUNTIF('1.연간시수표'!AC21,$BI$7),COUNTIF('1.연간시수표'!AC21,$BJ$9),COUNTIF('1.연간시수표'!AC21,$BJ$7),COUNTIF('1.연간시수표'!AC21,$BK$9),COUNTIF('1.연간시수표'!AC21,$BK$7),COUNTIF('1.연간시수표'!AC21,$BL$9),COUNTIF('1.연간시수표'!AC21,$BL$7),COUNTIF('1.연간시수표'!AC21,$BM$9),COUNTIF('1.연간시수표'!AC21,$BM$7)),$BF$6,IF(OR(COUNTIF('1.연간시수표'!AC21,$BO$9),COUNTIF('1.연간시수표'!AC21,$BO$7)),$BO$6,IF(OR(COUNTIF('1.연간시수표'!AC21,$BP$9),COUNTIF('1.연간시수표'!AC21,$BP$7)),$BP$6,IF(OR(COUNTIF('1.연간시수표'!AC21,$BQ$9),COUNTIF('1.연간시수표'!AC21,$BQ$7)),$BQ$6,IF(OR(COUNTIF('1.연간시수표'!AC21,$BR$9),COUNTIF('1.연간시수표'!AC21,$BR$7)),$BR$6,"_")))))))))))))))</f>
        <v>국어</v>
      </c>
      <c r="AD21" s="148" t="str">
        <f>IF(OR(COUNTIF('1.연간시수표'!AD21,$AT$9),COUNTIF('1.연간시수표'!AD21,$AT$7)),$AT$6,IF(OR(COUNTIF('1.연간시수표'!AD21,$AU$9),COUNTIF('1.연간시수표'!AD21,$AU$7)),$AU$6,IF(OR(COUNTIF('1.연간시수표'!AD21,$AV$9),COUNTIF('1.연간시수표'!AD21,$AV$7)),$AV$6,IF(OR(COUNTIF('1.연간시수표'!AD21,$AW$9),COUNTIF('1.연간시수표'!AD21,$AW$7)),$AW$6,IF(OR(COUNTIF('1.연간시수표'!AD21,$AX$9),COUNTIF('1.연간시수표'!AD21,$AX$7)),$AX$6,IF(OR(COUNTIF('1.연간시수표'!AD21,$AY$9),COUNTIF('1.연간시수표'!AD21,$AY$7)),$AY$6,IF(OR(COUNTIF('1.연간시수표'!AD21,$AZ$9),COUNTIF('1.연간시수표'!AD21,$AZ$7)),$AZ$6,IF(OR(COUNTIF('1.연간시수표'!AD21,$BA$9),COUNTIF('1.연간시수표'!AD21,$BA$7)),$BA$6,IF(OR(COUNTIF('1.연간시수표'!AD21,$BB$9),COUNTIF('1.연간시수표'!AD21,$BB$7)),$BB$6,IF(OR(COUNTIF('1.연간시수표'!AD21,$BC$9),COUNTIF('1.연간시수표'!AD21,$BC$7)),$BC$6,IF(OR(COUNTIF('1.연간시수표'!AD21,$BF$9),COUNTIF('1.연간시수표'!AD21,$BF$7),COUNTIF('1.연간시수표'!AD21,$BG$9),COUNTIF('1.연간시수표'!AD21,$BG$7),COUNTIF('1.연간시수표'!AD21,$BH$9),COUNTIF('1.연간시수표'!AD21,$BH$7),COUNTIF('1.연간시수표'!AD21,$BI$9),COUNTIF('1.연간시수표'!AD21,$BI$7),COUNTIF('1.연간시수표'!AD21,$BJ$9),COUNTIF('1.연간시수표'!AD21,$BJ$7),COUNTIF('1.연간시수표'!AD21,$BK$9),COUNTIF('1.연간시수표'!AD21,$BK$7),COUNTIF('1.연간시수표'!AD21,$BL$9),COUNTIF('1.연간시수표'!AD21,$BL$7),COUNTIF('1.연간시수표'!AD21,$BM$9),COUNTIF('1.연간시수표'!AD21,$BM$7)),$BF$6,IF(OR(COUNTIF('1.연간시수표'!AD21,$BO$9),COUNTIF('1.연간시수표'!AD21,$BO$7)),$BO$6,IF(OR(COUNTIF('1.연간시수표'!AD21,$BP$9),COUNTIF('1.연간시수표'!AD21,$BP$7)),$BP$6,IF(OR(COUNTIF('1.연간시수표'!AD21,$BQ$9),COUNTIF('1.연간시수표'!AD21,$BQ$7)),$BQ$6,IF(OR(COUNTIF('1.연간시수표'!AD21,$BR$9),COUNTIF('1.연간시수표'!AD21,$BR$7)),$BR$6,"_")))))))))))))))</f>
        <v>수학</v>
      </c>
      <c r="AE21" s="148" t="str">
        <f>IF(OR(COUNTIF('1.연간시수표'!AE21,$AT$9),COUNTIF('1.연간시수표'!AE21,$AT$7)),$AT$6,IF(OR(COUNTIF('1.연간시수표'!AE21,$AU$9),COUNTIF('1.연간시수표'!AE21,$AU$7)),$AU$6,IF(OR(COUNTIF('1.연간시수표'!AE21,$AV$9),COUNTIF('1.연간시수표'!AE21,$AV$7)),$AV$6,IF(OR(COUNTIF('1.연간시수표'!AE21,$AW$9),COUNTIF('1.연간시수표'!AE21,$AW$7)),$AW$6,IF(OR(COUNTIF('1.연간시수표'!AE21,$AX$9),COUNTIF('1.연간시수표'!AE21,$AX$7)),$AX$6,IF(OR(COUNTIF('1.연간시수표'!AE21,$AY$9),COUNTIF('1.연간시수표'!AE21,$AY$7)),$AY$6,IF(OR(COUNTIF('1.연간시수표'!AE21,$AZ$9),COUNTIF('1.연간시수표'!AE21,$AZ$7)),$AZ$6,IF(OR(COUNTIF('1.연간시수표'!AE21,$BA$9),COUNTIF('1.연간시수표'!AE21,$BA$7)),$BA$6,IF(OR(COUNTIF('1.연간시수표'!AE21,$BB$9),COUNTIF('1.연간시수표'!AE21,$BB$7)),$BB$6,IF(OR(COUNTIF('1.연간시수표'!AE21,$BC$9),COUNTIF('1.연간시수표'!AE21,$BC$7)),$BC$6,IF(OR(COUNTIF('1.연간시수표'!AE21,$BF$9),COUNTIF('1.연간시수표'!AE21,$BF$7),COUNTIF('1.연간시수표'!AE21,$BG$9),COUNTIF('1.연간시수표'!AE21,$BG$7),COUNTIF('1.연간시수표'!AE21,$BH$9),COUNTIF('1.연간시수표'!AE21,$BH$7),COUNTIF('1.연간시수표'!AE21,$BI$9),COUNTIF('1.연간시수표'!AE21,$BI$7),COUNTIF('1.연간시수표'!AE21,$BJ$9),COUNTIF('1.연간시수표'!AE21,$BJ$7),COUNTIF('1.연간시수표'!AE21,$BK$9),COUNTIF('1.연간시수표'!AE21,$BK$7),COUNTIF('1.연간시수표'!AE21,$BL$9),COUNTIF('1.연간시수표'!AE21,$BL$7),COUNTIF('1.연간시수표'!AE21,$BM$9),COUNTIF('1.연간시수표'!AE21,$BM$7)),$BF$6,IF(OR(COUNTIF('1.연간시수표'!AE21,$BO$9),COUNTIF('1.연간시수표'!AE21,$BO$7)),$BO$6,IF(OR(COUNTIF('1.연간시수표'!AE21,$BP$9),COUNTIF('1.연간시수표'!AE21,$BP$7)),$BP$6,IF(OR(COUNTIF('1.연간시수표'!AE21,$BQ$9),COUNTIF('1.연간시수표'!AE21,$BQ$7)),$BQ$6,IF(OR(COUNTIF('1.연간시수표'!AE21,$BR$9),COUNTIF('1.연간시수표'!AE21,$BR$7)),$BR$6,"_")))))))))))))))</f>
        <v>사회</v>
      </c>
      <c r="AF21" s="148" t="str">
        <f>IF(OR(COUNTIF('1.연간시수표'!AF21,$AT$9),COUNTIF('1.연간시수표'!AF21,$AT$7)),$AT$6,IF(OR(COUNTIF('1.연간시수표'!AF21,$AU$9),COUNTIF('1.연간시수표'!AF21,$AU$7)),$AU$6,IF(OR(COUNTIF('1.연간시수표'!AF21,$AV$9),COUNTIF('1.연간시수표'!AF21,$AV$7)),$AV$6,IF(OR(COUNTIF('1.연간시수표'!AF21,$AW$9),COUNTIF('1.연간시수표'!AF21,$AW$7)),$AW$6,IF(OR(COUNTIF('1.연간시수표'!AF21,$AX$9),COUNTIF('1.연간시수표'!AF21,$AX$7)),$AX$6,IF(OR(COUNTIF('1.연간시수표'!AF21,$AY$9),COUNTIF('1.연간시수표'!AF21,$AY$7)),$AY$6,IF(OR(COUNTIF('1.연간시수표'!AF21,$AZ$9),COUNTIF('1.연간시수표'!AF21,$AZ$7)),$AZ$6,IF(OR(COUNTIF('1.연간시수표'!AF21,$BA$9),COUNTIF('1.연간시수표'!AF21,$BA$7)),$BA$6,IF(OR(COUNTIF('1.연간시수표'!AF21,$BB$9),COUNTIF('1.연간시수표'!AF21,$BB$7)),$BB$6,IF(OR(COUNTIF('1.연간시수표'!AF21,$BC$9),COUNTIF('1.연간시수표'!AF21,$BC$7)),$BC$6,IF(OR(COUNTIF('1.연간시수표'!AF21,$BF$9),COUNTIF('1.연간시수표'!AF21,$BF$7),COUNTIF('1.연간시수표'!AF21,$BG$9),COUNTIF('1.연간시수표'!AF21,$BG$7),COUNTIF('1.연간시수표'!AF21,$BH$9),COUNTIF('1.연간시수표'!AF21,$BH$7),COUNTIF('1.연간시수표'!AF21,$BI$9),COUNTIF('1.연간시수표'!AF21,$BI$7),COUNTIF('1.연간시수표'!AF21,$BJ$9),COUNTIF('1.연간시수표'!AF21,$BJ$7),COUNTIF('1.연간시수표'!AF21,$BK$9),COUNTIF('1.연간시수표'!AF21,$BK$7),COUNTIF('1.연간시수표'!AF21,$BL$9),COUNTIF('1.연간시수표'!AF21,$BL$7),COUNTIF('1.연간시수표'!AF21,$BM$9),COUNTIF('1.연간시수표'!AF21,$BM$7)),$BF$6,IF(OR(COUNTIF('1.연간시수표'!AF21,$BO$9),COUNTIF('1.연간시수표'!AF21,$BO$7)),$BO$6,IF(OR(COUNTIF('1.연간시수표'!AF21,$BP$9),COUNTIF('1.연간시수표'!AF21,$BP$7)),$BP$6,IF(OR(COUNTIF('1.연간시수표'!AF21,$BQ$9),COUNTIF('1.연간시수표'!AF21,$BQ$7)),$BQ$6,IF(OR(COUNTIF('1.연간시수표'!AF21,$BR$9),COUNTIF('1.연간시수표'!AF21,$BR$7)),$BR$6,"_")))))))))))))))</f>
        <v>영어</v>
      </c>
      <c r="AG21" s="148" t="str">
        <f>IF(OR(COUNTIF('1.연간시수표'!AG21,$AT$9),COUNTIF('1.연간시수표'!AG21,$AT$7)),$AT$6,IF(OR(COUNTIF('1.연간시수표'!AG21,$AU$9),COUNTIF('1.연간시수표'!AG21,$AU$7)),$AU$6,IF(OR(COUNTIF('1.연간시수표'!AG21,$AV$9),COUNTIF('1.연간시수표'!AG21,$AV$7)),$AV$6,IF(OR(COUNTIF('1.연간시수표'!AG21,$AW$9),COUNTIF('1.연간시수표'!AG21,$AW$7)),$AW$6,IF(OR(COUNTIF('1.연간시수표'!AG21,$AX$9),COUNTIF('1.연간시수표'!AG21,$AX$7)),$AX$6,IF(OR(COUNTIF('1.연간시수표'!AG21,$AY$9),COUNTIF('1.연간시수표'!AG21,$AY$7)),$AY$6,IF(OR(COUNTIF('1.연간시수표'!AG21,$AZ$9),COUNTIF('1.연간시수표'!AG21,$AZ$7)),$AZ$6,IF(OR(COUNTIF('1.연간시수표'!AG21,$BA$9),COUNTIF('1.연간시수표'!AG21,$BA$7)),$BA$6,IF(OR(COUNTIF('1.연간시수표'!AG21,$BB$9),COUNTIF('1.연간시수표'!AG21,$BB$7)),$BB$6,IF(OR(COUNTIF('1.연간시수표'!AG21,$BC$9),COUNTIF('1.연간시수표'!AG21,$BC$7)),$BC$6,IF(OR(COUNTIF('1.연간시수표'!AG21,$BF$9),COUNTIF('1.연간시수표'!AG21,$BF$7),COUNTIF('1.연간시수표'!AG21,$BG$9),COUNTIF('1.연간시수표'!AG21,$BG$7),COUNTIF('1.연간시수표'!AG21,$BH$9),COUNTIF('1.연간시수표'!AG21,$BH$7),COUNTIF('1.연간시수표'!AG21,$BI$9),COUNTIF('1.연간시수표'!AG21,$BI$7),COUNTIF('1.연간시수표'!AG21,$BJ$9),COUNTIF('1.연간시수표'!AG21,$BJ$7),COUNTIF('1.연간시수표'!AG21,$BK$9),COUNTIF('1.연간시수표'!AG21,$BK$7),COUNTIF('1.연간시수표'!AG21,$BL$9),COUNTIF('1.연간시수표'!AG21,$BL$7),COUNTIF('1.연간시수표'!AG21,$BM$9),COUNTIF('1.연간시수표'!AG21,$BM$7)),$BF$6,IF(OR(COUNTIF('1.연간시수표'!AG21,$BO$9),COUNTIF('1.연간시수표'!AG21,$BO$7)),$BO$6,IF(OR(COUNTIF('1.연간시수표'!AG21,$BP$9),COUNTIF('1.연간시수표'!AG21,$BP$7)),$BP$6,IF(OR(COUNTIF('1.연간시수표'!AG21,$BQ$9),COUNTIF('1.연간시수표'!AG21,$BQ$7)),$BQ$6,IF(OR(COUNTIF('1.연간시수표'!AG21,$BR$9),COUNTIF('1.연간시수표'!AG21,$BR$7)),$BR$6,"_")))))))))))))))</f>
        <v>동아리활동</v>
      </c>
      <c r="AH21" s="148" t="str">
        <f>IF(OR(COUNTIF('1.연간시수표'!AH21,$AT$9),COUNTIF('1.연간시수표'!AH21,$AT$7)),$AT$6,IF(OR(COUNTIF('1.연간시수표'!AH21,$AU$9),COUNTIF('1.연간시수표'!AH21,$AU$7)),$AU$6,IF(OR(COUNTIF('1.연간시수표'!AH21,$AV$9),COUNTIF('1.연간시수표'!AH21,$AV$7)),$AV$6,IF(OR(COUNTIF('1.연간시수표'!AH21,$AW$9),COUNTIF('1.연간시수표'!AH21,$AW$7)),$AW$6,IF(OR(COUNTIF('1.연간시수표'!AH21,$AX$9),COUNTIF('1.연간시수표'!AH21,$AX$7)),$AX$6,IF(OR(COUNTIF('1.연간시수표'!AH21,$AY$9),COUNTIF('1.연간시수표'!AH21,$AY$7)),$AY$6,IF(OR(COUNTIF('1.연간시수표'!AH21,$AZ$9),COUNTIF('1.연간시수표'!AH21,$AZ$7)),$AZ$6,IF(OR(COUNTIF('1.연간시수표'!AH21,$BA$9),COUNTIF('1.연간시수표'!AH21,$BA$7)),$BA$6,IF(OR(COUNTIF('1.연간시수표'!AH21,$BB$9),COUNTIF('1.연간시수표'!AH21,$BB$7)),$BB$6,IF(OR(COUNTIF('1.연간시수표'!AH21,$BC$9),COUNTIF('1.연간시수표'!AH21,$BC$7)),$BC$6,IF(OR(COUNTIF('1.연간시수표'!AH21,$BF$9),COUNTIF('1.연간시수표'!AH21,$BF$7),COUNTIF('1.연간시수표'!AH21,$BG$9),COUNTIF('1.연간시수표'!AH21,$BG$7),COUNTIF('1.연간시수표'!AH21,$BH$9),COUNTIF('1.연간시수표'!AH21,$BH$7),COUNTIF('1.연간시수표'!AH21,$BI$9),COUNTIF('1.연간시수표'!AH21,$BI$7),COUNTIF('1.연간시수표'!AH21,$BJ$9),COUNTIF('1.연간시수표'!AH21,$BJ$7),COUNTIF('1.연간시수표'!AH21,$BK$9),COUNTIF('1.연간시수표'!AH21,$BK$7),COUNTIF('1.연간시수표'!AH21,$BL$9),COUNTIF('1.연간시수표'!AH21,$BL$7),COUNTIF('1.연간시수표'!AH21,$BM$9),COUNTIF('1.연간시수표'!AH21,$BM$7)),$BF$6,IF(OR(COUNTIF('1.연간시수표'!AH21,$BO$9),COUNTIF('1.연간시수표'!AH21,$BO$7)),$BO$6,IF(OR(COUNTIF('1.연간시수표'!AH21,$BP$9),COUNTIF('1.연간시수표'!AH21,$BP$7)),$BP$6,IF(OR(COUNTIF('1.연간시수표'!AH21,$BQ$9),COUNTIF('1.연간시수표'!AH21,$BQ$7)),$BQ$6,IF(OR(COUNTIF('1.연간시수표'!AH21,$BR$9),COUNTIF('1.연간시수표'!AH21,$BR$7)),$BR$6,"_")))))))))))))))</f>
        <v>동아리활동</v>
      </c>
      <c r="AI21" s="148" t="str">
        <f>IF(OR(COUNTIF('1.연간시수표'!AI21,$AT$9),COUNTIF('1.연간시수표'!AI21,$AT$7)),$AT$6,IF(OR(COUNTIF('1.연간시수표'!AI21,$AU$9),COUNTIF('1.연간시수표'!AI21,$AU$7)),$AU$6,IF(OR(COUNTIF('1.연간시수표'!AI21,$AV$9),COUNTIF('1.연간시수표'!AI21,$AV$7)),$AV$6,IF(OR(COUNTIF('1.연간시수표'!AI21,$AW$9),COUNTIF('1.연간시수표'!AI21,$AW$7)),$AW$6,IF(OR(COUNTIF('1.연간시수표'!AI21,$AX$9),COUNTIF('1.연간시수표'!AI21,$AX$7)),$AX$6,IF(OR(COUNTIF('1.연간시수표'!AI21,$AY$9),COUNTIF('1.연간시수표'!AI21,$AY$7)),$AY$6,IF(OR(COUNTIF('1.연간시수표'!AI21,$AZ$9),COUNTIF('1.연간시수표'!AI21,$AZ$7)),$AZ$6,IF(OR(COUNTIF('1.연간시수표'!AI21,$BA$9),COUNTIF('1.연간시수표'!AI21,$BA$7)),$BA$6,IF(OR(COUNTIF('1.연간시수표'!AI21,$BB$9),COUNTIF('1.연간시수표'!AI21,$BB$7)),$BB$6,IF(OR(COUNTIF('1.연간시수표'!AI21,$BC$9),COUNTIF('1.연간시수표'!AI21,$BC$7)),$BC$6,IF(OR(COUNTIF('1.연간시수표'!AI21,$BF$9),COUNTIF('1.연간시수표'!AI21,$BF$7),COUNTIF('1.연간시수표'!AI21,$BG$9),COUNTIF('1.연간시수표'!AI21,$BG$7),COUNTIF('1.연간시수표'!AI21,$BH$9),COUNTIF('1.연간시수표'!AI21,$BH$7),COUNTIF('1.연간시수표'!AI21,$BI$9),COUNTIF('1.연간시수표'!AI21,$BI$7),COUNTIF('1.연간시수표'!AI21,$BJ$9),COUNTIF('1.연간시수표'!AI21,$BJ$7),COUNTIF('1.연간시수표'!AI21,$BK$9),COUNTIF('1.연간시수표'!AI21,$BK$7),COUNTIF('1.연간시수표'!AI21,$BL$9),COUNTIF('1.연간시수표'!AI21,$BL$7),COUNTIF('1.연간시수표'!AI21,$BM$9),COUNTIF('1.연간시수표'!AI21,$BM$7)),$BF$6,IF(OR(COUNTIF('1.연간시수표'!AI21,$BO$9),COUNTIF('1.연간시수표'!AI21,$BO$7)),$BO$6,IF(OR(COUNTIF('1.연간시수표'!AI21,$BP$9),COUNTIF('1.연간시수표'!AI21,$BP$7)),$BP$6,IF(OR(COUNTIF('1.연간시수표'!AI21,$BQ$9),COUNTIF('1.연간시수표'!AI21,$BQ$7)),$BQ$6,IF(OR(COUNTIF('1.연간시수표'!AI21,$BR$9),COUNTIF('1.연간시수표'!AI21,$BR$7)),$BR$6,"_")))))))))))))))</f>
        <v>_</v>
      </c>
      <c r="AJ21" s="148" t="str">
        <f>IF(OR(COUNTIF('1.연간시수표'!AJ21,$AT$9),COUNTIF('1.연간시수표'!AJ21,$AT$7)),$AT$6,IF(OR(COUNTIF('1.연간시수표'!AJ21,$AU$9),COUNTIF('1.연간시수표'!AJ21,$AU$7)),$AU$6,IF(OR(COUNTIF('1.연간시수표'!AJ21,$AV$9),COUNTIF('1.연간시수표'!AJ21,$AV$7)),$AV$6,IF(OR(COUNTIF('1.연간시수표'!AJ21,$AW$9),COUNTIF('1.연간시수표'!AJ21,$AW$7)),$AW$6,IF(OR(COUNTIF('1.연간시수표'!AJ21,$AX$9),COUNTIF('1.연간시수표'!AJ21,$AX$7)),$AX$6,IF(OR(COUNTIF('1.연간시수표'!AJ21,$AY$9),COUNTIF('1.연간시수표'!AJ21,$AY$7)),$AY$6,IF(OR(COUNTIF('1.연간시수표'!AJ21,$AZ$9),COUNTIF('1.연간시수표'!AJ21,$AZ$7)),$AZ$6,IF(OR(COUNTIF('1.연간시수표'!AJ21,$BA$9),COUNTIF('1.연간시수표'!AJ21,$BA$7)),$BA$6,IF(OR(COUNTIF('1.연간시수표'!AJ21,$BB$9),COUNTIF('1.연간시수표'!AJ21,$BB$7)),$BB$6,IF(OR(COUNTIF('1.연간시수표'!AJ21,$BC$9),COUNTIF('1.연간시수표'!AJ21,$BC$7)),$BC$6,IF(OR(COUNTIF('1.연간시수표'!AJ21,$BF$9),COUNTIF('1.연간시수표'!AJ21,$BF$7),COUNTIF('1.연간시수표'!AJ21,$BG$9),COUNTIF('1.연간시수표'!AJ21,$BG$7),COUNTIF('1.연간시수표'!AJ21,$BH$9),COUNTIF('1.연간시수표'!AJ21,$BH$7),COUNTIF('1.연간시수표'!AJ21,$BI$9),COUNTIF('1.연간시수표'!AJ21,$BI$7),COUNTIF('1.연간시수표'!AJ21,$BJ$9),COUNTIF('1.연간시수표'!AJ21,$BJ$7),COUNTIF('1.연간시수표'!AJ21,$BK$9),COUNTIF('1.연간시수표'!AJ21,$BK$7),COUNTIF('1.연간시수표'!AJ21,$BL$9),COUNTIF('1.연간시수표'!AJ21,$BL$7),COUNTIF('1.연간시수표'!AJ21,$BM$9),COUNTIF('1.연간시수표'!AJ21,$BM$7)),$BF$6,IF(OR(COUNTIF('1.연간시수표'!AJ21,$BO$9),COUNTIF('1.연간시수표'!AJ21,$BO$7)),$BO$6,IF(OR(COUNTIF('1.연간시수표'!AJ21,$BP$9),COUNTIF('1.연간시수표'!AJ21,$BP$7)),$BP$6,IF(OR(COUNTIF('1.연간시수표'!AJ21,$BQ$9),COUNTIF('1.연간시수표'!AJ21,$BQ$7)),$BQ$6,IF(OR(COUNTIF('1.연간시수표'!AJ21,$BR$9),COUNTIF('1.연간시수표'!AJ21,$BR$7)),$BR$6,"_")))))))))))))))</f>
        <v>_</v>
      </c>
      <c r="AK21" s="148" t="str">
        <f>IF(OR(COUNTIF('1.연간시수표'!AK21,$AT$9),COUNTIF('1.연간시수표'!AK21,$AT$7)),$AT$6,IF(OR(COUNTIF('1.연간시수표'!AK21,$AU$9),COUNTIF('1.연간시수표'!AK21,$AU$7)),$AU$6,IF(OR(COUNTIF('1.연간시수표'!AK21,$AV$9),COUNTIF('1.연간시수표'!AK21,$AV$7)),$AV$6,IF(OR(COUNTIF('1.연간시수표'!AK21,$AW$9),COUNTIF('1.연간시수표'!AK21,$AW$7)),$AW$6,IF(OR(COUNTIF('1.연간시수표'!AK21,$AX$9),COUNTIF('1.연간시수표'!AK21,$AX$7)),$AX$6,IF(OR(COUNTIF('1.연간시수표'!AK21,$AY$9),COUNTIF('1.연간시수표'!AK21,$AY$7)),$AY$6,IF(OR(COUNTIF('1.연간시수표'!AK21,$AZ$9),COUNTIF('1.연간시수표'!AK21,$AZ$7)),$AZ$6,IF(OR(COUNTIF('1.연간시수표'!AK21,$BA$9),COUNTIF('1.연간시수표'!AK21,$BA$7)),$BA$6,IF(OR(COUNTIF('1.연간시수표'!AK21,$BB$9),COUNTIF('1.연간시수표'!AK21,$BB$7)),$BB$6,IF(OR(COUNTIF('1.연간시수표'!AK21,$BC$9),COUNTIF('1.연간시수표'!AK21,$BC$7)),$BC$6,IF(OR(COUNTIF('1.연간시수표'!AK21,$BF$9),COUNTIF('1.연간시수표'!AK21,$BF$7),COUNTIF('1.연간시수표'!AK21,$BG$9),COUNTIF('1.연간시수표'!AK21,$BG$7),COUNTIF('1.연간시수표'!AK21,$BH$9),COUNTIF('1.연간시수표'!AK21,$BH$7),COUNTIF('1.연간시수표'!AK21,$BI$9),COUNTIF('1.연간시수표'!AK21,$BI$7),COUNTIF('1.연간시수표'!AK21,$BJ$9),COUNTIF('1.연간시수표'!AK21,$BJ$7),COUNTIF('1.연간시수표'!AK21,$BK$9),COUNTIF('1.연간시수표'!AK21,$BK$7),COUNTIF('1.연간시수표'!AK21,$BL$9),COUNTIF('1.연간시수표'!AK21,$BL$7),COUNTIF('1.연간시수표'!AK21,$BM$9),COUNTIF('1.연간시수표'!AK21,$BM$7)),$BF$6,IF(OR(COUNTIF('1.연간시수표'!AK21,$BO$9),COUNTIF('1.연간시수표'!AK21,$BO$7)),$BO$6,IF(OR(COUNTIF('1.연간시수표'!AK21,$BP$9),COUNTIF('1.연간시수표'!AK21,$BP$7)),$BP$6,IF(OR(COUNTIF('1.연간시수표'!AK21,$BQ$9),COUNTIF('1.연간시수표'!AK21,$BQ$7)),$BQ$6,IF(OR(COUNTIF('1.연간시수표'!AK21,$BR$9),COUNTIF('1.연간시수표'!AK21,$BR$7)),$BR$6,"_")))))))))))))))</f>
        <v>국어</v>
      </c>
      <c r="AL21" s="148" t="str">
        <f>IF(OR(COUNTIF('1.연간시수표'!AL21,$AT$9),COUNTIF('1.연간시수표'!AL21,$AT$7)),$AT$6,IF(OR(COUNTIF('1.연간시수표'!AL21,$AU$9),COUNTIF('1.연간시수표'!AL21,$AU$7)),$AU$6,IF(OR(COUNTIF('1.연간시수표'!AL21,$AV$9),COUNTIF('1.연간시수표'!AL21,$AV$7)),$AV$6,IF(OR(COUNTIF('1.연간시수표'!AL21,$AW$9),COUNTIF('1.연간시수표'!AL21,$AW$7)),$AW$6,IF(OR(COUNTIF('1.연간시수표'!AL21,$AX$9),COUNTIF('1.연간시수표'!AL21,$AX$7)),$AX$6,IF(OR(COUNTIF('1.연간시수표'!AL21,$AY$9),COUNTIF('1.연간시수표'!AL21,$AY$7)),$AY$6,IF(OR(COUNTIF('1.연간시수표'!AL21,$AZ$9),COUNTIF('1.연간시수표'!AL21,$AZ$7)),$AZ$6,IF(OR(COUNTIF('1.연간시수표'!AL21,$BA$9),COUNTIF('1.연간시수표'!AL21,$BA$7)),$BA$6,IF(OR(COUNTIF('1.연간시수표'!AL21,$BB$9),COUNTIF('1.연간시수표'!AL21,$BB$7)),$BB$6,IF(OR(COUNTIF('1.연간시수표'!AL21,$BC$9),COUNTIF('1.연간시수표'!AL21,$BC$7)),$BC$6,IF(OR(COUNTIF('1.연간시수표'!AL21,$BF$9),COUNTIF('1.연간시수표'!AL21,$BF$7),COUNTIF('1.연간시수표'!AL21,$BG$9),COUNTIF('1.연간시수표'!AL21,$BG$7),COUNTIF('1.연간시수표'!AL21,$BH$9),COUNTIF('1.연간시수표'!AL21,$BH$7),COUNTIF('1.연간시수표'!AL21,$BI$9),COUNTIF('1.연간시수표'!AL21,$BI$7),COUNTIF('1.연간시수표'!AL21,$BJ$9),COUNTIF('1.연간시수표'!AL21,$BJ$7),COUNTIF('1.연간시수표'!AL21,$BK$9),COUNTIF('1.연간시수표'!AL21,$BK$7),COUNTIF('1.연간시수표'!AL21,$BL$9),COUNTIF('1.연간시수표'!AL21,$BL$7),COUNTIF('1.연간시수표'!AL21,$BM$9),COUNTIF('1.연간시수표'!AL21,$BM$7)),$BF$6,IF(OR(COUNTIF('1.연간시수표'!AL21,$BO$9),COUNTIF('1.연간시수표'!AL21,$BO$7)),$BO$6,IF(OR(COUNTIF('1.연간시수표'!AL21,$BP$9),COUNTIF('1.연간시수표'!AL21,$BP$7)),$BP$6,IF(OR(COUNTIF('1.연간시수표'!AL21,$BQ$9),COUNTIF('1.연간시수표'!AL21,$BQ$7)),$BQ$6,IF(OR(COUNTIF('1.연간시수표'!AL21,$BR$9),COUNTIF('1.연간시수표'!AL21,$BR$7)),$BR$6,"_")))))))))))))))</f>
        <v>체육</v>
      </c>
      <c r="AM21" s="148" t="str">
        <f>IF(OR(COUNTIF('1.연간시수표'!AM21,$AT$9),COUNTIF('1.연간시수표'!AM21,$AT$7)),$AT$6,IF(OR(COUNTIF('1.연간시수표'!AM21,$AU$9),COUNTIF('1.연간시수표'!AM21,$AU$7)),$AU$6,IF(OR(COUNTIF('1.연간시수표'!AM21,$AV$9),COUNTIF('1.연간시수표'!AM21,$AV$7)),$AV$6,IF(OR(COUNTIF('1.연간시수표'!AM21,$AW$9),COUNTIF('1.연간시수표'!AM21,$AW$7)),$AW$6,IF(OR(COUNTIF('1.연간시수표'!AM21,$AX$9),COUNTIF('1.연간시수표'!AM21,$AX$7)),$AX$6,IF(OR(COUNTIF('1.연간시수표'!AM21,$AY$9),COUNTIF('1.연간시수표'!AM21,$AY$7)),$AY$6,IF(OR(COUNTIF('1.연간시수표'!AM21,$AZ$9),COUNTIF('1.연간시수표'!AM21,$AZ$7)),$AZ$6,IF(OR(COUNTIF('1.연간시수표'!AM21,$BA$9),COUNTIF('1.연간시수표'!AM21,$BA$7)),$BA$6,IF(OR(COUNTIF('1.연간시수표'!AM21,$BB$9),COUNTIF('1.연간시수표'!AM21,$BB$7)),$BB$6,IF(OR(COUNTIF('1.연간시수표'!AM21,$BC$9),COUNTIF('1.연간시수표'!AM21,$BC$7)),$BC$6,IF(OR(COUNTIF('1.연간시수표'!AM21,$BF$9),COUNTIF('1.연간시수표'!AM21,$BF$7),COUNTIF('1.연간시수표'!AM21,$BG$9),COUNTIF('1.연간시수표'!AM21,$BG$7),COUNTIF('1.연간시수표'!AM21,$BH$9),COUNTIF('1.연간시수표'!AM21,$BH$7),COUNTIF('1.연간시수표'!AM21,$BI$9),COUNTIF('1.연간시수표'!AM21,$BI$7),COUNTIF('1.연간시수표'!AM21,$BJ$9),COUNTIF('1.연간시수표'!AM21,$BJ$7),COUNTIF('1.연간시수표'!AM21,$BK$9),COUNTIF('1.연간시수표'!AM21,$BK$7),COUNTIF('1.연간시수표'!AM21,$BL$9),COUNTIF('1.연간시수표'!AM21,$BL$7),COUNTIF('1.연간시수표'!AM21,$BM$9),COUNTIF('1.연간시수표'!AM21,$BM$7)),$BF$6,IF(OR(COUNTIF('1.연간시수표'!AM21,$BO$9),COUNTIF('1.연간시수표'!AM21,$BO$7)),$BO$6,IF(OR(COUNTIF('1.연간시수표'!AM21,$BP$9),COUNTIF('1.연간시수표'!AM21,$BP$7)),$BP$6,IF(OR(COUNTIF('1.연간시수표'!AM21,$BQ$9),COUNTIF('1.연간시수표'!AM21,$BQ$7)),$BQ$6,IF(OR(COUNTIF('1.연간시수표'!AM21,$BR$9),COUNTIF('1.연간시수표'!AM21,$BR$7)),$BR$6,"_")))))))))))))))</f>
        <v>수학</v>
      </c>
      <c r="AN21" s="148" t="str">
        <f>IF(OR(COUNTIF('1.연간시수표'!AN21,$AT$9),COUNTIF('1.연간시수표'!AN21,$AT$7)),$AT$6,IF(OR(COUNTIF('1.연간시수표'!AN21,$AU$9),COUNTIF('1.연간시수표'!AN21,$AU$7)),$AU$6,IF(OR(COUNTIF('1.연간시수표'!AN21,$AV$9),COUNTIF('1.연간시수표'!AN21,$AV$7)),$AV$6,IF(OR(COUNTIF('1.연간시수표'!AN21,$AW$9),COUNTIF('1.연간시수표'!AN21,$AW$7)),$AW$6,IF(OR(COUNTIF('1.연간시수표'!AN21,$AX$9),COUNTIF('1.연간시수표'!AN21,$AX$7)),$AX$6,IF(OR(COUNTIF('1.연간시수표'!AN21,$AY$9),COUNTIF('1.연간시수표'!AN21,$AY$7)),$AY$6,IF(OR(COUNTIF('1.연간시수표'!AN21,$AZ$9),COUNTIF('1.연간시수표'!AN21,$AZ$7)),$AZ$6,IF(OR(COUNTIF('1.연간시수표'!AN21,$BA$9),COUNTIF('1.연간시수표'!AN21,$BA$7)),$BA$6,IF(OR(COUNTIF('1.연간시수표'!AN21,$BB$9),COUNTIF('1.연간시수표'!AN21,$BB$7)),$BB$6,IF(OR(COUNTIF('1.연간시수표'!AN21,$BC$9),COUNTIF('1.연간시수표'!AN21,$BC$7)),$BC$6,IF(OR(COUNTIF('1.연간시수표'!AN21,$BF$9),COUNTIF('1.연간시수표'!AN21,$BF$7),COUNTIF('1.연간시수표'!AN21,$BG$9),COUNTIF('1.연간시수표'!AN21,$BG$7),COUNTIF('1.연간시수표'!AN21,$BH$9),COUNTIF('1.연간시수표'!AN21,$BH$7),COUNTIF('1.연간시수표'!AN21,$BI$9),COUNTIF('1.연간시수표'!AN21,$BI$7),COUNTIF('1.연간시수표'!AN21,$BJ$9),COUNTIF('1.연간시수표'!AN21,$BJ$7),COUNTIF('1.연간시수표'!AN21,$BK$9),COUNTIF('1.연간시수표'!AN21,$BK$7),COUNTIF('1.연간시수표'!AN21,$BL$9),COUNTIF('1.연간시수표'!AN21,$BL$7),COUNTIF('1.연간시수표'!AN21,$BM$9),COUNTIF('1.연간시수표'!AN21,$BM$7)),$BF$6,IF(OR(COUNTIF('1.연간시수표'!AN21,$BO$9),COUNTIF('1.연간시수표'!AN21,$BO$7)),$BO$6,IF(OR(COUNTIF('1.연간시수표'!AN21,$BP$9),COUNTIF('1.연간시수표'!AN21,$BP$7)),$BP$6,IF(OR(COUNTIF('1.연간시수표'!AN21,$BQ$9),COUNTIF('1.연간시수표'!AN21,$BQ$7)),$BQ$6,IF(OR(COUNTIF('1.연간시수표'!AN21,$BR$9),COUNTIF('1.연간시수표'!AN21,$BR$7)),$BR$6,"_")))))))))))))))</f>
        <v>국어</v>
      </c>
      <c r="AO21" s="148" t="str">
        <f>IF(OR(COUNTIF('1.연간시수표'!AO21,$AT$9),COUNTIF('1.연간시수표'!AO21,$AT$7)),$AT$6,IF(OR(COUNTIF('1.연간시수표'!AO21,$AU$9),COUNTIF('1.연간시수표'!AO21,$AU$7)),$AU$6,IF(OR(COUNTIF('1.연간시수표'!AO21,$AV$9),COUNTIF('1.연간시수표'!AO21,$AV$7)),$AV$6,IF(OR(COUNTIF('1.연간시수표'!AO21,$AW$9),COUNTIF('1.연간시수표'!AO21,$AW$7)),$AW$6,IF(OR(COUNTIF('1.연간시수표'!AO21,$AX$9),COUNTIF('1.연간시수표'!AO21,$AX$7)),$AX$6,IF(OR(COUNTIF('1.연간시수표'!AO21,$AY$9),COUNTIF('1.연간시수표'!AO21,$AY$7)),$AY$6,IF(OR(COUNTIF('1.연간시수표'!AO21,$AZ$9),COUNTIF('1.연간시수표'!AO21,$AZ$7)),$AZ$6,IF(OR(COUNTIF('1.연간시수표'!AO21,$BA$9),COUNTIF('1.연간시수표'!AO21,$BA$7)),$BA$6,IF(OR(COUNTIF('1.연간시수표'!AO21,$BB$9),COUNTIF('1.연간시수표'!AO21,$BB$7)),$BB$6,IF(OR(COUNTIF('1.연간시수표'!AO21,$BC$9),COUNTIF('1.연간시수표'!AO21,$BC$7)),$BC$6,IF(OR(COUNTIF('1.연간시수표'!AO21,$BF$9),COUNTIF('1.연간시수표'!AO21,$BF$7),COUNTIF('1.연간시수표'!AO21,$BG$9),COUNTIF('1.연간시수표'!AO21,$BG$7),COUNTIF('1.연간시수표'!AO21,$BH$9),COUNTIF('1.연간시수표'!AO21,$BH$7),COUNTIF('1.연간시수표'!AO21,$BI$9),COUNTIF('1.연간시수표'!AO21,$BI$7),COUNTIF('1.연간시수표'!AO21,$BJ$9),COUNTIF('1.연간시수표'!AO21,$BJ$7),COUNTIF('1.연간시수표'!AO21,$BK$9),COUNTIF('1.연간시수표'!AO21,$BK$7),COUNTIF('1.연간시수표'!AO21,$BL$9),COUNTIF('1.연간시수표'!AO21,$BL$7),COUNTIF('1.연간시수표'!AO21,$BM$9),COUNTIF('1.연간시수표'!AO21,$BM$7)),$BF$6,IF(OR(COUNTIF('1.연간시수표'!AO21,$BO$9),COUNTIF('1.연간시수표'!AO21,$BO$7)),$BO$6,IF(OR(COUNTIF('1.연간시수표'!AO21,$BP$9),COUNTIF('1.연간시수표'!AO21,$BP$7)),$BP$6,IF(OR(COUNTIF('1.연간시수표'!AO21,$BQ$9),COUNTIF('1.연간시수표'!AO21,$BQ$7)),$BQ$6,IF(OR(COUNTIF('1.연간시수표'!AO21,$BR$9),COUNTIF('1.연간시수표'!AO21,$BR$7)),$BR$6,"_")))))))))))))))</f>
        <v>사회</v>
      </c>
      <c r="AP21" s="148" t="str">
        <f>IF(OR(COUNTIF('1.연간시수표'!AP21,$AT$9),COUNTIF('1.연간시수표'!AP21,$AT$7)),$AT$6,IF(OR(COUNTIF('1.연간시수표'!AP21,$AU$9),COUNTIF('1.연간시수표'!AP21,$AU$7)),$AU$6,IF(OR(COUNTIF('1.연간시수표'!AP21,$AV$9),COUNTIF('1.연간시수표'!AP21,$AV$7)),$AV$6,IF(OR(COUNTIF('1.연간시수표'!AP21,$AW$9),COUNTIF('1.연간시수표'!AP21,$AW$7)),$AW$6,IF(OR(COUNTIF('1.연간시수표'!AP21,$AX$9),COUNTIF('1.연간시수표'!AP21,$AX$7)),$AX$6,IF(OR(COUNTIF('1.연간시수표'!AP21,$AY$9),COUNTIF('1.연간시수표'!AP21,$AY$7)),$AY$6,IF(OR(COUNTIF('1.연간시수표'!AP21,$AZ$9),COUNTIF('1.연간시수표'!AP21,$AZ$7)),$AZ$6,IF(OR(COUNTIF('1.연간시수표'!AP21,$BA$9),COUNTIF('1.연간시수표'!AP21,$BA$7)),$BA$6,IF(OR(COUNTIF('1.연간시수표'!AP21,$BB$9),COUNTIF('1.연간시수표'!AP21,$BB$7)),$BB$6,IF(OR(COUNTIF('1.연간시수표'!AP21,$BC$9),COUNTIF('1.연간시수표'!AP21,$BC$7)),$BC$6,IF(OR(COUNTIF('1.연간시수표'!AP21,$BF$9),COUNTIF('1.연간시수표'!AP21,$BF$7),COUNTIF('1.연간시수표'!AP21,$BG$9),COUNTIF('1.연간시수표'!AP21,$BG$7),COUNTIF('1.연간시수표'!AP21,$BH$9),COUNTIF('1.연간시수표'!AP21,$BH$7),COUNTIF('1.연간시수표'!AP21,$BI$9),COUNTIF('1.연간시수표'!AP21,$BI$7),COUNTIF('1.연간시수표'!AP21,$BJ$9),COUNTIF('1.연간시수표'!AP21,$BJ$7),COUNTIF('1.연간시수표'!AP21,$BK$9),COUNTIF('1.연간시수표'!AP21,$BK$7),COUNTIF('1.연간시수표'!AP21,$BL$9),COUNTIF('1.연간시수표'!AP21,$BL$7),COUNTIF('1.연간시수표'!AP21,$BM$9),COUNTIF('1.연간시수표'!AP21,$BM$7)),$BF$6,IF(OR(COUNTIF('1.연간시수표'!AP21,$BO$9),COUNTIF('1.연간시수표'!AP21,$BO$7)),$BO$6,IF(OR(COUNTIF('1.연간시수표'!AP21,$BP$9),COUNTIF('1.연간시수표'!AP21,$BP$7)),$BP$6,IF(OR(COUNTIF('1.연간시수표'!AP21,$BQ$9),COUNTIF('1.연간시수표'!AP21,$BQ$7)),$BQ$6,IF(OR(COUNTIF('1.연간시수표'!AP21,$BR$9),COUNTIF('1.연간시수표'!AP21,$BR$7)),$BR$6,"_")))))))))))))))</f>
        <v>실과</v>
      </c>
      <c r="AQ21" s="148" t="str">
        <f>IF(OR(COUNTIF('1.연간시수표'!AQ21,$AT$9),COUNTIF('1.연간시수표'!AQ21,$AT$7)),$AT$6,IF(OR(COUNTIF('1.연간시수표'!AQ21,$AU$9),COUNTIF('1.연간시수표'!AQ21,$AU$7)),$AU$6,IF(OR(COUNTIF('1.연간시수표'!AQ21,$AV$9),COUNTIF('1.연간시수표'!AQ21,$AV$7)),$AV$6,IF(OR(COUNTIF('1.연간시수표'!AQ21,$AW$9),COUNTIF('1.연간시수표'!AQ21,$AW$7)),$AW$6,IF(OR(COUNTIF('1.연간시수표'!AQ21,$AX$9),COUNTIF('1.연간시수표'!AQ21,$AX$7)),$AX$6,IF(OR(COUNTIF('1.연간시수표'!AQ21,$AY$9),COUNTIF('1.연간시수표'!AQ21,$AY$7)),$AY$6,IF(OR(COUNTIF('1.연간시수표'!AQ21,$AZ$9),COUNTIF('1.연간시수표'!AQ21,$AZ$7)),$AZ$6,IF(OR(COUNTIF('1.연간시수표'!AQ21,$BA$9),COUNTIF('1.연간시수표'!AQ21,$BA$7)),$BA$6,IF(OR(COUNTIF('1.연간시수표'!AQ21,$BB$9),COUNTIF('1.연간시수표'!AQ21,$BB$7)),$BB$6,IF(OR(COUNTIF('1.연간시수표'!AQ21,$BC$9),COUNTIF('1.연간시수표'!AQ21,$BC$7)),$BC$6,IF(OR(COUNTIF('1.연간시수표'!AQ21,$BF$9),COUNTIF('1.연간시수표'!AQ21,$BF$7),COUNTIF('1.연간시수표'!AQ21,$BG$9),COUNTIF('1.연간시수표'!AQ21,$BG$7),COUNTIF('1.연간시수표'!AQ21,$BH$9),COUNTIF('1.연간시수표'!AQ21,$BH$7),COUNTIF('1.연간시수표'!AQ21,$BI$9),COUNTIF('1.연간시수표'!AQ21,$BI$7),COUNTIF('1.연간시수표'!AQ21,$BJ$9),COUNTIF('1.연간시수표'!AQ21,$BJ$7),COUNTIF('1.연간시수표'!AQ21,$BK$9),COUNTIF('1.연간시수표'!AQ21,$BK$7),COUNTIF('1.연간시수표'!AQ21,$BL$9),COUNTIF('1.연간시수표'!AQ21,$BL$7),COUNTIF('1.연간시수표'!AQ21,$BM$9),COUNTIF('1.연간시수표'!AQ21,$BM$7)),$BF$6,IF(OR(COUNTIF('1.연간시수표'!AQ21,$BO$9),COUNTIF('1.연간시수표'!AQ21,$BO$7)),$BO$6,IF(OR(COUNTIF('1.연간시수표'!AQ21,$BP$9),COUNTIF('1.연간시수표'!AQ21,$BP$7)),$BP$6,IF(OR(COUNTIF('1.연간시수표'!AQ21,$BQ$9),COUNTIF('1.연간시수표'!AQ21,$BQ$7)),$BQ$6,IF(OR(COUNTIF('1.연간시수표'!AQ21,$BR$9),COUNTIF('1.연간시수표'!AQ21,$BR$7)),$BR$6,"_")))))))))))))))</f>
        <v>_</v>
      </c>
      <c r="AR21" s="148" t="str">
        <f>IF(OR(COUNTIF('1.연간시수표'!AR21,$AT$9),COUNTIF('1.연간시수표'!AR21,$AT$7)),$AT$6,IF(OR(COUNTIF('1.연간시수표'!AR21,$AU$9),COUNTIF('1.연간시수표'!AR21,$AU$7)),$AU$6,IF(OR(COUNTIF('1.연간시수표'!AR21,$AV$9),COUNTIF('1.연간시수표'!AR21,$AV$7)),$AV$6,IF(OR(COUNTIF('1.연간시수표'!AR21,$AW$9),COUNTIF('1.연간시수표'!AR21,$AW$7)),$AW$6,IF(OR(COUNTIF('1.연간시수표'!AR21,$AX$9),COUNTIF('1.연간시수표'!AR21,$AX$7)),$AX$6,IF(OR(COUNTIF('1.연간시수표'!AR21,$AY$9),COUNTIF('1.연간시수표'!AR21,$AY$7)),$AY$6,IF(OR(COUNTIF('1.연간시수표'!AR21,$AZ$9),COUNTIF('1.연간시수표'!AR21,$AZ$7)),$AZ$6,IF(OR(COUNTIF('1.연간시수표'!AR21,$BA$9),COUNTIF('1.연간시수표'!AR21,$BA$7)),$BA$6,IF(OR(COUNTIF('1.연간시수표'!AR21,$BB$9),COUNTIF('1.연간시수표'!AR21,$BB$7)),$BB$6,IF(OR(COUNTIF('1.연간시수표'!AR21,$BC$9),COUNTIF('1.연간시수표'!AR21,$BC$7)),$BC$6,IF(OR(COUNTIF('1.연간시수표'!AR21,$BF$9),COUNTIF('1.연간시수표'!AR21,$BF$7),COUNTIF('1.연간시수표'!AR21,$BG$9),COUNTIF('1.연간시수표'!AR21,$BG$7),COUNTIF('1.연간시수표'!AR21,$BH$9),COUNTIF('1.연간시수표'!AR21,$BH$7),COUNTIF('1.연간시수표'!AR21,$BI$9),COUNTIF('1.연간시수표'!AR21,$BI$7),COUNTIF('1.연간시수표'!AR21,$BJ$9),COUNTIF('1.연간시수표'!AR21,$BJ$7),COUNTIF('1.연간시수표'!AR21,$BK$9),COUNTIF('1.연간시수표'!AR21,$BK$7),COUNTIF('1.연간시수표'!AR21,$BL$9),COUNTIF('1.연간시수표'!AR21,$BL$7),COUNTIF('1.연간시수표'!AR21,$BM$9),COUNTIF('1.연간시수표'!AR21,$BM$7)),$BF$6,IF(OR(COUNTIF('1.연간시수표'!AR21,$BO$9),COUNTIF('1.연간시수표'!AR21,$BO$7)),$BO$6,IF(OR(COUNTIF('1.연간시수표'!AR21,$BP$9),COUNTIF('1.연간시수표'!AR21,$BP$7)),$BP$6,IF(OR(COUNTIF('1.연간시수표'!AR21,$BQ$9),COUNTIF('1.연간시수표'!AR21,$BQ$7)),$BQ$6,IF(OR(COUNTIF('1.연간시수표'!AR21,$BR$9),COUNTIF('1.연간시수표'!AR21,$BR$7)),$BR$6,"_")))))))))))))))</f>
        <v>_</v>
      </c>
      <c r="BU21" s="142" t="str">
        <f>BB6</f>
        <v>미술</v>
      </c>
      <c r="BV21" s="142" t="str">
        <f t="shared" si="0"/>
        <v>미술</v>
      </c>
    </row>
    <row r="22" spans="2:74">
      <c r="B22" s="6"/>
      <c r="C22" s="79">
        <f>'1.연간시수표'!C22</f>
        <v>13</v>
      </c>
      <c r="D22" s="3"/>
      <c r="E22" s="148" t="str">
        <f>IF(OR(COUNTIF('1.연간시수표'!E22,$AT$9),COUNTIF('1.연간시수표'!E22,$AT$7)),$AT$6,IF(OR(COUNTIF('1.연간시수표'!E22,$AU$9),COUNTIF('1.연간시수표'!E22,$AU$7)),$AU$6,IF(OR(COUNTIF('1.연간시수표'!E22,$AV$9),COUNTIF('1.연간시수표'!E22,$AV$7)),$AV$6,IF(OR(COUNTIF('1.연간시수표'!E22,$AW$9),COUNTIF('1.연간시수표'!E22,$AW$7)),$AW$6,IF(OR(COUNTIF('1.연간시수표'!E22,$AX$9),COUNTIF('1.연간시수표'!E22,$AX$7)),$AX$6,IF(OR(COUNTIF('1.연간시수표'!E22,$AY$9),COUNTIF('1.연간시수표'!E22,$AY$7)),$AY$6,IF(OR(COUNTIF('1.연간시수표'!E22,$AZ$9),COUNTIF('1.연간시수표'!E22,$AZ$7)),$AZ$6,IF(OR(COUNTIF('1.연간시수표'!E22,$BA$9),COUNTIF('1.연간시수표'!E22,$BA$7)),$BA$6,IF(OR(COUNTIF('1.연간시수표'!E22,$BB$9),COUNTIF('1.연간시수표'!E22,$BB$7)),$BB$6,IF(OR(COUNTIF('1.연간시수표'!E22,$BC$9),COUNTIF('1.연간시수표'!E22,$BC$7)),$BC$6,IF(OR(COUNTIF('1.연간시수표'!E22,$BF$9),COUNTIF('1.연간시수표'!E22,$BF$7),COUNTIF('1.연간시수표'!E22,$BG$9),COUNTIF('1.연간시수표'!E22,$BG$7),COUNTIF('1.연간시수표'!E22,$BH$9),COUNTIF('1.연간시수표'!E22,$BH$7),COUNTIF('1.연간시수표'!E22,$BI$9),COUNTIF('1.연간시수표'!E22,$BI$7),COUNTIF('1.연간시수표'!E22,$BJ$9),COUNTIF('1.연간시수표'!E22,$BJ$7),COUNTIF('1.연간시수표'!E22,$BK$9),COUNTIF('1.연간시수표'!E22,$BK$7),COUNTIF('1.연간시수표'!E22,$BL$9),COUNTIF('1.연간시수표'!E22,$BL$7),COUNTIF('1.연간시수표'!E22,$BM$9),COUNTIF('1.연간시수표'!E22,$BM$7)),$BF$6,IF(OR(COUNTIF('1.연간시수표'!E22,$BO$9),COUNTIF('1.연간시수표'!E22,$BO$7)),$BO$6,IF(OR(COUNTIF('1.연간시수표'!E22,$BP$9),COUNTIF('1.연간시수표'!E22,$BP$7)),$BP$6,IF(OR(COUNTIF('1.연간시수표'!E22,$BQ$9),COUNTIF('1.연간시수표'!E22,$BQ$7)),$BQ$6,IF(OR(COUNTIF('1.연간시수표'!E22,$BR$9),COUNTIF('1.연간시수표'!E22,$BR$7)),$BR$6,"_")))))))))))))))</f>
        <v>국어</v>
      </c>
      <c r="F22" s="148" t="str">
        <f>IF(OR(COUNTIF('1.연간시수표'!F22,$AT$9),COUNTIF('1.연간시수표'!F22,$AT$7)),$AT$6,IF(OR(COUNTIF('1.연간시수표'!F22,$AU$9),COUNTIF('1.연간시수표'!F22,$AU$7)),$AU$6,IF(OR(COUNTIF('1.연간시수표'!F22,$AV$9),COUNTIF('1.연간시수표'!F22,$AV$7)),$AV$6,IF(OR(COUNTIF('1.연간시수표'!F22,$AW$9),COUNTIF('1.연간시수표'!F22,$AW$7)),$AW$6,IF(OR(COUNTIF('1.연간시수표'!F22,$AX$9),COUNTIF('1.연간시수표'!F22,$AX$7)),$AX$6,IF(OR(COUNTIF('1.연간시수표'!F22,$AY$9),COUNTIF('1.연간시수표'!F22,$AY$7)),$AY$6,IF(OR(COUNTIF('1.연간시수표'!F22,$AZ$9),COUNTIF('1.연간시수표'!F22,$AZ$7)),$AZ$6,IF(OR(COUNTIF('1.연간시수표'!F22,$BA$9),COUNTIF('1.연간시수표'!F22,$BA$7)),$BA$6,IF(OR(COUNTIF('1.연간시수표'!F22,$BB$9),COUNTIF('1.연간시수표'!F22,$BB$7)),$BB$6,IF(OR(COUNTIF('1.연간시수표'!F22,$BC$9),COUNTIF('1.연간시수표'!F22,$BC$7)),$BC$6,IF(OR(COUNTIF('1.연간시수표'!F22,$BF$9),COUNTIF('1.연간시수표'!F22,$BF$7),COUNTIF('1.연간시수표'!F22,$BG$9),COUNTIF('1.연간시수표'!F22,$BG$7),COUNTIF('1.연간시수표'!F22,$BH$9),COUNTIF('1.연간시수표'!F22,$BH$7),COUNTIF('1.연간시수표'!F22,$BI$9),COUNTIF('1.연간시수표'!F22,$BI$7),COUNTIF('1.연간시수표'!F22,$BJ$9),COUNTIF('1.연간시수표'!F22,$BJ$7),COUNTIF('1.연간시수표'!F22,$BK$9),COUNTIF('1.연간시수표'!F22,$BK$7),COUNTIF('1.연간시수표'!F22,$BL$9),COUNTIF('1.연간시수표'!F22,$BL$7),COUNTIF('1.연간시수표'!F22,$BM$9),COUNTIF('1.연간시수표'!F22,$BM$7)),$BF$6,IF(OR(COUNTIF('1.연간시수표'!F22,$BO$9),COUNTIF('1.연간시수표'!F22,$BO$7)),$BO$6,IF(OR(COUNTIF('1.연간시수표'!F22,$BP$9),COUNTIF('1.연간시수표'!F22,$BP$7)),$BP$6,IF(OR(COUNTIF('1.연간시수표'!F22,$BQ$9),COUNTIF('1.연간시수표'!F22,$BQ$7)),$BQ$6,IF(OR(COUNTIF('1.연간시수표'!F22,$BR$9),COUNTIF('1.연간시수표'!F22,$BR$7)),$BR$6,"_")))))))))))))))</f>
        <v>미술</v>
      </c>
      <c r="G22" s="148" t="str">
        <f>IF(OR(COUNTIF('1.연간시수표'!G22,$AT$9),COUNTIF('1.연간시수표'!G22,$AT$7)),$AT$6,IF(OR(COUNTIF('1.연간시수표'!G22,$AU$9),COUNTIF('1.연간시수표'!G22,$AU$7)),$AU$6,IF(OR(COUNTIF('1.연간시수표'!G22,$AV$9),COUNTIF('1.연간시수표'!G22,$AV$7)),$AV$6,IF(OR(COUNTIF('1.연간시수표'!G22,$AW$9),COUNTIF('1.연간시수표'!G22,$AW$7)),$AW$6,IF(OR(COUNTIF('1.연간시수표'!G22,$AX$9),COUNTIF('1.연간시수표'!G22,$AX$7)),$AX$6,IF(OR(COUNTIF('1.연간시수표'!G22,$AY$9),COUNTIF('1.연간시수표'!G22,$AY$7)),$AY$6,IF(OR(COUNTIF('1.연간시수표'!G22,$AZ$9),COUNTIF('1.연간시수표'!G22,$AZ$7)),$AZ$6,IF(OR(COUNTIF('1.연간시수표'!G22,$BA$9),COUNTIF('1.연간시수표'!G22,$BA$7)),$BA$6,IF(OR(COUNTIF('1.연간시수표'!G22,$BB$9),COUNTIF('1.연간시수표'!G22,$BB$7)),$BB$6,IF(OR(COUNTIF('1.연간시수표'!G22,$BC$9),COUNTIF('1.연간시수표'!G22,$BC$7)),$BC$6,IF(OR(COUNTIF('1.연간시수표'!G22,$BF$9),COUNTIF('1.연간시수표'!G22,$BF$7),COUNTIF('1.연간시수표'!G22,$BG$9),COUNTIF('1.연간시수표'!G22,$BG$7),COUNTIF('1.연간시수표'!G22,$BH$9),COUNTIF('1.연간시수표'!G22,$BH$7),COUNTIF('1.연간시수표'!G22,$BI$9),COUNTIF('1.연간시수표'!G22,$BI$7),COUNTIF('1.연간시수표'!G22,$BJ$9),COUNTIF('1.연간시수표'!G22,$BJ$7),COUNTIF('1.연간시수표'!G22,$BK$9),COUNTIF('1.연간시수표'!G22,$BK$7),COUNTIF('1.연간시수표'!G22,$BL$9),COUNTIF('1.연간시수표'!G22,$BL$7),COUNTIF('1.연간시수표'!G22,$BM$9),COUNTIF('1.연간시수표'!G22,$BM$7)),$BF$6,IF(OR(COUNTIF('1.연간시수표'!G22,$BO$9),COUNTIF('1.연간시수표'!G22,$BO$7)),$BO$6,IF(OR(COUNTIF('1.연간시수표'!G22,$BP$9),COUNTIF('1.연간시수표'!G22,$BP$7)),$BP$6,IF(OR(COUNTIF('1.연간시수표'!G22,$BQ$9),COUNTIF('1.연간시수표'!G22,$BQ$7)),$BQ$6,IF(OR(COUNTIF('1.연간시수표'!G22,$BR$9),COUNTIF('1.연간시수표'!G22,$BR$7)),$BR$6,"_")))))))))))))))</f>
        <v>미술</v>
      </c>
      <c r="H22" s="148" t="str">
        <f>IF(OR(COUNTIF('1.연간시수표'!H22,$AT$9),COUNTIF('1.연간시수표'!H22,$AT$7)),$AT$6,IF(OR(COUNTIF('1.연간시수표'!H22,$AU$9),COUNTIF('1.연간시수표'!H22,$AU$7)),$AU$6,IF(OR(COUNTIF('1.연간시수표'!H22,$AV$9),COUNTIF('1.연간시수표'!H22,$AV$7)),$AV$6,IF(OR(COUNTIF('1.연간시수표'!H22,$AW$9),COUNTIF('1.연간시수표'!H22,$AW$7)),$AW$6,IF(OR(COUNTIF('1.연간시수표'!H22,$AX$9),COUNTIF('1.연간시수표'!H22,$AX$7)),$AX$6,IF(OR(COUNTIF('1.연간시수표'!H22,$AY$9),COUNTIF('1.연간시수표'!H22,$AY$7)),$AY$6,IF(OR(COUNTIF('1.연간시수표'!H22,$AZ$9),COUNTIF('1.연간시수표'!H22,$AZ$7)),$AZ$6,IF(OR(COUNTIF('1.연간시수표'!H22,$BA$9),COUNTIF('1.연간시수표'!H22,$BA$7)),$BA$6,IF(OR(COUNTIF('1.연간시수표'!H22,$BB$9),COUNTIF('1.연간시수표'!H22,$BB$7)),$BB$6,IF(OR(COUNTIF('1.연간시수표'!H22,$BC$9),COUNTIF('1.연간시수표'!H22,$BC$7)),$BC$6,IF(OR(COUNTIF('1.연간시수표'!H22,$BF$9),COUNTIF('1.연간시수표'!H22,$BF$7),COUNTIF('1.연간시수표'!H22,$BG$9),COUNTIF('1.연간시수표'!H22,$BG$7),COUNTIF('1.연간시수표'!H22,$BH$9),COUNTIF('1.연간시수표'!H22,$BH$7),COUNTIF('1.연간시수표'!H22,$BI$9),COUNTIF('1.연간시수표'!H22,$BI$7),COUNTIF('1.연간시수표'!H22,$BJ$9),COUNTIF('1.연간시수표'!H22,$BJ$7),COUNTIF('1.연간시수표'!H22,$BK$9),COUNTIF('1.연간시수표'!H22,$BK$7),COUNTIF('1.연간시수표'!H22,$BL$9),COUNTIF('1.연간시수표'!H22,$BL$7),COUNTIF('1.연간시수표'!H22,$BM$9),COUNTIF('1.연간시수표'!H22,$BM$7)),$BF$6,IF(OR(COUNTIF('1.연간시수표'!H22,$BO$9),COUNTIF('1.연간시수표'!H22,$BO$7)),$BO$6,IF(OR(COUNTIF('1.연간시수표'!H22,$BP$9),COUNTIF('1.연간시수표'!H22,$BP$7)),$BP$6,IF(OR(COUNTIF('1.연간시수표'!H22,$BQ$9),COUNTIF('1.연간시수표'!H22,$BQ$7)),$BQ$6,IF(OR(COUNTIF('1.연간시수표'!H22,$BR$9),COUNTIF('1.연간시수표'!H22,$BR$7)),$BR$6,"_")))))))))))))))</f>
        <v>영어</v>
      </c>
      <c r="I22" s="148" t="str">
        <f>IF(OR(COUNTIF('1.연간시수표'!I22,$AT$9),COUNTIF('1.연간시수표'!I22,$AT$7)),$AT$6,IF(OR(COUNTIF('1.연간시수표'!I22,$AU$9),COUNTIF('1.연간시수표'!I22,$AU$7)),$AU$6,IF(OR(COUNTIF('1.연간시수표'!I22,$AV$9),COUNTIF('1.연간시수표'!I22,$AV$7)),$AV$6,IF(OR(COUNTIF('1.연간시수표'!I22,$AW$9),COUNTIF('1.연간시수표'!I22,$AW$7)),$AW$6,IF(OR(COUNTIF('1.연간시수표'!I22,$AX$9),COUNTIF('1.연간시수표'!I22,$AX$7)),$AX$6,IF(OR(COUNTIF('1.연간시수표'!I22,$AY$9),COUNTIF('1.연간시수표'!I22,$AY$7)),$AY$6,IF(OR(COUNTIF('1.연간시수표'!I22,$AZ$9),COUNTIF('1.연간시수표'!I22,$AZ$7)),$AZ$6,IF(OR(COUNTIF('1.연간시수표'!I22,$BA$9),COUNTIF('1.연간시수표'!I22,$BA$7)),$BA$6,IF(OR(COUNTIF('1.연간시수표'!I22,$BB$9),COUNTIF('1.연간시수표'!I22,$BB$7)),$BB$6,IF(OR(COUNTIF('1.연간시수표'!I22,$BC$9),COUNTIF('1.연간시수표'!I22,$BC$7)),$BC$6,IF(OR(COUNTIF('1.연간시수표'!I22,$BF$9),COUNTIF('1.연간시수표'!I22,$BF$7),COUNTIF('1.연간시수표'!I22,$BG$9),COUNTIF('1.연간시수표'!I22,$BG$7),COUNTIF('1.연간시수표'!I22,$BH$9),COUNTIF('1.연간시수표'!I22,$BH$7),COUNTIF('1.연간시수표'!I22,$BI$9),COUNTIF('1.연간시수표'!I22,$BI$7),COUNTIF('1.연간시수표'!I22,$BJ$9),COUNTIF('1.연간시수표'!I22,$BJ$7),COUNTIF('1.연간시수표'!I22,$BK$9),COUNTIF('1.연간시수표'!I22,$BK$7),COUNTIF('1.연간시수표'!I22,$BL$9),COUNTIF('1.연간시수표'!I22,$BL$7),COUNTIF('1.연간시수표'!I22,$BM$9),COUNTIF('1.연간시수표'!I22,$BM$7)),$BF$6,IF(OR(COUNTIF('1.연간시수표'!I22,$BO$9),COUNTIF('1.연간시수표'!I22,$BO$7)),$BO$6,IF(OR(COUNTIF('1.연간시수표'!I22,$BP$9),COUNTIF('1.연간시수표'!I22,$BP$7)),$BP$6,IF(OR(COUNTIF('1.연간시수표'!I22,$BQ$9),COUNTIF('1.연간시수표'!I22,$BQ$7)),$BQ$6,IF(OR(COUNTIF('1.연간시수표'!I22,$BR$9),COUNTIF('1.연간시수표'!I22,$BR$7)),$BR$6,"_")))))))))))))))</f>
        <v>수학</v>
      </c>
      <c r="J22" s="148" t="str">
        <f>IF(OR(COUNTIF('1.연간시수표'!J22,$AT$9),COUNTIF('1.연간시수표'!J22,$AT$7)),$AT$6,IF(OR(COUNTIF('1.연간시수표'!J22,$AU$9),COUNTIF('1.연간시수표'!J22,$AU$7)),$AU$6,IF(OR(COUNTIF('1.연간시수표'!J22,$AV$9),COUNTIF('1.연간시수표'!J22,$AV$7)),$AV$6,IF(OR(COUNTIF('1.연간시수표'!J22,$AW$9),COUNTIF('1.연간시수표'!J22,$AW$7)),$AW$6,IF(OR(COUNTIF('1.연간시수표'!J22,$AX$9),COUNTIF('1.연간시수표'!J22,$AX$7)),$AX$6,IF(OR(COUNTIF('1.연간시수표'!J22,$AY$9),COUNTIF('1.연간시수표'!J22,$AY$7)),$AY$6,IF(OR(COUNTIF('1.연간시수표'!J22,$AZ$9),COUNTIF('1.연간시수표'!J22,$AZ$7)),$AZ$6,IF(OR(COUNTIF('1.연간시수표'!J22,$BA$9),COUNTIF('1.연간시수표'!J22,$BA$7)),$BA$6,IF(OR(COUNTIF('1.연간시수표'!J22,$BB$9),COUNTIF('1.연간시수표'!J22,$BB$7)),$BB$6,IF(OR(COUNTIF('1.연간시수표'!J22,$BC$9),COUNTIF('1.연간시수표'!J22,$BC$7)),$BC$6,IF(OR(COUNTIF('1.연간시수표'!J22,$BF$9),COUNTIF('1.연간시수표'!J22,$BF$7),COUNTIF('1.연간시수표'!J22,$BG$9),COUNTIF('1.연간시수표'!J22,$BG$7),COUNTIF('1.연간시수표'!J22,$BH$9),COUNTIF('1.연간시수표'!J22,$BH$7),COUNTIF('1.연간시수표'!J22,$BI$9),COUNTIF('1.연간시수표'!J22,$BI$7),COUNTIF('1.연간시수표'!J22,$BJ$9),COUNTIF('1.연간시수표'!J22,$BJ$7),COUNTIF('1.연간시수표'!J22,$BK$9),COUNTIF('1.연간시수표'!J22,$BK$7),COUNTIF('1.연간시수표'!J22,$BL$9),COUNTIF('1.연간시수표'!J22,$BL$7),COUNTIF('1.연간시수표'!J22,$BM$9),COUNTIF('1.연간시수표'!J22,$BM$7)),$BF$6,IF(OR(COUNTIF('1.연간시수표'!J22,$BO$9),COUNTIF('1.연간시수표'!J22,$BO$7)),$BO$6,IF(OR(COUNTIF('1.연간시수표'!J22,$BP$9),COUNTIF('1.연간시수표'!J22,$BP$7)),$BP$6,IF(OR(COUNTIF('1.연간시수표'!J22,$BQ$9),COUNTIF('1.연간시수표'!J22,$BQ$7)),$BQ$6,IF(OR(COUNTIF('1.연간시수표'!J22,$BR$9),COUNTIF('1.연간시수표'!J22,$BR$7)),$BR$6,"_")))))))))))))))</f>
        <v>자율활동</v>
      </c>
      <c r="K22" s="148" t="str">
        <f>IF(OR(COUNTIF('1.연간시수표'!K22,$AT$9),COUNTIF('1.연간시수표'!K22,$AT$7)),$AT$6,IF(OR(COUNTIF('1.연간시수표'!K22,$AU$9),COUNTIF('1.연간시수표'!K22,$AU$7)),$AU$6,IF(OR(COUNTIF('1.연간시수표'!K22,$AV$9),COUNTIF('1.연간시수표'!K22,$AV$7)),$AV$6,IF(OR(COUNTIF('1.연간시수표'!K22,$AW$9),COUNTIF('1.연간시수표'!K22,$AW$7)),$AW$6,IF(OR(COUNTIF('1.연간시수표'!K22,$AX$9),COUNTIF('1.연간시수표'!K22,$AX$7)),$AX$6,IF(OR(COUNTIF('1.연간시수표'!K22,$AY$9),COUNTIF('1.연간시수표'!K22,$AY$7)),$AY$6,IF(OR(COUNTIF('1.연간시수표'!K22,$AZ$9),COUNTIF('1.연간시수표'!K22,$AZ$7)),$AZ$6,IF(OR(COUNTIF('1.연간시수표'!K22,$BA$9),COUNTIF('1.연간시수표'!K22,$BA$7)),$BA$6,IF(OR(COUNTIF('1.연간시수표'!K22,$BB$9),COUNTIF('1.연간시수표'!K22,$BB$7)),$BB$6,IF(OR(COUNTIF('1.연간시수표'!K22,$BC$9),COUNTIF('1.연간시수표'!K22,$BC$7)),$BC$6,IF(OR(COUNTIF('1.연간시수표'!K22,$BF$9),COUNTIF('1.연간시수표'!K22,$BF$7),COUNTIF('1.연간시수표'!K22,$BG$9),COUNTIF('1.연간시수표'!K22,$BG$7),COUNTIF('1.연간시수표'!K22,$BH$9),COUNTIF('1.연간시수표'!K22,$BH$7),COUNTIF('1.연간시수표'!K22,$BI$9),COUNTIF('1.연간시수표'!K22,$BI$7),COUNTIF('1.연간시수표'!K22,$BJ$9),COUNTIF('1.연간시수표'!K22,$BJ$7),COUNTIF('1.연간시수표'!K22,$BK$9),COUNTIF('1.연간시수표'!K22,$BK$7),COUNTIF('1.연간시수표'!K22,$BL$9),COUNTIF('1.연간시수표'!K22,$BL$7),COUNTIF('1.연간시수표'!K22,$BM$9),COUNTIF('1.연간시수표'!K22,$BM$7)),$BF$6,IF(OR(COUNTIF('1.연간시수표'!K22,$BO$9),COUNTIF('1.연간시수표'!K22,$BO$7)),$BO$6,IF(OR(COUNTIF('1.연간시수표'!K22,$BP$9),COUNTIF('1.연간시수표'!K22,$BP$7)),$BP$6,IF(OR(COUNTIF('1.연간시수표'!K22,$BQ$9),COUNTIF('1.연간시수표'!K22,$BQ$7)),$BQ$6,IF(OR(COUNTIF('1.연간시수표'!K22,$BR$9),COUNTIF('1.연간시수표'!K22,$BR$7)),$BR$6,"_")))))))))))))))</f>
        <v>_</v>
      </c>
      <c r="L22" s="148" t="str">
        <f>IF(OR(COUNTIF('1.연간시수표'!L22,$AT$9),COUNTIF('1.연간시수표'!L22,$AT$7)),$AT$6,IF(OR(COUNTIF('1.연간시수표'!L22,$AU$9),COUNTIF('1.연간시수표'!L22,$AU$7)),$AU$6,IF(OR(COUNTIF('1.연간시수표'!L22,$AV$9),COUNTIF('1.연간시수표'!L22,$AV$7)),$AV$6,IF(OR(COUNTIF('1.연간시수표'!L22,$AW$9),COUNTIF('1.연간시수표'!L22,$AW$7)),$AW$6,IF(OR(COUNTIF('1.연간시수표'!L22,$AX$9),COUNTIF('1.연간시수표'!L22,$AX$7)),$AX$6,IF(OR(COUNTIF('1.연간시수표'!L22,$AY$9),COUNTIF('1.연간시수표'!L22,$AY$7)),$AY$6,IF(OR(COUNTIF('1.연간시수표'!L22,$AZ$9),COUNTIF('1.연간시수표'!L22,$AZ$7)),$AZ$6,IF(OR(COUNTIF('1.연간시수표'!L22,$BA$9),COUNTIF('1.연간시수표'!L22,$BA$7)),$BA$6,IF(OR(COUNTIF('1.연간시수표'!L22,$BB$9),COUNTIF('1.연간시수표'!L22,$BB$7)),$BB$6,IF(OR(COUNTIF('1.연간시수표'!L22,$BC$9),COUNTIF('1.연간시수표'!L22,$BC$7)),$BC$6,IF(OR(COUNTIF('1.연간시수표'!L22,$BF$9),COUNTIF('1.연간시수표'!L22,$BF$7),COUNTIF('1.연간시수표'!L22,$BG$9),COUNTIF('1.연간시수표'!L22,$BG$7),COUNTIF('1.연간시수표'!L22,$BH$9),COUNTIF('1.연간시수표'!L22,$BH$7),COUNTIF('1.연간시수표'!L22,$BI$9),COUNTIF('1.연간시수표'!L22,$BI$7),COUNTIF('1.연간시수표'!L22,$BJ$9),COUNTIF('1.연간시수표'!L22,$BJ$7),COUNTIF('1.연간시수표'!L22,$BK$9),COUNTIF('1.연간시수표'!L22,$BK$7),COUNTIF('1.연간시수표'!L22,$BL$9),COUNTIF('1.연간시수표'!L22,$BL$7),COUNTIF('1.연간시수표'!L22,$BM$9),COUNTIF('1.연간시수표'!L22,$BM$7)),$BF$6,IF(OR(COUNTIF('1.연간시수표'!L22,$BO$9),COUNTIF('1.연간시수표'!L22,$BO$7)),$BO$6,IF(OR(COUNTIF('1.연간시수표'!L22,$BP$9),COUNTIF('1.연간시수표'!L22,$BP$7)),$BP$6,IF(OR(COUNTIF('1.연간시수표'!L22,$BQ$9),COUNTIF('1.연간시수표'!L22,$BQ$7)),$BQ$6,IF(OR(COUNTIF('1.연간시수표'!L22,$BR$9),COUNTIF('1.연간시수표'!L22,$BR$7)),$BR$6,"_")))))))))))))))</f>
        <v>_</v>
      </c>
      <c r="M22" s="148" t="str">
        <f>IF(OR(COUNTIF('1.연간시수표'!M22,$AT$9),COUNTIF('1.연간시수표'!M22,$AT$7)),$AT$6,IF(OR(COUNTIF('1.연간시수표'!M22,$AU$9),COUNTIF('1.연간시수표'!M22,$AU$7)),$AU$6,IF(OR(COUNTIF('1.연간시수표'!M22,$AV$9),COUNTIF('1.연간시수표'!M22,$AV$7)),$AV$6,IF(OR(COUNTIF('1.연간시수표'!M22,$AW$9),COUNTIF('1.연간시수표'!M22,$AW$7)),$AW$6,IF(OR(COUNTIF('1.연간시수표'!M22,$AX$9),COUNTIF('1.연간시수표'!M22,$AX$7)),$AX$6,IF(OR(COUNTIF('1.연간시수표'!M22,$AY$9),COUNTIF('1.연간시수표'!M22,$AY$7)),$AY$6,IF(OR(COUNTIF('1.연간시수표'!M22,$AZ$9),COUNTIF('1.연간시수표'!M22,$AZ$7)),$AZ$6,IF(OR(COUNTIF('1.연간시수표'!M22,$BA$9),COUNTIF('1.연간시수표'!M22,$BA$7)),$BA$6,IF(OR(COUNTIF('1.연간시수표'!M22,$BB$9),COUNTIF('1.연간시수표'!M22,$BB$7)),$BB$6,IF(OR(COUNTIF('1.연간시수표'!M22,$BC$9),COUNTIF('1.연간시수표'!M22,$BC$7)),$BC$6,IF(OR(COUNTIF('1.연간시수표'!M22,$BF$9),COUNTIF('1.연간시수표'!M22,$BF$7),COUNTIF('1.연간시수표'!M22,$BG$9),COUNTIF('1.연간시수표'!M22,$BG$7),COUNTIF('1.연간시수표'!M22,$BH$9),COUNTIF('1.연간시수표'!M22,$BH$7),COUNTIF('1.연간시수표'!M22,$BI$9),COUNTIF('1.연간시수표'!M22,$BI$7),COUNTIF('1.연간시수표'!M22,$BJ$9),COUNTIF('1.연간시수표'!M22,$BJ$7),COUNTIF('1.연간시수표'!M22,$BK$9),COUNTIF('1.연간시수표'!M22,$BK$7),COUNTIF('1.연간시수표'!M22,$BL$9),COUNTIF('1.연간시수표'!M22,$BL$7),COUNTIF('1.연간시수표'!M22,$BM$9),COUNTIF('1.연간시수표'!M22,$BM$7)),$BF$6,IF(OR(COUNTIF('1.연간시수표'!M22,$BO$9),COUNTIF('1.연간시수표'!M22,$BO$7)),$BO$6,IF(OR(COUNTIF('1.연간시수표'!M22,$BP$9),COUNTIF('1.연간시수표'!M22,$BP$7)),$BP$6,IF(OR(COUNTIF('1.연간시수표'!M22,$BQ$9),COUNTIF('1.연간시수표'!M22,$BQ$7)),$BQ$6,IF(OR(COUNTIF('1.연간시수표'!M22,$BR$9),COUNTIF('1.연간시수표'!M22,$BR$7)),$BR$6,"_")))))))))))))))</f>
        <v>국어</v>
      </c>
      <c r="N22" s="148" t="str">
        <f>IF(OR(COUNTIF('1.연간시수표'!N22,$AT$9),COUNTIF('1.연간시수표'!N22,$AT$7)),$AT$6,IF(OR(COUNTIF('1.연간시수표'!N22,$AU$9),COUNTIF('1.연간시수표'!N22,$AU$7)),$AU$6,IF(OR(COUNTIF('1.연간시수표'!N22,$AV$9),COUNTIF('1.연간시수표'!N22,$AV$7)),$AV$6,IF(OR(COUNTIF('1.연간시수표'!N22,$AW$9),COUNTIF('1.연간시수표'!N22,$AW$7)),$AW$6,IF(OR(COUNTIF('1.연간시수표'!N22,$AX$9),COUNTIF('1.연간시수표'!N22,$AX$7)),$AX$6,IF(OR(COUNTIF('1.연간시수표'!N22,$AY$9),COUNTIF('1.연간시수표'!N22,$AY$7)),$AY$6,IF(OR(COUNTIF('1.연간시수표'!N22,$AZ$9),COUNTIF('1.연간시수표'!N22,$AZ$7)),$AZ$6,IF(OR(COUNTIF('1.연간시수표'!N22,$BA$9),COUNTIF('1.연간시수표'!N22,$BA$7)),$BA$6,IF(OR(COUNTIF('1.연간시수표'!N22,$BB$9),COUNTIF('1.연간시수표'!N22,$BB$7)),$BB$6,IF(OR(COUNTIF('1.연간시수표'!N22,$BC$9),COUNTIF('1.연간시수표'!N22,$BC$7)),$BC$6,IF(OR(COUNTIF('1.연간시수표'!N22,$BF$9),COUNTIF('1.연간시수표'!N22,$BF$7),COUNTIF('1.연간시수표'!N22,$BG$9),COUNTIF('1.연간시수표'!N22,$BG$7),COUNTIF('1.연간시수표'!N22,$BH$9),COUNTIF('1.연간시수표'!N22,$BH$7),COUNTIF('1.연간시수표'!N22,$BI$9),COUNTIF('1.연간시수표'!N22,$BI$7),COUNTIF('1.연간시수표'!N22,$BJ$9),COUNTIF('1.연간시수표'!N22,$BJ$7),COUNTIF('1.연간시수표'!N22,$BK$9),COUNTIF('1.연간시수표'!N22,$BK$7),COUNTIF('1.연간시수표'!N22,$BL$9),COUNTIF('1.연간시수표'!N22,$BL$7),COUNTIF('1.연간시수표'!N22,$BM$9),COUNTIF('1.연간시수표'!N22,$BM$7)),$BF$6,IF(OR(COUNTIF('1.연간시수표'!N22,$BO$9),COUNTIF('1.연간시수표'!N22,$BO$7)),$BO$6,IF(OR(COUNTIF('1.연간시수표'!N22,$BP$9),COUNTIF('1.연간시수표'!N22,$BP$7)),$BP$6,IF(OR(COUNTIF('1.연간시수표'!N22,$BQ$9),COUNTIF('1.연간시수표'!N22,$BQ$7)),$BQ$6,IF(OR(COUNTIF('1.연간시수표'!N22,$BR$9),COUNTIF('1.연간시수표'!N22,$BR$7)),$BR$6,"_")))))))))))))))</f>
        <v>국어</v>
      </c>
      <c r="O22" s="148" t="str">
        <f>IF(OR(COUNTIF('1.연간시수표'!O22,$AT$9),COUNTIF('1.연간시수표'!O22,$AT$7)),$AT$6,IF(OR(COUNTIF('1.연간시수표'!O22,$AU$9),COUNTIF('1.연간시수표'!O22,$AU$7)),$AU$6,IF(OR(COUNTIF('1.연간시수표'!O22,$AV$9),COUNTIF('1.연간시수표'!O22,$AV$7)),$AV$6,IF(OR(COUNTIF('1.연간시수표'!O22,$AW$9),COUNTIF('1.연간시수표'!O22,$AW$7)),$AW$6,IF(OR(COUNTIF('1.연간시수표'!O22,$AX$9),COUNTIF('1.연간시수표'!O22,$AX$7)),$AX$6,IF(OR(COUNTIF('1.연간시수표'!O22,$AY$9),COUNTIF('1.연간시수표'!O22,$AY$7)),$AY$6,IF(OR(COUNTIF('1.연간시수표'!O22,$AZ$9),COUNTIF('1.연간시수표'!O22,$AZ$7)),$AZ$6,IF(OR(COUNTIF('1.연간시수표'!O22,$BA$9),COUNTIF('1.연간시수표'!O22,$BA$7)),$BA$6,IF(OR(COUNTIF('1.연간시수표'!O22,$BB$9),COUNTIF('1.연간시수표'!O22,$BB$7)),$BB$6,IF(OR(COUNTIF('1.연간시수표'!O22,$BC$9),COUNTIF('1.연간시수표'!O22,$BC$7)),$BC$6,IF(OR(COUNTIF('1.연간시수표'!O22,$BF$9),COUNTIF('1.연간시수표'!O22,$BF$7),COUNTIF('1.연간시수표'!O22,$BG$9),COUNTIF('1.연간시수표'!O22,$BG$7),COUNTIF('1.연간시수표'!O22,$BH$9),COUNTIF('1.연간시수표'!O22,$BH$7),COUNTIF('1.연간시수표'!O22,$BI$9),COUNTIF('1.연간시수표'!O22,$BI$7),COUNTIF('1.연간시수표'!O22,$BJ$9),COUNTIF('1.연간시수표'!O22,$BJ$7),COUNTIF('1.연간시수표'!O22,$BK$9),COUNTIF('1.연간시수표'!O22,$BK$7),COUNTIF('1.연간시수표'!O22,$BL$9),COUNTIF('1.연간시수표'!O22,$BL$7),COUNTIF('1.연간시수표'!O22,$BM$9),COUNTIF('1.연간시수표'!O22,$BM$7)),$BF$6,IF(OR(COUNTIF('1.연간시수표'!O22,$BO$9),COUNTIF('1.연간시수표'!O22,$BO$7)),$BO$6,IF(OR(COUNTIF('1.연간시수표'!O22,$BP$9),COUNTIF('1.연간시수표'!O22,$BP$7)),$BP$6,IF(OR(COUNTIF('1.연간시수표'!O22,$BQ$9),COUNTIF('1.연간시수표'!O22,$BQ$7)),$BQ$6,IF(OR(COUNTIF('1.연간시수표'!O22,$BR$9),COUNTIF('1.연간시수표'!O22,$BR$7)),$BR$6,"_")))))))))))))))</f>
        <v>사회</v>
      </c>
      <c r="P22" s="148" t="str">
        <f>IF(OR(COUNTIF('1.연간시수표'!P22,$AT$9),COUNTIF('1.연간시수표'!P22,$AT$7)),$AT$6,IF(OR(COUNTIF('1.연간시수표'!P22,$AU$9),COUNTIF('1.연간시수표'!P22,$AU$7)),$AU$6,IF(OR(COUNTIF('1.연간시수표'!P22,$AV$9),COUNTIF('1.연간시수표'!P22,$AV$7)),$AV$6,IF(OR(COUNTIF('1.연간시수표'!P22,$AW$9),COUNTIF('1.연간시수표'!P22,$AW$7)),$AW$6,IF(OR(COUNTIF('1.연간시수표'!P22,$AX$9),COUNTIF('1.연간시수표'!P22,$AX$7)),$AX$6,IF(OR(COUNTIF('1.연간시수표'!P22,$AY$9),COUNTIF('1.연간시수표'!P22,$AY$7)),$AY$6,IF(OR(COUNTIF('1.연간시수표'!P22,$AZ$9),COUNTIF('1.연간시수표'!P22,$AZ$7)),$AZ$6,IF(OR(COUNTIF('1.연간시수표'!P22,$BA$9),COUNTIF('1.연간시수표'!P22,$BA$7)),$BA$6,IF(OR(COUNTIF('1.연간시수표'!P22,$BB$9),COUNTIF('1.연간시수표'!P22,$BB$7)),$BB$6,IF(OR(COUNTIF('1.연간시수표'!P22,$BC$9),COUNTIF('1.연간시수표'!P22,$BC$7)),$BC$6,IF(OR(COUNTIF('1.연간시수표'!P22,$BF$9),COUNTIF('1.연간시수표'!P22,$BF$7),COUNTIF('1.연간시수표'!P22,$BG$9),COUNTIF('1.연간시수표'!P22,$BG$7),COUNTIF('1.연간시수표'!P22,$BH$9),COUNTIF('1.연간시수표'!P22,$BH$7),COUNTIF('1.연간시수표'!P22,$BI$9),COUNTIF('1.연간시수표'!P22,$BI$7),COUNTIF('1.연간시수표'!P22,$BJ$9),COUNTIF('1.연간시수표'!P22,$BJ$7),COUNTIF('1.연간시수표'!P22,$BK$9),COUNTIF('1.연간시수표'!P22,$BK$7),COUNTIF('1.연간시수표'!P22,$BL$9),COUNTIF('1.연간시수표'!P22,$BL$7),COUNTIF('1.연간시수표'!P22,$BM$9),COUNTIF('1.연간시수표'!P22,$BM$7)),$BF$6,IF(OR(COUNTIF('1.연간시수표'!P22,$BO$9),COUNTIF('1.연간시수표'!P22,$BO$7)),$BO$6,IF(OR(COUNTIF('1.연간시수표'!P22,$BP$9),COUNTIF('1.연간시수표'!P22,$BP$7)),$BP$6,IF(OR(COUNTIF('1.연간시수표'!P22,$BQ$9),COUNTIF('1.연간시수표'!P22,$BQ$7)),$BQ$6,IF(OR(COUNTIF('1.연간시수표'!P22,$BR$9),COUNTIF('1.연간시수표'!P22,$BR$7)),$BR$6,"_")))))))))))))))</f>
        <v>수학</v>
      </c>
      <c r="Q22" s="148" t="str">
        <f>IF(OR(COUNTIF('1.연간시수표'!Q22,$AT$9),COUNTIF('1.연간시수표'!Q22,$AT$7)),$AT$6,IF(OR(COUNTIF('1.연간시수표'!Q22,$AU$9),COUNTIF('1.연간시수표'!Q22,$AU$7)),$AU$6,IF(OR(COUNTIF('1.연간시수표'!Q22,$AV$9),COUNTIF('1.연간시수표'!Q22,$AV$7)),$AV$6,IF(OR(COUNTIF('1.연간시수표'!Q22,$AW$9),COUNTIF('1.연간시수표'!Q22,$AW$7)),$AW$6,IF(OR(COUNTIF('1.연간시수표'!Q22,$AX$9),COUNTIF('1.연간시수표'!Q22,$AX$7)),$AX$6,IF(OR(COUNTIF('1.연간시수표'!Q22,$AY$9),COUNTIF('1.연간시수표'!Q22,$AY$7)),$AY$6,IF(OR(COUNTIF('1.연간시수표'!Q22,$AZ$9),COUNTIF('1.연간시수표'!Q22,$AZ$7)),$AZ$6,IF(OR(COUNTIF('1.연간시수표'!Q22,$BA$9),COUNTIF('1.연간시수표'!Q22,$BA$7)),$BA$6,IF(OR(COUNTIF('1.연간시수표'!Q22,$BB$9),COUNTIF('1.연간시수표'!Q22,$BB$7)),$BB$6,IF(OR(COUNTIF('1.연간시수표'!Q22,$BC$9),COUNTIF('1.연간시수표'!Q22,$BC$7)),$BC$6,IF(OR(COUNTIF('1.연간시수표'!Q22,$BF$9),COUNTIF('1.연간시수표'!Q22,$BF$7),COUNTIF('1.연간시수표'!Q22,$BG$9),COUNTIF('1.연간시수표'!Q22,$BG$7),COUNTIF('1.연간시수표'!Q22,$BH$9),COUNTIF('1.연간시수표'!Q22,$BH$7),COUNTIF('1.연간시수표'!Q22,$BI$9),COUNTIF('1.연간시수표'!Q22,$BI$7),COUNTIF('1.연간시수표'!Q22,$BJ$9),COUNTIF('1.연간시수표'!Q22,$BJ$7),COUNTIF('1.연간시수표'!Q22,$BK$9),COUNTIF('1.연간시수표'!Q22,$BK$7),COUNTIF('1.연간시수표'!Q22,$BL$9),COUNTIF('1.연간시수표'!Q22,$BL$7),COUNTIF('1.연간시수표'!Q22,$BM$9),COUNTIF('1.연간시수표'!Q22,$BM$7)),$BF$6,IF(OR(COUNTIF('1.연간시수표'!Q22,$BO$9),COUNTIF('1.연간시수표'!Q22,$BO$7)),$BO$6,IF(OR(COUNTIF('1.연간시수표'!Q22,$BP$9),COUNTIF('1.연간시수표'!Q22,$BP$7)),$BP$6,IF(OR(COUNTIF('1.연간시수표'!Q22,$BQ$9),COUNTIF('1.연간시수표'!Q22,$BQ$7)),$BQ$6,IF(OR(COUNTIF('1.연간시수표'!Q22,$BR$9),COUNTIF('1.연간시수표'!Q22,$BR$7)),$BR$6,"_")))))))))))))))</f>
        <v>과학</v>
      </c>
      <c r="R22" s="148" t="str">
        <f>IF(OR(COUNTIF('1.연간시수표'!R22,$AT$9),COUNTIF('1.연간시수표'!R22,$AT$7)),$AT$6,IF(OR(COUNTIF('1.연간시수표'!R22,$AU$9),COUNTIF('1.연간시수표'!R22,$AU$7)),$AU$6,IF(OR(COUNTIF('1.연간시수표'!R22,$AV$9),COUNTIF('1.연간시수표'!R22,$AV$7)),$AV$6,IF(OR(COUNTIF('1.연간시수표'!R22,$AW$9),COUNTIF('1.연간시수표'!R22,$AW$7)),$AW$6,IF(OR(COUNTIF('1.연간시수표'!R22,$AX$9),COUNTIF('1.연간시수표'!R22,$AX$7)),$AX$6,IF(OR(COUNTIF('1.연간시수표'!R22,$AY$9),COUNTIF('1.연간시수표'!R22,$AY$7)),$AY$6,IF(OR(COUNTIF('1.연간시수표'!R22,$AZ$9),COUNTIF('1.연간시수표'!R22,$AZ$7)),$AZ$6,IF(OR(COUNTIF('1.연간시수표'!R22,$BA$9),COUNTIF('1.연간시수표'!R22,$BA$7)),$BA$6,IF(OR(COUNTIF('1.연간시수표'!R22,$BB$9),COUNTIF('1.연간시수표'!R22,$BB$7)),$BB$6,IF(OR(COUNTIF('1.연간시수표'!R22,$BC$9),COUNTIF('1.연간시수표'!R22,$BC$7)),$BC$6,IF(OR(COUNTIF('1.연간시수표'!R22,$BF$9),COUNTIF('1.연간시수표'!R22,$BF$7),COUNTIF('1.연간시수표'!R22,$BG$9),COUNTIF('1.연간시수표'!R22,$BG$7),COUNTIF('1.연간시수표'!R22,$BH$9),COUNTIF('1.연간시수표'!R22,$BH$7),COUNTIF('1.연간시수표'!R22,$BI$9),COUNTIF('1.연간시수표'!R22,$BI$7),COUNTIF('1.연간시수표'!R22,$BJ$9),COUNTIF('1.연간시수표'!R22,$BJ$7),COUNTIF('1.연간시수표'!R22,$BK$9),COUNTIF('1.연간시수표'!R22,$BK$7),COUNTIF('1.연간시수표'!R22,$BL$9),COUNTIF('1.연간시수표'!R22,$BL$7),COUNTIF('1.연간시수표'!R22,$BM$9),COUNTIF('1.연간시수표'!R22,$BM$7)),$BF$6,IF(OR(COUNTIF('1.연간시수표'!R22,$BO$9),COUNTIF('1.연간시수표'!R22,$BO$7)),$BO$6,IF(OR(COUNTIF('1.연간시수표'!R22,$BP$9),COUNTIF('1.연간시수표'!R22,$BP$7)),$BP$6,IF(OR(COUNTIF('1.연간시수표'!R22,$BQ$9),COUNTIF('1.연간시수표'!R22,$BQ$7)),$BQ$6,IF(OR(COUNTIF('1.연간시수표'!R22,$BR$9),COUNTIF('1.연간시수표'!R22,$BR$7)),$BR$6,"_")))))))))))))))</f>
        <v>실과</v>
      </c>
      <c r="S22" s="148" t="str">
        <f>IF(OR(COUNTIF('1.연간시수표'!S22,$AT$9),COUNTIF('1.연간시수표'!S22,$AT$7)),$AT$6,IF(OR(COUNTIF('1.연간시수표'!S22,$AU$9),COUNTIF('1.연간시수표'!S22,$AU$7)),$AU$6,IF(OR(COUNTIF('1.연간시수표'!S22,$AV$9),COUNTIF('1.연간시수표'!S22,$AV$7)),$AV$6,IF(OR(COUNTIF('1.연간시수표'!S22,$AW$9),COUNTIF('1.연간시수표'!S22,$AW$7)),$AW$6,IF(OR(COUNTIF('1.연간시수표'!S22,$AX$9),COUNTIF('1.연간시수표'!S22,$AX$7)),$AX$6,IF(OR(COUNTIF('1.연간시수표'!S22,$AY$9),COUNTIF('1.연간시수표'!S22,$AY$7)),$AY$6,IF(OR(COUNTIF('1.연간시수표'!S22,$AZ$9),COUNTIF('1.연간시수표'!S22,$AZ$7)),$AZ$6,IF(OR(COUNTIF('1.연간시수표'!S22,$BA$9),COUNTIF('1.연간시수표'!S22,$BA$7)),$BA$6,IF(OR(COUNTIF('1.연간시수표'!S22,$BB$9),COUNTIF('1.연간시수표'!S22,$BB$7)),$BB$6,IF(OR(COUNTIF('1.연간시수표'!S22,$BC$9),COUNTIF('1.연간시수표'!S22,$BC$7)),$BC$6,IF(OR(COUNTIF('1.연간시수표'!S22,$BF$9),COUNTIF('1.연간시수표'!S22,$BF$7),COUNTIF('1.연간시수표'!S22,$BG$9),COUNTIF('1.연간시수표'!S22,$BG$7),COUNTIF('1.연간시수표'!S22,$BH$9),COUNTIF('1.연간시수표'!S22,$BH$7),COUNTIF('1.연간시수표'!S22,$BI$9),COUNTIF('1.연간시수표'!S22,$BI$7),COUNTIF('1.연간시수표'!S22,$BJ$9),COUNTIF('1.연간시수표'!S22,$BJ$7),COUNTIF('1.연간시수표'!S22,$BK$9),COUNTIF('1.연간시수표'!S22,$BK$7),COUNTIF('1.연간시수표'!S22,$BL$9),COUNTIF('1.연간시수표'!S22,$BL$7),COUNTIF('1.연간시수표'!S22,$BM$9),COUNTIF('1.연간시수표'!S22,$BM$7)),$BF$6,IF(OR(COUNTIF('1.연간시수표'!S22,$BO$9),COUNTIF('1.연간시수표'!S22,$BO$7)),$BO$6,IF(OR(COUNTIF('1.연간시수표'!S22,$BP$9),COUNTIF('1.연간시수표'!S22,$BP$7)),$BP$6,IF(OR(COUNTIF('1.연간시수표'!S22,$BQ$9),COUNTIF('1.연간시수표'!S22,$BQ$7)),$BQ$6,IF(OR(COUNTIF('1.연간시수표'!S22,$BR$9),COUNTIF('1.연간시수표'!S22,$BR$7)),$BR$6,"_")))))))))))))))</f>
        <v>_</v>
      </c>
      <c r="T22" s="148" t="str">
        <f>IF(OR(COUNTIF('1.연간시수표'!T22,$AT$9),COUNTIF('1.연간시수표'!T22,$AT$7)),$AT$6,IF(OR(COUNTIF('1.연간시수표'!T22,$AU$9),COUNTIF('1.연간시수표'!T22,$AU$7)),$AU$6,IF(OR(COUNTIF('1.연간시수표'!T22,$AV$9),COUNTIF('1.연간시수표'!T22,$AV$7)),$AV$6,IF(OR(COUNTIF('1.연간시수표'!T22,$AW$9),COUNTIF('1.연간시수표'!T22,$AW$7)),$AW$6,IF(OR(COUNTIF('1.연간시수표'!T22,$AX$9),COUNTIF('1.연간시수표'!T22,$AX$7)),$AX$6,IF(OR(COUNTIF('1.연간시수표'!T22,$AY$9),COUNTIF('1.연간시수표'!T22,$AY$7)),$AY$6,IF(OR(COUNTIF('1.연간시수표'!T22,$AZ$9),COUNTIF('1.연간시수표'!T22,$AZ$7)),$AZ$6,IF(OR(COUNTIF('1.연간시수표'!T22,$BA$9),COUNTIF('1.연간시수표'!T22,$BA$7)),$BA$6,IF(OR(COUNTIF('1.연간시수표'!T22,$BB$9),COUNTIF('1.연간시수표'!T22,$BB$7)),$BB$6,IF(OR(COUNTIF('1.연간시수표'!T22,$BC$9),COUNTIF('1.연간시수표'!T22,$BC$7)),$BC$6,IF(OR(COUNTIF('1.연간시수표'!T22,$BF$9),COUNTIF('1.연간시수표'!T22,$BF$7),COUNTIF('1.연간시수표'!T22,$BG$9),COUNTIF('1.연간시수표'!T22,$BG$7),COUNTIF('1.연간시수표'!T22,$BH$9),COUNTIF('1.연간시수표'!T22,$BH$7),COUNTIF('1.연간시수표'!T22,$BI$9),COUNTIF('1.연간시수표'!T22,$BI$7),COUNTIF('1.연간시수표'!T22,$BJ$9),COUNTIF('1.연간시수표'!T22,$BJ$7),COUNTIF('1.연간시수표'!T22,$BK$9),COUNTIF('1.연간시수표'!T22,$BK$7),COUNTIF('1.연간시수표'!T22,$BL$9),COUNTIF('1.연간시수표'!T22,$BL$7),COUNTIF('1.연간시수표'!T22,$BM$9),COUNTIF('1.연간시수표'!T22,$BM$7)),$BF$6,IF(OR(COUNTIF('1.연간시수표'!T22,$BO$9),COUNTIF('1.연간시수표'!T22,$BO$7)),$BO$6,IF(OR(COUNTIF('1.연간시수표'!T22,$BP$9),COUNTIF('1.연간시수표'!T22,$BP$7)),$BP$6,IF(OR(COUNTIF('1.연간시수표'!T22,$BQ$9),COUNTIF('1.연간시수표'!T22,$BQ$7)),$BQ$6,IF(OR(COUNTIF('1.연간시수표'!T22,$BR$9),COUNTIF('1.연간시수표'!T22,$BR$7)),$BR$6,"_")))))))))))))))</f>
        <v>_</v>
      </c>
      <c r="U22" s="148" t="str">
        <f>IF(OR(COUNTIF('1.연간시수표'!U22,$AT$9),COUNTIF('1.연간시수표'!U22,$AT$7)),$AT$6,IF(OR(COUNTIF('1.연간시수표'!U22,$AU$9),COUNTIF('1.연간시수표'!U22,$AU$7)),$AU$6,IF(OR(COUNTIF('1.연간시수표'!U22,$AV$9),COUNTIF('1.연간시수표'!U22,$AV$7)),$AV$6,IF(OR(COUNTIF('1.연간시수표'!U22,$AW$9),COUNTIF('1.연간시수표'!U22,$AW$7)),$AW$6,IF(OR(COUNTIF('1.연간시수표'!U22,$AX$9),COUNTIF('1.연간시수표'!U22,$AX$7)),$AX$6,IF(OR(COUNTIF('1.연간시수표'!U22,$AY$9),COUNTIF('1.연간시수표'!U22,$AY$7)),$AY$6,IF(OR(COUNTIF('1.연간시수표'!U22,$AZ$9),COUNTIF('1.연간시수표'!U22,$AZ$7)),$AZ$6,IF(OR(COUNTIF('1.연간시수표'!U22,$BA$9),COUNTIF('1.연간시수표'!U22,$BA$7)),$BA$6,IF(OR(COUNTIF('1.연간시수표'!U22,$BB$9),COUNTIF('1.연간시수표'!U22,$BB$7)),$BB$6,IF(OR(COUNTIF('1.연간시수표'!U22,$BC$9),COUNTIF('1.연간시수표'!U22,$BC$7)),$BC$6,IF(OR(COUNTIF('1.연간시수표'!U22,$BF$9),COUNTIF('1.연간시수표'!U22,$BF$7),COUNTIF('1.연간시수표'!U22,$BG$9),COUNTIF('1.연간시수표'!U22,$BG$7),COUNTIF('1.연간시수표'!U22,$BH$9),COUNTIF('1.연간시수표'!U22,$BH$7),COUNTIF('1.연간시수표'!U22,$BI$9),COUNTIF('1.연간시수표'!U22,$BI$7),COUNTIF('1.연간시수표'!U22,$BJ$9),COUNTIF('1.연간시수표'!U22,$BJ$7),COUNTIF('1.연간시수표'!U22,$BK$9),COUNTIF('1.연간시수표'!U22,$BK$7),COUNTIF('1.연간시수표'!U22,$BL$9),COUNTIF('1.연간시수표'!U22,$BL$7),COUNTIF('1.연간시수표'!U22,$BM$9),COUNTIF('1.연간시수표'!U22,$BM$7)),$BF$6,IF(OR(COUNTIF('1.연간시수표'!U22,$BO$9),COUNTIF('1.연간시수표'!U22,$BO$7)),$BO$6,IF(OR(COUNTIF('1.연간시수표'!U22,$BP$9),COUNTIF('1.연간시수표'!U22,$BP$7)),$BP$6,IF(OR(COUNTIF('1.연간시수표'!U22,$BQ$9),COUNTIF('1.연간시수표'!U22,$BQ$7)),$BQ$6,IF(OR(COUNTIF('1.연간시수표'!U22,$BR$9),COUNTIF('1.연간시수표'!U22,$BR$7)),$BR$6,"_")))))))))))))))</f>
        <v>영어</v>
      </c>
      <c r="V22" s="148" t="str">
        <f>IF(OR(COUNTIF('1.연간시수표'!V22,$AT$9),COUNTIF('1.연간시수표'!V22,$AT$7)),$AT$6,IF(OR(COUNTIF('1.연간시수표'!V22,$AU$9),COUNTIF('1.연간시수표'!V22,$AU$7)),$AU$6,IF(OR(COUNTIF('1.연간시수표'!V22,$AV$9),COUNTIF('1.연간시수표'!V22,$AV$7)),$AV$6,IF(OR(COUNTIF('1.연간시수표'!V22,$AW$9),COUNTIF('1.연간시수표'!V22,$AW$7)),$AW$6,IF(OR(COUNTIF('1.연간시수표'!V22,$AX$9),COUNTIF('1.연간시수표'!V22,$AX$7)),$AX$6,IF(OR(COUNTIF('1.연간시수표'!V22,$AY$9),COUNTIF('1.연간시수표'!V22,$AY$7)),$AY$6,IF(OR(COUNTIF('1.연간시수표'!V22,$AZ$9),COUNTIF('1.연간시수표'!V22,$AZ$7)),$AZ$6,IF(OR(COUNTIF('1.연간시수표'!V22,$BA$9),COUNTIF('1.연간시수표'!V22,$BA$7)),$BA$6,IF(OR(COUNTIF('1.연간시수표'!V22,$BB$9),COUNTIF('1.연간시수표'!V22,$BB$7)),$BB$6,IF(OR(COUNTIF('1.연간시수표'!V22,$BC$9),COUNTIF('1.연간시수표'!V22,$BC$7)),$BC$6,IF(OR(COUNTIF('1.연간시수표'!V22,$BF$9),COUNTIF('1.연간시수표'!V22,$BF$7),COUNTIF('1.연간시수표'!V22,$BG$9),COUNTIF('1.연간시수표'!V22,$BG$7),COUNTIF('1.연간시수표'!V22,$BH$9),COUNTIF('1.연간시수표'!V22,$BH$7),COUNTIF('1.연간시수표'!V22,$BI$9),COUNTIF('1.연간시수표'!V22,$BI$7),COUNTIF('1.연간시수표'!V22,$BJ$9),COUNTIF('1.연간시수표'!V22,$BJ$7),COUNTIF('1.연간시수표'!V22,$BK$9),COUNTIF('1.연간시수표'!V22,$BK$7),COUNTIF('1.연간시수표'!V22,$BL$9),COUNTIF('1.연간시수표'!V22,$BL$7),COUNTIF('1.연간시수표'!V22,$BM$9),COUNTIF('1.연간시수표'!V22,$BM$7)),$BF$6,IF(OR(COUNTIF('1.연간시수표'!V22,$BO$9),COUNTIF('1.연간시수표'!V22,$BO$7)),$BO$6,IF(OR(COUNTIF('1.연간시수표'!V22,$BP$9),COUNTIF('1.연간시수표'!V22,$BP$7)),$BP$6,IF(OR(COUNTIF('1.연간시수표'!V22,$BQ$9),COUNTIF('1.연간시수표'!V22,$BQ$7)),$BQ$6,IF(OR(COUNTIF('1.연간시수표'!V22,$BR$9),COUNTIF('1.연간시수표'!V22,$BR$7)),$BR$6,"_")))))))))))))))</f>
        <v>과학</v>
      </c>
      <c r="W22" s="148" t="str">
        <f>IF(OR(COUNTIF('1.연간시수표'!W22,$AT$9),COUNTIF('1.연간시수표'!W22,$AT$7)),$AT$6,IF(OR(COUNTIF('1.연간시수표'!W22,$AU$9),COUNTIF('1.연간시수표'!W22,$AU$7)),$AU$6,IF(OR(COUNTIF('1.연간시수표'!W22,$AV$9),COUNTIF('1.연간시수표'!W22,$AV$7)),$AV$6,IF(OR(COUNTIF('1.연간시수표'!W22,$AW$9),COUNTIF('1.연간시수표'!W22,$AW$7)),$AW$6,IF(OR(COUNTIF('1.연간시수표'!W22,$AX$9),COUNTIF('1.연간시수표'!W22,$AX$7)),$AX$6,IF(OR(COUNTIF('1.연간시수표'!W22,$AY$9),COUNTIF('1.연간시수표'!W22,$AY$7)),$AY$6,IF(OR(COUNTIF('1.연간시수표'!W22,$AZ$9),COUNTIF('1.연간시수표'!W22,$AZ$7)),$AZ$6,IF(OR(COUNTIF('1.연간시수표'!W22,$BA$9),COUNTIF('1.연간시수표'!W22,$BA$7)),$BA$6,IF(OR(COUNTIF('1.연간시수표'!W22,$BB$9),COUNTIF('1.연간시수표'!W22,$BB$7)),$BB$6,IF(OR(COUNTIF('1.연간시수표'!W22,$BC$9),COUNTIF('1.연간시수표'!W22,$BC$7)),$BC$6,IF(OR(COUNTIF('1.연간시수표'!W22,$BF$9),COUNTIF('1.연간시수표'!W22,$BF$7),COUNTIF('1.연간시수표'!W22,$BG$9),COUNTIF('1.연간시수표'!W22,$BG$7),COUNTIF('1.연간시수표'!W22,$BH$9),COUNTIF('1.연간시수표'!W22,$BH$7),COUNTIF('1.연간시수표'!W22,$BI$9),COUNTIF('1.연간시수표'!W22,$BI$7),COUNTIF('1.연간시수표'!W22,$BJ$9),COUNTIF('1.연간시수표'!W22,$BJ$7),COUNTIF('1.연간시수표'!W22,$BK$9),COUNTIF('1.연간시수표'!W22,$BK$7),COUNTIF('1.연간시수표'!W22,$BL$9),COUNTIF('1.연간시수표'!W22,$BL$7),COUNTIF('1.연간시수표'!W22,$BM$9),COUNTIF('1.연간시수표'!W22,$BM$7)),$BF$6,IF(OR(COUNTIF('1.연간시수표'!W22,$BO$9),COUNTIF('1.연간시수표'!W22,$BO$7)),$BO$6,IF(OR(COUNTIF('1.연간시수표'!W22,$BP$9),COUNTIF('1.연간시수표'!W22,$BP$7)),$BP$6,IF(OR(COUNTIF('1.연간시수표'!W22,$BQ$9),COUNTIF('1.연간시수표'!W22,$BQ$7)),$BQ$6,IF(OR(COUNTIF('1.연간시수표'!W22,$BR$9),COUNTIF('1.연간시수표'!W22,$BR$7)),$BR$6,"_")))))))))))))))</f>
        <v>체육</v>
      </c>
      <c r="X22" s="148" t="str">
        <f>IF(OR(COUNTIF('1.연간시수표'!X22,$AT$9),COUNTIF('1.연간시수표'!X22,$AT$7)),$AT$6,IF(OR(COUNTIF('1.연간시수표'!X22,$AU$9),COUNTIF('1.연간시수표'!X22,$AU$7)),$AU$6,IF(OR(COUNTIF('1.연간시수표'!X22,$AV$9),COUNTIF('1.연간시수표'!X22,$AV$7)),$AV$6,IF(OR(COUNTIF('1.연간시수표'!X22,$AW$9),COUNTIF('1.연간시수표'!X22,$AW$7)),$AW$6,IF(OR(COUNTIF('1.연간시수표'!X22,$AX$9),COUNTIF('1.연간시수표'!X22,$AX$7)),$AX$6,IF(OR(COUNTIF('1.연간시수표'!X22,$AY$9),COUNTIF('1.연간시수표'!X22,$AY$7)),$AY$6,IF(OR(COUNTIF('1.연간시수표'!X22,$AZ$9),COUNTIF('1.연간시수표'!X22,$AZ$7)),$AZ$6,IF(OR(COUNTIF('1.연간시수표'!X22,$BA$9),COUNTIF('1.연간시수표'!X22,$BA$7)),$BA$6,IF(OR(COUNTIF('1.연간시수표'!X22,$BB$9),COUNTIF('1.연간시수표'!X22,$BB$7)),$BB$6,IF(OR(COUNTIF('1.연간시수표'!X22,$BC$9),COUNTIF('1.연간시수표'!X22,$BC$7)),$BC$6,IF(OR(COUNTIF('1.연간시수표'!X22,$BF$9),COUNTIF('1.연간시수표'!X22,$BF$7),COUNTIF('1.연간시수표'!X22,$BG$9),COUNTIF('1.연간시수표'!X22,$BG$7),COUNTIF('1.연간시수표'!X22,$BH$9),COUNTIF('1.연간시수표'!X22,$BH$7),COUNTIF('1.연간시수표'!X22,$BI$9),COUNTIF('1.연간시수표'!X22,$BI$7),COUNTIF('1.연간시수표'!X22,$BJ$9),COUNTIF('1.연간시수표'!X22,$BJ$7),COUNTIF('1.연간시수표'!X22,$BK$9),COUNTIF('1.연간시수표'!X22,$BK$7),COUNTIF('1.연간시수표'!X22,$BL$9),COUNTIF('1.연간시수표'!X22,$BL$7),COUNTIF('1.연간시수표'!X22,$BM$9),COUNTIF('1.연간시수표'!X22,$BM$7)),$BF$6,IF(OR(COUNTIF('1.연간시수표'!X22,$BO$9),COUNTIF('1.연간시수표'!X22,$BO$7)),$BO$6,IF(OR(COUNTIF('1.연간시수표'!X22,$BP$9),COUNTIF('1.연간시수표'!X22,$BP$7)),$BP$6,IF(OR(COUNTIF('1.연간시수표'!X22,$BQ$9),COUNTIF('1.연간시수표'!X22,$BQ$7)),$BQ$6,IF(OR(COUNTIF('1.연간시수표'!X22,$BR$9),COUNTIF('1.연간시수표'!X22,$BR$7)),$BR$6,"_")))))))))))))))</f>
        <v>음악</v>
      </c>
      <c r="Y22" s="148" t="str">
        <f>IF(OR(COUNTIF('1.연간시수표'!Y22,$AT$9),COUNTIF('1.연간시수표'!Y22,$AT$7)),$AT$6,IF(OR(COUNTIF('1.연간시수표'!Y22,$AU$9),COUNTIF('1.연간시수표'!Y22,$AU$7)),$AU$6,IF(OR(COUNTIF('1.연간시수표'!Y22,$AV$9),COUNTIF('1.연간시수표'!Y22,$AV$7)),$AV$6,IF(OR(COUNTIF('1.연간시수표'!Y22,$AW$9),COUNTIF('1.연간시수표'!Y22,$AW$7)),$AW$6,IF(OR(COUNTIF('1.연간시수표'!Y22,$AX$9),COUNTIF('1.연간시수표'!Y22,$AX$7)),$AX$6,IF(OR(COUNTIF('1.연간시수표'!Y22,$AY$9),COUNTIF('1.연간시수표'!Y22,$AY$7)),$AY$6,IF(OR(COUNTIF('1.연간시수표'!Y22,$AZ$9),COUNTIF('1.연간시수표'!Y22,$AZ$7)),$AZ$6,IF(OR(COUNTIF('1.연간시수표'!Y22,$BA$9),COUNTIF('1.연간시수표'!Y22,$BA$7)),$BA$6,IF(OR(COUNTIF('1.연간시수표'!Y22,$BB$9),COUNTIF('1.연간시수표'!Y22,$BB$7)),$BB$6,IF(OR(COUNTIF('1.연간시수표'!Y22,$BC$9),COUNTIF('1.연간시수표'!Y22,$BC$7)),$BC$6,IF(OR(COUNTIF('1.연간시수표'!Y22,$BF$9),COUNTIF('1.연간시수표'!Y22,$BF$7),COUNTIF('1.연간시수표'!Y22,$BG$9),COUNTIF('1.연간시수표'!Y22,$BG$7),COUNTIF('1.연간시수표'!Y22,$BH$9),COUNTIF('1.연간시수표'!Y22,$BH$7),COUNTIF('1.연간시수표'!Y22,$BI$9),COUNTIF('1.연간시수표'!Y22,$BI$7),COUNTIF('1.연간시수표'!Y22,$BJ$9),COUNTIF('1.연간시수표'!Y22,$BJ$7),COUNTIF('1.연간시수표'!Y22,$BK$9),COUNTIF('1.연간시수표'!Y22,$BK$7),COUNTIF('1.연간시수표'!Y22,$BL$9),COUNTIF('1.연간시수표'!Y22,$BL$7),COUNTIF('1.연간시수표'!Y22,$BM$9),COUNTIF('1.연간시수표'!Y22,$BM$7)),$BF$6,IF(OR(COUNTIF('1.연간시수표'!Y22,$BO$9),COUNTIF('1.연간시수표'!Y22,$BO$7)),$BO$6,IF(OR(COUNTIF('1.연간시수표'!Y22,$BP$9),COUNTIF('1.연간시수표'!Y22,$BP$7)),$BP$6,IF(OR(COUNTIF('1.연간시수표'!Y22,$BQ$9),COUNTIF('1.연간시수표'!Y22,$BQ$7)),$BQ$6,IF(OR(COUNTIF('1.연간시수표'!Y22,$BR$9),COUNTIF('1.연간시수표'!Y22,$BR$7)),$BR$6,"_")))))))))))))))</f>
        <v>도덕</v>
      </c>
      <c r="Z22" s="148" t="str">
        <f>IF(OR(COUNTIF('1.연간시수표'!Z22,$AT$9),COUNTIF('1.연간시수표'!Z22,$AT$7)),$AT$6,IF(OR(COUNTIF('1.연간시수표'!Z22,$AU$9),COUNTIF('1.연간시수표'!Z22,$AU$7)),$AU$6,IF(OR(COUNTIF('1.연간시수표'!Z22,$AV$9),COUNTIF('1.연간시수표'!Z22,$AV$7)),$AV$6,IF(OR(COUNTIF('1.연간시수표'!Z22,$AW$9),COUNTIF('1.연간시수표'!Z22,$AW$7)),$AW$6,IF(OR(COUNTIF('1.연간시수표'!Z22,$AX$9),COUNTIF('1.연간시수표'!Z22,$AX$7)),$AX$6,IF(OR(COUNTIF('1.연간시수표'!Z22,$AY$9),COUNTIF('1.연간시수표'!Z22,$AY$7)),$AY$6,IF(OR(COUNTIF('1.연간시수표'!Z22,$AZ$9),COUNTIF('1.연간시수표'!Z22,$AZ$7)),$AZ$6,IF(OR(COUNTIF('1.연간시수표'!Z22,$BA$9),COUNTIF('1.연간시수표'!Z22,$BA$7)),$BA$6,IF(OR(COUNTIF('1.연간시수표'!Z22,$BB$9),COUNTIF('1.연간시수표'!Z22,$BB$7)),$BB$6,IF(OR(COUNTIF('1.연간시수표'!Z22,$BC$9),COUNTIF('1.연간시수표'!Z22,$BC$7)),$BC$6,IF(OR(COUNTIF('1.연간시수표'!Z22,$BF$9),COUNTIF('1.연간시수표'!Z22,$BF$7),COUNTIF('1.연간시수표'!Z22,$BG$9),COUNTIF('1.연간시수표'!Z22,$BG$7),COUNTIF('1.연간시수표'!Z22,$BH$9),COUNTIF('1.연간시수표'!Z22,$BH$7),COUNTIF('1.연간시수표'!Z22,$BI$9),COUNTIF('1.연간시수표'!Z22,$BI$7),COUNTIF('1.연간시수표'!Z22,$BJ$9),COUNTIF('1.연간시수표'!Z22,$BJ$7),COUNTIF('1.연간시수표'!Z22,$BK$9),COUNTIF('1.연간시수표'!Z22,$BK$7),COUNTIF('1.연간시수표'!Z22,$BL$9),COUNTIF('1.연간시수표'!Z22,$BL$7),COUNTIF('1.연간시수표'!Z22,$BM$9),COUNTIF('1.연간시수표'!Z22,$BM$7)),$BF$6,IF(OR(COUNTIF('1.연간시수표'!Z22,$BO$9),COUNTIF('1.연간시수표'!Z22,$BO$7)),$BO$6,IF(OR(COUNTIF('1.연간시수표'!Z22,$BP$9),COUNTIF('1.연간시수표'!Z22,$BP$7)),$BP$6,IF(OR(COUNTIF('1.연간시수표'!Z22,$BQ$9),COUNTIF('1.연간시수표'!Z22,$BQ$7)),$BQ$6,IF(OR(COUNTIF('1.연간시수표'!Z22,$BR$9),COUNTIF('1.연간시수표'!Z22,$BR$7)),$BR$6,"_")))))))))))))))</f>
        <v>_</v>
      </c>
      <c r="AA22" s="148" t="str">
        <f>IF(OR(COUNTIF('1.연간시수표'!AA22,$AT$9),COUNTIF('1.연간시수표'!AA22,$AT$7)),$AT$6,IF(OR(COUNTIF('1.연간시수표'!AA22,$AU$9),COUNTIF('1.연간시수표'!AA22,$AU$7)),$AU$6,IF(OR(COUNTIF('1.연간시수표'!AA22,$AV$9),COUNTIF('1.연간시수표'!AA22,$AV$7)),$AV$6,IF(OR(COUNTIF('1.연간시수표'!AA22,$AW$9),COUNTIF('1.연간시수표'!AA22,$AW$7)),$AW$6,IF(OR(COUNTIF('1.연간시수표'!AA22,$AX$9),COUNTIF('1.연간시수표'!AA22,$AX$7)),$AX$6,IF(OR(COUNTIF('1.연간시수표'!AA22,$AY$9),COUNTIF('1.연간시수표'!AA22,$AY$7)),$AY$6,IF(OR(COUNTIF('1.연간시수표'!AA22,$AZ$9),COUNTIF('1.연간시수표'!AA22,$AZ$7)),$AZ$6,IF(OR(COUNTIF('1.연간시수표'!AA22,$BA$9),COUNTIF('1.연간시수표'!AA22,$BA$7)),$BA$6,IF(OR(COUNTIF('1.연간시수표'!AA22,$BB$9),COUNTIF('1.연간시수표'!AA22,$BB$7)),$BB$6,IF(OR(COUNTIF('1.연간시수표'!AA22,$BC$9),COUNTIF('1.연간시수표'!AA22,$BC$7)),$BC$6,IF(OR(COUNTIF('1.연간시수표'!AA22,$BF$9),COUNTIF('1.연간시수표'!AA22,$BF$7),COUNTIF('1.연간시수표'!AA22,$BG$9),COUNTIF('1.연간시수표'!AA22,$BG$7),COUNTIF('1.연간시수표'!AA22,$BH$9),COUNTIF('1.연간시수표'!AA22,$BH$7),COUNTIF('1.연간시수표'!AA22,$BI$9),COUNTIF('1.연간시수표'!AA22,$BI$7),COUNTIF('1.연간시수표'!AA22,$BJ$9),COUNTIF('1.연간시수표'!AA22,$BJ$7),COUNTIF('1.연간시수표'!AA22,$BK$9),COUNTIF('1.연간시수표'!AA22,$BK$7),COUNTIF('1.연간시수표'!AA22,$BL$9),COUNTIF('1.연간시수표'!AA22,$BL$7),COUNTIF('1.연간시수표'!AA22,$BM$9),COUNTIF('1.연간시수표'!AA22,$BM$7)),$BF$6,IF(OR(COUNTIF('1.연간시수표'!AA22,$BO$9),COUNTIF('1.연간시수표'!AA22,$BO$7)),$BO$6,IF(OR(COUNTIF('1.연간시수표'!AA22,$BP$9),COUNTIF('1.연간시수표'!AA22,$BP$7)),$BP$6,IF(OR(COUNTIF('1.연간시수표'!AA22,$BQ$9),COUNTIF('1.연간시수표'!AA22,$BQ$7)),$BQ$6,IF(OR(COUNTIF('1.연간시수표'!AA22,$BR$9),COUNTIF('1.연간시수표'!AA22,$BR$7)),$BR$6,"_")))))))))))))))</f>
        <v>_</v>
      </c>
      <c r="AB22" s="148" t="str">
        <f>IF(OR(COUNTIF('1.연간시수표'!AB22,$AT$9),COUNTIF('1.연간시수표'!AB22,$AT$7)),$AT$6,IF(OR(COUNTIF('1.연간시수표'!AB22,$AU$9),COUNTIF('1.연간시수표'!AB22,$AU$7)),$AU$6,IF(OR(COUNTIF('1.연간시수표'!AB22,$AV$9),COUNTIF('1.연간시수표'!AB22,$AV$7)),$AV$6,IF(OR(COUNTIF('1.연간시수표'!AB22,$AW$9),COUNTIF('1.연간시수표'!AB22,$AW$7)),$AW$6,IF(OR(COUNTIF('1.연간시수표'!AB22,$AX$9),COUNTIF('1.연간시수표'!AB22,$AX$7)),$AX$6,IF(OR(COUNTIF('1.연간시수표'!AB22,$AY$9),COUNTIF('1.연간시수표'!AB22,$AY$7)),$AY$6,IF(OR(COUNTIF('1.연간시수표'!AB22,$AZ$9),COUNTIF('1.연간시수표'!AB22,$AZ$7)),$AZ$6,IF(OR(COUNTIF('1.연간시수표'!AB22,$BA$9),COUNTIF('1.연간시수표'!AB22,$BA$7)),$BA$6,IF(OR(COUNTIF('1.연간시수표'!AB22,$BB$9),COUNTIF('1.연간시수표'!AB22,$BB$7)),$BB$6,IF(OR(COUNTIF('1.연간시수표'!AB22,$BC$9),COUNTIF('1.연간시수표'!AB22,$BC$7)),$BC$6,IF(OR(COUNTIF('1.연간시수표'!AB22,$BF$9),COUNTIF('1.연간시수표'!AB22,$BF$7),COUNTIF('1.연간시수표'!AB22,$BG$9),COUNTIF('1.연간시수표'!AB22,$BG$7),COUNTIF('1.연간시수표'!AB22,$BH$9),COUNTIF('1.연간시수표'!AB22,$BH$7),COUNTIF('1.연간시수표'!AB22,$BI$9),COUNTIF('1.연간시수표'!AB22,$BI$7),COUNTIF('1.연간시수표'!AB22,$BJ$9),COUNTIF('1.연간시수표'!AB22,$BJ$7),COUNTIF('1.연간시수표'!AB22,$BK$9),COUNTIF('1.연간시수표'!AB22,$BK$7),COUNTIF('1.연간시수표'!AB22,$BL$9),COUNTIF('1.연간시수표'!AB22,$BL$7),COUNTIF('1.연간시수표'!AB22,$BM$9),COUNTIF('1.연간시수표'!AB22,$BM$7)),$BF$6,IF(OR(COUNTIF('1.연간시수표'!AB22,$BO$9),COUNTIF('1.연간시수표'!AB22,$BO$7)),$BO$6,IF(OR(COUNTIF('1.연간시수표'!AB22,$BP$9),COUNTIF('1.연간시수표'!AB22,$BP$7)),$BP$6,IF(OR(COUNTIF('1.연간시수표'!AB22,$BQ$9),COUNTIF('1.연간시수표'!AB22,$BQ$7)),$BQ$6,IF(OR(COUNTIF('1.연간시수표'!AB22,$BR$9),COUNTIF('1.연간시수표'!AB22,$BR$7)),$BR$6,"_")))))))))))))))</f>
        <v>_</v>
      </c>
      <c r="AC22" s="148" t="str">
        <f>IF(OR(COUNTIF('1.연간시수표'!AC22,$AT$9),COUNTIF('1.연간시수표'!AC22,$AT$7)),$AT$6,IF(OR(COUNTIF('1.연간시수표'!AC22,$AU$9),COUNTIF('1.연간시수표'!AC22,$AU$7)),$AU$6,IF(OR(COUNTIF('1.연간시수표'!AC22,$AV$9),COUNTIF('1.연간시수표'!AC22,$AV$7)),$AV$6,IF(OR(COUNTIF('1.연간시수표'!AC22,$AW$9),COUNTIF('1.연간시수표'!AC22,$AW$7)),$AW$6,IF(OR(COUNTIF('1.연간시수표'!AC22,$AX$9),COUNTIF('1.연간시수표'!AC22,$AX$7)),$AX$6,IF(OR(COUNTIF('1.연간시수표'!AC22,$AY$9),COUNTIF('1.연간시수표'!AC22,$AY$7)),$AY$6,IF(OR(COUNTIF('1.연간시수표'!AC22,$AZ$9),COUNTIF('1.연간시수표'!AC22,$AZ$7)),$AZ$6,IF(OR(COUNTIF('1.연간시수표'!AC22,$BA$9),COUNTIF('1.연간시수표'!AC22,$BA$7)),$BA$6,IF(OR(COUNTIF('1.연간시수표'!AC22,$BB$9),COUNTIF('1.연간시수표'!AC22,$BB$7)),$BB$6,IF(OR(COUNTIF('1.연간시수표'!AC22,$BC$9),COUNTIF('1.연간시수표'!AC22,$BC$7)),$BC$6,IF(OR(COUNTIF('1.연간시수표'!AC22,$BF$9),COUNTIF('1.연간시수표'!AC22,$BF$7),COUNTIF('1.연간시수표'!AC22,$BG$9),COUNTIF('1.연간시수표'!AC22,$BG$7),COUNTIF('1.연간시수표'!AC22,$BH$9),COUNTIF('1.연간시수표'!AC22,$BH$7),COUNTIF('1.연간시수표'!AC22,$BI$9),COUNTIF('1.연간시수표'!AC22,$BI$7),COUNTIF('1.연간시수표'!AC22,$BJ$9),COUNTIF('1.연간시수표'!AC22,$BJ$7),COUNTIF('1.연간시수표'!AC22,$BK$9),COUNTIF('1.연간시수표'!AC22,$BK$7),COUNTIF('1.연간시수표'!AC22,$BL$9),COUNTIF('1.연간시수표'!AC22,$BL$7),COUNTIF('1.연간시수표'!AC22,$BM$9),COUNTIF('1.연간시수표'!AC22,$BM$7)),$BF$6,IF(OR(COUNTIF('1.연간시수표'!AC22,$BO$9),COUNTIF('1.연간시수표'!AC22,$BO$7)),$BO$6,IF(OR(COUNTIF('1.연간시수표'!AC22,$BP$9),COUNTIF('1.연간시수표'!AC22,$BP$7)),$BP$6,IF(OR(COUNTIF('1.연간시수표'!AC22,$BQ$9),COUNTIF('1.연간시수표'!AC22,$BQ$7)),$BQ$6,IF(OR(COUNTIF('1.연간시수표'!AC22,$BR$9),COUNTIF('1.연간시수표'!AC22,$BR$7)),$BR$6,"_")))))))))))))))</f>
        <v>국어</v>
      </c>
      <c r="AD22" s="148" t="str">
        <f>IF(OR(COUNTIF('1.연간시수표'!AD22,$AT$9),COUNTIF('1.연간시수표'!AD22,$AT$7)),$AT$6,IF(OR(COUNTIF('1.연간시수표'!AD22,$AU$9),COUNTIF('1.연간시수표'!AD22,$AU$7)),$AU$6,IF(OR(COUNTIF('1.연간시수표'!AD22,$AV$9),COUNTIF('1.연간시수표'!AD22,$AV$7)),$AV$6,IF(OR(COUNTIF('1.연간시수표'!AD22,$AW$9),COUNTIF('1.연간시수표'!AD22,$AW$7)),$AW$6,IF(OR(COUNTIF('1.연간시수표'!AD22,$AX$9),COUNTIF('1.연간시수표'!AD22,$AX$7)),$AX$6,IF(OR(COUNTIF('1.연간시수표'!AD22,$AY$9),COUNTIF('1.연간시수표'!AD22,$AY$7)),$AY$6,IF(OR(COUNTIF('1.연간시수표'!AD22,$AZ$9),COUNTIF('1.연간시수표'!AD22,$AZ$7)),$AZ$6,IF(OR(COUNTIF('1.연간시수표'!AD22,$BA$9),COUNTIF('1.연간시수표'!AD22,$BA$7)),$BA$6,IF(OR(COUNTIF('1.연간시수표'!AD22,$BB$9),COUNTIF('1.연간시수표'!AD22,$BB$7)),$BB$6,IF(OR(COUNTIF('1.연간시수표'!AD22,$BC$9),COUNTIF('1.연간시수표'!AD22,$BC$7)),$BC$6,IF(OR(COUNTIF('1.연간시수표'!AD22,$BF$9),COUNTIF('1.연간시수표'!AD22,$BF$7),COUNTIF('1.연간시수표'!AD22,$BG$9),COUNTIF('1.연간시수표'!AD22,$BG$7),COUNTIF('1.연간시수표'!AD22,$BH$9),COUNTIF('1.연간시수표'!AD22,$BH$7),COUNTIF('1.연간시수표'!AD22,$BI$9),COUNTIF('1.연간시수표'!AD22,$BI$7),COUNTIF('1.연간시수표'!AD22,$BJ$9),COUNTIF('1.연간시수표'!AD22,$BJ$7),COUNTIF('1.연간시수표'!AD22,$BK$9),COUNTIF('1.연간시수표'!AD22,$BK$7),COUNTIF('1.연간시수표'!AD22,$BL$9),COUNTIF('1.연간시수표'!AD22,$BL$7),COUNTIF('1.연간시수표'!AD22,$BM$9),COUNTIF('1.연간시수표'!AD22,$BM$7)),$BF$6,IF(OR(COUNTIF('1.연간시수표'!AD22,$BO$9),COUNTIF('1.연간시수표'!AD22,$BO$7)),$BO$6,IF(OR(COUNTIF('1.연간시수표'!AD22,$BP$9),COUNTIF('1.연간시수표'!AD22,$BP$7)),$BP$6,IF(OR(COUNTIF('1.연간시수표'!AD22,$BQ$9),COUNTIF('1.연간시수표'!AD22,$BQ$7)),$BQ$6,IF(OR(COUNTIF('1.연간시수표'!AD22,$BR$9),COUNTIF('1.연간시수표'!AD22,$BR$7)),$BR$6,"_")))))))))))))))</f>
        <v>수학</v>
      </c>
      <c r="AE22" s="148" t="str">
        <f>IF(OR(COUNTIF('1.연간시수표'!AE22,$AT$9),COUNTIF('1.연간시수표'!AE22,$AT$7)),$AT$6,IF(OR(COUNTIF('1.연간시수표'!AE22,$AU$9),COUNTIF('1.연간시수표'!AE22,$AU$7)),$AU$6,IF(OR(COUNTIF('1.연간시수표'!AE22,$AV$9),COUNTIF('1.연간시수표'!AE22,$AV$7)),$AV$6,IF(OR(COUNTIF('1.연간시수표'!AE22,$AW$9),COUNTIF('1.연간시수표'!AE22,$AW$7)),$AW$6,IF(OR(COUNTIF('1.연간시수표'!AE22,$AX$9),COUNTIF('1.연간시수표'!AE22,$AX$7)),$AX$6,IF(OR(COUNTIF('1.연간시수표'!AE22,$AY$9),COUNTIF('1.연간시수표'!AE22,$AY$7)),$AY$6,IF(OR(COUNTIF('1.연간시수표'!AE22,$AZ$9),COUNTIF('1.연간시수표'!AE22,$AZ$7)),$AZ$6,IF(OR(COUNTIF('1.연간시수표'!AE22,$BA$9),COUNTIF('1.연간시수표'!AE22,$BA$7)),$BA$6,IF(OR(COUNTIF('1.연간시수표'!AE22,$BB$9),COUNTIF('1.연간시수표'!AE22,$BB$7)),$BB$6,IF(OR(COUNTIF('1.연간시수표'!AE22,$BC$9),COUNTIF('1.연간시수표'!AE22,$BC$7)),$BC$6,IF(OR(COUNTIF('1.연간시수표'!AE22,$BF$9),COUNTIF('1.연간시수표'!AE22,$BF$7),COUNTIF('1.연간시수표'!AE22,$BG$9),COUNTIF('1.연간시수표'!AE22,$BG$7),COUNTIF('1.연간시수표'!AE22,$BH$9),COUNTIF('1.연간시수표'!AE22,$BH$7),COUNTIF('1.연간시수표'!AE22,$BI$9),COUNTIF('1.연간시수표'!AE22,$BI$7),COUNTIF('1.연간시수표'!AE22,$BJ$9),COUNTIF('1.연간시수표'!AE22,$BJ$7),COUNTIF('1.연간시수표'!AE22,$BK$9),COUNTIF('1.연간시수표'!AE22,$BK$7),COUNTIF('1.연간시수표'!AE22,$BL$9),COUNTIF('1.연간시수표'!AE22,$BL$7),COUNTIF('1.연간시수표'!AE22,$BM$9),COUNTIF('1.연간시수표'!AE22,$BM$7)),$BF$6,IF(OR(COUNTIF('1.연간시수표'!AE22,$BO$9),COUNTIF('1.연간시수표'!AE22,$BO$7)),$BO$6,IF(OR(COUNTIF('1.연간시수표'!AE22,$BP$9),COUNTIF('1.연간시수표'!AE22,$BP$7)),$BP$6,IF(OR(COUNTIF('1.연간시수표'!AE22,$BQ$9),COUNTIF('1.연간시수표'!AE22,$BQ$7)),$BQ$6,IF(OR(COUNTIF('1.연간시수표'!AE22,$BR$9),COUNTIF('1.연간시수표'!AE22,$BR$7)),$BR$6,"_")))))))))))))))</f>
        <v>사회</v>
      </c>
      <c r="AF22" s="148" t="str">
        <f>IF(OR(COUNTIF('1.연간시수표'!AF22,$AT$9),COUNTIF('1.연간시수표'!AF22,$AT$7)),$AT$6,IF(OR(COUNTIF('1.연간시수표'!AF22,$AU$9),COUNTIF('1.연간시수표'!AF22,$AU$7)),$AU$6,IF(OR(COUNTIF('1.연간시수표'!AF22,$AV$9),COUNTIF('1.연간시수표'!AF22,$AV$7)),$AV$6,IF(OR(COUNTIF('1.연간시수표'!AF22,$AW$9),COUNTIF('1.연간시수표'!AF22,$AW$7)),$AW$6,IF(OR(COUNTIF('1.연간시수표'!AF22,$AX$9),COUNTIF('1.연간시수표'!AF22,$AX$7)),$AX$6,IF(OR(COUNTIF('1.연간시수표'!AF22,$AY$9),COUNTIF('1.연간시수표'!AF22,$AY$7)),$AY$6,IF(OR(COUNTIF('1.연간시수표'!AF22,$AZ$9),COUNTIF('1.연간시수표'!AF22,$AZ$7)),$AZ$6,IF(OR(COUNTIF('1.연간시수표'!AF22,$BA$9),COUNTIF('1.연간시수표'!AF22,$BA$7)),$BA$6,IF(OR(COUNTIF('1.연간시수표'!AF22,$BB$9),COUNTIF('1.연간시수표'!AF22,$BB$7)),$BB$6,IF(OR(COUNTIF('1.연간시수표'!AF22,$BC$9),COUNTIF('1.연간시수표'!AF22,$BC$7)),$BC$6,IF(OR(COUNTIF('1.연간시수표'!AF22,$BF$9),COUNTIF('1.연간시수표'!AF22,$BF$7),COUNTIF('1.연간시수표'!AF22,$BG$9),COUNTIF('1.연간시수표'!AF22,$BG$7),COUNTIF('1.연간시수표'!AF22,$BH$9),COUNTIF('1.연간시수표'!AF22,$BH$7),COUNTIF('1.연간시수표'!AF22,$BI$9),COUNTIF('1.연간시수표'!AF22,$BI$7),COUNTIF('1.연간시수표'!AF22,$BJ$9),COUNTIF('1.연간시수표'!AF22,$BJ$7),COUNTIF('1.연간시수표'!AF22,$BK$9),COUNTIF('1.연간시수표'!AF22,$BK$7),COUNTIF('1.연간시수표'!AF22,$BL$9),COUNTIF('1.연간시수표'!AF22,$BL$7),COUNTIF('1.연간시수표'!AF22,$BM$9),COUNTIF('1.연간시수표'!AF22,$BM$7)),$BF$6,IF(OR(COUNTIF('1.연간시수표'!AF22,$BO$9),COUNTIF('1.연간시수표'!AF22,$BO$7)),$BO$6,IF(OR(COUNTIF('1.연간시수표'!AF22,$BP$9),COUNTIF('1.연간시수표'!AF22,$BP$7)),$BP$6,IF(OR(COUNTIF('1.연간시수표'!AF22,$BQ$9),COUNTIF('1.연간시수표'!AF22,$BQ$7)),$BQ$6,IF(OR(COUNTIF('1.연간시수표'!AF22,$BR$9),COUNTIF('1.연간시수표'!AF22,$BR$7)),$BR$6,"_")))))))))))))))</f>
        <v>영어</v>
      </c>
      <c r="AG22" s="148" t="str">
        <f>IF(OR(COUNTIF('1.연간시수표'!AG22,$AT$9),COUNTIF('1.연간시수표'!AG22,$AT$7)),$AT$6,IF(OR(COUNTIF('1.연간시수표'!AG22,$AU$9),COUNTIF('1.연간시수표'!AG22,$AU$7)),$AU$6,IF(OR(COUNTIF('1.연간시수표'!AG22,$AV$9),COUNTIF('1.연간시수표'!AG22,$AV$7)),$AV$6,IF(OR(COUNTIF('1.연간시수표'!AG22,$AW$9),COUNTIF('1.연간시수표'!AG22,$AW$7)),$AW$6,IF(OR(COUNTIF('1.연간시수표'!AG22,$AX$9),COUNTIF('1.연간시수표'!AG22,$AX$7)),$AX$6,IF(OR(COUNTIF('1.연간시수표'!AG22,$AY$9),COUNTIF('1.연간시수표'!AG22,$AY$7)),$AY$6,IF(OR(COUNTIF('1.연간시수표'!AG22,$AZ$9),COUNTIF('1.연간시수표'!AG22,$AZ$7)),$AZ$6,IF(OR(COUNTIF('1.연간시수표'!AG22,$BA$9),COUNTIF('1.연간시수표'!AG22,$BA$7)),$BA$6,IF(OR(COUNTIF('1.연간시수표'!AG22,$BB$9),COUNTIF('1.연간시수표'!AG22,$BB$7)),$BB$6,IF(OR(COUNTIF('1.연간시수표'!AG22,$BC$9),COUNTIF('1.연간시수표'!AG22,$BC$7)),$BC$6,IF(OR(COUNTIF('1.연간시수표'!AG22,$BF$9),COUNTIF('1.연간시수표'!AG22,$BF$7),COUNTIF('1.연간시수표'!AG22,$BG$9),COUNTIF('1.연간시수표'!AG22,$BG$7),COUNTIF('1.연간시수표'!AG22,$BH$9),COUNTIF('1.연간시수표'!AG22,$BH$7),COUNTIF('1.연간시수표'!AG22,$BI$9),COUNTIF('1.연간시수표'!AG22,$BI$7),COUNTIF('1.연간시수표'!AG22,$BJ$9),COUNTIF('1.연간시수표'!AG22,$BJ$7),COUNTIF('1.연간시수표'!AG22,$BK$9),COUNTIF('1.연간시수표'!AG22,$BK$7),COUNTIF('1.연간시수표'!AG22,$BL$9),COUNTIF('1.연간시수표'!AG22,$BL$7),COUNTIF('1.연간시수표'!AG22,$BM$9),COUNTIF('1.연간시수표'!AG22,$BM$7)),$BF$6,IF(OR(COUNTIF('1.연간시수표'!AG22,$BO$9),COUNTIF('1.연간시수표'!AG22,$BO$7)),$BO$6,IF(OR(COUNTIF('1.연간시수표'!AG22,$BP$9),COUNTIF('1.연간시수표'!AG22,$BP$7)),$BP$6,IF(OR(COUNTIF('1.연간시수표'!AG22,$BQ$9),COUNTIF('1.연간시수표'!AG22,$BQ$7)),$BQ$6,IF(OR(COUNTIF('1.연간시수표'!AG22,$BR$9),COUNTIF('1.연간시수표'!AG22,$BR$7)),$BR$6,"_")))))))))))))))</f>
        <v>과학</v>
      </c>
      <c r="AH22" s="148" t="str">
        <f>IF(OR(COUNTIF('1.연간시수표'!AH22,$AT$9),COUNTIF('1.연간시수표'!AH22,$AT$7)),$AT$6,IF(OR(COUNTIF('1.연간시수표'!AH22,$AU$9),COUNTIF('1.연간시수표'!AH22,$AU$7)),$AU$6,IF(OR(COUNTIF('1.연간시수표'!AH22,$AV$9),COUNTIF('1.연간시수표'!AH22,$AV$7)),$AV$6,IF(OR(COUNTIF('1.연간시수표'!AH22,$AW$9),COUNTIF('1.연간시수표'!AH22,$AW$7)),$AW$6,IF(OR(COUNTIF('1.연간시수표'!AH22,$AX$9),COUNTIF('1.연간시수표'!AH22,$AX$7)),$AX$6,IF(OR(COUNTIF('1.연간시수표'!AH22,$AY$9),COUNTIF('1.연간시수표'!AH22,$AY$7)),$AY$6,IF(OR(COUNTIF('1.연간시수표'!AH22,$AZ$9),COUNTIF('1.연간시수표'!AH22,$AZ$7)),$AZ$6,IF(OR(COUNTIF('1.연간시수표'!AH22,$BA$9),COUNTIF('1.연간시수표'!AH22,$BA$7)),$BA$6,IF(OR(COUNTIF('1.연간시수표'!AH22,$BB$9),COUNTIF('1.연간시수표'!AH22,$BB$7)),$BB$6,IF(OR(COUNTIF('1.연간시수표'!AH22,$BC$9),COUNTIF('1.연간시수표'!AH22,$BC$7)),$BC$6,IF(OR(COUNTIF('1.연간시수표'!AH22,$BF$9),COUNTIF('1.연간시수표'!AH22,$BF$7),COUNTIF('1.연간시수표'!AH22,$BG$9),COUNTIF('1.연간시수표'!AH22,$BG$7),COUNTIF('1.연간시수표'!AH22,$BH$9),COUNTIF('1.연간시수표'!AH22,$BH$7),COUNTIF('1.연간시수표'!AH22,$BI$9),COUNTIF('1.연간시수표'!AH22,$BI$7),COUNTIF('1.연간시수표'!AH22,$BJ$9),COUNTIF('1.연간시수표'!AH22,$BJ$7),COUNTIF('1.연간시수표'!AH22,$BK$9),COUNTIF('1.연간시수표'!AH22,$BK$7),COUNTIF('1.연간시수표'!AH22,$BL$9),COUNTIF('1.연간시수표'!AH22,$BL$7),COUNTIF('1.연간시수표'!AH22,$BM$9),COUNTIF('1.연간시수표'!AH22,$BM$7)),$BF$6,IF(OR(COUNTIF('1.연간시수표'!AH22,$BO$9),COUNTIF('1.연간시수표'!AH22,$BO$7)),$BO$6,IF(OR(COUNTIF('1.연간시수표'!AH22,$BP$9),COUNTIF('1.연간시수표'!AH22,$BP$7)),$BP$6,IF(OR(COUNTIF('1.연간시수표'!AH22,$BQ$9),COUNTIF('1.연간시수표'!AH22,$BQ$7)),$BQ$6,IF(OR(COUNTIF('1.연간시수표'!AH22,$BR$9),COUNTIF('1.연간시수표'!AH22,$BR$7)),$BR$6,"_")))))))))))))))</f>
        <v>음악</v>
      </c>
      <c r="AI22" s="148" t="str">
        <f>IF(OR(COUNTIF('1.연간시수표'!AI22,$AT$9),COUNTIF('1.연간시수표'!AI22,$AT$7)),$AT$6,IF(OR(COUNTIF('1.연간시수표'!AI22,$AU$9),COUNTIF('1.연간시수표'!AI22,$AU$7)),$AU$6,IF(OR(COUNTIF('1.연간시수표'!AI22,$AV$9),COUNTIF('1.연간시수표'!AI22,$AV$7)),$AV$6,IF(OR(COUNTIF('1.연간시수표'!AI22,$AW$9),COUNTIF('1.연간시수표'!AI22,$AW$7)),$AW$6,IF(OR(COUNTIF('1.연간시수표'!AI22,$AX$9),COUNTIF('1.연간시수표'!AI22,$AX$7)),$AX$6,IF(OR(COUNTIF('1.연간시수표'!AI22,$AY$9),COUNTIF('1.연간시수표'!AI22,$AY$7)),$AY$6,IF(OR(COUNTIF('1.연간시수표'!AI22,$AZ$9),COUNTIF('1.연간시수표'!AI22,$AZ$7)),$AZ$6,IF(OR(COUNTIF('1.연간시수표'!AI22,$BA$9),COUNTIF('1.연간시수표'!AI22,$BA$7)),$BA$6,IF(OR(COUNTIF('1.연간시수표'!AI22,$BB$9),COUNTIF('1.연간시수표'!AI22,$BB$7)),$BB$6,IF(OR(COUNTIF('1.연간시수표'!AI22,$BC$9),COUNTIF('1.연간시수표'!AI22,$BC$7)),$BC$6,IF(OR(COUNTIF('1.연간시수표'!AI22,$BF$9),COUNTIF('1.연간시수표'!AI22,$BF$7),COUNTIF('1.연간시수표'!AI22,$BG$9),COUNTIF('1.연간시수표'!AI22,$BG$7),COUNTIF('1.연간시수표'!AI22,$BH$9),COUNTIF('1.연간시수표'!AI22,$BH$7),COUNTIF('1.연간시수표'!AI22,$BI$9),COUNTIF('1.연간시수표'!AI22,$BI$7),COUNTIF('1.연간시수표'!AI22,$BJ$9),COUNTIF('1.연간시수표'!AI22,$BJ$7),COUNTIF('1.연간시수표'!AI22,$BK$9),COUNTIF('1.연간시수표'!AI22,$BK$7),COUNTIF('1.연간시수표'!AI22,$BL$9),COUNTIF('1.연간시수표'!AI22,$BL$7),COUNTIF('1.연간시수표'!AI22,$BM$9),COUNTIF('1.연간시수표'!AI22,$BM$7)),$BF$6,IF(OR(COUNTIF('1.연간시수표'!AI22,$BO$9),COUNTIF('1.연간시수표'!AI22,$BO$7)),$BO$6,IF(OR(COUNTIF('1.연간시수표'!AI22,$BP$9),COUNTIF('1.연간시수표'!AI22,$BP$7)),$BP$6,IF(OR(COUNTIF('1.연간시수표'!AI22,$BQ$9),COUNTIF('1.연간시수표'!AI22,$BQ$7)),$BQ$6,IF(OR(COUNTIF('1.연간시수표'!AI22,$BR$9),COUNTIF('1.연간시수표'!AI22,$BR$7)),$BR$6,"_")))))))))))))))</f>
        <v>_</v>
      </c>
      <c r="AJ22" s="148" t="str">
        <f>IF(OR(COUNTIF('1.연간시수표'!AJ22,$AT$9),COUNTIF('1.연간시수표'!AJ22,$AT$7)),$AT$6,IF(OR(COUNTIF('1.연간시수표'!AJ22,$AU$9),COUNTIF('1.연간시수표'!AJ22,$AU$7)),$AU$6,IF(OR(COUNTIF('1.연간시수표'!AJ22,$AV$9),COUNTIF('1.연간시수표'!AJ22,$AV$7)),$AV$6,IF(OR(COUNTIF('1.연간시수표'!AJ22,$AW$9),COUNTIF('1.연간시수표'!AJ22,$AW$7)),$AW$6,IF(OR(COUNTIF('1.연간시수표'!AJ22,$AX$9),COUNTIF('1.연간시수표'!AJ22,$AX$7)),$AX$6,IF(OR(COUNTIF('1.연간시수표'!AJ22,$AY$9),COUNTIF('1.연간시수표'!AJ22,$AY$7)),$AY$6,IF(OR(COUNTIF('1.연간시수표'!AJ22,$AZ$9),COUNTIF('1.연간시수표'!AJ22,$AZ$7)),$AZ$6,IF(OR(COUNTIF('1.연간시수표'!AJ22,$BA$9),COUNTIF('1.연간시수표'!AJ22,$BA$7)),$BA$6,IF(OR(COUNTIF('1.연간시수표'!AJ22,$BB$9),COUNTIF('1.연간시수표'!AJ22,$BB$7)),$BB$6,IF(OR(COUNTIF('1.연간시수표'!AJ22,$BC$9),COUNTIF('1.연간시수표'!AJ22,$BC$7)),$BC$6,IF(OR(COUNTIF('1.연간시수표'!AJ22,$BF$9),COUNTIF('1.연간시수표'!AJ22,$BF$7),COUNTIF('1.연간시수표'!AJ22,$BG$9),COUNTIF('1.연간시수표'!AJ22,$BG$7),COUNTIF('1.연간시수표'!AJ22,$BH$9),COUNTIF('1.연간시수표'!AJ22,$BH$7),COUNTIF('1.연간시수표'!AJ22,$BI$9),COUNTIF('1.연간시수표'!AJ22,$BI$7),COUNTIF('1.연간시수표'!AJ22,$BJ$9),COUNTIF('1.연간시수표'!AJ22,$BJ$7),COUNTIF('1.연간시수표'!AJ22,$BK$9),COUNTIF('1.연간시수표'!AJ22,$BK$7),COUNTIF('1.연간시수표'!AJ22,$BL$9),COUNTIF('1.연간시수표'!AJ22,$BL$7),COUNTIF('1.연간시수표'!AJ22,$BM$9),COUNTIF('1.연간시수표'!AJ22,$BM$7)),$BF$6,IF(OR(COUNTIF('1.연간시수표'!AJ22,$BO$9),COUNTIF('1.연간시수표'!AJ22,$BO$7)),$BO$6,IF(OR(COUNTIF('1.연간시수표'!AJ22,$BP$9),COUNTIF('1.연간시수표'!AJ22,$BP$7)),$BP$6,IF(OR(COUNTIF('1.연간시수표'!AJ22,$BQ$9),COUNTIF('1.연간시수표'!AJ22,$BQ$7)),$BQ$6,IF(OR(COUNTIF('1.연간시수표'!AJ22,$BR$9),COUNTIF('1.연간시수표'!AJ22,$BR$7)),$BR$6,"_")))))))))))))))</f>
        <v>_</v>
      </c>
      <c r="AK22" s="148" t="str">
        <f>IF(OR(COUNTIF('1.연간시수표'!AK22,$AT$9),COUNTIF('1.연간시수표'!AK22,$AT$7)),$AT$6,IF(OR(COUNTIF('1.연간시수표'!AK22,$AU$9),COUNTIF('1.연간시수표'!AK22,$AU$7)),$AU$6,IF(OR(COUNTIF('1.연간시수표'!AK22,$AV$9),COUNTIF('1.연간시수표'!AK22,$AV$7)),$AV$6,IF(OR(COUNTIF('1.연간시수표'!AK22,$AW$9),COUNTIF('1.연간시수표'!AK22,$AW$7)),$AW$6,IF(OR(COUNTIF('1.연간시수표'!AK22,$AX$9),COUNTIF('1.연간시수표'!AK22,$AX$7)),$AX$6,IF(OR(COUNTIF('1.연간시수표'!AK22,$AY$9),COUNTIF('1.연간시수표'!AK22,$AY$7)),$AY$6,IF(OR(COUNTIF('1.연간시수표'!AK22,$AZ$9),COUNTIF('1.연간시수표'!AK22,$AZ$7)),$AZ$6,IF(OR(COUNTIF('1.연간시수표'!AK22,$BA$9),COUNTIF('1.연간시수표'!AK22,$BA$7)),$BA$6,IF(OR(COUNTIF('1.연간시수표'!AK22,$BB$9),COUNTIF('1.연간시수표'!AK22,$BB$7)),$BB$6,IF(OR(COUNTIF('1.연간시수표'!AK22,$BC$9),COUNTIF('1.연간시수표'!AK22,$BC$7)),$BC$6,IF(OR(COUNTIF('1.연간시수표'!AK22,$BF$9),COUNTIF('1.연간시수표'!AK22,$BF$7),COUNTIF('1.연간시수표'!AK22,$BG$9),COUNTIF('1.연간시수표'!AK22,$BG$7),COUNTIF('1.연간시수표'!AK22,$BH$9),COUNTIF('1.연간시수표'!AK22,$BH$7),COUNTIF('1.연간시수표'!AK22,$BI$9),COUNTIF('1.연간시수표'!AK22,$BI$7),COUNTIF('1.연간시수표'!AK22,$BJ$9),COUNTIF('1.연간시수표'!AK22,$BJ$7),COUNTIF('1.연간시수표'!AK22,$BK$9),COUNTIF('1.연간시수표'!AK22,$BK$7),COUNTIF('1.연간시수표'!AK22,$BL$9),COUNTIF('1.연간시수표'!AK22,$BL$7),COUNTIF('1.연간시수표'!AK22,$BM$9),COUNTIF('1.연간시수표'!AK22,$BM$7)),$BF$6,IF(OR(COUNTIF('1.연간시수표'!AK22,$BO$9),COUNTIF('1.연간시수표'!AK22,$BO$7)),$BO$6,IF(OR(COUNTIF('1.연간시수표'!AK22,$BP$9),COUNTIF('1.연간시수표'!AK22,$BP$7)),$BP$6,IF(OR(COUNTIF('1.연간시수표'!AK22,$BQ$9),COUNTIF('1.연간시수표'!AK22,$BQ$7)),$BQ$6,IF(OR(COUNTIF('1.연간시수표'!AK22,$BR$9),COUNTIF('1.연간시수표'!AK22,$BR$7)),$BR$6,"_")))))))))))))))</f>
        <v>자율활동</v>
      </c>
      <c r="AL22" s="148" t="str">
        <f>IF(OR(COUNTIF('1.연간시수표'!AL22,$AT$9),COUNTIF('1.연간시수표'!AL22,$AT$7)),$AT$6,IF(OR(COUNTIF('1.연간시수표'!AL22,$AU$9),COUNTIF('1.연간시수표'!AL22,$AU$7)),$AU$6,IF(OR(COUNTIF('1.연간시수표'!AL22,$AV$9),COUNTIF('1.연간시수표'!AL22,$AV$7)),$AV$6,IF(OR(COUNTIF('1.연간시수표'!AL22,$AW$9),COUNTIF('1.연간시수표'!AL22,$AW$7)),$AW$6,IF(OR(COUNTIF('1.연간시수표'!AL22,$AX$9),COUNTIF('1.연간시수표'!AL22,$AX$7)),$AX$6,IF(OR(COUNTIF('1.연간시수표'!AL22,$AY$9),COUNTIF('1.연간시수표'!AL22,$AY$7)),$AY$6,IF(OR(COUNTIF('1.연간시수표'!AL22,$AZ$9),COUNTIF('1.연간시수표'!AL22,$AZ$7)),$AZ$6,IF(OR(COUNTIF('1.연간시수표'!AL22,$BA$9),COUNTIF('1.연간시수표'!AL22,$BA$7)),$BA$6,IF(OR(COUNTIF('1.연간시수표'!AL22,$BB$9),COUNTIF('1.연간시수표'!AL22,$BB$7)),$BB$6,IF(OR(COUNTIF('1.연간시수표'!AL22,$BC$9),COUNTIF('1.연간시수표'!AL22,$BC$7)),$BC$6,IF(OR(COUNTIF('1.연간시수표'!AL22,$BF$9),COUNTIF('1.연간시수표'!AL22,$BF$7),COUNTIF('1.연간시수표'!AL22,$BG$9),COUNTIF('1.연간시수표'!AL22,$BG$7),COUNTIF('1.연간시수표'!AL22,$BH$9),COUNTIF('1.연간시수표'!AL22,$BH$7),COUNTIF('1.연간시수표'!AL22,$BI$9),COUNTIF('1.연간시수표'!AL22,$BI$7),COUNTIF('1.연간시수표'!AL22,$BJ$9),COUNTIF('1.연간시수표'!AL22,$BJ$7),COUNTIF('1.연간시수표'!AL22,$BK$9),COUNTIF('1.연간시수표'!AL22,$BK$7),COUNTIF('1.연간시수표'!AL22,$BL$9),COUNTIF('1.연간시수표'!AL22,$BL$7),COUNTIF('1.연간시수표'!AL22,$BM$9),COUNTIF('1.연간시수표'!AL22,$BM$7)),$BF$6,IF(OR(COUNTIF('1.연간시수표'!AL22,$BO$9),COUNTIF('1.연간시수표'!AL22,$BO$7)),$BO$6,IF(OR(COUNTIF('1.연간시수표'!AL22,$BP$9),COUNTIF('1.연간시수표'!AL22,$BP$7)),$BP$6,IF(OR(COUNTIF('1.연간시수표'!AL22,$BQ$9),COUNTIF('1.연간시수표'!AL22,$BQ$7)),$BQ$6,IF(OR(COUNTIF('1.연간시수표'!AL22,$BR$9),COUNTIF('1.연간시수표'!AL22,$BR$7)),$BR$6,"_")))))))))))))))</f>
        <v>체육</v>
      </c>
      <c r="AM22" s="148" t="str">
        <f>IF(OR(COUNTIF('1.연간시수표'!AM22,$AT$9),COUNTIF('1.연간시수표'!AM22,$AT$7)),$AT$6,IF(OR(COUNTIF('1.연간시수표'!AM22,$AU$9),COUNTIF('1.연간시수표'!AM22,$AU$7)),$AU$6,IF(OR(COUNTIF('1.연간시수표'!AM22,$AV$9),COUNTIF('1.연간시수표'!AM22,$AV$7)),$AV$6,IF(OR(COUNTIF('1.연간시수표'!AM22,$AW$9),COUNTIF('1.연간시수표'!AM22,$AW$7)),$AW$6,IF(OR(COUNTIF('1.연간시수표'!AM22,$AX$9),COUNTIF('1.연간시수표'!AM22,$AX$7)),$AX$6,IF(OR(COUNTIF('1.연간시수표'!AM22,$AY$9),COUNTIF('1.연간시수표'!AM22,$AY$7)),$AY$6,IF(OR(COUNTIF('1.연간시수표'!AM22,$AZ$9),COUNTIF('1.연간시수표'!AM22,$AZ$7)),$AZ$6,IF(OR(COUNTIF('1.연간시수표'!AM22,$BA$9),COUNTIF('1.연간시수표'!AM22,$BA$7)),$BA$6,IF(OR(COUNTIF('1.연간시수표'!AM22,$BB$9),COUNTIF('1.연간시수표'!AM22,$BB$7)),$BB$6,IF(OR(COUNTIF('1.연간시수표'!AM22,$BC$9),COUNTIF('1.연간시수표'!AM22,$BC$7)),$BC$6,IF(OR(COUNTIF('1.연간시수표'!AM22,$BF$9),COUNTIF('1.연간시수표'!AM22,$BF$7),COUNTIF('1.연간시수표'!AM22,$BG$9),COUNTIF('1.연간시수표'!AM22,$BG$7),COUNTIF('1.연간시수표'!AM22,$BH$9),COUNTIF('1.연간시수표'!AM22,$BH$7),COUNTIF('1.연간시수표'!AM22,$BI$9),COUNTIF('1.연간시수표'!AM22,$BI$7),COUNTIF('1.연간시수표'!AM22,$BJ$9),COUNTIF('1.연간시수표'!AM22,$BJ$7),COUNTIF('1.연간시수표'!AM22,$BK$9),COUNTIF('1.연간시수표'!AM22,$BK$7),COUNTIF('1.연간시수표'!AM22,$BL$9),COUNTIF('1.연간시수표'!AM22,$BL$7),COUNTIF('1.연간시수표'!AM22,$BM$9),COUNTIF('1.연간시수표'!AM22,$BM$7)),$BF$6,IF(OR(COUNTIF('1.연간시수표'!AM22,$BO$9),COUNTIF('1.연간시수표'!AM22,$BO$7)),$BO$6,IF(OR(COUNTIF('1.연간시수표'!AM22,$BP$9),COUNTIF('1.연간시수표'!AM22,$BP$7)),$BP$6,IF(OR(COUNTIF('1.연간시수표'!AM22,$BQ$9),COUNTIF('1.연간시수표'!AM22,$BQ$7)),$BQ$6,IF(OR(COUNTIF('1.연간시수표'!AM22,$BR$9),COUNTIF('1.연간시수표'!AM22,$BR$7)),$BR$6,"_")))))))))))))))</f>
        <v>수학</v>
      </c>
      <c r="AN22" s="148" t="str">
        <f>IF(OR(COUNTIF('1.연간시수표'!AN22,$AT$9),COUNTIF('1.연간시수표'!AN22,$AT$7)),$AT$6,IF(OR(COUNTIF('1.연간시수표'!AN22,$AU$9),COUNTIF('1.연간시수표'!AN22,$AU$7)),$AU$6,IF(OR(COUNTIF('1.연간시수표'!AN22,$AV$9),COUNTIF('1.연간시수표'!AN22,$AV$7)),$AV$6,IF(OR(COUNTIF('1.연간시수표'!AN22,$AW$9),COUNTIF('1.연간시수표'!AN22,$AW$7)),$AW$6,IF(OR(COUNTIF('1.연간시수표'!AN22,$AX$9),COUNTIF('1.연간시수표'!AN22,$AX$7)),$AX$6,IF(OR(COUNTIF('1.연간시수표'!AN22,$AY$9),COUNTIF('1.연간시수표'!AN22,$AY$7)),$AY$6,IF(OR(COUNTIF('1.연간시수표'!AN22,$AZ$9),COUNTIF('1.연간시수표'!AN22,$AZ$7)),$AZ$6,IF(OR(COUNTIF('1.연간시수표'!AN22,$BA$9),COUNTIF('1.연간시수표'!AN22,$BA$7)),$BA$6,IF(OR(COUNTIF('1.연간시수표'!AN22,$BB$9),COUNTIF('1.연간시수표'!AN22,$BB$7)),$BB$6,IF(OR(COUNTIF('1.연간시수표'!AN22,$BC$9),COUNTIF('1.연간시수표'!AN22,$BC$7)),$BC$6,IF(OR(COUNTIF('1.연간시수표'!AN22,$BF$9),COUNTIF('1.연간시수표'!AN22,$BF$7),COUNTIF('1.연간시수표'!AN22,$BG$9),COUNTIF('1.연간시수표'!AN22,$BG$7),COUNTIF('1.연간시수표'!AN22,$BH$9),COUNTIF('1.연간시수표'!AN22,$BH$7),COUNTIF('1.연간시수표'!AN22,$BI$9),COUNTIF('1.연간시수표'!AN22,$BI$7),COUNTIF('1.연간시수표'!AN22,$BJ$9),COUNTIF('1.연간시수표'!AN22,$BJ$7),COUNTIF('1.연간시수표'!AN22,$BK$9),COUNTIF('1.연간시수표'!AN22,$BK$7),COUNTIF('1.연간시수표'!AN22,$BL$9),COUNTIF('1.연간시수표'!AN22,$BL$7),COUNTIF('1.연간시수표'!AN22,$BM$9),COUNTIF('1.연간시수표'!AN22,$BM$7)),$BF$6,IF(OR(COUNTIF('1.연간시수표'!AN22,$BO$9),COUNTIF('1.연간시수표'!AN22,$BO$7)),$BO$6,IF(OR(COUNTIF('1.연간시수표'!AN22,$BP$9),COUNTIF('1.연간시수표'!AN22,$BP$7)),$BP$6,IF(OR(COUNTIF('1.연간시수표'!AN22,$BQ$9),COUNTIF('1.연간시수표'!AN22,$BQ$7)),$BQ$6,IF(OR(COUNTIF('1.연간시수표'!AN22,$BR$9),COUNTIF('1.연간시수표'!AN22,$BR$7)),$BR$6,"_")))))))))))))))</f>
        <v>국어</v>
      </c>
      <c r="AO22" s="148" t="str">
        <f>IF(OR(COUNTIF('1.연간시수표'!AO22,$AT$9),COUNTIF('1.연간시수표'!AO22,$AT$7)),$AT$6,IF(OR(COUNTIF('1.연간시수표'!AO22,$AU$9),COUNTIF('1.연간시수표'!AO22,$AU$7)),$AU$6,IF(OR(COUNTIF('1.연간시수표'!AO22,$AV$9),COUNTIF('1.연간시수표'!AO22,$AV$7)),$AV$6,IF(OR(COUNTIF('1.연간시수표'!AO22,$AW$9),COUNTIF('1.연간시수표'!AO22,$AW$7)),$AW$6,IF(OR(COUNTIF('1.연간시수표'!AO22,$AX$9),COUNTIF('1.연간시수표'!AO22,$AX$7)),$AX$6,IF(OR(COUNTIF('1.연간시수표'!AO22,$AY$9),COUNTIF('1.연간시수표'!AO22,$AY$7)),$AY$6,IF(OR(COUNTIF('1.연간시수표'!AO22,$AZ$9),COUNTIF('1.연간시수표'!AO22,$AZ$7)),$AZ$6,IF(OR(COUNTIF('1.연간시수표'!AO22,$BA$9),COUNTIF('1.연간시수표'!AO22,$BA$7)),$BA$6,IF(OR(COUNTIF('1.연간시수표'!AO22,$BB$9),COUNTIF('1.연간시수표'!AO22,$BB$7)),$BB$6,IF(OR(COUNTIF('1.연간시수표'!AO22,$BC$9),COUNTIF('1.연간시수표'!AO22,$BC$7)),$BC$6,IF(OR(COUNTIF('1.연간시수표'!AO22,$BF$9),COUNTIF('1.연간시수표'!AO22,$BF$7),COUNTIF('1.연간시수표'!AO22,$BG$9),COUNTIF('1.연간시수표'!AO22,$BG$7),COUNTIF('1.연간시수표'!AO22,$BH$9),COUNTIF('1.연간시수표'!AO22,$BH$7),COUNTIF('1.연간시수표'!AO22,$BI$9),COUNTIF('1.연간시수표'!AO22,$BI$7),COUNTIF('1.연간시수표'!AO22,$BJ$9),COUNTIF('1.연간시수표'!AO22,$BJ$7),COUNTIF('1.연간시수표'!AO22,$BK$9),COUNTIF('1.연간시수표'!AO22,$BK$7),COUNTIF('1.연간시수표'!AO22,$BL$9),COUNTIF('1.연간시수표'!AO22,$BL$7),COUNTIF('1.연간시수표'!AO22,$BM$9),COUNTIF('1.연간시수표'!AO22,$BM$7)),$BF$6,IF(OR(COUNTIF('1.연간시수표'!AO22,$BO$9),COUNTIF('1.연간시수표'!AO22,$BO$7)),$BO$6,IF(OR(COUNTIF('1.연간시수표'!AO22,$BP$9),COUNTIF('1.연간시수표'!AO22,$BP$7)),$BP$6,IF(OR(COUNTIF('1.연간시수표'!AO22,$BQ$9),COUNTIF('1.연간시수표'!AO22,$BQ$7)),$BQ$6,IF(OR(COUNTIF('1.연간시수표'!AO22,$BR$9),COUNTIF('1.연간시수표'!AO22,$BR$7)),$BR$6,"_")))))))))))))))</f>
        <v>사회</v>
      </c>
      <c r="AP22" s="148" t="str">
        <f>IF(OR(COUNTIF('1.연간시수표'!AP22,$AT$9),COUNTIF('1.연간시수표'!AP22,$AT$7)),$AT$6,IF(OR(COUNTIF('1.연간시수표'!AP22,$AU$9),COUNTIF('1.연간시수표'!AP22,$AU$7)),$AU$6,IF(OR(COUNTIF('1.연간시수표'!AP22,$AV$9),COUNTIF('1.연간시수표'!AP22,$AV$7)),$AV$6,IF(OR(COUNTIF('1.연간시수표'!AP22,$AW$9),COUNTIF('1.연간시수표'!AP22,$AW$7)),$AW$6,IF(OR(COUNTIF('1.연간시수표'!AP22,$AX$9),COUNTIF('1.연간시수표'!AP22,$AX$7)),$AX$6,IF(OR(COUNTIF('1.연간시수표'!AP22,$AY$9),COUNTIF('1.연간시수표'!AP22,$AY$7)),$AY$6,IF(OR(COUNTIF('1.연간시수표'!AP22,$AZ$9),COUNTIF('1.연간시수표'!AP22,$AZ$7)),$AZ$6,IF(OR(COUNTIF('1.연간시수표'!AP22,$BA$9),COUNTIF('1.연간시수표'!AP22,$BA$7)),$BA$6,IF(OR(COUNTIF('1.연간시수표'!AP22,$BB$9),COUNTIF('1.연간시수표'!AP22,$BB$7)),$BB$6,IF(OR(COUNTIF('1.연간시수표'!AP22,$BC$9),COUNTIF('1.연간시수표'!AP22,$BC$7)),$BC$6,IF(OR(COUNTIF('1.연간시수표'!AP22,$BF$9),COUNTIF('1.연간시수표'!AP22,$BF$7),COUNTIF('1.연간시수표'!AP22,$BG$9),COUNTIF('1.연간시수표'!AP22,$BG$7),COUNTIF('1.연간시수표'!AP22,$BH$9),COUNTIF('1.연간시수표'!AP22,$BH$7),COUNTIF('1.연간시수표'!AP22,$BI$9),COUNTIF('1.연간시수표'!AP22,$BI$7),COUNTIF('1.연간시수표'!AP22,$BJ$9),COUNTIF('1.연간시수표'!AP22,$BJ$7),COUNTIF('1.연간시수표'!AP22,$BK$9),COUNTIF('1.연간시수표'!AP22,$BK$7),COUNTIF('1.연간시수표'!AP22,$BL$9),COUNTIF('1.연간시수표'!AP22,$BL$7),COUNTIF('1.연간시수표'!AP22,$BM$9),COUNTIF('1.연간시수표'!AP22,$BM$7)),$BF$6,IF(OR(COUNTIF('1.연간시수표'!AP22,$BO$9),COUNTIF('1.연간시수표'!AP22,$BO$7)),$BO$6,IF(OR(COUNTIF('1.연간시수표'!AP22,$BP$9),COUNTIF('1.연간시수표'!AP22,$BP$7)),$BP$6,IF(OR(COUNTIF('1.연간시수표'!AP22,$BQ$9),COUNTIF('1.연간시수표'!AP22,$BQ$7)),$BQ$6,IF(OR(COUNTIF('1.연간시수표'!AP22,$BR$9),COUNTIF('1.연간시수표'!AP22,$BR$7)),$BR$6,"_")))))))))))))))</f>
        <v>실과</v>
      </c>
      <c r="AQ22" s="148" t="str">
        <f>IF(OR(COUNTIF('1.연간시수표'!AQ22,$AT$9),COUNTIF('1.연간시수표'!AQ22,$AT$7)),$AT$6,IF(OR(COUNTIF('1.연간시수표'!AQ22,$AU$9),COUNTIF('1.연간시수표'!AQ22,$AU$7)),$AU$6,IF(OR(COUNTIF('1.연간시수표'!AQ22,$AV$9),COUNTIF('1.연간시수표'!AQ22,$AV$7)),$AV$6,IF(OR(COUNTIF('1.연간시수표'!AQ22,$AW$9),COUNTIF('1.연간시수표'!AQ22,$AW$7)),$AW$6,IF(OR(COUNTIF('1.연간시수표'!AQ22,$AX$9),COUNTIF('1.연간시수표'!AQ22,$AX$7)),$AX$6,IF(OR(COUNTIF('1.연간시수표'!AQ22,$AY$9),COUNTIF('1.연간시수표'!AQ22,$AY$7)),$AY$6,IF(OR(COUNTIF('1.연간시수표'!AQ22,$AZ$9),COUNTIF('1.연간시수표'!AQ22,$AZ$7)),$AZ$6,IF(OR(COUNTIF('1.연간시수표'!AQ22,$BA$9),COUNTIF('1.연간시수표'!AQ22,$BA$7)),$BA$6,IF(OR(COUNTIF('1.연간시수표'!AQ22,$BB$9),COUNTIF('1.연간시수표'!AQ22,$BB$7)),$BB$6,IF(OR(COUNTIF('1.연간시수표'!AQ22,$BC$9),COUNTIF('1.연간시수표'!AQ22,$BC$7)),$BC$6,IF(OR(COUNTIF('1.연간시수표'!AQ22,$BF$9),COUNTIF('1.연간시수표'!AQ22,$BF$7),COUNTIF('1.연간시수표'!AQ22,$BG$9),COUNTIF('1.연간시수표'!AQ22,$BG$7),COUNTIF('1.연간시수표'!AQ22,$BH$9),COUNTIF('1.연간시수표'!AQ22,$BH$7),COUNTIF('1.연간시수표'!AQ22,$BI$9),COUNTIF('1.연간시수표'!AQ22,$BI$7),COUNTIF('1.연간시수표'!AQ22,$BJ$9),COUNTIF('1.연간시수표'!AQ22,$BJ$7),COUNTIF('1.연간시수표'!AQ22,$BK$9),COUNTIF('1.연간시수표'!AQ22,$BK$7),COUNTIF('1.연간시수표'!AQ22,$BL$9),COUNTIF('1.연간시수표'!AQ22,$BL$7),COUNTIF('1.연간시수표'!AQ22,$BM$9),COUNTIF('1.연간시수표'!AQ22,$BM$7)),$BF$6,IF(OR(COUNTIF('1.연간시수표'!AQ22,$BO$9),COUNTIF('1.연간시수표'!AQ22,$BO$7)),$BO$6,IF(OR(COUNTIF('1.연간시수표'!AQ22,$BP$9),COUNTIF('1.연간시수표'!AQ22,$BP$7)),$BP$6,IF(OR(COUNTIF('1.연간시수표'!AQ22,$BQ$9),COUNTIF('1.연간시수표'!AQ22,$BQ$7)),$BQ$6,IF(OR(COUNTIF('1.연간시수표'!AQ22,$BR$9),COUNTIF('1.연간시수표'!AQ22,$BR$7)),$BR$6,"_")))))))))))))))</f>
        <v>_</v>
      </c>
      <c r="AR22" s="148" t="str">
        <f>IF(OR(COUNTIF('1.연간시수표'!AR22,$AT$9),COUNTIF('1.연간시수표'!AR22,$AT$7)),$AT$6,IF(OR(COUNTIF('1.연간시수표'!AR22,$AU$9),COUNTIF('1.연간시수표'!AR22,$AU$7)),$AU$6,IF(OR(COUNTIF('1.연간시수표'!AR22,$AV$9),COUNTIF('1.연간시수표'!AR22,$AV$7)),$AV$6,IF(OR(COUNTIF('1.연간시수표'!AR22,$AW$9),COUNTIF('1.연간시수표'!AR22,$AW$7)),$AW$6,IF(OR(COUNTIF('1.연간시수표'!AR22,$AX$9),COUNTIF('1.연간시수표'!AR22,$AX$7)),$AX$6,IF(OR(COUNTIF('1.연간시수표'!AR22,$AY$9),COUNTIF('1.연간시수표'!AR22,$AY$7)),$AY$6,IF(OR(COUNTIF('1.연간시수표'!AR22,$AZ$9),COUNTIF('1.연간시수표'!AR22,$AZ$7)),$AZ$6,IF(OR(COUNTIF('1.연간시수표'!AR22,$BA$9),COUNTIF('1.연간시수표'!AR22,$BA$7)),$BA$6,IF(OR(COUNTIF('1.연간시수표'!AR22,$BB$9),COUNTIF('1.연간시수표'!AR22,$BB$7)),$BB$6,IF(OR(COUNTIF('1.연간시수표'!AR22,$BC$9),COUNTIF('1.연간시수표'!AR22,$BC$7)),$BC$6,IF(OR(COUNTIF('1.연간시수표'!AR22,$BF$9),COUNTIF('1.연간시수표'!AR22,$BF$7),COUNTIF('1.연간시수표'!AR22,$BG$9),COUNTIF('1.연간시수표'!AR22,$BG$7),COUNTIF('1.연간시수표'!AR22,$BH$9),COUNTIF('1.연간시수표'!AR22,$BH$7),COUNTIF('1.연간시수표'!AR22,$BI$9),COUNTIF('1.연간시수표'!AR22,$BI$7),COUNTIF('1.연간시수표'!AR22,$BJ$9),COUNTIF('1.연간시수표'!AR22,$BJ$7),COUNTIF('1.연간시수표'!AR22,$BK$9),COUNTIF('1.연간시수표'!AR22,$BK$7),COUNTIF('1.연간시수표'!AR22,$BL$9),COUNTIF('1.연간시수표'!AR22,$BL$7),COUNTIF('1.연간시수표'!AR22,$BM$9),COUNTIF('1.연간시수표'!AR22,$BM$7)),$BF$6,IF(OR(COUNTIF('1.연간시수표'!AR22,$BO$9),COUNTIF('1.연간시수표'!AR22,$BO$7)),$BO$6,IF(OR(COUNTIF('1.연간시수표'!AR22,$BP$9),COUNTIF('1.연간시수표'!AR22,$BP$7)),$BP$6,IF(OR(COUNTIF('1.연간시수표'!AR22,$BQ$9),COUNTIF('1.연간시수표'!AR22,$BQ$7)),$BQ$6,IF(OR(COUNTIF('1.연간시수표'!AR22,$BR$9),COUNTIF('1.연간시수표'!AR22,$BR$7)),$BR$6,"_")))))))))))))))</f>
        <v>_</v>
      </c>
      <c r="BU22" s="142" t="str">
        <f>BC6</f>
        <v>영어</v>
      </c>
      <c r="BV22" s="142" t="str">
        <f t="shared" si="0"/>
        <v>영어</v>
      </c>
    </row>
    <row r="23" spans="2:74">
      <c r="B23" s="6"/>
      <c r="C23" s="79">
        <f>'1.연간시수표'!C23</f>
        <v>14</v>
      </c>
      <c r="D23" s="3"/>
      <c r="E23" s="148" t="str">
        <f>IF(OR(COUNTIF('1.연간시수표'!E23,$AT$9),COUNTIF('1.연간시수표'!E23,$AT$7)),$AT$6,IF(OR(COUNTIF('1.연간시수표'!E23,$AU$9),COUNTIF('1.연간시수표'!E23,$AU$7)),$AU$6,IF(OR(COUNTIF('1.연간시수표'!E23,$AV$9),COUNTIF('1.연간시수표'!E23,$AV$7)),$AV$6,IF(OR(COUNTIF('1.연간시수표'!E23,$AW$9),COUNTIF('1.연간시수표'!E23,$AW$7)),$AW$6,IF(OR(COUNTIF('1.연간시수표'!E23,$AX$9),COUNTIF('1.연간시수표'!E23,$AX$7)),$AX$6,IF(OR(COUNTIF('1.연간시수표'!E23,$AY$9),COUNTIF('1.연간시수표'!E23,$AY$7)),$AY$6,IF(OR(COUNTIF('1.연간시수표'!E23,$AZ$9),COUNTIF('1.연간시수표'!E23,$AZ$7)),$AZ$6,IF(OR(COUNTIF('1.연간시수표'!E23,$BA$9),COUNTIF('1.연간시수표'!E23,$BA$7)),$BA$6,IF(OR(COUNTIF('1.연간시수표'!E23,$BB$9),COUNTIF('1.연간시수표'!E23,$BB$7)),$BB$6,IF(OR(COUNTIF('1.연간시수표'!E23,$BC$9),COUNTIF('1.연간시수표'!E23,$BC$7)),$BC$6,IF(OR(COUNTIF('1.연간시수표'!E23,$BF$9),COUNTIF('1.연간시수표'!E23,$BF$7),COUNTIF('1.연간시수표'!E23,$BG$9),COUNTIF('1.연간시수표'!E23,$BG$7),COUNTIF('1.연간시수표'!E23,$BH$9),COUNTIF('1.연간시수표'!E23,$BH$7),COUNTIF('1.연간시수표'!E23,$BI$9),COUNTIF('1.연간시수표'!E23,$BI$7),COUNTIF('1.연간시수표'!E23,$BJ$9),COUNTIF('1.연간시수표'!E23,$BJ$7),COUNTIF('1.연간시수표'!E23,$BK$9),COUNTIF('1.연간시수표'!E23,$BK$7),COUNTIF('1.연간시수표'!E23,$BL$9),COUNTIF('1.연간시수표'!E23,$BL$7),COUNTIF('1.연간시수표'!E23,$BM$9),COUNTIF('1.연간시수표'!E23,$BM$7)),$BF$6,IF(OR(COUNTIF('1.연간시수표'!E23,$BO$9),COUNTIF('1.연간시수표'!E23,$BO$7)),$BO$6,IF(OR(COUNTIF('1.연간시수표'!E23,$BP$9),COUNTIF('1.연간시수표'!E23,$BP$7)),$BP$6,IF(OR(COUNTIF('1.연간시수표'!E23,$BQ$9),COUNTIF('1.연간시수표'!E23,$BQ$7)),$BQ$6,IF(OR(COUNTIF('1.연간시수표'!E23,$BR$9),COUNTIF('1.연간시수표'!E23,$BR$7)),$BR$6,"_")))))))))))))))</f>
        <v>국어</v>
      </c>
      <c r="F23" s="148" t="str">
        <f>IF(OR(COUNTIF('1.연간시수표'!F23,$AT$9),COUNTIF('1.연간시수표'!F23,$AT$7)),$AT$6,IF(OR(COUNTIF('1.연간시수표'!F23,$AU$9),COUNTIF('1.연간시수표'!F23,$AU$7)),$AU$6,IF(OR(COUNTIF('1.연간시수표'!F23,$AV$9),COUNTIF('1.연간시수표'!F23,$AV$7)),$AV$6,IF(OR(COUNTIF('1.연간시수표'!F23,$AW$9),COUNTIF('1.연간시수표'!F23,$AW$7)),$AW$6,IF(OR(COUNTIF('1.연간시수표'!F23,$AX$9),COUNTIF('1.연간시수표'!F23,$AX$7)),$AX$6,IF(OR(COUNTIF('1.연간시수표'!F23,$AY$9),COUNTIF('1.연간시수표'!F23,$AY$7)),$AY$6,IF(OR(COUNTIF('1.연간시수표'!F23,$AZ$9),COUNTIF('1.연간시수표'!F23,$AZ$7)),$AZ$6,IF(OR(COUNTIF('1.연간시수표'!F23,$BA$9),COUNTIF('1.연간시수표'!F23,$BA$7)),$BA$6,IF(OR(COUNTIF('1.연간시수표'!F23,$BB$9),COUNTIF('1.연간시수표'!F23,$BB$7)),$BB$6,IF(OR(COUNTIF('1.연간시수표'!F23,$BC$9),COUNTIF('1.연간시수표'!F23,$BC$7)),$BC$6,IF(OR(COUNTIF('1.연간시수표'!F23,$BF$9),COUNTIF('1.연간시수표'!F23,$BF$7),COUNTIF('1.연간시수표'!F23,$BG$9),COUNTIF('1.연간시수표'!F23,$BG$7),COUNTIF('1.연간시수표'!F23,$BH$9),COUNTIF('1.연간시수표'!F23,$BH$7),COUNTIF('1.연간시수표'!F23,$BI$9),COUNTIF('1.연간시수표'!F23,$BI$7),COUNTIF('1.연간시수표'!F23,$BJ$9),COUNTIF('1.연간시수표'!F23,$BJ$7),COUNTIF('1.연간시수표'!F23,$BK$9),COUNTIF('1.연간시수표'!F23,$BK$7),COUNTIF('1.연간시수표'!F23,$BL$9),COUNTIF('1.연간시수표'!F23,$BL$7),COUNTIF('1.연간시수표'!F23,$BM$9),COUNTIF('1.연간시수표'!F23,$BM$7)),$BF$6,IF(OR(COUNTIF('1.연간시수표'!F23,$BO$9),COUNTIF('1.연간시수표'!F23,$BO$7)),$BO$6,IF(OR(COUNTIF('1.연간시수표'!F23,$BP$9),COUNTIF('1.연간시수표'!F23,$BP$7)),$BP$6,IF(OR(COUNTIF('1.연간시수표'!F23,$BQ$9),COUNTIF('1.연간시수표'!F23,$BQ$7)),$BQ$6,IF(OR(COUNTIF('1.연간시수표'!F23,$BR$9),COUNTIF('1.연간시수표'!F23,$BR$7)),$BR$6,"_")))))))))))))))</f>
        <v>미술</v>
      </c>
      <c r="G23" s="148" t="str">
        <f>IF(OR(COUNTIF('1.연간시수표'!G23,$AT$9),COUNTIF('1.연간시수표'!G23,$AT$7)),$AT$6,IF(OR(COUNTIF('1.연간시수표'!G23,$AU$9),COUNTIF('1.연간시수표'!G23,$AU$7)),$AU$6,IF(OR(COUNTIF('1.연간시수표'!G23,$AV$9),COUNTIF('1.연간시수표'!G23,$AV$7)),$AV$6,IF(OR(COUNTIF('1.연간시수표'!G23,$AW$9),COUNTIF('1.연간시수표'!G23,$AW$7)),$AW$6,IF(OR(COUNTIF('1.연간시수표'!G23,$AX$9),COUNTIF('1.연간시수표'!G23,$AX$7)),$AX$6,IF(OR(COUNTIF('1.연간시수표'!G23,$AY$9),COUNTIF('1.연간시수표'!G23,$AY$7)),$AY$6,IF(OR(COUNTIF('1.연간시수표'!G23,$AZ$9),COUNTIF('1.연간시수표'!G23,$AZ$7)),$AZ$6,IF(OR(COUNTIF('1.연간시수표'!G23,$BA$9),COUNTIF('1.연간시수표'!G23,$BA$7)),$BA$6,IF(OR(COUNTIF('1.연간시수표'!G23,$BB$9),COUNTIF('1.연간시수표'!G23,$BB$7)),$BB$6,IF(OR(COUNTIF('1.연간시수표'!G23,$BC$9),COUNTIF('1.연간시수표'!G23,$BC$7)),$BC$6,IF(OR(COUNTIF('1.연간시수표'!G23,$BF$9),COUNTIF('1.연간시수표'!G23,$BF$7),COUNTIF('1.연간시수표'!G23,$BG$9),COUNTIF('1.연간시수표'!G23,$BG$7),COUNTIF('1.연간시수표'!G23,$BH$9),COUNTIF('1.연간시수표'!G23,$BH$7),COUNTIF('1.연간시수표'!G23,$BI$9),COUNTIF('1.연간시수표'!G23,$BI$7),COUNTIF('1.연간시수표'!G23,$BJ$9),COUNTIF('1.연간시수표'!G23,$BJ$7),COUNTIF('1.연간시수표'!G23,$BK$9),COUNTIF('1.연간시수표'!G23,$BK$7),COUNTIF('1.연간시수표'!G23,$BL$9),COUNTIF('1.연간시수표'!G23,$BL$7),COUNTIF('1.연간시수표'!G23,$BM$9),COUNTIF('1.연간시수표'!G23,$BM$7)),$BF$6,IF(OR(COUNTIF('1.연간시수표'!G23,$BO$9),COUNTIF('1.연간시수표'!G23,$BO$7)),$BO$6,IF(OR(COUNTIF('1.연간시수표'!G23,$BP$9),COUNTIF('1.연간시수표'!G23,$BP$7)),$BP$6,IF(OR(COUNTIF('1.연간시수표'!G23,$BQ$9),COUNTIF('1.연간시수표'!G23,$BQ$7)),$BQ$6,IF(OR(COUNTIF('1.연간시수표'!G23,$BR$9),COUNTIF('1.연간시수표'!G23,$BR$7)),$BR$6,"_")))))))))))))))</f>
        <v>미술</v>
      </c>
      <c r="H23" s="148" t="str">
        <f>IF(OR(COUNTIF('1.연간시수표'!H23,$AT$9),COUNTIF('1.연간시수표'!H23,$AT$7)),$AT$6,IF(OR(COUNTIF('1.연간시수표'!H23,$AU$9),COUNTIF('1.연간시수표'!H23,$AU$7)),$AU$6,IF(OR(COUNTIF('1.연간시수표'!H23,$AV$9),COUNTIF('1.연간시수표'!H23,$AV$7)),$AV$6,IF(OR(COUNTIF('1.연간시수표'!H23,$AW$9),COUNTIF('1.연간시수표'!H23,$AW$7)),$AW$6,IF(OR(COUNTIF('1.연간시수표'!H23,$AX$9),COUNTIF('1.연간시수표'!H23,$AX$7)),$AX$6,IF(OR(COUNTIF('1.연간시수표'!H23,$AY$9),COUNTIF('1.연간시수표'!H23,$AY$7)),$AY$6,IF(OR(COUNTIF('1.연간시수표'!H23,$AZ$9),COUNTIF('1.연간시수표'!H23,$AZ$7)),$AZ$6,IF(OR(COUNTIF('1.연간시수표'!H23,$BA$9),COUNTIF('1.연간시수표'!H23,$BA$7)),$BA$6,IF(OR(COUNTIF('1.연간시수표'!H23,$BB$9),COUNTIF('1.연간시수표'!H23,$BB$7)),$BB$6,IF(OR(COUNTIF('1.연간시수표'!H23,$BC$9),COUNTIF('1.연간시수표'!H23,$BC$7)),$BC$6,IF(OR(COUNTIF('1.연간시수표'!H23,$BF$9),COUNTIF('1.연간시수표'!H23,$BF$7),COUNTIF('1.연간시수표'!H23,$BG$9),COUNTIF('1.연간시수표'!H23,$BG$7),COUNTIF('1.연간시수표'!H23,$BH$9),COUNTIF('1.연간시수표'!H23,$BH$7),COUNTIF('1.연간시수표'!H23,$BI$9),COUNTIF('1.연간시수표'!H23,$BI$7),COUNTIF('1.연간시수표'!H23,$BJ$9),COUNTIF('1.연간시수표'!H23,$BJ$7),COUNTIF('1.연간시수표'!H23,$BK$9),COUNTIF('1.연간시수표'!H23,$BK$7),COUNTIF('1.연간시수표'!H23,$BL$9),COUNTIF('1.연간시수표'!H23,$BL$7),COUNTIF('1.연간시수표'!H23,$BM$9),COUNTIF('1.연간시수표'!H23,$BM$7)),$BF$6,IF(OR(COUNTIF('1.연간시수표'!H23,$BO$9),COUNTIF('1.연간시수표'!H23,$BO$7)),$BO$6,IF(OR(COUNTIF('1.연간시수표'!H23,$BP$9),COUNTIF('1.연간시수표'!H23,$BP$7)),$BP$6,IF(OR(COUNTIF('1.연간시수표'!H23,$BQ$9),COUNTIF('1.연간시수표'!H23,$BQ$7)),$BQ$6,IF(OR(COUNTIF('1.연간시수표'!H23,$BR$9),COUNTIF('1.연간시수표'!H23,$BR$7)),$BR$6,"_")))))))))))))))</f>
        <v>영어</v>
      </c>
      <c r="I23" s="148" t="str">
        <f>IF(OR(COUNTIF('1.연간시수표'!I23,$AT$9),COUNTIF('1.연간시수표'!I23,$AT$7)),$AT$6,IF(OR(COUNTIF('1.연간시수표'!I23,$AU$9),COUNTIF('1.연간시수표'!I23,$AU$7)),$AU$6,IF(OR(COUNTIF('1.연간시수표'!I23,$AV$9),COUNTIF('1.연간시수표'!I23,$AV$7)),$AV$6,IF(OR(COUNTIF('1.연간시수표'!I23,$AW$9),COUNTIF('1.연간시수표'!I23,$AW$7)),$AW$6,IF(OR(COUNTIF('1.연간시수표'!I23,$AX$9),COUNTIF('1.연간시수표'!I23,$AX$7)),$AX$6,IF(OR(COUNTIF('1.연간시수표'!I23,$AY$9),COUNTIF('1.연간시수표'!I23,$AY$7)),$AY$6,IF(OR(COUNTIF('1.연간시수표'!I23,$AZ$9),COUNTIF('1.연간시수표'!I23,$AZ$7)),$AZ$6,IF(OR(COUNTIF('1.연간시수표'!I23,$BA$9),COUNTIF('1.연간시수표'!I23,$BA$7)),$BA$6,IF(OR(COUNTIF('1.연간시수표'!I23,$BB$9),COUNTIF('1.연간시수표'!I23,$BB$7)),$BB$6,IF(OR(COUNTIF('1.연간시수표'!I23,$BC$9),COUNTIF('1.연간시수표'!I23,$BC$7)),$BC$6,IF(OR(COUNTIF('1.연간시수표'!I23,$BF$9),COUNTIF('1.연간시수표'!I23,$BF$7),COUNTIF('1.연간시수표'!I23,$BG$9),COUNTIF('1.연간시수표'!I23,$BG$7),COUNTIF('1.연간시수표'!I23,$BH$9),COUNTIF('1.연간시수표'!I23,$BH$7),COUNTIF('1.연간시수표'!I23,$BI$9),COUNTIF('1.연간시수표'!I23,$BI$7),COUNTIF('1.연간시수표'!I23,$BJ$9),COUNTIF('1.연간시수표'!I23,$BJ$7),COUNTIF('1.연간시수표'!I23,$BK$9),COUNTIF('1.연간시수표'!I23,$BK$7),COUNTIF('1.연간시수표'!I23,$BL$9),COUNTIF('1.연간시수표'!I23,$BL$7),COUNTIF('1.연간시수표'!I23,$BM$9),COUNTIF('1.연간시수표'!I23,$BM$7)),$BF$6,IF(OR(COUNTIF('1.연간시수표'!I23,$BO$9),COUNTIF('1.연간시수표'!I23,$BO$7)),$BO$6,IF(OR(COUNTIF('1.연간시수표'!I23,$BP$9),COUNTIF('1.연간시수표'!I23,$BP$7)),$BP$6,IF(OR(COUNTIF('1.연간시수표'!I23,$BQ$9),COUNTIF('1.연간시수표'!I23,$BQ$7)),$BQ$6,IF(OR(COUNTIF('1.연간시수표'!I23,$BR$9),COUNTIF('1.연간시수표'!I23,$BR$7)),$BR$6,"_")))))))))))))))</f>
        <v>수학</v>
      </c>
      <c r="J23" s="148" t="str">
        <f>IF(OR(COUNTIF('1.연간시수표'!J23,$AT$9),COUNTIF('1.연간시수표'!J23,$AT$7)),$AT$6,IF(OR(COUNTIF('1.연간시수표'!J23,$AU$9),COUNTIF('1.연간시수표'!J23,$AU$7)),$AU$6,IF(OR(COUNTIF('1.연간시수표'!J23,$AV$9),COUNTIF('1.연간시수표'!J23,$AV$7)),$AV$6,IF(OR(COUNTIF('1.연간시수표'!J23,$AW$9),COUNTIF('1.연간시수표'!J23,$AW$7)),$AW$6,IF(OR(COUNTIF('1.연간시수표'!J23,$AX$9),COUNTIF('1.연간시수표'!J23,$AX$7)),$AX$6,IF(OR(COUNTIF('1.연간시수표'!J23,$AY$9),COUNTIF('1.연간시수표'!J23,$AY$7)),$AY$6,IF(OR(COUNTIF('1.연간시수표'!J23,$AZ$9),COUNTIF('1.연간시수표'!J23,$AZ$7)),$AZ$6,IF(OR(COUNTIF('1.연간시수표'!J23,$BA$9),COUNTIF('1.연간시수표'!J23,$BA$7)),$BA$6,IF(OR(COUNTIF('1.연간시수표'!J23,$BB$9),COUNTIF('1.연간시수표'!J23,$BB$7)),$BB$6,IF(OR(COUNTIF('1.연간시수표'!J23,$BC$9),COUNTIF('1.연간시수표'!J23,$BC$7)),$BC$6,IF(OR(COUNTIF('1.연간시수표'!J23,$BF$9),COUNTIF('1.연간시수표'!J23,$BF$7),COUNTIF('1.연간시수표'!J23,$BG$9),COUNTIF('1.연간시수표'!J23,$BG$7),COUNTIF('1.연간시수표'!J23,$BH$9),COUNTIF('1.연간시수표'!J23,$BH$7),COUNTIF('1.연간시수표'!J23,$BI$9),COUNTIF('1.연간시수표'!J23,$BI$7),COUNTIF('1.연간시수표'!J23,$BJ$9),COUNTIF('1.연간시수표'!J23,$BJ$7),COUNTIF('1.연간시수표'!J23,$BK$9),COUNTIF('1.연간시수표'!J23,$BK$7),COUNTIF('1.연간시수표'!J23,$BL$9),COUNTIF('1.연간시수표'!J23,$BL$7),COUNTIF('1.연간시수표'!J23,$BM$9),COUNTIF('1.연간시수표'!J23,$BM$7)),$BF$6,IF(OR(COUNTIF('1.연간시수표'!J23,$BO$9),COUNTIF('1.연간시수표'!J23,$BO$7)),$BO$6,IF(OR(COUNTIF('1.연간시수표'!J23,$BP$9),COUNTIF('1.연간시수표'!J23,$BP$7)),$BP$6,IF(OR(COUNTIF('1.연간시수표'!J23,$BQ$9),COUNTIF('1.연간시수표'!J23,$BQ$7)),$BQ$6,IF(OR(COUNTIF('1.연간시수표'!J23,$BR$9),COUNTIF('1.연간시수표'!J23,$BR$7)),$BR$6,"_")))))))))))))))</f>
        <v>자율활동</v>
      </c>
      <c r="K23" s="148" t="str">
        <f>IF(OR(COUNTIF('1.연간시수표'!K23,$AT$9),COUNTIF('1.연간시수표'!K23,$AT$7)),$AT$6,IF(OR(COUNTIF('1.연간시수표'!K23,$AU$9),COUNTIF('1.연간시수표'!K23,$AU$7)),$AU$6,IF(OR(COUNTIF('1.연간시수표'!K23,$AV$9),COUNTIF('1.연간시수표'!K23,$AV$7)),$AV$6,IF(OR(COUNTIF('1.연간시수표'!K23,$AW$9),COUNTIF('1.연간시수표'!K23,$AW$7)),$AW$6,IF(OR(COUNTIF('1.연간시수표'!K23,$AX$9),COUNTIF('1.연간시수표'!K23,$AX$7)),$AX$6,IF(OR(COUNTIF('1.연간시수표'!K23,$AY$9),COUNTIF('1.연간시수표'!K23,$AY$7)),$AY$6,IF(OR(COUNTIF('1.연간시수표'!K23,$AZ$9),COUNTIF('1.연간시수표'!K23,$AZ$7)),$AZ$6,IF(OR(COUNTIF('1.연간시수표'!K23,$BA$9),COUNTIF('1.연간시수표'!K23,$BA$7)),$BA$6,IF(OR(COUNTIF('1.연간시수표'!K23,$BB$9),COUNTIF('1.연간시수표'!K23,$BB$7)),$BB$6,IF(OR(COUNTIF('1.연간시수표'!K23,$BC$9),COUNTIF('1.연간시수표'!K23,$BC$7)),$BC$6,IF(OR(COUNTIF('1.연간시수표'!K23,$BF$9),COUNTIF('1.연간시수표'!K23,$BF$7),COUNTIF('1.연간시수표'!K23,$BG$9),COUNTIF('1.연간시수표'!K23,$BG$7),COUNTIF('1.연간시수표'!K23,$BH$9),COUNTIF('1.연간시수표'!K23,$BH$7),COUNTIF('1.연간시수표'!K23,$BI$9),COUNTIF('1.연간시수표'!K23,$BI$7),COUNTIF('1.연간시수표'!K23,$BJ$9),COUNTIF('1.연간시수표'!K23,$BJ$7),COUNTIF('1.연간시수표'!K23,$BK$9),COUNTIF('1.연간시수표'!K23,$BK$7),COUNTIF('1.연간시수표'!K23,$BL$9),COUNTIF('1.연간시수표'!K23,$BL$7),COUNTIF('1.연간시수표'!K23,$BM$9),COUNTIF('1.연간시수표'!K23,$BM$7)),$BF$6,IF(OR(COUNTIF('1.연간시수표'!K23,$BO$9),COUNTIF('1.연간시수표'!K23,$BO$7)),$BO$6,IF(OR(COUNTIF('1.연간시수표'!K23,$BP$9),COUNTIF('1.연간시수표'!K23,$BP$7)),$BP$6,IF(OR(COUNTIF('1.연간시수표'!K23,$BQ$9),COUNTIF('1.연간시수표'!K23,$BQ$7)),$BQ$6,IF(OR(COUNTIF('1.연간시수표'!K23,$BR$9),COUNTIF('1.연간시수표'!K23,$BR$7)),$BR$6,"_")))))))))))))))</f>
        <v>_</v>
      </c>
      <c r="L23" s="148" t="str">
        <f>IF(OR(COUNTIF('1.연간시수표'!L23,$AT$9),COUNTIF('1.연간시수표'!L23,$AT$7)),$AT$6,IF(OR(COUNTIF('1.연간시수표'!L23,$AU$9),COUNTIF('1.연간시수표'!L23,$AU$7)),$AU$6,IF(OR(COUNTIF('1.연간시수표'!L23,$AV$9),COUNTIF('1.연간시수표'!L23,$AV$7)),$AV$6,IF(OR(COUNTIF('1.연간시수표'!L23,$AW$9),COUNTIF('1.연간시수표'!L23,$AW$7)),$AW$6,IF(OR(COUNTIF('1.연간시수표'!L23,$AX$9),COUNTIF('1.연간시수표'!L23,$AX$7)),$AX$6,IF(OR(COUNTIF('1.연간시수표'!L23,$AY$9),COUNTIF('1.연간시수표'!L23,$AY$7)),$AY$6,IF(OR(COUNTIF('1.연간시수표'!L23,$AZ$9),COUNTIF('1.연간시수표'!L23,$AZ$7)),$AZ$6,IF(OR(COUNTIF('1.연간시수표'!L23,$BA$9),COUNTIF('1.연간시수표'!L23,$BA$7)),$BA$6,IF(OR(COUNTIF('1.연간시수표'!L23,$BB$9),COUNTIF('1.연간시수표'!L23,$BB$7)),$BB$6,IF(OR(COUNTIF('1.연간시수표'!L23,$BC$9),COUNTIF('1.연간시수표'!L23,$BC$7)),$BC$6,IF(OR(COUNTIF('1.연간시수표'!L23,$BF$9),COUNTIF('1.연간시수표'!L23,$BF$7),COUNTIF('1.연간시수표'!L23,$BG$9),COUNTIF('1.연간시수표'!L23,$BG$7),COUNTIF('1.연간시수표'!L23,$BH$9),COUNTIF('1.연간시수표'!L23,$BH$7),COUNTIF('1.연간시수표'!L23,$BI$9),COUNTIF('1.연간시수표'!L23,$BI$7),COUNTIF('1.연간시수표'!L23,$BJ$9),COUNTIF('1.연간시수표'!L23,$BJ$7),COUNTIF('1.연간시수표'!L23,$BK$9),COUNTIF('1.연간시수표'!L23,$BK$7),COUNTIF('1.연간시수표'!L23,$BL$9),COUNTIF('1.연간시수표'!L23,$BL$7),COUNTIF('1.연간시수표'!L23,$BM$9),COUNTIF('1.연간시수표'!L23,$BM$7)),$BF$6,IF(OR(COUNTIF('1.연간시수표'!L23,$BO$9),COUNTIF('1.연간시수표'!L23,$BO$7)),$BO$6,IF(OR(COUNTIF('1.연간시수표'!L23,$BP$9),COUNTIF('1.연간시수표'!L23,$BP$7)),$BP$6,IF(OR(COUNTIF('1.연간시수표'!L23,$BQ$9),COUNTIF('1.연간시수표'!L23,$BQ$7)),$BQ$6,IF(OR(COUNTIF('1.연간시수표'!L23,$BR$9),COUNTIF('1.연간시수표'!L23,$BR$7)),$BR$6,"_")))))))))))))))</f>
        <v>_</v>
      </c>
      <c r="M23" s="148" t="str">
        <f>IF(OR(COUNTIF('1.연간시수표'!M23,$AT$9),COUNTIF('1.연간시수표'!M23,$AT$7)),$AT$6,IF(OR(COUNTIF('1.연간시수표'!M23,$AU$9),COUNTIF('1.연간시수표'!M23,$AU$7)),$AU$6,IF(OR(COUNTIF('1.연간시수표'!M23,$AV$9),COUNTIF('1.연간시수표'!M23,$AV$7)),$AV$6,IF(OR(COUNTIF('1.연간시수표'!M23,$AW$9),COUNTIF('1.연간시수표'!M23,$AW$7)),$AW$6,IF(OR(COUNTIF('1.연간시수표'!M23,$AX$9),COUNTIF('1.연간시수표'!M23,$AX$7)),$AX$6,IF(OR(COUNTIF('1.연간시수표'!M23,$AY$9),COUNTIF('1.연간시수표'!M23,$AY$7)),$AY$6,IF(OR(COUNTIF('1.연간시수표'!M23,$AZ$9),COUNTIF('1.연간시수표'!M23,$AZ$7)),$AZ$6,IF(OR(COUNTIF('1.연간시수표'!M23,$BA$9),COUNTIF('1.연간시수표'!M23,$BA$7)),$BA$6,IF(OR(COUNTIF('1.연간시수표'!M23,$BB$9),COUNTIF('1.연간시수표'!M23,$BB$7)),$BB$6,IF(OR(COUNTIF('1.연간시수표'!M23,$BC$9),COUNTIF('1.연간시수표'!M23,$BC$7)),$BC$6,IF(OR(COUNTIF('1.연간시수표'!M23,$BF$9),COUNTIF('1.연간시수표'!M23,$BF$7),COUNTIF('1.연간시수표'!M23,$BG$9),COUNTIF('1.연간시수표'!M23,$BG$7),COUNTIF('1.연간시수표'!M23,$BH$9),COUNTIF('1.연간시수표'!M23,$BH$7),COUNTIF('1.연간시수표'!M23,$BI$9),COUNTIF('1.연간시수표'!M23,$BI$7),COUNTIF('1.연간시수표'!M23,$BJ$9),COUNTIF('1.연간시수표'!M23,$BJ$7),COUNTIF('1.연간시수표'!M23,$BK$9),COUNTIF('1.연간시수표'!M23,$BK$7),COUNTIF('1.연간시수표'!M23,$BL$9),COUNTIF('1.연간시수표'!M23,$BL$7),COUNTIF('1.연간시수표'!M23,$BM$9),COUNTIF('1.연간시수표'!M23,$BM$7)),$BF$6,IF(OR(COUNTIF('1.연간시수표'!M23,$BO$9),COUNTIF('1.연간시수표'!M23,$BO$7)),$BO$6,IF(OR(COUNTIF('1.연간시수표'!M23,$BP$9),COUNTIF('1.연간시수표'!M23,$BP$7)),$BP$6,IF(OR(COUNTIF('1.연간시수표'!M23,$BQ$9),COUNTIF('1.연간시수표'!M23,$BQ$7)),$BQ$6,IF(OR(COUNTIF('1.연간시수표'!M23,$BR$9),COUNTIF('1.연간시수표'!M23,$BR$7)),$BR$6,"_")))))))))))))))</f>
        <v>국어</v>
      </c>
      <c r="N23" s="148" t="str">
        <f>IF(OR(COUNTIF('1.연간시수표'!N23,$AT$9),COUNTIF('1.연간시수표'!N23,$AT$7)),$AT$6,IF(OR(COUNTIF('1.연간시수표'!N23,$AU$9),COUNTIF('1.연간시수표'!N23,$AU$7)),$AU$6,IF(OR(COUNTIF('1.연간시수표'!N23,$AV$9),COUNTIF('1.연간시수표'!N23,$AV$7)),$AV$6,IF(OR(COUNTIF('1.연간시수표'!N23,$AW$9),COUNTIF('1.연간시수표'!N23,$AW$7)),$AW$6,IF(OR(COUNTIF('1.연간시수표'!N23,$AX$9),COUNTIF('1.연간시수표'!N23,$AX$7)),$AX$6,IF(OR(COUNTIF('1.연간시수표'!N23,$AY$9),COUNTIF('1.연간시수표'!N23,$AY$7)),$AY$6,IF(OR(COUNTIF('1.연간시수표'!N23,$AZ$9),COUNTIF('1.연간시수표'!N23,$AZ$7)),$AZ$6,IF(OR(COUNTIF('1.연간시수표'!N23,$BA$9),COUNTIF('1.연간시수표'!N23,$BA$7)),$BA$6,IF(OR(COUNTIF('1.연간시수표'!N23,$BB$9),COUNTIF('1.연간시수표'!N23,$BB$7)),$BB$6,IF(OR(COUNTIF('1.연간시수표'!N23,$BC$9),COUNTIF('1.연간시수표'!N23,$BC$7)),$BC$6,IF(OR(COUNTIF('1.연간시수표'!N23,$BF$9),COUNTIF('1.연간시수표'!N23,$BF$7),COUNTIF('1.연간시수표'!N23,$BG$9),COUNTIF('1.연간시수표'!N23,$BG$7),COUNTIF('1.연간시수표'!N23,$BH$9),COUNTIF('1.연간시수표'!N23,$BH$7),COUNTIF('1.연간시수표'!N23,$BI$9),COUNTIF('1.연간시수표'!N23,$BI$7),COUNTIF('1.연간시수표'!N23,$BJ$9),COUNTIF('1.연간시수표'!N23,$BJ$7),COUNTIF('1.연간시수표'!N23,$BK$9),COUNTIF('1.연간시수표'!N23,$BK$7),COUNTIF('1.연간시수표'!N23,$BL$9),COUNTIF('1.연간시수표'!N23,$BL$7),COUNTIF('1.연간시수표'!N23,$BM$9),COUNTIF('1.연간시수표'!N23,$BM$7)),$BF$6,IF(OR(COUNTIF('1.연간시수표'!N23,$BO$9),COUNTIF('1.연간시수표'!N23,$BO$7)),$BO$6,IF(OR(COUNTIF('1.연간시수표'!N23,$BP$9),COUNTIF('1.연간시수표'!N23,$BP$7)),$BP$6,IF(OR(COUNTIF('1.연간시수표'!N23,$BQ$9),COUNTIF('1.연간시수표'!N23,$BQ$7)),$BQ$6,IF(OR(COUNTIF('1.연간시수표'!N23,$BR$9),COUNTIF('1.연간시수표'!N23,$BR$7)),$BR$6,"_")))))))))))))))</f>
        <v>국어</v>
      </c>
      <c r="O23" s="148" t="str">
        <f>IF(OR(COUNTIF('1.연간시수표'!O23,$AT$9),COUNTIF('1.연간시수표'!O23,$AT$7)),$AT$6,IF(OR(COUNTIF('1.연간시수표'!O23,$AU$9),COUNTIF('1.연간시수표'!O23,$AU$7)),$AU$6,IF(OR(COUNTIF('1.연간시수표'!O23,$AV$9),COUNTIF('1.연간시수표'!O23,$AV$7)),$AV$6,IF(OR(COUNTIF('1.연간시수표'!O23,$AW$9),COUNTIF('1.연간시수표'!O23,$AW$7)),$AW$6,IF(OR(COUNTIF('1.연간시수표'!O23,$AX$9),COUNTIF('1.연간시수표'!O23,$AX$7)),$AX$6,IF(OR(COUNTIF('1.연간시수표'!O23,$AY$9),COUNTIF('1.연간시수표'!O23,$AY$7)),$AY$6,IF(OR(COUNTIF('1.연간시수표'!O23,$AZ$9),COUNTIF('1.연간시수표'!O23,$AZ$7)),$AZ$6,IF(OR(COUNTIF('1.연간시수표'!O23,$BA$9),COUNTIF('1.연간시수표'!O23,$BA$7)),$BA$6,IF(OR(COUNTIF('1.연간시수표'!O23,$BB$9),COUNTIF('1.연간시수표'!O23,$BB$7)),$BB$6,IF(OR(COUNTIF('1.연간시수표'!O23,$BC$9),COUNTIF('1.연간시수표'!O23,$BC$7)),$BC$6,IF(OR(COUNTIF('1.연간시수표'!O23,$BF$9),COUNTIF('1.연간시수표'!O23,$BF$7),COUNTIF('1.연간시수표'!O23,$BG$9),COUNTIF('1.연간시수표'!O23,$BG$7),COUNTIF('1.연간시수표'!O23,$BH$9),COUNTIF('1.연간시수표'!O23,$BH$7),COUNTIF('1.연간시수표'!O23,$BI$9),COUNTIF('1.연간시수표'!O23,$BI$7),COUNTIF('1.연간시수표'!O23,$BJ$9),COUNTIF('1.연간시수표'!O23,$BJ$7),COUNTIF('1.연간시수표'!O23,$BK$9),COUNTIF('1.연간시수표'!O23,$BK$7),COUNTIF('1.연간시수표'!O23,$BL$9),COUNTIF('1.연간시수표'!O23,$BL$7),COUNTIF('1.연간시수표'!O23,$BM$9),COUNTIF('1.연간시수표'!O23,$BM$7)),$BF$6,IF(OR(COUNTIF('1.연간시수표'!O23,$BO$9),COUNTIF('1.연간시수표'!O23,$BO$7)),$BO$6,IF(OR(COUNTIF('1.연간시수표'!O23,$BP$9),COUNTIF('1.연간시수표'!O23,$BP$7)),$BP$6,IF(OR(COUNTIF('1.연간시수표'!O23,$BQ$9),COUNTIF('1.연간시수표'!O23,$BQ$7)),$BQ$6,IF(OR(COUNTIF('1.연간시수표'!O23,$BR$9),COUNTIF('1.연간시수표'!O23,$BR$7)),$BR$6,"_")))))))))))))))</f>
        <v>사회</v>
      </c>
      <c r="P23" s="148" t="str">
        <f>IF(OR(COUNTIF('1.연간시수표'!P23,$AT$9),COUNTIF('1.연간시수표'!P23,$AT$7)),$AT$6,IF(OR(COUNTIF('1.연간시수표'!P23,$AU$9),COUNTIF('1.연간시수표'!P23,$AU$7)),$AU$6,IF(OR(COUNTIF('1.연간시수표'!P23,$AV$9),COUNTIF('1.연간시수표'!P23,$AV$7)),$AV$6,IF(OR(COUNTIF('1.연간시수표'!P23,$AW$9),COUNTIF('1.연간시수표'!P23,$AW$7)),$AW$6,IF(OR(COUNTIF('1.연간시수표'!P23,$AX$9),COUNTIF('1.연간시수표'!P23,$AX$7)),$AX$6,IF(OR(COUNTIF('1.연간시수표'!P23,$AY$9),COUNTIF('1.연간시수표'!P23,$AY$7)),$AY$6,IF(OR(COUNTIF('1.연간시수표'!P23,$AZ$9),COUNTIF('1.연간시수표'!P23,$AZ$7)),$AZ$6,IF(OR(COUNTIF('1.연간시수표'!P23,$BA$9),COUNTIF('1.연간시수표'!P23,$BA$7)),$BA$6,IF(OR(COUNTIF('1.연간시수표'!P23,$BB$9),COUNTIF('1.연간시수표'!P23,$BB$7)),$BB$6,IF(OR(COUNTIF('1.연간시수표'!P23,$BC$9),COUNTIF('1.연간시수표'!P23,$BC$7)),$BC$6,IF(OR(COUNTIF('1.연간시수표'!P23,$BF$9),COUNTIF('1.연간시수표'!P23,$BF$7),COUNTIF('1.연간시수표'!P23,$BG$9),COUNTIF('1.연간시수표'!P23,$BG$7),COUNTIF('1.연간시수표'!P23,$BH$9),COUNTIF('1.연간시수표'!P23,$BH$7),COUNTIF('1.연간시수표'!P23,$BI$9),COUNTIF('1.연간시수표'!P23,$BI$7),COUNTIF('1.연간시수표'!P23,$BJ$9),COUNTIF('1.연간시수표'!P23,$BJ$7),COUNTIF('1.연간시수표'!P23,$BK$9),COUNTIF('1.연간시수표'!P23,$BK$7),COUNTIF('1.연간시수표'!P23,$BL$9),COUNTIF('1.연간시수표'!P23,$BL$7),COUNTIF('1.연간시수표'!P23,$BM$9),COUNTIF('1.연간시수표'!P23,$BM$7)),$BF$6,IF(OR(COUNTIF('1.연간시수표'!P23,$BO$9),COUNTIF('1.연간시수표'!P23,$BO$7)),$BO$6,IF(OR(COUNTIF('1.연간시수표'!P23,$BP$9),COUNTIF('1.연간시수표'!P23,$BP$7)),$BP$6,IF(OR(COUNTIF('1.연간시수표'!P23,$BQ$9),COUNTIF('1.연간시수표'!P23,$BQ$7)),$BQ$6,IF(OR(COUNTIF('1.연간시수표'!P23,$BR$9),COUNTIF('1.연간시수표'!P23,$BR$7)),$BR$6,"_")))))))))))))))</f>
        <v>수학</v>
      </c>
      <c r="Q23" s="148" t="str">
        <f>IF(OR(COUNTIF('1.연간시수표'!Q23,$AT$9),COUNTIF('1.연간시수표'!Q23,$AT$7)),$AT$6,IF(OR(COUNTIF('1.연간시수표'!Q23,$AU$9),COUNTIF('1.연간시수표'!Q23,$AU$7)),$AU$6,IF(OR(COUNTIF('1.연간시수표'!Q23,$AV$9),COUNTIF('1.연간시수표'!Q23,$AV$7)),$AV$6,IF(OR(COUNTIF('1.연간시수표'!Q23,$AW$9),COUNTIF('1.연간시수표'!Q23,$AW$7)),$AW$6,IF(OR(COUNTIF('1.연간시수표'!Q23,$AX$9),COUNTIF('1.연간시수표'!Q23,$AX$7)),$AX$6,IF(OR(COUNTIF('1.연간시수표'!Q23,$AY$9),COUNTIF('1.연간시수표'!Q23,$AY$7)),$AY$6,IF(OR(COUNTIF('1.연간시수표'!Q23,$AZ$9),COUNTIF('1.연간시수표'!Q23,$AZ$7)),$AZ$6,IF(OR(COUNTIF('1.연간시수표'!Q23,$BA$9),COUNTIF('1.연간시수표'!Q23,$BA$7)),$BA$6,IF(OR(COUNTIF('1.연간시수표'!Q23,$BB$9),COUNTIF('1.연간시수표'!Q23,$BB$7)),$BB$6,IF(OR(COUNTIF('1.연간시수표'!Q23,$BC$9),COUNTIF('1.연간시수표'!Q23,$BC$7)),$BC$6,IF(OR(COUNTIF('1.연간시수표'!Q23,$BF$9),COUNTIF('1.연간시수표'!Q23,$BF$7),COUNTIF('1.연간시수표'!Q23,$BG$9),COUNTIF('1.연간시수표'!Q23,$BG$7),COUNTIF('1.연간시수표'!Q23,$BH$9),COUNTIF('1.연간시수표'!Q23,$BH$7),COUNTIF('1.연간시수표'!Q23,$BI$9),COUNTIF('1.연간시수표'!Q23,$BI$7),COUNTIF('1.연간시수표'!Q23,$BJ$9),COUNTIF('1.연간시수표'!Q23,$BJ$7),COUNTIF('1.연간시수표'!Q23,$BK$9),COUNTIF('1.연간시수표'!Q23,$BK$7),COUNTIF('1.연간시수표'!Q23,$BL$9),COUNTIF('1.연간시수표'!Q23,$BL$7),COUNTIF('1.연간시수표'!Q23,$BM$9),COUNTIF('1.연간시수표'!Q23,$BM$7)),$BF$6,IF(OR(COUNTIF('1.연간시수표'!Q23,$BO$9),COUNTIF('1.연간시수표'!Q23,$BO$7)),$BO$6,IF(OR(COUNTIF('1.연간시수표'!Q23,$BP$9),COUNTIF('1.연간시수표'!Q23,$BP$7)),$BP$6,IF(OR(COUNTIF('1.연간시수표'!Q23,$BQ$9),COUNTIF('1.연간시수표'!Q23,$BQ$7)),$BQ$6,IF(OR(COUNTIF('1.연간시수표'!Q23,$BR$9),COUNTIF('1.연간시수표'!Q23,$BR$7)),$BR$6,"_")))))))))))))))</f>
        <v>과학</v>
      </c>
      <c r="R23" s="148" t="str">
        <f>IF(OR(COUNTIF('1.연간시수표'!R23,$AT$9),COUNTIF('1.연간시수표'!R23,$AT$7)),$AT$6,IF(OR(COUNTIF('1.연간시수표'!R23,$AU$9),COUNTIF('1.연간시수표'!R23,$AU$7)),$AU$6,IF(OR(COUNTIF('1.연간시수표'!R23,$AV$9),COUNTIF('1.연간시수표'!R23,$AV$7)),$AV$6,IF(OR(COUNTIF('1.연간시수표'!R23,$AW$9),COUNTIF('1.연간시수표'!R23,$AW$7)),$AW$6,IF(OR(COUNTIF('1.연간시수표'!R23,$AX$9),COUNTIF('1.연간시수표'!R23,$AX$7)),$AX$6,IF(OR(COUNTIF('1.연간시수표'!R23,$AY$9),COUNTIF('1.연간시수표'!R23,$AY$7)),$AY$6,IF(OR(COUNTIF('1.연간시수표'!R23,$AZ$9),COUNTIF('1.연간시수표'!R23,$AZ$7)),$AZ$6,IF(OR(COUNTIF('1.연간시수표'!R23,$BA$9),COUNTIF('1.연간시수표'!R23,$BA$7)),$BA$6,IF(OR(COUNTIF('1.연간시수표'!R23,$BB$9),COUNTIF('1.연간시수표'!R23,$BB$7)),$BB$6,IF(OR(COUNTIF('1.연간시수표'!R23,$BC$9),COUNTIF('1.연간시수표'!R23,$BC$7)),$BC$6,IF(OR(COUNTIF('1.연간시수표'!R23,$BF$9),COUNTIF('1.연간시수표'!R23,$BF$7),COUNTIF('1.연간시수표'!R23,$BG$9),COUNTIF('1.연간시수표'!R23,$BG$7),COUNTIF('1.연간시수표'!R23,$BH$9),COUNTIF('1.연간시수표'!R23,$BH$7),COUNTIF('1.연간시수표'!R23,$BI$9),COUNTIF('1.연간시수표'!R23,$BI$7),COUNTIF('1.연간시수표'!R23,$BJ$9),COUNTIF('1.연간시수표'!R23,$BJ$7),COUNTIF('1.연간시수표'!R23,$BK$9),COUNTIF('1.연간시수표'!R23,$BK$7),COUNTIF('1.연간시수표'!R23,$BL$9),COUNTIF('1.연간시수표'!R23,$BL$7),COUNTIF('1.연간시수표'!R23,$BM$9),COUNTIF('1.연간시수표'!R23,$BM$7)),$BF$6,IF(OR(COUNTIF('1.연간시수표'!R23,$BO$9),COUNTIF('1.연간시수표'!R23,$BO$7)),$BO$6,IF(OR(COUNTIF('1.연간시수표'!R23,$BP$9),COUNTIF('1.연간시수표'!R23,$BP$7)),$BP$6,IF(OR(COUNTIF('1.연간시수표'!R23,$BQ$9),COUNTIF('1.연간시수표'!R23,$BQ$7)),$BQ$6,IF(OR(COUNTIF('1.연간시수표'!R23,$BR$9),COUNTIF('1.연간시수표'!R23,$BR$7)),$BR$6,"_")))))))))))))))</f>
        <v>실과</v>
      </c>
      <c r="S23" s="148" t="str">
        <f>IF(OR(COUNTIF('1.연간시수표'!S23,$AT$9),COUNTIF('1.연간시수표'!S23,$AT$7)),$AT$6,IF(OR(COUNTIF('1.연간시수표'!S23,$AU$9),COUNTIF('1.연간시수표'!S23,$AU$7)),$AU$6,IF(OR(COUNTIF('1.연간시수표'!S23,$AV$9),COUNTIF('1.연간시수표'!S23,$AV$7)),$AV$6,IF(OR(COUNTIF('1.연간시수표'!S23,$AW$9),COUNTIF('1.연간시수표'!S23,$AW$7)),$AW$6,IF(OR(COUNTIF('1.연간시수표'!S23,$AX$9),COUNTIF('1.연간시수표'!S23,$AX$7)),$AX$6,IF(OR(COUNTIF('1.연간시수표'!S23,$AY$9),COUNTIF('1.연간시수표'!S23,$AY$7)),$AY$6,IF(OR(COUNTIF('1.연간시수표'!S23,$AZ$9),COUNTIF('1.연간시수표'!S23,$AZ$7)),$AZ$6,IF(OR(COUNTIF('1.연간시수표'!S23,$BA$9),COUNTIF('1.연간시수표'!S23,$BA$7)),$BA$6,IF(OR(COUNTIF('1.연간시수표'!S23,$BB$9),COUNTIF('1.연간시수표'!S23,$BB$7)),$BB$6,IF(OR(COUNTIF('1.연간시수표'!S23,$BC$9),COUNTIF('1.연간시수표'!S23,$BC$7)),$BC$6,IF(OR(COUNTIF('1.연간시수표'!S23,$BF$9),COUNTIF('1.연간시수표'!S23,$BF$7),COUNTIF('1.연간시수표'!S23,$BG$9),COUNTIF('1.연간시수표'!S23,$BG$7),COUNTIF('1.연간시수표'!S23,$BH$9),COUNTIF('1.연간시수표'!S23,$BH$7),COUNTIF('1.연간시수표'!S23,$BI$9),COUNTIF('1.연간시수표'!S23,$BI$7),COUNTIF('1.연간시수표'!S23,$BJ$9),COUNTIF('1.연간시수표'!S23,$BJ$7),COUNTIF('1.연간시수표'!S23,$BK$9),COUNTIF('1.연간시수표'!S23,$BK$7),COUNTIF('1.연간시수표'!S23,$BL$9),COUNTIF('1.연간시수표'!S23,$BL$7),COUNTIF('1.연간시수표'!S23,$BM$9),COUNTIF('1.연간시수표'!S23,$BM$7)),$BF$6,IF(OR(COUNTIF('1.연간시수표'!S23,$BO$9),COUNTIF('1.연간시수표'!S23,$BO$7)),$BO$6,IF(OR(COUNTIF('1.연간시수표'!S23,$BP$9),COUNTIF('1.연간시수표'!S23,$BP$7)),$BP$6,IF(OR(COUNTIF('1.연간시수표'!S23,$BQ$9),COUNTIF('1.연간시수표'!S23,$BQ$7)),$BQ$6,IF(OR(COUNTIF('1.연간시수표'!S23,$BR$9),COUNTIF('1.연간시수표'!S23,$BR$7)),$BR$6,"_")))))))))))))))</f>
        <v>_</v>
      </c>
      <c r="T23" s="148" t="str">
        <f>IF(OR(COUNTIF('1.연간시수표'!T23,$AT$9),COUNTIF('1.연간시수표'!T23,$AT$7)),$AT$6,IF(OR(COUNTIF('1.연간시수표'!T23,$AU$9),COUNTIF('1.연간시수표'!T23,$AU$7)),$AU$6,IF(OR(COUNTIF('1.연간시수표'!T23,$AV$9),COUNTIF('1.연간시수표'!T23,$AV$7)),$AV$6,IF(OR(COUNTIF('1.연간시수표'!T23,$AW$9),COUNTIF('1.연간시수표'!T23,$AW$7)),$AW$6,IF(OR(COUNTIF('1.연간시수표'!T23,$AX$9),COUNTIF('1.연간시수표'!T23,$AX$7)),$AX$6,IF(OR(COUNTIF('1.연간시수표'!T23,$AY$9),COUNTIF('1.연간시수표'!T23,$AY$7)),$AY$6,IF(OR(COUNTIF('1.연간시수표'!T23,$AZ$9),COUNTIF('1.연간시수표'!T23,$AZ$7)),$AZ$6,IF(OR(COUNTIF('1.연간시수표'!T23,$BA$9),COUNTIF('1.연간시수표'!T23,$BA$7)),$BA$6,IF(OR(COUNTIF('1.연간시수표'!T23,$BB$9),COUNTIF('1.연간시수표'!T23,$BB$7)),$BB$6,IF(OR(COUNTIF('1.연간시수표'!T23,$BC$9),COUNTIF('1.연간시수표'!T23,$BC$7)),$BC$6,IF(OR(COUNTIF('1.연간시수표'!T23,$BF$9),COUNTIF('1.연간시수표'!T23,$BF$7),COUNTIF('1.연간시수표'!T23,$BG$9),COUNTIF('1.연간시수표'!T23,$BG$7),COUNTIF('1.연간시수표'!T23,$BH$9),COUNTIF('1.연간시수표'!T23,$BH$7),COUNTIF('1.연간시수표'!T23,$BI$9),COUNTIF('1.연간시수표'!T23,$BI$7),COUNTIF('1.연간시수표'!T23,$BJ$9),COUNTIF('1.연간시수표'!T23,$BJ$7),COUNTIF('1.연간시수표'!T23,$BK$9),COUNTIF('1.연간시수표'!T23,$BK$7),COUNTIF('1.연간시수표'!T23,$BL$9),COUNTIF('1.연간시수표'!T23,$BL$7),COUNTIF('1.연간시수표'!T23,$BM$9),COUNTIF('1.연간시수표'!T23,$BM$7)),$BF$6,IF(OR(COUNTIF('1.연간시수표'!T23,$BO$9),COUNTIF('1.연간시수표'!T23,$BO$7)),$BO$6,IF(OR(COUNTIF('1.연간시수표'!T23,$BP$9),COUNTIF('1.연간시수표'!T23,$BP$7)),$BP$6,IF(OR(COUNTIF('1.연간시수표'!T23,$BQ$9),COUNTIF('1.연간시수표'!T23,$BQ$7)),$BQ$6,IF(OR(COUNTIF('1.연간시수표'!T23,$BR$9),COUNTIF('1.연간시수표'!T23,$BR$7)),$BR$6,"_")))))))))))))))</f>
        <v>_</v>
      </c>
      <c r="U23" s="148" t="str">
        <f>IF(OR(COUNTIF('1.연간시수표'!U23,$AT$9),COUNTIF('1.연간시수표'!U23,$AT$7)),$AT$6,IF(OR(COUNTIF('1.연간시수표'!U23,$AU$9),COUNTIF('1.연간시수표'!U23,$AU$7)),$AU$6,IF(OR(COUNTIF('1.연간시수표'!U23,$AV$9),COUNTIF('1.연간시수표'!U23,$AV$7)),$AV$6,IF(OR(COUNTIF('1.연간시수표'!U23,$AW$9),COUNTIF('1.연간시수표'!U23,$AW$7)),$AW$6,IF(OR(COUNTIF('1.연간시수표'!U23,$AX$9),COUNTIF('1.연간시수표'!U23,$AX$7)),$AX$6,IF(OR(COUNTIF('1.연간시수표'!U23,$AY$9),COUNTIF('1.연간시수표'!U23,$AY$7)),$AY$6,IF(OR(COUNTIF('1.연간시수표'!U23,$AZ$9),COUNTIF('1.연간시수표'!U23,$AZ$7)),$AZ$6,IF(OR(COUNTIF('1.연간시수표'!U23,$BA$9),COUNTIF('1.연간시수표'!U23,$BA$7)),$BA$6,IF(OR(COUNTIF('1.연간시수표'!U23,$BB$9),COUNTIF('1.연간시수표'!U23,$BB$7)),$BB$6,IF(OR(COUNTIF('1.연간시수표'!U23,$BC$9),COUNTIF('1.연간시수표'!U23,$BC$7)),$BC$6,IF(OR(COUNTIF('1.연간시수표'!U23,$BF$9),COUNTIF('1.연간시수표'!U23,$BF$7),COUNTIF('1.연간시수표'!U23,$BG$9),COUNTIF('1.연간시수표'!U23,$BG$7),COUNTIF('1.연간시수표'!U23,$BH$9),COUNTIF('1.연간시수표'!U23,$BH$7),COUNTIF('1.연간시수표'!U23,$BI$9),COUNTIF('1.연간시수표'!U23,$BI$7),COUNTIF('1.연간시수표'!U23,$BJ$9),COUNTIF('1.연간시수표'!U23,$BJ$7),COUNTIF('1.연간시수표'!U23,$BK$9),COUNTIF('1.연간시수표'!U23,$BK$7),COUNTIF('1.연간시수표'!U23,$BL$9),COUNTIF('1.연간시수표'!U23,$BL$7),COUNTIF('1.연간시수표'!U23,$BM$9),COUNTIF('1.연간시수표'!U23,$BM$7)),$BF$6,IF(OR(COUNTIF('1.연간시수표'!U23,$BO$9),COUNTIF('1.연간시수표'!U23,$BO$7)),$BO$6,IF(OR(COUNTIF('1.연간시수표'!U23,$BP$9),COUNTIF('1.연간시수표'!U23,$BP$7)),$BP$6,IF(OR(COUNTIF('1.연간시수표'!U23,$BQ$9),COUNTIF('1.연간시수표'!U23,$BQ$7)),$BQ$6,IF(OR(COUNTIF('1.연간시수표'!U23,$BR$9),COUNTIF('1.연간시수표'!U23,$BR$7)),$BR$6,"_")))))))))))))))</f>
        <v>_</v>
      </c>
      <c r="V23" s="148" t="str">
        <f>IF(OR(COUNTIF('1.연간시수표'!V23,$AT$9),COUNTIF('1.연간시수표'!V23,$AT$7)),$AT$6,IF(OR(COUNTIF('1.연간시수표'!V23,$AU$9),COUNTIF('1.연간시수표'!V23,$AU$7)),$AU$6,IF(OR(COUNTIF('1.연간시수표'!V23,$AV$9),COUNTIF('1.연간시수표'!V23,$AV$7)),$AV$6,IF(OR(COUNTIF('1.연간시수표'!V23,$AW$9),COUNTIF('1.연간시수표'!V23,$AW$7)),$AW$6,IF(OR(COUNTIF('1.연간시수표'!V23,$AX$9),COUNTIF('1.연간시수표'!V23,$AX$7)),$AX$6,IF(OR(COUNTIF('1.연간시수표'!V23,$AY$9),COUNTIF('1.연간시수표'!V23,$AY$7)),$AY$6,IF(OR(COUNTIF('1.연간시수표'!V23,$AZ$9),COUNTIF('1.연간시수표'!V23,$AZ$7)),$AZ$6,IF(OR(COUNTIF('1.연간시수표'!V23,$BA$9),COUNTIF('1.연간시수표'!V23,$BA$7)),$BA$6,IF(OR(COUNTIF('1.연간시수표'!V23,$BB$9),COUNTIF('1.연간시수표'!V23,$BB$7)),$BB$6,IF(OR(COUNTIF('1.연간시수표'!V23,$BC$9),COUNTIF('1.연간시수표'!V23,$BC$7)),$BC$6,IF(OR(COUNTIF('1.연간시수표'!V23,$BF$9),COUNTIF('1.연간시수표'!V23,$BF$7),COUNTIF('1.연간시수표'!V23,$BG$9),COUNTIF('1.연간시수표'!V23,$BG$7),COUNTIF('1.연간시수표'!V23,$BH$9),COUNTIF('1.연간시수표'!V23,$BH$7),COUNTIF('1.연간시수표'!V23,$BI$9),COUNTIF('1.연간시수표'!V23,$BI$7),COUNTIF('1.연간시수표'!V23,$BJ$9),COUNTIF('1.연간시수표'!V23,$BJ$7),COUNTIF('1.연간시수표'!V23,$BK$9),COUNTIF('1.연간시수표'!V23,$BK$7),COUNTIF('1.연간시수표'!V23,$BL$9),COUNTIF('1.연간시수표'!V23,$BL$7),COUNTIF('1.연간시수표'!V23,$BM$9),COUNTIF('1.연간시수표'!V23,$BM$7)),$BF$6,IF(OR(COUNTIF('1.연간시수표'!V23,$BO$9),COUNTIF('1.연간시수표'!V23,$BO$7)),$BO$6,IF(OR(COUNTIF('1.연간시수표'!V23,$BP$9),COUNTIF('1.연간시수표'!V23,$BP$7)),$BP$6,IF(OR(COUNTIF('1.연간시수표'!V23,$BQ$9),COUNTIF('1.연간시수표'!V23,$BQ$7)),$BQ$6,IF(OR(COUNTIF('1.연간시수표'!V23,$BR$9),COUNTIF('1.연간시수표'!V23,$BR$7)),$BR$6,"_")))))))))))))))</f>
        <v>_</v>
      </c>
      <c r="W23" s="148" t="str">
        <f>IF(OR(COUNTIF('1.연간시수표'!W23,$AT$9),COUNTIF('1.연간시수표'!W23,$AT$7)),$AT$6,IF(OR(COUNTIF('1.연간시수표'!W23,$AU$9),COUNTIF('1.연간시수표'!W23,$AU$7)),$AU$6,IF(OR(COUNTIF('1.연간시수표'!W23,$AV$9),COUNTIF('1.연간시수표'!W23,$AV$7)),$AV$6,IF(OR(COUNTIF('1.연간시수표'!W23,$AW$9),COUNTIF('1.연간시수표'!W23,$AW$7)),$AW$6,IF(OR(COUNTIF('1.연간시수표'!W23,$AX$9),COUNTIF('1.연간시수표'!W23,$AX$7)),$AX$6,IF(OR(COUNTIF('1.연간시수표'!W23,$AY$9),COUNTIF('1.연간시수표'!W23,$AY$7)),$AY$6,IF(OR(COUNTIF('1.연간시수표'!W23,$AZ$9),COUNTIF('1.연간시수표'!W23,$AZ$7)),$AZ$6,IF(OR(COUNTIF('1.연간시수표'!W23,$BA$9),COUNTIF('1.연간시수표'!W23,$BA$7)),$BA$6,IF(OR(COUNTIF('1.연간시수표'!W23,$BB$9),COUNTIF('1.연간시수표'!W23,$BB$7)),$BB$6,IF(OR(COUNTIF('1.연간시수표'!W23,$BC$9),COUNTIF('1.연간시수표'!W23,$BC$7)),$BC$6,IF(OR(COUNTIF('1.연간시수표'!W23,$BF$9),COUNTIF('1.연간시수표'!W23,$BF$7),COUNTIF('1.연간시수표'!W23,$BG$9),COUNTIF('1.연간시수표'!W23,$BG$7),COUNTIF('1.연간시수표'!W23,$BH$9),COUNTIF('1.연간시수표'!W23,$BH$7),COUNTIF('1.연간시수표'!W23,$BI$9),COUNTIF('1.연간시수표'!W23,$BI$7),COUNTIF('1.연간시수표'!W23,$BJ$9),COUNTIF('1.연간시수표'!W23,$BJ$7),COUNTIF('1.연간시수표'!W23,$BK$9),COUNTIF('1.연간시수표'!W23,$BK$7),COUNTIF('1.연간시수표'!W23,$BL$9),COUNTIF('1.연간시수표'!W23,$BL$7),COUNTIF('1.연간시수표'!W23,$BM$9),COUNTIF('1.연간시수표'!W23,$BM$7)),$BF$6,IF(OR(COUNTIF('1.연간시수표'!W23,$BO$9),COUNTIF('1.연간시수표'!W23,$BO$7)),$BO$6,IF(OR(COUNTIF('1.연간시수표'!W23,$BP$9),COUNTIF('1.연간시수표'!W23,$BP$7)),$BP$6,IF(OR(COUNTIF('1.연간시수표'!W23,$BQ$9),COUNTIF('1.연간시수표'!W23,$BQ$7)),$BQ$6,IF(OR(COUNTIF('1.연간시수표'!W23,$BR$9),COUNTIF('1.연간시수표'!W23,$BR$7)),$BR$6,"_")))))))))))))))</f>
        <v>_</v>
      </c>
      <c r="X23" s="148" t="str">
        <f>IF(OR(COUNTIF('1.연간시수표'!X23,$AT$9),COUNTIF('1.연간시수표'!X23,$AT$7)),$AT$6,IF(OR(COUNTIF('1.연간시수표'!X23,$AU$9),COUNTIF('1.연간시수표'!X23,$AU$7)),$AU$6,IF(OR(COUNTIF('1.연간시수표'!X23,$AV$9),COUNTIF('1.연간시수표'!X23,$AV$7)),$AV$6,IF(OR(COUNTIF('1.연간시수표'!X23,$AW$9),COUNTIF('1.연간시수표'!X23,$AW$7)),$AW$6,IF(OR(COUNTIF('1.연간시수표'!X23,$AX$9),COUNTIF('1.연간시수표'!X23,$AX$7)),$AX$6,IF(OR(COUNTIF('1.연간시수표'!X23,$AY$9),COUNTIF('1.연간시수표'!X23,$AY$7)),$AY$6,IF(OR(COUNTIF('1.연간시수표'!X23,$AZ$9),COUNTIF('1.연간시수표'!X23,$AZ$7)),$AZ$6,IF(OR(COUNTIF('1.연간시수표'!X23,$BA$9),COUNTIF('1.연간시수표'!X23,$BA$7)),$BA$6,IF(OR(COUNTIF('1.연간시수표'!X23,$BB$9),COUNTIF('1.연간시수표'!X23,$BB$7)),$BB$6,IF(OR(COUNTIF('1.연간시수표'!X23,$BC$9),COUNTIF('1.연간시수표'!X23,$BC$7)),$BC$6,IF(OR(COUNTIF('1.연간시수표'!X23,$BF$9),COUNTIF('1.연간시수표'!X23,$BF$7),COUNTIF('1.연간시수표'!X23,$BG$9),COUNTIF('1.연간시수표'!X23,$BG$7),COUNTIF('1.연간시수표'!X23,$BH$9),COUNTIF('1.연간시수표'!X23,$BH$7),COUNTIF('1.연간시수표'!X23,$BI$9),COUNTIF('1.연간시수표'!X23,$BI$7),COUNTIF('1.연간시수표'!X23,$BJ$9),COUNTIF('1.연간시수표'!X23,$BJ$7),COUNTIF('1.연간시수표'!X23,$BK$9),COUNTIF('1.연간시수표'!X23,$BK$7),COUNTIF('1.연간시수표'!X23,$BL$9),COUNTIF('1.연간시수표'!X23,$BL$7),COUNTIF('1.연간시수표'!X23,$BM$9),COUNTIF('1.연간시수표'!X23,$BM$7)),$BF$6,IF(OR(COUNTIF('1.연간시수표'!X23,$BO$9),COUNTIF('1.연간시수표'!X23,$BO$7)),$BO$6,IF(OR(COUNTIF('1.연간시수표'!X23,$BP$9),COUNTIF('1.연간시수표'!X23,$BP$7)),$BP$6,IF(OR(COUNTIF('1.연간시수표'!X23,$BQ$9),COUNTIF('1.연간시수표'!X23,$BQ$7)),$BQ$6,IF(OR(COUNTIF('1.연간시수표'!X23,$BR$9),COUNTIF('1.연간시수표'!X23,$BR$7)),$BR$6,"_")))))))))))))))</f>
        <v>_</v>
      </c>
      <c r="Y23" s="148" t="str">
        <f>IF(OR(COUNTIF('1.연간시수표'!Y23,$AT$9),COUNTIF('1.연간시수표'!Y23,$AT$7)),$AT$6,IF(OR(COUNTIF('1.연간시수표'!Y23,$AU$9),COUNTIF('1.연간시수표'!Y23,$AU$7)),$AU$6,IF(OR(COUNTIF('1.연간시수표'!Y23,$AV$9),COUNTIF('1.연간시수표'!Y23,$AV$7)),$AV$6,IF(OR(COUNTIF('1.연간시수표'!Y23,$AW$9),COUNTIF('1.연간시수표'!Y23,$AW$7)),$AW$6,IF(OR(COUNTIF('1.연간시수표'!Y23,$AX$9),COUNTIF('1.연간시수표'!Y23,$AX$7)),$AX$6,IF(OR(COUNTIF('1.연간시수표'!Y23,$AY$9),COUNTIF('1.연간시수표'!Y23,$AY$7)),$AY$6,IF(OR(COUNTIF('1.연간시수표'!Y23,$AZ$9),COUNTIF('1.연간시수표'!Y23,$AZ$7)),$AZ$6,IF(OR(COUNTIF('1.연간시수표'!Y23,$BA$9),COUNTIF('1.연간시수표'!Y23,$BA$7)),$BA$6,IF(OR(COUNTIF('1.연간시수표'!Y23,$BB$9),COUNTIF('1.연간시수표'!Y23,$BB$7)),$BB$6,IF(OR(COUNTIF('1.연간시수표'!Y23,$BC$9),COUNTIF('1.연간시수표'!Y23,$BC$7)),$BC$6,IF(OR(COUNTIF('1.연간시수표'!Y23,$BF$9),COUNTIF('1.연간시수표'!Y23,$BF$7),COUNTIF('1.연간시수표'!Y23,$BG$9),COUNTIF('1.연간시수표'!Y23,$BG$7),COUNTIF('1.연간시수표'!Y23,$BH$9),COUNTIF('1.연간시수표'!Y23,$BH$7),COUNTIF('1.연간시수표'!Y23,$BI$9),COUNTIF('1.연간시수표'!Y23,$BI$7),COUNTIF('1.연간시수표'!Y23,$BJ$9),COUNTIF('1.연간시수표'!Y23,$BJ$7),COUNTIF('1.연간시수표'!Y23,$BK$9),COUNTIF('1.연간시수표'!Y23,$BK$7),COUNTIF('1.연간시수표'!Y23,$BL$9),COUNTIF('1.연간시수표'!Y23,$BL$7),COUNTIF('1.연간시수표'!Y23,$BM$9),COUNTIF('1.연간시수표'!Y23,$BM$7)),$BF$6,IF(OR(COUNTIF('1.연간시수표'!Y23,$BO$9),COUNTIF('1.연간시수표'!Y23,$BO$7)),$BO$6,IF(OR(COUNTIF('1.연간시수표'!Y23,$BP$9),COUNTIF('1.연간시수표'!Y23,$BP$7)),$BP$6,IF(OR(COUNTIF('1.연간시수표'!Y23,$BQ$9),COUNTIF('1.연간시수표'!Y23,$BQ$7)),$BQ$6,IF(OR(COUNTIF('1.연간시수표'!Y23,$BR$9),COUNTIF('1.연간시수표'!Y23,$BR$7)),$BR$6,"_")))))))))))))))</f>
        <v>_</v>
      </c>
      <c r="Z23" s="148" t="str">
        <f>IF(OR(COUNTIF('1.연간시수표'!Z23,$AT$9),COUNTIF('1.연간시수표'!Z23,$AT$7)),$AT$6,IF(OR(COUNTIF('1.연간시수표'!Z23,$AU$9),COUNTIF('1.연간시수표'!Z23,$AU$7)),$AU$6,IF(OR(COUNTIF('1.연간시수표'!Z23,$AV$9),COUNTIF('1.연간시수표'!Z23,$AV$7)),$AV$6,IF(OR(COUNTIF('1.연간시수표'!Z23,$AW$9),COUNTIF('1.연간시수표'!Z23,$AW$7)),$AW$6,IF(OR(COUNTIF('1.연간시수표'!Z23,$AX$9),COUNTIF('1.연간시수표'!Z23,$AX$7)),$AX$6,IF(OR(COUNTIF('1.연간시수표'!Z23,$AY$9),COUNTIF('1.연간시수표'!Z23,$AY$7)),$AY$6,IF(OR(COUNTIF('1.연간시수표'!Z23,$AZ$9),COUNTIF('1.연간시수표'!Z23,$AZ$7)),$AZ$6,IF(OR(COUNTIF('1.연간시수표'!Z23,$BA$9),COUNTIF('1.연간시수표'!Z23,$BA$7)),$BA$6,IF(OR(COUNTIF('1.연간시수표'!Z23,$BB$9),COUNTIF('1.연간시수표'!Z23,$BB$7)),$BB$6,IF(OR(COUNTIF('1.연간시수표'!Z23,$BC$9),COUNTIF('1.연간시수표'!Z23,$BC$7)),$BC$6,IF(OR(COUNTIF('1.연간시수표'!Z23,$BF$9),COUNTIF('1.연간시수표'!Z23,$BF$7),COUNTIF('1.연간시수표'!Z23,$BG$9),COUNTIF('1.연간시수표'!Z23,$BG$7),COUNTIF('1.연간시수표'!Z23,$BH$9),COUNTIF('1.연간시수표'!Z23,$BH$7),COUNTIF('1.연간시수표'!Z23,$BI$9),COUNTIF('1.연간시수표'!Z23,$BI$7),COUNTIF('1.연간시수표'!Z23,$BJ$9),COUNTIF('1.연간시수표'!Z23,$BJ$7),COUNTIF('1.연간시수표'!Z23,$BK$9),COUNTIF('1.연간시수표'!Z23,$BK$7),COUNTIF('1.연간시수표'!Z23,$BL$9),COUNTIF('1.연간시수표'!Z23,$BL$7),COUNTIF('1.연간시수표'!Z23,$BM$9),COUNTIF('1.연간시수표'!Z23,$BM$7)),$BF$6,IF(OR(COUNTIF('1.연간시수표'!Z23,$BO$9),COUNTIF('1.연간시수표'!Z23,$BO$7)),$BO$6,IF(OR(COUNTIF('1.연간시수표'!Z23,$BP$9),COUNTIF('1.연간시수표'!Z23,$BP$7)),$BP$6,IF(OR(COUNTIF('1.연간시수표'!Z23,$BQ$9),COUNTIF('1.연간시수표'!Z23,$BQ$7)),$BQ$6,IF(OR(COUNTIF('1.연간시수표'!Z23,$BR$9),COUNTIF('1.연간시수표'!Z23,$BR$7)),$BR$6,"_")))))))))))))))</f>
        <v>_</v>
      </c>
      <c r="AA23" s="148" t="str">
        <f>IF(OR(COUNTIF('1.연간시수표'!AA23,$AT$9),COUNTIF('1.연간시수표'!AA23,$AT$7)),$AT$6,IF(OR(COUNTIF('1.연간시수표'!AA23,$AU$9),COUNTIF('1.연간시수표'!AA23,$AU$7)),$AU$6,IF(OR(COUNTIF('1.연간시수표'!AA23,$AV$9),COUNTIF('1.연간시수표'!AA23,$AV$7)),$AV$6,IF(OR(COUNTIF('1.연간시수표'!AA23,$AW$9),COUNTIF('1.연간시수표'!AA23,$AW$7)),$AW$6,IF(OR(COUNTIF('1.연간시수표'!AA23,$AX$9),COUNTIF('1.연간시수표'!AA23,$AX$7)),$AX$6,IF(OR(COUNTIF('1.연간시수표'!AA23,$AY$9),COUNTIF('1.연간시수표'!AA23,$AY$7)),$AY$6,IF(OR(COUNTIF('1.연간시수표'!AA23,$AZ$9),COUNTIF('1.연간시수표'!AA23,$AZ$7)),$AZ$6,IF(OR(COUNTIF('1.연간시수표'!AA23,$BA$9),COUNTIF('1.연간시수표'!AA23,$BA$7)),$BA$6,IF(OR(COUNTIF('1.연간시수표'!AA23,$BB$9),COUNTIF('1.연간시수표'!AA23,$BB$7)),$BB$6,IF(OR(COUNTIF('1.연간시수표'!AA23,$BC$9),COUNTIF('1.연간시수표'!AA23,$BC$7)),$BC$6,IF(OR(COUNTIF('1.연간시수표'!AA23,$BF$9),COUNTIF('1.연간시수표'!AA23,$BF$7),COUNTIF('1.연간시수표'!AA23,$BG$9),COUNTIF('1.연간시수표'!AA23,$BG$7),COUNTIF('1.연간시수표'!AA23,$BH$9),COUNTIF('1.연간시수표'!AA23,$BH$7),COUNTIF('1.연간시수표'!AA23,$BI$9),COUNTIF('1.연간시수표'!AA23,$BI$7),COUNTIF('1.연간시수표'!AA23,$BJ$9),COUNTIF('1.연간시수표'!AA23,$BJ$7),COUNTIF('1.연간시수표'!AA23,$BK$9),COUNTIF('1.연간시수표'!AA23,$BK$7),COUNTIF('1.연간시수표'!AA23,$BL$9),COUNTIF('1.연간시수표'!AA23,$BL$7),COUNTIF('1.연간시수표'!AA23,$BM$9),COUNTIF('1.연간시수표'!AA23,$BM$7)),$BF$6,IF(OR(COUNTIF('1.연간시수표'!AA23,$BO$9),COUNTIF('1.연간시수표'!AA23,$BO$7)),$BO$6,IF(OR(COUNTIF('1.연간시수표'!AA23,$BP$9),COUNTIF('1.연간시수표'!AA23,$BP$7)),$BP$6,IF(OR(COUNTIF('1.연간시수표'!AA23,$BQ$9),COUNTIF('1.연간시수표'!AA23,$BQ$7)),$BQ$6,IF(OR(COUNTIF('1.연간시수표'!AA23,$BR$9),COUNTIF('1.연간시수표'!AA23,$BR$7)),$BR$6,"_")))))))))))))))</f>
        <v>_</v>
      </c>
      <c r="AB23" s="148" t="str">
        <f>IF(OR(COUNTIF('1.연간시수표'!AB23,$AT$9),COUNTIF('1.연간시수표'!AB23,$AT$7)),$AT$6,IF(OR(COUNTIF('1.연간시수표'!AB23,$AU$9),COUNTIF('1.연간시수표'!AB23,$AU$7)),$AU$6,IF(OR(COUNTIF('1.연간시수표'!AB23,$AV$9),COUNTIF('1.연간시수표'!AB23,$AV$7)),$AV$6,IF(OR(COUNTIF('1.연간시수표'!AB23,$AW$9),COUNTIF('1.연간시수표'!AB23,$AW$7)),$AW$6,IF(OR(COUNTIF('1.연간시수표'!AB23,$AX$9),COUNTIF('1.연간시수표'!AB23,$AX$7)),$AX$6,IF(OR(COUNTIF('1.연간시수표'!AB23,$AY$9),COUNTIF('1.연간시수표'!AB23,$AY$7)),$AY$6,IF(OR(COUNTIF('1.연간시수표'!AB23,$AZ$9),COUNTIF('1.연간시수표'!AB23,$AZ$7)),$AZ$6,IF(OR(COUNTIF('1.연간시수표'!AB23,$BA$9),COUNTIF('1.연간시수표'!AB23,$BA$7)),$BA$6,IF(OR(COUNTIF('1.연간시수표'!AB23,$BB$9),COUNTIF('1.연간시수표'!AB23,$BB$7)),$BB$6,IF(OR(COUNTIF('1.연간시수표'!AB23,$BC$9),COUNTIF('1.연간시수표'!AB23,$BC$7)),$BC$6,IF(OR(COUNTIF('1.연간시수표'!AB23,$BF$9),COUNTIF('1.연간시수표'!AB23,$BF$7),COUNTIF('1.연간시수표'!AB23,$BG$9),COUNTIF('1.연간시수표'!AB23,$BG$7),COUNTIF('1.연간시수표'!AB23,$BH$9),COUNTIF('1.연간시수표'!AB23,$BH$7),COUNTIF('1.연간시수표'!AB23,$BI$9),COUNTIF('1.연간시수표'!AB23,$BI$7),COUNTIF('1.연간시수표'!AB23,$BJ$9),COUNTIF('1.연간시수표'!AB23,$BJ$7),COUNTIF('1.연간시수표'!AB23,$BK$9),COUNTIF('1.연간시수표'!AB23,$BK$7),COUNTIF('1.연간시수표'!AB23,$BL$9),COUNTIF('1.연간시수표'!AB23,$BL$7),COUNTIF('1.연간시수표'!AB23,$BM$9),COUNTIF('1.연간시수표'!AB23,$BM$7)),$BF$6,IF(OR(COUNTIF('1.연간시수표'!AB23,$BO$9),COUNTIF('1.연간시수표'!AB23,$BO$7)),$BO$6,IF(OR(COUNTIF('1.연간시수표'!AB23,$BP$9),COUNTIF('1.연간시수표'!AB23,$BP$7)),$BP$6,IF(OR(COUNTIF('1.연간시수표'!AB23,$BQ$9),COUNTIF('1.연간시수표'!AB23,$BQ$7)),$BQ$6,IF(OR(COUNTIF('1.연간시수표'!AB23,$BR$9),COUNTIF('1.연간시수표'!AB23,$BR$7)),$BR$6,"_")))))))))))))))</f>
        <v>_</v>
      </c>
      <c r="AC23" s="148" t="str">
        <f>IF(OR(COUNTIF('1.연간시수표'!AC23,$AT$9),COUNTIF('1.연간시수표'!AC23,$AT$7)),$AT$6,IF(OR(COUNTIF('1.연간시수표'!AC23,$AU$9),COUNTIF('1.연간시수표'!AC23,$AU$7)),$AU$6,IF(OR(COUNTIF('1.연간시수표'!AC23,$AV$9),COUNTIF('1.연간시수표'!AC23,$AV$7)),$AV$6,IF(OR(COUNTIF('1.연간시수표'!AC23,$AW$9),COUNTIF('1.연간시수표'!AC23,$AW$7)),$AW$6,IF(OR(COUNTIF('1.연간시수표'!AC23,$AX$9),COUNTIF('1.연간시수표'!AC23,$AX$7)),$AX$6,IF(OR(COUNTIF('1.연간시수표'!AC23,$AY$9),COUNTIF('1.연간시수표'!AC23,$AY$7)),$AY$6,IF(OR(COUNTIF('1.연간시수표'!AC23,$AZ$9),COUNTIF('1.연간시수표'!AC23,$AZ$7)),$AZ$6,IF(OR(COUNTIF('1.연간시수표'!AC23,$BA$9),COUNTIF('1.연간시수표'!AC23,$BA$7)),$BA$6,IF(OR(COUNTIF('1.연간시수표'!AC23,$BB$9),COUNTIF('1.연간시수표'!AC23,$BB$7)),$BB$6,IF(OR(COUNTIF('1.연간시수표'!AC23,$BC$9),COUNTIF('1.연간시수표'!AC23,$BC$7)),$BC$6,IF(OR(COUNTIF('1.연간시수표'!AC23,$BF$9),COUNTIF('1.연간시수표'!AC23,$BF$7),COUNTIF('1.연간시수표'!AC23,$BG$9),COUNTIF('1.연간시수표'!AC23,$BG$7),COUNTIF('1.연간시수표'!AC23,$BH$9),COUNTIF('1.연간시수표'!AC23,$BH$7),COUNTIF('1.연간시수표'!AC23,$BI$9),COUNTIF('1.연간시수표'!AC23,$BI$7),COUNTIF('1.연간시수표'!AC23,$BJ$9),COUNTIF('1.연간시수표'!AC23,$BJ$7),COUNTIF('1.연간시수표'!AC23,$BK$9),COUNTIF('1.연간시수표'!AC23,$BK$7),COUNTIF('1.연간시수표'!AC23,$BL$9),COUNTIF('1.연간시수표'!AC23,$BL$7),COUNTIF('1.연간시수표'!AC23,$BM$9),COUNTIF('1.연간시수표'!AC23,$BM$7)),$BF$6,IF(OR(COUNTIF('1.연간시수표'!AC23,$BO$9),COUNTIF('1.연간시수표'!AC23,$BO$7)),$BO$6,IF(OR(COUNTIF('1.연간시수표'!AC23,$BP$9),COUNTIF('1.연간시수표'!AC23,$BP$7)),$BP$6,IF(OR(COUNTIF('1.연간시수표'!AC23,$BQ$9),COUNTIF('1.연간시수표'!AC23,$BQ$7)),$BQ$6,IF(OR(COUNTIF('1.연간시수표'!AC23,$BR$9),COUNTIF('1.연간시수표'!AC23,$BR$7)),$BR$6,"_")))))))))))))))</f>
        <v>국어</v>
      </c>
      <c r="AD23" s="148" t="str">
        <f>IF(OR(COUNTIF('1.연간시수표'!AD23,$AT$9),COUNTIF('1.연간시수표'!AD23,$AT$7)),$AT$6,IF(OR(COUNTIF('1.연간시수표'!AD23,$AU$9),COUNTIF('1.연간시수표'!AD23,$AU$7)),$AU$6,IF(OR(COUNTIF('1.연간시수표'!AD23,$AV$9),COUNTIF('1.연간시수표'!AD23,$AV$7)),$AV$6,IF(OR(COUNTIF('1.연간시수표'!AD23,$AW$9),COUNTIF('1.연간시수표'!AD23,$AW$7)),$AW$6,IF(OR(COUNTIF('1.연간시수표'!AD23,$AX$9),COUNTIF('1.연간시수표'!AD23,$AX$7)),$AX$6,IF(OR(COUNTIF('1.연간시수표'!AD23,$AY$9),COUNTIF('1.연간시수표'!AD23,$AY$7)),$AY$6,IF(OR(COUNTIF('1.연간시수표'!AD23,$AZ$9),COUNTIF('1.연간시수표'!AD23,$AZ$7)),$AZ$6,IF(OR(COUNTIF('1.연간시수표'!AD23,$BA$9),COUNTIF('1.연간시수표'!AD23,$BA$7)),$BA$6,IF(OR(COUNTIF('1.연간시수표'!AD23,$BB$9),COUNTIF('1.연간시수표'!AD23,$BB$7)),$BB$6,IF(OR(COUNTIF('1.연간시수표'!AD23,$BC$9),COUNTIF('1.연간시수표'!AD23,$BC$7)),$BC$6,IF(OR(COUNTIF('1.연간시수표'!AD23,$BF$9),COUNTIF('1.연간시수표'!AD23,$BF$7),COUNTIF('1.연간시수표'!AD23,$BG$9),COUNTIF('1.연간시수표'!AD23,$BG$7),COUNTIF('1.연간시수표'!AD23,$BH$9),COUNTIF('1.연간시수표'!AD23,$BH$7),COUNTIF('1.연간시수표'!AD23,$BI$9),COUNTIF('1.연간시수표'!AD23,$BI$7),COUNTIF('1.연간시수표'!AD23,$BJ$9),COUNTIF('1.연간시수표'!AD23,$BJ$7),COUNTIF('1.연간시수표'!AD23,$BK$9),COUNTIF('1.연간시수표'!AD23,$BK$7),COUNTIF('1.연간시수표'!AD23,$BL$9),COUNTIF('1.연간시수표'!AD23,$BL$7),COUNTIF('1.연간시수표'!AD23,$BM$9),COUNTIF('1.연간시수표'!AD23,$BM$7)),$BF$6,IF(OR(COUNTIF('1.연간시수표'!AD23,$BO$9),COUNTIF('1.연간시수표'!AD23,$BO$7)),$BO$6,IF(OR(COUNTIF('1.연간시수표'!AD23,$BP$9),COUNTIF('1.연간시수표'!AD23,$BP$7)),$BP$6,IF(OR(COUNTIF('1.연간시수표'!AD23,$BQ$9),COUNTIF('1.연간시수표'!AD23,$BQ$7)),$BQ$6,IF(OR(COUNTIF('1.연간시수표'!AD23,$BR$9),COUNTIF('1.연간시수표'!AD23,$BR$7)),$BR$6,"_")))))))))))))))</f>
        <v>수학</v>
      </c>
      <c r="AE23" s="148" t="str">
        <f>IF(OR(COUNTIF('1.연간시수표'!AE23,$AT$9),COUNTIF('1.연간시수표'!AE23,$AT$7)),$AT$6,IF(OR(COUNTIF('1.연간시수표'!AE23,$AU$9),COUNTIF('1.연간시수표'!AE23,$AU$7)),$AU$6,IF(OR(COUNTIF('1.연간시수표'!AE23,$AV$9),COUNTIF('1.연간시수표'!AE23,$AV$7)),$AV$6,IF(OR(COUNTIF('1.연간시수표'!AE23,$AW$9),COUNTIF('1.연간시수표'!AE23,$AW$7)),$AW$6,IF(OR(COUNTIF('1.연간시수표'!AE23,$AX$9),COUNTIF('1.연간시수표'!AE23,$AX$7)),$AX$6,IF(OR(COUNTIF('1.연간시수표'!AE23,$AY$9),COUNTIF('1.연간시수표'!AE23,$AY$7)),$AY$6,IF(OR(COUNTIF('1.연간시수표'!AE23,$AZ$9),COUNTIF('1.연간시수표'!AE23,$AZ$7)),$AZ$6,IF(OR(COUNTIF('1.연간시수표'!AE23,$BA$9),COUNTIF('1.연간시수표'!AE23,$BA$7)),$BA$6,IF(OR(COUNTIF('1.연간시수표'!AE23,$BB$9),COUNTIF('1.연간시수표'!AE23,$BB$7)),$BB$6,IF(OR(COUNTIF('1.연간시수표'!AE23,$BC$9),COUNTIF('1.연간시수표'!AE23,$BC$7)),$BC$6,IF(OR(COUNTIF('1.연간시수표'!AE23,$BF$9),COUNTIF('1.연간시수표'!AE23,$BF$7),COUNTIF('1.연간시수표'!AE23,$BG$9),COUNTIF('1.연간시수표'!AE23,$BG$7),COUNTIF('1.연간시수표'!AE23,$BH$9),COUNTIF('1.연간시수표'!AE23,$BH$7),COUNTIF('1.연간시수표'!AE23,$BI$9),COUNTIF('1.연간시수표'!AE23,$BI$7),COUNTIF('1.연간시수표'!AE23,$BJ$9),COUNTIF('1.연간시수표'!AE23,$BJ$7),COUNTIF('1.연간시수표'!AE23,$BK$9),COUNTIF('1.연간시수표'!AE23,$BK$7),COUNTIF('1.연간시수표'!AE23,$BL$9),COUNTIF('1.연간시수표'!AE23,$BL$7),COUNTIF('1.연간시수표'!AE23,$BM$9),COUNTIF('1.연간시수표'!AE23,$BM$7)),$BF$6,IF(OR(COUNTIF('1.연간시수표'!AE23,$BO$9),COUNTIF('1.연간시수표'!AE23,$BO$7)),$BO$6,IF(OR(COUNTIF('1.연간시수표'!AE23,$BP$9),COUNTIF('1.연간시수표'!AE23,$BP$7)),$BP$6,IF(OR(COUNTIF('1.연간시수표'!AE23,$BQ$9),COUNTIF('1.연간시수표'!AE23,$BQ$7)),$BQ$6,IF(OR(COUNTIF('1.연간시수표'!AE23,$BR$9),COUNTIF('1.연간시수표'!AE23,$BR$7)),$BR$6,"_")))))))))))))))</f>
        <v>사회</v>
      </c>
      <c r="AF23" s="148" t="str">
        <f>IF(OR(COUNTIF('1.연간시수표'!AF23,$AT$9),COUNTIF('1.연간시수표'!AF23,$AT$7)),$AT$6,IF(OR(COUNTIF('1.연간시수표'!AF23,$AU$9),COUNTIF('1.연간시수표'!AF23,$AU$7)),$AU$6,IF(OR(COUNTIF('1.연간시수표'!AF23,$AV$9),COUNTIF('1.연간시수표'!AF23,$AV$7)),$AV$6,IF(OR(COUNTIF('1.연간시수표'!AF23,$AW$9),COUNTIF('1.연간시수표'!AF23,$AW$7)),$AW$6,IF(OR(COUNTIF('1.연간시수표'!AF23,$AX$9),COUNTIF('1.연간시수표'!AF23,$AX$7)),$AX$6,IF(OR(COUNTIF('1.연간시수표'!AF23,$AY$9),COUNTIF('1.연간시수표'!AF23,$AY$7)),$AY$6,IF(OR(COUNTIF('1.연간시수표'!AF23,$AZ$9),COUNTIF('1.연간시수표'!AF23,$AZ$7)),$AZ$6,IF(OR(COUNTIF('1.연간시수표'!AF23,$BA$9),COUNTIF('1.연간시수표'!AF23,$BA$7)),$BA$6,IF(OR(COUNTIF('1.연간시수표'!AF23,$BB$9),COUNTIF('1.연간시수표'!AF23,$BB$7)),$BB$6,IF(OR(COUNTIF('1.연간시수표'!AF23,$BC$9),COUNTIF('1.연간시수표'!AF23,$BC$7)),$BC$6,IF(OR(COUNTIF('1.연간시수표'!AF23,$BF$9),COUNTIF('1.연간시수표'!AF23,$BF$7),COUNTIF('1.연간시수표'!AF23,$BG$9),COUNTIF('1.연간시수표'!AF23,$BG$7),COUNTIF('1.연간시수표'!AF23,$BH$9),COUNTIF('1.연간시수표'!AF23,$BH$7),COUNTIF('1.연간시수표'!AF23,$BI$9),COUNTIF('1.연간시수표'!AF23,$BI$7),COUNTIF('1.연간시수표'!AF23,$BJ$9),COUNTIF('1.연간시수표'!AF23,$BJ$7),COUNTIF('1.연간시수표'!AF23,$BK$9),COUNTIF('1.연간시수표'!AF23,$BK$7),COUNTIF('1.연간시수표'!AF23,$BL$9),COUNTIF('1.연간시수표'!AF23,$BL$7),COUNTIF('1.연간시수표'!AF23,$BM$9),COUNTIF('1.연간시수표'!AF23,$BM$7)),$BF$6,IF(OR(COUNTIF('1.연간시수표'!AF23,$BO$9),COUNTIF('1.연간시수표'!AF23,$BO$7)),$BO$6,IF(OR(COUNTIF('1.연간시수표'!AF23,$BP$9),COUNTIF('1.연간시수표'!AF23,$BP$7)),$BP$6,IF(OR(COUNTIF('1.연간시수표'!AF23,$BQ$9),COUNTIF('1.연간시수표'!AF23,$BQ$7)),$BQ$6,IF(OR(COUNTIF('1.연간시수표'!AF23,$BR$9),COUNTIF('1.연간시수표'!AF23,$BR$7)),$BR$6,"_")))))))))))))))</f>
        <v>영어</v>
      </c>
      <c r="AG23" s="148" t="str">
        <f>IF(OR(COUNTIF('1.연간시수표'!AG23,$AT$9),COUNTIF('1.연간시수표'!AG23,$AT$7)),$AT$6,IF(OR(COUNTIF('1.연간시수표'!AG23,$AU$9),COUNTIF('1.연간시수표'!AG23,$AU$7)),$AU$6,IF(OR(COUNTIF('1.연간시수표'!AG23,$AV$9),COUNTIF('1.연간시수표'!AG23,$AV$7)),$AV$6,IF(OR(COUNTIF('1.연간시수표'!AG23,$AW$9),COUNTIF('1.연간시수표'!AG23,$AW$7)),$AW$6,IF(OR(COUNTIF('1.연간시수표'!AG23,$AX$9),COUNTIF('1.연간시수표'!AG23,$AX$7)),$AX$6,IF(OR(COUNTIF('1.연간시수표'!AG23,$AY$9),COUNTIF('1.연간시수표'!AG23,$AY$7)),$AY$6,IF(OR(COUNTIF('1.연간시수표'!AG23,$AZ$9),COUNTIF('1.연간시수표'!AG23,$AZ$7)),$AZ$6,IF(OR(COUNTIF('1.연간시수표'!AG23,$BA$9),COUNTIF('1.연간시수표'!AG23,$BA$7)),$BA$6,IF(OR(COUNTIF('1.연간시수표'!AG23,$BB$9),COUNTIF('1.연간시수표'!AG23,$BB$7)),$BB$6,IF(OR(COUNTIF('1.연간시수표'!AG23,$BC$9),COUNTIF('1.연간시수표'!AG23,$BC$7)),$BC$6,IF(OR(COUNTIF('1.연간시수표'!AG23,$BF$9),COUNTIF('1.연간시수표'!AG23,$BF$7),COUNTIF('1.연간시수표'!AG23,$BG$9),COUNTIF('1.연간시수표'!AG23,$BG$7),COUNTIF('1.연간시수표'!AG23,$BH$9),COUNTIF('1.연간시수표'!AG23,$BH$7),COUNTIF('1.연간시수표'!AG23,$BI$9),COUNTIF('1.연간시수표'!AG23,$BI$7),COUNTIF('1.연간시수표'!AG23,$BJ$9),COUNTIF('1.연간시수표'!AG23,$BJ$7),COUNTIF('1.연간시수표'!AG23,$BK$9),COUNTIF('1.연간시수표'!AG23,$BK$7),COUNTIF('1.연간시수표'!AG23,$BL$9),COUNTIF('1.연간시수표'!AG23,$BL$7),COUNTIF('1.연간시수표'!AG23,$BM$9),COUNTIF('1.연간시수표'!AG23,$BM$7)),$BF$6,IF(OR(COUNTIF('1.연간시수표'!AG23,$BO$9),COUNTIF('1.연간시수표'!AG23,$BO$7)),$BO$6,IF(OR(COUNTIF('1.연간시수표'!AG23,$BP$9),COUNTIF('1.연간시수표'!AG23,$BP$7)),$BP$6,IF(OR(COUNTIF('1.연간시수표'!AG23,$BQ$9),COUNTIF('1.연간시수표'!AG23,$BQ$7)),$BQ$6,IF(OR(COUNTIF('1.연간시수표'!AG23,$BR$9),COUNTIF('1.연간시수표'!AG23,$BR$7)),$BR$6,"_")))))))))))))))</f>
        <v>과학</v>
      </c>
      <c r="AH23" s="148" t="str">
        <f>IF(OR(COUNTIF('1.연간시수표'!AH23,$AT$9),COUNTIF('1.연간시수표'!AH23,$AT$7)),$AT$6,IF(OR(COUNTIF('1.연간시수표'!AH23,$AU$9),COUNTIF('1.연간시수표'!AH23,$AU$7)),$AU$6,IF(OR(COUNTIF('1.연간시수표'!AH23,$AV$9),COUNTIF('1.연간시수표'!AH23,$AV$7)),$AV$6,IF(OR(COUNTIF('1.연간시수표'!AH23,$AW$9),COUNTIF('1.연간시수표'!AH23,$AW$7)),$AW$6,IF(OR(COUNTIF('1.연간시수표'!AH23,$AX$9),COUNTIF('1.연간시수표'!AH23,$AX$7)),$AX$6,IF(OR(COUNTIF('1.연간시수표'!AH23,$AY$9),COUNTIF('1.연간시수표'!AH23,$AY$7)),$AY$6,IF(OR(COUNTIF('1.연간시수표'!AH23,$AZ$9),COUNTIF('1.연간시수표'!AH23,$AZ$7)),$AZ$6,IF(OR(COUNTIF('1.연간시수표'!AH23,$BA$9),COUNTIF('1.연간시수표'!AH23,$BA$7)),$BA$6,IF(OR(COUNTIF('1.연간시수표'!AH23,$BB$9),COUNTIF('1.연간시수표'!AH23,$BB$7)),$BB$6,IF(OR(COUNTIF('1.연간시수표'!AH23,$BC$9),COUNTIF('1.연간시수표'!AH23,$BC$7)),$BC$6,IF(OR(COUNTIF('1.연간시수표'!AH23,$BF$9),COUNTIF('1.연간시수표'!AH23,$BF$7),COUNTIF('1.연간시수표'!AH23,$BG$9),COUNTIF('1.연간시수표'!AH23,$BG$7),COUNTIF('1.연간시수표'!AH23,$BH$9),COUNTIF('1.연간시수표'!AH23,$BH$7),COUNTIF('1.연간시수표'!AH23,$BI$9),COUNTIF('1.연간시수표'!AH23,$BI$7),COUNTIF('1.연간시수표'!AH23,$BJ$9),COUNTIF('1.연간시수표'!AH23,$BJ$7),COUNTIF('1.연간시수표'!AH23,$BK$9),COUNTIF('1.연간시수표'!AH23,$BK$7),COUNTIF('1.연간시수표'!AH23,$BL$9),COUNTIF('1.연간시수표'!AH23,$BL$7),COUNTIF('1.연간시수표'!AH23,$BM$9),COUNTIF('1.연간시수표'!AH23,$BM$7)),$BF$6,IF(OR(COUNTIF('1.연간시수표'!AH23,$BO$9),COUNTIF('1.연간시수표'!AH23,$BO$7)),$BO$6,IF(OR(COUNTIF('1.연간시수표'!AH23,$BP$9),COUNTIF('1.연간시수표'!AH23,$BP$7)),$BP$6,IF(OR(COUNTIF('1.연간시수표'!AH23,$BQ$9),COUNTIF('1.연간시수표'!AH23,$BQ$7)),$BQ$6,IF(OR(COUNTIF('1.연간시수표'!AH23,$BR$9),COUNTIF('1.연간시수표'!AH23,$BR$7)),$BR$6,"_")))))))))))))))</f>
        <v>음악</v>
      </c>
      <c r="AI23" s="148" t="str">
        <f>IF(OR(COUNTIF('1.연간시수표'!AI23,$AT$9),COUNTIF('1.연간시수표'!AI23,$AT$7)),$AT$6,IF(OR(COUNTIF('1.연간시수표'!AI23,$AU$9),COUNTIF('1.연간시수표'!AI23,$AU$7)),$AU$6,IF(OR(COUNTIF('1.연간시수표'!AI23,$AV$9),COUNTIF('1.연간시수표'!AI23,$AV$7)),$AV$6,IF(OR(COUNTIF('1.연간시수표'!AI23,$AW$9),COUNTIF('1.연간시수표'!AI23,$AW$7)),$AW$6,IF(OR(COUNTIF('1.연간시수표'!AI23,$AX$9),COUNTIF('1.연간시수표'!AI23,$AX$7)),$AX$6,IF(OR(COUNTIF('1.연간시수표'!AI23,$AY$9),COUNTIF('1.연간시수표'!AI23,$AY$7)),$AY$6,IF(OR(COUNTIF('1.연간시수표'!AI23,$AZ$9),COUNTIF('1.연간시수표'!AI23,$AZ$7)),$AZ$6,IF(OR(COUNTIF('1.연간시수표'!AI23,$BA$9),COUNTIF('1.연간시수표'!AI23,$BA$7)),$BA$6,IF(OR(COUNTIF('1.연간시수표'!AI23,$BB$9),COUNTIF('1.연간시수표'!AI23,$BB$7)),$BB$6,IF(OR(COUNTIF('1.연간시수표'!AI23,$BC$9),COUNTIF('1.연간시수표'!AI23,$BC$7)),$BC$6,IF(OR(COUNTIF('1.연간시수표'!AI23,$BF$9),COUNTIF('1.연간시수표'!AI23,$BF$7),COUNTIF('1.연간시수표'!AI23,$BG$9),COUNTIF('1.연간시수표'!AI23,$BG$7),COUNTIF('1.연간시수표'!AI23,$BH$9),COUNTIF('1.연간시수표'!AI23,$BH$7),COUNTIF('1.연간시수표'!AI23,$BI$9),COUNTIF('1.연간시수표'!AI23,$BI$7),COUNTIF('1.연간시수표'!AI23,$BJ$9),COUNTIF('1.연간시수표'!AI23,$BJ$7),COUNTIF('1.연간시수표'!AI23,$BK$9),COUNTIF('1.연간시수표'!AI23,$BK$7),COUNTIF('1.연간시수표'!AI23,$BL$9),COUNTIF('1.연간시수표'!AI23,$BL$7),COUNTIF('1.연간시수표'!AI23,$BM$9),COUNTIF('1.연간시수표'!AI23,$BM$7)),$BF$6,IF(OR(COUNTIF('1.연간시수표'!AI23,$BO$9),COUNTIF('1.연간시수표'!AI23,$BO$7)),$BO$6,IF(OR(COUNTIF('1.연간시수표'!AI23,$BP$9),COUNTIF('1.연간시수표'!AI23,$BP$7)),$BP$6,IF(OR(COUNTIF('1.연간시수표'!AI23,$BQ$9),COUNTIF('1.연간시수표'!AI23,$BQ$7)),$BQ$6,IF(OR(COUNTIF('1.연간시수표'!AI23,$BR$9),COUNTIF('1.연간시수표'!AI23,$BR$7)),$BR$6,"_")))))))))))))))</f>
        <v>_</v>
      </c>
      <c r="AJ23" s="148" t="str">
        <f>IF(OR(COUNTIF('1.연간시수표'!AJ23,$AT$9),COUNTIF('1.연간시수표'!AJ23,$AT$7)),$AT$6,IF(OR(COUNTIF('1.연간시수표'!AJ23,$AU$9),COUNTIF('1.연간시수표'!AJ23,$AU$7)),$AU$6,IF(OR(COUNTIF('1.연간시수표'!AJ23,$AV$9),COUNTIF('1.연간시수표'!AJ23,$AV$7)),$AV$6,IF(OR(COUNTIF('1.연간시수표'!AJ23,$AW$9),COUNTIF('1.연간시수표'!AJ23,$AW$7)),$AW$6,IF(OR(COUNTIF('1.연간시수표'!AJ23,$AX$9),COUNTIF('1.연간시수표'!AJ23,$AX$7)),$AX$6,IF(OR(COUNTIF('1.연간시수표'!AJ23,$AY$9),COUNTIF('1.연간시수표'!AJ23,$AY$7)),$AY$6,IF(OR(COUNTIF('1.연간시수표'!AJ23,$AZ$9),COUNTIF('1.연간시수표'!AJ23,$AZ$7)),$AZ$6,IF(OR(COUNTIF('1.연간시수표'!AJ23,$BA$9),COUNTIF('1.연간시수표'!AJ23,$BA$7)),$BA$6,IF(OR(COUNTIF('1.연간시수표'!AJ23,$BB$9),COUNTIF('1.연간시수표'!AJ23,$BB$7)),$BB$6,IF(OR(COUNTIF('1.연간시수표'!AJ23,$BC$9),COUNTIF('1.연간시수표'!AJ23,$BC$7)),$BC$6,IF(OR(COUNTIF('1.연간시수표'!AJ23,$BF$9),COUNTIF('1.연간시수표'!AJ23,$BF$7),COUNTIF('1.연간시수표'!AJ23,$BG$9),COUNTIF('1.연간시수표'!AJ23,$BG$7),COUNTIF('1.연간시수표'!AJ23,$BH$9),COUNTIF('1.연간시수표'!AJ23,$BH$7),COUNTIF('1.연간시수표'!AJ23,$BI$9),COUNTIF('1.연간시수표'!AJ23,$BI$7),COUNTIF('1.연간시수표'!AJ23,$BJ$9),COUNTIF('1.연간시수표'!AJ23,$BJ$7),COUNTIF('1.연간시수표'!AJ23,$BK$9),COUNTIF('1.연간시수표'!AJ23,$BK$7),COUNTIF('1.연간시수표'!AJ23,$BL$9),COUNTIF('1.연간시수표'!AJ23,$BL$7),COUNTIF('1.연간시수표'!AJ23,$BM$9),COUNTIF('1.연간시수표'!AJ23,$BM$7)),$BF$6,IF(OR(COUNTIF('1.연간시수표'!AJ23,$BO$9),COUNTIF('1.연간시수표'!AJ23,$BO$7)),$BO$6,IF(OR(COUNTIF('1.연간시수표'!AJ23,$BP$9),COUNTIF('1.연간시수표'!AJ23,$BP$7)),$BP$6,IF(OR(COUNTIF('1.연간시수표'!AJ23,$BQ$9),COUNTIF('1.연간시수표'!AJ23,$BQ$7)),$BQ$6,IF(OR(COUNTIF('1.연간시수표'!AJ23,$BR$9),COUNTIF('1.연간시수표'!AJ23,$BR$7)),$BR$6,"_")))))))))))))))</f>
        <v>_</v>
      </c>
      <c r="AK23" s="148" t="str">
        <f>IF(OR(COUNTIF('1.연간시수표'!AK23,$AT$9),COUNTIF('1.연간시수표'!AK23,$AT$7)),$AT$6,IF(OR(COUNTIF('1.연간시수표'!AK23,$AU$9),COUNTIF('1.연간시수표'!AK23,$AU$7)),$AU$6,IF(OR(COUNTIF('1.연간시수표'!AK23,$AV$9),COUNTIF('1.연간시수표'!AK23,$AV$7)),$AV$6,IF(OR(COUNTIF('1.연간시수표'!AK23,$AW$9),COUNTIF('1.연간시수표'!AK23,$AW$7)),$AW$6,IF(OR(COUNTIF('1.연간시수표'!AK23,$AX$9),COUNTIF('1.연간시수표'!AK23,$AX$7)),$AX$6,IF(OR(COUNTIF('1.연간시수표'!AK23,$AY$9),COUNTIF('1.연간시수표'!AK23,$AY$7)),$AY$6,IF(OR(COUNTIF('1.연간시수표'!AK23,$AZ$9),COUNTIF('1.연간시수표'!AK23,$AZ$7)),$AZ$6,IF(OR(COUNTIF('1.연간시수표'!AK23,$BA$9),COUNTIF('1.연간시수표'!AK23,$BA$7)),$BA$6,IF(OR(COUNTIF('1.연간시수표'!AK23,$BB$9),COUNTIF('1.연간시수표'!AK23,$BB$7)),$BB$6,IF(OR(COUNTIF('1.연간시수표'!AK23,$BC$9),COUNTIF('1.연간시수표'!AK23,$BC$7)),$BC$6,IF(OR(COUNTIF('1.연간시수표'!AK23,$BF$9),COUNTIF('1.연간시수표'!AK23,$BF$7),COUNTIF('1.연간시수표'!AK23,$BG$9),COUNTIF('1.연간시수표'!AK23,$BG$7),COUNTIF('1.연간시수표'!AK23,$BH$9),COUNTIF('1.연간시수표'!AK23,$BH$7),COUNTIF('1.연간시수표'!AK23,$BI$9),COUNTIF('1.연간시수표'!AK23,$BI$7),COUNTIF('1.연간시수표'!AK23,$BJ$9),COUNTIF('1.연간시수표'!AK23,$BJ$7),COUNTIF('1.연간시수표'!AK23,$BK$9),COUNTIF('1.연간시수표'!AK23,$BK$7),COUNTIF('1.연간시수표'!AK23,$BL$9),COUNTIF('1.연간시수표'!AK23,$BL$7),COUNTIF('1.연간시수표'!AK23,$BM$9),COUNTIF('1.연간시수표'!AK23,$BM$7)),$BF$6,IF(OR(COUNTIF('1.연간시수표'!AK23,$BO$9),COUNTIF('1.연간시수표'!AK23,$BO$7)),$BO$6,IF(OR(COUNTIF('1.연간시수표'!AK23,$BP$9),COUNTIF('1.연간시수표'!AK23,$BP$7)),$BP$6,IF(OR(COUNTIF('1.연간시수표'!AK23,$BQ$9),COUNTIF('1.연간시수표'!AK23,$BQ$7)),$BQ$6,IF(OR(COUNTIF('1.연간시수표'!AK23,$BR$9),COUNTIF('1.연간시수표'!AK23,$BR$7)),$BR$6,"_")))))))))))))))</f>
        <v>자율활동</v>
      </c>
      <c r="AL23" s="148" t="str">
        <f>IF(OR(COUNTIF('1.연간시수표'!AL23,$AT$9),COUNTIF('1.연간시수표'!AL23,$AT$7)),$AT$6,IF(OR(COUNTIF('1.연간시수표'!AL23,$AU$9),COUNTIF('1.연간시수표'!AL23,$AU$7)),$AU$6,IF(OR(COUNTIF('1.연간시수표'!AL23,$AV$9),COUNTIF('1.연간시수표'!AL23,$AV$7)),$AV$6,IF(OR(COUNTIF('1.연간시수표'!AL23,$AW$9),COUNTIF('1.연간시수표'!AL23,$AW$7)),$AW$6,IF(OR(COUNTIF('1.연간시수표'!AL23,$AX$9),COUNTIF('1.연간시수표'!AL23,$AX$7)),$AX$6,IF(OR(COUNTIF('1.연간시수표'!AL23,$AY$9),COUNTIF('1.연간시수표'!AL23,$AY$7)),$AY$6,IF(OR(COUNTIF('1.연간시수표'!AL23,$AZ$9),COUNTIF('1.연간시수표'!AL23,$AZ$7)),$AZ$6,IF(OR(COUNTIF('1.연간시수표'!AL23,$BA$9),COUNTIF('1.연간시수표'!AL23,$BA$7)),$BA$6,IF(OR(COUNTIF('1.연간시수표'!AL23,$BB$9),COUNTIF('1.연간시수표'!AL23,$BB$7)),$BB$6,IF(OR(COUNTIF('1.연간시수표'!AL23,$BC$9),COUNTIF('1.연간시수표'!AL23,$BC$7)),$BC$6,IF(OR(COUNTIF('1.연간시수표'!AL23,$BF$9),COUNTIF('1.연간시수표'!AL23,$BF$7),COUNTIF('1.연간시수표'!AL23,$BG$9),COUNTIF('1.연간시수표'!AL23,$BG$7),COUNTIF('1.연간시수표'!AL23,$BH$9),COUNTIF('1.연간시수표'!AL23,$BH$7),COUNTIF('1.연간시수표'!AL23,$BI$9),COUNTIF('1.연간시수표'!AL23,$BI$7),COUNTIF('1.연간시수표'!AL23,$BJ$9),COUNTIF('1.연간시수표'!AL23,$BJ$7),COUNTIF('1.연간시수표'!AL23,$BK$9),COUNTIF('1.연간시수표'!AL23,$BK$7),COUNTIF('1.연간시수표'!AL23,$BL$9),COUNTIF('1.연간시수표'!AL23,$BL$7),COUNTIF('1.연간시수표'!AL23,$BM$9),COUNTIF('1.연간시수표'!AL23,$BM$7)),$BF$6,IF(OR(COUNTIF('1.연간시수표'!AL23,$BO$9),COUNTIF('1.연간시수표'!AL23,$BO$7)),$BO$6,IF(OR(COUNTIF('1.연간시수표'!AL23,$BP$9),COUNTIF('1.연간시수표'!AL23,$BP$7)),$BP$6,IF(OR(COUNTIF('1.연간시수표'!AL23,$BQ$9),COUNTIF('1.연간시수표'!AL23,$BQ$7)),$BQ$6,IF(OR(COUNTIF('1.연간시수표'!AL23,$BR$9),COUNTIF('1.연간시수표'!AL23,$BR$7)),$BR$6,"_")))))))))))))))</f>
        <v>체육</v>
      </c>
      <c r="AM23" s="148" t="str">
        <f>IF(OR(COUNTIF('1.연간시수표'!AM23,$AT$9),COUNTIF('1.연간시수표'!AM23,$AT$7)),$AT$6,IF(OR(COUNTIF('1.연간시수표'!AM23,$AU$9),COUNTIF('1.연간시수표'!AM23,$AU$7)),$AU$6,IF(OR(COUNTIF('1.연간시수표'!AM23,$AV$9),COUNTIF('1.연간시수표'!AM23,$AV$7)),$AV$6,IF(OR(COUNTIF('1.연간시수표'!AM23,$AW$9),COUNTIF('1.연간시수표'!AM23,$AW$7)),$AW$6,IF(OR(COUNTIF('1.연간시수표'!AM23,$AX$9),COUNTIF('1.연간시수표'!AM23,$AX$7)),$AX$6,IF(OR(COUNTIF('1.연간시수표'!AM23,$AY$9),COUNTIF('1.연간시수표'!AM23,$AY$7)),$AY$6,IF(OR(COUNTIF('1.연간시수표'!AM23,$AZ$9),COUNTIF('1.연간시수표'!AM23,$AZ$7)),$AZ$6,IF(OR(COUNTIF('1.연간시수표'!AM23,$BA$9),COUNTIF('1.연간시수표'!AM23,$BA$7)),$BA$6,IF(OR(COUNTIF('1.연간시수표'!AM23,$BB$9),COUNTIF('1.연간시수표'!AM23,$BB$7)),$BB$6,IF(OR(COUNTIF('1.연간시수표'!AM23,$BC$9),COUNTIF('1.연간시수표'!AM23,$BC$7)),$BC$6,IF(OR(COUNTIF('1.연간시수표'!AM23,$BF$9),COUNTIF('1.연간시수표'!AM23,$BF$7),COUNTIF('1.연간시수표'!AM23,$BG$9),COUNTIF('1.연간시수표'!AM23,$BG$7),COUNTIF('1.연간시수표'!AM23,$BH$9),COUNTIF('1.연간시수표'!AM23,$BH$7),COUNTIF('1.연간시수표'!AM23,$BI$9),COUNTIF('1.연간시수표'!AM23,$BI$7),COUNTIF('1.연간시수표'!AM23,$BJ$9),COUNTIF('1.연간시수표'!AM23,$BJ$7),COUNTIF('1.연간시수표'!AM23,$BK$9),COUNTIF('1.연간시수표'!AM23,$BK$7),COUNTIF('1.연간시수표'!AM23,$BL$9),COUNTIF('1.연간시수표'!AM23,$BL$7),COUNTIF('1.연간시수표'!AM23,$BM$9),COUNTIF('1.연간시수표'!AM23,$BM$7)),$BF$6,IF(OR(COUNTIF('1.연간시수표'!AM23,$BO$9),COUNTIF('1.연간시수표'!AM23,$BO$7)),$BO$6,IF(OR(COUNTIF('1.연간시수표'!AM23,$BP$9),COUNTIF('1.연간시수표'!AM23,$BP$7)),$BP$6,IF(OR(COUNTIF('1.연간시수표'!AM23,$BQ$9),COUNTIF('1.연간시수표'!AM23,$BQ$7)),$BQ$6,IF(OR(COUNTIF('1.연간시수표'!AM23,$BR$9),COUNTIF('1.연간시수표'!AM23,$BR$7)),$BR$6,"_")))))))))))))))</f>
        <v>수학</v>
      </c>
      <c r="AN23" s="148" t="str">
        <f>IF(OR(COUNTIF('1.연간시수표'!AN23,$AT$9),COUNTIF('1.연간시수표'!AN23,$AT$7)),$AT$6,IF(OR(COUNTIF('1.연간시수표'!AN23,$AU$9),COUNTIF('1.연간시수표'!AN23,$AU$7)),$AU$6,IF(OR(COUNTIF('1.연간시수표'!AN23,$AV$9),COUNTIF('1.연간시수표'!AN23,$AV$7)),$AV$6,IF(OR(COUNTIF('1.연간시수표'!AN23,$AW$9),COUNTIF('1.연간시수표'!AN23,$AW$7)),$AW$6,IF(OR(COUNTIF('1.연간시수표'!AN23,$AX$9),COUNTIF('1.연간시수표'!AN23,$AX$7)),$AX$6,IF(OR(COUNTIF('1.연간시수표'!AN23,$AY$9),COUNTIF('1.연간시수표'!AN23,$AY$7)),$AY$6,IF(OR(COUNTIF('1.연간시수표'!AN23,$AZ$9),COUNTIF('1.연간시수표'!AN23,$AZ$7)),$AZ$6,IF(OR(COUNTIF('1.연간시수표'!AN23,$BA$9),COUNTIF('1.연간시수표'!AN23,$BA$7)),$BA$6,IF(OR(COUNTIF('1.연간시수표'!AN23,$BB$9),COUNTIF('1.연간시수표'!AN23,$BB$7)),$BB$6,IF(OR(COUNTIF('1.연간시수표'!AN23,$BC$9),COUNTIF('1.연간시수표'!AN23,$BC$7)),$BC$6,IF(OR(COUNTIF('1.연간시수표'!AN23,$BF$9),COUNTIF('1.연간시수표'!AN23,$BF$7),COUNTIF('1.연간시수표'!AN23,$BG$9),COUNTIF('1.연간시수표'!AN23,$BG$7),COUNTIF('1.연간시수표'!AN23,$BH$9),COUNTIF('1.연간시수표'!AN23,$BH$7),COUNTIF('1.연간시수표'!AN23,$BI$9),COUNTIF('1.연간시수표'!AN23,$BI$7),COUNTIF('1.연간시수표'!AN23,$BJ$9),COUNTIF('1.연간시수표'!AN23,$BJ$7),COUNTIF('1.연간시수표'!AN23,$BK$9),COUNTIF('1.연간시수표'!AN23,$BK$7),COUNTIF('1.연간시수표'!AN23,$BL$9),COUNTIF('1.연간시수표'!AN23,$BL$7),COUNTIF('1.연간시수표'!AN23,$BM$9),COUNTIF('1.연간시수표'!AN23,$BM$7)),$BF$6,IF(OR(COUNTIF('1.연간시수표'!AN23,$BO$9),COUNTIF('1.연간시수표'!AN23,$BO$7)),$BO$6,IF(OR(COUNTIF('1.연간시수표'!AN23,$BP$9),COUNTIF('1.연간시수표'!AN23,$BP$7)),$BP$6,IF(OR(COUNTIF('1.연간시수표'!AN23,$BQ$9),COUNTIF('1.연간시수표'!AN23,$BQ$7)),$BQ$6,IF(OR(COUNTIF('1.연간시수표'!AN23,$BR$9),COUNTIF('1.연간시수표'!AN23,$BR$7)),$BR$6,"_")))))))))))))))</f>
        <v>국어</v>
      </c>
      <c r="AO23" s="148" t="str">
        <f>IF(OR(COUNTIF('1.연간시수표'!AO23,$AT$9),COUNTIF('1.연간시수표'!AO23,$AT$7)),$AT$6,IF(OR(COUNTIF('1.연간시수표'!AO23,$AU$9),COUNTIF('1.연간시수표'!AO23,$AU$7)),$AU$6,IF(OR(COUNTIF('1.연간시수표'!AO23,$AV$9),COUNTIF('1.연간시수표'!AO23,$AV$7)),$AV$6,IF(OR(COUNTIF('1.연간시수표'!AO23,$AW$9),COUNTIF('1.연간시수표'!AO23,$AW$7)),$AW$6,IF(OR(COUNTIF('1.연간시수표'!AO23,$AX$9),COUNTIF('1.연간시수표'!AO23,$AX$7)),$AX$6,IF(OR(COUNTIF('1.연간시수표'!AO23,$AY$9),COUNTIF('1.연간시수표'!AO23,$AY$7)),$AY$6,IF(OR(COUNTIF('1.연간시수표'!AO23,$AZ$9),COUNTIF('1.연간시수표'!AO23,$AZ$7)),$AZ$6,IF(OR(COUNTIF('1.연간시수표'!AO23,$BA$9),COUNTIF('1.연간시수표'!AO23,$BA$7)),$BA$6,IF(OR(COUNTIF('1.연간시수표'!AO23,$BB$9),COUNTIF('1.연간시수표'!AO23,$BB$7)),$BB$6,IF(OR(COUNTIF('1.연간시수표'!AO23,$BC$9),COUNTIF('1.연간시수표'!AO23,$BC$7)),$BC$6,IF(OR(COUNTIF('1.연간시수표'!AO23,$BF$9),COUNTIF('1.연간시수표'!AO23,$BF$7),COUNTIF('1.연간시수표'!AO23,$BG$9),COUNTIF('1.연간시수표'!AO23,$BG$7),COUNTIF('1.연간시수표'!AO23,$BH$9),COUNTIF('1.연간시수표'!AO23,$BH$7),COUNTIF('1.연간시수표'!AO23,$BI$9),COUNTIF('1.연간시수표'!AO23,$BI$7),COUNTIF('1.연간시수표'!AO23,$BJ$9),COUNTIF('1.연간시수표'!AO23,$BJ$7),COUNTIF('1.연간시수표'!AO23,$BK$9),COUNTIF('1.연간시수표'!AO23,$BK$7),COUNTIF('1.연간시수표'!AO23,$BL$9),COUNTIF('1.연간시수표'!AO23,$BL$7),COUNTIF('1.연간시수표'!AO23,$BM$9),COUNTIF('1.연간시수표'!AO23,$BM$7)),$BF$6,IF(OR(COUNTIF('1.연간시수표'!AO23,$BO$9),COUNTIF('1.연간시수표'!AO23,$BO$7)),$BO$6,IF(OR(COUNTIF('1.연간시수표'!AO23,$BP$9),COUNTIF('1.연간시수표'!AO23,$BP$7)),$BP$6,IF(OR(COUNTIF('1.연간시수표'!AO23,$BQ$9),COUNTIF('1.연간시수표'!AO23,$BQ$7)),$BQ$6,IF(OR(COUNTIF('1.연간시수표'!AO23,$BR$9),COUNTIF('1.연간시수표'!AO23,$BR$7)),$BR$6,"_")))))))))))))))</f>
        <v>사회</v>
      </c>
      <c r="AP23" s="148" t="str">
        <f>IF(OR(COUNTIF('1.연간시수표'!AP23,$AT$9),COUNTIF('1.연간시수표'!AP23,$AT$7)),$AT$6,IF(OR(COUNTIF('1.연간시수표'!AP23,$AU$9),COUNTIF('1.연간시수표'!AP23,$AU$7)),$AU$6,IF(OR(COUNTIF('1.연간시수표'!AP23,$AV$9),COUNTIF('1.연간시수표'!AP23,$AV$7)),$AV$6,IF(OR(COUNTIF('1.연간시수표'!AP23,$AW$9),COUNTIF('1.연간시수표'!AP23,$AW$7)),$AW$6,IF(OR(COUNTIF('1.연간시수표'!AP23,$AX$9),COUNTIF('1.연간시수표'!AP23,$AX$7)),$AX$6,IF(OR(COUNTIF('1.연간시수표'!AP23,$AY$9),COUNTIF('1.연간시수표'!AP23,$AY$7)),$AY$6,IF(OR(COUNTIF('1.연간시수표'!AP23,$AZ$9),COUNTIF('1.연간시수표'!AP23,$AZ$7)),$AZ$6,IF(OR(COUNTIF('1.연간시수표'!AP23,$BA$9),COUNTIF('1.연간시수표'!AP23,$BA$7)),$BA$6,IF(OR(COUNTIF('1.연간시수표'!AP23,$BB$9),COUNTIF('1.연간시수표'!AP23,$BB$7)),$BB$6,IF(OR(COUNTIF('1.연간시수표'!AP23,$BC$9),COUNTIF('1.연간시수표'!AP23,$BC$7)),$BC$6,IF(OR(COUNTIF('1.연간시수표'!AP23,$BF$9),COUNTIF('1.연간시수표'!AP23,$BF$7),COUNTIF('1.연간시수표'!AP23,$BG$9),COUNTIF('1.연간시수표'!AP23,$BG$7),COUNTIF('1.연간시수표'!AP23,$BH$9),COUNTIF('1.연간시수표'!AP23,$BH$7),COUNTIF('1.연간시수표'!AP23,$BI$9),COUNTIF('1.연간시수표'!AP23,$BI$7),COUNTIF('1.연간시수표'!AP23,$BJ$9),COUNTIF('1.연간시수표'!AP23,$BJ$7),COUNTIF('1.연간시수표'!AP23,$BK$9),COUNTIF('1.연간시수표'!AP23,$BK$7),COUNTIF('1.연간시수표'!AP23,$BL$9),COUNTIF('1.연간시수표'!AP23,$BL$7),COUNTIF('1.연간시수표'!AP23,$BM$9),COUNTIF('1.연간시수표'!AP23,$BM$7)),$BF$6,IF(OR(COUNTIF('1.연간시수표'!AP23,$BO$9),COUNTIF('1.연간시수표'!AP23,$BO$7)),$BO$6,IF(OR(COUNTIF('1.연간시수표'!AP23,$BP$9),COUNTIF('1.연간시수표'!AP23,$BP$7)),$BP$6,IF(OR(COUNTIF('1.연간시수표'!AP23,$BQ$9),COUNTIF('1.연간시수표'!AP23,$BQ$7)),$BQ$6,IF(OR(COUNTIF('1.연간시수표'!AP23,$BR$9),COUNTIF('1.연간시수표'!AP23,$BR$7)),$BR$6,"_")))))))))))))))</f>
        <v>실과</v>
      </c>
      <c r="AQ23" s="148" t="str">
        <f>IF(OR(COUNTIF('1.연간시수표'!AQ23,$AT$9),COUNTIF('1.연간시수표'!AQ23,$AT$7)),$AT$6,IF(OR(COUNTIF('1.연간시수표'!AQ23,$AU$9),COUNTIF('1.연간시수표'!AQ23,$AU$7)),$AU$6,IF(OR(COUNTIF('1.연간시수표'!AQ23,$AV$9),COUNTIF('1.연간시수표'!AQ23,$AV$7)),$AV$6,IF(OR(COUNTIF('1.연간시수표'!AQ23,$AW$9),COUNTIF('1.연간시수표'!AQ23,$AW$7)),$AW$6,IF(OR(COUNTIF('1.연간시수표'!AQ23,$AX$9),COUNTIF('1.연간시수표'!AQ23,$AX$7)),$AX$6,IF(OR(COUNTIF('1.연간시수표'!AQ23,$AY$9),COUNTIF('1.연간시수표'!AQ23,$AY$7)),$AY$6,IF(OR(COUNTIF('1.연간시수표'!AQ23,$AZ$9),COUNTIF('1.연간시수표'!AQ23,$AZ$7)),$AZ$6,IF(OR(COUNTIF('1.연간시수표'!AQ23,$BA$9),COUNTIF('1.연간시수표'!AQ23,$BA$7)),$BA$6,IF(OR(COUNTIF('1.연간시수표'!AQ23,$BB$9),COUNTIF('1.연간시수표'!AQ23,$BB$7)),$BB$6,IF(OR(COUNTIF('1.연간시수표'!AQ23,$BC$9),COUNTIF('1.연간시수표'!AQ23,$BC$7)),$BC$6,IF(OR(COUNTIF('1.연간시수표'!AQ23,$BF$9),COUNTIF('1.연간시수표'!AQ23,$BF$7),COUNTIF('1.연간시수표'!AQ23,$BG$9),COUNTIF('1.연간시수표'!AQ23,$BG$7),COUNTIF('1.연간시수표'!AQ23,$BH$9),COUNTIF('1.연간시수표'!AQ23,$BH$7),COUNTIF('1.연간시수표'!AQ23,$BI$9),COUNTIF('1.연간시수표'!AQ23,$BI$7),COUNTIF('1.연간시수표'!AQ23,$BJ$9),COUNTIF('1.연간시수표'!AQ23,$BJ$7),COUNTIF('1.연간시수표'!AQ23,$BK$9),COUNTIF('1.연간시수표'!AQ23,$BK$7),COUNTIF('1.연간시수표'!AQ23,$BL$9),COUNTIF('1.연간시수표'!AQ23,$BL$7),COUNTIF('1.연간시수표'!AQ23,$BM$9),COUNTIF('1.연간시수표'!AQ23,$BM$7)),$BF$6,IF(OR(COUNTIF('1.연간시수표'!AQ23,$BO$9),COUNTIF('1.연간시수표'!AQ23,$BO$7)),$BO$6,IF(OR(COUNTIF('1.연간시수표'!AQ23,$BP$9),COUNTIF('1.연간시수표'!AQ23,$BP$7)),$BP$6,IF(OR(COUNTIF('1.연간시수표'!AQ23,$BQ$9),COUNTIF('1.연간시수표'!AQ23,$BQ$7)),$BQ$6,IF(OR(COUNTIF('1.연간시수표'!AQ23,$BR$9),COUNTIF('1.연간시수표'!AQ23,$BR$7)),$BR$6,"_")))))))))))))))</f>
        <v>_</v>
      </c>
      <c r="AR23" s="148" t="str">
        <f>IF(OR(COUNTIF('1.연간시수표'!AR23,$AT$9),COUNTIF('1.연간시수표'!AR23,$AT$7)),$AT$6,IF(OR(COUNTIF('1.연간시수표'!AR23,$AU$9),COUNTIF('1.연간시수표'!AR23,$AU$7)),$AU$6,IF(OR(COUNTIF('1.연간시수표'!AR23,$AV$9),COUNTIF('1.연간시수표'!AR23,$AV$7)),$AV$6,IF(OR(COUNTIF('1.연간시수표'!AR23,$AW$9),COUNTIF('1.연간시수표'!AR23,$AW$7)),$AW$6,IF(OR(COUNTIF('1.연간시수표'!AR23,$AX$9),COUNTIF('1.연간시수표'!AR23,$AX$7)),$AX$6,IF(OR(COUNTIF('1.연간시수표'!AR23,$AY$9),COUNTIF('1.연간시수표'!AR23,$AY$7)),$AY$6,IF(OR(COUNTIF('1.연간시수표'!AR23,$AZ$9),COUNTIF('1.연간시수표'!AR23,$AZ$7)),$AZ$6,IF(OR(COUNTIF('1.연간시수표'!AR23,$BA$9),COUNTIF('1.연간시수표'!AR23,$BA$7)),$BA$6,IF(OR(COUNTIF('1.연간시수표'!AR23,$BB$9),COUNTIF('1.연간시수표'!AR23,$BB$7)),$BB$6,IF(OR(COUNTIF('1.연간시수표'!AR23,$BC$9),COUNTIF('1.연간시수표'!AR23,$BC$7)),$BC$6,IF(OR(COUNTIF('1.연간시수표'!AR23,$BF$9),COUNTIF('1.연간시수표'!AR23,$BF$7),COUNTIF('1.연간시수표'!AR23,$BG$9),COUNTIF('1.연간시수표'!AR23,$BG$7),COUNTIF('1.연간시수표'!AR23,$BH$9),COUNTIF('1.연간시수표'!AR23,$BH$7),COUNTIF('1.연간시수표'!AR23,$BI$9),COUNTIF('1.연간시수표'!AR23,$BI$7),COUNTIF('1.연간시수표'!AR23,$BJ$9),COUNTIF('1.연간시수표'!AR23,$BJ$7),COUNTIF('1.연간시수표'!AR23,$BK$9),COUNTIF('1.연간시수표'!AR23,$BK$7),COUNTIF('1.연간시수표'!AR23,$BL$9),COUNTIF('1.연간시수표'!AR23,$BL$7),COUNTIF('1.연간시수표'!AR23,$BM$9),COUNTIF('1.연간시수표'!AR23,$BM$7)),$BF$6,IF(OR(COUNTIF('1.연간시수표'!AR23,$BO$9),COUNTIF('1.연간시수표'!AR23,$BO$7)),$BO$6,IF(OR(COUNTIF('1.연간시수표'!AR23,$BP$9),COUNTIF('1.연간시수표'!AR23,$BP$7)),$BP$6,IF(OR(COUNTIF('1.연간시수표'!AR23,$BQ$9),COUNTIF('1.연간시수표'!AR23,$BQ$7)),$BQ$6,IF(OR(COUNTIF('1.연간시수표'!AR23,$BR$9),COUNTIF('1.연간시수표'!AR23,$BR$7)),$BR$6,"_")))))))))))))))</f>
        <v>_</v>
      </c>
      <c r="BU23" s="142" t="str">
        <f>BF6</f>
        <v>자율활동</v>
      </c>
      <c r="BV23" s="142" t="str">
        <f t="shared" si="0"/>
        <v>자율활동</v>
      </c>
    </row>
    <row r="24" spans="2:74">
      <c r="B24" s="6"/>
      <c r="C24" s="79">
        <f>'1.연간시수표'!C24</f>
        <v>15</v>
      </c>
      <c r="D24" s="3"/>
      <c r="E24" s="148" t="str">
        <f>IF(OR(COUNTIF('1.연간시수표'!E24,$AT$9),COUNTIF('1.연간시수표'!E24,$AT$7)),$AT$6,IF(OR(COUNTIF('1.연간시수표'!E24,$AU$9),COUNTIF('1.연간시수표'!E24,$AU$7)),$AU$6,IF(OR(COUNTIF('1.연간시수표'!E24,$AV$9),COUNTIF('1.연간시수표'!E24,$AV$7)),$AV$6,IF(OR(COUNTIF('1.연간시수표'!E24,$AW$9),COUNTIF('1.연간시수표'!E24,$AW$7)),$AW$6,IF(OR(COUNTIF('1.연간시수표'!E24,$AX$9),COUNTIF('1.연간시수표'!E24,$AX$7)),$AX$6,IF(OR(COUNTIF('1.연간시수표'!E24,$AY$9),COUNTIF('1.연간시수표'!E24,$AY$7)),$AY$6,IF(OR(COUNTIF('1.연간시수표'!E24,$AZ$9),COUNTIF('1.연간시수표'!E24,$AZ$7)),$AZ$6,IF(OR(COUNTIF('1.연간시수표'!E24,$BA$9),COUNTIF('1.연간시수표'!E24,$BA$7)),$BA$6,IF(OR(COUNTIF('1.연간시수표'!E24,$BB$9),COUNTIF('1.연간시수표'!E24,$BB$7)),$BB$6,IF(OR(COUNTIF('1.연간시수표'!E24,$BC$9),COUNTIF('1.연간시수표'!E24,$BC$7)),$BC$6,IF(OR(COUNTIF('1.연간시수표'!E24,$BF$9),COUNTIF('1.연간시수표'!E24,$BF$7),COUNTIF('1.연간시수표'!E24,$BG$9),COUNTIF('1.연간시수표'!E24,$BG$7),COUNTIF('1.연간시수표'!E24,$BH$9),COUNTIF('1.연간시수표'!E24,$BH$7),COUNTIF('1.연간시수표'!E24,$BI$9),COUNTIF('1.연간시수표'!E24,$BI$7),COUNTIF('1.연간시수표'!E24,$BJ$9),COUNTIF('1.연간시수표'!E24,$BJ$7),COUNTIF('1.연간시수표'!E24,$BK$9),COUNTIF('1.연간시수표'!E24,$BK$7),COUNTIF('1.연간시수표'!E24,$BL$9),COUNTIF('1.연간시수표'!E24,$BL$7),COUNTIF('1.연간시수표'!E24,$BM$9),COUNTIF('1.연간시수표'!E24,$BM$7)),$BF$6,IF(OR(COUNTIF('1.연간시수표'!E24,$BO$9),COUNTIF('1.연간시수표'!E24,$BO$7)),$BO$6,IF(OR(COUNTIF('1.연간시수표'!E24,$BP$9),COUNTIF('1.연간시수표'!E24,$BP$7)),$BP$6,IF(OR(COUNTIF('1.연간시수표'!E24,$BQ$9),COUNTIF('1.연간시수표'!E24,$BQ$7)),$BQ$6,IF(OR(COUNTIF('1.연간시수표'!E24,$BR$9),COUNTIF('1.연간시수표'!E24,$BR$7)),$BR$6,"_")))))))))))))))</f>
        <v>_</v>
      </c>
      <c r="F24" s="148" t="str">
        <f>IF(OR(COUNTIF('1.연간시수표'!F24,$AT$9),COUNTIF('1.연간시수표'!F24,$AT$7)),$AT$6,IF(OR(COUNTIF('1.연간시수표'!F24,$AU$9),COUNTIF('1.연간시수표'!F24,$AU$7)),$AU$6,IF(OR(COUNTIF('1.연간시수표'!F24,$AV$9),COUNTIF('1.연간시수표'!F24,$AV$7)),$AV$6,IF(OR(COUNTIF('1.연간시수표'!F24,$AW$9),COUNTIF('1.연간시수표'!F24,$AW$7)),$AW$6,IF(OR(COUNTIF('1.연간시수표'!F24,$AX$9),COUNTIF('1.연간시수표'!F24,$AX$7)),$AX$6,IF(OR(COUNTIF('1.연간시수표'!F24,$AY$9),COUNTIF('1.연간시수표'!F24,$AY$7)),$AY$6,IF(OR(COUNTIF('1.연간시수표'!F24,$AZ$9),COUNTIF('1.연간시수표'!F24,$AZ$7)),$AZ$6,IF(OR(COUNTIF('1.연간시수표'!F24,$BA$9),COUNTIF('1.연간시수표'!F24,$BA$7)),$BA$6,IF(OR(COUNTIF('1.연간시수표'!F24,$BB$9),COUNTIF('1.연간시수표'!F24,$BB$7)),$BB$6,IF(OR(COUNTIF('1.연간시수표'!F24,$BC$9),COUNTIF('1.연간시수표'!F24,$BC$7)),$BC$6,IF(OR(COUNTIF('1.연간시수표'!F24,$BF$9),COUNTIF('1.연간시수표'!F24,$BF$7),COUNTIF('1.연간시수표'!F24,$BG$9),COUNTIF('1.연간시수표'!F24,$BG$7),COUNTIF('1.연간시수표'!F24,$BH$9),COUNTIF('1.연간시수표'!F24,$BH$7),COUNTIF('1.연간시수표'!F24,$BI$9),COUNTIF('1.연간시수표'!F24,$BI$7),COUNTIF('1.연간시수표'!F24,$BJ$9),COUNTIF('1.연간시수표'!F24,$BJ$7),COUNTIF('1.연간시수표'!F24,$BK$9),COUNTIF('1.연간시수표'!F24,$BK$7),COUNTIF('1.연간시수표'!F24,$BL$9),COUNTIF('1.연간시수표'!F24,$BL$7),COUNTIF('1.연간시수표'!F24,$BM$9),COUNTIF('1.연간시수표'!F24,$BM$7)),$BF$6,IF(OR(COUNTIF('1.연간시수표'!F24,$BO$9),COUNTIF('1.연간시수표'!F24,$BO$7)),$BO$6,IF(OR(COUNTIF('1.연간시수표'!F24,$BP$9),COUNTIF('1.연간시수표'!F24,$BP$7)),$BP$6,IF(OR(COUNTIF('1.연간시수표'!F24,$BQ$9),COUNTIF('1.연간시수표'!F24,$BQ$7)),$BQ$6,IF(OR(COUNTIF('1.연간시수표'!F24,$BR$9),COUNTIF('1.연간시수표'!F24,$BR$7)),$BR$6,"_")))))))))))))))</f>
        <v>_</v>
      </c>
      <c r="G24" s="148" t="str">
        <f>IF(OR(COUNTIF('1.연간시수표'!G24,$AT$9),COUNTIF('1.연간시수표'!G24,$AT$7)),$AT$6,IF(OR(COUNTIF('1.연간시수표'!G24,$AU$9),COUNTIF('1.연간시수표'!G24,$AU$7)),$AU$6,IF(OR(COUNTIF('1.연간시수표'!G24,$AV$9),COUNTIF('1.연간시수표'!G24,$AV$7)),$AV$6,IF(OR(COUNTIF('1.연간시수표'!G24,$AW$9),COUNTIF('1.연간시수표'!G24,$AW$7)),$AW$6,IF(OR(COUNTIF('1.연간시수표'!G24,$AX$9),COUNTIF('1.연간시수표'!G24,$AX$7)),$AX$6,IF(OR(COUNTIF('1.연간시수표'!G24,$AY$9),COUNTIF('1.연간시수표'!G24,$AY$7)),$AY$6,IF(OR(COUNTIF('1.연간시수표'!G24,$AZ$9),COUNTIF('1.연간시수표'!G24,$AZ$7)),$AZ$6,IF(OR(COUNTIF('1.연간시수표'!G24,$BA$9),COUNTIF('1.연간시수표'!G24,$BA$7)),$BA$6,IF(OR(COUNTIF('1.연간시수표'!G24,$BB$9),COUNTIF('1.연간시수표'!G24,$BB$7)),$BB$6,IF(OR(COUNTIF('1.연간시수표'!G24,$BC$9),COUNTIF('1.연간시수표'!G24,$BC$7)),$BC$6,IF(OR(COUNTIF('1.연간시수표'!G24,$BF$9),COUNTIF('1.연간시수표'!G24,$BF$7),COUNTIF('1.연간시수표'!G24,$BG$9),COUNTIF('1.연간시수표'!G24,$BG$7),COUNTIF('1.연간시수표'!G24,$BH$9),COUNTIF('1.연간시수표'!G24,$BH$7),COUNTIF('1.연간시수표'!G24,$BI$9),COUNTIF('1.연간시수표'!G24,$BI$7),COUNTIF('1.연간시수표'!G24,$BJ$9),COUNTIF('1.연간시수표'!G24,$BJ$7),COUNTIF('1.연간시수표'!G24,$BK$9),COUNTIF('1.연간시수표'!G24,$BK$7),COUNTIF('1.연간시수표'!G24,$BL$9),COUNTIF('1.연간시수표'!G24,$BL$7),COUNTIF('1.연간시수표'!G24,$BM$9),COUNTIF('1.연간시수표'!G24,$BM$7)),$BF$6,IF(OR(COUNTIF('1.연간시수표'!G24,$BO$9),COUNTIF('1.연간시수표'!G24,$BO$7)),$BO$6,IF(OR(COUNTIF('1.연간시수표'!G24,$BP$9),COUNTIF('1.연간시수표'!G24,$BP$7)),$BP$6,IF(OR(COUNTIF('1.연간시수표'!G24,$BQ$9),COUNTIF('1.연간시수표'!G24,$BQ$7)),$BQ$6,IF(OR(COUNTIF('1.연간시수표'!G24,$BR$9),COUNTIF('1.연간시수표'!G24,$BR$7)),$BR$6,"_")))))))))))))))</f>
        <v>_</v>
      </c>
      <c r="H24" s="148" t="str">
        <f>IF(OR(COUNTIF('1.연간시수표'!H24,$AT$9),COUNTIF('1.연간시수표'!H24,$AT$7)),$AT$6,IF(OR(COUNTIF('1.연간시수표'!H24,$AU$9),COUNTIF('1.연간시수표'!H24,$AU$7)),$AU$6,IF(OR(COUNTIF('1.연간시수표'!H24,$AV$9),COUNTIF('1.연간시수표'!H24,$AV$7)),$AV$6,IF(OR(COUNTIF('1.연간시수표'!H24,$AW$9),COUNTIF('1.연간시수표'!H24,$AW$7)),$AW$6,IF(OR(COUNTIF('1.연간시수표'!H24,$AX$9),COUNTIF('1.연간시수표'!H24,$AX$7)),$AX$6,IF(OR(COUNTIF('1.연간시수표'!H24,$AY$9),COUNTIF('1.연간시수표'!H24,$AY$7)),$AY$6,IF(OR(COUNTIF('1.연간시수표'!H24,$AZ$9),COUNTIF('1.연간시수표'!H24,$AZ$7)),$AZ$6,IF(OR(COUNTIF('1.연간시수표'!H24,$BA$9),COUNTIF('1.연간시수표'!H24,$BA$7)),$BA$6,IF(OR(COUNTIF('1.연간시수표'!H24,$BB$9),COUNTIF('1.연간시수표'!H24,$BB$7)),$BB$6,IF(OR(COUNTIF('1.연간시수표'!H24,$BC$9),COUNTIF('1.연간시수표'!H24,$BC$7)),$BC$6,IF(OR(COUNTIF('1.연간시수표'!H24,$BF$9),COUNTIF('1.연간시수표'!H24,$BF$7),COUNTIF('1.연간시수표'!H24,$BG$9),COUNTIF('1.연간시수표'!H24,$BG$7),COUNTIF('1.연간시수표'!H24,$BH$9),COUNTIF('1.연간시수표'!H24,$BH$7),COUNTIF('1.연간시수표'!H24,$BI$9),COUNTIF('1.연간시수표'!H24,$BI$7),COUNTIF('1.연간시수표'!H24,$BJ$9),COUNTIF('1.연간시수표'!H24,$BJ$7),COUNTIF('1.연간시수표'!H24,$BK$9),COUNTIF('1.연간시수표'!H24,$BK$7),COUNTIF('1.연간시수표'!H24,$BL$9),COUNTIF('1.연간시수표'!H24,$BL$7),COUNTIF('1.연간시수표'!H24,$BM$9),COUNTIF('1.연간시수표'!H24,$BM$7)),$BF$6,IF(OR(COUNTIF('1.연간시수표'!H24,$BO$9),COUNTIF('1.연간시수표'!H24,$BO$7)),$BO$6,IF(OR(COUNTIF('1.연간시수표'!H24,$BP$9),COUNTIF('1.연간시수표'!H24,$BP$7)),$BP$6,IF(OR(COUNTIF('1.연간시수표'!H24,$BQ$9),COUNTIF('1.연간시수표'!H24,$BQ$7)),$BQ$6,IF(OR(COUNTIF('1.연간시수표'!H24,$BR$9),COUNTIF('1.연간시수표'!H24,$BR$7)),$BR$6,"_")))))))))))))))</f>
        <v>_</v>
      </c>
      <c r="I24" s="148" t="str">
        <f>IF(OR(COUNTIF('1.연간시수표'!I24,$AT$9),COUNTIF('1.연간시수표'!I24,$AT$7)),$AT$6,IF(OR(COUNTIF('1.연간시수표'!I24,$AU$9),COUNTIF('1.연간시수표'!I24,$AU$7)),$AU$6,IF(OR(COUNTIF('1.연간시수표'!I24,$AV$9),COUNTIF('1.연간시수표'!I24,$AV$7)),$AV$6,IF(OR(COUNTIF('1.연간시수표'!I24,$AW$9),COUNTIF('1.연간시수표'!I24,$AW$7)),$AW$6,IF(OR(COUNTIF('1.연간시수표'!I24,$AX$9),COUNTIF('1.연간시수표'!I24,$AX$7)),$AX$6,IF(OR(COUNTIF('1.연간시수표'!I24,$AY$9),COUNTIF('1.연간시수표'!I24,$AY$7)),$AY$6,IF(OR(COUNTIF('1.연간시수표'!I24,$AZ$9),COUNTIF('1.연간시수표'!I24,$AZ$7)),$AZ$6,IF(OR(COUNTIF('1.연간시수표'!I24,$BA$9),COUNTIF('1.연간시수표'!I24,$BA$7)),$BA$6,IF(OR(COUNTIF('1.연간시수표'!I24,$BB$9),COUNTIF('1.연간시수표'!I24,$BB$7)),$BB$6,IF(OR(COUNTIF('1.연간시수표'!I24,$BC$9),COUNTIF('1.연간시수표'!I24,$BC$7)),$BC$6,IF(OR(COUNTIF('1.연간시수표'!I24,$BF$9),COUNTIF('1.연간시수표'!I24,$BF$7),COUNTIF('1.연간시수표'!I24,$BG$9),COUNTIF('1.연간시수표'!I24,$BG$7),COUNTIF('1.연간시수표'!I24,$BH$9),COUNTIF('1.연간시수표'!I24,$BH$7),COUNTIF('1.연간시수표'!I24,$BI$9),COUNTIF('1.연간시수표'!I24,$BI$7),COUNTIF('1.연간시수표'!I24,$BJ$9),COUNTIF('1.연간시수표'!I24,$BJ$7),COUNTIF('1.연간시수표'!I24,$BK$9),COUNTIF('1.연간시수표'!I24,$BK$7),COUNTIF('1.연간시수표'!I24,$BL$9),COUNTIF('1.연간시수표'!I24,$BL$7),COUNTIF('1.연간시수표'!I24,$BM$9),COUNTIF('1.연간시수표'!I24,$BM$7)),$BF$6,IF(OR(COUNTIF('1.연간시수표'!I24,$BO$9),COUNTIF('1.연간시수표'!I24,$BO$7)),$BO$6,IF(OR(COUNTIF('1.연간시수표'!I24,$BP$9),COUNTIF('1.연간시수표'!I24,$BP$7)),$BP$6,IF(OR(COUNTIF('1.연간시수표'!I24,$BQ$9),COUNTIF('1.연간시수표'!I24,$BQ$7)),$BQ$6,IF(OR(COUNTIF('1.연간시수표'!I24,$BR$9),COUNTIF('1.연간시수표'!I24,$BR$7)),$BR$6,"_")))))))))))))))</f>
        <v>_</v>
      </c>
      <c r="J24" s="148" t="str">
        <f>IF(OR(COUNTIF('1.연간시수표'!J24,$AT$9),COUNTIF('1.연간시수표'!J24,$AT$7)),$AT$6,IF(OR(COUNTIF('1.연간시수표'!J24,$AU$9),COUNTIF('1.연간시수표'!J24,$AU$7)),$AU$6,IF(OR(COUNTIF('1.연간시수표'!J24,$AV$9),COUNTIF('1.연간시수표'!J24,$AV$7)),$AV$6,IF(OR(COUNTIF('1.연간시수표'!J24,$AW$9),COUNTIF('1.연간시수표'!J24,$AW$7)),$AW$6,IF(OR(COUNTIF('1.연간시수표'!J24,$AX$9),COUNTIF('1.연간시수표'!J24,$AX$7)),$AX$6,IF(OR(COUNTIF('1.연간시수표'!J24,$AY$9),COUNTIF('1.연간시수표'!J24,$AY$7)),$AY$6,IF(OR(COUNTIF('1.연간시수표'!J24,$AZ$9),COUNTIF('1.연간시수표'!J24,$AZ$7)),$AZ$6,IF(OR(COUNTIF('1.연간시수표'!J24,$BA$9),COUNTIF('1.연간시수표'!J24,$BA$7)),$BA$6,IF(OR(COUNTIF('1.연간시수표'!J24,$BB$9),COUNTIF('1.연간시수표'!J24,$BB$7)),$BB$6,IF(OR(COUNTIF('1.연간시수표'!J24,$BC$9),COUNTIF('1.연간시수표'!J24,$BC$7)),$BC$6,IF(OR(COUNTIF('1.연간시수표'!J24,$BF$9),COUNTIF('1.연간시수표'!J24,$BF$7),COUNTIF('1.연간시수표'!J24,$BG$9),COUNTIF('1.연간시수표'!J24,$BG$7),COUNTIF('1.연간시수표'!J24,$BH$9),COUNTIF('1.연간시수표'!J24,$BH$7),COUNTIF('1.연간시수표'!J24,$BI$9),COUNTIF('1.연간시수표'!J24,$BI$7),COUNTIF('1.연간시수표'!J24,$BJ$9),COUNTIF('1.연간시수표'!J24,$BJ$7),COUNTIF('1.연간시수표'!J24,$BK$9),COUNTIF('1.연간시수표'!J24,$BK$7),COUNTIF('1.연간시수표'!J24,$BL$9),COUNTIF('1.연간시수표'!J24,$BL$7),COUNTIF('1.연간시수표'!J24,$BM$9),COUNTIF('1.연간시수표'!J24,$BM$7)),$BF$6,IF(OR(COUNTIF('1.연간시수표'!J24,$BO$9),COUNTIF('1.연간시수표'!J24,$BO$7)),$BO$6,IF(OR(COUNTIF('1.연간시수표'!J24,$BP$9),COUNTIF('1.연간시수표'!J24,$BP$7)),$BP$6,IF(OR(COUNTIF('1.연간시수표'!J24,$BQ$9),COUNTIF('1.연간시수표'!J24,$BQ$7)),$BQ$6,IF(OR(COUNTIF('1.연간시수표'!J24,$BR$9),COUNTIF('1.연간시수표'!J24,$BR$7)),$BR$6,"_")))))))))))))))</f>
        <v>_</v>
      </c>
      <c r="K24" s="148" t="str">
        <f>IF(OR(COUNTIF('1.연간시수표'!K24,$AT$9),COUNTIF('1.연간시수표'!K24,$AT$7)),$AT$6,IF(OR(COUNTIF('1.연간시수표'!K24,$AU$9),COUNTIF('1.연간시수표'!K24,$AU$7)),$AU$6,IF(OR(COUNTIF('1.연간시수표'!K24,$AV$9),COUNTIF('1.연간시수표'!K24,$AV$7)),$AV$6,IF(OR(COUNTIF('1.연간시수표'!K24,$AW$9),COUNTIF('1.연간시수표'!K24,$AW$7)),$AW$6,IF(OR(COUNTIF('1.연간시수표'!K24,$AX$9),COUNTIF('1.연간시수표'!K24,$AX$7)),$AX$6,IF(OR(COUNTIF('1.연간시수표'!K24,$AY$9),COUNTIF('1.연간시수표'!K24,$AY$7)),$AY$6,IF(OR(COUNTIF('1.연간시수표'!K24,$AZ$9),COUNTIF('1.연간시수표'!K24,$AZ$7)),$AZ$6,IF(OR(COUNTIF('1.연간시수표'!K24,$BA$9),COUNTIF('1.연간시수표'!K24,$BA$7)),$BA$6,IF(OR(COUNTIF('1.연간시수표'!K24,$BB$9),COUNTIF('1.연간시수표'!K24,$BB$7)),$BB$6,IF(OR(COUNTIF('1.연간시수표'!K24,$BC$9),COUNTIF('1.연간시수표'!K24,$BC$7)),$BC$6,IF(OR(COUNTIF('1.연간시수표'!K24,$BF$9),COUNTIF('1.연간시수표'!K24,$BF$7),COUNTIF('1.연간시수표'!K24,$BG$9),COUNTIF('1.연간시수표'!K24,$BG$7),COUNTIF('1.연간시수표'!K24,$BH$9),COUNTIF('1.연간시수표'!K24,$BH$7),COUNTIF('1.연간시수표'!K24,$BI$9),COUNTIF('1.연간시수표'!K24,$BI$7),COUNTIF('1.연간시수표'!K24,$BJ$9),COUNTIF('1.연간시수표'!K24,$BJ$7),COUNTIF('1.연간시수표'!K24,$BK$9),COUNTIF('1.연간시수표'!K24,$BK$7),COUNTIF('1.연간시수표'!K24,$BL$9),COUNTIF('1.연간시수표'!K24,$BL$7),COUNTIF('1.연간시수표'!K24,$BM$9),COUNTIF('1.연간시수표'!K24,$BM$7)),$BF$6,IF(OR(COUNTIF('1.연간시수표'!K24,$BO$9),COUNTIF('1.연간시수표'!K24,$BO$7)),$BO$6,IF(OR(COUNTIF('1.연간시수표'!K24,$BP$9),COUNTIF('1.연간시수표'!K24,$BP$7)),$BP$6,IF(OR(COUNTIF('1.연간시수표'!K24,$BQ$9),COUNTIF('1.연간시수표'!K24,$BQ$7)),$BQ$6,IF(OR(COUNTIF('1.연간시수표'!K24,$BR$9),COUNTIF('1.연간시수표'!K24,$BR$7)),$BR$6,"_")))))))))))))))</f>
        <v>_</v>
      </c>
      <c r="L24" s="148" t="str">
        <f>IF(OR(COUNTIF('1.연간시수표'!L24,$AT$9),COUNTIF('1.연간시수표'!L24,$AT$7)),$AT$6,IF(OR(COUNTIF('1.연간시수표'!L24,$AU$9),COUNTIF('1.연간시수표'!L24,$AU$7)),$AU$6,IF(OR(COUNTIF('1.연간시수표'!L24,$AV$9),COUNTIF('1.연간시수표'!L24,$AV$7)),$AV$6,IF(OR(COUNTIF('1.연간시수표'!L24,$AW$9),COUNTIF('1.연간시수표'!L24,$AW$7)),$AW$6,IF(OR(COUNTIF('1.연간시수표'!L24,$AX$9),COUNTIF('1.연간시수표'!L24,$AX$7)),$AX$6,IF(OR(COUNTIF('1.연간시수표'!L24,$AY$9),COUNTIF('1.연간시수표'!L24,$AY$7)),$AY$6,IF(OR(COUNTIF('1.연간시수표'!L24,$AZ$9),COUNTIF('1.연간시수표'!L24,$AZ$7)),$AZ$6,IF(OR(COUNTIF('1.연간시수표'!L24,$BA$9),COUNTIF('1.연간시수표'!L24,$BA$7)),$BA$6,IF(OR(COUNTIF('1.연간시수표'!L24,$BB$9),COUNTIF('1.연간시수표'!L24,$BB$7)),$BB$6,IF(OR(COUNTIF('1.연간시수표'!L24,$BC$9),COUNTIF('1.연간시수표'!L24,$BC$7)),$BC$6,IF(OR(COUNTIF('1.연간시수표'!L24,$BF$9),COUNTIF('1.연간시수표'!L24,$BF$7),COUNTIF('1.연간시수표'!L24,$BG$9),COUNTIF('1.연간시수표'!L24,$BG$7),COUNTIF('1.연간시수표'!L24,$BH$9),COUNTIF('1.연간시수표'!L24,$BH$7),COUNTIF('1.연간시수표'!L24,$BI$9),COUNTIF('1.연간시수표'!L24,$BI$7),COUNTIF('1.연간시수표'!L24,$BJ$9),COUNTIF('1.연간시수표'!L24,$BJ$7),COUNTIF('1.연간시수표'!L24,$BK$9),COUNTIF('1.연간시수표'!L24,$BK$7),COUNTIF('1.연간시수표'!L24,$BL$9),COUNTIF('1.연간시수표'!L24,$BL$7),COUNTIF('1.연간시수표'!L24,$BM$9),COUNTIF('1.연간시수표'!L24,$BM$7)),$BF$6,IF(OR(COUNTIF('1.연간시수표'!L24,$BO$9),COUNTIF('1.연간시수표'!L24,$BO$7)),$BO$6,IF(OR(COUNTIF('1.연간시수표'!L24,$BP$9),COUNTIF('1.연간시수표'!L24,$BP$7)),$BP$6,IF(OR(COUNTIF('1.연간시수표'!L24,$BQ$9),COUNTIF('1.연간시수표'!L24,$BQ$7)),$BQ$6,IF(OR(COUNTIF('1.연간시수표'!L24,$BR$9),COUNTIF('1.연간시수표'!L24,$BR$7)),$BR$6,"_")))))))))))))))</f>
        <v>_</v>
      </c>
      <c r="M24" s="148" t="str">
        <f>IF(OR(COUNTIF('1.연간시수표'!M24,$AT$9),COUNTIF('1.연간시수표'!M24,$AT$7)),$AT$6,IF(OR(COUNTIF('1.연간시수표'!M24,$AU$9),COUNTIF('1.연간시수표'!M24,$AU$7)),$AU$6,IF(OR(COUNTIF('1.연간시수표'!M24,$AV$9),COUNTIF('1.연간시수표'!M24,$AV$7)),$AV$6,IF(OR(COUNTIF('1.연간시수표'!M24,$AW$9),COUNTIF('1.연간시수표'!M24,$AW$7)),$AW$6,IF(OR(COUNTIF('1.연간시수표'!M24,$AX$9),COUNTIF('1.연간시수표'!M24,$AX$7)),$AX$6,IF(OR(COUNTIF('1.연간시수표'!M24,$AY$9),COUNTIF('1.연간시수표'!M24,$AY$7)),$AY$6,IF(OR(COUNTIF('1.연간시수표'!M24,$AZ$9),COUNTIF('1.연간시수표'!M24,$AZ$7)),$AZ$6,IF(OR(COUNTIF('1.연간시수표'!M24,$BA$9),COUNTIF('1.연간시수표'!M24,$BA$7)),$BA$6,IF(OR(COUNTIF('1.연간시수표'!M24,$BB$9),COUNTIF('1.연간시수표'!M24,$BB$7)),$BB$6,IF(OR(COUNTIF('1.연간시수표'!M24,$BC$9),COUNTIF('1.연간시수표'!M24,$BC$7)),$BC$6,IF(OR(COUNTIF('1.연간시수표'!M24,$BF$9),COUNTIF('1.연간시수표'!M24,$BF$7),COUNTIF('1.연간시수표'!M24,$BG$9),COUNTIF('1.연간시수표'!M24,$BG$7),COUNTIF('1.연간시수표'!M24,$BH$9),COUNTIF('1.연간시수표'!M24,$BH$7),COUNTIF('1.연간시수표'!M24,$BI$9),COUNTIF('1.연간시수표'!M24,$BI$7),COUNTIF('1.연간시수표'!M24,$BJ$9),COUNTIF('1.연간시수표'!M24,$BJ$7),COUNTIF('1.연간시수표'!M24,$BK$9),COUNTIF('1.연간시수표'!M24,$BK$7),COUNTIF('1.연간시수표'!M24,$BL$9),COUNTIF('1.연간시수표'!M24,$BL$7),COUNTIF('1.연간시수표'!M24,$BM$9),COUNTIF('1.연간시수표'!M24,$BM$7)),$BF$6,IF(OR(COUNTIF('1.연간시수표'!M24,$BO$9),COUNTIF('1.연간시수표'!M24,$BO$7)),$BO$6,IF(OR(COUNTIF('1.연간시수표'!M24,$BP$9),COUNTIF('1.연간시수표'!M24,$BP$7)),$BP$6,IF(OR(COUNTIF('1.연간시수표'!M24,$BQ$9),COUNTIF('1.연간시수표'!M24,$BQ$7)),$BQ$6,IF(OR(COUNTIF('1.연간시수표'!M24,$BR$9),COUNTIF('1.연간시수표'!M24,$BR$7)),$BR$6,"_")))))))))))))))</f>
        <v>국어</v>
      </c>
      <c r="N24" s="148" t="str">
        <f>IF(OR(COUNTIF('1.연간시수표'!N24,$AT$9),COUNTIF('1.연간시수표'!N24,$AT$7)),$AT$6,IF(OR(COUNTIF('1.연간시수표'!N24,$AU$9),COUNTIF('1.연간시수표'!N24,$AU$7)),$AU$6,IF(OR(COUNTIF('1.연간시수표'!N24,$AV$9),COUNTIF('1.연간시수표'!N24,$AV$7)),$AV$6,IF(OR(COUNTIF('1.연간시수표'!N24,$AW$9),COUNTIF('1.연간시수표'!N24,$AW$7)),$AW$6,IF(OR(COUNTIF('1.연간시수표'!N24,$AX$9),COUNTIF('1.연간시수표'!N24,$AX$7)),$AX$6,IF(OR(COUNTIF('1.연간시수표'!N24,$AY$9),COUNTIF('1.연간시수표'!N24,$AY$7)),$AY$6,IF(OR(COUNTIF('1.연간시수표'!N24,$AZ$9),COUNTIF('1.연간시수표'!N24,$AZ$7)),$AZ$6,IF(OR(COUNTIF('1.연간시수표'!N24,$BA$9),COUNTIF('1.연간시수표'!N24,$BA$7)),$BA$6,IF(OR(COUNTIF('1.연간시수표'!N24,$BB$9),COUNTIF('1.연간시수표'!N24,$BB$7)),$BB$6,IF(OR(COUNTIF('1.연간시수표'!N24,$BC$9),COUNTIF('1.연간시수표'!N24,$BC$7)),$BC$6,IF(OR(COUNTIF('1.연간시수표'!N24,$BF$9),COUNTIF('1.연간시수표'!N24,$BF$7),COUNTIF('1.연간시수표'!N24,$BG$9),COUNTIF('1.연간시수표'!N24,$BG$7),COUNTIF('1.연간시수표'!N24,$BH$9),COUNTIF('1.연간시수표'!N24,$BH$7),COUNTIF('1.연간시수표'!N24,$BI$9),COUNTIF('1.연간시수표'!N24,$BI$7),COUNTIF('1.연간시수표'!N24,$BJ$9),COUNTIF('1.연간시수표'!N24,$BJ$7),COUNTIF('1.연간시수표'!N24,$BK$9),COUNTIF('1.연간시수표'!N24,$BK$7),COUNTIF('1.연간시수표'!N24,$BL$9),COUNTIF('1.연간시수표'!N24,$BL$7),COUNTIF('1.연간시수표'!N24,$BM$9),COUNTIF('1.연간시수표'!N24,$BM$7)),$BF$6,IF(OR(COUNTIF('1.연간시수표'!N24,$BO$9),COUNTIF('1.연간시수표'!N24,$BO$7)),$BO$6,IF(OR(COUNTIF('1.연간시수표'!N24,$BP$9),COUNTIF('1.연간시수표'!N24,$BP$7)),$BP$6,IF(OR(COUNTIF('1.연간시수표'!N24,$BQ$9),COUNTIF('1.연간시수표'!N24,$BQ$7)),$BQ$6,IF(OR(COUNTIF('1.연간시수표'!N24,$BR$9),COUNTIF('1.연간시수표'!N24,$BR$7)),$BR$6,"_")))))))))))))))</f>
        <v>국어</v>
      </c>
      <c r="O24" s="148" t="str">
        <f>IF(OR(COUNTIF('1.연간시수표'!O24,$AT$9),COUNTIF('1.연간시수표'!O24,$AT$7)),$AT$6,IF(OR(COUNTIF('1.연간시수표'!O24,$AU$9),COUNTIF('1.연간시수표'!O24,$AU$7)),$AU$6,IF(OR(COUNTIF('1.연간시수표'!O24,$AV$9),COUNTIF('1.연간시수표'!O24,$AV$7)),$AV$6,IF(OR(COUNTIF('1.연간시수표'!O24,$AW$9),COUNTIF('1.연간시수표'!O24,$AW$7)),$AW$6,IF(OR(COUNTIF('1.연간시수표'!O24,$AX$9),COUNTIF('1.연간시수표'!O24,$AX$7)),$AX$6,IF(OR(COUNTIF('1.연간시수표'!O24,$AY$9),COUNTIF('1.연간시수표'!O24,$AY$7)),$AY$6,IF(OR(COUNTIF('1.연간시수표'!O24,$AZ$9),COUNTIF('1.연간시수표'!O24,$AZ$7)),$AZ$6,IF(OR(COUNTIF('1.연간시수표'!O24,$BA$9),COUNTIF('1.연간시수표'!O24,$BA$7)),$BA$6,IF(OR(COUNTIF('1.연간시수표'!O24,$BB$9),COUNTIF('1.연간시수표'!O24,$BB$7)),$BB$6,IF(OR(COUNTIF('1.연간시수표'!O24,$BC$9),COUNTIF('1.연간시수표'!O24,$BC$7)),$BC$6,IF(OR(COUNTIF('1.연간시수표'!O24,$BF$9),COUNTIF('1.연간시수표'!O24,$BF$7),COUNTIF('1.연간시수표'!O24,$BG$9),COUNTIF('1.연간시수표'!O24,$BG$7),COUNTIF('1.연간시수표'!O24,$BH$9),COUNTIF('1.연간시수표'!O24,$BH$7),COUNTIF('1.연간시수표'!O24,$BI$9),COUNTIF('1.연간시수표'!O24,$BI$7),COUNTIF('1.연간시수표'!O24,$BJ$9),COUNTIF('1.연간시수표'!O24,$BJ$7),COUNTIF('1.연간시수표'!O24,$BK$9),COUNTIF('1.연간시수표'!O24,$BK$7),COUNTIF('1.연간시수표'!O24,$BL$9),COUNTIF('1.연간시수표'!O24,$BL$7),COUNTIF('1.연간시수표'!O24,$BM$9),COUNTIF('1.연간시수표'!O24,$BM$7)),$BF$6,IF(OR(COUNTIF('1.연간시수표'!O24,$BO$9),COUNTIF('1.연간시수표'!O24,$BO$7)),$BO$6,IF(OR(COUNTIF('1.연간시수표'!O24,$BP$9),COUNTIF('1.연간시수표'!O24,$BP$7)),$BP$6,IF(OR(COUNTIF('1.연간시수표'!O24,$BQ$9),COUNTIF('1.연간시수표'!O24,$BQ$7)),$BQ$6,IF(OR(COUNTIF('1.연간시수표'!O24,$BR$9),COUNTIF('1.연간시수표'!O24,$BR$7)),$BR$6,"_")))))))))))))))</f>
        <v>사회</v>
      </c>
      <c r="P24" s="148" t="str">
        <f>IF(OR(COUNTIF('1.연간시수표'!P24,$AT$9),COUNTIF('1.연간시수표'!P24,$AT$7)),$AT$6,IF(OR(COUNTIF('1.연간시수표'!P24,$AU$9),COUNTIF('1.연간시수표'!P24,$AU$7)),$AU$6,IF(OR(COUNTIF('1.연간시수표'!P24,$AV$9),COUNTIF('1.연간시수표'!P24,$AV$7)),$AV$6,IF(OR(COUNTIF('1.연간시수표'!P24,$AW$9),COUNTIF('1.연간시수표'!P24,$AW$7)),$AW$6,IF(OR(COUNTIF('1.연간시수표'!P24,$AX$9),COUNTIF('1.연간시수표'!P24,$AX$7)),$AX$6,IF(OR(COUNTIF('1.연간시수표'!P24,$AY$9),COUNTIF('1.연간시수표'!P24,$AY$7)),$AY$6,IF(OR(COUNTIF('1.연간시수표'!P24,$AZ$9),COUNTIF('1.연간시수표'!P24,$AZ$7)),$AZ$6,IF(OR(COUNTIF('1.연간시수표'!P24,$BA$9),COUNTIF('1.연간시수표'!P24,$BA$7)),$BA$6,IF(OR(COUNTIF('1.연간시수표'!P24,$BB$9),COUNTIF('1.연간시수표'!P24,$BB$7)),$BB$6,IF(OR(COUNTIF('1.연간시수표'!P24,$BC$9),COUNTIF('1.연간시수표'!P24,$BC$7)),$BC$6,IF(OR(COUNTIF('1.연간시수표'!P24,$BF$9),COUNTIF('1.연간시수표'!P24,$BF$7),COUNTIF('1.연간시수표'!P24,$BG$9),COUNTIF('1.연간시수표'!P24,$BG$7),COUNTIF('1.연간시수표'!P24,$BH$9),COUNTIF('1.연간시수표'!P24,$BH$7),COUNTIF('1.연간시수표'!P24,$BI$9),COUNTIF('1.연간시수표'!P24,$BI$7),COUNTIF('1.연간시수표'!P24,$BJ$9),COUNTIF('1.연간시수표'!P24,$BJ$7),COUNTIF('1.연간시수표'!P24,$BK$9),COUNTIF('1.연간시수표'!P24,$BK$7),COUNTIF('1.연간시수표'!P24,$BL$9),COUNTIF('1.연간시수표'!P24,$BL$7),COUNTIF('1.연간시수표'!P24,$BM$9),COUNTIF('1.연간시수표'!P24,$BM$7)),$BF$6,IF(OR(COUNTIF('1.연간시수표'!P24,$BO$9),COUNTIF('1.연간시수표'!P24,$BO$7)),$BO$6,IF(OR(COUNTIF('1.연간시수표'!P24,$BP$9),COUNTIF('1.연간시수표'!P24,$BP$7)),$BP$6,IF(OR(COUNTIF('1.연간시수표'!P24,$BQ$9),COUNTIF('1.연간시수표'!P24,$BQ$7)),$BQ$6,IF(OR(COUNTIF('1.연간시수표'!P24,$BR$9),COUNTIF('1.연간시수표'!P24,$BR$7)),$BR$6,"_")))))))))))))))</f>
        <v>수학</v>
      </c>
      <c r="Q24" s="148" t="str">
        <f>IF(OR(COUNTIF('1.연간시수표'!Q24,$AT$9),COUNTIF('1.연간시수표'!Q24,$AT$7)),$AT$6,IF(OR(COUNTIF('1.연간시수표'!Q24,$AU$9),COUNTIF('1.연간시수표'!Q24,$AU$7)),$AU$6,IF(OR(COUNTIF('1.연간시수표'!Q24,$AV$9),COUNTIF('1.연간시수표'!Q24,$AV$7)),$AV$6,IF(OR(COUNTIF('1.연간시수표'!Q24,$AW$9),COUNTIF('1.연간시수표'!Q24,$AW$7)),$AW$6,IF(OR(COUNTIF('1.연간시수표'!Q24,$AX$9),COUNTIF('1.연간시수표'!Q24,$AX$7)),$AX$6,IF(OR(COUNTIF('1.연간시수표'!Q24,$AY$9),COUNTIF('1.연간시수표'!Q24,$AY$7)),$AY$6,IF(OR(COUNTIF('1.연간시수표'!Q24,$AZ$9),COUNTIF('1.연간시수표'!Q24,$AZ$7)),$AZ$6,IF(OR(COUNTIF('1.연간시수표'!Q24,$BA$9),COUNTIF('1.연간시수표'!Q24,$BA$7)),$BA$6,IF(OR(COUNTIF('1.연간시수표'!Q24,$BB$9),COUNTIF('1.연간시수표'!Q24,$BB$7)),$BB$6,IF(OR(COUNTIF('1.연간시수표'!Q24,$BC$9),COUNTIF('1.연간시수표'!Q24,$BC$7)),$BC$6,IF(OR(COUNTIF('1.연간시수표'!Q24,$BF$9),COUNTIF('1.연간시수표'!Q24,$BF$7),COUNTIF('1.연간시수표'!Q24,$BG$9),COUNTIF('1.연간시수표'!Q24,$BG$7),COUNTIF('1.연간시수표'!Q24,$BH$9),COUNTIF('1.연간시수표'!Q24,$BH$7),COUNTIF('1.연간시수표'!Q24,$BI$9),COUNTIF('1.연간시수표'!Q24,$BI$7),COUNTIF('1.연간시수표'!Q24,$BJ$9),COUNTIF('1.연간시수표'!Q24,$BJ$7),COUNTIF('1.연간시수표'!Q24,$BK$9),COUNTIF('1.연간시수표'!Q24,$BK$7),COUNTIF('1.연간시수표'!Q24,$BL$9),COUNTIF('1.연간시수표'!Q24,$BL$7),COUNTIF('1.연간시수표'!Q24,$BM$9),COUNTIF('1.연간시수표'!Q24,$BM$7)),$BF$6,IF(OR(COUNTIF('1.연간시수표'!Q24,$BO$9),COUNTIF('1.연간시수표'!Q24,$BO$7)),$BO$6,IF(OR(COUNTIF('1.연간시수표'!Q24,$BP$9),COUNTIF('1.연간시수표'!Q24,$BP$7)),$BP$6,IF(OR(COUNTIF('1.연간시수표'!Q24,$BQ$9),COUNTIF('1.연간시수표'!Q24,$BQ$7)),$BQ$6,IF(OR(COUNTIF('1.연간시수표'!Q24,$BR$9),COUNTIF('1.연간시수표'!Q24,$BR$7)),$BR$6,"_")))))))))))))))</f>
        <v>과학</v>
      </c>
      <c r="R24" s="148" t="str">
        <f>IF(OR(COUNTIF('1.연간시수표'!R24,$AT$9),COUNTIF('1.연간시수표'!R24,$AT$7)),$AT$6,IF(OR(COUNTIF('1.연간시수표'!R24,$AU$9),COUNTIF('1.연간시수표'!R24,$AU$7)),$AU$6,IF(OR(COUNTIF('1.연간시수표'!R24,$AV$9),COUNTIF('1.연간시수표'!R24,$AV$7)),$AV$6,IF(OR(COUNTIF('1.연간시수표'!R24,$AW$9),COUNTIF('1.연간시수표'!R24,$AW$7)),$AW$6,IF(OR(COUNTIF('1.연간시수표'!R24,$AX$9),COUNTIF('1.연간시수표'!R24,$AX$7)),$AX$6,IF(OR(COUNTIF('1.연간시수표'!R24,$AY$9),COUNTIF('1.연간시수표'!R24,$AY$7)),$AY$6,IF(OR(COUNTIF('1.연간시수표'!R24,$AZ$9),COUNTIF('1.연간시수표'!R24,$AZ$7)),$AZ$6,IF(OR(COUNTIF('1.연간시수표'!R24,$BA$9),COUNTIF('1.연간시수표'!R24,$BA$7)),$BA$6,IF(OR(COUNTIF('1.연간시수표'!R24,$BB$9),COUNTIF('1.연간시수표'!R24,$BB$7)),$BB$6,IF(OR(COUNTIF('1.연간시수표'!R24,$BC$9),COUNTIF('1.연간시수표'!R24,$BC$7)),$BC$6,IF(OR(COUNTIF('1.연간시수표'!R24,$BF$9),COUNTIF('1.연간시수표'!R24,$BF$7),COUNTIF('1.연간시수표'!R24,$BG$9),COUNTIF('1.연간시수표'!R24,$BG$7),COUNTIF('1.연간시수표'!R24,$BH$9),COUNTIF('1.연간시수표'!R24,$BH$7),COUNTIF('1.연간시수표'!R24,$BI$9),COUNTIF('1.연간시수표'!R24,$BI$7),COUNTIF('1.연간시수표'!R24,$BJ$9),COUNTIF('1.연간시수표'!R24,$BJ$7),COUNTIF('1.연간시수표'!R24,$BK$9),COUNTIF('1.연간시수표'!R24,$BK$7),COUNTIF('1.연간시수표'!R24,$BL$9),COUNTIF('1.연간시수표'!R24,$BL$7),COUNTIF('1.연간시수표'!R24,$BM$9),COUNTIF('1.연간시수표'!R24,$BM$7)),$BF$6,IF(OR(COUNTIF('1.연간시수표'!R24,$BO$9),COUNTIF('1.연간시수표'!R24,$BO$7)),$BO$6,IF(OR(COUNTIF('1.연간시수표'!R24,$BP$9),COUNTIF('1.연간시수표'!R24,$BP$7)),$BP$6,IF(OR(COUNTIF('1.연간시수표'!R24,$BQ$9),COUNTIF('1.연간시수표'!R24,$BQ$7)),$BQ$6,IF(OR(COUNTIF('1.연간시수표'!R24,$BR$9),COUNTIF('1.연간시수표'!R24,$BR$7)),$BR$6,"_")))))))))))))))</f>
        <v>실과</v>
      </c>
      <c r="S24" s="148" t="str">
        <f>IF(OR(COUNTIF('1.연간시수표'!S24,$AT$9),COUNTIF('1.연간시수표'!S24,$AT$7)),$AT$6,IF(OR(COUNTIF('1.연간시수표'!S24,$AU$9),COUNTIF('1.연간시수표'!S24,$AU$7)),$AU$6,IF(OR(COUNTIF('1.연간시수표'!S24,$AV$9),COUNTIF('1.연간시수표'!S24,$AV$7)),$AV$6,IF(OR(COUNTIF('1.연간시수표'!S24,$AW$9),COUNTIF('1.연간시수표'!S24,$AW$7)),$AW$6,IF(OR(COUNTIF('1.연간시수표'!S24,$AX$9),COUNTIF('1.연간시수표'!S24,$AX$7)),$AX$6,IF(OR(COUNTIF('1.연간시수표'!S24,$AY$9),COUNTIF('1.연간시수표'!S24,$AY$7)),$AY$6,IF(OR(COUNTIF('1.연간시수표'!S24,$AZ$9),COUNTIF('1.연간시수표'!S24,$AZ$7)),$AZ$6,IF(OR(COUNTIF('1.연간시수표'!S24,$BA$9),COUNTIF('1.연간시수표'!S24,$BA$7)),$BA$6,IF(OR(COUNTIF('1.연간시수표'!S24,$BB$9),COUNTIF('1.연간시수표'!S24,$BB$7)),$BB$6,IF(OR(COUNTIF('1.연간시수표'!S24,$BC$9),COUNTIF('1.연간시수표'!S24,$BC$7)),$BC$6,IF(OR(COUNTIF('1.연간시수표'!S24,$BF$9),COUNTIF('1.연간시수표'!S24,$BF$7),COUNTIF('1.연간시수표'!S24,$BG$9),COUNTIF('1.연간시수표'!S24,$BG$7),COUNTIF('1.연간시수표'!S24,$BH$9),COUNTIF('1.연간시수표'!S24,$BH$7),COUNTIF('1.연간시수표'!S24,$BI$9),COUNTIF('1.연간시수표'!S24,$BI$7),COUNTIF('1.연간시수표'!S24,$BJ$9),COUNTIF('1.연간시수표'!S24,$BJ$7),COUNTIF('1.연간시수표'!S24,$BK$9),COUNTIF('1.연간시수표'!S24,$BK$7),COUNTIF('1.연간시수표'!S24,$BL$9),COUNTIF('1.연간시수표'!S24,$BL$7),COUNTIF('1.연간시수표'!S24,$BM$9),COUNTIF('1.연간시수표'!S24,$BM$7)),$BF$6,IF(OR(COUNTIF('1.연간시수표'!S24,$BO$9),COUNTIF('1.연간시수표'!S24,$BO$7)),$BO$6,IF(OR(COUNTIF('1.연간시수표'!S24,$BP$9),COUNTIF('1.연간시수표'!S24,$BP$7)),$BP$6,IF(OR(COUNTIF('1.연간시수표'!S24,$BQ$9),COUNTIF('1.연간시수표'!S24,$BQ$7)),$BQ$6,IF(OR(COUNTIF('1.연간시수표'!S24,$BR$9),COUNTIF('1.연간시수표'!S24,$BR$7)),$BR$6,"_")))))))))))))))</f>
        <v>_</v>
      </c>
      <c r="T24" s="148" t="str">
        <f>IF(OR(COUNTIF('1.연간시수표'!T24,$AT$9),COUNTIF('1.연간시수표'!T24,$AT$7)),$AT$6,IF(OR(COUNTIF('1.연간시수표'!T24,$AU$9),COUNTIF('1.연간시수표'!T24,$AU$7)),$AU$6,IF(OR(COUNTIF('1.연간시수표'!T24,$AV$9),COUNTIF('1.연간시수표'!T24,$AV$7)),$AV$6,IF(OR(COUNTIF('1.연간시수표'!T24,$AW$9),COUNTIF('1.연간시수표'!T24,$AW$7)),$AW$6,IF(OR(COUNTIF('1.연간시수표'!T24,$AX$9),COUNTIF('1.연간시수표'!T24,$AX$7)),$AX$6,IF(OR(COUNTIF('1.연간시수표'!T24,$AY$9),COUNTIF('1.연간시수표'!T24,$AY$7)),$AY$6,IF(OR(COUNTIF('1.연간시수표'!T24,$AZ$9),COUNTIF('1.연간시수표'!T24,$AZ$7)),$AZ$6,IF(OR(COUNTIF('1.연간시수표'!T24,$BA$9),COUNTIF('1.연간시수표'!T24,$BA$7)),$BA$6,IF(OR(COUNTIF('1.연간시수표'!T24,$BB$9),COUNTIF('1.연간시수표'!T24,$BB$7)),$BB$6,IF(OR(COUNTIF('1.연간시수표'!T24,$BC$9),COUNTIF('1.연간시수표'!T24,$BC$7)),$BC$6,IF(OR(COUNTIF('1.연간시수표'!T24,$BF$9),COUNTIF('1.연간시수표'!T24,$BF$7),COUNTIF('1.연간시수표'!T24,$BG$9),COUNTIF('1.연간시수표'!T24,$BG$7),COUNTIF('1.연간시수표'!T24,$BH$9),COUNTIF('1.연간시수표'!T24,$BH$7),COUNTIF('1.연간시수표'!T24,$BI$9),COUNTIF('1.연간시수표'!T24,$BI$7),COUNTIF('1.연간시수표'!T24,$BJ$9),COUNTIF('1.연간시수표'!T24,$BJ$7),COUNTIF('1.연간시수표'!T24,$BK$9),COUNTIF('1.연간시수표'!T24,$BK$7),COUNTIF('1.연간시수표'!T24,$BL$9),COUNTIF('1.연간시수표'!T24,$BL$7),COUNTIF('1.연간시수표'!T24,$BM$9),COUNTIF('1.연간시수표'!T24,$BM$7)),$BF$6,IF(OR(COUNTIF('1.연간시수표'!T24,$BO$9),COUNTIF('1.연간시수표'!T24,$BO$7)),$BO$6,IF(OR(COUNTIF('1.연간시수표'!T24,$BP$9),COUNTIF('1.연간시수표'!T24,$BP$7)),$BP$6,IF(OR(COUNTIF('1.연간시수표'!T24,$BQ$9),COUNTIF('1.연간시수표'!T24,$BQ$7)),$BQ$6,IF(OR(COUNTIF('1.연간시수표'!T24,$BR$9),COUNTIF('1.연간시수표'!T24,$BR$7)),$BR$6,"_")))))))))))))))</f>
        <v>_</v>
      </c>
      <c r="U24" s="148" t="str">
        <f>IF(OR(COUNTIF('1.연간시수표'!U24,$AT$9),COUNTIF('1.연간시수표'!U24,$AT$7)),$AT$6,IF(OR(COUNTIF('1.연간시수표'!U24,$AU$9),COUNTIF('1.연간시수표'!U24,$AU$7)),$AU$6,IF(OR(COUNTIF('1.연간시수표'!U24,$AV$9),COUNTIF('1.연간시수표'!U24,$AV$7)),$AV$6,IF(OR(COUNTIF('1.연간시수표'!U24,$AW$9),COUNTIF('1.연간시수표'!U24,$AW$7)),$AW$6,IF(OR(COUNTIF('1.연간시수표'!U24,$AX$9),COUNTIF('1.연간시수표'!U24,$AX$7)),$AX$6,IF(OR(COUNTIF('1.연간시수표'!U24,$AY$9),COUNTIF('1.연간시수표'!U24,$AY$7)),$AY$6,IF(OR(COUNTIF('1.연간시수표'!U24,$AZ$9),COUNTIF('1.연간시수표'!U24,$AZ$7)),$AZ$6,IF(OR(COUNTIF('1.연간시수표'!U24,$BA$9),COUNTIF('1.연간시수표'!U24,$BA$7)),$BA$6,IF(OR(COUNTIF('1.연간시수표'!U24,$BB$9),COUNTIF('1.연간시수표'!U24,$BB$7)),$BB$6,IF(OR(COUNTIF('1.연간시수표'!U24,$BC$9),COUNTIF('1.연간시수표'!U24,$BC$7)),$BC$6,IF(OR(COUNTIF('1.연간시수표'!U24,$BF$9),COUNTIF('1.연간시수표'!U24,$BF$7),COUNTIF('1.연간시수표'!U24,$BG$9),COUNTIF('1.연간시수표'!U24,$BG$7),COUNTIF('1.연간시수표'!U24,$BH$9),COUNTIF('1.연간시수표'!U24,$BH$7),COUNTIF('1.연간시수표'!U24,$BI$9),COUNTIF('1.연간시수표'!U24,$BI$7),COUNTIF('1.연간시수표'!U24,$BJ$9),COUNTIF('1.연간시수표'!U24,$BJ$7),COUNTIF('1.연간시수표'!U24,$BK$9),COUNTIF('1.연간시수표'!U24,$BK$7),COUNTIF('1.연간시수표'!U24,$BL$9),COUNTIF('1.연간시수표'!U24,$BL$7),COUNTIF('1.연간시수표'!U24,$BM$9),COUNTIF('1.연간시수표'!U24,$BM$7)),$BF$6,IF(OR(COUNTIF('1.연간시수표'!U24,$BO$9),COUNTIF('1.연간시수표'!U24,$BO$7)),$BO$6,IF(OR(COUNTIF('1.연간시수표'!U24,$BP$9),COUNTIF('1.연간시수표'!U24,$BP$7)),$BP$6,IF(OR(COUNTIF('1.연간시수표'!U24,$BQ$9),COUNTIF('1.연간시수표'!U24,$BQ$7)),$BQ$6,IF(OR(COUNTIF('1.연간시수표'!U24,$BR$9),COUNTIF('1.연간시수표'!U24,$BR$7)),$BR$6,"_")))))))))))))))</f>
        <v>영어</v>
      </c>
      <c r="V24" s="148" t="str">
        <f>IF(OR(COUNTIF('1.연간시수표'!V24,$AT$9),COUNTIF('1.연간시수표'!V24,$AT$7)),$AT$6,IF(OR(COUNTIF('1.연간시수표'!V24,$AU$9),COUNTIF('1.연간시수표'!V24,$AU$7)),$AU$6,IF(OR(COUNTIF('1.연간시수표'!V24,$AV$9),COUNTIF('1.연간시수표'!V24,$AV$7)),$AV$6,IF(OR(COUNTIF('1.연간시수표'!V24,$AW$9),COUNTIF('1.연간시수표'!V24,$AW$7)),$AW$6,IF(OR(COUNTIF('1.연간시수표'!V24,$AX$9),COUNTIF('1.연간시수표'!V24,$AX$7)),$AX$6,IF(OR(COUNTIF('1.연간시수표'!V24,$AY$9),COUNTIF('1.연간시수표'!V24,$AY$7)),$AY$6,IF(OR(COUNTIF('1.연간시수표'!V24,$AZ$9),COUNTIF('1.연간시수표'!V24,$AZ$7)),$AZ$6,IF(OR(COUNTIF('1.연간시수표'!V24,$BA$9),COUNTIF('1.연간시수표'!V24,$BA$7)),$BA$6,IF(OR(COUNTIF('1.연간시수표'!V24,$BB$9),COUNTIF('1.연간시수표'!V24,$BB$7)),$BB$6,IF(OR(COUNTIF('1.연간시수표'!V24,$BC$9),COUNTIF('1.연간시수표'!V24,$BC$7)),$BC$6,IF(OR(COUNTIF('1.연간시수표'!V24,$BF$9),COUNTIF('1.연간시수표'!V24,$BF$7),COUNTIF('1.연간시수표'!V24,$BG$9),COUNTIF('1.연간시수표'!V24,$BG$7),COUNTIF('1.연간시수표'!V24,$BH$9),COUNTIF('1.연간시수표'!V24,$BH$7),COUNTIF('1.연간시수표'!V24,$BI$9),COUNTIF('1.연간시수표'!V24,$BI$7),COUNTIF('1.연간시수표'!V24,$BJ$9),COUNTIF('1.연간시수표'!V24,$BJ$7),COUNTIF('1.연간시수표'!V24,$BK$9),COUNTIF('1.연간시수표'!V24,$BK$7),COUNTIF('1.연간시수표'!V24,$BL$9),COUNTIF('1.연간시수표'!V24,$BL$7),COUNTIF('1.연간시수표'!V24,$BM$9),COUNTIF('1.연간시수표'!V24,$BM$7)),$BF$6,IF(OR(COUNTIF('1.연간시수표'!V24,$BO$9),COUNTIF('1.연간시수표'!V24,$BO$7)),$BO$6,IF(OR(COUNTIF('1.연간시수표'!V24,$BP$9),COUNTIF('1.연간시수표'!V24,$BP$7)),$BP$6,IF(OR(COUNTIF('1.연간시수표'!V24,$BQ$9),COUNTIF('1.연간시수표'!V24,$BQ$7)),$BQ$6,IF(OR(COUNTIF('1.연간시수표'!V24,$BR$9),COUNTIF('1.연간시수표'!V24,$BR$7)),$BR$6,"_")))))))))))))))</f>
        <v>과학</v>
      </c>
      <c r="W24" s="148" t="str">
        <f>IF(OR(COUNTIF('1.연간시수표'!W24,$AT$9),COUNTIF('1.연간시수표'!W24,$AT$7)),$AT$6,IF(OR(COUNTIF('1.연간시수표'!W24,$AU$9),COUNTIF('1.연간시수표'!W24,$AU$7)),$AU$6,IF(OR(COUNTIF('1.연간시수표'!W24,$AV$9),COUNTIF('1.연간시수표'!W24,$AV$7)),$AV$6,IF(OR(COUNTIF('1.연간시수표'!W24,$AW$9),COUNTIF('1.연간시수표'!W24,$AW$7)),$AW$6,IF(OR(COUNTIF('1.연간시수표'!W24,$AX$9),COUNTIF('1.연간시수표'!W24,$AX$7)),$AX$6,IF(OR(COUNTIF('1.연간시수표'!W24,$AY$9),COUNTIF('1.연간시수표'!W24,$AY$7)),$AY$6,IF(OR(COUNTIF('1.연간시수표'!W24,$AZ$9),COUNTIF('1.연간시수표'!W24,$AZ$7)),$AZ$6,IF(OR(COUNTIF('1.연간시수표'!W24,$BA$9),COUNTIF('1.연간시수표'!W24,$BA$7)),$BA$6,IF(OR(COUNTIF('1.연간시수표'!W24,$BB$9),COUNTIF('1.연간시수표'!W24,$BB$7)),$BB$6,IF(OR(COUNTIF('1.연간시수표'!W24,$BC$9),COUNTIF('1.연간시수표'!W24,$BC$7)),$BC$6,IF(OR(COUNTIF('1.연간시수표'!W24,$BF$9),COUNTIF('1.연간시수표'!W24,$BF$7),COUNTIF('1.연간시수표'!W24,$BG$9),COUNTIF('1.연간시수표'!W24,$BG$7),COUNTIF('1.연간시수표'!W24,$BH$9),COUNTIF('1.연간시수표'!W24,$BH$7),COUNTIF('1.연간시수표'!W24,$BI$9),COUNTIF('1.연간시수표'!W24,$BI$7),COUNTIF('1.연간시수표'!W24,$BJ$9),COUNTIF('1.연간시수표'!W24,$BJ$7),COUNTIF('1.연간시수표'!W24,$BK$9),COUNTIF('1.연간시수표'!W24,$BK$7),COUNTIF('1.연간시수표'!W24,$BL$9),COUNTIF('1.연간시수표'!W24,$BL$7),COUNTIF('1.연간시수표'!W24,$BM$9),COUNTIF('1.연간시수표'!W24,$BM$7)),$BF$6,IF(OR(COUNTIF('1.연간시수표'!W24,$BO$9),COUNTIF('1.연간시수표'!W24,$BO$7)),$BO$6,IF(OR(COUNTIF('1.연간시수표'!W24,$BP$9),COUNTIF('1.연간시수표'!W24,$BP$7)),$BP$6,IF(OR(COUNTIF('1.연간시수표'!W24,$BQ$9),COUNTIF('1.연간시수표'!W24,$BQ$7)),$BQ$6,IF(OR(COUNTIF('1.연간시수표'!W24,$BR$9),COUNTIF('1.연간시수표'!W24,$BR$7)),$BR$6,"_")))))))))))))))</f>
        <v>체육</v>
      </c>
      <c r="X24" s="148" t="str">
        <f>IF(OR(COUNTIF('1.연간시수표'!X24,$AT$9),COUNTIF('1.연간시수표'!X24,$AT$7)),$AT$6,IF(OR(COUNTIF('1.연간시수표'!X24,$AU$9),COUNTIF('1.연간시수표'!X24,$AU$7)),$AU$6,IF(OR(COUNTIF('1.연간시수표'!X24,$AV$9),COUNTIF('1.연간시수표'!X24,$AV$7)),$AV$6,IF(OR(COUNTIF('1.연간시수표'!X24,$AW$9),COUNTIF('1.연간시수표'!X24,$AW$7)),$AW$6,IF(OR(COUNTIF('1.연간시수표'!X24,$AX$9),COUNTIF('1.연간시수표'!X24,$AX$7)),$AX$6,IF(OR(COUNTIF('1.연간시수표'!X24,$AY$9),COUNTIF('1.연간시수표'!X24,$AY$7)),$AY$6,IF(OR(COUNTIF('1.연간시수표'!X24,$AZ$9),COUNTIF('1.연간시수표'!X24,$AZ$7)),$AZ$6,IF(OR(COUNTIF('1.연간시수표'!X24,$BA$9),COUNTIF('1.연간시수표'!X24,$BA$7)),$BA$6,IF(OR(COUNTIF('1.연간시수표'!X24,$BB$9),COUNTIF('1.연간시수표'!X24,$BB$7)),$BB$6,IF(OR(COUNTIF('1.연간시수표'!X24,$BC$9),COUNTIF('1.연간시수표'!X24,$BC$7)),$BC$6,IF(OR(COUNTIF('1.연간시수표'!X24,$BF$9),COUNTIF('1.연간시수표'!X24,$BF$7),COUNTIF('1.연간시수표'!X24,$BG$9),COUNTIF('1.연간시수표'!X24,$BG$7),COUNTIF('1.연간시수표'!X24,$BH$9),COUNTIF('1.연간시수표'!X24,$BH$7),COUNTIF('1.연간시수표'!X24,$BI$9),COUNTIF('1.연간시수표'!X24,$BI$7),COUNTIF('1.연간시수표'!X24,$BJ$9),COUNTIF('1.연간시수표'!X24,$BJ$7),COUNTIF('1.연간시수표'!X24,$BK$9),COUNTIF('1.연간시수표'!X24,$BK$7),COUNTIF('1.연간시수표'!X24,$BL$9),COUNTIF('1.연간시수표'!X24,$BL$7),COUNTIF('1.연간시수표'!X24,$BM$9),COUNTIF('1.연간시수표'!X24,$BM$7)),$BF$6,IF(OR(COUNTIF('1.연간시수표'!X24,$BO$9),COUNTIF('1.연간시수표'!X24,$BO$7)),$BO$6,IF(OR(COUNTIF('1.연간시수표'!X24,$BP$9),COUNTIF('1.연간시수표'!X24,$BP$7)),$BP$6,IF(OR(COUNTIF('1.연간시수표'!X24,$BQ$9),COUNTIF('1.연간시수표'!X24,$BQ$7)),$BQ$6,IF(OR(COUNTIF('1.연간시수표'!X24,$BR$9),COUNTIF('1.연간시수표'!X24,$BR$7)),$BR$6,"_")))))))))))))))</f>
        <v>음악</v>
      </c>
      <c r="Y24" s="148" t="str">
        <f>IF(OR(COUNTIF('1.연간시수표'!Y24,$AT$9),COUNTIF('1.연간시수표'!Y24,$AT$7)),$AT$6,IF(OR(COUNTIF('1.연간시수표'!Y24,$AU$9),COUNTIF('1.연간시수표'!Y24,$AU$7)),$AU$6,IF(OR(COUNTIF('1.연간시수표'!Y24,$AV$9),COUNTIF('1.연간시수표'!Y24,$AV$7)),$AV$6,IF(OR(COUNTIF('1.연간시수표'!Y24,$AW$9),COUNTIF('1.연간시수표'!Y24,$AW$7)),$AW$6,IF(OR(COUNTIF('1.연간시수표'!Y24,$AX$9),COUNTIF('1.연간시수표'!Y24,$AX$7)),$AX$6,IF(OR(COUNTIF('1.연간시수표'!Y24,$AY$9),COUNTIF('1.연간시수표'!Y24,$AY$7)),$AY$6,IF(OR(COUNTIF('1.연간시수표'!Y24,$AZ$9),COUNTIF('1.연간시수표'!Y24,$AZ$7)),$AZ$6,IF(OR(COUNTIF('1.연간시수표'!Y24,$BA$9),COUNTIF('1.연간시수표'!Y24,$BA$7)),$BA$6,IF(OR(COUNTIF('1.연간시수표'!Y24,$BB$9),COUNTIF('1.연간시수표'!Y24,$BB$7)),$BB$6,IF(OR(COUNTIF('1.연간시수표'!Y24,$BC$9),COUNTIF('1.연간시수표'!Y24,$BC$7)),$BC$6,IF(OR(COUNTIF('1.연간시수표'!Y24,$BF$9),COUNTIF('1.연간시수표'!Y24,$BF$7),COUNTIF('1.연간시수표'!Y24,$BG$9),COUNTIF('1.연간시수표'!Y24,$BG$7),COUNTIF('1.연간시수표'!Y24,$BH$9),COUNTIF('1.연간시수표'!Y24,$BH$7),COUNTIF('1.연간시수표'!Y24,$BI$9),COUNTIF('1.연간시수표'!Y24,$BI$7),COUNTIF('1.연간시수표'!Y24,$BJ$9),COUNTIF('1.연간시수표'!Y24,$BJ$7),COUNTIF('1.연간시수표'!Y24,$BK$9),COUNTIF('1.연간시수표'!Y24,$BK$7),COUNTIF('1.연간시수표'!Y24,$BL$9),COUNTIF('1.연간시수표'!Y24,$BL$7),COUNTIF('1.연간시수표'!Y24,$BM$9),COUNTIF('1.연간시수표'!Y24,$BM$7)),$BF$6,IF(OR(COUNTIF('1.연간시수표'!Y24,$BO$9),COUNTIF('1.연간시수표'!Y24,$BO$7)),$BO$6,IF(OR(COUNTIF('1.연간시수표'!Y24,$BP$9),COUNTIF('1.연간시수표'!Y24,$BP$7)),$BP$6,IF(OR(COUNTIF('1.연간시수표'!Y24,$BQ$9),COUNTIF('1.연간시수표'!Y24,$BQ$7)),$BQ$6,IF(OR(COUNTIF('1.연간시수표'!Y24,$BR$9),COUNTIF('1.연간시수표'!Y24,$BR$7)),$BR$6,"_")))))))))))))))</f>
        <v>도덕</v>
      </c>
      <c r="Z24" s="148" t="str">
        <f>IF(OR(COUNTIF('1.연간시수표'!Z24,$AT$9),COUNTIF('1.연간시수표'!Z24,$AT$7)),$AT$6,IF(OR(COUNTIF('1.연간시수표'!Z24,$AU$9),COUNTIF('1.연간시수표'!Z24,$AU$7)),$AU$6,IF(OR(COUNTIF('1.연간시수표'!Z24,$AV$9),COUNTIF('1.연간시수표'!Z24,$AV$7)),$AV$6,IF(OR(COUNTIF('1.연간시수표'!Z24,$AW$9),COUNTIF('1.연간시수표'!Z24,$AW$7)),$AW$6,IF(OR(COUNTIF('1.연간시수표'!Z24,$AX$9),COUNTIF('1.연간시수표'!Z24,$AX$7)),$AX$6,IF(OR(COUNTIF('1.연간시수표'!Z24,$AY$9),COUNTIF('1.연간시수표'!Z24,$AY$7)),$AY$6,IF(OR(COUNTIF('1.연간시수표'!Z24,$AZ$9),COUNTIF('1.연간시수표'!Z24,$AZ$7)),$AZ$6,IF(OR(COUNTIF('1.연간시수표'!Z24,$BA$9),COUNTIF('1.연간시수표'!Z24,$BA$7)),$BA$6,IF(OR(COUNTIF('1.연간시수표'!Z24,$BB$9),COUNTIF('1.연간시수표'!Z24,$BB$7)),$BB$6,IF(OR(COUNTIF('1.연간시수표'!Z24,$BC$9),COUNTIF('1.연간시수표'!Z24,$BC$7)),$BC$6,IF(OR(COUNTIF('1.연간시수표'!Z24,$BF$9),COUNTIF('1.연간시수표'!Z24,$BF$7),COUNTIF('1.연간시수표'!Z24,$BG$9),COUNTIF('1.연간시수표'!Z24,$BG$7),COUNTIF('1.연간시수표'!Z24,$BH$9),COUNTIF('1.연간시수표'!Z24,$BH$7),COUNTIF('1.연간시수표'!Z24,$BI$9),COUNTIF('1.연간시수표'!Z24,$BI$7),COUNTIF('1.연간시수표'!Z24,$BJ$9),COUNTIF('1.연간시수표'!Z24,$BJ$7),COUNTIF('1.연간시수표'!Z24,$BK$9),COUNTIF('1.연간시수표'!Z24,$BK$7),COUNTIF('1.연간시수표'!Z24,$BL$9),COUNTIF('1.연간시수표'!Z24,$BL$7),COUNTIF('1.연간시수표'!Z24,$BM$9),COUNTIF('1.연간시수표'!Z24,$BM$7)),$BF$6,IF(OR(COUNTIF('1.연간시수표'!Z24,$BO$9),COUNTIF('1.연간시수표'!Z24,$BO$7)),$BO$6,IF(OR(COUNTIF('1.연간시수표'!Z24,$BP$9),COUNTIF('1.연간시수표'!Z24,$BP$7)),$BP$6,IF(OR(COUNTIF('1.연간시수표'!Z24,$BQ$9),COUNTIF('1.연간시수표'!Z24,$BQ$7)),$BQ$6,IF(OR(COUNTIF('1.연간시수표'!Z24,$BR$9),COUNTIF('1.연간시수표'!Z24,$BR$7)),$BR$6,"_")))))))))))))))</f>
        <v>_</v>
      </c>
      <c r="AA24" s="148" t="str">
        <f>IF(OR(COUNTIF('1.연간시수표'!AA24,$AT$9),COUNTIF('1.연간시수표'!AA24,$AT$7)),$AT$6,IF(OR(COUNTIF('1.연간시수표'!AA24,$AU$9),COUNTIF('1.연간시수표'!AA24,$AU$7)),$AU$6,IF(OR(COUNTIF('1.연간시수표'!AA24,$AV$9),COUNTIF('1.연간시수표'!AA24,$AV$7)),$AV$6,IF(OR(COUNTIF('1.연간시수표'!AA24,$AW$9),COUNTIF('1.연간시수표'!AA24,$AW$7)),$AW$6,IF(OR(COUNTIF('1.연간시수표'!AA24,$AX$9),COUNTIF('1.연간시수표'!AA24,$AX$7)),$AX$6,IF(OR(COUNTIF('1.연간시수표'!AA24,$AY$9),COUNTIF('1.연간시수표'!AA24,$AY$7)),$AY$6,IF(OR(COUNTIF('1.연간시수표'!AA24,$AZ$9),COUNTIF('1.연간시수표'!AA24,$AZ$7)),$AZ$6,IF(OR(COUNTIF('1.연간시수표'!AA24,$BA$9),COUNTIF('1.연간시수표'!AA24,$BA$7)),$BA$6,IF(OR(COUNTIF('1.연간시수표'!AA24,$BB$9),COUNTIF('1.연간시수표'!AA24,$BB$7)),$BB$6,IF(OR(COUNTIF('1.연간시수표'!AA24,$BC$9),COUNTIF('1.연간시수표'!AA24,$BC$7)),$BC$6,IF(OR(COUNTIF('1.연간시수표'!AA24,$BF$9),COUNTIF('1.연간시수표'!AA24,$BF$7),COUNTIF('1.연간시수표'!AA24,$BG$9),COUNTIF('1.연간시수표'!AA24,$BG$7),COUNTIF('1.연간시수표'!AA24,$BH$9),COUNTIF('1.연간시수표'!AA24,$BH$7),COUNTIF('1.연간시수표'!AA24,$BI$9),COUNTIF('1.연간시수표'!AA24,$BI$7),COUNTIF('1.연간시수표'!AA24,$BJ$9),COUNTIF('1.연간시수표'!AA24,$BJ$7),COUNTIF('1.연간시수표'!AA24,$BK$9),COUNTIF('1.연간시수표'!AA24,$BK$7),COUNTIF('1.연간시수표'!AA24,$BL$9),COUNTIF('1.연간시수표'!AA24,$BL$7),COUNTIF('1.연간시수표'!AA24,$BM$9),COUNTIF('1.연간시수표'!AA24,$BM$7)),$BF$6,IF(OR(COUNTIF('1.연간시수표'!AA24,$BO$9),COUNTIF('1.연간시수표'!AA24,$BO$7)),$BO$6,IF(OR(COUNTIF('1.연간시수표'!AA24,$BP$9),COUNTIF('1.연간시수표'!AA24,$BP$7)),$BP$6,IF(OR(COUNTIF('1.연간시수표'!AA24,$BQ$9),COUNTIF('1.연간시수표'!AA24,$BQ$7)),$BQ$6,IF(OR(COUNTIF('1.연간시수표'!AA24,$BR$9),COUNTIF('1.연간시수표'!AA24,$BR$7)),$BR$6,"_")))))))))))))))</f>
        <v>_</v>
      </c>
      <c r="AB24" s="148" t="str">
        <f>IF(OR(COUNTIF('1.연간시수표'!AB24,$AT$9),COUNTIF('1.연간시수표'!AB24,$AT$7)),$AT$6,IF(OR(COUNTIF('1.연간시수표'!AB24,$AU$9),COUNTIF('1.연간시수표'!AB24,$AU$7)),$AU$6,IF(OR(COUNTIF('1.연간시수표'!AB24,$AV$9),COUNTIF('1.연간시수표'!AB24,$AV$7)),$AV$6,IF(OR(COUNTIF('1.연간시수표'!AB24,$AW$9),COUNTIF('1.연간시수표'!AB24,$AW$7)),$AW$6,IF(OR(COUNTIF('1.연간시수표'!AB24,$AX$9),COUNTIF('1.연간시수표'!AB24,$AX$7)),$AX$6,IF(OR(COUNTIF('1.연간시수표'!AB24,$AY$9),COUNTIF('1.연간시수표'!AB24,$AY$7)),$AY$6,IF(OR(COUNTIF('1.연간시수표'!AB24,$AZ$9),COUNTIF('1.연간시수표'!AB24,$AZ$7)),$AZ$6,IF(OR(COUNTIF('1.연간시수표'!AB24,$BA$9),COUNTIF('1.연간시수표'!AB24,$BA$7)),$BA$6,IF(OR(COUNTIF('1.연간시수표'!AB24,$BB$9),COUNTIF('1.연간시수표'!AB24,$BB$7)),$BB$6,IF(OR(COUNTIF('1.연간시수표'!AB24,$BC$9),COUNTIF('1.연간시수표'!AB24,$BC$7)),$BC$6,IF(OR(COUNTIF('1.연간시수표'!AB24,$BF$9),COUNTIF('1.연간시수표'!AB24,$BF$7),COUNTIF('1.연간시수표'!AB24,$BG$9),COUNTIF('1.연간시수표'!AB24,$BG$7),COUNTIF('1.연간시수표'!AB24,$BH$9),COUNTIF('1.연간시수표'!AB24,$BH$7),COUNTIF('1.연간시수표'!AB24,$BI$9),COUNTIF('1.연간시수표'!AB24,$BI$7),COUNTIF('1.연간시수표'!AB24,$BJ$9),COUNTIF('1.연간시수표'!AB24,$BJ$7),COUNTIF('1.연간시수표'!AB24,$BK$9),COUNTIF('1.연간시수표'!AB24,$BK$7),COUNTIF('1.연간시수표'!AB24,$BL$9),COUNTIF('1.연간시수표'!AB24,$BL$7),COUNTIF('1.연간시수표'!AB24,$BM$9),COUNTIF('1.연간시수표'!AB24,$BM$7)),$BF$6,IF(OR(COUNTIF('1.연간시수표'!AB24,$BO$9),COUNTIF('1.연간시수표'!AB24,$BO$7)),$BO$6,IF(OR(COUNTIF('1.연간시수표'!AB24,$BP$9),COUNTIF('1.연간시수표'!AB24,$BP$7)),$BP$6,IF(OR(COUNTIF('1.연간시수표'!AB24,$BQ$9),COUNTIF('1.연간시수표'!AB24,$BQ$7)),$BQ$6,IF(OR(COUNTIF('1.연간시수표'!AB24,$BR$9),COUNTIF('1.연간시수표'!AB24,$BR$7)),$BR$6,"_")))))))))))))))</f>
        <v>_</v>
      </c>
      <c r="AC24" s="148" t="str">
        <f>IF(OR(COUNTIF('1.연간시수표'!AC24,$AT$9),COUNTIF('1.연간시수표'!AC24,$AT$7)),$AT$6,IF(OR(COUNTIF('1.연간시수표'!AC24,$AU$9),COUNTIF('1.연간시수표'!AC24,$AU$7)),$AU$6,IF(OR(COUNTIF('1.연간시수표'!AC24,$AV$9),COUNTIF('1.연간시수표'!AC24,$AV$7)),$AV$6,IF(OR(COUNTIF('1.연간시수표'!AC24,$AW$9),COUNTIF('1.연간시수표'!AC24,$AW$7)),$AW$6,IF(OR(COUNTIF('1.연간시수표'!AC24,$AX$9),COUNTIF('1.연간시수표'!AC24,$AX$7)),$AX$6,IF(OR(COUNTIF('1.연간시수표'!AC24,$AY$9),COUNTIF('1.연간시수표'!AC24,$AY$7)),$AY$6,IF(OR(COUNTIF('1.연간시수표'!AC24,$AZ$9),COUNTIF('1.연간시수표'!AC24,$AZ$7)),$AZ$6,IF(OR(COUNTIF('1.연간시수표'!AC24,$BA$9),COUNTIF('1.연간시수표'!AC24,$BA$7)),$BA$6,IF(OR(COUNTIF('1.연간시수표'!AC24,$BB$9),COUNTIF('1.연간시수표'!AC24,$BB$7)),$BB$6,IF(OR(COUNTIF('1.연간시수표'!AC24,$BC$9),COUNTIF('1.연간시수표'!AC24,$BC$7)),$BC$6,IF(OR(COUNTIF('1.연간시수표'!AC24,$BF$9),COUNTIF('1.연간시수표'!AC24,$BF$7),COUNTIF('1.연간시수표'!AC24,$BG$9),COUNTIF('1.연간시수표'!AC24,$BG$7),COUNTIF('1.연간시수표'!AC24,$BH$9),COUNTIF('1.연간시수표'!AC24,$BH$7),COUNTIF('1.연간시수표'!AC24,$BI$9),COUNTIF('1.연간시수표'!AC24,$BI$7),COUNTIF('1.연간시수표'!AC24,$BJ$9),COUNTIF('1.연간시수표'!AC24,$BJ$7),COUNTIF('1.연간시수표'!AC24,$BK$9),COUNTIF('1.연간시수표'!AC24,$BK$7),COUNTIF('1.연간시수표'!AC24,$BL$9),COUNTIF('1.연간시수표'!AC24,$BL$7),COUNTIF('1.연간시수표'!AC24,$BM$9),COUNTIF('1.연간시수표'!AC24,$BM$7)),$BF$6,IF(OR(COUNTIF('1.연간시수표'!AC24,$BO$9),COUNTIF('1.연간시수표'!AC24,$BO$7)),$BO$6,IF(OR(COUNTIF('1.연간시수표'!AC24,$BP$9),COUNTIF('1.연간시수표'!AC24,$BP$7)),$BP$6,IF(OR(COUNTIF('1.연간시수표'!AC24,$BQ$9),COUNTIF('1.연간시수표'!AC24,$BQ$7)),$BQ$6,IF(OR(COUNTIF('1.연간시수표'!AC24,$BR$9),COUNTIF('1.연간시수표'!AC24,$BR$7)),$BR$6,"_")))))))))))))))</f>
        <v>국어</v>
      </c>
      <c r="AD24" s="148" t="str">
        <f>IF(OR(COUNTIF('1.연간시수표'!AD24,$AT$9),COUNTIF('1.연간시수표'!AD24,$AT$7)),$AT$6,IF(OR(COUNTIF('1.연간시수표'!AD24,$AU$9),COUNTIF('1.연간시수표'!AD24,$AU$7)),$AU$6,IF(OR(COUNTIF('1.연간시수표'!AD24,$AV$9),COUNTIF('1.연간시수표'!AD24,$AV$7)),$AV$6,IF(OR(COUNTIF('1.연간시수표'!AD24,$AW$9),COUNTIF('1.연간시수표'!AD24,$AW$7)),$AW$6,IF(OR(COUNTIF('1.연간시수표'!AD24,$AX$9),COUNTIF('1.연간시수표'!AD24,$AX$7)),$AX$6,IF(OR(COUNTIF('1.연간시수표'!AD24,$AY$9),COUNTIF('1.연간시수표'!AD24,$AY$7)),$AY$6,IF(OR(COUNTIF('1.연간시수표'!AD24,$AZ$9),COUNTIF('1.연간시수표'!AD24,$AZ$7)),$AZ$6,IF(OR(COUNTIF('1.연간시수표'!AD24,$BA$9),COUNTIF('1.연간시수표'!AD24,$BA$7)),$BA$6,IF(OR(COUNTIF('1.연간시수표'!AD24,$BB$9),COUNTIF('1.연간시수표'!AD24,$BB$7)),$BB$6,IF(OR(COUNTIF('1.연간시수표'!AD24,$BC$9),COUNTIF('1.연간시수표'!AD24,$BC$7)),$BC$6,IF(OR(COUNTIF('1.연간시수표'!AD24,$BF$9),COUNTIF('1.연간시수표'!AD24,$BF$7),COUNTIF('1.연간시수표'!AD24,$BG$9),COUNTIF('1.연간시수표'!AD24,$BG$7),COUNTIF('1.연간시수표'!AD24,$BH$9),COUNTIF('1.연간시수표'!AD24,$BH$7),COUNTIF('1.연간시수표'!AD24,$BI$9),COUNTIF('1.연간시수표'!AD24,$BI$7),COUNTIF('1.연간시수표'!AD24,$BJ$9),COUNTIF('1.연간시수표'!AD24,$BJ$7),COUNTIF('1.연간시수표'!AD24,$BK$9),COUNTIF('1.연간시수표'!AD24,$BK$7),COUNTIF('1.연간시수표'!AD24,$BL$9),COUNTIF('1.연간시수표'!AD24,$BL$7),COUNTIF('1.연간시수표'!AD24,$BM$9),COUNTIF('1.연간시수표'!AD24,$BM$7)),$BF$6,IF(OR(COUNTIF('1.연간시수표'!AD24,$BO$9),COUNTIF('1.연간시수표'!AD24,$BO$7)),$BO$6,IF(OR(COUNTIF('1.연간시수표'!AD24,$BP$9),COUNTIF('1.연간시수표'!AD24,$BP$7)),$BP$6,IF(OR(COUNTIF('1.연간시수표'!AD24,$BQ$9),COUNTIF('1.연간시수표'!AD24,$BQ$7)),$BQ$6,IF(OR(COUNTIF('1.연간시수표'!AD24,$BR$9),COUNTIF('1.연간시수표'!AD24,$BR$7)),$BR$6,"_")))))))))))))))</f>
        <v>수학</v>
      </c>
      <c r="AE24" s="148" t="str">
        <f>IF(OR(COUNTIF('1.연간시수표'!AE24,$AT$9),COUNTIF('1.연간시수표'!AE24,$AT$7)),$AT$6,IF(OR(COUNTIF('1.연간시수표'!AE24,$AU$9),COUNTIF('1.연간시수표'!AE24,$AU$7)),$AU$6,IF(OR(COUNTIF('1.연간시수표'!AE24,$AV$9),COUNTIF('1.연간시수표'!AE24,$AV$7)),$AV$6,IF(OR(COUNTIF('1.연간시수표'!AE24,$AW$9),COUNTIF('1.연간시수표'!AE24,$AW$7)),$AW$6,IF(OR(COUNTIF('1.연간시수표'!AE24,$AX$9),COUNTIF('1.연간시수표'!AE24,$AX$7)),$AX$6,IF(OR(COUNTIF('1.연간시수표'!AE24,$AY$9),COUNTIF('1.연간시수표'!AE24,$AY$7)),$AY$6,IF(OR(COUNTIF('1.연간시수표'!AE24,$AZ$9),COUNTIF('1.연간시수표'!AE24,$AZ$7)),$AZ$6,IF(OR(COUNTIF('1.연간시수표'!AE24,$BA$9),COUNTIF('1.연간시수표'!AE24,$BA$7)),$BA$6,IF(OR(COUNTIF('1.연간시수표'!AE24,$BB$9),COUNTIF('1.연간시수표'!AE24,$BB$7)),$BB$6,IF(OR(COUNTIF('1.연간시수표'!AE24,$BC$9),COUNTIF('1.연간시수표'!AE24,$BC$7)),$BC$6,IF(OR(COUNTIF('1.연간시수표'!AE24,$BF$9),COUNTIF('1.연간시수표'!AE24,$BF$7),COUNTIF('1.연간시수표'!AE24,$BG$9),COUNTIF('1.연간시수표'!AE24,$BG$7),COUNTIF('1.연간시수표'!AE24,$BH$9),COUNTIF('1.연간시수표'!AE24,$BH$7),COUNTIF('1.연간시수표'!AE24,$BI$9),COUNTIF('1.연간시수표'!AE24,$BI$7),COUNTIF('1.연간시수표'!AE24,$BJ$9),COUNTIF('1.연간시수표'!AE24,$BJ$7),COUNTIF('1.연간시수표'!AE24,$BK$9),COUNTIF('1.연간시수표'!AE24,$BK$7),COUNTIF('1.연간시수표'!AE24,$BL$9),COUNTIF('1.연간시수표'!AE24,$BL$7),COUNTIF('1.연간시수표'!AE24,$BM$9),COUNTIF('1.연간시수표'!AE24,$BM$7)),$BF$6,IF(OR(COUNTIF('1.연간시수표'!AE24,$BO$9),COUNTIF('1.연간시수표'!AE24,$BO$7)),$BO$6,IF(OR(COUNTIF('1.연간시수표'!AE24,$BP$9),COUNTIF('1.연간시수표'!AE24,$BP$7)),$BP$6,IF(OR(COUNTIF('1.연간시수표'!AE24,$BQ$9),COUNTIF('1.연간시수표'!AE24,$BQ$7)),$BQ$6,IF(OR(COUNTIF('1.연간시수표'!AE24,$BR$9),COUNTIF('1.연간시수표'!AE24,$BR$7)),$BR$6,"_")))))))))))))))</f>
        <v>사회</v>
      </c>
      <c r="AF24" s="148" t="str">
        <f>IF(OR(COUNTIF('1.연간시수표'!AF24,$AT$9),COUNTIF('1.연간시수표'!AF24,$AT$7)),$AT$6,IF(OR(COUNTIF('1.연간시수표'!AF24,$AU$9),COUNTIF('1.연간시수표'!AF24,$AU$7)),$AU$6,IF(OR(COUNTIF('1.연간시수표'!AF24,$AV$9),COUNTIF('1.연간시수표'!AF24,$AV$7)),$AV$6,IF(OR(COUNTIF('1.연간시수표'!AF24,$AW$9),COUNTIF('1.연간시수표'!AF24,$AW$7)),$AW$6,IF(OR(COUNTIF('1.연간시수표'!AF24,$AX$9),COUNTIF('1.연간시수표'!AF24,$AX$7)),$AX$6,IF(OR(COUNTIF('1.연간시수표'!AF24,$AY$9),COUNTIF('1.연간시수표'!AF24,$AY$7)),$AY$6,IF(OR(COUNTIF('1.연간시수표'!AF24,$AZ$9),COUNTIF('1.연간시수표'!AF24,$AZ$7)),$AZ$6,IF(OR(COUNTIF('1.연간시수표'!AF24,$BA$9),COUNTIF('1.연간시수표'!AF24,$BA$7)),$BA$6,IF(OR(COUNTIF('1.연간시수표'!AF24,$BB$9),COUNTIF('1.연간시수표'!AF24,$BB$7)),$BB$6,IF(OR(COUNTIF('1.연간시수표'!AF24,$BC$9),COUNTIF('1.연간시수표'!AF24,$BC$7)),$BC$6,IF(OR(COUNTIF('1.연간시수표'!AF24,$BF$9),COUNTIF('1.연간시수표'!AF24,$BF$7),COUNTIF('1.연간시수표'!AF24,$BG$9),COUNTIF('1.연간시수표'!AF24,$BG$7),COUNTIF('1.연간시수표'!AF24,$BH$9),COUNTIF('1.연간시수표'!AF24,$BH$7),COUNTIF('1.연간시수표'!AF24,$BI$9),COUNTIF('1.연간시수표'!AF24,$BI$7),COUNTIF('1.연간시수표'!AF24,$BJ$9),COUNTIF('1.연간시수표'!AF24,$BJ$7),COUNTIF('1.연간시수표'!AF24,$BK$9),COUNTIF('1.연간시수표'!AF24,$BK$7),COUNTIF('1.연간시수표'!AF24,$BL$9),COUNTIF('1.연간시수표'!AF24,$BL$7),COUNTIF('1.연간시수표'!AF24,$BM$9),COUNTIF('1.연간시수표'!AF24,$BM$7)),$BF$6,IF(OR(COUNTIF('1.연간시수표'!AF24,$BO$9),COUNTIF('1.연간시수표'!AF24,$BO$7)),$BO$6,IF(OR(COUNTIF('1.연간시수표'!AF24,$BP$9),COUNTIF('1.연간시수표'!AF24,$BP$7)),$BP$6,IF(OR(COUNTIF('1.연간시수표'!AF24,$BQ$9),COUNTIF('1.연간시수표'!AF24,$BQ$7)),$BQ$6,IF(OR(COUNTIF('1.연간시수표'!AF24,$BR$9),COUNTIF('1.연간시수표'!AF24,$BR$7)),$BR$6,"_")))))))))))))))</f>
        <v>영어</v>
      </c>
      <c r="AG24" s="148" t="str">
        <f>IF(OR(COUNTIF('1.연간시수표'!AG24,$AT$9),COUNTIF('1.연간시수표'!AG24,$AT$7)),$AT$6,IF(OR(COUNTIF('1.연간시수표'!AG24,$AU$9),COUNTIF('1.연간시수표'!AG24,$AU$7)),$AU$6,IF(OR(COUNTIF('1.연간시수표'!AG24,$AV$9),COUNTIF('1.연간시수표'!AG24,$AV$7)),$AV$6,IF(OR(COUNTIF('1.연간시수표'!AG24,$AW$9),COUNTIF('1.연간시수표'!AG24,$AW$7)),$AW$6,IF(OR(COUNTIF('1.연간시수표'!AG24,$AX$9),COUNTIF('1.연간시수표'!AG24,$AX$7)),$AX$6,IF(OR(COUNTIF('1.연간시수표'!AG24,$AY$9),COUNTIF('1.연간시수표'!AG24,$AY$7)),$AY$6,IF(OR(COUNTIF('1.연간시수표'!AG24,$AZ$9),COUNTIF('1.연간시수표'!AG24,$AZ$7)),$AZ$6,IF(OR(COUNTIF('1.연간시수표'!AG24,$BA$9),COUNTIF('1.연간시수표'!AG24,$BA$7)),$BA$6,IF(OR(COUNTIF('1.연간시수표'!AG24,$BB$9),COUNTIF('1.연간시수표'!AG24,$BB$7)),$BB$6,IF(OR(COUNTIF('1.연간시수표'!AG24,$BC$9),COUNTIF('1.연간시수표'!AG24,$BC$7)),$BC$6,IF(OR(COUNTIF('1.연간시수표'!AG24,$BF$9),COUNTIF('1.연간시수표'!AG24,$BF$7),COUNTIF('1.연간시수표'!AG24,$BG$9),COUNTIF('1.연간시수표'!AG24,$BG$7),COUNTIF('1.연간시수표'!AG24,$BH$9),COUNTIF('1.연간시수표'!AG24,$BH$7),COUNTIF('1.연간시수표'!AG24,$BI$9),COUNTIF('1.연간시수표'!AG24,$BI$7),COUNTIF('1.연간시수표'!AG24,$BJ$9),COUNTIF('1.연간시수표'!AG24,$BJ$7),COUNTIF('1.연간시수표'!AG24,$BK$9),COUNTIF('1.연간시수표'!AG24,$BK$7),COUNTIF('1.연간시수표'!AG24,$BL$9),COUNTIF('1.연간시수표'!AG24,$BL$7),COUNTIF('1.연간시수표'!AG24,$BM$9),COUNTIF('1.연간시수표'!AG24,$BM$7)),$BF$6,IF(OR(COUNTIF('1.연간시수표'!AG24,$BO$9),COUNTIF('1.연간시수표'!AG24,$BO$7)),$BO$6,IF(OR(COUNTIF('1.연간시수표'!AG24,$BP$9),COUNTIF('1.연간시수표'!AG24,$BP$7)),$BP$6,IF(OR(COUNTIF('1.연간시수표'!AG24,$BQ$9),COUNTIF('1.연간시수표'!AG24,$BQ$7)),$BQ$6,IF(OR(COUNTIF('1.연간시수표'!AG24,$BR$9),COUNTIF('1.연간시수표'!AG24,$BR$7)),$BR$6,"_")))))))))))))))</f>
        <v>과학</v>
      </c>
      <c r="AH24" s="148" t="str">
        <f>IF(OR(COUNTIF('1.연간시수표'!AH24,$AT$9),COUNTIF('1.연간시수표'!AH24,$AT$7)),$AT$6,IF(OR(COUNTIF('1.연간시수표'!AH24,$AU$9),COUNTIF('1.연간시수표'!AH24,$AU$7)),$AU$6,IF(OR(COUNTIF('1.연간시수표'!AH24,$AV$9),COUNTIF('1.연간시수표'!AH24,$AV$7)),$AV$6,IF(OR(COUNTIF('1.연간시수표'!AH24,$AW$9),COUNTIF('1.연간시수표'!AH24,$AW$7)),$AW$6,IF(OR(COUNTIF('1.연간시수표'!AH24,$AX$9),COUNTIF('1.연간시수표'!AH24,$AX$7)),$AX$6,IF(OR(COUNTIF('1.연간시수표'!AH24,$AY$9),COUNTIF('1.연간시수표'!AH24,$AY$7)),$AY$6,IF(OR(COUNTIF('1.연간시수표'!AH24,$AZ$9),COUNTIF('1.연간시수표'!AH24,$AZ$7)),$AZ$6,IF(OR(COUNTIF('1.연간시수표'!AH24,$BA$9),COUNTIF('1.연간시수표'!AH24,$BA$7)),$BA$6,IF(OR(COUNTIF('1.연간시수표'!AH24,$BB$9),COUNTIF('1.연간시수표'!AH24,$BB$7)),$BB$6,IF(OR(COUNTIF('1.연간시수표'!AH24,$BC$9),COUNTIF('1.연간시수표'!AH24,$BC$7)),$BC$6,IF(OR(COUNTIF('1.연간시수표'!AH24,$BF$9),COUNTIF('1.연간시수표'!AH24,$BF$7),COUNTIF('1.연간시수표'!AH24,$BG$9),COUNTIF('1.연간시수표'!AH24,$BG$7),COUNTIF('1.연간시수표'!AH24,$BH$9),COUNTIF('1.연간시수표'!AH24,$BH$7),COUNTIF('1.연간시수표'!AH24,$BI$9),COUNTIF('1.연간시수표'!AH24,$BI$7),COUNTIF('1.연간시수표'!AH24,$BJ$9),COUNTIF('1.연간시수표'!AH24,$BJ$7),COUNTIF('1.연간시수표'!AH24,$BK$9),COUNTIF('1.연간시수표'!AH24,$BK$7),COUNTIF('1.연간시수표'!AH24,$BL$9),COUNTIF('1.연간시수표'!AH24,$BL$7),COUNTIF('1.연간시수표'!AH24,$BM$9),COUNTIF('1.연간시수표'!AH24,$BM$7)),$BF$6,IF(OR(COUNTIF('1.연간시수표'!AH24,$BO$9),COUNTIF('1.연간시수표'!AH24,$BO$7)),$BO$6,IF(OR(COUNTIF('1.연간시수표'!AH24,$BP$9),COUNTIF('1.연간시수표'!AH24,$BP$7)),$BP$6,IF(OR(COUNTIF('1.연간시수표'!AH24,$BQ$9),COUNTIF('1.연간시수표'!AH24,$BQ$7)),$BQ$6,IF(OR(COUNTIF('1.연간시수표'!AH24,$BR$9),COUNTIF('1.연간시수표'!AH24,$BR$7)),$BR$6,"_")))))))))))))))</f>
        <v>음악</v>
      </c>
      <c r="AI24" s="148" t="str">
        <f>IF(OR(COUNTIF('1.연간시수표'!AI24,$AT$9),COUNTIF('1.연간시수표'!AI24,$AT$7)),$AT$6,IF(OR(COUNTIF('1.연간시수표'!AI24,$AU$9),COUNTIF('1.연간시수표'!AI24,$AU$7)),$AU$6,IF(OR(COUNTIF('1.연간시수표'!AI24,$AV$9),COUNTIF('1.연간시수표'!AI24,$AV$7)),$AV$6,IF(OR(COUNTIF('1.연간시수표'!AI24,$AW$9),COUNTIF('1.연간시수표'!AI24,$AW$7)),$AW$6,IF(OR(COUNTIF('1.연간시수표'!AI24,$AX$9),COUNTIF('1.연간시수표'!AI24,$AX$7)),$AX$6,IF(OR(COUNTIF('1.연간시수표'!AI24,$AY$9),COUNTIF('1.연간시수표'!AI24,$AY$7)),$AY$6,IF(OR(COUNTIF('1.연간시수표'!AI24,$AZ$9),COUNTIF('1.연간시수표'!AI24,$AZ$7)),$AZ$6,IF(OR(COUNTIF('1.연간시수표'!AI24,$BA$9),COUNTIF('1.연간시수표'!AI24,$BA$7)),$BA$6,IF(OR(COUNTIF('1.연간시수표'!AI24,$BB$9),COUNTIF('1.연간시수표'!AI24,$BB$7)),$BB$6,IF(OR(COUNTIF('1.연간시수표'!AI24,$BC$9),COUNTIF('1.연간시수표'!AI24,$BC$7)),$BC$6,IF(OR(COUNTIF('1.연간시수표'!AI24,$BF$9),COUNTIF('1.연간시수표'!AI24,$BF$7),COUNTIF('1.연간시수표'!AI24,$BG$9),COUNTIF('1.연간시수표'!AI24,$BG$7),COUNTIF('1.연간시수표'!AI24,$BH$9),COUNTIF('1.연간시수표'!AI24,$BH$7),COUNTIF('1.연간시수표'!AI24,$BI$9),COUNTIF('1.연간시수표'!AI24,$BI$7),COUNTIF('1.연간시수표'!AI24,$BJ$9),COUNTIF('1.연간시수표'!AI24,$BJ$7),COUNTIF('1.연간시수표'!AI24,$BK$9),COUNTIF('1.연간시수표'!AI24,$BK$7),COUNTIF('1.연간시수표'!AI24,$BL$9),COUNTIF('1.연간시수표'!AI24,$BL$7),COUNTIF('1.연간시수표'!AI24,$BM$9),COUNTIF('1.연간시수표'!AI24,$BM$7)),$BF$6,IF(OR(COUNTIF('1.연간시수표'!AI24,$BO$9),COUNTIF('1.연간시수표'!AI24,$BO$7)),$BO$6,IF(OR(COUNTIF('1.연간시수표'!AI24,$BP$9),COUNTIF('1.연간시수표'!AI24,$BP$7)),$BP$6,IF(OR(COUNTIF('1.연간시수표'!AI24,$BQ$9),COUNTIF('1.연간시수표'!AI24,$BQ$7)),$BQ$6,IF(OR(COUNTIF('1.연간시수표'!AI24,$BR$9),COUNTIF('1.연간시수표'!AI24,$BR$7)),$BR$6,"_")))))))))))))))</f>
        <v>_</v>
      </c>
      <c r="AJ24" s="148" t="str">
        <f>IF(OR(COUNTIF('1.연간시수표'!AJ24,$AT$9),COUNTIF('1.연간시수표'!AJ24,$AT$7)),$AT$6,IF(OR(COUNTIF('1.연간시수표'!AJ24,$AU$9),COUNTIF('1.연간시수표'!AJ24,$AU$7)),$AU$6,IF(OR(COUNTIF('1.연간시수표'!AJ24,$AV$9),COUNTIF('1.연간시수표'!AJ24,$AV$7)),$AV$6,IF(OR(COUNTIF('1.연간시수표'!AJ24,$AW$9),COUNTIF('1.연간시수표'!AJ24,$AW$7)),$AW$6,IF(OR(COUNTIF('1.연간시수표'!AJ24,$AX$9),COUNTIF('1.연간시수표'!AJ24,$AX$7)),$AX$6,IF(OR(COUNTIF('1.연간시수표'!AJ24,$AY$9),COUNTIF('1.연간시수표'!AJ24,$AY$7)),$AY$6,IF(OR(COUNTIF('1.연간시수표'!AJ24,$AZ$9),COUNTIF('1.연간시수표'!AJ24,$AZ$7)),$AZ$6,IF(OR(COUNTIF('1.연간시수표'!AJ24,$BA$9),COUNTIF('1.연간시수표'!AJ24,$BA$7)),$BA$6,IF(OR(COUNTIF('1.연간시수표'!AJ24,$BB$9),COUNTIF('1.연간시수표'!AJ24,$BB$7)),$BB$6,IF(OR(COUNTIF('1.연간시수표'!AJ24,$BC$9),COUNTIF('1.연간시수표'!AJ24,$BC$7)),$BC$6,IF(OR(COUNTIF('1.연간시수표'!AJ24,$BF$9),COUNTIF('1.연간시수표'!AJ24,$BF$7),COUNTIF('1.연간시수표'!AJ24,$BG$9),COUNTIF('1.연간시수표'!AJ24,$BG$7),COUNTIF('1.연간시수표'!AJ24,$BH$9),COUNTIF('1.연간시수표'!AJ24,$BH$7),COUNTIF('1.연간시수표'!AJ24,$BI$9),COUNTIF('1.연간시수표'!AJ24,$BI$7),COUNTIF('1.연간시수표'!AJ24,$BJ$9),COUNTIF('1.연간시수표'!AJ24,$BJ$7),COUNTIF('1.연간시수표'!AJ24,$BK$9),COUNTIF('1.연간시수표'!AJ24,$BK$7),COUNTIF('1.연간시수표'!AJ24,$BL$9),COUNTIF('1.연간시수표'!AJ24,$BL$7),COUNTIF('1.연간시수표'!AJ24,$BM$9),COUNTIF('1.연간시수표'!AJ24,$BM$7)),$BF$6,IF(OR(COUNTIF('1.연간시수표'!AJ24,$BO$9),COUNTIF('1.연간시수표'!AJ24,$BO$7)),$BO$6,IF(OR(COUNTIF('1.연간시수표'!AJ24,$BP$9),COUNTIF('1.연간시수표'!AJ24,$BP$7)),$BP$6,IF(OR(COUNTIF('1.연간시수표'!AJ24,$BQ$9),COUNTIF('1.연간시수표'!AJ24,$BQ$7)),$BQ$6,IF(OR(COUNTIF('1.연간시수표'!AJ24,$BR$9),COUNTIF('1.연간시수표'!AJ24,$BR$7)),$BR$6,"_")))))))))))))))</f>
        <v>_</v>
      </c>
      <c r="AK24" s="148" t="str">
        <f>IF(OR(COUNTIF('1.연간시수표'!AK24,$AT$9),COUNTIF('1.연간시수표'!AK24,$AT$7)),$AT$6,IF(OR(COUNTIF('1.연간시수표'!AK24,$AU$9),COUNTIF('1.연간시수표'!AK24,$AU$7)),$AU$6,IF(OR(COUNTIF('1.연간시수표'!AK24,$AV$9),COUNTIF('1.연간시수표'!AK24,$AV$7)),$AV$6,IF(OR(COUNTIF('1.연간시수표'!AK24,$AW$9),COUNTIF('1.연간시수표'!AK24,$AW$7)),$AW$6,IF(OR(COUNTIF('1.연간시수표'!AK24,$AX$9),COUNTIF('1.연간시수표'!AK24,$AX$7)),$AX$6,IF(OR(COUNTIF('1.연간시수표'!AK24,$AY$9),COUNTIF('1.연간시수표'!AK24,$AY$7)),$AY$6,IF(OR(COUNTIF('1.연간시수표'!AK24,$AZ$9),COUNTIF('1.연간시수표'!AK24,$AZ$7)),$AZ$6,IF(OR(COUNTIF('1.연간시수표'!AK24,$BA$9),COUNTIF('1.연간시수표'!AK24,$BA$7)),$BA$6,IF(OR(COUNTIF('1.연간시수표'!AK24,$BB$9),COUNTIF('1.연간시수표'!AK24,$BB$7)),$BB$6,IF(OR(COUNTIF('1.연간시수표'!AK24,$BC$9),COUNTIF('1.연간시수표'!AK24,$BC$7)),$BC$6,IF(OR(COUNTIF('1.연간시수표'!AK24,$BF$9),COUNTIF('1.연간시수표'!AK24,$BF$7),COUNTIF('1.연간시수표'!AK24,$BG$9),COUNTIF('1.연간시수표'!AK24,$BG$7),COUNTIF('1.연간시수표'!AK24,$BH$9),COUNTIF('1.연간시수표'!AK24,$BH$7),COUNTIF('1.연간시수표'!AK24,$BI$9),COUNTIF('1.연간시수표'!AK24,$BI$7),COUNTIF('1.연간시수표'!AK24,$BJ$9),COUNTIF('1.연간시수표'!AK24,$BJ$7),COUNTIF('1.연간시수표'!AK24,$BK$9),COUNTIF('1.연간시수표'!AK24,$BK$7),COUNTIF('1.연간시수표'!AK24,$BL$9),COUNTIF('1.연간시수표'!AK24,$BL$7),COUNTIF('1.연간시수표'!AK24,$BM$9),COUNTIF('1.연간시수표'!AK24,$BM$7)),$BF$6,IF(OR(COUNTIF('1.연간시수표'!AK24,$BO$9),COUNTIF('1.연간시수표'!AK24,$BO$7)),$BO$6,IF(OR(COUNTIF('1.연간시수표'!AK24,$BP$9),COUNTIF('1.연간시수표'!AK24,$BP$7)),$BP$6,IF(OR(COUNTIF('1.연간시수표'!AK24,$BQ$9),COUNTIF('1.연간시수표'!AK24,$BQ$7)),$BQ$6,IF(OR(COUNTIF('1.연간시수표'!AK24,$BR$9),COUNTIF('1.연간시수표'!AK24,$BR$7)),$BR$6,"_")))))))))))))))</f>
        <v>자율활동</v>
      </c>
      <c r="AL24" s="148" t="str">
        <f>IF(OR(COUNTIF('1.연간시수표'!AL24,$AT$9),COUNTIF('1.연간시수표'!AL24,$AT$7)),$AT$6,IF(OR(COUNTIF('1.연간시수표'!AL24,$AU$9),COUNTIF('1.연간시수표'!AL24,$AU$7)),$AU$6,IF(OR(COUNTIF('1.연간시수표'!AL24,$AV$9),COUNTIF('1.연간시수표'!AL24,$AV$7)),$AV$6,IF(OR(COUNTIF('1.연간시수표'!AL24,$AW$9),COUNTIF('1.연간시수표'!AL24,$AW$7)),$AW$6,IF(OR(COUNTIF('1.연간시수표'!AL24,$AX$9),COUNTIF('1.연간시수표'!AL24,$AX$7)),$AX$6,IF(OR(COUNTIF('1.연간시수표'!AL24,$AY$9),COUNTIF('1.연간시수표'!AL24,$AY$7)),$AY$6,IF(OR(COUNTIF('1.연간시수표'!AL24,$AZ$9),COUNTIF('1.연간시수표'!AL24,$AZ$7)),$AZ$6,IF(OR(COUNTIF('1.연간시수표'!AL24,$BA$9),COUNTIF('1.연간시수표'!AL24,$BA$7)),$BA$6,IF(OR(COUNTIF('1.연간시수표'!AL24,$BB$9),COUNTIF('1.연간시수표'!AL24,$BB$7)),$BB$6,IF(OR(COUNTIF('1.연간시수표'!AL24,$BC$9),COUNTIF('1.연간시수표'!AL24,$BC$7)),$BC$6,IF(OR(COUNTIF('1.연간시수표'!AL24,$BF$9),COUNTIF('1.연간시수표'!AL24,$BF$7),COUNTIF('1.연간시수표'!AL24,$BG$9),COUNTIF('1.연간시수표'!AL24,$BG$7),COUNTIF('1.연간시수표'!AL24,$BH$9),COUNTIF('1.연간시수표'!AL24,$BH$7),COUNTIF('1.연간시수표'!AL24,$BI$9),COUNTIF('1.연간시수표'!AL24,$BI$7),COUNTIF('1.연간시수표'!AL24,$BJ$9),COUNTIF('1.연간시수표'!AL24,$BJ$7),COUNTIF('1.연간시수표'!AL24,$BK$9),COUNTIF('1.연간시수표'!AL24,$BK$7),COUNTIF('1.연간시수표'!AL24,$BL$9),COUNTIF('1.연간시수표'!AL24,$BL$7),COUNTIF('1.연간시수표'!AL24,$BM$9),COUNTIF('1.연간시수표'!AL24,$BM$7)),$BF$6,IF(OR(COUNTIF('1.연간시수표'!AL24,$BO$9),COUNTIF('1.연간시수표'!AL24,$BO$7)),$BO$6,IF(OR(COUNTIF('1.연간시수표'!AL24,$BP$9),COUNTIF('1.연간시수표'!AL24,$BP$7)),$BP$6,IF(OR(COUNTIF('1.연간시수표'!AL24,$BQ$9),COUNTIF('1.연간시수표'!AL24,$BQ$7)),$BQ$6,IF(OR(COUNTIF('1.연간시수표'!AL24,$BR$9),COUNTIF('1.연간시수표'!AL24,$BR$7)),$BR$6,"_")))))))))))))))</f>
        <v>체육</v>
      </c>
      <c r="AM24" s="148" t="str">
        <f>IF(OR(COUNTIF('1.연간시수표'!AM24,$AT$9),COUNTIF('1.연간시수표'!AM24,$AT$7)),$AT$6,IF(OR(COUNTIF('1.연간시수표'!AM24,$AU$9),COUNTIF('1.연간시수표'!AM24,$AU$7)),$AU$6,IF(OR(COUNTIF('1.연간시수표'!AM24,$AV$9),COUNTIF('1.연간시수표'!AM24,$AV$7)),$AV$6,IF(OR(COUNTIF('1.연간시수표'!AM24,$AW$9),COUNTIF('1.연간시수표'!AM24,$AW$7)),$AW$6,IF(OR(COUNTIF('1.연간시수표'!AM24,$AX$9),COUNTIF('1.연간시수표'!AM24,$AX$7)),$AX$6,IF(OR(COUNTIF('1.연간시수표'!AM24,$AY$9),COUNTIF('1.연간시수표'!AM24,$AY$7)),$AY$6,IF(OR(COUNTIF('1.연간시수표'!AM24,$AZ$9),COUNTIF('1.연간시수표'!AM24,$AZ$7)),$AZ$6,IF(OR(COUNTIF('1.연간시수표'!AM24,$BA$9),COUNTIF('1.연간시수표'!AM24,$BA$7)),$BA$6,IF(OR(COUNTIF('1.연간시수표'!AM24,$BB$9),COUNTIF('1.연간시수표'!AM24,$BB$7)),$BB$6,IF(OR(COUNTIF('1.연간시수표'!AM24,$BC$9),COUNTIF('1.연간시수표'!AM24,$BC$7)),$BC$6,IF(OR(COUNTIF('1.연간시수표'!AM24,$BF$9),COUNTIF('1.연간시수표'!AM24,$BF$7),COUNTIF('1.연간시수표'!AM24,$BG$9),COUNTIF('1.연간시수표'!AM24,$BG$7),COUNTIF('1.연간시수표'!AM24,$BH$9),COUNTIF('1.연간시수표'!AM24,$BH$7),COUNTIF('1.연간시수표'!AM24,$BI$9),COUNTIF('1.연간시수표'!AM24,$BI$7),COUNTIF('1.연간시수표'!AM24,$BJ$9),COUNTIF('1.연간시수표'!AM24,$BJ$7),COUNTIF('1.연간시수표'!AM24,$BK$9),COUNTIF('1.연간시수표'!AM24,$BK$7),COUNTIF('1.연간시수표'!AM24,$BL$9),COUNTIF('1.연간시수표'!AM24,$BL$7),COUNTIF('1.연간시수표'!AM24,$BM$9),COUNTIF('1.연간시수표'!AM24,$BM$7)),$BF$6,IF(OR(COUNTIF('1.연간시수표'!AM24,$BO$9),COUNTIF('1.연간시수표'!AM24,$BO$7)),$BO$6,IF(OR(COUNTIF('1.연간시수표'!AM24,$BP$9),COUNTIF('1.연간시수표'!AM24,$BP$7)),$BP$6,IF(OR(COUNTIF('1.연간시수표'!AM24,$BQ$9),COUNTIF('1.연간시수표'!AM24,$BQ$7)),$BQ$6,IF(OR(COUNTIF('1.연간시수표'!AM24,$BR$9),COUNTIF('1.연간시수표'!AM24,$BR$7)),$BR$6,"_")))))))))))))))</f>
        <v>수학</v>
      </c>
      <c r="AN24" s="148" t="str">
        <f>IF(OR(COUNTIF('1.연간시수표'!AN24,$AT$9),COUNTIF('1.연간시수표'!AN24,$AT$7)),$AT$6,IF(OR(COUNTIF('1.연간시수표'!AN24,$AU$9),COUNTIF('1.연간시수표'!AN24,$AU$7)),$AU$6,IF(OR(COUNTIF('1.연간시수표'!AN24,$AV$9),COUNTIF('1.연간시수표'!AN24,$AV$7)),$AV$6,IF(OR(COUNTIF('1.연간시수표'!AN24,$AW$9),COUNTIF('1.연간시수표'!AN24,$AW$7)),$AW$6,IF(OR(COUNTIF('1.연간시수표'!AN24,$AX$9),COUNTIF('1.연간시수표'!AN24,$AX$7)),$AX$6,IF(OR(COUNTIF('1.연간시수표'!AN24,$AY$9),COUNTIF('1.연간시수표'!AN24,$AY$7)),$AY$6,IF(OR(COUNTIF('1.연간시수표'!AN24,$AZ$9),COUNTIF('1.연간시수표'!AN24,$AZ$7)),$AZ$6,IF(OR(COUNTIF('1.연간시수표'!AN24,$BA$9),COUNTIF('1.연간시수표'!AN24,$BA$7)),$BA$6,IF(OR(COUNTIF('1.연간시수표'!AN24,$BB$9),COUNTIF('1.연간시수표'!AN24,$BB$7)),$BB$6,IF(OR(COUNTIF('1.연간시수표'!AN24,$BC$9),COUNTIF('1.연간시수표'!AN24,$BC$7)),$BC$6,IF(OR(COUNTIF('1.연간시수표'!AN24,$BF$9),COUNTIF('1.연간시수표'!AN24,$BF$7),COUNTIF('1.연간시수표'!AN24,$BG$9),COUNTIF('1.연간시수표'!AN24,$BG$7),COUNTIF('1.연간시수표'!AN24,$BH$9),COUNTIF('1.연간시수표'!AN24,$BH$7),COUNTIF('1.연간시수표'!AN24,$BI$9),COUNTIF('1.연간시수표'!AN24,$BI$7),COUNTIF('1.연간시수표'!AN24,$BJ$9),COUNTIF('1.연간시수표'!AN24,$BJ$7),COUNTIF('1.연간시수표'!AN24,$BK$9),COUNTIF('1.연간시수표'!AN24,$BK$7),COUNTIF('1.연간시수표'!AN24,$BL$9),COUNTIF('1.연간시수표'!AN24,$BL$7),COUNTIF('1.연간시수표'!AN24,$BM$9),COUNTIF('1.연간시수표'!AN24,$BM$7)),$BF$6,IF(OR(COUNTIF('1.연간시수표'!AN24,$BO$9),COUNTIF('1.연간시수표'!AN24,$BO$7)),$BO$6,IF(OR(COUNTIF('1.연간시수표'!AN24,$BP$9),COUNTIF('1.연간시수표'!AN24,$BP$7)),$BP$6,IF(OR(COUNTIF('1.연간시수표'!AN24,$BQ$9),COUNTIF('1.연간시수표'!AN24,$BQ$7)),$BQ$6,IF(OR(COUNTIF('1.연간시수표'!AN24,$BR$9),COUNTIF('1.연간시수표'!AN24,$BR$7)),$BR$6,"_")))))))))))))))</f>
        <v>국어</v>
      </c>
      <c r="AO24" s="148" t="str">
        <f>IF(OR(COUNTIF('1.연간시수표'!AO24,$AT$9),COUNTIF('1.연간시수표'!AO24,$AT$7)),$AT$6,IF(OR(COUNTIF('1.연간시수표'!AO24,$AU$9),COUNTIF('1.연간시수표'!AO24,$AU$7)),$AU$6,IF(OR(COUNTIF('1.연간시수표'!AO24,$AV$9),COUNTIF('1.연간시수표'!AO24,$AV$7)),$AV$6,IF(OR(COUNTIF('1.연간시수표'!AO24,$AW$9),COUNTIF('1.연간시수표'!AO24,$AW$7)),$AW$6,IF(OR(COUNTIF('1.연간시수표'!AO24,$AX$9),COUNTIF('1.연간시수표'!AO24,$AX$7)),$AX$6,IF(OR(COUNTIF('1.연간시수표'!AO24,$AY$9),COUNTIF('1.연간시수표'!AO24,$AY$7)),$AY$6,IF(OR(COUNTIF('1.연간시수표'!AO24,$AZ$9),COUNTIF('1.연간시수표'!AO24,$AZ$7)),$AZ$6,IF(OR(COUNTIF('1.연간시수표'!AO24,$BA$9),COUNTIF('1.연간시수표'!AO24,$BA$7)),$BA$6,IF(OR(COUNTIF('1.연간시수표'!AO24,$BB$9),COUNTIF('1.연간시수표'!AO24,$BB$7)),$BB$6,IF(OR(COUNTIF('1.연간시수표'!AO24,$BC$9),COUNTIF('1.연간시수표'!AO24,$BC$7)),$BC$6,IF(OR(COUNTIF('1.연간시수표'!AO24,$BF$9),COUNTIF('1.연간시수표'!AO24,$BF$7),COUNTIF('1.연간시수표'!AO24,$BG$9),COUNTIF('1.연간시수표'!AO24,$BG$7),COUNTIF('1.연간시수표'!AO24,$BH$9),COUNTIF('1.연간시수표'!AO24,$BH$7),COUNTIF('1.연간시수표'!AO24,$BI$9),COUNTIF('1.연간시수표'!AO24,$BI$7),COUNTIF('1.연간시수표'!AO24,$BJ$9),COUNTIF('1.연간시수표'!AO24,$BJ$7),COUNTIF('1.연간시수표'!AO24,$BK$9),COUNTIF('1.연간시수표'!AO24,$BK$7),COUNTIF('1.연간시수표'!AO24,$BL$9),COUNTIF('1.연간시수표'!AO24,$BL$7),COUNTIF('1.연간시수표'!AO24,$BM$9),COUNTIF('1.연간시수표'!AO24,$BM$7)),$BF$6,IF(OR(COUNTIF('1.연간시수표'!AO24,$BO$9),COUNTIF('1.연간시수표'!AO24,$BO$7)),$BO$6,IF(OR(COUNTIF('1.연간시수표'!AO24,$BP$9),COUNTIF('1.연간시수표'!AO24,$BP$7)),$BP$6,IF(OR(COUNTIF('1.연간시수표'!AO24,$BQ$9),COUNTIF('1.연간시수표'!AO24,$BQ$7)),$BQ$6,IF(OR(COUNTIF('1.연간시수표'!AO24,$BR$9),COUNTIF('1.연간시수표'!AO24,$BR$7)),$BR$6,"_")))))))))))))))</f>
        <v>사회</v>
      </c>
      <c r="AP24" s="148" t="str">
        <f>IF(OR(COUNTIF('1.연간시수표'!AP24,$AT$9),COUNTIF('1.연간시수표'!AP24,$AT$7)),$AT$6,IF(OR(COUNTIF('1.연간시수표'!AP24,$AU$9),COUNTIF('1.연간시수표'!AP24,$AU$7)),$AU$6,IF(OR(COUNTIF('1.연간시수표'!AP24,$AV$9),COUNTIF('1.연간시수표'!AP24,$AV$7)),$AV$6,IF(OR(COUNTIF('1.연간시수표'!AP24,$AW$9),COUNTIF('1.연간시수표'!AP24,$AW$7)),$AW$6,IF(OR(COUNTIF('1.연간시수표'!AP24,$AX$9),COUNTIF('1.연간시수표'!AP24,$AX$7)),$AX$6,IF(OR(COUNTIF('1.연간시수표'!AP24,$AY$9),COUNTIF('1.연간시수표'!AP24,$AY$7)),$AY$6,IF(OR(COUNTIF('1.연간시수표'!AP24,$AZ$9),COUNTIF('1.연간시수표'!AP24,$AZ$7)),$AZ$6,IF(OR(COUNTIF('1.연간시수표'!AP24,$BA$9),COUNTIF('1.연간시수표'!AP24,$BA$7)),$BA$6,IF(OR(COUNTIF('1.연간시수표'!AP24,$BB$9),COUNTIF('1.연간시수표'!AP24,$BB$7)),$BB$6,IF(OR(COUNTIF('1.연간시수표'!AP24,$BC$9),COUNTIF('1.연간시수표'!AP24,$BC$7)),$BC$6,IF(OR(COUNTIF('1.연간시수표'!AP24,$BF$9),COUNTIF('1.연간시수표'!AP24,$BF$7),COUNTIF('1.연간시수표'!AP24,$BG$9),COUNTIF('1.연간시수표'!AP24,$BG$7),COUNTIF('1.연간시수표'!AP24,$BH$9),COUNTIF('1.연간시수표'!AP24,$BH$7),COUNTIF('1.연간시수표'!AP24,$BI$9),COUNTIF('1.연간시수표'!AP24,$BI$7),COUNTIF('1.연간시수표'!AP24,$BJ$9),COUNTIF('1.연간시수표'!AP24,$BJ$7),COUNTIF('1.연간시수표'!AP24,$BK$9),COUNTIF('1.연간시수표'!AP24,$BK$7),COUNTIF('1.연간시수표'!AP24,$BL$9),COUNTIF('1.연간시수표'!AP24,$BL$7),COUNTIF('1.연간시수표'!AP24,$BM$9),COUNTIF('1.연간시수표'!AP24,$BM$7)),$BF$6,IF(OR(COUNTIF('1.연간시수표'!AP24,$BO$9),COUNTIF('1.연간시수표'!AP24,$BO$7)),$BO$6,IF(OR(COUNTIF('1.연간시수표'!AP24,$BP$9),COUNTIF('1.연간시수표'!AP24,$BP$7)),$BP$6,IF(OR(COUNTIF('1.연간시수표'!AP24,$BQ$9),COUNTIF('1.연간시수표'!AP24,$BQ$7)),$BQ$6,IF(OR(COUNTIF('1.연간시수표'!AP24,$BR$9),COUNTIF('1.연간시수표'!AP24,$BR$7)),$BR$6,"_")))))))))))))))</f>
        <v>실과</v>
      </c>
      <c r="AQ24" s="148" t="str">
        <f>IF(OR(COUNTIF('1.연간시수표'!AQ24,$AT$9),COUNTIF('1.연간시수표'!AQ24,$AT$7)),$AT$6,IF(OR(COUNTIF('1.연간시수표'!AQ24,$AU$9),COUNTIF('1.연간시수표'!AQ24,$AU$7)),$AU$6,IF(OR(COUNTIF('1.연간시수표'!AQ24,$AV$9),COUNTIF('1.연간시수표'!AQ24,$AV$7)),$AV$6,IF(OR(COUNTIF('1.연간시수표'!AQ24,$AW$9),COUNTIF('1.연간시수표'!AQ24,$AW$7)),$AW$6,IF(OR(COUNTIF('1.연간시수표'!AQ24,$AX$9),COUNTIF('1.연간시수표'!AQ24,$AX$7)),$AX$6,IF(OR(COUNTIF('1.연간시수표'!AQ24,$AY$9),COUNTIF('1.연간시수표'!AQ24,$AY$7)),$AY$6,IF(OR(COUNTIF('1.연간시수표'!AQ24,$AZ$9),COUNTIF('1.연간시수표'!AQ24,$AZ$7)),$AZ$6,IF(OR(COUNTIF('1.연간시수표'!AQ24,$BA$9),COUNTIF('1.연간시수표'!AQ24,$BA$7)),$BA$6,IF(OR(COUNTIF('1.연간시수표'!AQ24,$BB$9),COUNTIF('1.연간시수표'!AQ24,$BB$7)),$BB$6,IF(OR(COUNTIF('1.연간시수표'!AQ24,$BC$9),COUNTIF('1.연간시수표'!AQ24,$BC$7)),$BC$6,IF(OR(COUNTIF('1.연간시수표'!AQ24,$BF$9),COUNTIF('1.연간시수표'!AQ24,$BF$7),COUNTIF('1.연간시수표'!AQ24,$BG$9),COUNTIF('1.연간시수표'!AQ24,$BG$7),COUNTIF('1.연간시수표'!AQ24,$BH$9),COUNTIF('1.연간시수표'!AQ24,$BH$7),COUNTIF('1.연간시수표'!AQ24,$BI$9),COUNTIF('1.연간시수표'!AQ24,$BI$7),COUNTIF('1.연간시수표'!AQ24,$BJ$9),COUNTIF('1.연간시수표'!AQ24,$BJ$7),COUNTIF('1.연간시수표'!AQ24,$BK$9),COUNTIF('1.연간시수표'!AQ24,$BK$7),COUNTIF('1.연간시수표'!AQ24,$BL$9),COUNTIF('1.연간시수표'!AQ24,$BL$7),COUNTIF('1.연간시수표'!AQ24,$BM$9),COUNTIF('1.연간시수표'!AQ24,$BM$7)),$BF$6,IF(OR(COUNTIF('1.연간시수표'!AQ24,$BO$9),COUNTIF('1.연간시수표'!AQ24,$BO$7)),$BO$6,IF(OR(COUNTIF('1.연간시수표'!AQ24,$BP$9),COUNTIF('1.연간시수표'!AQ24,$BP$7)),$BP$6,IF(OR(COUNTIF('1.연간시수표'!AQ24,$BQ$9),COUNTIF('1.연간시수표'!AQ24,$BQ$7)),$BQ$6,IF(OR(COUNTIF('1.연간시수표'!AQ24,$BR$9),COUNTIF('1.연간시수표'!AQ24,$BR$7)),$BR$6,"_")))))))))))))))</f>
        <v>_</v>
      </c>
      <c r="AR24" s="148" t="str">
        <f>IF(OR(COUNTIF('1.연간시수표'!AR24,$AT$9),COUNTIF('1.연간시수표'!AR24,$AT$7)),$AT$6,IF(OR(COUNTIF('1.연간시수표'!AR24,$AU$9),COUNTIF('1.연간시수표'!AR24,$AU$7)),$AU$6,IF(OR(COUNTIF('1.연간시수표'!AR24,$AV$9),COUNTIF('1.연간시수표'!AR24,$AV$7)),$AV$6,IF(OR(COUNTIF('1.연간시수표'!AR24,$AW$9),COUNTIF('1.연간시수표'!AR24,$AW$7)),$AW$6,IF(OR(COUNTIF('1.연간시수표'!AR24,$AX$9),COUNTIF('1.연간시수표'!AR24,$AX$7)),$AX$6,IF(OR(COUNTIF('1.연간시수표'!AR24,$AY$9),COUNTIF('1.연간시수표'!AR24,$AY$7)),$AY$6,IF(OR(COUNTIF('1.연간시수표'!AR24,$AZ$9),COUNTIF('1.연간시수표'!AR24,$AZ$7)),$AZ$6,IF(OR(COUNTIF('1.연간시수표'!AR24,$BA$9),COUNTIF('1.연간시수표'!AR24,$BA$7)),$BA$6,IF(OR(COUNTIF('1.연간시수표'!AR24,$BB$9),COUNTIF('1.연간시수표'!AR24,$BB$7)),$BB$6,IF(OR(COUNTIF('1.연간시수표'!AR24,$BC$9),COUNTIF('1.연간시수표'!AR24,$BC$7)),$BC$6,IF(OR(COUNTIF('1.연간시수표'!AR24,$BF$9),COUNTIF('1.연간시수표'!AR24,$BF$7),COUNTIF('1.연간시수표'!AR24,$BG$9),COUNTIF('1.연간시수표'!AR24,$BG$7),COUNTIF('1.연간시수표'!AR24,$BH$9),COUNTIF('1.연간시수표'!AR24,$BH$7),COUNTIF('1.연간시수표'!AR24,$BI$9),COUNTIF('1.연간시수표'!AR24,$BI$7),COUNTIF('1.연간시수표'!AR24,$BJ$9),COUNTIF('1.연간시수표'!AR24,$BJ$7),COUNTIF('1.연간시수표'!AR24,$BK$9),COUNTIF('1.연간시수표'!AR24,$BK$7),COUNTIF('1.연간시수표'!AR24,$BL$9),COUNTIF('1.연간시수표'!AR24,$BL$7),COUNTIF('1.연간시수표'!AR24,$BM$9),COUNTIF('1.연간시수표'!AR24,$BM$7)),$BF$6,IF(OR(COUNTIF('1.연간시수표'!AR24,$BO$9),COUNTIF('1.연간시수표'!AR24,$BO$7)),$BO$6,IF(OR(COUNTIF('1.연간시수표'!AR24,$BP$9),COUNTIF('1.연간시수표'!AR24,$BP$7)),$BP$6,IF(OR(COUNTIF('1.연간시수표'!AR24,$BQ$9),COUNTIF('1.연간시수표'!AR24,$BQ$7)),$BQ$6,IF(OR(COUNTIF('1.연간시수표'!AR24,$BR$9),COUNTIF('1.연간시수표'!AR24,$BR$7)),$BR$6,"_")))))))))))))))</f>
        <v>_</v>
      </c>
      <c r="BU24" s="142" t="str">
        <f>BO6</f>
        <v>동아리활동</v>
      </c>
      <c r="BV24" s="142" t="str">
        <f t="shared" si="0"/>
        <v>동아리활동</v>
      </c>
    </row>
    <row r="25" spans="2:74">
      <c r="B25" s="6"/>
      <c r="C25" s="79">
        <f>'1.연간시수표'!C25</f>
        <v>16</v>
      </c>
      <c r="D25" s="3"/>
      <c r="E25" s="148" t="str">
        <f>IF(OR(COUNTIF('1.연간시수표'!E25,$AT$9),COUNTIF('1.연간시수표'!E25,$AT$7)),$AT$6,IF(OR(COUNTIF('1.연간시수표'!E25,$AU$9),COUNTIF('1.연간시수표'!E25,$AU$7)),$AU$6,IF(OR(COUNTIF('1.연간시수표'!E25,$AV$9),COUNTIF('1.연간시수표'!E25,$AV$7)),$AV$6,IF(OR(COUNTIF('1.연간시수표'!E25,$AW$9),COUNTIF('1.연간시수표'!E25,$AW$7)),$AW$6,IF(OR(COUNTIF('1.연간시수표'!E25,$AX$9),COUNTIF('1.연간시수표'!E25,$AX$7)),$AX$6,IF(OR(COUNTIF('1.연간시수표'!E25,$AY$9),COUNTIF('1.연간시수표'!E25,$AY$7)),$AY$6,IF(OR(COUNTIF('1.연간시수표'!E25,$AZ$9),COUNTIF('1.연간시수표'!E25,$AZ$7)),$AZ$6,IF(OR(COUNTIF('1.연간시수표'!E25,$BA$9),COUNTIF('1.연간시수표'!E25,$BA$7)),$BA$6,IF(OR(COUNTIF('1.연간시수표'!E25,$BB$9),COUNTIF('1.연간시수표'!E25,$BB$7)),$BB$6,IF(OR(COUNTIF('1.연간시수표'!E25,$BC$9),COUNTIF('1.연간시수표'!E25,$BC$7)),$BC$6,IF(OR(COUNTIF('1.연간시수표'!E25,$BF$9),COUNTIF('1.연간시수표'!E25,$BF$7),COUNTIF('1.연간시수표'!E25,$BG$9),COUNTIF('1.연간시수표'!E25,$BG$7),COUNTIF('1.연간시수표'!E25,$BH$9),COUNTIF('1.연간시수표'!E25,$BH$7),COUNTIF('1.연간시수표'!E25,$BI$9),COUNTIF('1.연간시수표'!E25,$BI$7),COUNTIF('1.연간시수표'!E25,$BJ$9),COUNTIF('1.연간시수표'!E25,$BJ$7),COUNTIF('1.연간시수표'!E25,$BK$9),COUNTIF('1.연간시수표'!E25,$BK$7),COUNTIF('1.연간시수표'!E25,$BL$9),COUNTIF('1.연간시수표'!E25,$BL$7),COUNTIF('1.연간시수표'!E25,$BM$9),COUNTIF('1.연간시수표'!E25,$BM$7)),$BF$6,IF(OR(COUNTIF('1.연간시수표'!E25,$BO$9),COUNTIF('1.연간시수표'!E25,$BO$7)),$BO$6,IF(OR(COUNTIF('1.연간시수표'!E25,$BP$9),COUNTIF('1.연간시수표'!E25,$BP$7)),$BP$6,IF(OR(COUNTIF('1.연간시수표'!E25,$BQ$9),COUNTIF('1.연간시수표'!E25,$BQ$7)),$BQ$6,IF(OR(COUNTIF('1.연간시수표'!E25,$BR$9),COUNTIF('1.연간시수표'!E25,$BR$7)),$BR$6,"_")))))))))))))))</f>
        <v>국어</v>
      </c>
      <c r="F25" s="148" t="str">
        <f>IF(OR(COUNTIF('1.연간시수표'!F25,$AT$9),COUNTIF('1.연간시수표'!F25,$AT$7)),$AT$6,IF(OR(COUNTIF('1.연간시수표'!F25,$AU$9),COUNTIF('1.연간시수표'!F25,$AU$7)),$AU$6,IF(OR(COUNTIF('1.연간시수표'!F25,$AV$9),COUNTIF('1.연간시수표'!F25,$AV$7)),$AV$6,IF(OR(COUNTIF('1.연간시수표'!F25,$AW$9),COUNTIF('1.연간시수표'!F25,$AW$7)),$AW$6,IF(OR(COUNTIF('1.연간시수표'!F25,$AX$9),COUNTIF('1.연간시수표'!F25,$AX$7)),$AX$6,IF(OR(COUNTIF('1.연간시수표'!F25,$AY$9),COUNTIF('1.연간시수표'!F25,$AY$7)),$AY$6,IF(OR(COUNTIF('1.연간시수표'!F25,$AZ$9),COUNTIF('1.연간시수표'!F25,$AZ$7)),$AZ$6,IF(OR(COUNTIF('1.연간시수표'!F25,$BA$9),COUNTIF('1.연간시수표'!F25,$BA$7)),$BA$6,IF(OR(COUNTIF('1.연간시수표'!F25,$BB$9),COUNTIF('1.연간시수표'!F25,$BB$7)),$BB$6,IF(OR(COUNTIF('1.연간시수표'!F25,$BC$9),COUNTIF('1.연간시수표'!F25,$BC$7)),$BC$6,IF(OR(COUNTIF('1.연간시수표'!F25,$BF$9),COUNTIF('1.연간시수표'!F25,$BF$7),COUNTIF('1.연간시수표'!F25,$BG$9),COUNTIF('1.연간시수표'!F25,$BG$7),COUNTIF('1.연간시수표'!F25,$BH$9),COUNTIF('1.연간시수표'!F25,$BH$7),COUNTIF('1.연간시수표'!F25,$BI$9),COUNTIF('1.연간시수표'!F25,$BI$7),COUNTIF('1.연간시수표'!F25,$BJ$9),COUNTIF('1.연간시수표'!F25,$BJ$7),COUNTIF('1.연간시수표'!F25,$BK$9),COUNTIF('1.연간시수표'!F25,$BK$7),COUNTIF('1.연간시수표'!F25,$BL$9),COUNTIF('1.연간시수표'!F25,$BL$7),COUNTIF('1.연간시수표'!F25,$BM$9),COUNTIF('1.연간시수표'!F25,$BM$7)),$BF$6,IF(OR(COUNTIF('1.연간시수표'!F25,$BO$9),COUNTIF('1.연간시수표'!F25,$BO$7)),$BO$6,IF(OR(COUNTIF('1.연간시수표'!F25,$BP$9),COUNTIF('1.연간시수표'!F25,$BP$7)),$BP$6,IF(OR(COUNTIF('1.연간시수표'!F25,$BQ$9),COUNTIF('1.연간시수표'!F25,$BQ$7)),$BQ$6,IF(OR(COUNTIF('1.연간시수표'!F25,$BR$9),COUNTIF('1.연간시수표'!F25,$BR$7)),$BR$6,"_")))))))))))))))</f>
        <v>미술</v>
      </c>
      <c r="G25" s="148" t="str">
        <f>IF(OR(COUNTIF('1.연간시수표'!G25,$AT$9),COUNTIF('1.연간시수표'!G25,$AT$7)),$AT$6,IF(OR(COUNTIF('1.연간시수표'!G25,$AU$9),COUNTIF('1.연간시수표'!G25,$AU$7)),$AU$6,IF(OR(COUNTIF('1.연간시수표'!G25,$AV$9),COUNTIF('1.연간시수표'!G25,$AV$7)),$AV$6,IF(OR(COUNTIF('1.연간시수표'!G25,$AW$9),COUNTIF('1.연간시수표'!G25,$AW$7)),$AW$6,IF(OR(COUNTIF('1.연간시수표'!G25,$AX$9),COUNTIF('1.연간시수표'!G25,$AX$7)),$AX$6,IF(OR(COUNTIF('1.연간시수표'!G25,$AY$9),COUNTIF('1.연간시수표'!G25,$AY$7)),$AY$6,IF(OR(COUNTIF('1.연간시수표'!G25,$AZ$9),COUNTIF('1.연간시수표'!G25,$AZ$7)),$AZ$6,IF(OR(COUNTIF('1.연간시수표'!G25,$BA$9),COUNTIF('1.연간시수표'!G25,$BA$7)),$BA$6,IF(OR(COUNTIF('1.연간시수표'!G25,$BB$9),COUNTIF('1.연간시수표'!G25,$BB$7)),$BB$6,IF(OR(COUNTIF('1.연간시수표'!G25,$BC$9),COUNTIF('1.연간시수표'!G25,$BC$7)),$BC$6,IF(OR(COUNTIF('1.연간시수표'!G25,$BF$9),COUNTIF('1.연간시수표'!G25,$BF$7),COUNTIF('1.연간시수표'!G25,$BG$9),COUNTIF('1.연간시수표'!G25,$BG$7),COUNTIF('1.연간시수표'!G25,$BH$9),COUNTIF('1.연간시수표'!G25,$BH$7),COUNTIF('1.연간시수표'!G25,$BI$9),COUNTIF('1.연간시수표'!G25,$BI$7),COUNTIF('1.연간시수표'!G25,$BJ$9),COUNTIF('1.연간시수표'!G25,$BJ$7),COUNTIF('1.연간시수표'!G25,$BK$9),COUNTIF('1.연간시수표'!G25,$BK$7),COUNTIF('1.연간시수표'!G25,$BL$9),COUNTIF('1.연간시수표'!G25,$BL$7),COUNTIF('1.연간시수표'!G25,$BM$9),COUNTIF('1.연간시수표'!G25,$BM$7)),$BF$6,IF(OR(COUNTIF('1.연간시수표'!G25,$BO$9),COUNTIF('1.연간시수표'!G25,$BO$7)),$BO$6,IF(OR(COUNTIF('1.연간시수표'!G25,$BP$9),COUNTIF('1.연간시수표'!G25,$BP$7)),$BP$6,IF(OR(COUNTIF('1.연간시수표'!G25,$BQ$9),COUNTIF('1.연간시수표'!G25,$BQ$7)),$BQ$6,IF(OR(COUNTIF('1.연간시수표'!G25,$BR$9),COUNTIF('1.연간시수표'!G25,$BR$7)),$BR$6,"_")))))))))))))))</f>
        <v>미술</v>
      </c>
      <c r="H25" s="148" t="str">
        <f>IF(OR(COUNTIF('1.연간시수표'!H25,$AT$9),COUNTIF('1.연간시수표'!H25,$AT$7)),$AT$6,IF(OR(COUNTIF('1.연간시수표'!H25,$AU$9),COUNTIF('1.연간시수표'!H25,$AU$7)),$AU$6,IF(OR(COUNTIF('1.연간시수표'!H25,$AV$9),COUNTIF('1.연간시수표'!H25,$AV$7)),$AV$6,IF(OR(COUNTIF('1.연간시수표'!H25,$AW$9),COUNTIF('1.연간시수표'!H25,$AW$7)),$AW$6,IF(OR(COUNTIF('1.연간시수표'!H25,$AX$9),COUNTIF('1.연간시수표'!H25,$AX$7)),$AX$6,IF(OR(COUNTIF('1.연간시수표'!H25,$AY$9),COUNTIF('1.연간시수표'!H25,$AY$7)),$AY$6,IF(OR(COUNTIF('1.연간시수표'!H25,$AZ$9),COUNTIF('1.연간시수표'!H25,$AZ$7)),$AZ$6,IF(OR(COUNTIF('1.연간시수표'!H25,$BA$9),COUNTIF('1.연간시수표'!H25,$BA$7)),$BA$6,IF(OR(COUNTIF('1.연간시수표'!H25,$BB$9),COUNTIF('1.연간시수표'!H25,$BB$7)),$BB$6,IF(OR(COUNTIF('1.연간시수표'!H25,$BC$9),COUNTIF('1.연간시수표'!H25,$BC$7)),$BC$6,IF(OR(COUNTIF('1.연간시수표'!H25,$BF$9),COUNTIF('1.연간시수표'!H25,$BF$7),COUNTIF('1.연간시수표'!H25,$BG$9),COUNTIF('1.연간시수표'!H25,$BG$7),COUNTIF('1.연간시수표'!H25,$BH$9),COUNTIF('1.연간시수표'!H25,$BH$7),COUNTIF('1.연간시수표'!H25,$BI$9),COUNTIF('1.연간시수표'!H25,$BI$7),COUNTIF('1.연간시수표'!H25,$BJ$9),COUNTIF('1.연간시수표'!H25,$BJ$7),COUNTIF('1.연간시수표'!H25,$BK$9),COUNTIF('1.연간시수표'!H25,$BK$7),COUNTIF('1.연간시수표'!H25,$BL$9),COUNTIF('1.연간시수표'!H25,$BL$7),COUNTIF('1.연간시수표'!H25,$BM$9),COUNTIF('1.연간시수표'!H25,$BM$7)),$BF$6,IF(OR(COUNTIF('1.연간시수표'!H25,$BO$9),COUNTIF('1.연간시수표'!H25,$BO$7)),$BO$6,IF(OR(COUNTIF('1.연간시수표'!H25,$BP$9),COUNTIF('1.연간시수표'!H25,$BP$7)),$BP$6,IF(OR(COUNTIF('1.연간시수표'!H25,$BQ$9),COUNTIF('1.연간시수표'!H25,$BQ$7)),$BQ$6,IF(OR(COUNTIF('1.연간시수표'!H25,$BR$9),COUNTIF('1.연간시수표'!H25,$BR$7)),$BR$6,"_")))))))))))))))</f>
        <v>영어</v>
      </c>
      <c r="I25" s="148" t="str">
        <f>IF(OR(COUNTIF('1.연간시수표'!I25,$AT$9),COUNTIF('1.연간시수표'!I25,$AT$7)),$AT$6,IF(OR(COUNTIF('1.연간시수표'!I25,$AU$9),COUNTIF('1.연간시수표'!I25,$AU$7)),$AU$6,IF(OR(COUNTIF('1.연간시수표'!I25,$AV$9),COUNTIF('1.연간시수표'!I25,$AV$7)),$AV$6,IF(OR(COUNTIF('1.연간시수표'!I25,$AW$9),COUNTIF('1.연간시수표'!I25,$AW$7)),$AW$6,IF(OR(COUNTIF('1.연간시수표'!I25,$AX$9),COUNTIF('1.연간시수표'!I25,$AX$7)),$AX$6,IF(OR(COUNTIF('1.연간시수표'!I25,$AY$9),COUNTIF('1.연간시수표'!I25,$AY$7)),$AY$6,IF(OR(COUNTIF('1.연간시수표'!I25,$AZ$9),COUNTIF('1.연간시수표'!I25,$AZ$7)),$AZ$6,IF(OR(COUNTIF('1.연간시수표'!I25,$BA$9),COUNTIF('1.연간시수표'!I25,$BA$7)),$BA$6,IF(OR(COUNTIF('1.연간시수표'!I25,$BB$9),COUNTIF('1.연간시수표'!I25,$BB$7)),$BB$6,IF(OR(COUNTIF('1.연간시수표'!I25,$BC$9),COUNTIF('1.연간시수표'!I25,$BC$7)),$BC$6,IF(OR(COUNTIF('1.연간시수표'!I25,$BF$9),COUNTIF('1.연간시수표'!I25,$BF$7),COUNTIF('1.연간시수표'!I25,$BG$9),COUNTIF('1.연간시수표'!I25,$BG$7),COUNTIF('1.연간시수표'!I25,$BH$9),COUNTIF('1.연간시수표'!I25,$BH$7),COUNTIF('1.연간시수표'!I25,$BI$9),COUNTIF('1.연간시수표'!I25,$BI$7),COUNTIF('1.연간시수표'!I25,$BJ$9),COUNTIF('1.연간시수표'!I25,$BJ$7),COUNTIF('1.연간시수표'!I25,$BK$9),COUNTIF('1.연간시수표'!I25,$BK$7),COUNTIF('1.연간시수표'!I25,$BL$9),COUNTIF('1.연간시수표'!I25,$BL$7),COUNTIF('1.연간시수표'!I25,$BM$9),COUNTIF('1.연간시수표'!I25,$BM$7)),$BF$6,IF(OR(COUNTIF('1.연간시수표'!I25,$BO$9),COUNTIF('1.연간시수표'!I25,$BO$7)),$BO$6,IF(OR(COUNTIF('1.연간시수표'!I25,$BP$9),COUNTIF('1.연간시수표'!I25,$BP$7)),$BP$6,IF(OR(COUNTIF('1.연간시수표'!I25,$BQ$9),COUNTIF('1.연간시수표'!I25,$BQ$7)),$BQ$6,IF(OR(COUNTIF('1.연간시수표'!I25,$BR$9),COUNTIF('1.연간시수표'!I25,$BR$7)),$BR$6,"_")))))))))))))))</f>
        <v>수학</v>
      </c>
      <c r="J25" s="148" t="str">
        <f>IF(OR(COUNTIF('1.연간시수표'!J25,$AT$9),COUNTIF('1.연간시수표'!J25,$AT$7)),$AT$6,IF(OR(COUNTIF('1.연간시수표'!J25,$AU$9),COUNTIF('1.연간시수표'!J25,$AU$7)),$AU$6,IF(OR(COUNTIF('1.연간시수표'!J25,$AV$9),COUNTIF('1.연간시수표'!J25,$AV$7)),$AV$6,IF(OR(COUNTIF('1.연간시수표'!J25,$AW$9),COUNTIF('1.연간시수표'!J25,$AW$7)),$AW$6,IF(OR(COUNTIF('1.연간시수표'!J25,$AX$9),COUNTIF('1.연간시수표'!J25,$AX$7)),$AX$6,IF(OR(COUNTIF('1.연간시수표'!J25,$AY$9),COUNTIF('1.연간시수표'!J25,$AY$7)),$AY$6,IF(OR(COUNTIF('1.연간시수표'!J25,$AZ$9),COUNTIF('1.연간시수표'!J25,$AZ$7)),$AZ$6,IF(OR(COUNTIF('1.연간시수표'!J25,$BA$9),COUNTIF('1.연간시수표'!J25,$BA$7)),$BA$6,IF(OR(COUNTIF('1.연간시수표'!J25,$BB$9),COUNTIF('1.연간시수표'!J25,$BB$7)),$BB$6,IF(OR(COUNTIF('1.연간시수표'!J25,$BC$9),COUNTIF('1.연간시수표'!J25,$BC$7)),$BC$6,IF(OR(COUNTIF('1.연간시수표'!J25,$BF$9),COUNTIF('1.연간시수표'!J25,$BF$7),COUNTIF('1.연간시수표'!J25,$BG$9),COUNTIF('1.연간시수표'!J25,$BG$7),COUNTIF('1.연간시수표'!J25,$BH$9),COUNTIF('1.연간시수표'!J25,$BH$7),COUNTIF('1.연간시수표'!J25,$BI$9),COUNTIF('1.연간시수표'!J25,$BI$7),COUNTIF('1.연간시수표'!J25,$BJ$9),COUNTIF('1.연간시수표'!J25,$BJ$7),COUNTIF('1.연간시수표'!J25,$BK$9),COUNTIF('1.연간시수표'!J25,$BK$7),COUNTIF('1.연간시수표'!J25,$BL$9),COUNTIF('1.연간시수표'!J25,$BL$7),COUNTIF('1.연간시수표'!J25,$BM$9),COUNTIF('1.연간시수표'!J25,$BM$7)),$BF$6,IF(OR(COUNTIF('1.연간시수표'!J25,$BO$9),COUNTIF('1.연간시수표'!J25,$BO$7)),$BO$6,IF(OR(COUNTIF('1.연간시수표'!J25,$BP$9),COUNTIF('1.연간시수표'!J25,$BP$7)),$BP$6,IF(OR(COUNTIF('1.연간시수표'!J25,$BQ$9),COUNTIF('1.연간시수표'!J25,$BQ$7)),$BQ$6,IF(OR(COUNTIF('1.연간시수표'!J25,$BR$9),COUNTIF('1.연간시수표'!J25,$BR$7)),$BR$6,"_")))))))))))))))</f>
        <v>자율활동</v>
      </c>
      <c r="K25" s="148" t="str">
        <f>IF(OR(COUNTIF('1.연간시수표'!K25,$AT$9),COUNTIF('1.연간시수표'!K25,$AT$7)),$AT$6,IF(OR(COUNTIF('1.연간시수표'!K25,$AU$9),COUNTIF('1.연간시수표'!K25,$AU$7)),$AU$6,IF(OR(COUNTIF('1.연간시수표'!K25,$AV$9),COUNTIF('1.연간시수표'!K25,$AV$7)),$AV$6,IF(OR(COUNTIF('1.연간시수표'!K25,$AW$9),COUNTIF('1.연간시수표'!K25,$AW$7)),$AW$6,IF(OR(COUNTIF('1.연간시수표'!K25,$AX$9),COUNTIF('1.연간시수표'!K25,$AX$7)),$AX$6,IF(OR(COUNTIF('1.연간시수표'!K25,$AY$9),COUNTIF('1.연간시수표'!K25,$AY$7)),$AY$6,IF(OR(COUNTIF('1.연간시수표'!K25,$AZ$9),COUNTIF('1.연간시수표'!K25,$AZ$7)),$AZ$6,IF(OR(COUNTIF('1.연간시수표'!K25,$BA$9),COUNTIF('1.연간시수표'!K25,$BA$7)),$BA$6,IF(OR(COUNTIF('1.연간시수표'!K25,$BB$9),COUNTIF('1.연간시수표'!K25,$BB$7)),$BB$6,IF(OR(COUNTIF('1.연간시수표'!K25,$BC$9),COUNTIF('1.연간시수표'!K25,$BC$7)),$BC$6,IF(OR(COUNTIF('1.연간시수표'!K25,$BF$9),COUNTIF('1.연간시수표'!K25,$BF$7),COUNTIF('1.연간시수표'!K25,$BG$9),COUNTIF('1.연간시수표'!K25,$BG$7),COUNTIF('1.연간시수표'!K25,$BH$9),COUNTIF('1.연간시수표'!K25,$BH$7),COUNTIF('1.연간시수표'!K25,$BI$9),COUNTIF('1.연간시수표'!K25,$BI$7),COUNTIF('1.연간시수표'!K25,$BJ$9),COUNTIF('1.연간시수표'!K25,$BJ$7),COUNTIF('1.연간시수표'!K25,$BK$9),COUNTIF('1.연간시수표'!K25,$BK$7),COUNTIF('1.연간시수표'!K25,$BL$9),COUNTIF('1.연간시수표'!K25,$BL$7),COUNTIF('1.연간시수표'!K25,$BM$9),COUNTIF('1.연간시수표'!K25,$BM$7)),$BF$6,IF(OR(COUNTIF('1.연간시수표'!K25,$BO$9),COUNTIF('1.연간시수표'!K25,$BO$7)),$BO$6,IF(OR(COUNTIF('1.연간시수표'!K25,$BP$9),COUNTIF('1.연간시수표'!K25,$BP$7)),$BP$6,IF(OR(COUNTIF('1.연간시수표'!K25,$BQ$9),COUNTIF('1.연간시수표'!K25,$BQ$7)),$BQ$6,IF(OR(COUNTIF('1.연간시수표'!K25,$BR$9),COUNTIF('1.연간시수표'!K25,$BR$7)),$BR$6,"_")))))))))))))))</f>
        <v>_</v>
      </c>
      <c r="L25" s="148" t="str">
        <f>IF(OR(COUNTIF('1.연간시수표'!L25,$AT$9),COUNTIF('1.연간시수표'!L25,$AT$7)),$AT$6,IF(OR(COUNTIF('1.연간시수표'!L25,$AU$9),COUNTIF('1.연간시수표'!L25,$AU$7)),$AU$6,IF(OR(COUNTIF('1.연간시수표'!L25,$AV$9),COUNTIF('1.연간시수표'!L25,$AV$7)),$AV$6,IF(OR(COUNTIF('1.연간시수표'!L25,$AW$9),COUNTIF('1.연간시수표'!L25,$AW$7)),$AW$6,IF(OR(COUNTIF('1.연간시수표'!L25,$AX$9),COUNTIF('1.연간시수표'!L25,$AX$7)),$AX$6,IF(OR(COUNTIF('1.연간시수표'!L25,$AY$9),COUNTIF('1.연간시수표'!L25,$AY$7)),$AY$6,IF(OR(COUNTIF('1.연간시수표'!L25,$AZ$9),COUNTIF('1.연간시수표'!L25,$AZ$7)),$AZ$6,IF(OR(COUNTIF('1.연간시수표'!L25,$BA$9),COUNTIF('1.연간시수표'!L25,$BA$7)),$BA$6,IF(OR(COUNTIF('1.연간시수표'!L25,$BB$9),COUNTIF('1.연간시수표'!L25,$BB$7)),$BB$6,IF(OR(COUNTIF('1.연간시수표'!L25,$BC$9),COUNTIF('1.연간시수표'!L25,$BC$7)),$BC$6,IF(OR(COUNTIF('1.연간시수표'!L25,$BF$9),COUNTIF('1.연간시수표'!L25,$BF$7),COUNTIF('1.연간시수표'!L25,$BG$9),COUNTIF('1.연간시수표'!L25,$BG$7),COUNTIF('1.연간시수표'!L25,$BH$9),COUNTIF('1.연간시수표'!L25,$BH$7),COUNTIF('1.연간시수표'!L25,$BI$9),COUNTIF('1.연간시수표'!L25,$BI$7),COUNTIF('1.연간시수표'!L25,$BJ$9),COUNTIF('1.연간시수표'!L25,$BJ$7),COUNTIF('1.연간시수표'!L25,$BK$9),COUNTIF('1.연간시수표'!L25,$BK$7),COUNTIF('1.연간시수표'!L25,$BL$9),COUNTIF('1.연간시수표'!L25,$BL$7),COUNTIF('1.연간시수표'!L25,$BM$9),COUNTIF('1.연간시수표'!L25,$BM$7)),$BF$6,IF(OR(COUNTIF('1.연간시수표'!L25,$BO$9),COUNTIF('1.연간시수표'!L25,$BO$7)),$BO$6,IF(OR(COUNTIF('1.연간시수표'!L25,$BP$9),COUNTIF('1.연간시수표'!L25,$BP$7)),$BP$6,IF(OR(COUNTIF('1.연간시수표'!L25,$BQ$9),COUNTIF('1.연간시수표'!L25,$BQ$7)),$BQ$6,IF(OR(COUNTIF('1.연간시수표'!L25,$BR$9),COUNTIF('1.연간시수표'!L25,$BR$7)),$BR$6,"_")))))))))))))))</f>
        <v>_</v>
      </c>
      <c r="M25" s="148" t="str">
        <f>IF(OR(COUNTIF('1.연간시수표'!M25,$AT$9),COUNTIF('1.연간시수표'!M25,$AT$7)),$AT$6,IF(OR(COUNTIF('1.연간시수표'!M25,$AU$9),COUNTIF('1.연간시수표'!M25,$AU$7)),$AU$6,IF(OR(COUNTIF('1.연간시수표'!M25,$AV$9),COUNTIF('1.연간시수표'!M25,$AV$7)),$AV$6,IF(OR(COUNTIF('1.연간시수표'!M25,$AW$9),COUNTIF('1.연간시수표'!M25,$AW$7)),$AW$6,IF(OR(COUNTIF('1.연간시수표'!M25,$AX$9),COUNTIF('1.연간시수표'!M25,$AX$7)),$AX$6,IF(OR(COUNTIF('1.연간시수표'!M25,$AY$9),COUNTIF('1.연간시수표'!M25,$AY$7)),$AY$6,IF(OR(COUNTIF('1.연간시수표'!M25,$AZ$9),COUNTIF('1.연간시수표'!M25,$AZ$7)),$AZ$6,IF(OR(COUNTIF('1.연간시수표'!M25,$BA$9),COUNTIF('1.연간시수표'!M25,$BA$7)),$BA$6,IF(OR(COUNTIF('1.연간시수표'!M25,$BB$9),COUNTIF('1.연간시수표'!M25,$BB$7)),$BB$6,IF(OR(COUNTIF('1.연간시수표'!M25,$BC$9),COUNTIF('1.연간시수표'!M25,$BC$7)),$BC$6,IF(OR(COUNTIF('1.연간시수표'!M25,$BF$9),COUNTIF('1.연간시수표'!M25,$BF$7),COUNTIF('1.연간시수표'!M25,$BG$9),COUNTIF('1.연간시수표'!M25,$BG$7),COUNTIF('1.연간시수표'!M25,$BH$9),COUNTIF('1.연간시수표'!M25,$BH$7),COUNTIF('1.연간시수표'!M25,$BI$9),COUNTIF('1.연간시수표'!M25,$BI$7),COUNTIF('1.연간시수표'!M25,$BJ$9),COUNTIF('1.연간시수표'!M25,$BJ$7),COUNTIF('1.연간시수표'!M25,$BK$9),COUNTIF('1.연간시수표'!M25,$BK$7),COUNTIF('1.연간시수표'!M25,$BL$9),COUNTIF('1.연간시수표'!M25,$BL$7),COUNTIF('1.연간시수표'!M25,$BM$9),COUNTIF('1.연간시수표'!M25,$BM$7)),$BF$6,IF(OR(COUNTIF('1.연간시수표'!M25,$BO$9),COUNTIF('1.연간시수표'!M25,$BO$7)),$BO$6,IF(OR(COUNTIF('1.연간시수표'!M25,$BP$9),COUNTIF('1.연간시수표'!M25,$BP$7)),$BP$6,IF(OR(COUNTIF('1.연간시수표'!M25,$BQ$9),COUNTIF('1.연간시수표'!M25,$BQ$7)),$BQ$6,IF(OR(COUNTIF('1.연간시수표'!M25,$BR$9),COUNTIF('1.연간시수표'!M25,$BR$7)),$BR$6,"_")))))))))))))))</f>
        <v>국어</v>
      </c>
      <c r="N25" s="148" t="str">
        <f>IF(OR(COUNTIF('1.연간시수표'!N25,$AT$9),COUNTIF('1.연간시수표'!N25,$AT$7)),$AT$6,IF(OR(COUNTIF('1.연간시수표'!N25,$AU$9),COUNTIF('1.연간시수표'!N25,$AU$7)),$AU$6,IF(OR(COUNTIF('1.연간시수표'!N25,$AV$9),COUNTIF('1.연간시수표'!N25,$AV$7)),$AV$6,IF(OR(COUNTIF('1.연간시수표'!N25,$AW$9),COUNTIF('1.연간시수표'!N25,$AW$7)),$AW$6,IF(OR(COUNTIF('1.연간시수표'!N25,$AX$9),COUNTIF('1.연간시수표'!N25,$AX$7)),$AX$6,IF(OR(COUNTIF('1.연간시수표'!N25,$AY$9),COUNTIF('1.연간시수표'!N25,$AY$7)),$AY$6,IF(OR(COUNTIF('1.연간시수표'!N25,$AZ$9),COUNTIF('1.연간시수표'!N25,$AZ$7)),$AZ$6,IF(OR(COUNTIF('1.연간시수표'!N25,$BA$9),COUNTIF('1.연간시수표'!N25,$BA$7)),$BA$6,IF(OR(COUNTIF('1.연간시수표'!N25,$BB$9),COUNTIF('1.연간시수표'!N25,$BB$7)),$BB$6,IF(OR(COUNTIF('1.연간시수표'!N25,$BC$9),COUNTIF('1.연간시수표'!N25,$BC$7)),$BC$6,IF(OR(COUNTIF('1.연간시수표'!N25,$BF$9),COUNTIF('1.연간시수표'!N25,$BF$7),COUNTIF('1.연간시수표'!N25,$BG$9),COUNTIF('1.연간시수표'!N25,$BG$7),COUNTIF('1.연간시수표'!N25,$BH$9),COUNTIF('1.연간시수표'!N25,$BH$7),COUNTIF('1.연간시수표'!N25,$BI$9),COUNTIF('1.연간시수표'!N25,$BI$7),COUNTIF('1.연간시수표'!N25,$BJ$9),COUNTIF('1.연간시수표'!N25,$BJ$7),COUNTIF('1.연간시수표'!N25,$BK$9),COUNTIF('1.연간시수표'!N25,$BK$7),COUNTIF('1.연간시수표'!N25,$BL$9),COUNTIF('1.연간시수표'!N25,$BL$7),COUNTIF('1.연간시수표'!N25,$BM$9),COUNTIF('1.연간시수표'!N25,$BM$7)),$BF$6,IF(OR(COUNTIF('1.연간시수표'!N25,$BO$9),COUNTIF('1.연간시수표'!N25,$BO$7)),$BO$6,IF(OR(COUNTIF('1.연간시수표'!N25,$BP$9),COUNTIF('1.연간시수표'!N25,$BP$7)),$BP$6,IF(OR(COUNTIF('1.연간시수표'!N25,$BQ$9),COUNTIF('1.연간시수표'!N25,$BQ$7)),$BQ$6,IF(OR(COUNTIF('1.연간시수표'!N25,$BR$9),COUNTIF('1.연간시수표'!N25,$BR$7)),$BR$6,"_")))))))))))))))</f>
        <v>국어</v>
      </c>
      <c r="O25" s="148" t="str">
        <f>IF(OR(COUNTIF('1.연간시수표'!O25,$AT$9),COUNTIF('1.연간시수표'!O25,$AT$7)),$AT$6,IF(OR(COUNTIF('1.연간시수표'!O25,$AU$9),COUNTIF('1.연간시수표'!O25,$AU$7)),$AU$6,IF(OR(COUNTIF('1.연간시수표'!O25,$AV$9),COUNTIF('1.연간시수표'!O25,$AV$7)),$AV$6,IF(OR(COUNTIF('1.연간시수표'!O25,$AW$9),COUNTIF('1.연간시수표'!O25,$AW$7)),$AW$6,IF(OR(COUNTIF('1.연간시수표'!O25,$AX$9),COUNTIF('1.연간시수표'!O25,$AX$7)),$AX$6,IF(OR(COUNTIF('1.연간시수표'!O25,$AY$9),COUNTIF('1.연간시수표'!O25,$AY$7)),$AY$6,IF(OR(COUNTIF('1.연간시수표'!O25,$AZ$9),COUNTIF('1.연간시수표'!O25,$AZ$7)),$AZ$6,IF(OR(COUNTIF('1.연간시수표'!O25,$BA$9),COUNTIF('1.연간시수표'!O25,$BA$7)),$BA$6,IF(OR(COUNTIF('1.연간시수표'!O25,$BB$9),COUNTIF('1.연간시수표'!O25,$BB$7)),$BB$6,IF(OR(COUNTIF('1.연간시수표'!O25,$BC$9),COUNTIF('1.연간시수표'!O25,$BC$7)),$BC$6,IF(OR(COUNTIF('1.연간시수표'!O25,$BF$9),COUNTIF('1.연간시수표'!O25,$BF$7),COUNTIF('1.연간시수표'!O25,$BG$9),COUNTIF('1.연간시수표'!O25,$BG$7),COUNTIF('1.연간시수표'!O25,$BH$9),COUNTIF('1.연간시수표'!O25,$BH$7),COUNTIF('1.연간시수표'!O25,$BI$9),COUNTIF('1.연간시수표'!O25,$BI$7),COUNTIF('1.연간시수표'!O25,$BJ$9),COUNTIF('1.연간시수표'!O25,$BJ$7),COUNTIF('1.연간시수표'!O25,$BK$9),COUNTIF('1.연간시수표'!O25,$BK$7),COUNTIF('1.연간시수표'!O25,$BL$9),COUNTIF('1.연간시수표'!O25,$BL$7),COUNTIF('1.연간시수표'!O25,$BM$9),COUNTIF('1.연간시수표'!O25,$BM$7)),$BF$6,IF(OR(COUNTIF('1.연간시수표'!O25,$BO$9),COUNTIF('1.연간시수표'!O25,$BO$7)),$BO$6,IF(OR(COUNTIF('1.연간시수표'!O25,$BP$9),COUNTIF('1.연간시수표'!O25,$BP$7)),$BP$6,IF(OR(COUNTIF('1.연간시수표'!O25,$BQ$9),COUNTIF('1.연간시수표'!O25,$BQ$7)),$BQ$6,IF(OR(COUNTIF('1.연간시수표'!O25,$BR$9),COUNTIF('1.연간시수표'!O25,$BR$7)),$BR$6,"_")))))))))))))))</f>
        <v>사회</v>
      </c>
      <c r="P25" s="148" t="str">
        <f>IF(OR(COUNTIF('1.연간시수표'!P25,$AT$9),COUNTIF('1.연간시수표'!P25,$AT$7)),$AT$6,IF(OR(COUNTIF('1.연간시수표'!P25,$AU$9),COUNTIF('1.연간시수표'!P25,$AU$7)),$AU$6,IF(OR(COUNTIF('1.연간시수표'!P25,$AV$9),COUNTIF('1.연간시수표'!P25,$AV$7)),$AV$6,IF(OR(COUNTIF('1.연간시수표'!P25,$AW$9),COUNTIF('1.연간시수표'!P25,$AW$7)),$AW$6,IF(OR(COUNTIF('1.연간시수표'!P25,$AX$9),COUNTIF('1.연간시수표'!P25,$AX$7)),$AX$6,IF(OR(COUNTIF('1.연간시수표'!P25,$AY$9),COUNTIF('1.연간시수표'!P25,$AY$7)),$AY$6,IF(OR(COUNTIF('1.연간시수표'!P25,$AZ$9),COUNTIF('1.연간시수표'!P25,$AZ$7)),$AZ$6,IF(OR(COUNTIF('1.연간시수표'!P25,$BA$9),COUNTIF('1.연간시수표'!P25,$BA$7)),$BA$6,IF(OR(COUNTIF('1.연간시수표'!P25,$BB$9),COUNTIF('1.연간시수표'!P25,$BB$7)),$BB$6,IF(OR(COUNTIF('1.연간시수표'!P25,$BC$9),COUNTIF('1.연간시수표'!P25,$BC$7)),$BC$6,IF(OR(COUNTIF('1.연간시수표'!P25,$BF$9),COUNTIF('1.연간시수표'!P25,$BF$7),COUNTIF('1.연간시수표'!P25,$BG$9),COUNTIF('1.연간시수표'!P25,$BG$7),COUNTIF('1.연간시수표'!P25,$BH$9),COUNTIF('1.연간시수표'!P25,$BH$7),COUNTIF('1.연간시수표'!P25,$BI$9),COUNTIF('1.연간시수표'!P25,$BI$7),COUNTIF('1.연간시수표'!P25,$BJ$9),COUNTIF('1.연간시수표'!P25,$BJ$7),COUNTIF('1.연간시수표'!P25,$BK$9),COUNTIF('1.연간시수표'!P25,$BK$7),COUNTIF('1.연간시수표'!P25,$BL$9),COUNTIF('1.연간시수표'!P25,$BL$7),COUNTIF('1.연간시수표'!P25,$BM$9),COUNTIF('1.연간시수표'!P25,$BM$7)),$BF$6,IF(OR(COUNTIF('1.연간시수표'!P25,$BO$9),COUNTIF('1.연간시수표'!P25,$BO$7)),$BO$6,IF(OR(COUNTIF('1.연간시수표'!P25,$BP$9),COUNTIF('1.연간시수표'!P25,$BP$7)),$BP$6,IF(OR(COUNTIF('1.연간시수표'!P25,$BQ$9),COUNTIF('1.연간시수표'!P25,$BQ$7)),$BQ$6,IF(OR(COUNTIF('1.연간시수표'!P25,$BR$9),COUNTIF('1.연간시수표'!P25,$BR$7)),$BR$6,"_")))))))))))))))</f>
        <v>수학</v>
      </c>
      <c r="Q25" s="148" t="str">
        <f>IF(OR(COUNTIF('1.연간시수표'!Q25,$AT$9),COUNTIF('1.연간시수표'!Q25,$AT$7)),$AT$6,IF(OR(COUNTIF('1.연간시수표'!Q25,$AU$9),COUNTIF('1.연간시수표'!Q25,$AU$7)),$AU$6,IF(OR(COUNTIF('1.연간시수표'!Q25,$AV$9),COUNTIF('1.연간시수표'!Q25,$AV$7)),$AV$6,IF(OR(COUNTIF('1.연간시수표'!Q25,$AW$9),COUNTIF('1.연간시수표'!Q25,$AW$7)),$AW$6,IF(OR(COUNTIF('1.연간시수표'!Q25,$AX$9),COUNTIF('1.연간시수표'!Q25,$AX$7)),$AX$6,IF(OR(COUNTIF('1.연간시수표'!Q25,$AY$9),COUNTIF('1.연간시수표'!Q25,$AY$7)),$AY$6,IF(OR(COUNTIF('1.연간시수표'!Q25,$AZ$9),COUNTIF('1.연간시수표'!Q25,$AZ$7)),$AZ$6,IF(OR(COUNTIF('1.연간시수표'!Q25,$BA$9),COUNTIF('1.연간시수표'!Q25,$BA$7)),$BA$6,IF(OR(COUNTIF('1.연간시수표'!Q25,$BB$9),COUNTIF('1.연간시수표'!Q25,$BB$7)),$BB$6,IF(OR(COUNTIF('1.연간시수표'!Q25,$BC$9),COUNTIF('1.연간시수표'!Q25,$BC$7)),$BC$6,IF(OR(COUNTIF('1.연간시수표'!Q25,$BF$9),COUNTIF('1.연간시수표'!Q25,$BF$7),COUNTIF('1.연간시수표'!Q25,$BG$9),COUNTIF('1.연간시수표'!Q25,$BG$7),COUNTIF('1.연간시수표'!Q25,$BH$9),COUNTIF('1.연간시수표'!Q25,$BH$7),COUNTIF('1.연간시수표'!Q25,$BI$9),COUNTIF('1.연간시수표'!Q25,$BI$7),COUNTIF('1.연간시수표'!Q25,$BJ$9),COUNTIF('1.연간시수표'!Q25,$BJ$7),COUNTIF('1.연간시수표'!Q25,$BK$9),COUNTIF('1.연간시수표'!Q25,$BK$7),COUNTIF('1.연간시수표'!Q25,$BL$9),COUNTIF('1.연간시수표'!Q25,$BL$7),COUNTIF('1.연간시수표'!Q25,$BM$9),COUNTIF('1.연간시수표'!Q25,$BM$7)),$BF$6,IF(OR(COUNTIF('1.연간시수표'!Q25,$BO$9),COUNTIF('1.연간시수표'!Q25,$BO$7)),$BO$6,IF(OR(COUNTIF('1.연간시수표'!Q25,$BP$9),COUNTIF('1.연간시수표'!Q25,$BP$7)),$BP$6,IF(OR(COUNTIF('1.연간시수표'!Q25,$BQ$9),COUNTIF('1.연간시수표'!Q25,$BQ$7)),$BQ$6,IF(OR(COUNTIF('1.연간시수표'!Q25,$BR$9),COUNTIF('1.연간시수표'!Q25,$BR$7)),$BR$6,"_")))))))))))))))</f>
        <v>과학</v>
      </c>
      <c r="R25" s="148" t="str">
        <f>IF(OR(COUNTIF('1.연간시수표'!R25,$AT$9),COUNTIF('1.연간시수표'!R25,$AT$7)),$AT$6,IF(OR(COUNTIF('1.연간시수표'!R25,$AU$9),COUNTIF('1.연간시수표'!R25,$AU$7)),$AU$6,IF(OR(COUNTIF('1.연간시수표'!R25,$AV$9),COUNTIF('1.연간시수표'!R25,$AV$7)),$AV$6,IF(OR(COUNTIF('1.연간시수표'!R25,$AW$9),COUNTIF('1.연간시수표'!R25,$AW$7)),$AW$6,IF(OR(COUNTIF('1.연간시수표'!R25,$AX$9),COUNTIF('1.연간시수표'!R25,$AX$7)),$AX$6,IF(OR(COUNTIF('1.연간시수표'!R25,$AY$9),COUNTIF('1.연간시수표'!R25,$AY$7)),$AY$6,IF(OR(COUNTIF('1.연간시수표'!R25,$AZ$9),COUNTIF('1.연간시수표'!R25,$AZ$7)),$AZ$6,IF(OR(COUNTIF('1.연간시수표'!R25,$BA$9),COUNTIF('1.연간시수표'!R25,$BA$7)),$BA$6,IF(OR(COUNTIF('1.연간시수표'!R25,$BB$9),COUNTIF('1.연간시수표'!R25,$BB$7)),$BB$6,IF(OR(COUNTIF('1.연간시수표'!R25,$BC$9),COUNTIF('1.연간시수표'!R25,$BC$7)),$BC$6,IF(OR(COUNTIF('1.연간시수표'!R25,$BF$9),COUNTIF('1.연간시수표'!R25,$BF$7),COUNTIF('1.연간시수표'!R25,$BG$9),COUNTIF('1.연간시수표'!R25,$BG$7),COUNTIF('1.연간시수표'!R25,$BH$9),COUNTIF('1.연간시수표'!R25,$BH$7),COUNTIF('1.연간시수표'!R25,$BI$9),COUNTIF('1.연간시수표'!R25,$BI$7),COUNTIF('1.연간시수표'!R25,$BJ$9),COUNTIF('1.연간시수표'!R25,$BJ$7),COUNTIF('1.연간시수표'!R25,$BK$9),COUNTIF('1.연간시수표'!R25,$BK$7),COUNTIF('1.연간시수표'!R25,$BL$9),COUNTIF('1.연간시수표'!R25,$BL$7),COUNTIF('1.연간시수표'!R25,$BM$9),COUNTIF('1.연간시수표'!R25,$BM$7)),$BF$6,IF(OR(COUNTIF('1.연간시수표'!R25,$BO$9),COUNTIF('1.연간시수표'!R25,$BO$7)),$BO$6,IF(OR(COUNTIF('1.연간시수표'!R25,$BP$9),COUNTIF('1.연간시수표'!R25,$BP$7)),$BP$6,IF(OR(COUNTIF('1.연간시수표'!R25,$BQ$9),COUNTIF('1.연간시수표'!R25,$BQ$7)),$BQ$6,IF(OR(COUNTIF('1.연간시수표'!R25,$BR$9),COUNTIF('1.연간시수표'!R25,$BR$7)),$BR$6,"_")))))))))))))))</f>
        <v>실과</v>
      </c>
      <c r="S25" s="148" t="str">
        <f>IF(OR(COUNTIF('1.연간시수표'!S25,$AT$9),COUNTIF('1.연간시수표'!S25,$AT$7)),$AT$6,IF(OR(COUNTIF('1.연간시수표'!S25,$AU$9),COUNTIF('1.연간시수표'!S25,$AU$7)),$AU$6,IF(OR(COUNTIF('1.연간시수표'!S25,$AV$9),COUNTIF('1.연간시수표'!S25,$AV$7)),$AV$6,IF(OR(COUNTIF('1.연간시수표'!S25,$AW$9),COUNTIF('1.연간시수표'!S25,$AW$7)),$AW$6,IF(OR(COUNTIF('1.연간시수표'!S25,$AX$9),COUNTIF('1.연간시수표'!S25,$AX$7)),$AX$6,IF(OR(COUNTIF('1.연간시수표'!S25,$AY$9),COUNTIF('1.연간시수표'!S25,$AY$7)),$AY$6,IF(OR(COUNTIF('1.연간시수표'!S25,$AZ$9),COUNTIF('1.연간시수표'!S25,$AZ$7)),$AZ$6,IF(OR(COUNTIF('1.연간시수표'!S25,$BA$9),COUNTIF('1.연간시수표'!S25,$BA$7)),$BA$6,IF(OR(COUNTIF('1.연간시수표'!S25,$BB$9),COUNTIF('1.연간시수표'!S25,$BB$7)),$BB$6,IF(OR(COUNTIF('1.연간시수표'!S25,$BC$9),COUNTIF('1.연간시수표'!S25,$BC$7)),$BC$6,IF(OR(COUNTIF('1.연간시수표'!S25,$BF$9),COUNTIF('1.연간시수표'!S25,$BF$7),COUNTIF('1.연간시수표'!S25,$BG$9),COUNTIF('1.연간시수표'!S25,$BG$7),COUNTIF('1.연간시수표'!S25,$BH$9),COUNTIF('1.연간시수표'!S25,$BH$7),COUNTIF('1.연간시수표'!S25,$BI$9),COUNTIF('1.연간시수표'!S25,$BI$7),COUNTIF('1.연간시수표'!S25,$BJ$9),COUNTIF('1.연간시수표'!S25,$BJ$7),COUNTIF('1.연간시수표'!S25,$BK$9),COUNTIF('1.연간시수표'!S25,$BK$7),COUNTIF('1.연간시수표'!S25,$BL$9),COUNTIF('1.연간시수표'!S25,$BL$7),COUNTIF('1.연간시수표'!S25,$BM$9),COUNTIF('1.연간시수표'!S25,$BM$7)),$BF$6,IF(OR(COUNTIF('1.연간시수표'!S25,$BO$9),COUNTIF('1.연간시수표'!S25,$BO$7)),$BO$6,IF(OR(COUNTIF('1.연간시수표'!S25,$BP$9),COUNTIF('1.연간시수표'!S25,$BP$7)),$BP$6,IF(OR(COUNTIF('1.연간시수표'!S25,$BQ$9),COUNTIF('1.연간시수표'!S25,$BQ$7)),$BQ$6,IF(OR(COUNTIF('1.연간시수표'!S25,$BR$9),COUNTIF('1.연간시수표'!S25,$BR$7)),$BR$6,"_")))))))))))))))</f>
        <v>_</v>
      </c>
      <c r="T25" s="148" t="str">
        <f>IF(OR(COUNTIF('1.연간시수표'!T25,$AT$9),COUNTIF('1.연간시수표'!T25,$AT$7)),$AT$6,IF(OR(COUNTIF('1.연간시수표'!T25,$AU$9),COUNTIF('1.연간시수표'!T25,$AU$7)),$AU$6,IF(OR(COUNTIF('1.연간시수표'!T25,$AV$9),COUNTIF('1.연간시수표'!T25,$AV$7)),$AV$6,IF(OR(COUNTIF('1.연간시수표'!T25,$AW$9),COUNTIF('1.연간시수표'!T25,$AW$7)),$AW$6,IF(OR(COUNTIF('1.연간시수표'!T25,$AX$9),COUNTIF('1.연간시수표'!T25,$AX$7)),$AX$6,IF(OR(COUNTIF('1.연간시수표'!T25,$AY$9),COUNTIF('1.연간시수표'!T25,$AY$7)),$AY$6,IF(OR(COUNTIF('1.연간시수표'!T25,$AZ$9),COUNTIF('1.연간시수표'!T25,$AZ$7)),$AZ$6,IF(OR(COUNTIF('1.연간시수표'!T25,$BA$9),COUNTIF('1.연간시수표'!T25,$BA$7)),$BA$6,IF(OR(COUNTIF('1.연간시수표'!T25,$BB$9),COUNTIF('1.연간시수표'!T25,$BB$7)),$BB$6,IF(OR(COUNTIF('1.연간시수표'!T25,$BC$9),COUNTIF('1.연간시수표'!T25,$BC$7)),$BC$6,IF(OR(COUNTIF('1.연간시수표'!T25,$BF$9),COUNTIF('1.연간시수표'!T25,$BF$7),COUNTIF('1.연간시수표'!T25,$BG$9),COUNTIF('1.연간시수표'!T25,$BG$7),COUNTIF('1.연간시수표'!T25,$BH$9),COUNTIF('1.연간시수표'!T25,$BH$7),COUNTIF('1.연간시수표'!T25,$BI$9),COUNTIF('1.연간시수표'!T25,$BI$7),COUNTIF('1.연간시수표'!T25,$BJ$9),COUNTIF('1.연간시수표'!T25,$BJ$7),COUNTIF('1.연간시수표'!T25,$BK$9),COUNTIF('1.연간시수표'!T25,$BK$7),COUNTIF('1.연간시수표'!T25,$BL$9),COUNTIF('1.연간시수표'!T25,$BL$7),COUNTIF('1.연간시수표'!T25,$BM$9),COUNTIF('1.연간시수표'!T25,$BM$7)),$BF$6,IF(OR(COUNTIF('1.연간시수표'!T25,$BO$9),COUNTIF('1.연간시수표'!T25,$BO$7)),$BO$6,IF(OR(COUNTIF('1.연간시수표'!T25,$BP$9),COUNTIF('1.연간시수표'!T25,$BP$7)),$BP$6,IF(OR(COUNTIF('1.연간시수표'!T25,$BQ$9),COUNTIF('1.연간시수표'!T25,$BQ$7)),$BQ$6,IF(OR(COUNTIF('1.연간시수표'!T25,$BR$9),COUNTIF('1.연간시수표'!T25,$BR$7)),$BR$6,"_")))))))))))))))</f>
        <v>_</v>
      </c>
      <c r="U25" s="148" t="str">
        <f>IF(OR(COUNTIF('1.연간시수표'!U25,$AT$9),COUNTIF('1.연간시수표'!U25,$AT$7)),$AT$6,IF(OR(COUNTIF('1.연간시수표'!U25,$AU$9),COUNTIF('1.연간시수표'!U25,$AU$7)),$AU$6,IF(OR(COUNTIF('1.연간시수표'!U25,$AV$9),COUNTIF('1.연간시수표'!U25,$AV$7)),$AV$6,IF(OR(COUNTIF('1.연간시수표'!U25,$AW$9),COUNTIF('1.연간시수표'!U25,$AW$7)),$AW$6,IF(OR(COUNTIF('1.연간시수표'!U25,$AX$9),COUNTIF('1.연간시수표'!U25,$AX$7)),$AX$6,IF(OR(COUNTIF('1.연간시수표'!U25,$AY$9),COUNTIF('1.연간시수표'!U25,$AY$7)),$AY$6,IF(OR(COUNTIF('1.연간시수표'!U25,$AZ$9),COUNTIF('1.연간시수표'!U25,$AZ$7)),$AZ$6,IF(OR(COUNTIF('1.연간시수표'!U25,$BA$9),COUNTIF('1.연간시수표'!U25,$BA$7)),$BA$6,IF(OR(COUNTIF('1.연간시수표'!U25,$BB$9),COUNTIF('1.연간시수표'!U25,$BB$7)),$BB$6,IF(OR(COUNTIF('1.연간시수표'!U25,$BC$9),COUNTIF('1.연간시수표'!U25,$BC$7)),$BC$6,IF(OR(COUNTIF('1.연간시수표'!U25,$BF$9),COUNTIF('1.연간시수표'!U25,$BF$7),COUNTIF('1.연간시수표'!U25,$BG$9),COUNTIF('1.연간시수표'!U25,$BG$7),COUNTIF('1.연간시수표'!U25,$BH$9),COUNTIF('1.연간시수표'!U25,$BH$7),COUNTIF('1.연간시수표'!U25,$BI$9),COUNTIF('1.연간시수표'!U25,$BI$7),COUNTIF('1.연간시수표'!U25,$BJ$9),COUNTIF('1.연간시수표'!U25,$BJ$7),COUNTIF('1.연간시수표'!U25,$BK$9),COUNTIF('1.연간시수표'!U25,$BK$7),COUNTIF('1.연간시수표'!U25,$BL$9),COUNTIF('1.연간시수표'!U25,$BL$7),COUNTIF('1.연간시수표'!U25,$BM$9),COUNTIF('1.연간시수표'!U25,$BM$7)),$BF$6,IF(OR(COUNTIF('1.연간시수표'!U25,$BO$9),COUNTIF('1.연간시수표'!U25,$BO$7)),$BO$6,IF(OR(COUNTIF('1.연간시수표'!U25,$BP$9),COUNTIF('1.연간시수표'!U25,$BP$7)),$BP$6,IF(OR(COUNTIF('1.연간시수표'!U25,$BQ$9),COUNTIF('1.연간시수표'!U25,$BQ$7)),$BQ$6,IF(OR(COUNTIF('1.연간시수표'!U25,$BR$9),COUNTIF('1.연간시수표'!U25,$BR$7)),$BR$6,"_")))))))))))))))</f>
        <v>영어</v>
      </c>
      <c r="V25" s="148" t="str">
        <f>IF(OR(COUNTIF('1.연간시수표'!V25,$AT$9),COUNTIF('1.연간시수표'!V25,$AT$7)),$AT$6,IF(OR(COUNTIF('1.연간시수표'!V25,$AU$9),COUNTIF('1.연간시수표'!V25,$AU$7)),$AU$6,IF(OR(COUNTIF('1.연간시수표'!V25,$AV$9),COUNTIF('1.연간시수표'!V25,$AV$7)),$AV$6,IF(OR(COUNTIF('1.연간시수표'!V25,$AW$9),COUNTIF('1.연간시수표'!V25,$AW$7)),$AW$6,IF(OR(COUNTIF('1.연간시수표'!V25,$AX$9),COUNTIF('1.연간시수표'!V25,$AX$7)),$AX$6,IF(OR(COUNTIF('1.연간시수표'!V25,$AY$9),COUNTIF('1.연간시수표'!V25,$AY$7)),$AY$6,IF(OR(COUNTIF('1.연간시수표'!V25,$AZ$9),COUNTIF('1.연간시수표'!V25,$AZ$7)),$AZ$6,IF(OR(COUNTIF('1.연간시수표'!V25,$BA$9),COUNTIF('1.연간시수표'!V25,$BA$7)),$BA$6,IF(OR(COUNTIF('1.연간시수표'!V25,$BB$9),COUNTIF('1.연간시수표'!V25,$BB$7)),$BB$6,IF(OR(COUNTIF('1.연간시수표'!V25,$BC$9),COUNTIF('1.연간시수표'!V25,$BC$7)),$BC$6,IF(OR(COUNTIF('1.연간시수표'!V25,$BF$9),COUNTIF('1.연간시수표'!V25,$BF$7),COUNTIF('1.연간시수표'!V25,$BG$9),COUNTIF('1.연간시수표'!V25,$BG$7),COUNTIF('1.연간시수표'!V25,$BH$9),COUNTIF('1.연간시수표'!V25,$BH$7),COUNTIF('1.연간시수표'!V25,$BI$9),COUNTIF('1.연간시수표'!V25,$BI$7),COUNTIF('1.연간시수표'!V25,$BJ$9),COUNTIF('1.연간시수표'!V25,$BJ$7),COUNTIF('1.연간시수표'!V25,$BK$9),COUNTIF('1.연간시수표'!V25,$BK$7),COUNTIF('1.연간시수표'!V25,$BL$9),COUNTIF('1.연간시수표'!V25,$BL$7),COUNTIF('1.연간시수표'!V25,$BM$9),COUNTIF('1.연간시수표'!V25,$BM$7)),$BF$6,IF(OR(COUNTIF('1.연간시수표'!V25,$BO$9),COUNTIF('1.연간시수표'!V25,$BO$7)),$BO$6,IF(OR(COUNTIF('1.연간시수표'!V25,$BP$9),COUNTIF('1.연간시수표'!V25,$BP$7)),$BP$6,IF(OR(COUNTIF('1.연간시수표'!V25,$BQ$9),COUNTIF('1.연간시수표'!V25,$BQ$7)),$BQ$6,IF(OR(COUNTIF('1.연간시수표'!V25,$BR$9),COUNTIF('1.연간시수표'!V25,$BR$7)),$BR$6,"_")))))))))))))))</f>
        <v>과학</v>
      </c>
      <c r="W25" s="148" t="str">
        <f>IF(OR(COUNTIF('1.연간시수표'!W25,$AT$9),COUNTIF('1.연간시수표'!W25,$AT$7)),$AT$6,IF(OR(COUNTIF('1.연간시수표'!W25,$AU$9),COUNTIF('1.연간시수표'!W25,$AU$7)),$AU$6,IF(OR(COUNTIF('1.연간시수표'!W25,$AV$9),COUNTIF('1.연간시수표'!W25,$AV$7)),$AV$6,IF(OR(COUNTIF('1.연간시수표'!W25,$AW$9),COUNTIF('1.연간시수표'!W25,$AW$7)),$AW$6,IF(OR(COUNTIF('1.연간시수표'!W25,$AX$9),COUNTIF('1.연간시수표'!W25,$AX$7)),$AX$6,IF(OR(COUNTIF('1.연간시수표'!W25,$AY$9),COUNTIF('1.연간시수표'!W25,$AY$7)),$AY$6,IF(OR(COUNTIF('1.연간시수표'!W25,$AZ$9),COUNTIF('1.연간시수표'!W25,$AZ$7)),$AZ$6,IF(OR(COUNTIF('1.연간시수표'!W25,$BA$9),COUNTIF('1.연간시수표'!W25,$BA$7)),$BA$6,IF(OR(COUNTIF('1.연간시수표'!W25,$BB$9),COUNTIF('1.연간시수표'!W25,$BB$7)),$BB$6,IF(OR(COUNTIF('1.연간시수표'!W25,$BC$9),COUNTIF('1.연간시수표'!W25,$BC$7)),$BC$6,IF(OR(COUNTIF('1.연간시수표'!W25,$BF$9),COUNTIF('1.연간시수표'!W25,$BF$7),COUNTIF('1.연간시수표'!W25,$BG$9),COUNTIF('1.연간시수표'!W25,$BG$7),COUNTIF('1.연간시수표'!W25,$BH$9),COUNTIF('1.연간시수표'!W25,$BH$7),COUNTIF('1.연간시수표'!W25,$BI$9),COUNTIF('1.연간시수표'!W25,$BI$7),COUNTIF('1.연간시수표'!W25,$BJ$9),COUNTIF('1.연간시수표'!W25,$BJ$7),COUNTIF('1.연간시수표'!W25,$BK$9),COUNTIF('1.연간시수표'!W25,$BK$7),COUNTIF('1.연간시수표'!W25,$BL$9),COUNTIF('1.연간시수표'!W25,$BL$7),COUNTIF('1.연간시수표'!W25,$BM$9),COUNTIF('1.연간시수표'!W25,$BM$7)),$BF$6,IF(OR(COUNTIF('1.연간시수표'!W25,$BO$9),COUNTIF('1.연간시수표'!W25,$BO$7)),$BO$6,IF(OR(COUNTIF('1.연간시수표'!W25,$BP$9),COUNTIF('1.연간시수표'!W25,$BP$7)),$BP$6,IF(OR(COUNTIF('1.연간시수표'!W25,$BQ$9),COUNTIF('1.연간시수표'!W25,$BQ$7)),$BQ$6,IF(OR(COUNTIF('1.연간시수표'!W25,$BR$9),COUNTIF('1.연간시수표'!W25,$BR$7)),$BR$6,"_")))))))))))))))</f>
        <v>체육</v>
      </c>
      <c r="X25" s="148" t="str">
        <f>IF(OR(COUNTIF('1.연간시수표'!X25,$AT$9),COUNTIF('1.연간시수표'!X25,$AT$7)),$AT$6,IF(OR(COUNTIF('1.연간시수표'!X25,$AU$9),COUNTIF('1.연간시수표'!X25,$AU$7)),$AU$6,IF(OR(COUNTIF('1.연간시수표'!X25,$AV$9),COUNTIF('1.연간시수표'!X25,$AV$7)),$AV$6,IF(OR(COUNTIF('1.연간시수표'!X25,$AW$9),COUNTIF('1.연간시수표'!X25,$AW$7)),$AW$6,IF(OR(COUNTIF('1.연간시수표'!X25,$AX$9),COUNTIF('1.연간시수표'!X25,$AX$7)),$AX$6,IF(OR(COUNTIF('1.연간시수표'!X25,$AY$9),COUNTIF('1.연간시수표'!X25,$AY$7)),$AY$6,IF(OR(COUNTIF('1.연간시수표'!X25,$AZ$9),COUNTIF('1.연간시수표'!X25,$AZ$7)),$AZ$6,IF(OR(COUNTIF('1.연간시수표'!X25,$BA$9),COUNTIF('1.연간시수표'!X25,$BA$7)),$BA$6,IF(OR(COUNTIF('1.연간시수표'!X25,$BB$9),COUNTIF('1.연간시수표'!X25,$BB$7)),$BB$6,IF(OR(COUNTIF('1.연간시수표'!X25,$BC$9),COUNTIF('1.연간시수표'!X25,$BC$7)),$BC$6,IF(OR(COUNTIF('1.연간시수표'!X25,$BF$9),COUNTIF('1.연간시수표'!X25,$BF$7),COUNTIF('1.연간시수표'!X25,$BG$9),COUNTIF('1.연간시수표'!X25,$BG$7),COUNTIF('1.연간시수표'!X25,$BH$9),COUNTIF('1.연간시수표'!X25,$BH$7),COUNTIF('1.연간시수표'!X25,$BI$9),COUNTIF('1.연간시수표'!X25,$BI$7),COUNTIF('1.연간시수표'!X25,$BJ$9),COUNTIF('1.연간시수표'!X25,$BJ$7),COUNTIF('1.연간시수표'!X25,$BK$9),COUNTIF('1.연간시수표'!X25,$BK$7),COUNTIF('1.연간시수표'!X25,$BL$9),COUNTIF('1.연간시수표'!X25,$BL$7),COUNTIF('1.연간시수표'!X25,$BM$9),COUNTIF('1.연간시수표'!X25,$BM$7)),$BF$6,IF(OR(COUNTIF('1.연간시수표'!X25,$BO$9),COUNTIF('1.연간시수표'!X25,$BO$7)),$BO$6,IF(OR(COUNTIF('1.연간시수표'!X25,$BP$9),COUNTIF('1.연간시수표'!X25,$BP$7)),$BP$6,IF(OR(COUNTIF('1.연간시수표'!X25,$BQ$9),COUNTIF('1.연간시수표'!X25,$BQ$7)),$BQ$6,IF(OR(COUNTIF('1.연간시수표'!X25,$BR$9),COUNTIF('1.연간시수표'!X25,$BR$7)),$BR$6,"_")))))))))))))))</f>
        <v>음악</v>
      </c>
      <c r="Y25" s="148" t="str">
        <f>IF(OR(COUNTIF('1.연간시수표'!Y25,$AT$9),COUNTIF('1.연간시수표'!Y25,$AT$7)),$AT$6,IF(OR(COUNTIF('1.연간시수표'!Y25,$AU$9),COUNTIF('1.연간시수표'!Y25,$AU$7)),$AU$6,IF(OR(COUNTIF('1.연간시수표'!Y25,$AV$9),COUNTIF('1.연간시수표'!Y25,$AV$7)),$AV$6,IF(OR(COUNTIF('1.연간시수표'!Y25,$AW$9),COUNTIF('1.연간시수표'!Y25,$AW$7)),$AW$6,IF(OR(COUNTIF('1.연간시수표'!Y25,$AX$9),COUNTIF('1.연간시수표'!Y25,$AX$7)),$AX$6,IF(OR(COUNTIF('1.연간시수표'!Y25,$AY$9),COUNTIF('1.연간시수표'!Y25,$AY$7)),$AY$6,IF(OR(COUNTIF('1.연간시수표'!Y25,$AZ$9),COUNTIF('1.연간시수표'!Y25,$AZ$7)),$AZ$6,IF(OR(COUNTIF('1.연간시수표'!Y25,$BA$9),COUNTIF('1.연간시수표'!Y25,$BA$7)),$BA$6,IF(OR(COUNTIF('1.연간시수표'!Y25,$BB$9),COUNTIF('1.연간시수표'!Y25,$BB$7)),$BB$6,IF(OR(COUNTIF('1.연간시수표'!Y25,$BC$9),COUNTIF('1.연간시수표'!Y25,$BC$7)),$BC$6,IF(OR(COUNTIF('1.연간시수표'!Y25,$BF$9),COUNTIF('1.연간시수표'!Y25,$BF$7),COUNTIF('1.연간시수표'!Y25,$BG$9),COUNTIF('1.연간시수표'!Y25,$BG$7),COUNTIF('1.연간시수표'!Y25,$BH$9),COUNTIF('1.연간시수표'!Y25,$BH$7),COUNTIF('1.연간시수표'!Y25,$BI$9),COUNTIF('1.연간시수표'!Y25,$BI$7),COUNTIF('1.연간시수표'!Y25,$BJ$9),COUNTIF('1.연간시수표'!Y25,$BJ$7),COUNTIF('1.연간시수표'!Y25,$BK$9),COUNTIF('1.연간시수표'!Y25,$BK$7),COUNTIF('1.연간시수표'!Y25,$BL$9),COUNTIF('1.연간시수표'!Y25,$BL$7),COUNTIF('1.연간시수표'!Y25,$BM$9),COUNTIF('1.연간시수표'!Y25,$BM$7)),$BF$6,IF(OR(COUNTIF('1.연간시수표'!Y25,$BO$9),COUNTIF('1.연간시수표'!Y25,$BO$7)),$BO$6,IF(OR(COUNTIF('1.연간시수표'!Y25,$BP$9),COUNTIF('1.연간시수표'!Y25,$BP$7)),$BP$6,IF(OR(COUNTIF('1.연간시수표'!Y25,$BQ$9),COUNTIF('1.연간시수표'!Y25,$BQ$7)),$BQ$6,IF(OR(COUNTIF('1.연간시수표'!Y25,$BR$9),COUNTIF('1.연간시수표'!Y25,$BR$7)),$BR$6,"_")))))))))))))))</f>
        <v>도덕</v>
      </c>
      <c r="Z25" s="148" t="str">
        <f>IF(OR(COUNTIF('1.연간시수표'!Z25,$AT$9),COUNTIF('1.연간시수표'!Z25,$AT$7)),$AT$6,IF(OR(COUNTIF('1.연간시수표'!Z25,$AU$9),COUNTIF('1.연간시수표'!Z25,$AU$7)),$AU$6,IF(OR(COUNTIF('1.연간시수표'!Z25,$AV$9),COUNTIF('1.연간시수표'!Z25,$AV$7)),$AV$6,IF(OR(COUNTIF('1.연간시수표'!Z25,$AW$9),COUNTIF('1.연간시수표'!Z25,$AW$7)),$AW$6,IF(OR(COUNTIF('1.연간시수표'!Z25,$AX$9),COUNTIF('1.연간시수표'!Z25,$AX$7)),$AX$6,IF(OR(COUNTIF('1.연간시수표'!Z25,$AY$9),COUNTIF('1.연간시수표'!Z25,$AY$7)),$AY$6,IF(OR(COUNTIF('1.연간시수표'!Z25,$AZ$9),COUNTIF('1.연간시수표'!Z25,$AZ$7)),$AZ$6,IF(OR(COUNTIF('1.연간시수표'!Z25,$BA$9),COUNTIF('1.연간시수표'!Z25,$BA$7)),$BA$6,IF(OR(COUNTIF('1.연간시수표'!Z25,$BB$9),COUNTIF('1.연간시수표'!Z25,$BB$7)),$BB$6,IF(OR(COUNTIF('1.연간시수표'!Z25,$BC$9),COUNTIF('1.연간시수표'!Z25,$BC$7)),$BC$6,IF(OR(COUNTIF('1.연간시수표'!Z25,$BF$9),COUNTIF('1.연간시수표'!Z25,$BF$7),COUNTIF('1.연간시수표'!Z25,$BG$9),COUNTIF('1.연간시수표'!Z25,$BG$7),COUNTIF('1.연간시수표'!Z25,$BH$9),COUNTIF('1.연간시수표'!Z25,$BH$7),COUNTIF('1.연간시수표'!Z25,$BI$9),COUNTIF('1.연간시수표'!Z25,$BI$7),COUNTIF('1.연간시수표'!Z25,$BJ$9),COUNTIF('1.연간시수표'!Z25,$BJ$7),COUNTIF('1.연간시수표'!Z25,$BK$9),COUNTIF('1.연간시수표'!Z25,$BK$7),COUNTIF('1.연간시수표'!Z25,$BL$9),COUNTIF('1.연간시수표'!Z25,$BL$7),COUNTIF('1.연간시수표'!Z25,$BM$9),COUNTIF('1.연간시수표'!Z25,$BM$7)),$BF$6,IF(OR(COUNTIF('1.연간시수표'!Z25,$BO$9),COUNTIF('1.연간시수표'!Z25,$BO$7)),$BO$6,IF(OR(COUNTIF('1.연간시수표'!Z25,$BP$9),COUNTIF('1.연간시수표'!Z25,$BP$7)),$BP$6,IF(OR(COUNTIF('1.연간시수표'!Z25,$BQ$9),COUNTIF('1.연간시수표'!Z25,$BQ$7)),$BQ$6,IF(OR(COUNTIF('1.연간시수표'!Z25,$BR$9),COUNTIF('1.연간시수표'!Z25,$BR$7)),$BR$6,"_")))))))))))))))</f>
        <v>_</v>
      </c>
      <c r="AA25" s="148" t="str">
        <f>IF(OR(COUNTIF('1.연간시수표'!AA25,$AT$9),COUNTIF('1.연간시수표'!AA25,$AT$7)),$AT$6,IF(OR(COUNTIF('1.연간시수표'!AA25,$AU$9),COUNTIF('1.연간시수표'!AA25,$AU$7)),$AU$6,IF(OR(COUNTIF('1.연간시수표'!AA25,$AV$9),COUNTIF('1.연간시수표'!AA25,$AV$7)),$AV$6,IF(OR(COUNTIF('1.연간시수표'!AA25,$AW$9),COUNTIF('1.연간시수표'!AA25,$AW$7)),$AW$6,IF(OR(COUNTIF('1.연간시수표'!AA25,$AX$9),COUNTIF('1.연간시수표'!AA25,$AX$7)),$AX$6,IF(OR(COUNTIF('1.연간시수표'!AA25,$AY$9),COUNTIF('1.연간시수표'!AA25,$AY$7)),$AY$6,IF(OR(COUNTIF('1.연간시수표'!AA25,$AZ$9),COUNTIF('1.연간시수표'!AA25,$AZ$7)),$AZ$6,IF(OR(COUNTIF('1.연간시수표'!AA25,$BA$9),COUNTIF('1.연간시수표'!AA25,$BA$7)),$BA$6,IF(OR(COUNTIF('1.연간시수표'!AA25,$BB$9),COUNTIF('1.연간시수표'!AA25,$BB$7)),$BB$6,IF(OR(COUNTIF('1.연간시수표'!AA25,$BC$9),COUNTIF('1.연간시수표'!AA25,$BC$7)),$BC$6,IF(OR(COUNTIF('1.연간시수표'!AA25,$BF$9),COUNTIF('1.연간시수표'!AA25,$BF$7),COUNTIF('1.연간시수표'!AA25,$BG$9),COUNTIF('1.연간시수표'!AA25,$BG$7),COUNTIF('1.연간시수표'!AA25,$BH$9),COUNTIF('1.연간시수표'!AA25,$BH$7),COUNTIF('1.연간시수표'!AA25,$BI$9),COUNTIF('1.연간시수표'!AA25,$BI$7),COUNTIF('1.연간시수표'!AA25,$BJ$9),COUNTIF('1.연간시수표'!AA25,$BJ$7),COUNTIF('1.연간시수표'!AA25,$BK$9),COUNTIF('1.연간시수표'!AA25,$BK$7),COUNTIF('1.연간시수표'!AA25,$BL$9),COUNTIF('1.연간시수표'!AA25,$BL$7),COUNTIF('1.연간시수표'!AA25,$BM$9),COUNTIF('1.연간시수표'!AA25,$BM$7)),$BF$6,IF(OR(COUNTIF('1.연간시수표'!AA25,$BO$9),COUNTIF('1.연간시수표'!AA25,$BO$7)),$BO$6,IF(OR(COUNTIF('1.연간시수표'!AA25,$BP$9),COUNTIF('1.연간시수표'!AA25,$BP$7)),$BP$6,IF(OR(COUNTIF('1.연간시수표'!AA25,$BQ$9),COUNTIF('1.연간시수표'!AA25,$BQ$7)),$BQ$6,IF(OR(COUNTIF('1.연간시수표'!AA25,$BR$9),COUNTIF('1.연간시수표'!AA25,$BR$7)),$BR$6,"_")))))))))))))))</f>
        <v>_</v>
      </c>
      <c r="AB25" s="148" t="str">
        <f>IF(OR(COUNTIF('1.연간시수표'!AB25,$AT$9),COUNTIF('1.연간시수표'!AB25,$AT$7)),$AT$6,IF(OR(COUNTIF('1.연간시수표'!AB25,$AU$9),COUNTIF('1.연간시수표'!AB25,$AU$7)),$AU$6,IF(OR(COUNTIF('1.연간시수표'!AB25,$AV$9),COUNTIF('1.연간시수표'!AB25,$AV$7)),$AV$6,IF(OR(COUNTIF('1.연간시수표'!AB25,$AW$9),COUNTIF('1.연간시수표'!AB25,$AW$7)),$AW$6,IF(OR(COUNTIF('1.연간시수표'!AB25,$AX$9),COUNTIF('1.연간시수표'!AB25,$AX$7)),$AX$6,IF(OR(COUNTIF('1.연간시수표'!AB25,$AY$9),COUNTIF('1.연간시수표'!AB25,$AY$7)),$AY$6,IF(OR(COUNTIF('1.연간시수표'!AB25,$AZ$9),COUNTIF('1.연간시수표'!AB25,$AZ$7)),$AZ$6,IF(OR(COUNTIF('1.연간시수표'!AB25,$BA$9),COUNTIF('1.연간시수표'!AB25,$BA$7)),$BA$6,IF(OR(COUNTIF('1.연간시수표'!AB25,$BB$9),COUNTIF('1.연간시수표'!AB25,$BB$7)),$BB$6,IF(OR(COUNTIF('1.연간시수표'!AB25,$BC$9),COUNTIF('1.연간시수표'!AB25,$BC$7)),$BC$6,IF(OR(COUNTIF('1.연간시수표'!AB25,$BF$9),COUNTIF('1.연간시수표'!AB25,$BF$7),COUNTIF('1.연간시수표'!AB25,$BG$9),COUNTIF('1.연간시수표'!AB25,$BG$7),COUNTIF('1.연간시수표'!AB25,$BH$9),COUNTIF('1.연간시수표'!AB25,$BH$7),COUNTIF('1.연간시수표'!AB25,$BI$9),COUNTIF('1.연간시수표'!AB25,$BI$7),COUNTIF('1.연간시수표'!AB25,$BJ$9),COUNTIF('1.연간시수표'!AB25,$BJ$7),COUNTIF('1.연간시수표'!AB25,$BK$9),COUNTIF('1.연간시수표'!AB25,$BK$7),COUNTIF('1.연간시수표'!AB25,$BL$9),COUNTIF('1.연간시수표'!AB25,$BL$7),COUNTIF('1.연간시수표'!AB25,$BM$9),COUNTIF('1.연간시수표'!AB25,$BM$7)),$BF$6,IF(OR(COUNTIF('1.연간시수표'!AB25,$BO$9),COUNTIF('1.연간시수표'!AB25,$BO$7)),$BO$6,IF(OR(COUNTIF('1.연간시수표'!AB25,$BP$9),COUNTIF('1.연간시수표'!AB25,$BP$7)),$BP$6,IF(OR(COUNTIF('1.연간시수표'!AB25,$BQ$9),COUNTIF('1.연간시수표'!AB25,$BQ$7)),$BQ$6,IF(OR(COUNTIF('1.연간시수표'!AB25,$BR$9),COUNTIF('1.연간시수표'!AB25,$BR$7)),$BR$6,"_")))))))))))))))</f>
        <v>_</v>
      </c>
      <c r="AC25" s="148" t="str">
        <f>IF(OR(COUNTIF('1.연간시수표'!AC25,$AT$9),COUNTIF('1.연간시수표'!AC25,$AT$7)),$AT$6,IF(OR(COUNTIF('1.연간시수표'!AC25,$AU$9),COUNTIF('1.연간시수표'!AC25,$AU$7)),$AU$6,IF(OR(COUNTIF('1.연간시수표'!AC25,$AV$9),COUNTIF('1.연간시수표'!AC25,$AV$7)),$AV$6,IF(OR(COUNTIF('1.연간시수표'!AC25,$AW$9),COUNTIF('1.연간시수표'!AC25,$AW$7)),$AW$6,IF(OR(COUNTIF('1.연간시수표'!AC25,$AX$9),COUNTIF('1.연간시수표'!AC25,$AX$7)),$AX$6,IF(OR(COUNTIF('1.연간시수표'!AC25,$AY$9),COUNTIF('1.연간시수표'!AC25,$AY$7)),$AY$6,IF(OR(COUNTIF('1.연간시수표'!AC25,$AZ$9),COUNTIF('1.연간시수표'!AC25,$AZ$7)),$AZ$6,IF(OR(COUNTIF('1.연간시수표'!AC25,$BA$9),COUNTIF('1.연간시수표'!AC25,$BA$7)),$BA$6,IF(OR(COUNTIF('1.연간시수표'!AC25,$BB$9),COUNTIF('1.연간시수표'!AC25,$BB$7)),$BB$6,IF(OR(COUNTIF('1.연간시수표'!AC25,$BC$9),COUNTIF('1.연간시수표'!AC25,$BC$7)),$BC$6,IF(OR(COUNTIF('1.연간시수표'!AC25,$BF$9),COUNTIF('1.연간시수표'!AC25,$BF$7),COUNTIF('1.연간시수표'!AC25,$BG$9),COUNTIF('1.연간시수표'!AC25,$BG$7),COUNTIF('1.연간시수표'!AC25,$BH$9),COUNTIF('1.연간시수표'!AC25,$BH$7),COUNTIF('1.연간시수표'!AC25,$BI$9),COUNTIF('1.연간시수표'!AC25,$BI$7),COUNTIF('1.연간시수표'!AC25,$BJ$9),COUNTIF('1.연간시수표'!AC25,$BJ$7),COUNTIF('1.연간시수표'!AC25,$BK$9),COUNTIF('1.연간시수표'!AC25,$BK$7),COUNTIF('1.연간시수표'!AC25,$BL$9),COUNTIF('1.연간시수표'!AC25,$BL$7),COUNTIF('1.연간시수표'!AC25,$BM$9),COUNTIF('1.연간시수표'!AC25,$BM$7)),$BF$6,IF(OR(COUNTIF('1.연간시수표'!AC25,$BO$9),COUNTIF('1.연간시수표'!AC25,$BO$7)),$BO$6,IF(OR(COUNTIF('1.연간시수표'!AC25,$BP$9),COUNTIF('1.연간시수표'!AC25,$BP$7)),$BP$6,IF(OR(COUNTIF('1.연간시수표'!AC25,$BQ$9),COUNTIF('1.연간시수표'!AC25,$BQ$7)),$BQ$6,IF(OR(COUNTIF('1.연간시수표'!AC25,$BR$9),COUNTIF('1.연간시수표'!AC25,$BR$7)),$BR$6,"_")))))))))))))))</f>
        <v>국어</v>
      </c>
      <c r="AD25" s="148" t="str">
        <f>IF(OR(COUNTIF('1.연간시수표'!AD25,$AT$9),COUNTIF('1.연간시수표'!AD25,$AT$7)),$AT$6,IF(OR(COUNTIF('1.연간시수표'!AD25,$AU$9),COUNTIF('1.연간시수표'!AD25,$AU$7)),$AU$6,IF(OR(COUNTIF('1.연간시수표'!AD25,$AV$9),COUNTIF('1.연간시수표'!AD25,$AV$7)),$AV$6,IF(OR(COUNTIF('1.연간시수표'!AD25,$AW$9),COUNTIF('1.연간시수표'!AD25,$AW$7)),$AW$6,IF(OR(COUNTIF('1.연간시수표'!AD25,$AX$9),COUNTIF('1.연간시수표'!AD25,$AX$7)),$AX$6,IF(OR(COUNTIF('1.연간시수표'!AD25,$AY$9),COUNTIF('1.연간시수표'!AD25,$AY$7)),$AY$6,IF(OR(COUNTIF('1.연간시수표'!AD25,$AZ$9),COUNTIF('1.연간시수표'!AD25,$AZ$7)),$AZ$6,IF(OR(COUNTIF('1.연간시수표'!AD25,$BA$9),COUNTIF('1.연간시수표'!AD25,$BA$7)),$BA$6,IF(OR(COUNTIF('1.연간시수표'!AD25,$BB$9),COUNTIF('1.연간시수표'!AD25,$BB$7)),$BB$6,IF(OR(COUNTIF('1.연간시수표'!AD25,$BC$9),COUNTIF('1.연간시수표'!AD25,$BC$7)),$BC$6,IF(OR(COUNTIF('1.연간시수표'!AD25,$BF$9),COUNTIF('1.연간시수표'!AD25,$BF$7),COUNTIF('1.연간시수표'!AD25,$BG$9),COUNTIF('1.연간시수표'!AD25,$BG$7),COUNTIF('1.연간시수표'!AD25,$BH$9),COUNTIF('1.연간시수표'!AD25,$BH$7),COUNTIF('1.연간시수표'!AD25,$BI$9),COUNTIF('1.연간시수표'!AD25,$BI$7),COUNTIF('1.연간시수표'!AD25,$BJ$9),COUNTIF('1.연간시수표'!AD25,$BJ$7),COUNTIF('1.연간시수표'!AD25,$BK$9),COUNTIF('1.연간시수표'!AD25,$BK$7),COUNTIF('1.연간시수표'!AD25,$BL$9),COUNTIF('1.연간시수표'!AD25,$BL$7),COUNTIF('1.연간시수표'!AD25,$BM$9),COUNTIF('1.연간시수표'!AD25,$BM$7)),$BF$6,IF(OR(COUNTIF('1.연간시수표'!AD25,$BO$9),COUNTIF('1.연간시수표'!AD25,$BO$7)),$BO$6,IF(OR(COUNTIF('1.연간시수표'!AD25,$BP$9),COUNTIF('1.연간시수표'!AD25,$BP$7)),$BP$6,IF(OR(COUNTIF('1.연간시수표'!AD25,$BQ$9),COUNTIF('1.연간시수표'!AD25,$BQ$7)),$BQ$6,IF(OR(COUNTIF('1.연간시수표'!AD25,$BR$9),COUNTIF('1.연간시수표'!AD25,$BR$7)),$BR$6,"_")))))))))))))))</f>
        <v>수학</v>
      </c>
      <c r="AE25" s="148" t="str">
        <f>IF(OR(COUNTIF('1.연간시수표'!AE25,$AT$9),COUNTIF('1.연간시수표'!AE25,$AT$7)),$AT$6,IF(OR(COUNTIF('1.연간시수표'!AE25,$AU$9),COUNTIF('1.연간시수표'!AE25,$AU$7)),$AU$6,IF(OR(COUNTIF('1.연간시수표'!AE25,$AV$9),COUNTIF('1.연간시수표'!AE25,$AV$7)),$AV$6,IF(OR(COUNTIF('1.연간시수표'!AE25,$AW$9),COUNTIF('1.연간시수표'!AE25,$AW$7)),$AW$6,IF(OR(COUNTIF('1.연간시수표'!AE25,$AX$9),COUNTIF('1.연간시수표'!AE25,$AX$7)),$AX$6,IF(OR(COUNTIF('1.연간시수표'!AE25,$AY$9),COUNTIF('1.연간시수표'!AE25,$AY$7)),$AY$6,IF(OR(COUNTIF('1.연간시수표'!AE25,$AZ$9),COUNTIF('1.연간시수표'!AE25,$AZ$7)),$AZ$6,IF(OR(COUNTIF('1.연간시수표'!AE25,$BA$9),COUNTIF('1.연간시수표'!AE25,$BA$7)),$BA$6,IF(OR(COUNTIF('1.연간시수표'!AE25,$BB$9),COUNTIF('1.연간시수표'!AE25,$BB$7)),$BB$6,IF(OR(COUNTIF('1.연간시수표'!AE25,$BC$9),COUNTIF('1.연간시수표'!AE25,$BC$7)),$BC$6,IF(OR(COUNTIF('1.연간시수표'!AE25,$BF$9),COUNTIF('1.연간시수표'!AE25,$BF$7),COUNTIF('1.연간시수표'!AE25,$BG$9),COUNTIF('1.연간시수표'!AE25,$BG$7),COUNTIF('1.연간시수표'!AE25,$BH$9),COUNTIF('1.연간시수표'!AE25,$BH$7),COUNTIF('1.연간시수표'!AE25,$BI$9),COUNTIF('1.연간시수표'!AE25,$BI$7),COUNTIF('1.연간시수표'!AE25,$BJ$9),COUNTIF('1.연간시수표'!AE25,$BJ$7),COUNTIF('1.연간시수표'!AE25,$BK$9),COUNTIF('1.연간시수표'!AE25,$BK$7),COUNTIF('1.연간시수표'!AE25,$BL$9),COUNTIF('1.연간시수표'!AE25,$BL$7),COUNTIF('1.연간시수표'!AE25,$BM$9),COUNTIF('1.연간시수표'!AE25,$BM$7)),$BF$6,IF(OR(COUNTIF('1.연간시수표'!AE25,$BO$9),COUNTIF('1.연간시수표'!AE25,$BO$7)),$BO$6,IF(OR(COUNTIF('1.연간시수표'!AE25,$BP$9),COUNTIF('1.연간시수표'!AE25,$BP$7)),$BP$6,IF(OR(COUNTIF('1.연간시수표'!AE25,$BQ$9),COUNTIF('1.연간시수표'!AE25,$BQ$7)),$BQ$6,IF(OR(COUNTIF('1.연간시수표'!AE25,$BR$9),COUNTIF('1.연간시수표'!AE25,$BR$7)),$BR$6,"_")))))))))))))))</f>
        <v>사회</v>
      </c>
      <c r="AF25" s="148" t="str">
        <f>IF(OR(COUNTIF('1.연간시수표'!AF25,$AT$9),COUNTIF('1.연간시수표'!AF25,$AT$7)),$AT$6,IF(OR(COUNTIF('1.연간시수표'!AF25,$AU$9),COUNTIF('1.연간시수표'!AF25,$AU$7)),$AU$6,IF(OR(COUNTIF('1.연간시수표'!AF25,$AV$9),COUNTIF('1.연간시수표'!AF25,$AV$7)),$AV$6,IF(OR(COUNTIF('1.연간시수표'!AF25,$AW$9),COUNTIF('1.연간시수표'!AF25,$AW$7)),$AW$6,IF(OR(COUNTIF('1.연간시수표'!AF25,$AX$9),COUNTIF('1.연간시수표'!AF25,$AX$7)),$AX$6,IF(OR(COUNTIF('1.연간시수표'!AF25,$AY$9),COUNTIF('1.연간시수표'!AF25,$AY$7)),$AY$6,IF(OR(COUNTIF('1.연간시수표'!AF25,$AZ$9),COUNTIF('1.연간시수표'!AF25,$AZ$7)),$AZ$6,IF(OR(COUNTIF('1.연간시수표'!AF25,$BA$9),COUNTIF('1.연간시수표'!AF25,$BA$7)),$BA$6,IF(OR(COUNTIF('1.연간시수표'!AF25,$BB$9),COUNTIF('1.연간시수표'!AF25,$BB$7)),$BB$6,IF(OR(COUNTIF('1.연간시수표'!AF25,$BC$9),COUNTIF('1.연간시수표'!AF25,$BC$7)),$BC$6,IF(OR(COUNTIF('1.연간시수표'!AF25,$BF$9),COUNTIF('1.연간시수표'!AF25,$BF$7),COUNTIF('1.연간시수표'!AF25,$BG$9),COUNTIF('1.연간시수표'!AF25,$BG$7),COUNTIF('1.연간시수표'!AF25,$BH$9),COUNTIF('1.연간시수표'!AF25,$BH$7),COUNTIF('1.연간시수표'!AF25,$BI$9),COUNTIF('1.연간시수표'!AF25,$BI$7),COUNTIF('1.연간시수표'!AF25,$BJ$9),COUNTIF('1.연간시수표'!AF25,$BJ$7),COUNTIF('1.연간시수표'!AF25,$BK$9),COUNTIF('1.연간시수표'!AF25,$BK$7),COUNTIF('1.연간시수표'!AF25,$BL$9),COUNTIF('1.연간시수표'!AF25,$BL$7),COUNTIF('1.연간시수표'!AF25,$BM$9),COUNTIF('1.연간시수표'!AF25,$BM$7)),$BF$6,IF(OR(COUNTIF('1.연간시수표'!AF25,$BO$9),COUNTIF('1.연간시수표'!AF25,$BO$7)),$BO$6,IF(OR(COUNTIF('1.연간시수표'!AF25,$BP$9),COUNTIF('1.연간시수표'!AF25,$BP$7)),$BP$6,IF(OR(COUNTIF('1.연간시수표'!AF25,$BQ$9),COUNTIF('1.연간시수표'!AF25,$BQ$7)),$BQ$6,IF(OR(COUNTIF('1.연간시수표'!AF25,$BR$9),COUNTIF('1.연간시수표'!AF25,$BR$7)),$BR$6,"_")))))))))))))))</f>
        <v>영어</v>
      </c>
      <c r="AG25" s="148" t="str">
        <f>IF(OR(COUNTIF('1.연간시수표'!AG25,$AT$9),COUNTIF('1.연간시수표'!AG25,$AT$7)),$AT$6,IF(OR(COUNTIF('1.연간시수표'!AG25,$AU$9),COUNTIF('1.연간시수표'!AG25,$AU$7)),$AU$6,IF(OR(COUNTIF('1.연간시수표'!AG25,$AV$9),COUNTIF('1.연간시수표'!AG25,$AV$7)),$AV$6,IF(OR(COUNTIF('1.연간시수표'!AG25,$AW$9),COUNTIF('1.연간시수표'!AG25,$AW$7)),$AW$6,IF(OR(COUNTIF('1.연간시수표'!AG25,$AX$9),COUNTIF('1.연간시수표'!AG25,$AX$7)),$AX$6,IF(OR(COUNTIF('1.연간시수표'!AG25,$AY$9),COUNTIF('1.연간시수표'!AG25,$AY$7)),$AY$6,IF(OR(COUNTIF('1.연간시수표'!AG25,$AZ$9),COUNTIF('1.연간시수표'!AG25,$AZ$7)),$AZ$6,IF(OR(COUNTIF('1.연간시수표'!AG25,$BA$9),COUNTIF('1.연간시수표'!AG25,$BA$7)),$BA$6,IF(OR(COUNTIF('1.연간시수표'!AG25,$BB$9),COUNTIF('1.연간시수표'!AG25,$BB$7)),$BB$6,IF(OR(COUNTIF('1.연간시수표'!AG25,$BC$9),COUNTIF('1.연간시수표'!AG25,$BC$7)),$BC$6,IF(OR(COUNTIF('1.연간시수표'!AG25,$BF$9),COUNTIF('1.연간시수표'!AG25,$BF$7),COUNTIF('1.연간시수표'!AG25,$BG$9),COUNTIF('1.연간시수표'!AG25,$BG$7),COUNTIF('1.연간시수표'!AG25,$BH$9),COUNTIF('1.연간시수표'!AG25,$BH$7),COUNTIF('1.연간시수표'!AG25,$BI$9),COUNTIF('1.연간시수표'!AG25,$BI$7),COUNTIF('1.연간시수표'!AG25,$BJ$9),COUNTIF('1.연간시수표'!AG25,$BJ$7),COUNTIF('1.연간시수표'!AG25,$BK$9),COUNTIF('1.연간시수표'!AG25,$BK$7),COUNTIF('1.연간시수표'!AG25,$BL$9),COUNTIF('1.연간시수표'!AG25,$BL$7),COUNTIF('1.연간시수표'!AG25,$BM$9),COUNTIF('1.연간시수표'!AG25,$BM$7)),$BF$6,IF(OR(COUNTIF('1.연간시수표'!AG25,$BO$9),COUNTIF('1.연간시수표'!AG25,$BO$7)),$BO$6,IF(OR(COUNTIF('1.연간시수표'!AG25,$BP$9),COUNTIF('1.연간시수표'!AG25,$BP$7)),$BP$6,IF(OR(COUNTIF('1.연간시수표'!AG25,$BQ$9),COUNTIF('1.연간시수표'!AG25,$BQ$7)),$BQ$6,IF(OR(COUNTIF('1.연간시수표'!AG25,$BR$9),COUNTIF('1.연간시수표'!AG25,$BR$7)),$BR$6,"_")))))))))))))))</f>
        <v>과학</v>
      </c>
      <c r="AH25" s="148" t="str">
        <f>IF(OR(COUNTIF('1.연간시수표'!AH25,$AT$9),COUNTIF('1.연간시수표'!AH25,$AT$7)),$AT$6,IF(OR(COUNTIF('1.연간시수표'!AH25,$AU$9),COUNTIF('1.연간시수표'!AH25,$AU$7)),$AU$6,IF(OR(COUNTIF('1.연간시수표'!AH25,$AV$9),COUNTIF('1.연간시수표'!AH25,$AV$7)),$AV$6,IF(OR(COUNTIF('1.연간시수표'!AH25,$AW$9),COUNTIF('1.연간시수표'!AH25,$AW$7)),$AW$6,IF(OR(COUNTIF('1.연간시수표'!AH25,$AX$9),COUNTIF('1.연간시수표'!AH25,$AX$7)),$AX$6,IF(OR(COUNTIF('1.연간시수표'!AH25,$AY$9),COUNTIF('1.연간시수표'!AH25,$AY$7)),$AY$6,IF(OR(COUNTIF('1.연간시수표'!AH25,$AZ$9),COUNTIF('1.연간시수표'!AH25,$AZ$7)),$AZ$6,IF(OR(COUNTIF('1.연간시수표'!AH25,$BA$9),COUNTIF('1.연간시수표'!AH25,$BA$7)),$BA$6,IF(OR(COUNTIF('1.연간시수표'!AH25,$BB$9),COUNTIF('1.연간시수표'!AH25,$BB$7)),$BB$6,IF(OR(COUNTIF('1.연간시수표'!AH25,$BC$9),COUNTIF('1.연간시수표'!AH25,$BC$7)),$BC$6,IF(OR(COUNTIF('1.연간시수표'!AH25,$BF$9),COUNTIF('1.연간시수표'!AH25,$BF$7),COUNTIF('1.연간시수표'!AH25,$BG$9),COUNTIF('1.연간시수표'!AH25,$BG$7),COUNTIF('1.연간시수표'!AH25,$BH$9),COUNTIF('1.연간시수표'!AH25,$BH$7),COUNTIF('1.연간시수표'!AH25,$BI$9),COUNTIF('1.연간시수표'!AH25,$BI$7),COUNTIF('1.연간시수표'!AH25,$BJ$9),COUNTIF('1.연간시수표'!AH25,$BJ$7),COUNTIF('1.연간시수표'!AH25,$BK$9),COUNTIF('1.연간시수표'!AH25,$BK$7),COUNTIF('1.연간시수표'!AH25,$BL$9),COUNTIF('1.연간시수표'!AH25,$BL$7),COUNTIF('1.연간시수표'!AH25,$BM$9),COUNTIF('1.연간시수표'!AH25,$BM$7)),$BF$6,IF(OR(COUNTIF('1.연간시수표'!AH25,$BO$9),COUNTIF('1.연간시수표'!AH25,$BO$7)),$BO$6,IF(OR(COUNTIF('1.연간시수표'!AH25,$BP$9),COUNTIF('1.연간시수표'!AH25,$BP$7)),$BP$6,IF(OR(COUNTIF('1.연간시수표'!AH25,$BQ$9),COUNTIF('1.연간시수표'!AH25,$BQ$7)),$BQ$6,IF(OR(COUNTIF('1.연간시수표'!AH25,$BR$9),COUNTIF('1.연간시수표'!AH25,$BR$7)),$BR$6,"_")))))))))))))))</f>
        <v>음악</v>
      </c>
      <c r="AI25" s="148" t="str">
        <f>IF(OR(COUNTIF('1.연간시수표'!AI25,$AT$9),COUNTIF('1.연간시수표'!AI25,$AT$7)),$AT$6,IF(OR(COUNTIF('1.연간시수표'!AI25,$AU$9),COUNTIF('1.연간시수표'!AI25,$AU$7)),$AU$6,IF(OR(COUNTIF('1.연간시수표'!AI25,$AV$9),COUNTIF('1.연간시수표'!AI25,$AV$7)),$AV$6,IF(OR(COUNTIF('1.연간시수표'!AI25,$AW$9),COUNTIF('1.연간시수표'!AI25,$AW$7)),$AW$6,IF(OR(COUNTIF('1.연간시수표'!AI25,$AX$9),COUNTIF('1.연간시수표'!AI25,$AX$7)),$AX$6,IF(OR(COUNTIF('1.연간시수표'!AI25,$AY$9),COUNTIF('1.연간시수표'!AI25,$AY$7)),$AY$6,IF(OR(COUNTIF('1.연간시수표'!AI25,$AZ$9),COUNTIF('1.연간시수표'!AI25,$AZ$7)),$AZ$6,IF(OR(COUNTIF('1.연간시수표'!AI25,$BA$9),COUNTIF('1.연간시수표'!AI25,$BA$7)),$BA$6,IF(OR(COUNTIF('1.연간시수표'!AI25,$BB$9),COUNTIF('1.연간시수표'!AI25,$BB$7)),$BB$6,IF(OR(COUNTIF('1.연간시수표'!AI25,$BC$9),COUNTIF('1.연간시수표'!AI25,$BC$7)),$BC$6,IF(OR(COUNTIF('1.연간시수표'!AI25,$BF$9),COUNTIF('1.연간시수표'!AI25,$BF$7),COUNTIF('1.연간시수표'!AI25,$BG$9),COUNTIF('1.연간시수표'!AI25,$BG$7),COUNTIF('1.연간시수표'!AI25,$BH$9),COUNTIF('1.연간시수표'!AI25,$BH$7),COUNTIF('1.연간시수표'!AI25,$BI$9),COUNTIF('1.연간시수표'!AI25,$BI$7),COUNTIF('1.연간시수표'!AI25,$BJ$9),COUNTIF('1.연간시수표'!AI25,$BJ$7),COUNTIF('1.연간시수표'!AI25,$BK$9),COUNTIF('1.연간시수표'!AI25,$BK$7),COUNTIF('1.연간시수표'!AI25,$BL$9),COUNTIF('1.연간시수표'!AI25,$BL$7),COUNTIF('1.연간시수표'!AI25,$BM$9),COUNTIF('1.연간시수표'!AI25,$BM$7)),$BF$6,IF(OR(COUNTIF('1.연간시수표'!AI25,$BO$9),COUNTIF('1.연간시수표'!AI25,$BO$7)),$BO$6,IF(OR(COUNTIF('1.연간시수표'!AI25,$BP$9),COUNTIF('1.연간시수표'!AI25,$BP$7)),$BP$6,IF(OR(COUNTIF('1.연간시수표'!AI25,$BQ$9),COUNTIF('1.연간시수표'!AI25,$BQ$7)),$BQ$6,IF(OR(COUNTIF('1.연간시수표'!AI25,$BR$9),COUNTIF('1.연간시수표'!AI25,$BR$7)),$BR$6,"_")))))))))))))))</f>
        <v>_</v>
      </c>
      <c r="AJ25" s="148" t="str">
        <f>IF(OR(COUNTIF('1.연간시수표'!AJ25,$AT$9),COUNTIF('1.연간시수표'!AJ25,$AT$7)),$AT$6,IF(OR(COUNTIF('1.연간시수표'!AJ25,$AU$9),COUNTIF('1.연간시수표'!AJ25,$AU$7)),$AU$6,IF(OR(COUNTIF('1.연간시수표'!AJ25,$AV$9),COUNTIF('1.연간시수표'!AJ25,$AV$7)),$AV$6,IF(OR(COUNTIF('1.연간시수표'!AJ25,$AW$9),COUNTIF('1.연간시수표'!AJ25,$AW$7)),$AW$6,IF(OR(COUNTIF('1.연간시수표'!AJ25,$AX$9),COUNTIF('1.연간시수표'!AJ25,$AX$7)),$AX$6,IF(OR(COUNTIF('1.연간시수표'!AJ25,$AY$9),COUNTIF('1.연간시수표'!AJ25,$AY$7)),$AY$6,IF(OR(COUNTIF('1.연간시수표'!AJ25,$AZ$9),COUNTIF('1.연간시수표'!AJ25,$AZ$7)),$AZ$6,IF(OR(COUNTIF('1.연간시수표'!AJ25,$BA$9),COUNTIF('1.연간시수표'!AJ25,$BA$7)),$BA$6,IF(OR(COUNTIF('1.연간시수표'!AJ25,$BB$9),COUNTIF('1.연간시수표'!AJ25,$BB$7)),$BB$6,IF(OR(COUNTIF('1.연간시수표'!AJ25,$BC$9),COUNTIF('1.연간시수표'!AJ25,$BC$7)),$BC$6,IF(OR(COUNTIF('1.연간시수표'!AJ25,$BF$9),COUNTIF('1.연간시수표'!AJ25,$BF$7),COUNTIF('1.연간시수표'!AJ25,$BG$9),COUNTIF('1.연간시수표'!AJ25,$BG$7),COUNTIF('1.연간시수표'!AJ25,$BH$9),COUNTIF('1.연간시수표'!AJ25,$BH$7),COUNTIF('1.연간시수표'!AJ25,$BI$9),COUNTIF('1.연간시수표'!AJ25,$BI$7),COUNTIF('1.연간시수표'!AJ25,$BJ$9),COUNTIF('1.연간시수표'!AJ25,$BJ$7),COUNTIF('1.연간시수표'!AJ25,$BK$9),COUNTIF('1.연간시수표'!AJ25,$BK$7),COUNTIF('1.연간시수표'!AJ25,$BL$9),COUNTIF('1.연간시수표'!AJ25,$BL$7),COUNTIF('1.연간시수표'!AJ25,$BM$9),COUNTIF('1.연간시수표'!AJ25,$BM$7)),$BF$6,IF(OR(COUNTIF('1.연간시수표'!AJ25,$BO$9),COUNTIF('1.연간시수표'!AJ25,$BO$7)),$BO$6,IF(OR(COUNTIF('1.연간시수표'!AJ25,$BP$9),COUNTIF('1.연간시수표'!AJ25,$BP$7)),$BP$6,IF(OR(COUNTIF('1.연간시수표'!AJ25,$BQ$9),COUNTIF('1.연간시수표'!AJ25,$BQ$7)),$BQ$6,IF(OR(COUNTIF('1.연간시수표'!AJ25,$BR$9),COUNTIF('1.연간시수표'!AJ25,$BR$7)),$BR$6,"_")))))))))))))))</f>
        <v>_</v>
      </c>
      <c r="AK25" s="148" t="str">
        <f>IF(OR(COUNTIF('1.연간시수표'!AK25,$AT$9),COUNTIF('1.연간시수표'!AK25,$AT$7)),$AT$6,IF(OR(COUNTIF('1.연간시수표'!AK25,$AU$9),COUNTIF('1.연간시수표'!AK25,$AU$7)),$AU$6,IF(OR(COUNTIF('1.연간시수표'!AK25,$AV$9),COUNTIF('1.연간시수표'!AK25,$AV$7)),$AV$6,IF(OR(COUNTIF('1.연간시수표'!AK25,$AW$9),COUNTIF('1.연간시수표'!AK25,$AW$7)),$AW$6,IF(OR(COUNTIF('1.연간시수표'!AK25,$AX$9),COUNTIF('1.연간시수표'!AK25,$AX$7)),$AX$6,IF(OR(COUNTIF('1.연간시수표'!AK25,$AY$9),COUNTIF('1.연간시수표'!AK25,$AY$7)),$AY$6,IF(OR(COUNTIF('1.연간시수표'!AK25,$AZ$9),COUNTIF('1.연간시수표'!AK25,$AZ$7)),$AZ$6,IF(OR(COUNTIF('1.연간시수표'!AK25,$BA$9),COUNTIF('1.연간시수표'!AK25,$BA$7)),$BA$6,IF(OR(COUNTIF('1.연간시수표'!AK25,$BB$9),COUNTIF('1.연간시수표'!AK25,$BB$7)),$BB$6,IF(OR(COUNTIF('1.연간시수표'!AK25,$BC$9),COUNTIF('1.연간시수표'!AK25,$BC$7)),$BC$6,IF(OR(COUNTIF('1.연간시수표'!AK25,$BF$9),COUNTIF('1.연간시수표'!AK25,$BF$7),COUNTIF('1.연간시수표'!AK25,$BG$9),COUNTIF('1.연간시수표'!AK25,$BG$7),COUNTIF('1.연간시수표'!AK25,$BH$9),COUNTIF('1.연간시수표'!AK25,$BH$7),COUNTIF('1.연간시수표'!AK25,$BI$9),COUNTIF('1.연간시수표'!AK25,$BI$7),COUNTIF('1.연간시수표'!AK25,$BJ$9),COUNTIF('1.연간시수표'!AK25,$BJ$7),COUNTIF('1.연간시수표'!AK25,$BK$9),COUNTIF('1.연간시수표'!AK25,$BK$7),COUNTIF('1.연간시수표'!AK25,$BL$9),COUNTIF('1.연간시수표'!AK25,$BL$7),COUNTIF('1.연간시수표'!AK25,$BM$9),COUNTIF('1.연간시수표'!AK25,$BM$7)),$BF$6,IF(OR(COUNTIF('1.연간시수표'!AK25,$BO$9),COUNTIF('1.연간시수표'!AK25,$BO$7)),$BO$6,IF(OR(COUNTIF('1.연간시수표'!AK25,$BP$9),COUNTIF('1.연간시수표'!AK25,$BP$7)),$BP$6,IF(OR(COUNTIF('1.연간시수표'!AK25,$BQ$9),COUNTIF('1.연간시수표'!AK25,$BQ$7)),$BQ$6,IF(OR(COUNTIF('1.연간시수표'!AK25,$BR$9),COUNTIF('1.연간시수표'!AK25,$BR$7)),$BR$6,"_")))))))))))))))</f>
        <v>자율활동</v>
      </c>
      <c r="AL25" s="148" t="str">
        <f>IF(OR(COUNTIF('1.연간시수표'!AL25,$AT$9),COUNTIF('1.연간시수표'!AL25,$AT$7)),$AT$6,IF(OR(COUNTIF('1.연간시수표'!AL25,$AU$9),COUNTIF('1.연간시수표'!AL25,$AU$7)),$AU$6,IF(OR(COUNTIF('1.연간시수표'!AL25,$AV$9),COUNTIF('1.연간시수표'!AL25,$AV$7)),$AV$6,IF(OR(COUNTIF('1.연간시수표'!AL25,$AW$9),COUNTIF('1.연간시수표'!AL25,$AW$7)),$AW$6,IF(OR(COUNTIF('1.연간시수표'!AL25,$AX$9),COUNTIF('1.연간시수표'!AL25,$AX$7)),$AX$6,IF(OR(COUNTIF('1.연간시수표'!AL25,$AY$9),COUNTIF('1.연간시수표'!AL25,$AY$7)),$AY$6,IF(OR(COUNTIF('1.연간시수표'!AL25,$AZ$9),COUNTIF('1.연간시수표'!AL25,$AZ$7)),$AZ$6,IF(OR(COUNTIF('1.연간시수표'!AL25,$BA$9),COUNTIF('1.연간시수표'!AL25,$BA$7)),$BA$6,IF(OR(COUNTIF('1.연간시수표'!AL25,$BB$9),COUNTIF('1.연간시수표'!AL25,$BB$7)),$BB$6,IF(OR(COUNTIF('1.연간시수표'!AL25,$BC$9),COUNTIF('1.연간시수표'!AL25,$BC$7)),$BC$6,IF(OR(COUNTIF('1.연간시수표'!AL25,$BF$9),COUNTIF('1.연간시수표'!AL25,$BF$7),COUNTIF('1.연간시수표'!AL25,$BG$9),COUNTIF('1.연간시수표'!AL25,$BG$7),COUNTIF('1.연간시수표'!AL25,$BH$9),COUNTIF('1.연간시수표'!AL25,$BH$7),COUNTIF('1.연간시수표'!AL25,$BI$9),COUNTIF('1.연간시수표'!AL25,$BI$7),COUNTIF('1.연간시수표'!AL25,$BJ$9),COUNTIF('1.연간시수표'!AL25,$BJ$7),COUNTIF('1.연간시수표'!AL25,$BK$9),COUNTIF('1.연간시수표'!AL25,$BK$7),COUNTIF('1.연간시수표'!AL25,$BL$9),COUNTIF('1.연간시수표'!AL25,$BL$7),COUNTIF('1.연간시수표'!AL25,$BM$9),COUNTIF('1.연간시수표'!AL25,$BM$7)),$BF$6,IF(OR(COUNTIF('1.연간시수표'!AL25,$BO$9),COUNTIF('1.연간시수표'!AL25,$BO$7)),$BO$6,IF(OR(COUNTIF('1.연간시수표'!AL25,$BP$9),COUNTIF('1.연간시수표'!AL25,$BP$7)),$BP$6,IF(OR(COUNTIF('1.연간시수표'!AL25,$BQ$9),COUNTIF('1.연간시수표'!AL25,$BQ$7)),$BQ$6,IF(OR(COUNTIF('1.연간시수표'!AL25,$BR$9),COUNTIF('1.연간시수표'!AL25,$BR$7)),$BR$6,"_")))))))))))))))</f>
        <v>체육</v>
      </c>
      <c r="AM25" s="148" t="str">
        <f>IF(OR(COUNTIF('1.연간시수표'!AM25,$AT$9),COUNTIF('1.연간시수표'!AM25,$AT$7)),$AT$6,IF(OR(COUNTIF('1.연간시수표'!AM25,$AU$9),COUNTIF('1.연간시수표'!AM25,$AU$7)),$AU$6,IF(OR(COUNTIF('1.연간시수표'!AM25,$AV$9),COUNTIF('1.연간시수표'!AM25,$AV$7)),$AV$6,IF(OR(COUNTIF('1.연간시수표'!AM25,$AW$9),COUNTIF('1.연간시수표'!AM25,$AW$7)),$AW$6,IF(OR(COUNTIF('1.연간시수표'!AM25,$AX$9),COUNTIF('1.연간시수표'!AM25,$AX$7)),$AX$6,IF(OR(COUNTIF('1.연간시수표'!AM25,$AY$9),COUNTIF('1.연간시수표'!AM25,$AY$7)),$AY$6,IF(OR(COUNTIF('1.연간시수표'!AM25,$AZ$9),COUNTIF('1.연간시수표'!AM25,$AZ$7)),$AZ$6,IF(OR(COUNTIF('1.연간시수표'!AM25,$BA$9),COUNTIF('1.연간시수표'!AM25,$BA$7)),$BA$6,IF(OR(COUNTIF('1.연간시수표'!AM25,$BB$9),COUNTIF('1.연간시수표'!AM25,$BB$7)),$BB$6,IF(OR(COUNTIF('1.연간시수표'!AM25,$BC$9),COUNTIF('1.연간시수표'!AM25,$BC$7)),$BC$6,IF(OR(COUNTIF('1.연간시수표'!AM25,$BF$9),COUNTIF('1.연간시수표'!AM25,$BF$7),COUNTIF('1.연간시수표'!AM25,$BG$9),COUNTIF('1.연간시수표'!AM25,$BG$7),COUNTIF('1.연간시수표'!AM25,$BH$9),COUNTIF('1.연간시수표'!AM25,$BH$7),COUNTIF('1.연간시수표'!AM25,$BI$9),COUNTIF('1.연간시수표'!AM25,$BI$7),COUNTIF('1.연간시수표'!AM25,$BJ$9),COUNTIF('1.연간시수표'!AM25,$BJ$7),COUNTIF('1.연간시수표'!AM25,$BK$9),COUNTIF('1.연간시수표'!AM25,$BK$7),COUNTIF('1.연간시수표'!AM25,$BL$9),COUNTIF('1.연간시수표'!AM25,$BL$7),COUNTIF('1.연간시수표'!AM25,$BM$9),COUNTIF('1.연간시수표'!AM25,$BM$7)),$BF$6,IF(OR(COUNTIF('1.연간시수표'!AM25,$BO$9),COUNTIF('1.연간시수표'!AM25,$BO$7)),$BO$6,IF(OR(COUNTIF('1.연간시수표'!AM25,$BP$9),COUNTIF('1.연간시수표'!AM25,$BP$7)),$BP$6,IF(OR(COUNTIF('1.연간시수표'!AM25,$BQ$9),COUNTIF('1.연간시수표'!AM25,$BQ$7)),$BQ$6,IF(OR(COUNTIF('1.연간시수표'!AM25,$BR$9),COUNTIF('1.연간시수표'!AM25,$BR$7)),$BR$6,"_")))))))))))))))</f>
        <v>수학</v>
      </c>
      <c r="AN25" s="148" t="str">
        <f>IF(OR(COUNTIF('1.연간시수표'!AN25,$AT$9),COUNTIF('1.연간시수표'!AN25,$AT$7)),$AT$6,IF(OR(COUNTIF('1.연간시수표'!AN25,$AU$9),COUNTIF('1.연간시수표'!AN25,$AU$7)),$AU$6,IF(OR(COUNTIF('1.연간시수표'!AN25,$AV$9),COUNTIF('1.연간시수표'!AN25,$AV$7)),$AV$6,IF(OR(COUNTIF('1.연간시수표'!AN25,$AW$9),COUNTIF('1.연간시수표'!AN25,$AW$7)),$AW$6,IF(OR(COUNTIF('1.연간시수표'!AN25,$AX$9),COUNTIF('1.연간시수표'!AN25,$AX$7)),$AX$6,IF(OR(COUNTIF('1.연간시수표'!AN25,$AY$9),COUNTIF('1.연간시수표'!AN25,$AY$7)),$AY$6,IF(OR(COUNTIF('1.연간시수표'!AN25,$AZ$9),COUNTIF('1.연간시수표'!AN25,$AZ$7)),$AZ$6,IF(OR(COUNTIF('1.연간시수표'!AN25,$BA$9),COUNTIF('1.연간시수표'!AN25,$BA$7)),$BA$6,IF(OR(COUNTIF('1.연간시수표'!AN25,$BB$9),COUNTIF('1.연간시수표'!AN25,$BB$7)),$BB$6,IF(OR(COUNTIF('1.연간시수표'!AN25,$BC$9),COUNTIF('1.연간시수표'!AN25,$BC$7)),$BC$6,IF(OR(COUNTIF('1.연간시수표'!AN25,$BF$9),COUNTIF('1.연간시수표'!AN25,$BF$7),COUNTIF('1.연간시수표'!AN25,$BG$9),COUNTIF('1.연간시수표'!AN25,$BG$7),COUNTIF('1.연간시수표'!AN25,$BH$9),COUNTIF('1.연간시수표'!AN25,$BH$7),COUNTIF('1.연간시수표'!AN25,$BI$9),COUNTIF('1.연간시수표'!AN25,$BI$7),COUNTIF('1.연간시수표'!AN25,$BJ$9),COUNTIF('1.연간시수표'!AN25,$BJ$7),COUNTIF('1.연간시수표'!AN25,$BK$9),COUNTIF('1.연간시수표'!AN25,$BK$7),COUNTIF('1.연간시수표'!AN25,$BL$9),COUNTIF('1.연간시수표'!AN25,$BL$7),COUNTIF('1.연간시수표'!AN25,$BM$9),COUNTIF('1.연간시수표'!AN25,$BM$7)),$BF$6,IF(OR(COUNTIF('1.연간시수표'!AN25,$BO$9),COUNTIF('1.연간시수표'!AN25,$BO$7)),$BO$6,IF(OR(COUNTIF('1.연간시수표'!AN25,$BP$9),COUNTIF('1.연간시수표'!AN25,$BP$7)),$BP$6,IF(OR(COUNTIF('1.연간시수표'!AN25,$BQ$9),COUNTIF('1.연간시수표'!AN25,$BQ$7)),$BQ$6,IF(OR(COUNTIF('1.연간시수표'!AN25,$BR$9),COUNTIF('1.연간시수표'!AN25,$BR$7)),$BR$6,"_")))))))))))))))</f>
        <v>국어</v>
      </c>
      <c r="AO25" s="148" t="str">
        <f>IF(OR(COUNTIF('1.연간시수표'!AO25,$AT$9),COUNTIF('1.연간시수표'!AO25,$AT$7)),$AT$6,IF(OR(COUNTIF('1.연간시수표'!AO25,$AU$9),COUNTIF('1.연간시수표'!AO25,$AU$7)),$AU$6,IF(OR(COUNTIF('1.연간시수표'!AO25,$AV$9),COUNTIF('1.연간시수표'!AO25,$AV$7)),$AV$6,IF(OR(COUNTIF('1.연간시수표'!AO25,$AW$9),COUNTIF('1.연간시수표'!AO25,$AW$7)),$AW$6,IF(OR(COUNTIF('1.연간시수표'!AO25,$AX$9),COUNTIF('1.연간시수표'!AO25,$AX$7)),$AX$6,IF(OR(COUNTIF('1.연간시수표'!AO25,$AY$9),COUNTIF('1.연간시수표'!AO25,$AY$7)),$AY$6,IF(OR(COUNTIF('1.연간시수표'!AO25,$AZ$9),COUNTIF('1.연간시수표'!AO25,$AZ$7)),$AZ$6,IF(OR(COUNTIF('1.연간시수표'!AO25,$BA$9),COUNTIF('1.연간시수표'!AO25,$BA$7)),$BA$6,IF(OR(COUNTIF('1.연간시수표'!AO25,$BB$9),COUNTIF('1.연간시수표'!AO25,$BB$7)),$BB$6,IF(OR(COUNTIF('1.연간시수표'!AO25,$BC$9),COUNTIF('1.연간시수표'!AO25,$BC$7)),$BC$6,IF(OR(COUNTIF('1.연간시수표'!AO25,$BF$9),COUNTIF('1.연간시수표'!AO25,$BF$7),COUNTIF('1.연간시수표'!AO25,$BG$9),COUNTIF('1.연간시수표'!AO25,$BG$7),COUNTIF('1.연간시수표'!AO25,$BH$9),COUNTIF('1.연간시수표'!AO25,$BH$7),COUNTIF('1.연간시수표'!AO25,$BI$9),COUNTIF('1.연간시수표'!AO25,$BI$7),COUNTIF('1.연간시수표'!AO25,$BJ$9),COUNTIF('1.연간시수표'!AO25,$BJ$7),COUNTIF('1.연간시수표'!AO25,$BK$9),COUNTIF('1.연간시수표'!AO25,$BK$7),COUNTIF('1.연간시수표'!AO25,$BL$9),COUNTIF('1.연간시수표'!AO25,$BL$7),COUNTIF('1.연간시수표'!AO25,$BM$9),COUNTIF('1.연간시수표'!AO25,$BM$7)),$BF$6,IF(OR(COUNTIF('1.연간시수표'!AO25,$BO$9),COUNTIF('1.연간시수표'!AO25,$BO$7)),$BO$6,IF(OR(COUNTIF('1.연간시수표'!AO25,$BP$9),COUNTIF('1.연간시수표'!AO25,$BP$7)),$BP$6,IF(OR(COUNTIF('1.연간시수표'!AO25,$BQ$9),COUNTIF('1.연간시수표'!AO25,$BQ$7)),$BQ$6,IF(OR(COUNTIF('1.연간시수표'!AO25,$BR$9),COUNTIF('1.연간시수표'!AO25,$BR$7)),$BR$6,"_")))))))))))))))</f>
        <v>사회</v>
      </c>
      <c r="AP25" s="148" t="str">
        <f>IF(OR(COUNTIF('1.연간시수표'!AP25,$AT$9),COUNTIF('1.연간시수표'!AP25,$AT$7)),$AT$6,IF(OR(COUNTIF('1.연간시수표'!AP25,$AU$9),COUNTIF('1.연간시수표'!AP25,$AU$7)),$AU$6,IF(OR(COUNTIF('1.연간시수표'!AP25,$AV$9),COUNTIF('1.연간시수표'!AP25,$AV$7)),$AV$6,IF(OR(COUNTIF('1.연간시수표'!AP25,$AW$9),COUNTIF('1.연간시수표'!AP25,$AW$7)),$AW$6,IF(OR(COUNTIF('1.연간시수표'!AP25,$AX$9),COUNTIF('1.연간시수표'!AP25,$AX$7)),$AX$6,IF(OR(COUNTIF('1.연간시수표'!AP25,$AY$9),COUNTIF('1.연간시수표'!AP25,$AY$7)),$AY$6,IF(OR(COUNTIF('1.연간시수표'!AP25,$AZ$9),COUNTIF('1.연간시수표'!AP25,$AZ$7)),$AZ$6,IF(OR(COUNTIF('1.연간시수표'!AP25,$BA$9),COUNTIF('1.연간시수표'!AP25,$BA$7)),$BA$6,IF(OR(COUNTIF('1.연간시수표'!AP25,$BB$9),COUNTIF('1.연간시수표'!AP25,$BB$7)),$BB$6,IF(OR(COUNTIF('1.연간시수표'!AP25,$BC$9),COUNTIF('1.연간시수표'!AP25,$BC$7)),$BC$6,IF(OR(COUNTIF('1.연간시수표'!AP25,$BF$9),COUNTIF('1.연간시수표'!AP25,$BF$7),COUNTIF('1.연간시수표'!AP25,$BG$9),COUNTIF('1.연간시수표'!AP25,$BG$7),COUNTIF('1.연간시수표'!AP25,$BH$9),COUNTIF('1.연간시수표'!AP25,$BH$7),COUNTIF('1.연간시수표'!AP25,$BI$9),COUNTIF('1.연간시수표'!AP25,$BI$7),COUNTIF('1.연간시수표'!AP25,$BJ$9),COUNTIF('1.연간시수표'!AP25,$BJ$7),COUNTIF('1.연간시수표'!AP25,$BK$9),COUNTIF('1.연간시수표'!AP25,$BK$7),COUNTIF('1.연간시수표'!AP25,$BL$9),COUNTIF('1.연간시수표'!AP25,$BL$7),COUNTIF('1.연간시수표'!AP25,$BM$9),COUNTIF('1.연간시수표'!AP25,$BM$7)),$BF$6,IF(OR(COUNTIF('1.연간시수표'!AP25,$BO$9),COUNTIF('1.연간시수표'!AP25,$BO$7)),$BO$6,IF(OR(COUNTIF('1.연간시수표'!AP25,$BP$9),COUNTIF('1.연간시수표'!AP25,$BP$7)),$BP$6,IF(OR(COUNTIF('1.연간시수표'!AP25,$BQ$9),COUNTIF('1.연간시수표'!AP25,$BQ$7)),$BQ$6,IF(OR(COUNTIF('1.연간시수표'!AP25,$BR$9),COUNTIF('1.연간시수표'!AP25,$BR$7)),$BR$6,"_")))))))))))))))</f>
        <v>실과</v>
      </c>
      <c r="AQ25" s="148" t="str">
        <f>IF(OR(COUNTIF('1.연간시수표'!AQ25,$AT$9),COUNTIF('1.연간시수표'!AQ25,$AT$7)),$AT$6,IF(OR(COUNTIF('1.연간시수표'!AQ25,$AU$9),COUNTIF('1.연간시수표'!AQ25,$AU$7)),$AU$6,IF(OR(COUNTIF('1.연간시수표'!AQ25,$AV$9),COUNTIF('1.연간시수표'!AQ25,$AV$7)),$AV$6,IF(OR(COUNTIF('1.연간시수표'!AQ25,$AW$9),COUNTIF('1.연간시수표'!AQ25,$AW$7)),$AW$6,IF(OR(COUNTIF('1.연간시수표'!AQ25,$AX$9),COUNTIF('1.연간시수표'!AQ25,$AX$7)),$AX$6,IF(OR(COUNTIF('1.연간시수표'!AQ25,$AY$9),COUNTIF('1.연간시수표'!AQ25,$AY$7)),$AY$6,IF(OR(COUNTIF('1.연간시수표'!AQ25,$AZ$9),COUNTIF('1.연간시수표'!AQ25,$AZ$7)),$AZ$6,IF(OR(COUNTIF('1.연간시수표'!AQ25,$BA$9),COUNTIF('1.연간시수표'!AQ25,$BA$7)),$BA$6,IF(OR(COUNTIF('1.연간시수표'!AQ25,$BB$9),COUNTIF('1.연간시수표'!AQ25,$BB$7)),$BB$6,IF(OR(COUNTIF('1.연간시수표'!AQ25,$BC$9),COUNTIF('1.연간시수표'!AQ25,$BC$7)),$BC$6,IF(OR(COUNTIF('1.연간시수표'!AQ25,$BF$9),COUNTIF('1.연간시수표'!AQ25,$BF$7),COUNTIF('1.연간시수표'!AQ25,$BG$9),COUNTIF('1.연간시수표'!AQ25,$BG$7),COUNTIF('1.연간시수표'!AQ25,$BH$9),COUNTIF('1.연간시수표'!AQ25,$BH$7),COUNTIF('1.연간시수표'!AQ25,$BI$9),COUNTIF('1.연간시수표'!AQ25,$BI$7),COUNTIF('1.연간시수표'!AQ25,$BJ$9),COUNTIF('1.연간시수표'!AQ25,$BJ$7),COUNTIF('1.연간시수표'!AQ25,$BK$9),COUNTIF('1.연간시수표'!AQ25,$BK$7),COUNTIF('1.연간시수표'!AQ25,$BL$9),COUNTIF('1.연간시수표'!AQ25,$BL$7),COUNTIF('1.연간시수표'!AQ25,$BM$9),COUNTIF('1.연간시수표'!AQ25,$BM$7)),$BF$6,IF(OR(COUNTIF('1.연간시수표'!AQ25,$BO$9),COUNTIF('1.연간시수표'!AQ25,$BO$7)),$BO$6,IF(OR(COUNTIF('1.연간시수표'!AQ25,$BP$9),COUNTIF('1.연간시수표'!AQ25,$BP$7)),$BP$6,IF(OR(COUNTIF('1.연간시수표'!AQ25,$BQ$9),COUNTIF('1.연간시수표'!AQ25,$BQ$7)),$BQ$6,IF(OR(COUNTIF('1.연간시수표'!AQ25,$BR$9),COUNTIF('1.연간시수표'!AQ25,$BR$7)),$BR$6,"_")))))))))))))))</f>
        <v>_</v>
      </c>
      <c r="AR25" s="148" t="str">
        <f>IF(OR(COUNTIF('1.연간시수표'!AR25,$AT$9),COUNTIF('1.연간시수표'!AR25,$AT$7)),$AT$6,IF(OR(COUNTIF('1.연간시수표'!AR25,$AU$9),COUNTIF('1.연간시수표'!AR25,$AU$7)),$AU$6,IF(OR(COUNTIF('1.연간시수표'!AR25,$AV$9),COUNTIF('1.연간시수표'!AR25,$AV$7)),$AV$6,IF(OR(COUNTIF('1.연간시수표'!AR25,$AW$9),COUNTIF('1.연간시수표'!AR25,$AW$7)),$AW$6,IF(OR(COUNTIF('1.연간시수표'!AR25,$AX$9),COUNTIF('1.연간시수표'!AR25,$AX$7)),$AX$6,IF(OR(COUNTIF('1.연간시수표'!AR25,$AY$9),COUNTIF('1.연간시수표'!AR25,$AY$7)),$AY$6,IF(OR(COUNTIF('1.연간시수표'!AR25,$AZ$9),COUNTIF('1.연간시수표'!AR25,$AZ$7)),$AZ$6,IF(OR(COUNTIF('1.연간시수표'!AR25,$BA$9),COUNTIF('1.연간시수표'!AR25,$BA$7)),$BA$6,IF(OR(COUNTIF('1.연간시수표'!AR25,$BB$9),COUNTIF('1.연간시수표'!AR25,$BB$7)),$BB$6,IF(OR(COUNTIF('1.연간시수표'!AR25,$BC$9),COUNTIF('1.연간시수표'!AR25,$BC$7)),$BC$6,IF(OR(COUNTIF('1.연간시수표'!AR25,$BF$9),COUNTIF('1.연간시수표'!AR25,$BF$7),COUNTIF('1.연간시수표'!AR25,$BG$9),COUNTIF('1.연간시수표'!AR25,$BG$7),COUNTIF('1.연간시수표'!AR25,$BH$9),COUNTIF('1.연간시수표'!AR25,$BH$7),COUNTIF('1.연간시수표'!AR25,$BI$9),COUNTIF('1.연간시수표'!AR25,$BI$7),COUNTIF('1.연간시수표'!AR25,$BJ$9),COUNTIF('1.연간시수표'!AR25,$BJ$7),COUNTIF('1.연간시수표'!AR25,$BK$9),COUNTIF('1.연간시수표'!AR25,$BK$7),COUNTIF('1.연간시수표'!AR25,$BL$9),COUNTIF('1.연간시수표'!AR25,$BL$7),COUNTIF('1.연간시수표'!AR25,$BM$9),COUNTIF('1.연간시수표'!AR25,$BM$7)),$BF$6,IF(OR(COUNTIF('1.연간시수표'!AR25,$BO$9),COUNTIF('1.연간시수표'!AR25,$BO$7)),$BO$6,IF(OR(COUNTIF('1.연간시수표'!AR25,$BP$9),COUNTIF('1.연간시수표'!AR25,$BP$7)),$BP$6,IF(OR(COUNTIF('1.연간시수표'!AR25,$BQ$9),COUNTIF('1.연간시수표'!AR25,$BQ$7)),$BQ$6,IF(OR(COUNTIF('1.연간시수표'!AR25,$BR$9),COUNTIF('1.연간시수표'!AR25,$BR$7)),$BR$6,"_")))))))))))))))</f>
        <v>_</v>
      </c>
      <c r="BU25" s="142" t="str">
        <f>BP6</f>
        <v>봉사활동</v>
      </c>
      <c r="BV25" s="142" t="str">
        <f t="shared" si="0"/>
        <v>봉사활동</v>
      </c>
    </row>
    <row r="26" spans="2:74">
      <c r="B26" s="6"/>
      <c r="C26" s="79">
        <f>'1.연간시수표'!C26</f>
        <v>17</v>
      </c>
      <c r="D26" s="3"/>
      <c r="E26" s="148" t="str">
        <f>IF(OR(COUNTIF('1.연간시수표'!E26,$AT$9),COUNTIF('1.연간시수표'!E26,$AT$7)),$AT$6,IF(OR(COUNTIF('1.연간시수표'!E26,$AU$9),COUNTIF('1.연간시수표'!E26,$AU$7)),$AU$6,IF(OR(COUNTIF('1.연간시수표'!E26,$AV$9),COUNTIF('1.연간시수표'!E26,$AV$7)),$AV$6,IF(OR(COUNTIF('1.연간시수표'!E26,$AW$9),COUNTIF('1.연간시수표'!E26,$AW$7)),$AW$6,IF(OR(COUNTIF('1.연간시수표'!E26,$AX$9),COUNTIF('1.연간시수표'!E26,$AX$7)),$AX$6,IF(OR(COUNTIF('1.연간시수표'!E26,$AY$9),COUNTIF('1.연간시수표'!E26,$AY$7)),$AY$6,IF(OR(COUNTIF('1.연간시수표'!E26,$AZ$9),COUNTIF('1.연간시수표'!E26,$AZ$7)),$AZ$6,IF(OR(COUNTIF('1.연간시수표'!E26,$BA$9),COUNTIF('1.연간시수표'!E26,$BA$7)),$BA$6,IF(OR(COUNTIF('1.연간시수표'!E26,$BB$9),COUNTIF('1.연간시수표'!E26,$BB$7)),$BB$6,IF(OR(COUNTIF('1.연간시수표'!E26,$BC$9),COUNTIF('1.연간시수표'!E26,$BC$7)),$BC$6,IF(OR(COUNTIF('1.연간시수표'!E26,$BF$9),COUNTIF('1.연간시수표'!E26,$BF$7),COUNTIF('1.연간시수표'!E26,$BG$9),COUNTIF('1.연간시수표'!E26,$BG$7),COUNTIF('1.연간시수표'!E26,$BH$9),COUNTIF('1.연간시수표'!E26,$BH$7),COUNTIF('1.연간시수표'!E26,$BI$9),COUNTIF('1.연간시수표'!E26,$BI$7),COUNTIF('1.연간시수표'!E26,$BJ$9),COUNTIF('1.연간시수표'!E26,$BJ$7),COUNTIF('1.연간시수표'!E26,$BK$9),COUNTIF('1.연간시수표'!E26,$BK$7),COUNTIF('1.연간시수표'!E26,$BL$9),COUNTIF('1.연간시수표'!E26,$BL$7),COUNTIF('1.연간시수표'!E26,$BM$9),COUNTIF('1.연간시수표'!E26,$BM$7)),$BF$6,IF(OR(COUNTIF('1.연간시수표'!E26,$BO$9),COUNTIF('1.연간시수표'!E26,$BO$7)),$BO$6,IF(OR(COUNTIF('1.연간시수표'!E26,$BP$9),COUNTIF('1.연간시수표'!E26,$BP$7)),$BP$6,IF(OR(COUNTIF('1.연간시수표'!E26,$BQ$9),COUNTIF('1.연간시수표'!E26,$BQ$7)),$BQ$6,IF(OR(COUNTIF('1.연간시수표'!E26,$BR$9),COUNTIF('1.연간시수표'!E26,$BR$7)),$BR$6,"_")))))))))))))))</f>
        <v>국어</v>
      </c>
      <c r="F26" s="148" t="str">
        <f>IF(OR(COUNTIF('1.연간시수표'!F26,$AT$9),COUNTIF('1.연간시수표'!F26,$AT$7)),$AT$6,IF(OR(COUNTIF('1.연간시수표'!F26,$AU$9),COUNTIF('1.연간시수표'!F26,$AU$7)),$AU$6,IF(OR(COUNTIF('1.연간시수표'!F26,$AV$9),COUNTIF('1.연간시수표'!F26,$AV$7)),$AV$6,IF(OR(COUNTIF('1.연간시수표'!F26,$AW$9),COUNTIF('1.연간시수표'!F26,$AW$7)),$AW$6,IF(OR(COUNTIF('1.연간시수표'!F26,$AX$9),COUNTIF('1.연간시수표'!F26,$AX$7)),$AX$6,IF(OR(COUNTIF('1.연간시수표'!F26,$AY$9),COUNTIF('1.연간시수표'!F26,$AY$7)),$AY$6,IF(OR(COUNTIF('1.연간시수표'!F26,$AZ$9),COUNTIF('1.연간시수표'!F26,$AZ$7)),$AZ$6,IF(OR(COUNTIF('1.연간시수표'!F26,$BA$9),COUNTIF('1.연간시수표'!F26,$BA$7)),$BA$6,IF(OR(COUNTIF('1.연간시수표'!F26,$BB$9),COUNTIF('1.연간시수표'!F26,$BB$7)),$BB$6,IF(OR(COUNTIF('1.연간시수표'!F26,$BC$9),COUNTIF('1.연간시수표'!F26,$BC$7)),$BC$6,IF(OR(COUNTIF('1.연간시수표'!F26,$BF$9),COUNTIF('1.연간시수표'!F26,$BF$7),COUNTIF('1.연간시수표'!F26,$BG$9),COUNTIF('1.연간시수표'!F26,$BG$7),COUNTIF('1.연간시수표'!F26,$BH$9),COUNTIF('1.연간시수표'!F26,$BH$7),COUNTIF('1.연간시수표'!F26,$BI$9),COUNTIF('1.연간시수표'!F26,$BI$7),COUNTIF('1.연간시수표'!F26,$BJ$9),COUNTIF('1.연간시수표'!F26,$BJ$7),COUNTIF('1.연간시수표'!F26,$BK$9),COUNTIF('1.연간시수표'!F26,$BK$7),COUNTIF('1.연간시수표'!F26,$BL$9),COUNTIF('1.연간시수표'!F26,$BL$7),COUNTIF('1.연간시수표'!F26,$BM$9),COUNTIF('1.연간시수표'!F26,$BM$7)),$BF$6,IF(OR(COUNTIF('1.연간시수표'!F26,$BO$9),COUNTIF('1.연간시수표'!F26,$BO$7)),$BO$6,IF(OR(COUNTIF('1.연간시수표'!F26,$BP$9),COUNTIF('1.연간시수표'!F26,$BP$7)),$BP$6,IF(OR(COUNTIF('1.연간시수표'!F26,$BQ$9),COUNTIF('1.연간시수표'!F26,$BQ$7)),$BQ$6,IF(OR(COUNTIF('1.연간시수표'!F26,$BR$9),COUNTIF('1.연간시수표'!F26,$BR$7)),$BR$6,"_")))))))))))))))</f>
        <v>미술</v>
      </c>
      <c r="G26" s="148" t="str">
        <f>IF(OR(COUNTIF('1.연간시수표'!G26,$AT$9),COUNTIF('1.연간시수표'!G26,$AT$7)),$AT$6,IF(OR(COUNTIF('1.연간시수표'!G26,$AU$9),COUNTIF('1.연간시수표'!G26,$AU$7)),$AU$6,IF(OR(COUNTIF('1.연간시수표'!G26,$AV$9),COUNTIF('1.연간시수표'!G26,$AV$7)),$AV$6,IF(OR(COUNTIF('1.연간시수표'!G26,$AW$9),COUNTIF('1.연간시수표'!G26,$AW$7)),$AW$6,IF(OR(COUNTIF('1.연간시수표'!G26,$AX$9),COUNTIF('1.연간시수표'!G26,$AX$7)),$AX$6,IF(OR(COUNTIF('1.연간시수표'!G26,$AY$9),COUNTIF('1.연간시수표'!G26,$AY$7)),$AY$6,IF(OR(COUNTIF('1.연간시수표'!G26,$AZ$9),COUNTIF('1.연간시수표'!G26,$AZ$7)),$AZ$6,IF(OR(COUNTIF('1.연간시수표'!G26,$BA$9),COUNTIF('1.연간시수표'!G26,$BA$7)),$BA$6,IF(OR(COUNTIF('1.연간시수표'!G26,$BB$9),COUNTIF('1.연간시수표'!G26,$BB$7)),$BB$6,IF(OR(COUNTIF('1.연간시수표'!G26,$BC$9),COUNTIF('1.연간시수표'!G26,$BC$7)),$BC$6,IF(OR(COUNTIF('1.연간시수표'!G26,$BF$9),COUNTIF('1.연간시수표'!G26,$BF$7),COUNTIF('1.연간시수표'!G26,$BG$9),COUNTIF('1.연간시수표'!G26,$BG$7),COUNTIF('1.연간시수표'!G26,$BH$9),COUNTIF('1.연간시수표'!G26,$BH$7),COUNTIF('1.연간시수표'!G26,$BI$9),COUNTIF('1.연간시수표'!G26,$BI$7),COUNTIF('1.연간시수표'!G26,$BJ$9),COUNTIF('1.연간시수표'!G26,$BJ$7),COUNTIF('1.연간시수표'!G26,$BK$9),COUNTIF('1.연간시수표'!G26,$BK$7),COUNTIF('1.연간시수표'!G26,$BL$9),COUNTIF('1.연간시수표'!G26,$BL$7),COUNTIF('1.연간시수표'!G26,$BM$9),COUNTIF('1.연간시수표'!G26,$BM$7)),$BF$6,IF(OR(COUNTIF('1.연간시수표'!G26,$BO$9),COUNTIF('1.연간시수표'!G26,$BO$7)),$BO$6,IF(OR(COUNTIF('1.연간시수표'!G26,$BP$9),COUNTIF('1.연간시수표'!G26,$BP$7)),$BP$6,IF(OR(COUNTIF('1.연간시수표'!G26,$BQ$9),COUNTIF('1.연간시수표'!G26,$BQ$7)),$BQ$6,IF(OR(COUNTIF('1.연간시수표'!G26,$BR$9),COUNTIF('1.연간시수표'!G26,$BR$7)),$BR$6,"_")))))))))))))))</f>
        <v>미술</v>
      </c>
      <c r="H26" s="148" t="str">
        <f>IF(OR(COUNTIF('1.연간시수표'!H26,$AT$9),COUNTIF('1.연간시수표'!H26,$AT$7)),$AT$6,IF(OR(COUNTIF('1.연간시수표'!H26,$AU$9),COUNTIF('1.연간시수표'!H26,$AU$7)),$AU$6,IF(OR(COUNTIF('1.연간시수표'!H26,$AV$9),COUNTIF('1.연간시수표'!H26,$AV$7)),$AV$6,IF(OR(COUNTIF('1.연간시수표'!H26,$AW$9),COUNTIF('1.연간시수표'!H26,$AW$7)),$AW$6,IF(OR(COUNTIF('1.연간시수표'!H26,$AX$9),COUNTIF('1.연간시수표'!H26,$AX$7)),$AX$6,IF(OR(COUNTIF('1.연간시수표'!H26,$AY$9),COUNTIF('1.연간시수표'!H26,$AY$7)),$AY$6,IF(OR(COUNTIF('1.연간시수표'!H26,$AZ$9),COUNTIF('1.연간시수표'!H26,$AZ$7)),$AZ$6,IF(OR(COUNTIF('1.연간시수표'!H26,$BA$9),COUNTIF('1.연간시수표'!H26,$BA$7)),$BA$6,IF(OR(COUNTIF('1.연간시수표'!H26,$BB$9),COUNTIF('1.연간시수표'!H26,$BB$7)),$BB$6,IF(OR(COUNTIF('1.연간시수표'!H26,$BC$9),COUNTIF('1.연간시수표'!H26,$BC$7)),$BC$6,IF(OR(COUNTIF('1.연간시수표'!H26,$BF$9),COUNTIF('1.연간시수표'!H26,$BF$7),COUNTIF('1.연간시수표'!H26,$BG$9),COUNTIF('1.연간시수표'!H26,$BG$7),COUNTIF('1.연간시수표'!H26,$BH$9),COUNTIF('1.연간시수표'!H26,$BH$7),COUNTIF('1.연간시수표'!H26,$BI$9),COUNTIF('1.연간시수표'!H26,$BI$7),COUNTIF('1.연간시수표'!H26,$BJ$9),COUNTIF('1.연간시수표'!H26,$BJ$7),COUNTIF('1.연간시수표'!H26,$BK$9),COUNTIF('1.연간시수표'!H26,$BK$7),COUNTIF('1.연간시수표'!H26,$BL$9),COUNTIF('1.연간시수표'!H26,$BL$7),COUNTIF('1.연간시수표'!H26,$BM$9),COUNTIF('1.연간시수표'!H26,$BM$7)),$BF$6,IF(OR(COUNTIF('1.연간시수표'!H26,$BO$9),COUNTIF('1.연간시수표'!H26,$BO$7)),$BO$6,IF(OR(COUNTIF('1.연간시수표'!H26,$BP$9),COUNTIF('1.연간시수표'!H26,$BP$7)),$BP$6,IF(OR(COUNTIF('1.연간시수표'!H26,$BQ$9),COUNTIF('1.연간시수표'!H26,$BQ$7)),$BQ$6,IF(OR(COUNTIF('1.연간시수표'!H26,$BR$9),COUNTIF('1.연간시수표'!H26,$BR$7)),$BR$6,"_")))))))))))))))</f>
        <v>영어</v>
      </c>
      <c r="I26" s="148" t="str">
        <f>IF(OR(COUNTIF('1.연간시수표'!I26,$AT$9),COUNTIF('1.연간시수표'!I26,$AT$7)),$AT$6,IF(OR(COUNTIF('1.연간시수표'!I26,$AU$9),COUNTIF('1.연간시수표'!I26,$AU$7)),$AU$6,IF(OR(COUNTIF('1.연간시수표'!I26,$AV$9),COUNTIF('1.연간시수표'!I26,$AV$7)),$AV$6,IF(OR(COUNTIF('1.연간시수표'!I26,$AW$9),COUNTIF('1.연간시수표'!I26,$AW$7)),$AW$6,IF(OR(COUNTIF('1.연간시수표'!I26,$AX$9),COUNTIF('1.연간시수표'!I26,$AX$7)),$AX$6,IF(OR(COUNTIF('1.연간시수표'!I26,$AY$9),COUNTIF('1.연간시수표'!I26,$AY$7)),$AY$6,IF(OR(COUNTIF('1.연간시수표'!I26,$AZ$9),COUNTIF('1.연간시수표'!I26,$AZ$7)),$AZ$6,IF(OR(COUNTIF('1.연간시수표'!I26,$BA$9),COUNTIF('1.연간시수표'!I26,$BA$7)),$BA$6,IF(OR(COUNTIF('1.연간시수표'!I26,$BB$9),COUNTIF('1.연간시수표'!I26,$BB$7)),$BB$6,IF(OR(COUNTIF('1.연간시수표'!I26,$BC$9),COUNTIF('1.연간시수표'!I26,$BC$7)),$BC$6,IF(OR(COUNTIF('1.연간시수표'!I26,$BF$9),COUNTIF('1.연간시수표'!I26,$BF$7),COUNTIF('1.연간시수표'!I26,$BG$9),COUNTIF('1.연간시수표'!I26,$BG$7),COUNTIF('1.연간시수표'!I26,$BH$9),COUNTIF('1.연간시수표'!I26,$BH$7),COUNTIF('1.연간시수표'!I26,$BI$9),COUNTIF('1.연간시수표'!I26,$BI$7),COUNTIF('1.연간시수표'!I26,$BJ$9),COUNTIF('1.연간시수표'!I26,$BJ$7),COUNTIF('1.연간시수표'!I26,$BK$9),COUNTIF('1.연간시수표'!I26,$BK$7),COUNTIF('1.연간시수표'!I26,$BL$9),COUNTIF('1.연간시수표'!I26,$BL$7),COUNTIF('1.연간시수표'!I26,$BM$9),COUNTIF('1.연간시수표'!I26,$BM$7)),$BF$6,IF(OR(COUNTIF('1.연간시수표'!I26,$BO$9),COUNTIF('1.연간시수표'!I26,$BO$7)),$BO$6,IF(OR(COUNTIF('1.연간시수표'!I26,$BP$9),COUNTIF('1.연간시수표'!I26,$BP$7)),$BP$6,IF(OR(COUNTIF('1.연간시수표'!I26,$BQ$9),COUNTIF('1.연간시수표'!I26,$BQ$7)),$BQ$6,IF(OR(COUNTIF('1.연간시수표'!I26,$BR$9),COUNTIF('1.연간시수표'!I26,$BR$7)),$BR$6,"_")))))))))))))))</f>
        <v>수학</v>
      </c>
      <c r="J26" s="148" t="str">
        <f>IF(OR(COUNTIF('1.연간시수표'!J26,$AT$9),COUNTIF('1.연간시수표'!J26,$AT$7)),$AT$6,IF(OR(COUNTIF('1.연간시수표'!J26,$AU$9),COUNTIF('1.연간시수표'!J26,$AU$7)),$AU$6,IF(OR(COUNTIF('1.연간시수표'!J26,$AV$9),COUNTIF('1.연간시수표'!J26,$AV$7)),$AV$6,IF(OR(COUNTIF('1.연간시수표'!J26,$AW$9),COUNTIF('1.연간시수표'!J26,$AW$7)),$AW$6,IF(OR(COUNTIF('1.연간시수표'!J26,$AX$9),COUNTIF('1.연간시수표'!J26,$AX$7)),$AX$6,IF(OR(COUNTIF('1.연간시수표'!J26,$AY$9),COUNTIF('1.연간시수표'!J26,$AY$7)),$AY$6,IF(OR(COUNTIF('1.연간시수표'!J26,$AZ$9),COUNTIF('1.연간시수표'!J26,$AZ$7)),$AZ$6,IF(OR(COUNTIF('1.연간시수표'!J26,$BA$9),COUNTIF('1.연간시수표'!J26,$BA$7)),$BA$6,IF(OR(COUNTIF('1.연간시수표'!J26,$BB$9),COUNTIF('1.연간시수표'!J26,$BB$7)),$BB$6,IF(OR(COUNTIF('1.연간시수표'!J26,$BC$9),COUNTIF('1.연간시수표'!J26,$BC$7)),$BC$6,IF(OR(COUNTIF('1.연간시수표'!J26,$BF$9),COUNTIF('1.연간시수표'!J26,$BF$7),COUNTIF('1.연간시수표'!J26,$BG$9),COUNTIF('1.연간시수표'!J26,$BG$7),COUNTIF('1.연간시수표'!J26,$BH$9),COUNTIF('1.연간시수표'!J26,$BH$7),COUNTIF('1.연간시수표'!J26,$BI$9),COUNTIF('1.연간시수표'!J26,$BI$7),COUNTIF('1.연간시수표'!J26,$BJ$9),COUNTIF('1.연간시수표'!J26,$BJ$7),COUNTIF('1.연간시수표'!J26,$BK$9),COUNTIF('1.연간시수표'!J26,$BK$7),COUNTIF('1.연간시수표'!J26,$BL$9),COUNTIF('1.연간시수표'!J26,$BL$7),COUNTIF('1.연간시수표'!J26,$BM$9),COUNTIF('1.연간시수표'!J26,$BM$7)),$BF$6,IF(OR(COUNTIF('1.연간시수표'!J26,$BO$9),COUNTIF('1.연간시수표'!J26,$BO$7)),$BO$6,IF(OR(COUNTIF('1.연간시수표'!J26,$BP$9),COUNTIF('1.연간시수표'!J26,$BP$7)),$BP$6,IF(OR(COUNTIF('1.연간시수표'!J26,$BQ$9),COUNTIF('1.연간시수표'!J26,$BQ$7)),$BQ$6,IF(OR(COUNTIF('1.연간시수표'!J26,$BR$9),COUNTIF('1.연간시수표'!J26,$BR$7)),$BR$6,"_")))))))))))))))</f>
        <v>자율활동</v>
      </c>
      <c r="K26" s="148" t="str">
        <f>IF(OR(COUNTIF('1.연간시수표'!K26,$AT$9),COUNTIF('1.연간시수표'!K26,$AT$7)),$AT$6,IF(OR(COUNTIF('1.연간시수표'!K26,$AU$9),COUNTIF('1.연간시수표'!K26,$AU$7)),$AU$6,IF(OR(COUNTIF('1.연간시수표'!K26,$AV$9),COUNTIF('1.연간시수표'!K26,$AV$7)),$AV$6,IF(OR(COUNTIF('1.연간시수표'!K26,$AW$9),COUNTIF('1.연간시수표'!K26,$AW$7)),$AW$6,IF(OR(COUNTIF('1.연간시수표'!K26,$AX$9),COUNTIF('1.연간시수표'!K26,$AX$7)),$AX$6,IF(OR(COUNTIF('1.연간시수표'!K26,$AY$9),COUNTIF('1.연간시수표'!K26,$AY$7)),$AY$6,IF(OR(COUNTIF('1.연간시수표'!K26,$AZ$9),COUNTIF('1.연간시수표'!K26,$AZ$7)),$AZ$6,IF(OR(COUNTIF('1.연간시수표'!K26,$BA$9),COUNTIF('1.연간시수표'!K26,$BA$7)),$BA$6,IF(OR(COUNTIF('1.연간시수표'!K26,$BB$9),COUNTIF('1.연간시수표'!K26,$BB$7)),$BB$6,IF(OR(COUNTIF('1.연간시수표'!K26,$BC$9),COUNTIF('1.연간시수표'!K26,$BC$7)),$BC$6,IF(OR(COUNTIF('1.연간시수표'!K26,$BF$9),COUNTIF('1.연간시수표'!K26,$BF$7),COUNTIF('1.연간시수표'!K26,$BG$9),COUNTIF('1.연간시수표'!K26,$BG$7),COUNTIF('1.연간시수표'!K26,$BH$9),COUNTIF('1.연간시수표'!K26,$BH$7),COUNTIF('1.연간시수표'!K26,$BI$9),COUNTIF('1.연간시수표'!K26,$BI$7),COUNTIF('1.연간시수표'!K26,$BJ$9),COUNTIF('1.연간시수표'!K26,$BJ$7),COUNTIF('1.연간시수표'!K26,$BK$9),COUNTIF('1.연간시수표'!K26,$BK$7),COUNTIF('1.연간시수표'!K26,$BL$9),COUNTIF('1.연간시수표'!K26,$BL$7),COUNTIF('1.연간시수표'!K26,$BM$9),COUNTIF('1.연간시수표'!K26,$BM$7)),$BF$6,IF(OR(COUNTIF('1.연간시수표'!K26,$BO$9),COUNTIF('1.연간시수표'!K26,$BO$7)),$BO$6,IF(OR(COUNTIF('1.연간시수표'!K26,$BP$9),COUNTIF('1.연간시수표'!K26,$BP$7)),$BP$6,IF(OR(COUNTIF('1.연간시수표'!K26,$BQ$9),COUNTIF('1.연간시수표'!K26,$BQ$7)),$BQ$6,IF(OR(COUNTIF('1.연간시수표'!K26,$BR$9),COUNTIF('1.연간시수표'!K26,$BR$7)),$BR$6,"_")))))))))))))))</f>
        <v>_</v>
      </c>
      <c r="L26" s="148" t="str">
        <f>IF(OR(COUNTIF('1.연간시수표'!L26,$AT$9),COUNTIF('1.연간시수표'!L26,$AT$7)),$AT$6,IF(OR(COUNTIF('1.연간시수표'!L26,$AU$9),COUNTIF('1.연간시수표'!L26,$AU$7)),$AU$6,IF(OR(COUNTIF('1.연간시수표'!L26,$AV$9),COUNTIF('1.연간시수표'!L26,$AV$7)),$AV$6,IF(OR(COUNTIF('1.연간시수표'!L26,$AW$9),COUNTIF('1.연간시수표'!L26,$AW$7)),$AW$6,IF(OR(COUNTIF('1.연간시수표'!L26,$AX$9),COUNTIF('1.연간시수표'!L26,$AX$7)),$AX$6,IF(OR(COUNTIF('1.연간시수표'!L26,$AY$9),COUNTIF('1.연간시수표'!L26,$AY$7)),$AY$6,IF(OR(COUNTIF('1.연간시수표'!L26,$AZ$9),COUNTIF('1.연간시수표'!L26,$AZ$7)),$AZ$6,IF(OR(COUNTIF('1.연간시수표'!L26,$BA$9),COUNTIF('1.연간시수표'!L26,$BA$7)),$BA$6,IF(OR(COUNTIF('1.연간시수표'!L26,$BB$9),COUNTIF('1.연간시수표'!L26,$BB$7)),$BB$6,IF(OR(COUNTIF('1.연간시수표'!L26,$BC$9),COUNTIF('1.연간시수표'!L26,$BC$7)),$BC$6,IF(OR(COUNTIF('1.연간시수표'!L26,$BF$9),COUNTIF('1.연간시수표'!L26,$BF$7),COUNTIF('1.연간시수표'!L26,$BG$9),COUNTIF('1.연간시수표'!L26,$BG$7),COUNTIF('1.연간시수표'!L26,$BH$9),COUNTIF('1.연간시수표'!L26,$BH$7),COUNTIF('1.연간시수표'!L26,$BI$9),COUNTIF('1.연간시수표'!L26,$BI$7),COUNTIF('1.연간시수표'!L26,$BJ$9),COUNTIF('1.연간시수표'!L26,$BJ$7),COUNTIF('1.연간시수표'!L26,$BK$9),COUNTIF('1.연간시수표'!L26,$BK$7),COUNTIF('1.연간시수표'!L26,$BL$9),COUNTIF('1.연간시수표'!L26,$BL$7),COUNTIF('1.연간시수표'!L26,$BM$9),COUNTIF('1.연간시수표'!L26,$BM$7)),$BF$6,IF(OR(COUNTIF('1.연간시수표'!L26,$BO$9),COUNTIF('1.연간시수표'!L26,$BO$7)),$BO$6,IF(OR(COUNTIF('1.연간시수표'!L26,$BP$9),COUNTIF('1.연간시수표'!L26,$BP$7)),$BP$6,IF(OR(COUNTIF('1.연간시수표'!L26,$BQ$9),COUNTIF('1.연간시수표'!L26,$BQ$7)),$BQ$6,IF(OR(COUNTIF('1.연간시수표'!L26,$BR$9),COUNTIF('1.연간시수표'!L26,$BR$7)),$BR$6,"_")))))))))))))))</f>
        <v>_</v>
      </c>
      <c r="M26" s="148" t="str">
        <f>IF(OR(COUNTIF('1.연간시수표'!M26,$AT$9),COUNTIF('1.연간시수표'!M26,$AT$7)),$AT$6,IF(OR(COUNTIF('1.연간시수표'!M26,$AU$9),COUNTIF('1.연간시수표'!M26,$AU$7)),$AU$6,IF(OR(COUNTIF('1.연간시수표'!M26,$AV$9),COUNTIF('1.연간시수표'!M26,$AV$7)),$AV$6,IF(OR(COUNTIF('1.연간시수표'!M26,$AW$9),COUNTIF('1.연간시수표'!M26,$AW$7)),$AW$6,IF(OR(COUNTIF('1.연간시수표'!M26,$AX$9),COUNTIF('1.연간시수표'!M26,$AX$7)),$AX$6,IF(OR(COUNTIF('1.연간시수표'!M26,$AY$9),COUNTIF('1.연간시수표'!M26,$AY$7)),$AY$6,IF(OR(COUNTIF('1.연간시수표'!M26,$AZ$9),COUNTIF('1.연간시수표'!M26,$AZ$7)),$AZ$6,IF(OR(COUNTIF('1.연간시수표'!M26,$BA$9),COUNTIF('1.연간시수표'!M26,$BA$7)),$BA$6,IF(OR(COUNTIF('1.연간시수표'!M26,$BB$9),COUNTIF('1.연간시수표'!M26,$BB$7)),$BB$6,IF(OR(COUNTIF('1.연간시수표'!M26,$BC$9),COUNTIF('1.연간시수표'!M26,$BC$7)),$BC$6,IF(OR(COUNTIF('1.연간시수표'!M26,$BF$9),COUNTIF('1.연간시수표'!M26,$BF$7),COUNTIF('1.연간시수표'!M26,$BG$9),COUNTIF('1.연간시수표'!M26,$BG$7),COUNTIF('1.연간시수표'!M26,$BH$9),COUNTIF('1.연간시수표'!M26,$BH$7),COUNTIF('1.연간시수표'!M26,$BI$9),COUNTIF('1.연간시수표'!M26,$BI$7),COUNTIF('1.연간시수표'!M26,$BJ$9),COUNTIF('1.연간시수표'!M26,$BJ$7),COUNTIF('1.연간시수표'!M26,$BK$9),COUNTIF('1.연간시수표'!M26,$BK$7),COUNTIF('1.연간시수표'!M26,$BL$9),COUNTIF('1.연간시수표'!M26,$BL$7),COUNTIF('1.연간시수표'!M26,$BM$9),COUNTIF('1.연간시수표'!M26,$BM$7)),$BF$6,IF(OR(COUNTIF('1.연간시수표'!M26,$BO$9),COUNTIF('1.연간시수표'!M26,$BO$7)),$BO$6,IF(OR(COUNTIF('1.연간시수표'!M26,$BP$9),COUNTIF('1.연간시수표'!M26,$BP$7)),$BP$6,IF(OR(COUNTIF('1.연간시수표'!M26,$BQ$9),COUNTIF('1.연간시수표'!M26,$BQ$7)),$BQ$6,IF(OR(COUNTIF('1.연간시수표'!M26,$BR$9),COUNTIF('1.연간시수표'!M26,$BR$7)),$BR$6,"_")))))))))))))))</f>
        <v>국어</v>
      </c>
      <c r="N26" s="148" t="str">
        <f>IF(OR(COUNTIF('1.연간시수표'!N26,$AT$9),COUNTIF('1.연간시수표'!N26,$AT$7)),$AT$6,IF(OR(COUNTIF('1.연간시수표'!N26,$AU$9),COUNTIF('1.연간시수표'!N26,$AU$7)),$AU$6,IF(OR(COUNTIF('1.연간시수표'!N26,$AV$9),COUNTIF('1.연간시수표'!N26,$AV$7)),$AV$6,IF(OR(COUNTIF('1.연간시수표'!N26,$AW$9),COUNTIF('1.연간시수표'!N26,$AW$7)),$AW$6,IF(OR(COUNTIF('1.연간시수표'!N26,$AX$9),COUNTIF('1.연간시수표'!N26,$AX$7)),$AX$6,IF(OR(COUNTIF('1.연간시수표'!N26,$AY$9),COUNTIF('1.연간시수표'!N26,$AY$7)),$AY$6,IF(OR(COUNTIF('1.연간시수표'!N26,$AZ$9),COUNTIF('1.연간시수표'!N26,$AZ$7)),$AZ$6,IF(OR(COUNTIF('1.연간시수표'!N26,$BA$9),COUNTIF('1.연간시수표'!N26,$BA$7)),$BA$6,IF(OR(COUNTIF('1.연간시수표'!N26,$BB$9),COUNTIF('1.연간시수표'!N26,$BB$7)),$BB$6,IF(OR(COUNTIF('1.연간시수표'!N26,$BC$9),COUNTIF('1.연간시수표'!N26,$BC$7)),$BC$6,IF(OR(COUNTIF('1.연간시수표'!N26,$BF$9),COUNTIF('1.연간시수표'!N26,$BF$7),COUNTIF('1.연간시수표'!N26,$BG$9),COUNTIF('1.연간시수표'!N26,$BG$7),COUNTIF('1.연간시수표'!N26,$BH$9),COUNTIF('1.연간시수표'!N26,$BH$7),COUNTIF('1.연간시수표'!N26,$BI$9),COUNTIF('1.연간시수표'!N26,$BI$7),COUNTIF('1.연간시수표'!N26,$BJ$9),COUNTIF('1.연간시수표'!N26,$BJ$7),COUNTIF('1.연간시수표'!N26,$BK$9),COUNTIF('1.연간시수표'!N26,$BK$7),COUNTIF('1.연간시수표'!N26,$BL$9),COUNTIF('1.연간시수표'!N26,$BL$7),COUNTIF('1.연간시수표'!N26,$BM$9),COUNTIF('1.연간시수표'!N26,$BM$7)),$BF$6,IF(OR(COUNTIF('1.연간시수표'!N26,$BO$9),COUNTIF('1.연간시수표'!N26,$BO$7)),$BO$6,IF(OR(COUNTIF('1.연간시수표'!N26,$BP$9),COUNTIF('1.연간시수표'!N26,$BP$7)),$BP$6,IF(OR(COUNTIF('1.연간시수표'!N26,$BQ$9),COUNTIF('1.연간시수표'!N26,$BQ$7)),$BQ$6,IF(OR(COUNTIF('1.연간시수표'!N26,$BR$9),COUNTIF('1.연간시수표'!N26,$BR$7)),$BR$6,"_")))))))))))))))</f>
        <v>국어</v>
      </c>
      <c r="O26" s="148" t="str">
        <f>IF(OR(COUNTIF('1.연간시수표'!O26,$AT$9),COUNTIF('1.연간시수표'!O26,$AT$7)),$AT$6,IF(OR(COUNTIF('1.연간시수표'!O26,$AU$9),COUNTIF('1.연간시수표'!O26,$AU$7)),$AU$6,IF(OR(COUNTIF('1.연간시수표'!O26,$AV$9),COUNTIF('1.연간시수표'!O26,$AV$7)),$AV$6,IF(OR(COUNTIF('1.연간시수표'!O26,$AW$9),COUNTIF('1.연간시수표'!O26,$AW$7)),$AW$6,IF(OR(COUNTIF('1.연간시수표'!O26,$AX$9),COUNTIF('1.연간시수표'!O26,$AX$7)),$AX$6,IF(OR(COUNTIF('1.연간시수표'!O26,$AY$9),COUNTIF('1.연간시수표'!O26,$AY$7)),$AY$6,IF(OR(COUNTIF('1.연간시수표'!O26,$AZ$9),COUNTIF('1.연간시수표'!O26,$AZ$7)),$AZ$6,IF(OR(COUNTIF('1.연간시수표'!O26,$BA$9),COUNTIF('1.연간시수표'!O26,$BA$7)),$BA$6,IF(OR(COUNTIF('1.연간시수표'!O26,$BB$9),COUNTIF('1.연간시수표'!O26,$BB$7)),$BB$6,IF(OR(COUNTIF('1.연간시수표'!O26,$BC$9),COUNTIF('1.연간시수표'!O26,$BC$7)),$BC$6,IF(OR(COUNTIF('1.연간시수표'!O26,$BF$9),COUNTIF('1.연간시수표'!O26,$BF$7),COUNTIF('1.연간시수표'!O26,$BG$9),COUNTIF('1.연간시수표'!O26,$BG$7),COUNTIF('1.연간시수표'!O26,$BH$9),COUNTIF('1.연간시수표'!O26,$BH$7),COUNTIF('1.연간시수표'!O26,$BI$9),COUNTIF('1.연간시수표'!O26,$BI$7),COUNTIF('1.연간시수표'!O26,$BJ$9),COUNTIF('1.연간시수표'!O26,$BJ$7),COUNTIF('1.연간시수표'!O26,$BK$9),COUNTIF('1.연간시수표'!O26,$BK$7),COUNTIF('1.연간시수표'!O26,$BL$9),COUNTIF('1.연간시수표'!O26,$BL$7),COUNTIF('1.연간시수표'!O26,$BM$9),COUNTIF('1.연간시수표'!O26,$BM$7)),$BF$6,IF(OR(COUNTIF('1.연간시수표'!O26,$BO$9),COUNTIF('1.연간시수표'!O26,$BO$7)),$BO$6,IF(OR(COUNTIF('1.연간시수표'!O26,$BP$9),COUNTIF('1.연간시수표'!O26,$BP$7)),$BP$6,IF(OR(COUNTIF('1.연간시수표'!O26,$BQ$9),COUNTIF('1.연간시수표'!O26,$BQ$7)),$BQ$6,IF(OR(COUNTIF('1.연간시수표'!O26,$BR$9),COUNTIF('1.연간시수표'!O26,$BR$7)),$BR$6,"_")))))))))))))))</f>
        <v>사회</v>
      </c>
      <c r="P26" s="148" t="str">
        <f>IF(OR(COUNTIF('1.연간시수표'!P26,$AT$9),COUNTIF('1.연간시수표'!P26,$AT$7)),$AT$6,IF(OR(COUNTIF('1.연간시수표'!P26,$AU$9),COUNTIF('1.연간시수표'!P26,$AU$7)),$AU$6,IF(OR(COUNTIF('1.연간시수표'!P26,$AV$9),COUNTIF('1.연간시수표'!P26,$AV$7)),$AV$6,IF(OR(COUNTIF('1.연간시수표'!P26,$AW$9),COUNTIF('1.연간시수표'!P26,$AW$7)),$AW$6,IF(OR(COUNTIF('1.연간시수표'!P26,$AX$9),COUNTIF('1.연간시수표'!P26,$AX$7)),$AX$6,IF(OR(COUNTIF('1.연간시수표'!P26,$AY$9),COUNTIF('1.연간시수표'!P26,$AY$7)),$AY$6,IF(OR(COUNTIF('1.연간시수표'!P26,$AZ$9),COUNTIF('1.연간시수표'!P26,$AZ$7)),$AZ$6,IF(OR(COUNTIF('1.연간시수표'!P26,$BA$9),COUNTIF('1.연간시수표'!P26,$BA$7)),$BA$6,IF(OR(COUNTIF('1.연간시수표'!P26,$BB$9),COUNTIF('1.연간시수표'!P26,$BB$7)),$BB$6,IF(OR(COUNTIF('1.연간시수표'!P26,$BC$9),COUNTIF('1.연간시수표'!P26,$BC$7)),$BC$6,IF(OR(COUNTIF('1.연간시수표'!P26,$BF$9),COUNTIF('1.연간시수표'!P26,$BF$7),COUNTIF('1.연간시수표'!P26,$BG$9),COUNTIF('1.연간시수표'!P26,$BG$7),COUNTIF('1.연간시수표'!P26,$BH$9),COUNTIF('1.연간시수표'!P26,$BH$7),COUNTIF('1.연간시수표'!P26,$BI$9),COUNTIF('1.연간시수표'!P26,$BI$7),COUNTIF('1.연간시수표'!P26,$BJ$9),COUNTIF('1.연간시수표'!P26,$BJ$7),COUNTIF('1.연간시수표'!P26,$BK$9),COUNTIF('1.연간시수표'!P26,$BK$7),COUNTIF('1.연간시수표'!P26,$BL$9),COUNTIF('1.연간시수표'!P26,$BL$7),COUNTIF('1.연간시수표'!P26,$BM$9),COUNTIF('1.연간시수표'!P26,$BM$7)),$BF$6,IF(OR(COUNTIF('1.연간시수표'!P26,$BO$9),COUNTIF('1.연간시수표'!P26,$BO$7)),$BO$6,IF(OR(COUNTIF('1.연간시수표'!P26,$BP$9),COUNTIF('1.연간시수표'!P26,$BP$7)),$BP$6,IF(OR(COUNTIF('1.연간시수표'!P26,$BQ$9),COUNTIF('1.연간시수표'!P26,$BQ$7)),$BQ$6,IF(OR(COUNTIF('1.연간시수표'!P26,$BR$9),COUNTIF('1.연간시수표'!P26,$BR$7)),$BR$6,"_")))))))))))))))</f>
        <v>수학</v>
      </c>
      <c r="Q26" s="148" t="str">
        <f>IF(OR(COUNTIF('1.연간시수표'!Q26,$AT$9),COUNTIF('1.연간시수표'!Q26,$AT$7)),$AT$6,IF(OR(COUNTIF('1.연간시수표'!Q26,$AU$9),COUNTIF('1.연간시수표'!Q26,$AU$7)),$AU$6,IF(OR(COUNTIF('1.연간시수표'!Q26,$AV$9),COUNTIF('1.연간시수표'!Q26,$AV$7)),$AV$6,IF(OR(COUNTIF('1.연간시수표'!Q26,$AW$9),COUNTIF('1.연간시수표'!Q26,$AW$7)),$AW$6,IF(OR(COUNTIF('1.연간시수표'!Q26,$AX$9),COUNTIF('1.연간시수표'!Q26,$AX$7)),$AX$6,IF(OR(COUNTIF('1.연간시수표'!Q26,$AY$9),COUNTIF('1.연간시수표'!Q26,$AY$7)),$AY$6,IF(OR(COUNTIF('1.연간시수표'!Q26,$AZ$9),COUNTIF('1.연간시수표'!Q26,$AZ$7)),$AZ$6,IF(OR(COUNTIF('1.연간시수표'!Q26,$BA$9),COUNTIF('1.연간시수표'!Q26,$BA$7)),$BA$6,IF(OR(COUNTIF('1.연간시수표'!Q26,$BB$9),COUNTIF('1.연간시수표'!Q26,$BB$7)),$BB$6,IF(OR(COUNTIF('1.연간시수표'!Q26,$BC$9),COUNTIF('1.연간시수표'!Q26,$BC$7)),$BC$6,IF(OR(COUNTIF('1.연간시수표'!Q26,$BF$9),COUNTIF('1.연간시수표'!Q26,$BF$7),COUNTIF('1.연간시수표'!Q26,$BG$9),COUNTIF('1.연간시수표'!Q26,$BG$7),COUNTIF('1.연간시수표'!Q26,$BH$9),COUNTIF('1.연간시수표'!Q26,$BH$7),COUNTIF('1.연간시수표'!Q26,$BI$9),COUNTIF('1.연간시수표'!Q26,$BI$7),COUNTIF('1.연간시수표'!Q26,$BJ$9),COUNTIF('1.연간시수표'!Q26,$BJ$7),COUNTIF('1.연간시수표'!Q26,$BK$9),COUNTIF('1.연간시수표'!Q26,$BK$7),COUNTIF('1.연간시수표'!Q26,$BL$9),COUNTIF('1.연간시수표'!Q26,$BL$7),COUNTIF('1.연간시수표'!Q26,$BM$9),COUNTIF('1.연간시수표'!Q26,$BM$7)),$BF$6,IF(OR(COUNTIF('1.연간시수표'!Q26,$BO$9),COUNTIF('1.연간시수표'!Q26,$BO$7)),$BO$6,IF(OR(COUNTIF('1.연간시수표'!Q26,$BP$9),COUNTIF('1.연간시수표'!Q26,$BP$7)),$BP$6,IF(OR(COUNTIF('1.연간시수표'!Q26,$BQ$9),COUNTIF('1.연간시수표'!Q26,$BQ$7)),$BQ$6,IF(OR(COUNTIF('1.연간시수표'!Q26,$BR$9),COUNTIF('1.연간시수표'!Q26,$BR$7)),$BR$6,"_")))))))))))))))</f>
        <v>과학</v>
      </c>
      <c r="R26" s="148" t="str">
        <f>IF(OR(COUNTIF('1.연간시수표'!R26,$AT$9),COUNTIF('1.연간시수표'!R26,$AT$7)),$AT$6,IF(OR(COUNTIF('1.연간시수표'!R26,$AU$9),COUNTIF('1.연간시수표'!R26,$AU$7)),$AU$6,IF(OR(COUNTIF('1.연간시수표'!R26,$AV$9),COUNTIF('1.연간시수표'!R26,$AV$7)),$AV$6,IF(OR(COUNTIF('1.연간시수표'!R26,$AW$9),COUNTIF('1.연간시수표'!R26,$AW$7)),$AW$6,IF(OR(COUNTIF('1.연간시수표'!R26,$AX$9),COUNTIF('1.연간시수표'!R26,$AX$7)),$AX$6,IF(OR(COUNTIF('1.연간시수표'!R26,$AY$9),COUNTIF('1.연간시수표'!R26,$AY$7)),$AY$6,IF(OR(COUNTIF('1.연간시수표'!R26,$AZ$9),COUNTIF('1.연간시수표'!R26,$AZ$7)),$AZ$6,IF(OR(COUNTIF('1.연간시수표'!R26,$BA$9),COUNTIF('1.연간시수표'!R26,$BA$7)),$BA$6,IF(OR(COUNTIF('1.연간시수표'!R26,$BB$9),COUNTIF('1.연간시수표'!R26,$BB$7)),$BB$6,IF(OR(COUNTIF('1.연간시수표'!R26,$BC$9),COUNTIF('1.연간시수표'!R26,$BC$7)),$BC$6,IF(OR(COUNTIF('1.연간시수표'!R26,$BF$9),COUNTIF('1.연간시수표'!R26,$BF$7),COUNTIF('1.연간시수표'!R26,$BG$9),COUNTIF('1.연간시수표'!R26,$BG$7),COUNTIF('1.연간시수표'!R26,$BH$9),COUNTIF('1.연간시수표'!R26,$BH$7),COUNTIF('1.연간시수표'!R26,$BI$9),COUNTIF('1.연간시수표'!R26,$BI$7),COUNTIF('1.연간시수표'!R26,$BJ$9),COUNTIF('1.연간시수표'!R26,$BJ$7),COUNTIF('1.연간시수표'!R26,$BK$9),COUNTIF('1.연간시수표'!R26,$BK$7),COUNTIF('1.연간시수표'!R26,$BL$9),COUNTIF('1.연간시수표'!R26,$BL$7),COUNTIF('1.연간시수표'!R26,$BM$9),COUNTIF('1.연간시수표'!R26,$BM$7)),$BF$6,IF(OR(COUNTIF('1.연간시수표'!R26,$BO$9),COUNTIF('1.연간시수표'!R26,$BO$7)),$BO$6,IF(OR(COUNTIF('1.연간시수표'!R26,$BP$9),COUNTIF('1.연간시수표'!R26,$BP$7)),$BP$6,IF(OR(COUNTIF('1.연간시수표'!R26,$BQ$9),COUNTIF('1.연간시수표'!R26,$BQ$7)),$BQ$6,IF(OR(COUNTIF('1.연간시수표'!R26,$BR$9),COUNTIF('1.연간시수표'!R26,$BR$7)),$BR$6,"_")))))))))))))))</f>
        <v>실과</v>
      </c>
      <c r="S26" s="148" t="str">
        <f>IF(OR(COUNTIF('1.연간시수표'!S26,$AT$9),COUNTIF('1.연간시수표'!S26,$AT$7)),$AT$6,IF(OR(COUNTIF('1.연간시수표'!S26,$AU$9),COUNTIF('1.연간시수표'!S26,$AU$7)),$AU$6,IF(OR(COUNTIF('1.연간시수표'!S26,$AV$9),COUNTIF('1.연간시수표'!S26,$AV$7)),$AV$6,IF(OR(COUNTIF('1.연간시수표'!S26,$AW$9),COUNTIF('1.연간시수표'!S26,$AW$7)),$AW$6,IF(OR(COUNTIF('1.연간시수표'!S26,$AX$9),COUNTIF('1.연간시수표'!S26,$AX$7)),$AX$6,IF(OR(COUNTIF('1.연간시수표'!S26,$AY$9),COUNTIF('1.연간시수표'!S26,$AY$7)),$AY$6,IF(OR(COUNTIF('1.연간시수표'!S26,$AZ$9),COUNTIF('1.연간시수표'!S26,$AZ$7)),$AZ$6,IF(OR(COUNTIF('1.연간시수표'!S26,$BA$9),COUNTIF('1.연간시수표'!S26,$BA$7)),$BA$6,IF(OR(COUNTIF('1.연간시수표'!S26,$BB$9),COUNTIF('1.연간시수표'!S26,$BB$7)),$BB$6,IF(OR(COUNTIF('1.연간시수표'!S26,$BC$9),COUNTIF('1.연간시수표'!S26,$BC$7)),$BC$6,IF(OR(COUNTIF('1.연간시수표'!S26,$BF$9),COUNTIF('1.연간시수표'!S26,$BF$7),COUNTIF('1.연간시수표'!S26,$BG$9),COUNTIF('1.연간시수표'!S26,$BG$7),COUNTIF('1.연간시수표'!S26,$BH$9),COUNTIF('1.연간시수표'!S26,$BH$7),COUNTIF('1.연간시수표'!S26,$BI$9),COUNTIF('1.연간시수표'!S26,$BI$7),COUNTIF('1.연간시수표'!S26,$BJ$9),COUNTIF('1.연간시수표'!S26,$BJ$7),COUNTIF('1.연간시수표'!S26,$BK$9),COUNTIF('1.연간시수표'!S26,$BK$7),COUNTIF('1.연간시수표'!S26,$BL$9),COUNTIF('1.연간시수표'!S26,$BL$7),COUNTIF('1.연간시수표'!S26,$BM$9),COUNTIF('1.연간시수표'!S26,$BM$7)),$BF$6,IF(OR(COUNTIF('1.연간시수표'!S26,$BO$9),COUNTIF('1.연간시수표'!S26,$BO$7)),$BO$6,IF(OR(COUNTIF('1.연간시수표'!S26,$BP$9),COUNTIF('1.연간시수표'!S26,$BP$7)),$BP$6,IF(OR(COUNTIF('1.연간시수표'!S26,$BQ$9),COUNTIF('1.연간시수표'!S26,$BQ$7)),$BQ$6,IF(OR(COUNTIF('1.연간시수표'!S26,$BR$9),COUNTIF('1.연간시수표'!S26,$BR$7)),$BR$6,"_")))))))))))))))</f>
        <v>_</v>
      </c>
      <c r="T26" s="148" t="str">
        <f>IF(OR(COUNTIF('1.연간시수표'!T26,$AT$9),COUNTIF('1.연간시수표'!T26,$AT$7)),$AT$6,IF(OR(COUNTIF('1.연간시수표'!T26,$AU$9),COUNTIF('1.연간시수표'!T26,$AU$7)),$AU$6,IF(OR(COUNTIF('1.연간시수표'!T26,$AV$9),COUNTIF('1.연간시수표'!T26,$AV$7)),$AV$6,IF(OR(COUNTIF('1.연간시수표'!T26,$AW$9),COUNTIF('1.연간시수표'!T26,$AW$7)),$AW$6,IF(OR(COUNTIF('1.연간시수표'!T26,$AX$9),COUNTIF('1.연간시수표'!T26,$AX$7)),$AX$6,IF(OR(COUNTIF('1.연간시수표'!T26,$AY$9),COUNTIF('1.연간시수표'!T26,$AY$7)),$AY$6,IF(OR(COUNTIF('1.연간시수표'!T26,$AZ$9),COUNTIF('1.연간시수표'!T26,$AZ$7)),$AZ$6,IF(OR(COUNTIF('1.연간시수표'!T26,$BA$9),COUNTIF('1.연간시수표'!T26,$BA$7)),$BA$6,IF(OR(COUNTIF('1.연간시수표'!T26,$BB$9),COUNTIF('1.연간시수표'!T26,$BB$7)),$BB$6,IF(OR(COUNTIF('1.연간시수표'!T26,$BC$9),COUNTIF('1.연간시수표'!T26,$BC$7)),$BC$6,IF(OR(COUNTIF('1.연간시수표'!T26,$BF$9),COUNTIF('1.연간시수표'!T26,$BF$7),COUNTIF('1.연간시수표'!T26,$BG$9),COUNTIF('1.연간시수표'!T26,$BG$7),COUNTIF('1.연간시수표'!T26,$BH$9),COUNTIF('1.연간시수표'!T26,$BH$7),COUNTIF('1.연간시수표'!T26,$BI$9),COUNTIF('1.연간시수표'!T26,$BI$7),COUNTIF('1.연간시수표'!T26,$BJ$9),COUNTIF('1.연간시수표'!T26,$BJ$7),COUNTIF('1.연간시수표'!T26,$BK$9),COUNTIF('1.연간시수표'!T26,$BK$7),COUNTIF('1.연간시수표'!T26,$BL$9),COUNTIF('1.연간시수표'!T26,$BL$7),COUNTIF('1.연간시수표'!T26,$BM$9),COUNTIF('1.연간시수표'!T26,$BM$7)),$BF$6,IF(OR(COUNTIF('1.연간시수표'!T26,$BO$9),COUNTIF('1.연간시수표'!T26,$BO$7)),$BO$6,IF(OR(COUNTIF('1.연간시수표'!T26,$BP$9),COUNTIF('1.연간시수표'!T26,$BP$7)),$BP$6,IF(OR(COUNTIF('1.연간시수표'!T26,$BQ$9),COUNTIF('1.연간시수표'!T26,$BQ$7)),$BQ$6,IF(OR(COUNTIF('1.연간시수표'!T26,$BR$9),COUNTIF('1.연간시수표'!T26,$BR$7)),$BR$6,"_")))))))))))))))</f>
        <v>_</v>
      </c>
      <c r="U26" s="148" t="str">
        <f>IF(OR(COUNTIF('1.연간시수표'!U26,$AT$9),COUNTIF('1.연간시수표'!U26,$AT$7)),$AT$6,IF(OR(COUNTIF('1.연간시수표'!U26,$AU$9),COUNTIF('1.연간시수표'!U26,$AU$7)),$AU$6,IF(OR(COUNTIF('1.연간시수표'!U26,$AV$9),COUNTIF('1.연간시수표'!U26,$AV$7)),$AV$6,IF(OR(COUNTIF('1.연간시수표'!U26,$AW$9),COUNTIF('1.연간시수표'!U26,$AW$7)),$AW$6,IF(OR(COUNTIF('1.연간시수표'!U26,$AX$9),COUNTIF('1.연간시수표'!U26,$AX$7)),$AX$6,IF(OR(COUNTIF('1.연간시수표'!U26,$AY$9),COUNTIF('1.연간시수표'!U26,$AY$7)),$AY$6,IF(OR(COUNTIF('1.연간시수표'!U26,$AZ$9),COUNTIF('1.연간시수표'!U26,$AZ$7)),$AZ$6,IF(OR(COUNTIF('1.연간시수표'!U26,$BA$9),COUNTIF('1.연간시수표'!U26,$BA$7)),$BA$6,IF(OR(COUNTIF('1.연간시수표'!U26,$BB$9),COUNTIF('1.연간시수표'!U26,$BB$7)),$BB$6,IF(OR(COUNTIF('1.연간시수표'!U26,$BC$9),COUNTIF('1.연간시수표'!U26,$BC$7)),$BC$6,IF(OR(COUNTIF('1.연간시수표'!U26,$BF$9),COUNTIF('1.연간시수표'!U26,$BF$7),COUNTIF('1.연간시수표'!U26,$BG$9),COUNTIF('1.연간시수표'!U26,$BG$7),COUNTIF('1.연간시수표'!U26,$BH$9),COUNTIF('1.연간시수표'!U26,$BH$7),COUNTIF('1.연간시수표'!U26,$BI$9),COUNTIF('1.연간시수표'!U26,$BI$7),COUNTIF('1.연간시수표'!U26,$BJ$9),COUNTIF('1.연간시수표'!U26,$BJ$7),COUNTIF('1.연간시수표'!U26,$BK$9),COUNTIF('1.연간시수표'!U26,$BK$7),COUNTIF('1.연간시수표'!U26,$BL$9),COUNTIF('1.연간시수표'!U26,$BL$7),COUNTIF('1.연간시수표'!U26,$BM$9),COUNTIF('1.연간시수표'!U26,$BM$7)),$BF$6,IF(OR(COUNTIF('1.연간시수표'!U26,$BO$9),COUNTIF('1.연간시수표'!U26,$BO$7)),$BO$6,IF(OR(COUNTIF('1.연간시수표'!U26,$BP$9),COUNTIF('1.연간시수표'!U26,$BP$7)),$BP$6,IF(OR(COUNTIF('1.연간시수표'!U26,$BQ$9),COUNTIF('1.연간시수표'!U26,$BQ$7)),$BQ$6,IF(OR(COUNTIF('1.연간시수표'!U26,$BR$9),COUNTIF('1.연간시수표'!U26,$BR$7)),$BR$6,"_")))))))))))))))</f>
        <v>영어</v>
      </c>
      <c r="V26" s="148" t="str">
        <f>IF(OR(COUNTIF('1.연간시수표'!V26,$AT$9),COUNTIF('1.연간시수표'!V26,$AT$7)),$AT$6,IF(OR(COUNTIF('1.연간시수표'!V26,$AU$9),COUNTIF('1.연간시수표'!V26,$AU$7)),$AU$6,IF(OR(COUNTIF('1.연간시수표'!V26,$AV$9),COUNTIF('1.연간시수표'!V26,$AV$7)),$AV$6,IF(OR(COUNTIF('1.연간시수표'!V26,$AW$9),COUNTIF('1.연간시수표'!V26,$AW$7)),$AW$6,IF(OR(COUNTIF('1.연간시수표'!V26,$AX$9),COUNTIF('1.연간시수표'!V26,$AX$7)),$AX$6,IF(OR(COUNTIF('1.연간시수표'!V26,$AY$9),COUNTIF('1.연간시수표'!V26,$AY$7)),$AY$6,IF(OR(COUNTIF('1.연간시수표'!V26,$AZ$9),COUNTIF('1.연간시수표'!V26,$AZ$7)),$AZ$6,IF(OR(COUNTIF('1.연간시수표'!V26,$BA$9),COUNTIF('1.연간시수표'!V26,$BA$7)),$BA$6,IF(OR(COUNTIF('1.연간시수표'!V26,$BB$9),COUNTIF('1.연간시수표'!V26,$BB$7)),$BB$6,IF(OR(COUNTIF('1.연간시수표'!V26,$BC$9),COUNTIF('1.연간시수표'!V26,$BC$7)),$BC$6,IF(OR(COUNTIF('1.연간시수표'!V26,$BF$9),COUNTIF('1.연간시수표'!V26,$BF$7),COUNTIF('1.연간시수표'!V26,$BG$9),COUNTIF('1.연간시수표'!V26,$BG$7),COUNTIF('1.연간시수표'!V26,$BH$9),COUNTIF('1.연간시수표'!V26,$BH$7),COUNTIF('1.연간시수표'!V26,$BI$9),COUNTIF('1.연간시수표'!V26,$BI$7),COUNTIF('1.연간시수표'!V26,$BJ$9),COUNTIF('1.연간시수표'!V26,$BJ$7),COUNTIF('1.연간시수표'!V26,$BK$9),COUNTIF('1.연간시수표'!V26,$BK$7),COUNTIF('1.연간시수표'!V26,$BL$9),COUNTIF('1.연간시수표'!V26,$BL$7),COUNTIF('1.연간시수표'!V26,$BM$9),COUNTIF('1.연간시수표'!V26,$BM$7)),$BF$6,IF(OR(COUNTIF('1.연간시수표'!V26,$BO$9),COUNTIF('1.연간시수표'!V26,$BO$7)),$BO$6,IF(OR(COUNTIF('1.연간시수표'!V26,$BP$9),COUNTIF('1.연간시수표'!V26,$BP$7)),$BP$6,IF(OR(COUNTIF('1.연간시수표'!V26,$BQ$9),COUNTIF('1.연간시수표'!V26,$BQ$7)),$BQ$6,IF(OR(COUNTIF('1.연간시수표'!V26,$BR$9),COUNTIF('1.연간시수표'!V26,$BR$7)),$BR$6,"_")))))))))))))))</f>
        <v>과학</v>
      </c>
      <c r="W26" s="148" t="str">
        <f>IF(OR(COUNTIF('1.연간시수표'!W26,$AT$9),COUNTIF('1.연간시수표'!W26,$AT$7)),$AT$6,IF(OR(COUNTIF('1.연간시수표'!W26,$AU$9),COUNTIF('1.연간시수표'!W26,$AU$7)),$AU$6,IF(OR(COUNTIF('1.연간시수표'!W26,$AV$9),COUNTIF('1.연간시수표'!W26,$AV$7)),$AV$6,IF(OR(COUNTIF('1.연간시수표'!W26,$AW$9),COUNTIF('1.연간시수표'!W26,$AW$7)),$AW$6,IF(OR(COUNTIF('1.연간시수표'!W26,$AX$9),COUNTIF('1.연간시수표'!W26,$AX$7)),$AX$6,IF(OR(COUNTIF('1.연간시수표'!W26,$AY$9),COUNTIF('1.연간시수표'!W26,$AY$7)),$AY$6,IF(OR(COUNTIF('1.연간시수표'!W26,$AZ$9),COUNTIF('1.연간시수표'!W26,$AZ$7)),$AZ$6,IF(OR(COUNTIF('1.연간시수표'!W26,$BA$9),COUNTIF('1.연간시수표'!W26,$BA$7)),$BA$6,IF(OR(COUNTIF('1.연간시수표'!W26,$BB$9),COUNTIF('1.연간시수표'!W26,$BB$7)),$BB$6,IF(OR(COUNTIF('1.연간시수표'!W26,$BC$9),COUNTIF('1.연간시수표'!W26,$BC$7)),$BC$6,IF(OR(COUNTIF('1.연간시수표'!W26,$BF$9),COUNTIF('1.연간시수표'!W26,$BF$7),COUNTIF('1.연간시수표'!W26,$BG$9),COUNTIF('1.연간시수표'!W26,$BG$7),COUNTIF('1.연간시수표'!W26,$BH$9),COUNTIF('1.연간시수표'!W26,$BH$7),COUNTIF('1.연간시수표'!W26,$BI$9),COUNTIF('1.연간시수표'!W26,$BI$7),COUNTIF('1.연간시수표'!W26,$BJ$9),COUNTIF('1.연간시수표'!W26,$BJ$7),COUNTIF('1.연간시수표'!W26,$BK$9),COUNTIF('1.연간시수표'!W26,$BK$7),COUNTIF('1.연간시수표'!W26,$BL$9),COUNTIF('1.연간시수표'!W26,$BL$7),COUNTIF('1.연간시수표'!W26,$BM$9),COUNTIF('1.연간시수표'!W26,$BM$7)),$BF$6,IF(OR(COUNTIF('1.연간시수표'!W26,$BO$9),COUNTIF('1.연간시수표'!W26,$BO$7)),$BO$6,IF(OR(COUNTIF('1.연간시수표'!W26,$BP$9),COUNTIF('1.연간시수표'!W26,$BP$7)),$BP$6,IF(OR(COUNTIF('1.연간시수표'!W26,$BQ$9),COUNTIF('1.연간시수표'!W26,$BQ$7)),$BQ$6,IF(OR(COUNTIF('1.연간시수표'!W26,$BR$9),COUNTIF('1.연간시수표'!W26,$BR$7)),$BR$6,"_")))))))))))))))</f>
        <v>체육</v>
      </c>
      <c r="X26" s="148" t="str">
        <f>IF(OR(COUNTIF('1.연간시수표'!X26,$AT$9),COUNTIF('1.연간시수표'!X26,$AT$7)),$AT$6,IF(OR(COUNTIF('1.연간시수표'!X26,$AU$9),COUNTIF('1.연간시수표'!X26,$AU$7)),$AU$6,IF(OR(COUNTIF('1.연간시수표'!X26,$AV$9),COUNTIF('1.연간시수표'!X26,$AV$7)),$AV$6,IF(OR(COUNTIF('1.연간시수표'!X26,$AW$9),COUNTIF('1.연간시수표'!X26,$AW$7)),$AW$6,IF(OR(COUNTIF('1.연간시수표'!X26,$AX$9),COUNTIF('1.연간시수표'!X26,$AX$7)),$AX$6,IF(OR(COUNTIF('1.연간시수표'!X26,$AY$9),COUNTIF('1.연간시수표'!X26,$AY$7)),$AY$6,IF(OR(COUNTIF('1.연간시수표'!X26,$AZ$9),COUNTIF('1.연간시수표'!X26,$AZ$7)),$AZ$6,IF(OR(COUNTIF('1.연간시수표'!X26,$BA$9),COUNTIF('1.연간시수표'!X26,$BA$7)),$BA$6,IF(OR(COUNTIF('1.연간시수표'!X26,$BB$9),COUNTIF('1.연간시수표'!X26,$BB$7)),$BB$6,IF(OR(COUNTIF('1.연간시수표'!X26,$BC$9),COUNTIF('1.연간시수표'!X26,$BC$7)),$BC$6,IF(OR(COUNTIF('1.연간시수표'!X26,$BF$9),COUNTIF('1.연간시수표'!X26,$BF$7),COUNTIF('1.연간시수표'!X26,$BG$9),COUNTIF('1.연간시수표'!X26,$BG$7),COUNTIF('1.연간시수표'!X26,$BH$9),COUNTIF('1.연간시수표'!X26,$BH$7),COUNTIF('1.연간시수표'!X26,$BI$9),COUNTIF('1.연간시수표'!X26,$BI$7),COUNTIF('1.연간시수표'!X26,$BJ$9),COUNTIF('1.연간시수표'!X26,$BJ$7),COUNTIF('1.연간시수표'!X26,$BK$9),COUNTIF('1.연간시수표'!X26,$BK$7),COUNTIF('1.연간시수표'!X26,$BL$9),COUNTIF('1.연간시수표'!X26,$BL$7),COUNTIF('1.연간시수표'!X26,$BM$9),COUNTIF('1.연간시수표'!X26,$BM$7)),$BF$6,IF(OR(COUNTIF('1.연간시수표'!X26,$BO$9),COUNTIF('1.연간시수표'!X26,$BO$7)),$BO$6,IF(OR(COUNTIF('1.연간시수표'!X26,$BP$9),COUNTIF('1.연간시수표'!X26,$BP$7)),$BP$6,IF(OR(COUNTIF('1.연간시수표'!X26,$BQ$9),COUNTIF('1.연간시수표'!X26,$BQ$7)),$BQ$6,IF(OR(COUNTIF('1.연간시수표'!X26,$BR$9),COUNTIF('1.연간시수표'!X26,$BR$7)),$BR$6,"_")))))))))))))))</f>
        <v>음악</v>
      </c>
      <c r="Y26" s="148" t="str">
        <f>IF(OR(COUNTIF('1.연간시수표'!Y26,$AT$9),COUNTIF('1.연간시수표'!Y26,$AT$7)),$AT$6,IF(OR(COUNTIF('1.연간시수표'!Y26,$AU$9),COUNTIF('1.연간시수표'!Y26,$AU$7)),$AU$6,IF(OR(COUNTIF('1.연간시수표'!Y26,$AV$9),COUNTIF('1.연간시수표'!Y26,$AV$7)),$AV$6,IF(OR(COUNTIF('1.연간시수표'!Y26,$AW$9),COUNTIF('1.연간시수표'!Y26,$AW$7)),$AW$6,IF(OR(COUNTIF('1.연간시수표'!Y26,$AX$9),COUNTIF('1.연간시수표'!Y26,$AX$7)),$AX$6,IF(OR(COUNTIF('1.연간시수표'!Y26,$AY$9),COUNTIF('1.연간시수표'!Y26,$AY$7)),$AY$6,IF(OR(COUNTIF('1.연간시수표'!Y26,$AZ$9),COUNTIF('1.연간시수표'!Y26,$AZ$7)),$AZ$6,IF(OR(COUNTIF('1.연간시수표'!Y26,$BA$9),COUNTIF('1.연간시수표'!Y26,$BA$7)),$BA$6,IF(OR(COUNTIF('1.연간시수표'!Y26,$BB$9),COUNTIF('1.연간시수표'!Y26,$BB$7)),$BB$6,IF(OR(COUNTIF('1.연간시수표'!Y26,$BC$9),COUNTIF('1.연간시수표'!Y26,$BC$7)),$BC$6,IF(OR(COUNTIF('1.연간시수표'!Y26,$BF$9),COUNTIF('1.연간시수표'!Y26,$BF$7),COUNTIF('1.연간시수표'!Y26,$BG$9),COUNTIF('1.연간시수표'!Y26,$BG$7),COUNTIF('1.연간시수표'!Y26,$BH$9),COUNTIF('1.연간시수표'!Y26,$BH$7),COUNTIF('1.연간시수표'!Y26,$BI$9),COUNTIF('1.연간시수표'!Y26,$BI$7),COUNTIF('1.연간시수표'!Y26,$BJ$9),COUNTIF('1.연간시수표'!Y26,$BJ$7),COUNTIF('1.연간시수표'!Y26,$BK$9),COUNTIF('1.연간시수표'!Y26,$BK$7),COUNTIF('1.연간시수표'!Y26,$BL$9),COUNTIF('1.연간시수표'!Y26,$BL$7),COUNTIF('1.연간시수표'!Y26,$BM$9),COUNTIF('1.연간시수표'!Y26,$BM$7)),$BF$6,IF(OR(COUNTIF('1.연간시수표'!Y26,$BO$9),COUNTIF('1.연간시수표'!Y26,$BO$7)),$BO$6,IF(OR(COUNTIF('1.연간시수표'!Y26,$BP$9),COUNTIF('1.연간시수표'!Y26,$BP$7)),$BP$6,IF(OR(COUNTIF('1.연간시수표'!Y26,$BQ$9),COUNTIF('1.연간시수표'!Y26,$BQ$7)),$BQ$6,IF(OR(COUNTIF('1.연간시수표'!Y26,$BR$9),COUNTIF('1.연간시수표'!Y26,$BR$7)),$BR$6,"_")))))))))))))))</f>
        <v>도덕</v>
      </c>
      <c r="Z26" s="148" t="str">
        <f>IF(OR(COUNTIF('1.연간시수표'!Z26,$AT$9),COUNTIF('1.연간시수표'!Z26,$AT$7)),$AT$6,IF(OR(COUNTIF('1.연간시수표'!Z26,$AU$9),COUNTIF('1.연간시수표'!Z26,$AU$7)),$AU$6,IF(OR(COUNTIF('1.연간시수표'!Z26,$AV$9),COUNTIF('1.연간시수표'!Z26,$AV$7)),$AV$6,IF(OR(COUNTIF('1.연간시수표'!Z26,$AW$9),COUNTIF('1.연간시수표'!Z26,$AW$7)),$AW$6,IF(OR(COUNTIF('1.연간시수표'!Z26,$AX$9),COUNTIF('1.연간시수표'!Z26,$AX$7)),$AX$6,IF(OR(COUNTIF('1.연간시수표'!Z26,$AY$9),COUNTIF('1.연간시수표'!Z26,$AY$7)),$AY$6,IF(OR(COUNTIF('1.연간시수표'!Z26,$AZ$9),COUNTIF('1.연간시수표'!Z26,$AZ$7)),$AZ$6,IF(OR(COUNTIF('1.연간시수표'!Z26,$BA$9),COUNTIF('1.연간시수표'!Z26,$BA$7)),$BA$6,IF(OR(COUNTIF('1.연간시수표'!Z26,$BB$9),COUNTIF('1.연간시수표'!Z26,$BB$7)),$BB$6,IF(OR(COUNTIF('1.연간시수표'!Z26,$BC$9),COUNTIF('1.연간시수표'!Z26,$BC$7)),$BC$6,IF(OR(COUNTIF('1.연간시수표'!Z26,$BF$9),COUNTIF('1.연간시수표'!Z26,$BF$7),COUNTIF('1.연간시수표'!Z26,$BG$9),COUNTIF('1.연간시수표'!Z26,$BG$7),COUNTIF('1.연간시수표'!Z26,$BH$9),COUNTIF('1.연간시수표'!Z26,$BH$7),COUNTIF('1.연간시수표'!Z26,$BI$9),COUNTIF('1.연간시수표'!Z26,$BI$7),COUNTIF('1.연간시수표'!Z26,$BJ$9),COUNTIF('1.연간시수표'!Z26,$BJ$7),COUNTIF('1.연간시수표'!Z26,$BK$9),COUNTIF('1.연간시수표'!Z26,$BK$7),COUNTIF('1.연간시수표'!Z26,$BL$9),COUNTIF('1.연간시수표'!Z26,$BL$7),COUNTIF('1.연간시수표'!Z26,$BM$9),COUNTIF('1.연간시수표'!Z26,$BM$7)),$BF$6,IF(OR(COUNTIF('1.연간시수표'!Z26,$BO$9),COUNTIF('1.연간시수표'!Z26,$BO$7)),$BO$6,IF(OR(COUNTIF('1.연간시수표'!Z26,$BP$9),COUNTIF('1.연간시수표'!Z26,$BP$7)),$BP$6,IF(OR(COUNTIF('1.연간시수표'!Z26,$BQ$9),COUNTIF('1.연간시수표'!Z26,$BQ$7)),$BQ$6,IF(OR(COUNTIF('1.연간시수표'!Z26,$BR$9),COUNTIF('1.연간시수표'!Z26,$BR$7)),$BR$6,"_")))))))))))))))</f>
        <v>_</v>
      </c>
      <c r="AA26" s="148" t="str">
        <f>IF(OR(COUNTIF('1.연간시수표'!AA26,$AT$9),COUNTIF('1.연간시수표'!AA26,$AT$7)),$AT$6,IF(OR(COUNTIF('1.연간시수표'!AA26,$AU$9),COUNTIF('1.연간시수표'!AA26,$AU$7)),$AU$6,IF(OR(COUNTIF('1.연간시수표'!AA26,$AV$9),COUNTIF('1.연간시수표'!AA26,$AV$7)),$AV$6,IF(OR(COUNTIF('1.연간시수표'!AA26,$AW$9),COUNTIF('1.연간시수표'!AA26,$AW$7)),$AW$6,IF(OR(COUNTIF('1.연간시수표'!AA26,$AX$9),COUNTIF('1.연간시수표'!AA26,$AX$7)),$AX$6,IF(OR(COUNTIF('1.연간시수표'!AA26,$AY$9),COUNTIF('1.연간시수표'!AA26,$AY$7)),$AY$6,IF(OR(COUNTIF('1.연간시수표'!AA26,$AZ$9),COUNTIF('1.연간시수표'!AA26,$AZ$7)),$AZ$6,IF(OR(COUNTIF('1.연간시수표'!AA26,$BA$9),COUNTIF('1.연간시수표'!AA26,$BA$7)),$BA$6,IF(OR(COUNTIF('1.연간시수표'!AA26,$BB$9),COUNTIF('1.연간시수표'!AA26,$BB$7)),$BB$6,IF(OR(COUNTIF('1.연간시수표'!AA26,$BC$9),COUNTIF('1.연간시수표'!AA26,$BC$7)),$BC$6,IF(OR(COUNTIF('1.연간시수표'!AA26,$BF$9),COUNTIF('1.연간시수표'!AA26,$BF$7),COUNTIF('1.연간시수표'!AA26,$BG$9),COUNTIF('1.연간시수표'!AA26,$BG$7),COUNTIF('1.연간시수표'!AA26,$BH$9),COUNTIF('1.연간시수표'!AA26,$BH$7),COUNTIF('1.연간시수표'!AA26,$BI$9),COUNTIF('1.연간시수표'!AA26,$BI$7),COUNTIF('1.연간시수표'!AA26,$BJ$9),COUNTIF('1.연간시수표'!AA26,$BJ$7),COUNTIF('1.연간시수표'!AA26,$BK$9),COUNTIF('1.연간시수표'!AA26,$BK$7),COUNTIF('1.연간시수표'!AA26,$BL$9),COUNTIF('1.연간시수표'!AA26,$BL$7),COUNTIF('1.연간시수표'!AA26,$BM$9),COUNTIF('1.연간시수표'!AA26,$BM$7)),$BF$6,IF(OR(COUNTIF('1.연간시수표'!AA26,$BO$9),COUNTIF('1.연간시수표'!AA26,$BO$7)),$BO$6,IF(OR(COUNTIF('1.연간시수표'!AA26,$BP$9),COUNTIF('1.연간시수표'!AA26,$BP$7)),$BP$6,IF(OR(COUNTIF('1.연간시수표'!AA26,$BQ$9),COUNTIF('1.연간시수표'!AA26,$BQ$7)),$BQ$6,IF(OR(COUNTIF('1.연간시수표'!AA26,$BR$9),COUNTIF('1.연간시수표'!AA26,$BR$7)),$BR$6,"_")))))))))))))))</f>
        <v>_</v>
      </c>
      <c r="AB26" s="148" t="str">
        <f>IF(OR(COUNTIF('1.연간시수표'!AB26,$AT$9),COUNTIF('1.연간시수표'!AB26,$AT$7)),$AT$6,IF(OR(COUNTIF('1.연간시수표'!AB26,$AU$9),COUNTIF('1.연간시수표'!AB26,$AU$7)),$AU$6,IF(OR(COUNTIF('1.연간시수표'!AB26,$AV$9),COUNTIF('1.연간시수표'!AB26,$AV$7)),$AV$6,IF(OR(COUNTIF('1.연간시수표'!AB26,$AW$9),COUNTIF('1.연간시수표'!AB26,$AW$7)),$AW$6,IF(OR(COUNTIF('1.연간시수표'!AB26,$AX$9),COUNTIF('1.연간시수표'!AB26,$AX$7)),$AX$6,IF(OR(COUNTIF('1.연간시수표'!AB26,$AY$9),COUNTIF('1.연간시수표'!AB26,$AY$7)),$AY$6,IF(OR(COUNTIF('1.연간시수표'!AB26,$AZ$9),COUNTIF('1.연간시수표'!AB26,$AZ$7)),$AZ$6,IF(OR(COUNTIF('1.연간시수표'!AB26,$BA$9),COUNTIF('1.연간시수표'!AB26,$BA$7)),$BA$6,IF(OR(COUNTIF('1.연간시수표'!AB26,$BB$9),COUNTIF('1.연간시수표'!AB26,$BB$7)),$BB$6,IF(OR(COUNTIF('1.연간시수표'!AB26,$BC$9),COUNTIF('1.연간시수표'!AB26,$BC$7)),$BC$6,IF(OR(COUNTIF('1.연간시수표'!AB26,$BF$9),COUNTIF('1.연간시수표'!AB26,$BF$7),COUNTIF('1.연간시수표'!AB26,$BG$9),COUNTIF('1.연간시수표'!AB26,$BG$7),COUNTIF('1.연간시수표'!AB26,$BH$9),COUNTIF('1.연간시수표'!AB26,$BH$7),COUNTIF('1.연간시수표'!AB26,$BI$9),COUNTIF('1.연간시수표'!AB26,$BI$7),COUNTIF('1.연간시수표'!AB26,$BJ$9),COUNTIF('1.연간시수표'!AB26,$BJ$7),COUNTIF('1.연간시수표'!AB26,$BK$9),COUNTIF('1.연간시수표'!AB26,$BK$7),COUNTIF('1.연간시수표'!AB26,$BL$9),COUNTIF('1.연간시수표'!AB26,$BL$7),COUNTIF('1.연간시수표'!AB26,$BM$9),COUNTIF('1.연간시수표'!AB26,$BM$7)),$BF$6,IF(OR(COUNTIF('1.연간시수표'!AB26,$BO$9),COUNTIF('1.연간시수표'!AB26,$BO$7)),$BO$6,IF(OR(COUNTIF('1.연간시수표'!AB26,$BP$9),COUNTIF('1.연간시수표'!AB26,$BP$7)),$BP$6,IF(OR(COUNTIF('1.연간시수표'!AB26,$BQ$9),COUNTIF('1.연간시수표'!AB26,$BQ$7)),$BQ$6,IF(OR(COUNTIF('1.연간시수표'!AB26,$BR$9),COUNTIF('1.연간시수표'!AB26,$BR$7)),$BR$6,"_")))))))))))))))</f>
        <v>_</v>
      </c>
      <c r="AC26" s="148" t="str">
        <f>IF(OR(COUNTIF('1.연간시수표'!AC26,$AT$9),COUNTIF('1.연간시수표'!AC26,$AT$7)),$AT$6,IF(OR(COUNTIF('1.연간시수표'!AC26,$AU$9),COUNTIF('1.연간시수표'!AC26,$AU$7)),$AU$6,IF(OR(COUNTIF('1.연간시수표'!AC26,$AV$9),COUNTIF('1.연간시수표'!AC26,$AV$7)),$AV$6,IF(OR(COUNTIF('1.연간시수표'!AC26,$AW$9),COUNTIF('1.연간시수표'!AC26,$AW$7)),$AW$6,IF(OR(COUNTIF('1.연간시수표'!AC26,$AX$9),COUNTIF('1.연간시수표'!AC26,$AX$7)),$AX$6,IF(OR(COUNTIF('1.연간시수표'!AC26,$AY$9),COUNTIF('1.연간시수표'!AC26,$AY$7)),$AY$6,IF(OR(COUNTIF('1.연간시수표'!AC26,$AZ$9),COUNTIF('1.연간시수표'!AC26,$AZ$7)),$AZ$6,IF(OR(COUNTIF('1.연간시수표'!AC26,$BA$9),COUNTIF('1.연간시수표'!AC26,$BA$7)),$BA$6,IF(OR(COUNTIF('1.연간시수표'!AC26,$BB$9),COUNTIF('1.연간시수표'!AC26,$BB$7)),$BB$6,IF(OR(COUNTIF('1.연간시수표'!AC26,$BC$9),COUNTIF('1.연간시수표'!AC26,$BC$7)),$BC$6,IF(OR(COUNTIF('1.연간시수표'!AC26,$BF$9),COUNTIF('1.연간시수표'!AC26,$BF$7),COUNTIF('1.연간시수표'!AC26,$BG$9),COUNTIF('1.연간시수표'!AC26,$BG$7),COUNTIF('1.연간시수표'!AC26,$BH$9),COUNTIF('1.연간시수표'!AC26,$BH$7),COUNTIF('1.연간시수표'!AC26,$BI$9),COUNTIF('1.연간시수표'!AC26,$BI$7),COUNTIF('1.연간시수표'!AC26,$BJ$9),COUNTIF('1.연간시수표'!AC26,$BJ$7),COUNTIF('1.연간시수표'!AC26,$BK$9),COUNTIF('1.연간시수표'!AC26,$BK$7),COUNTIF('1.연간시수표'!AC26,$BL$9),COUNTIF('1.연간시수표'!AC26,$BL$7),COUNTIF('1.연간시수표'!AC26,$BM$9),COUNTIF('1.연간시수표'!AC26,$BM$7)),$BF$6,IF(OR(COUNTIF('1.연간시수표'!AC26,$BO$9),COUNTIF('1.연간시수표'!AC26,$BO$7)),$BO$6,IF(OR(COUNTIF('1.연간시수표'!AC26,$BP$9),COUNTIF('1.연간시수표'!AC26,$BP$7)),$BP$6,IF(OR(COUNTIF('1.연간시수표'!AC26,$BQ$9),COUNTIF('1.연간시수표'!AC26,$BQ$7)),$BQ$6,IF(OR(COUNTIF('1.연간시수표'!AC26,$BR$9),COUNTIF('1.연간시수표'!AC26,$BR$7)),$BR$6,"_")))))))))))))))</f>
        <v>국어</v>
      </c>
      <c r="AD26" s="148" t="str">
        <f>IF(OR(COUNTIF('1.연간시수표'!AD26,$AT$9),COUNTIF('1.연간시수표'!AD26,$AT$7)),$AT$6,IF(OR(COUNTIF('1.연간시수표'!AD26,$AU$9),COUNTIF('1.연간시수표'!AD26,$AU$7)),$AU$6,IF(OR(COUNTIF('1.연간시수표'!AD26,$AV$9),COUNTIF('1.연간시수표'!AD26,$AV$7)),$AV$6,IF(OR(COUNTIF('1.연간시수표'!AD26,$AW$9),COUNTIF('1.연간시수표'!AD26,$AW$7)),$AW$6,IF(OR(COUNTIF('1.연간시수표'!AD26,$AX$9),COUNTIF('1.연간시수표'!AD26,$AX$7)),$AX$6,IF(OR(COUNTIF('1.연간시수표'!AD26,$AY$9),COUNTIF('1.연간시수표'!AD26,$AY$7)),$AY$6,IF(OR(COUNTIF('1.연간시수표'!AD26,$AZ$9),COUNTIF('1.연간시수표'!AD26,$AZ$7)),$AZ$6,IF(OR(COUNTIF('1.연간시수표'!AD26,$BA$9),COUNTIF('1.연간시수표'!AD26,$BA$7)),$BA$6,IF(OR(COUNTIF('1.연간시수표'!AD26,$BB$9),COUNTIF('1.연간시수표'!AD26,$BB$7)),$BB$6,IF(OR(COUNTIF('1.연간시수표'!AD26,$BC$9),COUNTIF('1.연간시수표'!AD26,$BC$7)),$BC$6,IF(OR(COUNTIF('1.연간시수표'!AD26,$BF$9),COUNTIF('1.연간시수표'!AD26,$BF$7),COUNTIF('1.연간시수표'!AD26,$BG$9),COUNTIF('1.연간시수표'!AD26,$BG$7),COUNTIF('1.연간시수표'!AD26,$BH$9),COUNTIF('1.연간시수표'!AD26,$BH$7),COUNTIF('1.연간시수표'!AD26,$BI$9),COUNTIF('1.연간시수표'!AD26,$BI$7),COUNTIF('1.연간시수표'!AD26,$BJ$9),COUNTIF('1.연간시수표'!AD26,$BJ$7),COUNTIF('1.연간시수표'!AD26,$BK$9),COUNTIF('1.연간시수표'!AD26,$BK$7),COUNTIF('1.연간시수표'!AD26,$BL$9),COUNTIF('1.연간시수표'!AD26,$BL$7),COUNTIF('1.연간시수표'!AD26,$BM$9),COUNTIF('1.연간시수표'!AD26,$BM$7)),$BF$6,IF(OR(COUNTIF('1.연간시수표'!AD26,$BO$9),COUNTIF('1.연간시수표'!AD26,$BO$7)),$BO$6,IF(OR(COUNTIF('1.연간시수표'!AD26,$BP$9),COUNTIF('1.연간시수표'!AD26,$BP$7)),$BP$6,IF(OR(COUNTIF('1.연간시수표'!AD26,$BQ$9),COUNTIF('1.연간시수표'!AD26,$BQ$7)),$BQ$6,IF(OR(COUNTIF('1.연간시수표'!AD26,$BR$9),COUNTIF('1.연간시수표'!AD26,$BR$7)),$BR$6,"_")))))))))))))))</f>
        <v>수학</v>
      </c>
      <c r="AE26" s="148" t="str">
        <f>IF(OR(COUNTIF('1.연간시수표'!AE26,$AT$9),COUNTIF('1.연간시수표'!AE26,$AT$7)),$AT$6,IF(OR(COUNTIF('1.연간시수표'!AE26,$AU$9),COUNTIF('1.연간시수표'!AE26,$AU$7)),$AU$6,IF(OR(COUNTIF('1.연간시수표'!AE26,$AV$9),COUNTIF('1.연간시수표'!AE26,$AV$7)),$AV$6,IF(OR(COUNTIF('1.연간시수표'!AE26,$AW$9),COUNTIF('1.연간시수표'!AE26,$AW$7)),$AW$6,IF(OR(COUNTIF('1.연간시수표'!AE26,$AX$9),COUNTIF('1.연간시수표'!AE26,$AX$7)),$AX$6,IF(OR(COUNTIF('1.연간시수표'!AE26,$AY$9),COUNTIF('1.연간시수표'!AE26,$AY$7)),$AY$6,IF(OR(COUNTIF('1.연간시수표'!AE26,$AZ$9),COUNTIF('1.연간시수표'!AE26,$AZ$7)),$AZ$6,IF(OR(COUNTIF('1.연간시수표'!AE26,$BA$9),COUNTIF('1.연간시수표'!AE26,$BA$7)),$BA$6,IF(OR(COUNTIF('1.연간시수표'!AE26,$BB$9),COUNTIF('1.연간시수표'!AE26,$BB$7)),$BB$6,IF(OR(COUNTIF('1.연간시수표'!AE26,$BC$9),COUNTIF('1.연간시수표'!AE26,$BC$7)),$BC$6,IF(OR(COUNTIF('1.연간시수표'!AE26,$BF$9),COUNTIF('1.연간시수표'!AE26,$BF$7),COUNTIF('1.연간시수표'!AE26,$BG$9),COUNTIF('1.연간시수표'!AE26,$BG$7),COUNTIF('1.연간시수표'!AE26,$BH$9),COUNTIF('1.연간시수표'!AE26,$BH$7),COUNTIF('1.연간시수표'!AE26,$BI$9),COUNTIF('1.연간시수표'!AE26,$BI$7),COUNTIF('1.연간시수표'!AE26,$BJ$9),COUNTIF('1.연간시수표'!AE26,$BJ$7),COUNTIF('1.연간시수표'!AE26,$BK$9),COUNTIF('1.연간시수표'!AE26,$BK$7),COUNTIF('1.연간시수표'!AE26,$BL$9),COUNTIF('1.연간시수표'!AE26,$BL$7),COUNTIF('1.연간시수표'!AE26,$BM$9),COUNTIF('1.연간시수표'!AE26,$BM$7)),$BF$6,IF(OR(COUNTIF('1.연간시수표'!AE26,$BO$9),COUNTIF('1.연간시수표'!AE26,$BO$7)),$BO$6,IF(OR(COUNTIF('1.연간시수표'!AE26,$BP$9),COUNTIF('1.연간시수표'!AE26,$BP$7)),$BP$6,IF(OR(COUNTIF('1.연간시수표'!AE26,$BQ$9),COUNTIF('1.연간시수표'!AE26,$BQ$7)),$BQ$6,IF(OR(COUNTIF('1.연간시수표'!AE26,$BR$9),COUNTIF('1.연간시수표'!AE26,$BR$7)),$BR$6,"_")))))))))))))))</f>
        <v>사회</v>
      </c>
      <c r="AF26" s="148" t="str">
        <f>IF(OR(COUNTIF('1.연간시수표'!AF26,$AT$9),COUNTIF('1.연간시수표'!AF26,$AT$7)),$AT$6,IF(OR(COUNTIF('1.연간시수표'!AF26,$AU$9),COUNTIF('1.연간시수표'!AF26,$AU$7)),$AU$6,IF(OR(COUNTIF('1.연간시수표'!AF26,$AV$9),COUNTIF('1.연간시수표'!AF26,$AV$7)),$AV$6,IF(OR(COUNTIF('1.연간시수표'!AF26,$AW$9),COUNTIF('1.연간시수표'!AF26,$AW$7)),$AW$6,IF(OR(COUNTIF('1.연간시수표'!AF26,$AX$9),COUNTIF('1.연간시수표'!AF26,$AX$7)),$AX$6,IF(OR(COUNTIF('1.연간시수표'!AF26,$AY$9),COUNTIF('1.연간시수표'!AF26,$AY$7)),$AY$6,IF(OR(COUNTIF('1.연간시수표'!AF26,$AZ$9),COUNTIF('1.연간시수표'!AF26,$AZ$7)),$AZ$6,IF(OR(COUNTIF('1.연간시수표'!AF26,$BA$9),COUNTIF('1.연간시수표'!AF26,$BA$7)),$BA$6,IF(OR(COUNTIF('1.연간시수표'!AF26,$BB$9),COUNTIF('1.연간시수표'!AF26,$BB$7)),$BB$6,IF(OR(COUNTIF('1.연간시수표'!AF26,$BC$9),COUNTIF('1.연간시수표'!AF26,$BC$7)),$BC$6,IF(OR(COUNTIF('1.연간시수표'!AF26,$BF$9),COUNTIF('1.연간시수표'!AF26,$BF$7),COUNTIF('1.연간시수표'!AF26,$BG$9),COUNTIF('1.연간시수표'!AF26,$BG$7),COUNTIF('1.연간시수표'!AF26,$BH$9),COUNTIF('1.연간시수표'!AF26,$BH$7),COUNTIF('1.연간시수표'!AF26,$BI$9),COUNTIF('1.연간시수표'!AF26,$BI$7),COUNTIF('1.연간시수표'!AF26,$BJ$9),COUNTIF('1.연간시수표'!AF26,$BJ$7),COUNTIF('1.연간시수표'!AF26,$BK$9),COUNTIF('1.연간시수표'!AF26,$BK$7),COUNTIF('1.연간시수표'!AF26,$BL$9),COUNTIF('1.연간시수표'!AF26,$BL$7),COUNTIF('1.연간시수표'!AF26,$BM$9),COUNTIF('1.연간시수표'!AF26,$BM$7)),$BF$6,IF(OR(COUNTIF('1.연간시수표'!AF26,$BO$9),COUNTIF('1.연간시수표'!AF26,$BO$7)),$BO$6,IF(OR(COUNTIF('1.연간시수표'!AF26,$BP$9),COUNTIF('1.연간시수표'!AF26,$BP$7)),$BP$6,IF(OR(COUNTIF('1.연간시수표'!AF26,$BQ$9),COUNTIF('1.연간시수표'!AF26,$BQ$7)),$BQ$6,IF(OR(COUNTIF('1.연간시수표'!AF26,$BR$9),COUNTIF('1.연간시수표'!AF26,$BR$7)),$BR$6,"_")))))))))))))))</f>
        <v>영어</v>
      </c>
      <c r="AG26" s="148" t="str">
        <f>IF(OR(COUNTIF('1.연간시수표'!AG26,$AT$9),COUNTIF('1.연간시수표'!AG26,$AT$7)),$AT$6,IF(OR(COUNTIF('1.연간시수표'!AG26,$AU$9),COUNTIF('1.연간시수표'!AG26,$AU$7)),$AU$6,IF(OR(COUNTIF('1.연간시수표'!AG26,$AV$9),COUNTIF('1.연간시수표'!AG26,$AV$7)),$AV$6,IF(OR(COUNTIF('1.연간시수표'!AG26,$AW$9),COUNTIF('1.연간시수표'!AG26,$AW$7)),$AW$6,IF(OR(COUNTIF('1.연간시수표'!AG26,$AX$9),COUNTIF('1.연간시수표'!AG26,$AX$7)),$AX$6,IF(OR(COUNTIF('1.연간시수표'!AG26,$AY$9),COUNTIF('1.연간시수표'!AG26,$AY$7)),$AY$6,IF(OR(COUNTIF('1.연간시수표'!AG26,$AZ$9),COUNTIF('1.연간시수표'!AG26,$AZ$7)),$AZ$6,IF(OR(COUNTIF('1.연간시수표'!AG26,$BA$9),COUNTIF('1.연간시수표'!AG26,$BA$7)),$BA$6,IF(OR(COUNTIF('1.연간시수표'!AG26,$BB$9),COUNTIF('1.연간시수표'!AG26,$BB$7)),$BB$6,IF(OR(COUNTIF('1.연간시수표'!AG26,$BC$9),COUNTIF('1.연간시수표'!AG26,$BC$7)),$BC$6,IF(OR(COUNTIF('1.연간시수표'!AG26,$BF$9),COUNTIF('1.연간시수표'!AG26,$BF$7),COUNTIF('1.연간시수표'!AG26,$BG$9),COUNTIF('1.연간시수표'!AG26,$BG$7),COUNTIF('1.연간시수표'!AG26,$BH$9),COUNTIF('1.연간시수표'!AG26,$BH$7),COUNTIF('1.연간시수표'!AG26,$BI$9),COUNTIF('1.연간시수표'!AG26,$BI$7),COUNTIF('1.연간시수표'!AG26,$BJ$9),COUNTIF('1.연간시수표'!AG26,$BJ$7),COUNTIF('1.연간시수표'!AG26,$BK$9),COUNTIF('1.연간시수표'!AG26,$BK$7),COUNTIF('1.연간시수표'!AG26,$BL$9),COUNTIF('1.연간시수표'!AG26,$BL$7),COUNTIF('1.연간시수표'!AG26,$BM$9),COUNTIF('1.연간시수표'!AG26,$BM$7)),$BF$6,IF(OR(COUNTIF('1.연간시수표'!AG26,$BO$9),COUNTIF('1.연간시수표'!AG26,$BO$7)),$BO$6,IF(OR(COUNTIF('1.연간시수표'!AG26,$BP$9),COUNTIF('1.연간시수표'!AG26,$BP$7)),$BP$6,IF(OR(COUNTIF('1.연간시수표'!AG26,$BQ$9),COUNTIF('1.연간시수표'!AG26,$BQ$7)),$BQ$6,IF(OR(COUNTIF('1.연간시수표'!AG26,$BR$9),COUNTIF('1.연간시수표'!AG26,$BR$7)),$BR$6,"_")))))))))))))))</f>
        <v>동아리활동</v>
      </c>
      <c r="AH26" s="148" t="str">
        <f>IF(OR(COUNTIF('1.연간시수표'!AH26,$AT$9),COUNTIF('1.연간시수표'!AH26,$AT$7)),$AT$6,IF(OR(COUNTIF('1.연간시수표'!AH26,$AU$9),COUNTIF('1.연간시수표'!AH26,$AU$7)),$AU$6,IF(OR(COUNTIF('1.연간시수표'!AH26,$AV$9),COUNTIF('1.연간시수표'!AH26,$AV$7)),$AV$6,IF(OR(COUNTIF('1.연간시수표'!AH26,$AW$9),COUNTIF('1.연간시수표'!AH26,$AW$7)),$AW$6,IF(OR(COUNTIF('1.연간시수표'!AH26,$AX$9),COUNTIF('1.연간시수표'!AH26,$AX$7)),$AX$6,IF(OR(COUNTIF('1.연간시수표'!AH26,$AY$9),COUNTIF('1.연간시수표'!AH26,$AY$7)),$AY$6,IF(OR(COUNTIF('1.연간시수표'!AH26,$AZ$9),COUNTIF('1.연간시수표'!AH26,$AZ$7)),$AZ$6,IF(OR(COUNTIF('1.연간시수표'!AH26,$BA$9),COUNTIF('1.연간시수표'!AH26,$BA$7)),$BA$6,IF(OR(COUNTIF('1.연간시수표'!AH26,$BB$9),COUNTIF('1.연간시수표'!AH26,$BB$7)),$BB$6,IF(OR(COUNTIF('1.연간시수표'!AH26,$BC$9),COUNTIF('1.연간시수표'!AH26,$BC$7)),$BC$6,IF(OR(COUNTIF('1.연간시수표'!AH26,$BF$9),COUNTIF('1.연간시수표'!AH26,$BF$7),COUNTIF('1.연간시수표'!AH26,$BG$9),COUNTIF('1.연간시수표'!AH26,$BG$7),COUNTIF('1.연간시수표'!AH26,$BH$9),COUNTIF('1.연간시수표'!AH26,$BH$7),COUNTIF('1.연간시수표'!AH26,$BI$9),COUNTIF('1.연간시수표'!AH26,$BI$7),COUNTIF('1.연간시수표'!AH26,$BJ$9),COUNTIF('1.연간시수표'!AH26,$BJ$7),COUNTIF('1.연간시수표'!AH26,$BK$9),COUNTIF('1.연간시수표'!AH26,$BK$7),COUNTIF('1.연간시수표'!AH26,$BL$9),COUNTIF('1.연간시수표'!AH26,$BL$7),COUNTIF('1.연간시수표'!AH26,$BM$9),COUNTIF('1.연간시수표'!AH26,$BM$7)),$BF$6,IF(OR(COUNTIF('1.연간시수표'!AH26,$BO$9),COUNTIF('1.연간시수표'!AH26,$BO$7)),$BO$6,IF(OR(COUNTIF('1.연간시수표'!AH26,$BP$9),COUNTIF('1.연간시수표'!AH26,$BP$7)),$BP$6,IF(OR(COUNTIF('1.연간시수표'!AH26,$BQ$9),COUNTIF('1.연간시수표'!AH26,$BQ$7)),$BQ$6,IF(OR(COUNTIF('1.연간시수표'!AH26,$BR$9),COUNTIF('1.연간시수표'!AH26,$BR$7)),$BR$6,"_")))))))))))))))</f>
        <v>동아리활동</v>
      </c>
      <c r="AI26" s="148" t="str">
        <f>IF(OR(COUNTIF('1.연간시수표'!AI26,$AT$9),COUNTIF('1.연간시수표'!AI26,$AT$7)),$AT$6,IF(OR(COUNTIF('1.연간시수표'!AI26,$AU$9),COUNTIF('1.연간시수표'!AI26,$AU$7)),$AU$6,IF(OR(COUNTIF('1.연간시수표'!AI26,$AV$9),COUNTIF('1.연간시수표'!AI26,$AV$7)),$AV$6,IF(OR(COUNTIF('1.연간시수표'!AI26,$AW$9),COUNTIF('1.연간시수표'!AI26,$AW$7)),$AW$6,IF(OR(COUNTIF('1.연간시수표'!AI26,$AX$9),COUNTIF('1.연간시수표'!AI26,$AX$7)),$AX$6,IF(OR(COUNTIF('1.연간시수표'!AI26,$AY$9),COUNTIF('1.연간시수표'!AI26,$AY$7)),$AY$6,IF(OR(COUNTIF('1.연간시수표'!AI26,$AZ$9),COUNTIF('1.연간시수표'!AI26,$AZ$7)),$AZ$6,IF(OR(COUNTIF('1.연간시수표'!AI26,$BA$9),COUNTIF('1.연간시수표'!AI26,$BA$7)),$BA$6,IF(OR(COUNTIF('1.연간시수표'!AI26,$BB$9),COUNTIF('1.연간시수표'!AI26,$BB$7)),$BB$6,IF(OR(COUNTIF('1.연간시수표'!AI26,$BC$9),COUNTIF('1.연간시수표'!AI26,$BC$7)),$BC$6,IF(OR(COUNTIF('1.연간시수표'!AI26,$BF$9),COUNTIF('1.연간시수표'!AI26,$BF$7),COUNTIF('1.연간시수표'!AI26,$BG$9),COUNTIF('1.연간시수표'!AI26,$BG$7),COUNTIF('1.연간시수표'!AI26,$BH$9),COUNTIF('1.연간시수표'!AI26,$BH$7),COUNTIF('1.연간시수표'!AI26,$BI$9),COUNTIF('1.연간시수표'!AI26,$BI$7),COUNTIF('1.연간시수표'!AI26,$BJ$9),COUNTIF('1.연간시수표'!AI26,$BJ$7),COUNTIF('1.연간시수표'!AI26,$BK$9),COUNTIF('1.연간시수표'!AI26,$BK$7),COUNTIF('1.연간시수표'!AI26,$BL$9),COUNTIF('1.연간시수표'!AI26,$BL$7),COUNTIF('1.연간시수표'!AI26,$BM$9),COUNTIF('1.연간시수표'!AI26,$BM$7)),$BF$6,IF(OR(COUNTIF('1.연간시수표'!AI26,$BO$9),COUNTIF('1.연간시수표'!AI26,$BO$7)),$BO$6,IF(OR(COUNTIF('1.연간시수표'!AI26,$BP$9),COUNTIF('1.연간시수표'!AI26,$BP$7)),$BP$6,IF(OR(COUNTIF('1.연간시수표'!AI26,$BQ$9),COUNTIF('1.연간시수표'!AI26,$BQ$7)),$BQ$6,IF(OR(COUNTIF('1.연간시수표'!AI26,$BR$9),COUNTIF('1.연간시수표'!AI26,$BR$7)),$BR$6,"_")))))))))))))))</f>
        <v>_</v>
      </c>
      <c r="AJ26" s="148" t="str">
        <f>IF(OR(COUNTIF('1.연간시수표'!AJ26,$AT$9),COUNTIF('1.연간시수표'!AJ26,$AT$7)),$AT$6,IF(OR(COUNTIF('1.연간시수표'!AJ26,$AU$9),COUNTIF('1.연간시수표'!AJ26,$AU$7)),$AU$6,IF(OR(COUNTIF('1.연간시수표'!AJ26,$AV$9),COUNTIF('1.연간시수표'!AJ26,$AV$7)),$AV$6,IF(OR(COUNTIF('1.연간시수표'!AJ26,$AW$9),COUNTIF('1.연간시수표'!AJ26,$AW$7)),$AW$6,IF(OR(COUNTIF('1.연간시수표'!AJ26,$AX$9),COUNTIF('1.연간시수표'!AJ26,$AX$7)),$AX$6,IF(OR(COUNTIF('1.연간시수표'!AJ26,$AY$9),COUNTIF('1.연간시수표'!AJ26,$AY$7)),$AY$6,IF(OR(COUNTIF('1.연간시수표'!AJ26,$AZ$9),COUNTIF('1.연간시수표'!AJ26,$AZ$7)),$AZ$6,IF(OR(COUNTIF('1.연간시수표'!AJ26,$BA$9),COUNTIF('1.연간시수표'!AJ26,$BA$7)),$BA$6,IF(OR(COUNTIF('1.연간시수표'!AJ26,$BB$9),COUNTIF('1.연간시수표'!AJ26,$BB$7)),$BB$6,IF(OR(COUNTIF('1.연간시수표'!AJ26,$BC$9),COUNTIF('1.연간시수표'!AJ26,$BC$7)),$BC$6,IF(OR(COUNTIF('1.연간시수표'!AJ26,$BF$9),COUNTIF('1.연간시수표'!AJ26,$BF$7),COUNTIF('1.연간시수표'!AJ26,$BG$9),COUNTIF('1.연간시수표'!AJ26,$BG$7),COUNTIF('1.연간시수표'!AJ26,$BH$9),COUNTIF('1.연간시수표'!AJ26,$BH$7),COUNTIF('1.연간시수표'!AJ26,$BI$9),COUNTIF('1.연간시수표'!AJ26,$BI$7),COUNTIF('1.연간시수표'!AJ26,$BJ$9),COUNTIF('1.연간시수표'!AJ26,$BJ$7),COUNTIF('1.연간시수표'!AJ26,$BK$9),COUNTIF('1.연간시수표'!AJ26,$BK$7),COUNTIF('1.연간시수표'!AJ26,$BL$9),COUNTIF('1.연간시수표'!AJ26,$BL$7),COUNTIF('1.연간시수표'!AJ26,$BM$9),COUNTIF('1.연간시수표'!AJ26,$BM$7)),$BF$6,IF(OR(COUNTIF('1.연간시수표'!AJ26,$BO$9),COUNTIF('1.연간시수표'!AJ26,$BO$7)),$BO$6,IF(OR(COUNTIF('1.연간시수표'!AJ26,$BP$9),COUNTIF('1.연간시수표'!AJ26,$BP$7)),$BP$6,IF(OR(COUNTIF('1.연간시수표'!AJ26,$BQ$9),COUNTIF('1.연간시수표'!AJ26,$BQ$7)),$BQ$6,IF(OR(COUNTIF('1.연간시수표'!AJ26,$BR$9),COUNTIF('1.연간시수표'!AJ26,$BR$7)),$BR$6,"_")))))))))))))))</f>
        <v>_</v>
      </c>
      <c r="AK26" s="148" t="str">
        <f>IF(OR(COUNTIF('1.연간시수표'!AK26,$AT$9),COUNTIF('1.연간시수표'!AK26,$AT$7)),$AT$6,IF(OR(COUNTIF('1.연간시수표'!AK26,$AU$9),COUNTIF('1.연간시수표'!AK26,$AU$7)),$AU$6,IF(OR(COUNTIF('1.연간시수표'!AK26,$AV$9),COUNTIF('1.연간시수표'!AK26,$AV$7)),$AV$6,IF(OR(COUNTIF('1.연간시수표'!AK26,$AW$9),COUNTIF('1.연간시수표'!AK26,$AW$7)),$AW$6,IF(OR(COUNTIF('1.연간시수표'!AK26,$AX$9),COUNTIF('1.연간시수표'!AK26,$AX$7)),$AX$6,IF(OR(COUNTIF('1.연간시수표'!AK26,$AY$9),COUNTIF('1.연간시수표'!AK26,$AY$7)),$AY$6,IF(OR(COUNTIF('1.연간시수표'!AK26,$AZ$9),COUNTIF('1.연간시수표'!AK26,$AZ$7)),$AZ$6,IF(OR(COUNTIF('1.연간시수표'!AK26,$BA$9),COUNTIF('1.연간시수표'!AK26,$BA$7)),$BA$6,IF(OR(COUNTIF('1.연간시수표'!AK26,$BB$9),COUNTIF('1.연간시수표'!AK26,$BB$7)),$BB$6,IF(OR(COUNTIF('1.연간시수표'!AK26,$BC$9),COUNTIF('1.연간시수표'!AK26,$BC$7)),$BC$6,IF(OR(COUNTIF('1.연간시수표'!AK26,$BF$9),COUNTIF('1.연간시수표'!AK26,$BF$7),COUNTIF('1.연간시수표'!AK26,$BG$9),COUNTIF('1.연간시수표'!AK26,$BG$7),COUNTIF('1.연간시수표'!AK26,$BH$9),COUNTIF('1.연간시수표'!AK26,$BH$7),COUNTIF('1.연간시수표'!AK26,$BI$9),COUNTIF('1.연간시수표'!AK26,$BI$7),COUNTIF('1.연간시수표'!AK26,$BJ$9),COUNTIF('1.연간시수표'!AK26,$BJ$7),COUNTIF('1.연간시수표'!AK26,$BK$9),COUNTIF('1.연간시수표'!AK26,$BK$7),COUNTIF('1.연간시수표'!AK26,$BL$9),COUNTIF('1.연간시수표'!AK26,$BL$7),COUNTIF('1.연간시수표'!AK26,$BM$9),COUNTIF('1.연간시수표'!AK26,$BM$7)),$BF$6,IF(OR(COUNTIF('1.연간시수표'!AK26,$BO$9),COUNTIF('1.연간시수표'!AK26,$BO$7)),$BO$6,IF(OR(COUNTIF('1.연간시수표'!AK26,$BP$9),COUNTIF('1.연간시수표'!AK26,$BP$7)),$BP$6,IF(OR(COUNTIF('1.연간시수표'!AK26,$BQ$9),COUNTIF('1.연간시수표'!AK26,$BQ$7)),$BQ$6,IF(OR(COUNTIF('1.연간시수표'!AK26,$BR$9),COUNTIF('1.연간시수표'!AK26,$BR$7)),$BR$6,"_")))))))))))))))</f>
        <v>자율활동</v>
      </c>
      <c r="AL26" s="148" t="str">
        <f>IF(OR(COUNTIF('1.연간시수표'!AL26,$AT$9),COUNTIF('1.연간시수표'!AL26,$AT$7)),$AT$6,IF(OR(COUNTIF('1.연간시수표'!AL26,$AU$9),COUNTIF('1.연간시수표'!AL26,$AU$7)),$AU$6,IF(OR(COUNTIF('1.연간시수표'!AL26,$AV$9),COUNTIF('1.연간시수표'!AL26,$AV$7)),$AV$6,IF(OR(COUNTIF('1.연간시수표'!AL26,$AW$9),COUNTIF('1.연간시수표'!AL26,$AW$7)),$AW$6,IF(OR(COUNTIF('1.연간시수표'!AL26,$AX$9),COUNTIF('1.연간시수표'!AL26,$AX$7)),$AX$6,IF(OR(COUNTIF('1.연간시수표'!AL26,$AY$9),COUNTIF('1.연간시수표'!AL26,$AY$7)),$AY$6,IF(OR(COUNTIF('1.연간시수표'!AL26,$AZ$9),COUNTIF('1.연간시수표'!AL26,$AZ$7)),$AZ$6,IF(OR(COUNTIF('1.연간시수표'!AL26,$BA$9),COUNTIF('1.연간시수표'!AL26,$BA$7)),$BA$6,IF(OR(COUNTIF('1.연간시수표'!AL26,$BB$9),COUNTIF('1.연간시수표'!AL26,$BB$7)),$BB$6,IF(OR(COUNTIF('1.연간시수표'!AL26,$BC$9),COUNTIF('1.연간시수표'!AL26,$BC$7)),$BC$6,IF(OR(COUNTIF('1.연간시수표'!AL26,$BF$9),COUNTIF('1.연간시수표'!AL26,$BF$7),COUNTIF('1.연간시수표'!AL26,$BG$9),COUNTIF('1.연간시수표'!AL26,$BG$7),COUNTIF('1.연간시수표'!AL26,$BH$9),COUNTIF('1.연간시수표'!AL26,$BH$7),COUNTIF('1.연간시수표'!AL26,$BI$9),COUNTIF('1.연간시수표'!AL26,$BI$7),COUNTIF('1.연간시수표'!AL26,$BJ$9),COUNTIF('1.연간시수표'!AL26,$BJ$7),COUNTIF('1.연간시수표'!AL26,$BK$9),COUNTIF('1.연간시수표'!AL26,$BK$7),COUNTIF('1.연간시수표'!AL26,$BL$9),COUNTIF('1.연간시수표'!AL26,$BL$7),COUNTIF('1.연간시수표'!AL26,$BM$9),COUNTIF('1.연간시수표'!AL26,$BM$7)),$BF$6,IF(OR(COUNTIF('1.연간시수표'!AL26,$BO$9),COUNTIF('1.연간시수표'!AL26,$BO$7)),$BO$6,IF(OR(COUNTIF('1.연간시수표'!AL26,$BP$9),COUNTIF('1.연간시수표'!AL26,$BP$7)),$BP$6,IF(OR(COUNTIF('1.연간시수표'!AL26,$BQ$9),COUNTIF('1.연간시수표'!AL26,$BQ$7)),$BQ$6,IF(OR(COUNTIF('1.연간시수표'!AL26,$BR$9),COUNTIF('1.연간시수표'!AL26,$BR$7)),$BR$6,"_")))))))))))))))</f>
        <v>체육</v>
      </c>
      <c r="AM26" s="148" t="str">
        <f>IF(OR(COUNTIF('1.연간시수표'!AM26,$AT$9),COUNTIF('1.연간시수표'!AM26,$AT$7)),$AT$6,IF(OR(COUNTIF('1.연간시수표'!AM26,$AU$9),COUNTIF('1.연간시수표'!AM26,$AU$7)),$AU$6,IF(OR(COUNTIF('1.연간시수표'!AM26,$AV$9),COUNTIF('1.연간시수표'!AM26,$AV$7)),$AV$6,IF(OR(COUNTIF('1.연간시수표'!AM26,$AW$9),COUNTIF('1.연간시수표'!AM26,$AW$7)),$AW$6,IF(OR(COUNTIF('1.연간시수표'!AM26,$AX$9),COUNTIF('1.연간시수표'!AM26,$AX$7)),$AX$6,IF(OR(COUNTIF('1.연간시수표'!AM26,$AY$9),COUNTIF('1.연간시수표'!AM26,$AY$7)),$AY$6,IF(OR(COUNTIF('1.연간시수표'!AM26,$AZ$9),COUNTIF('1.연간시수표'!AM26,$AZ$7)),$AZ$6,IF(OR(COUNTIF('1.연간시수표'!AM26,$BA$9),COUNTIF('1.연간시수표'!AM26,$BA$7)),$BA$6,IF(OR(COUNTIF('1.연간시수표'!AM26,$BB$9),COUNTIF('1.연간시수표'!AM26,$BB$7)),$BB$6,IF(OR(COUNTIF('1.연간시수표'!AM26,$BC$9),COUNTIF('1.연간시수표'!AM26,$BC$7)),$BC$6,IF(OR(COUNTIF('1.연간시수표'!AM26,$BF$9),COUNTIF('1.연간시수표'!AM26,$BF$7),COUNTIF('1.연간시수표'!AM26,$BG$9),COUNTIF('1.연간시수표'!AM26,$BG$7),COUNTIF('1.연간시수표'!AM26,$BH$9),COUNTIF('1.연간시수표'!AM26,$BH$7),COUNTIF('1.연간시수표'!AM26,$BI$9),COUNTIF('1.연간시수표'!AM26,$BI$7),COUNTIF('1.연간시수표'!AM26,$BJ$9),COUNTIF('1.연간시수표'!AM26,$BJ$7),COUNTIF('1.연간시수표'!AM26,$BK$9),COUNTIF('1.연간시수표'!AM26,$BK$7),COUNTIF('1.연간시수표'!AM26,$BL$9),COUNTIF('1.연간시수표'!AM26,$BL$7),COUNTIF('1.연간시수표'!AM26,$BM$9),COUNTIF('1.연간시수표'!AM26,$BM$7)),$BF$6,IF(OR(COUNTIF('1.연간시수표'!AM26,$BO$9),COUNTIF('1.연간시수표'!AM26,$BO$7)),$BO$6,IF(OR(COUNTIF('1.연간시수표'!AM26,$BP$9),COUNTIF('1.연간시수표'!AM26,$BP$7)),$BP$6,IF(OR(COUNTIF('1.연간시수표'!AM26,$BQ$9),COUNTIF('1.연간시수표'!AM26,$BQ$7)),$BQ$6,IF(OR(COUNTIF('1.연간시수표'!AM26,$BR$9),COUNTIF('1.연간시수표'!AM26,$BR$7)),$BR$6,"_")))))))))))))))</f>
        <v>체육</v>
      </c>
      <c r="AN26" s="148" t="str">
        <f>IF(OR(COUNTIF('1.연간시수표'!AN26,$AT$9),COUNTIF('1.연간시수표'!AN26,$AT$7)),$AT$6,IF(OR(COUNTIF('1.연간시수표'!AN26,$AU$9),COUNTIF('1.연간시수표'!AN26,$AU$7)),$AU$6,IF(OR(COUNTIF('1.연간시수표'!AN26,$AV$9),COUNTIF('1.연간시수표'!AN26,$AV$7)),$AV$6,IF(OR(COUNTIF('1.연간시수표'!AN26,$AW$9),COUNTIF('1.연간시수표'!AN26,$AW$7)),$AW$6,IF(OR(COUNTIF('1.연간시수표'!AN26,$AX$9),COUNTIF('1.연간시수표'!AN26,$AX$7)),$AX$6,IF(OR(COUNTIF('1.연간시수표'!AN26,$AY$9),COUNTIF('1.연간시수표'!AN26,$AY$7)),$AY$6,IF(OR(COUNTIF('1.연간시수표'!AN26,$AZ$9),COUNTIF('1.연간시수표'!AN26,$AZ$7)),$AZ$6,IF(OR(COUNTIF('1.연간시수표'!AN26,$BA$9),COUNTIF('1.연간시수표'!AN26,$BA$7)),$BA$6,IF(OR(COUNTIF('1.연간시수표'!AN26,$BB$9),COUNTIF('1.연간시수표'!AN26,$BB$7)),$BB$6,IF(OR(COUNTIF('1.연간시수표'!AN26,$BC$9),COUNTIF('1.연간시수표'!AN26,$BC$7)),$BC$6,IF(OR(COUNTIF('1.연간시수표'!AN26,$BF$9),COUNTIF('1.연간시수표'!AN26,$BF$7),COUNTIF('1.연간시수표'!AN26,$BG$9),COUNTIF('1.연간시수표'!AN26,$BG$7),COUNTIF('1.연간시수표'!AN26,$BH$9),COUNTIF('1.연간시수표'!AN26,$BH$7),COUNTIF('1.연간시수표'!AN26,$BI$9),COUNTIF('1.연간시수표'!AN26,$BI$7),COUNTIF('1.연간시수표'!AN26,$BJ$9),COUNTIF('1.연간시수표'!AN26,$BJ$7),COUNTIF('1.연간시수표'!AN26,$BK$9),COUNTIF('1.연간시수표'!AN26,$BK$7),COUNTIF('1.연간시수표'!AN26,$BL$9),COUNTIF('1.연간시수표'!AN26,$BL$7),COUNTIF('1.연간시수표'!AN26,$BM$9),COUNTIF('1.연간시수표'!AN26,$BM$7)),$BF$6,IF(OR(COUNTIF('1.연간시수표'!AN26,$BO$9),COUNTIF('1.연간시수표'!AN26,$BO$7)),$BO$6,IF(OR(COUNTIF('1.연간시수표'!AN26,$BP$9),COUNTIF('1.연간시수표'!AN26,$BP$7)),$BP$6,IF(OR(COUNTIF('1.연간시수표'!AN26,$BQ$9),COUNTIF('1.연간시수표'!AN26,$BQ$7)),$BQ$6,IF(OR(COUNTIF('1.연간시수표'!AN26,$BR$9),COUNTIF('1.연간시수표'!AN26,$BR$7)),$BR$6,"_")))))))))))))))</f>
        <v>국어</v>
      </c>
      <c r="AO26" s="148" t="str">
        <f>IF(OR(COUNTIF('1.연간시수표'!AO26,$AT$9),COUNTIF('1.연간시수표'!AO26,$AT$7)),$AT$6,IF(OR(COUNTIF('1.연간시수표'!AO26,$AU$9),COUNTIF('1.연간시수표'!AO26,$AU$7)),$AU$6,IF(OR(COUNTIF('1.연간시수표'!AO26,$AV$9),COUNTIF('1.연간시수표'!AO26,$AV$7)),$AV$6,IF(OR(COUNTIF('1.연간시수표'!AO26,$AW$9),COUNTIF('1.연간시수표'!AO26,$AW$7)),$AW$6,IF(OR(COUNTIF('1.연간시수표'!AO26,$AX$9),COUNTIF('1.연간시수표'!AO26,$AX$7)),$AX$6,IF(OR(COUNTIF('1.연간시수표'!AO26,$AY$9),COUNTIF('1.연간시수표'!AO26,$AY$7)),$AY$6,IF(OR(COUNTIF('1.연간시수표'!AO26,$AZ$9),COUNTIF('1.연간시수표'!AO26,$AZ$7)),$AZ$6,IF(OR(COUNTIF('1.연간시수표'!AO26,$BA$9),COUNTIF('1.연간시수표'!AO26,$BA$7)),$BA$6,IF(OR(COUNTIF('1.연간시수표'!AO26,$BB$9),COUNTIF('1.연간시수표'!AO26,$BB$7)),$BB$6,IF(OR(COUNTIF('1.연간시수표'!AO26,$BC$9),COUNTIF('1.연간시수표'!AO26,$BC$7)),$BC$6,IF(OR(COUNTIF('1.연간시수표'!AO26,$BF$9),COUNTIF('1.연간시수표'!AO26,$BF$7),COUNTIF('1.연간시수표'!AO26,$BG$9),COUNTIF('1.연간시수표'!AO26,$BG$7),COUNTIF('1.연간시수표'!AO26,$BH$9),COUNTIF('1.연간시수표'!AO26,$BH$7),COUNTIF('1.연간시수표'!AO26,$BI$9),COUNTIF('1.연간시수표'!AO26,$BI$7),COUNTIF('1.연간시수표'!AO26,$BJ$9),COUNTIF('1.연간시수표'!AO26,$BJ$7),COUNTIF('1.연간시수표'!AO26,$BK$9),COUNTIF('1.연간시수표'!AO26,$BK$7),COUNTIF('1.연간시수표'!AO26,$BL$9),COUNTIF('1.연간시수표'!AO26,$BL$7),COUNTIF('1.연간시수표'!AO26,$BM$9),COUNTIF('1.연간시수표'!AO26,$BM$7)),$BF$6,IF(OR(COUNTIF('1.연간시수표'!AO26,$BO$9),COUNTIF('1.연간시수표'!AO26,$BO$7)),$BO$6,IF(OR(COUNTIF('1.연간시수표'!AO26,$BP$9),COUNTIF('1.연간시수표'!AO26,$BP$7)),$BP$6,IF(OR(COUNTIF('1.연간시수표'!AO26,$BQ$9),COUNTIF('1.연간시수표'!AO26,$BQ$7)),$BQ$6,IF(OR(COUNTIF('1.연간시수표'!AO26,$BR$9),COUNTIF('1.연간시수표'!AO26,$BR$7)),$BR$6,"_")))))))))))))))</f>
        <v>사회</v>
      </c>
      <c r="AP26" s="148" t="str">
        <f>IF(OR(COUNTIF('1.연간시수표'!AP26,$AT$9),COUNTIF('1.연간시수표'!AP26,$AT$7)),$AT$6,IF(OR(COUNTIF('1.연간시수표'!AP26,$AU$9),COUNTIF('1.연간시수표'!AP26,$AU$7)),$AU$6,IF(OR(COUNTIF('1.연간시수표'!AP26,$AV$9),COUNTIF('1.연간시수표'!AP26,$AV$7)),$AV$6,IF(OR(COUNTIF('1.연간시수표'!AP26,$AW$9),COUNTIF('1.연간시수표'!AP26,$AW$7)),$AW$6,IF(OR(COUNTIF('1.연간시수표'!AP26,$AX$9),COUNTIF('1.연간시수표'!AP26,$AX$7)),$AX$6,IF(OR(COUNTIF('1.연간시수표'!AP26,$AY$9),COUNTIF('1.연간시수표'!AP26,$AY$7)),$AY$6,IF(OR(COUNTIF('1.연간시수표'!AP26,$AZ$9),COUNTIF('1.연간시수표'!AP26,$AZ$7)),$AZ$6,IF(OR(COUNTIF('1.연간시수표'!AP26,$BA$9),COUNTIF('1.연간시수표'!AP26,$BA$7)),$BA$6,IF(OR(COUNTIF('1.연간시수표'!AP26,$BB$9),COUNTIF('1.연간시수표'!AP26,$BB$7)),$BB$6,IF(OR(COUNTIF('1.연간시수표'!AP26,$BC$9),COUNTIF('1.연간시수표'!AP26,$BC$7)),$BC$6,IF(OR(COUNTIF('1.연간시수표'!AP26,$BF$9),COUNTIF('1.연간시수표'!AP26,$BF$7),COUNTIF('1.연간시수표'!AP26,$BG$9),COUNTIF('1.연간시수표'!AP26,$BG$7),COUNTIF('1.연간시수표'!AP26,$BH$9),COUNTIF('1.연간시수표'!AP26,$BH$7),COUNTIF('1.연간시수표'!AP26,$BI$9),COUNTIF('1.연간시수표'!AP26,$BI$7),COUNTIF('1.연간시수표'!AP26,$BJ$9),COUNTIF('1.연간시수표'!AP26,$BJ$7),COUNTIF('1.연간시수표'!AP26,$BK$9),COUNTIF('1.연간시수표'!AP26,$BK$7),COUNTIF('1.연간시수표'!AP26,$BL$9),COUNTIF('1.연간시수표'!AP26,$BL$7),COUNTIF('1.연간시수표'!AP26,$BM$9),COUNTIF('1.연간시수표'!AP26,$BM$7)),$BF$6,IF(OR(COUNTIF('1.연간시수표'!AP26,$BO$9),COUNTIF('1.연간시수표'!AP26,$BO$7)),$BO$6,IF(OR(COUNTIF('1.연간시수표'!AP26,$BP$9),COUNTIF('1.연간시수표'!AP26,$BP$7)),$BP$6,IF(OR(COUNTIF('1.연간시수표'!AP26,$BQ$9),COUNTIF('1.연간시수표'!AP26,$BQ$7)),$BQ$6,IF(OR(COUNTIF('1.연간시수표'!AP26,$BR$9),COUNTIF('1.연간시수표'!AP26,$BR$7)),$BR$6,"_")))))))))))))))</f>
        <v>실과</v>
      </c>
      <c r="AQ26" s="148" t="str">
        <f>IF(OR(COUNTIF('1.연간시수표'!AQ26,$AT$9),COUNTIF('1.연간시수표'!AQ26,$AT$7)),$AT$6,IF(OR(COUNTIF('1.연간시수표'!AQ26,$AU$9),COUNTIF('1.연간시수표'!AQ26,$AU$7)),$AU$6,IF(OR(COUNTIF('1.연간시수표'!AQ26,$AV$9),COUNTIF('1.연간시수표'!AQ26,$AV$7)),$AV$6,IF(OR(COUNTIF('1.연간시수표'!AQ26,$AW$9),COUNTIF('1.연간시수표'!AQ26,$AW$7)),$AW$6,IF(OR(COUNTIF('1.연간시수표'!AQ26,$AX$9),COUNTIF('1.연간시수표'!AQ26,$AX$7)),$AX$6,IF(OR(COUNTIF('1.연간시수표'!AQ26,$AY$9),COUNTIF('1.연간시수표'!AQ26,$AY$7)),$AY$6,IF(OR(COUNTIF('1.연간시수표'!AQ26,$AZ$9),COUNTIF('1.연간시수표'!AQ26,$AZ$7)),$AZ$6,IF(OR(COUNTIF('1.연간시수표'!AQ26,$BA$9),COUNTIF('1.연간시수표'!AQ26,$BA$7)),$BA$6,IF(OR(COUNTIF('1.연간시수표'!AQ26,$BB$9),COUNTIF('1.연간시수표'!AQ26,$BB$7)),$BB$6,IF(OR(COUNTIF('1.연간시수표'!AQ26,$BC$9),COUNTIF('1.연간시수표'!AQ26,$BC$7)),$BC$6,IF(OR(COUNTIF('1.연간시수표'!AQ26,$BF$9),COUNTIF('1.연간시수표'!AQ26,$BF$7),COUNTIF('1.연간시수표'!AQ26,$BG$9),COUNTIF('1.연간시수표'!AQ26,$BG$7),COUNTIF('1.연간시수표'!AQ26,$BH$9),COUNTIF('1.연간시수표'!AQ26,$BH$7),COUNTIF('1.연간시수표'!AQ26,$BI$9),COUNTIF('1.연간시수표'!AQ26,$BI$7),COUNTIF('1.연간시수표'!AQ26,$BJ$9),COUNTIF('1.연간시수표'!AQ26,$BJ$7),COUNTIF('1.연간시수표'!AQ26,$BK$9),COUNTIF('1.연간시수표'!AQ26,$BK$7),COUNTIF('1.연간시수표'!AQ26,$BL$9),COUNTIF('1.연간시수표'!AQ26,$BL$7),COUNTIF('1.연간시수표'!AQ26,$BM$9),COUNTIF('1.연간시수표'!AQ26,$BM$7)),$BF$6,IF(OR(COUNTIF('1.연간시수표'!AQ26,$BO$9),COUNTIF('1.연간시수표'!AQ26,$BO$7)),$BO$6,IF(OR(COUNTIF('1.연간시수표'!AQ26,$BP$9),COUNTIF('1.연간시수표'!AQ26,$BP$7)),$BP$6,IF(OR(COUNTIF('1.연간시수표'!AQ26,$BQ$9),COUNTIF('1.연간시수표'!AQ26,$BQ$7)),$BQ$6,IF(OR(COUNTIF('1.연간시수표'!AQ26,$BR$9),COUNTIF('1.연간시수표'!AQ26,$BR$7)),$BR$6,"_")))))))))))))))</f>
        <v>_</v>
      </c>
      <c r="AR26" s="148" t="str">
        <f>IF(OR(COUNTIF('1.연간시수표'!AR26,$AT$9),COUNTIF('1.연간시수표'!AR26,$AT$7)),$AT$6,IF(OR(COUNTIF('1.연간시수표'!AR26,$AU$9),COUNTIF('1.연간시수표'!AR26,$AU$7)),$AU$6,IF(OR(COUNTIF('1.연간시수표'!AR26,$AV$9),COUNTIF('1.연간시수표'!AR26,$AV$7)),$AV$6,IF(OR(COUNTIF('1.연간시수표'!AR26,$AW$9),COUNTIF('1.연간시수표'!AR26,$AW$7)),$AW$6,IF(OR(COUNTIF('1.연간시수표'!AR26,$AX$9),COUNTIF('1.연간시수표'!AR26,$AX$7)),$AX$6,IF(OR(COUNTIF('1.연간시수표'!AR26,$AY$9),COUNTIF('1.연간시수표'!AR26,$AY$7)),$AY$6,IF(OR(COUNTIF('1.연간시수표'!AR26,$AZ$9),COUNTIF('1.연간시수표'!AR26,$AZ$7)),$AZ$6,IF(OR(COUNTIF('1.연간시수표'!AR26,$BA$9),COUNTIF('1.연간시수표'!AR26,$BA$7)),$BA$6,IF(OR(COUNTIF('1.연간시수표'!AR26,$BB$9),COUNTIF('1.연간시수표'!AR26,$BB$7)),$BB$6,IF(OR(COUNTIF('1.연간시수표'!AR26,$BC$9),COUNTIF('1.연간시수표'!AR26,$BC$7)),$BC$6,IF(OR(COUNTIF('1.연간시수표'!AR26,$BF$9),COUNTIF('1.연간시수표'!AR26,$BF$7),COUNTIF('1.연간시수표'!AR26,$BG$9),COUNTIF('1.연간시수표'!AR26,$BG$7),COUNTIF('1.연간시수표'!AR26,$BH$9),COUNTIF('1.연간시수표'!AR26,$BH$7),COUNTIF('1.연간시수표'!AR26,$BI$9),COUNTIF('1.연간시수표'!AR26,$BI$7),COUNTIF('1.연간시수표'!AR26,$BJ$9),COUNTIF('1.연간시수표'!AR26,$BJ$7),COUNTIF('1.연간시수표'!AR26,$BK$9),COUNTIF('1.연간시수표'!AR26,$BK$7),COUNTIF('1.연간시수표'!AR26,$BL$9),COUNTIF('1.연간시수표'!AR26,$BL$7),COUNTIF('1.연간시수표'!AR26,$BM$9),COUNTIF('1.연간시수표'!AR26,$BM$7)),$BF$6,IF(OR(COUNTIF('1.연간시수표'!AR26,$BO$9),COUNTIF('1.연간시수표'!AR26,$BO$7)),$BO$6,IF(OR(COUNTIF('1.연간시수표'!AR26,$BP$9),COUNTIF('1.연간시수표'!AR26,$BP$7)),$BP$6,IF(OR(COUNTIF('1.연간시수표'!AR26,$BQ$9),COUNTIF('1.연간시수표'!AR26,$BQ$7)),$BQ$6,IF(OR(COUNTIF('1.연간시수표'!AR26,$BR$9),COUNTIF('1.연간시수표'!AR26,$BR$7)),$BR$6,"_")))))))))))))))</f>
        <v>_</v>
      </c>
      <c r="BU26" s="142" t="str">
        <f>BQ6</f>
        <v>진로활동</v>
      </c>
      <c r="BV26" s="142" t="str">
        <f t="shared" si="0"/>
        <v>진로활동</v>
      </c>
    </row>
    <row r="27" spans="2:74">
      <c r="B27" s="6"/>
      <c r="C27" s="79">
        <f>'1.연간시수표'!C27</f>
        <v>18</v>
      </c>
      <c r="D27" s="3"/>
      <c r="E27" s="148" t="str">
        <f>IF(OR(COUNTIF('1.연간시수표'!E27,$AT$9),COUNTIF('1.연간시수표'!E27,$AT$7)),$AT$6,IF(OR(COUNTIF('1.연간시수표'!E27,$AU$9),COUNTIF('1.연간시수표'!E27,$AU$7)),$AU$6,IF(OR(COUNTIF('1.연간시수표'!E27,$AV$9),COUNTIF('1.연간시수표'!E27,$AV$7)),$AV$6,IF(OR(COUNTIF('1.연간시수표'!E27,$AW$9),COUNTIF('1.연간시수표'!E27,$AW$7)),$AW$6,IF(OR(COUNTIF('1.연간시수표'!E27,$AX$9),COUNTIF('1.연간시수표'!E27,$AX$7)),$AX$6,IF(OR(COUNTIF('1.연간시수표'!E27,$AY$9),COUNTIF('1.연간시수표'!E27,$AY$7)),$AY$6,IF(OR(COUNTIF('1.연간시수표'!E27,$AZ$9),COUNTIF('1.연간시수표'!E27,$AZ$7)),$AZ$6,IF(OR(COUNTIF('1.연간시수표'!E27,$BA$9),COUNTIF('1.연간시수표'!E27,$BA$7)),$BA$6,IF(OR(COUNTIF('1.연간시수표'!E27,$BB$9),COUNTIF('1.연간시수표'!E27,$BB$7)),$BB$6,IF(OR(COUNTIF('1.연간시수표'!E27,$BC$9),COUNTIF('1.연간시수표'!E27,$BC$7)),$BC$6,IF(OR(COUNTIF('1.연간시수표'!E27,$BF$9),COUNTIF('1.연간시수표'!E27,$BF$7),COUNTIF('1.연간시수표'!E27,$BG$9),COUNTIF('1.연간시수표'!E27,$BG$7),COUNTIF('1.연간시수표'!E27,$BH$9),COUNTIF('1.연간시수표'!E27,$BH$7),COUNTIF('1.연간시수표'!E27,$BI$9),COUNTIF('1.연간시수표'!E27,$BI$7),COUNTIF('1.연간시수표'!E27,$BJ$9),COUNTIF('1.연간시수표'!E27,$BJ$7),COUNTIF('1.연간시수표'!E27,$BK$9),COUNTIF('1.연간시수표'!E27,$BK$7),COUNTIF('1.연간시수표'!E27,$BL$9),COUNTIF('1.연간시수표'!E27,$BL$7),COUNTIF('1.연간시수표'!E27,$BM$9),COUNTIF('1.연간시수표'!E27,$BM$7)),$BF$6,IF(OR(COUNTIF('1.연간시수표'!E27,$BO$9),COUNTIF('1.연간시수표'!E27,$BO$7)),$BO$6,IF(OR(COUNTIF('1.연간시수표'!E27,$BP$9),COUNTIF('1.연간시수표'!E27,$BP$7)),$BP$6,IF(OR(COUNTIF('1.연간시수표'!E27,$BQ$9),COUNTIF('1.연간시수표'!E27,$BQ$7)),$BQ$6,IF(OR(COUNTIF('1.연간시수표'!E27,$BR$9),COUNTIF('1.연간시수표'!E27,$BR$7)),$BR$6,"_")))))))))))))))</f>
        <v>국어</v>
      </c>
      <c r="F27" s="148" t="str">
        <f>IF(OR(COUNTIF('1.연간시수표'!F27,$AT$9),COUNTIF('1.연간시수표'!F27,$AT$7)),$AT$6,IF(OR(COUNTIF('1.연간시수표'!F27,$AU$9),COUNTIF('1.연간시수표'!F27,$AU$7)),$AU$6,IF(OR(COUNTIF('1.연간시수표'!F27,$AV$9),COUNTIF('1.연간시수표'!F27,$AV$7)),$AV$6,IF(OR(COUNTIF('1.연간시수표'!F27,$AW$9),COUNTIF('1.연간시수표'!F27,$AW$7)),$AW$6,IF(OR(COUNTIF('1.연간시수표'!F27,$AX$9),COUNTIF('1.연간시수표'!F27,$AX$7)),$AX$6,IF(OR(COUNTIF('1.연간시수표'!F27,$AY$9),COUNTIF('1.연간시수표'!F27,$AY$7)),$AY$6,IF(OR(COUNTIF('1.연간시수표'!F27,$AZ$9),COUNTIF('1.연간시수표'!F27,$AZ$7)),$AZ$6,IF(OR(COUNTIF('1.연간시수표'!F27,$BA$9),COUNTIF('1.연간시수표'!F27,$BA$7)),$BA$6,IF(OR(COUNTIF('1.연간시수표'!F27,$BB$9),COUNTIF('1.연간시수표'!F27,$BB$7)),$BB$6,IF(OR(COUNTIF('1.연간시수표'!F27,$BC$9),COUNTIF('1.연간시수표'!F27,$BC$7)),$BC$6,IF(OR(COUNTIF('1.연간시수표'!F27,$BF$9),COUNTIF('1.연간시수표'!F27,$BF$7),COUNTIF('1.연간시수표'!F27,$BG$9),COUNTIF('1.연간시수표'!F27,$BG$7),COUNTIF('1.연간시수표'!F27,$BH$9),COUNTIF('1.연간시수표'!F27,$BH$7),COUNTIF('1.연간시수표'!F27,$BI$9),COUNTIF('1.연간시수표'!F27,$BI$7),COUNTIF('1.연간시수표'!F27,$BJ$9),COUNTIF('1.연간시수표'!F27,$BJ$7),COUNTIF('1.연간시수표'!F27,$BK$9),COUNTIF('1.연간시수표'!F27,$BK$7),COUNTIF('1.연간시수표'!F27,$BL$9),COUNTIF('1.연간시수표'!F27,$BL$7),COUNTIF('1.연간시수표'!F27,$BM$9),COUNTIF('1.연간시수표'!F27,$BM$7)),$BF$6,IF(OR(COUNTIF('1.연간시수표'!F27,$BO$9),COUNTIF('1.연간시수표'!F27,$BO$7)),$BO$6,IF(OR(COUNTIF('1.연간시수표'!F27,$BP$9),COUNTIF('1.연간시수표'!F27,$BP$7)),$BP$6,IF(OR(COUNTIF('1.연간시수표'!F27,$BQ$9),COUNTIF('1.연간시수표'!F27,$BQ$7)),$BQ$6,IF(OR(COUNTIF('1.연간시수표'!F27,$BR$9),COUNTIF('1.연간시수표'!F27,$BR$7)),$BR$6,"_")))))))))))))))</f>
        <v>미술</v>
      </c>
      <c r="G27" s="148" t="str">
        <f>IF(OR(COUNTIF('1.연간시수표'!G27,$AT$9),COUNTIF('1.연간시수표'!G27,$AT$7)),$AT$6,IF(OR(COUNTIF('1.연간시수표'!G27,$AU$9),COUNTIF('1.연간시수표'!G27,$AU$7)),$AU$6,IF(OR(COUNTIF('1.연간시수표'!G27,$AV$9),COUNTIF('1.연간시수표'!G27,$AV$7)),$AV$6,IF(OR(COUNTIF('1.연간시수표'!G27,$AW$9),COUNTIF('1.연간시수표'!G27,$AW$7)),$AW$6,IF(OR(COUNTIF('1.연간시수표'!G27,$AX$9),COUNTIF('1.연간시수표'!G27,$AX$7)),$AX$6,IF(OR(COUNTIF('1.연간시수표'!G27,$AY$9),COUNTIF('1.연간시수표'!G27,$AY$7)),$AY$6,IF(OR(COUNTIF('1.연간시수표'!G27,$AZ$9),COUNTIF('1.연간시수표'!G27,$AZ$7)),$AZ$6,IF(OR(COUNTIF('1.연간시수표'!G27,$BA$9),COUNTIF('1.연간시수표'!G27,$BA$7)),$BA$6,IF(OR(COUNTIF('1.연간시수표'!G27,$BB$9),COUNTIF('1.연간시수표'!G27,$BB$7)),$BB$6,IF(OR(COUNTIF('1.연간시수표'!G27,$BC$9),COUNTIF('1.연간시수표'!G27,$BC$7)),$BC$6,IF(OR(COUNTIF('1.연간시수표'!G27,$BF$9),COUNTIF('1.연간시수표'!G27,$BF$7),COUNTIF('1.연간시수표'!G27,$BG$9),COUNTIF('1.연간시수표'!G27,$BG$7),COUNTIF('1.연간시수표'!G27,$BH$9),COUNTIF('1.연간시수표'!G27,$BH$7),COUNTIF('1.연간시수표'!G27,$BI$9),COUNTIF('1.연간시수표'!G27,$BI$7),COUNTIF('1.연간시수표'!G27,$BJ$9),COUNTIF('1.연간시수표'!G27,$BJ$7),COUNTIF('1.연간시수표'!G27,$BK$9),COUNTIF('1.연간시수표'!G27,$BK$7),COUNTIF('1.연간시수표'!G27,$BL$9),COUNTIF('1.연간시수표'!G27,$BL$7),COUNTIF('1.연간시수표'!G27,$BM$9),COUNTIF('1.연간시수표'!G27,$BM$7)),$BF$6,IF(OR(COUNTIF('1.연간시수표'!G27,$BO$9),COUNTIF('1.연간시수표'!G27,$BO$7)),$BO$6,IF(OR(COUNTIF('1.연간시수표'!G27,$BP$9),COUNTIF('1.연간시수표'!G27,$BP$7)),$BP$6,IF(OR(COUNTIF('1.연간시수표'!G27,$BQ$9),COUNTIF('1.연간시수표'!G27,$BQ$7)),$BQ$6,IF(OR(COUNTIF('1.연간시수표'!G27,$BR$9),COUNTIF('1.연간시수표'!G27,$BR$7)),$BR$6,"_")))))))))))))))</f>
        <v>미술</v>
      </c>
      <c r="H27" s="148" t="str">
        <f>IF(OR(COUNTIF('1.연간시수표'!H27,$AT$9),COUNTIF('1.연간시수표'!H27,$AT$7)),$AT$6,IF(OR(COUNTIF('1.연간시수표'!H27,$AU$9),COUNTIF('1.연간시수표'!H27,$AU$7)),$AU$6,IF(OR(COUNTIF('1.연간시수표'!H27,$AV$9),COUNTIF('1.연간시수표'!H27,$AV$7)),$AV$6,IF(OR(COUNTIF('1.연간시수표'!H27,$AW$9),COUNTIF('1.연간시수표'!H27,$AW$7)),$AW$6,IF(OR(COUNTIF('1.연간시수표'!H27,$AX$9),COUNTIF('1.연간시수표'!H27,$AX$7)),$AX$6,IF(OR(COUNTIF('1.연간시수표'!H27,$AY$9),COUNTIF('1.연간시수표'!H27,$AY$7)),$AY$6,IF(OR(COUNTIF('1.연간시수표'!H27,$AZ$9),COUNTIF('1.연간시수표'!H27,$AZ$7)),$AZ$6,IF(OR(COUNTIF('1.연간시수표'!H27,$BA$9),COUNTIF('1.연간시수표'!H27,$BA$7)),$BA$6,IF(OR(COUNTIF('1.연간시수표'!H27,$BB$9),COUNTIF('1.연간시수표'!H27,$BB$7)),$BB$6,IF(OR(COUNTIF('1.연간시수표'!H27,$BC$9),COUNTIF('1.연간시수표'!H27,$BC$7)),$BC$6,IF(OR(COUNTIF('1.연간시수표'!H27,$BF$9),COUNTIF('1.연간시수표'!H27,$BF$7),COUNTIF('1.연간시수표'!H27,$BG$9),COUNTIF('1.연간시수표'!H27,$BG$7),COUNTIF('1.연간시수표'!H27,$BH$9),COUNTIF('1.연간시수표'!H27,$BH$7),COUNTIF('1.연간시수표'!H27,$BI$9),COUNTIF('1.연간시수표'!H27,$BI$7),COUNTIF('1.연간시수표'!H27,$BJ$9),COUNTIF('1.연간시수표'!H27,$BJ$7),COUNTIF('1.연간시수표'!H27,$BK$9),COUNTIF('1.연간시수표'!H27,$BK$7),COUNTIF('1.연간시수표'!H27,$BL$9),COUNTIF('1.연간시수표'!H27,$BL$7),COUNTIF('1.연간시수표'!H27,$BM$9),COUNTIF('1.연간시수표'!H27,$BM$7)),$BF$6,IF(OR(COUNTIF('1.연간시수표'!H27,$BO$9),COUNTIF('1.연간시수표'!H27,$BO$7)),$BO$6,IF(OR(COUNTIF('1.연간시수표'!H27,$BP$9),COUNTIF('1.연간시수표'!H27,$BP$7)),$BP$6,IF(OR(COUNTIF('1.연간시수표'!H27,$BQ$9),COUNTIF('1.연간시수표'!H27,$BQ$7)),$BQ$6,IF(OR(COUNTIF('1.연간시수표'!H27,$BR$9),COUNTIF('1.연간시수표'!H27,$BR$7)),$BR$6,"_")))))))))))))))</f>
        <v>영어</v>
      </c>
      <c r="I27" s="148" t="str">
        <f>IF(OR(COUNTIF('1.연간시수표'!I27,$AT$9),COUNTIF('1.연간시수표'!I27,$AT$7)),$AT$6,IF(OR(COUNTIF('1.연간시수표'!I27,$AU$9),COUNTIF('1.연간시수표'!I27,$AU$7)),$AU$6,IF(OR(COUNTIF('1.연간시수표'!I27,$AV$9),COUNTIF('1.연간시수표'!I27,$AV$7)),$AV$6,IF(OR(COUNTIF('1.연간시수표'!I27,$AW$9),COUNTIF('1.연간시수표'!I27,$AW$7)),$AW$6,IF(OR(COUNTIF('1.연간시수표'!I27,$AX$9),COUNTIF('1.연간시수표'!I27,$AX$7)),$AX$6,IF(OR(COUNTIF('1.연간시수표'!I27,$AY$9),COUNTIF('1.연간시수표'!I27,$AY$7)),$AY$6,IF(OR(COUNTIF('1.연간시수표'!I27,$AZ$9),COUNTIF('1.연간시수표'!I27,$AZ$7)),$AZ$6,IF(OR(COUNTIF('1.연간시수표'!I27,$BA$9),COUNTIF('1.연간시수표'!I27,$BA$7)),$BA$6,IF(OR(COUNTIF('1.연간시수표'!I27,$BB$9),COUNTIF('1.연간시수표'!I27,$BB$7)),$BB$6,IF(OR(COUNTIF('1.연간시수표'!I27,$BC$9),COUNTIF('1.연간시수표'!I27,$BC$7)),$BC$6,IF(OR(COUNTIF('1.연간시수표'!I27,$BF$9),COUNTIF('1.연간시수표'!I27,$BF$7),COUNTIF('1.연간시수표'!I27,$BG$9),COUNTIF('1.연간시수표'!I27,$BG$7),COUNTIF('1.연간시수표'!I27,$BH$9),COUNTIF('1.연간시수표'!I27,$BH$7),COUNTIF('1.연간시수표'!I27,$BI$9),COUNTIF('1.연간시수표'!I27,$BI$7),COUNTIF('1.연간시수표'!I27,$BJ$9),COUNTIF('1.연간시수표'!I27,$BJ$7),COUNTIF('1.연간시수표'!I27,$BK$9),COUNTIF('1.연간시수표'!I27,$BK$7),COUNTIF('1.연간시수표'!I27,$BL$9),COUNTIF('1.연간시수표'!I27,$BL$7),COUNTIF('1.연간시수표'!I27,$BM$9),COUNTIF('1.연간시수표'!I27,$BM$7)),$BF$6,IF(OR(COUNTIF('1.연간시수표'!I27,$BO$9),COUNTIF('1.연간시수표'!I27,$BO$7)),$BO$6,IF(OR(COUNTIF('1.연간시수표'!I27,$BP$9),COUNTIF('1.연간시수표'!I27,$BP$7)),$BP$6,IF(OR(COUNTIF('1.연간시수표'!I27,$BQ$9),COUNTIF('1.연간시수표'!I27,$BQ$7)),$BQ$6,IF(OR(COUNTIF('1.연간시수표'!I27,$BR$9),COUNTIF('1.연간시수표'!I27,$BR$7)),$BR$6,"_")))))))))))))))</f>
        <v>수학</v>
      </c>
      <c r="J27" s="148" t="str">
        <f>IF(OR(COUNTIF('1.연간시수표'!J27,$AT$9),COUNTIF('1.연간시수표'!J27,$AT$7)),$AT$6,IF(OR(COUNTIF('1.연간시수표'!J27,$AU$9),COUNTIF('1.연간시수표'!J27,$AU$7)),$AU$6,IF(OR(COUNTIF('1.연간시수표'!J27,$AV$9),COUNTIF('1.연간시수표'!J27,$AV$7)),$AV$6,IF(OR(COUNTIF('1.연간시수표'!J27,$AW$9),COUNTIF('1.연간시수표'!J27,$AW$7)),$AW$6,IF(OR(COUNTIF('1.연간시수표'!J27,$AX$9),COUNTIF('1.연간시수표'!J27,$AX$7)),$AX$6,IF(OR(COUNTIF('1.연간시수표'!J27,$AY$9),COUNTIF('1.연간시수표'!J27,$AY$7)),$AY$6,IF(OR(COUNTIF('1.연간시수표'!J27,$AZ$9),COUNTIF('1.연간시수표'!J27,$AZ$7)),$AZ$6,IF(OR(COUNTIF('1.연간시수표'!J27,$BA$9),COUNTIF('1.연간시수표'!J27,$BA$7)),$BA$6,IF(OR(COUNTIF('1.연간시수표'!J27,$BB$9),COUNTIF('1.연간시수표'!J27,$BB$7)),$BB$6,IF(OR(COUNTIF('1.연간시수표'!J27,$BC$9),COUNTIF('1.연간시수표'!J27,$BC$7)),$BC$6,IF(OR(COUNTIF('1.연간시수표'!J27,$BF$9),COUNTIF('1.연간시수표'!J27,$BF$7),COUNTIF('1.연간시수표'!J27,$BG$9),COUNTIF('1.연간시수표'!J27,$BG$7),COUNTIF('1.연간시수표'!J27,$BH$9),COUNTIF('1.연간시수표'!J27,$BH$7),COUNTIF('1.연간시수표'!J27,$BI$9),COUNTIF('1.연간시수표'!J27,$BI$7),COUNTIF('1.연간시수표'!J27,$BJ$9),COUNTIF('1.연간시수표'!J27,$BJ$7),COUNTIF('1.연간시수표'!J27,$BK$9),COUNTIF('1.연간시수표'!J27,$BK$7),COUNTIF('1.연간시수표'!J27,$BL$9),COUNTIF('1.연간시수표'!J27,$BL$7),COUNTIF('1.연간시수표'!J27,$BM$9),COUNTIF('1.연간시수표'!J27,$BM$7)),$BF$6,IF(OR(COUNTIF('1.연간시수표'!J27,$BO$9),COUNTIF('1.연간시수표'!J27,$BO$7)),$BO$6,IF(OR(COUNTIF('1.연간시수표'!J27,$BP$9),COUNTIF('1.연간시수표'!J27,$BP$7)),$BP$6,IF(OR(COUNTIF('1.연간시수표'!J27,$BQ$9),COUNTIF('1.연간시수표'!J27,$BQ$7)),$BQ$6,IF(OR(COUNTIF('1.연간시수표'!J27,$BR$9),COUNTIF('1.연간시수표'!J27,$BR$7)),$BR$6,"_")))))))))))))))</f>
        <v>자율활동</v>
      </c>
      <c r="K27" s="148" t="str">
        <f>IF(OR(COUNTIF('1.연간시수표'!K27,$AT$9),COUNTIF('1.연간시수표'!K27,$AT$7)),$AT$6,IF(OR(COUNTIF('1.연간시수표'!K27,$AU$9),COUNTIF('1.연간시수표'!K27,$AU$7)),$AU$6,IF(OR(COUNTIF('1.연간시수표'!K27,$AV$9),COUNTIF('1.연간시수표'!K27,$AV$7)),$AV$6,IF(OR(COUNTIF('1.연간시수표'!K27,$AW$9),COUNTIF('1.연간시수표'!K27,$AW$7)),$AW$6,IF(OR(COUNTIF('1.연간시수표'!K27,$AX$9),COUNTIF('1.연간시수표'!K27,$AX$7)),$AX$6,IF(OR(COUNTIF('1.연간시수표'!K27,$AY$9),COUNTIF('1.연간시수표'!K27,$AY$7)),$AY$6,IF(OR(COUNTIF('1.연간시수표'!K27,$AZ$9),COUNTIF('1.연간시수표'!K27,$AZ$7)),$AZ$6,IF(OR(COUNTIF('1.연간시수표'!K27,$BA$9),COUNTIF('1.연간시수표'!K27,$BA$7)),$BA$6,IF(OR(COUNTIF('1.연간시수표'!K27,$BB$9),COUNTIF('1.연간시수표'!K27,$BB$7)),$BB$6,IF(OR(COUNTIF('1.연간시수표'!K27,$BC$9),COUNTIF('1.연간시수표'!K27,$BC$7)),$BC$6,IF(OR(COUNTIF('1.연간시수표'!K27,$BF$9),COUNTIF('1.연간시수표'!K27,$BF$7),COUNTIF('1.연간시수표'!K27,$BG$9),COUNTIF('1.연간시수표'!K27,$BG$7),COUNTIF('1.연간시수표'!K27,$BH$9),COUNTIF('1.연간시수표'!K27,$BH$7),COUNTIF('1.연간시수표'!K27,$BI$9),COUNTIF('1.연간시수표'!K27,$BI$7),COUNTIF('1.연간시수표'!K27,$BJ$9),COUNTIF('1.연간시수표'!K27,$BJ$7),COUNTIF('1.연간시수표'!K27,$BK$9),COUNTIF('1.연간시수표'!K27,$BK$7),COUNTIF('1.연간시수표'!K27,$BL$9),COUNTIF('1.연간시수표'!K27,$BL$7),COUNTIF('1.연간시수표'!K27,$BM$9),COUNTIF('1.연간시수표'!K27,$BM$7)),$BF$6,IF(OR(COUNTIF('1.연간시수표'!K27,$BO$9),COUNTIF('1.연간시수표'!K27,$BO$7)),$BO$6,IF(OR(COUNTIF('1.연간시수표'!K27,$BP$9),COUNTIF('1.연간시수표'!K27,$BP$7)),$BP$6,IF(OR(COUNTIF('1.연간시수표'!K27,$BQ$9),COUNTIF('1.연간시수표'!K27,$BQ$7)),$BQ$6,IF(OR(COUNTIF('1.연간시수표'!K27,$BR$9),COUNTIF('1.연간시수표'!K27,$BR$7)),$BR$6,"_")))))))))))))))</f>
        <v>_</v>
      </c>
      <c r="L27" s="148" t="str">
        <f>IF(OR(COUNTIF('1.연간시수표'!L27,$AT$9),COUNTIF('1.연간시수표'!L27,$AT$7)),$AT$6,IF(OR(COUNTIF('1.연간시수표'!L27,$AU$9),COUNTIF('1.연간시수표'!L27,$AU$7)),$AU$6,IF(OR(COUNTIF('1.연간시수표'!L27,$AV$9),COUNTIF('1.연간시수표'!L27,$AV$7)),$AV$6,IF(OR(COUNTIF('1.연간시수표'!L27,$AW$9),COUNTIF('1.연간시수표'!L27,$AW$7)),$AW$6,IF(OR(COUNTIF('1.연간시수표'!L27,$AX$9),COUNTIF('1.연간시수표'!L27,$AX$7)),$AX$6,IF(OR(COUNTIF('1.연간시수표'!L27,$AY$9),COUNTIF('1.연간시수표'!L27,$AY$7)),$AY$6,IF(OR(COUNTIF('1.연간시수표'!L27,$AZ$9),COUNTIF('1.연간시수표'!L27,$AZ$7)),$AZ$6,IF(OR(COUNTIF('1.연간시수표'!L27,$BA$9),COUNTIF('1.연간시수표'!L27,$BA$7)),$BA$6,IF(OR(COUNTIF('1.연간시수표'!L27,$BB$9),COUNTIF('1.연간시수표'!L27,$BB$7)),$BB$6,IF(OR(COUNTIF('1.연간시수표'!L27,$BC$9),COUNTIF('1.연간시수표'!L27,$BC$7)),$BC$6,IF(OR(COUNTIF('1.연간시수표'!L27,$BF$9),COUNTIF('1.연간시수표'!L27,$BF$7),COUNTIF('1.연간시수표'!L27,$BG$9),COUNTIF('1.연간시수표'!L27,$BG$7),COUNTIF('1.연간시수표'!L27,$BH$9),COUNTIF('1.연간시수표'!L27,$BH$7),COUNTIF('1.연간시수표'!L27,$BI$9),COUNTIF('1.연간시수표'!L27,$BI$7),COUNTIF('1.연간시수표'!L27,$BJ$9),COUNTIF('1.연간시수표'!L27,$BJ$7),COUNTIF('1.연간시수표'!L27,$BK$9),COUNTIF('1.연간시수표'!L27,$BK$7),COUNTIF('1.연간시수표'!L27,$BL$9),COUNTIF('1.연간시수표'!L27,$BL$7),COUNTIF('1.연간시수표'!L27,$BM$9),COUNTIF('1.연간시수표'!L27,$BM$7)),$BF$6,IF(OR(COUNTIF('1.연간시수표'!L27,$BO$9),COUNTIF('1.연간시수표'!L27,$BO$7)),$BO$6,IF(OR(COUNTIF('1.연간시수표'!L27,$BP$9),COUNTIF('1.연간시수표'!L27,$BP$7)),$BP$6,IF(OR(COUNTIF('1.연간시수표'!L27,$BQ$9),COUNTIF('1.연간시수표'!L27,$BQ$7)),$BQ$6,IF(OR(COUNTIF('1.연간시수표'!L27,$BR$9),COUNTIF('1.연간시수표'!L27,$BR$7)),$BR$6,"_")))))))))))))))</f>
        <v>_</v>
      </c>
      <c r="M27" s="148" t="str">
        <f>IF(OR(COUNTIF('1.연간시수표'!M27,$AT$9),COUNTIF('1.연간시수표'!M27,$AT$7)),$AT$6,IF(OR(COUNTIF('1.연간시수표'!M27,$AU$9),COUNTIF('1.연간시수표'!M27,$AU$7)),$AU$6,IF(OR(COUNTIF('1.연간시수표'!M27,$AV$9),COUNTIF('1.연간시수표'!M27,$AV$7)),$AV$6,IF(OR(COUNTIF('1.연간시수표'!M27,$AW$9),COUNTIF('1.연간시수표'!M27,$AW$7)),$AW$6,IF(OR(COUNTIF('1.연간시수표'!M27,$AX$9),COUNTIF('1.연간시수표'!M27,$AX$7)),$AX$6,IF(OR(COUNTIF('1.연간시수표'!M27,$AY$9),COUNTIF('1.연간시수표'!M27,$AY$7)),$AY$6,IF(OR(COUNTIF('1.연간시수표'!M27,$AZ$9),COUNTIF('1.연간시수표'!M27,$AZ$7)),$AZ$6,IF(OR(COUNTIF('1.연간시수표'!M27,$BA$9),COUNTIF('1.연간시수표'!M27,$BA$7)),$BA$6,IF(OR(COUNTIF('1.연간시수표'!M27,$BB$9),COUNTIF('1.연간시수표'!M27,$BB$7)),$BB$6,IF(OR(COUNTIF('1.연간시수표'!M27,$BC$9),COUNTIF('1.연간시수표'!M27,$BC$7)),$BC$6,IF(OR(COUNTIF('1.연간시수표'!M27,$BF$9),COUNTIF('1.연간시수표'!M27,$BF$7),COUNTIF('1.연간시수표'!M27,$BG$9),COUNTIF('1.연간시수표'!M27,$BG$7),COUNTIF('1.연간시수표'!M27,$BH$9),COUNTIF('1.연간시수표'!M27,$BH$7),COUNTIF('1.연간시수표'!M27,$BI$9),COUNTIF('1.연간시수표'!M27,$BI$7),COUNTIF('1.연간시수표'!M27,$BJ$9),COUNTIF('1.연간시수표'!M27,$BJ$7),COUNTIF('1.연간시수표'!M27,$BK$9),COUNTIF('1.연간시수표'!M27,$BK$7),COUNTIF('1.연간시수표'!M27,$BL$9),COUNTIF('1.연간시수표'!M27,$BL$7),COUNTIF('1.연간시수표'!M27,$BM$9),COUNTIF('1.연간시수표'!M27,$BM$7)),$BF$6,IF(OR(COUNTIF('1.연간시수표'!M27,$BO$9),COUNTIF('1.연간시수표'!M27,$BO$7)),$BO$6,IF(OR(COUNTIF('1.연간시수표'!M27,$BP$9),COUNTIF('1.연간시수표'!M27,$BP$7)),$BP$6,IF(OR(COUNTIF('1.연간시수표'!M27,$BQ$9),COUNTIF('1.연간시수표'!M27,$BQ$7)),$BQ$6,IF(OR(COUNTIF('1.연간시수표'!M27,$BR$9),COUNTIF('1.연간시수표'!M27,$BR$7)),$BR$6,"_")))))))))))))))</f>
        <v>국어</v>
      </c>
      <c r="N27" s="148" t="str">
        <f>IF(OR(COUNTIF('1.연간시수표'!N27,$AT$9),COUNTIF('1.연간시수표'!N27,$AT$7)),$AT$6,IF(OR(COUNTIF('1.연간시수표'!N27,$AU$9),COUNTIF('1.연간시수표'!N27,$AU$7)),$AU$6,IF(OR(COUNTIF('1.연간시수표'!N27,$AV$9),COUNTIF('1.연간시수표'!N27,$AV$7)),$AV$6,IF(OR(COUNTIF('1.연간시수표'!N27,$AW$9),COUNTIF('1.연간시수표'!N27,$AW$7)),$AW$6,IF(OR(COUNTIF('1.연간시수표'!N27,$AX$9),COUNTIF('1.연간시수표'!N27,$AX$7)),$AX$6,IF(OR(COUNTIF('1.연간시수표'!N27,$AY$9),COUNTIF('1.연간시수표'!N27,$AY$7)),$AY$6,IF(OR(COUNTIF('1.연간시수표'!N27,$AZ$9),COUNTIF('1.연간시수표'!N27,$AZ$7)),$AZ$6,IF(OR(COUNTIF('1.연간시수표'!N27,$BA$9),COUNTIF('1.연간시수표'!N27,$BA$7)),$BA$6,IF(OR(COUNTIF('1.연간시수표'!N27,$BB$9),COUNTIF('1.연간시수표'!N27,$BB$7)),$BB$6,IF(OR(COUNTIF('1.연간시수표'!N27,$BC$9),COUNTIF('1.연간시수표'!N27,$BC$7)),$BC$6,IF(OR(COUNTIF('1.연간시수표'!N27,$BF$9),COUNTIF('1.연간시수표'!N27,$BF$7),COUNTIF('1.연간시수표'!N27,$BG$9),COUNTIF('1.연간시수표'!N27,$BG$7),COUNTIF('1.연간시수표'!N27,$BH$9),COUNTIF('1.연간시수표'!N27,$BH$7),COUNTIF('1.연간시수표'!N27,$BI$9),COUNTIF('1.연간시수표'!N27,$BI$7),COUNTIF('1.연간시수표'!N27,$BJ$9),COUNTIF('1.연간시수표'!N27,$BJ$7),COUNTIF('1.연간시수표'!N27,$BK$9),COUNTIF('1.연간시수표'!N27,$BK$7),COUNTIF('1.연간시수표'!N27,$BL$9),COUNTIF('1.연간시수표'!N27,$BL$7),COUNTIF('1.연간시수표'!N27,$BM$9),COUNTIF('1.연간시수표'!N27,$BM$7)),$BF$6,IF(OR(COUNTIF('1.연간시수표'!N27,$BO$9),COUNTIF('1.연간시수표'!N27,$BO$7)),$BO$6,IF(OR(COUNTIF('1.연간시수표'!N27,$BP$9),COUNTIF('1.연간시수표'!N27,$BP$7)),$BP$6,IF(OR(COUNTIF('1.연간시수표'!N27,$BQ$9),COUNTIF('1.연간시수표'!N27,$BQ$7)),$BQ$6,IF(OR(COUNTIF('1.연간시수표'!N27,$BR$9),COUNTIF('1.연간시수표'!N27,$BR$7)),$BR$6,"_")))))))))))))))</f>
        <v>국어</v>
      </c>
      <c r="O27" s="148" t="str">
        <f>IF(OR(COUNTIF('1.연간시수표'!O27,$AT$9),COUNTIF('1.연간시수표'!O27,$AT$7)),$AT$6,IF(OR(COUNTIF('1.연간시수표'!O27,$AU$9),COUNTIF('1.연간시수표'!O27,$AU$7)),$AU$6,IF(OR(COUNTIF('1.연간시수표'!O27,$AV$9),COUNTIF('1.연간시수표'!O27,$AV$7)),$AV$6,IF(OR(COUNTIF('1.연간시수표'!O27,$AW$9),COUNTIF('1.연간시수표'!O27,$AW$7)),$AW$6,IF(OR(COUNTIF('1.연간시수표'!O27,$AX$9),COUNTIF('1.연간시수표'!O27,$AX$7)),$AX$6,IF(OR(COUNTIF('1.연간시수표'!O27,$AY$9),COUNTIF('1.연간시수표'!O27,$AY$7)),$AY$6,IF(OR(COUNTIF('1.연간시수표'!O27,$AZ$9),COUNTIF('1.연간시수표'!O27,$AZ$7)),$AZ$6,IF(OR(COUNTIF('1.연간시수표'!O27,$BA$9),COUNTIF('1.연간시수표'!O27,$BA$7)),$BA$6,IF(OR(COUNTIF('1.연간시수표'!O27,$BB$9),COUNTIF('1.연간시수표'!O27,$BB$7)),$BB$6,IF(OR(COUNTIF('1.연간시수표'!O27,$BC$9),COUNTIF('1.연간시수표'!O27,$BC$7)),$BC$6,IF(OR(COUNTIF('1.연간시수표'!O27,$BF$9),COUNTIF('1.연간시수표'!O27,$BF$7),COUNTIF('1.연간시수표'!O27,$BG$9),COUNTIF('1.연간시수표'!O27,$BG$7),COUNTIF('1.연간시수표'!O27,$BH$9),COUNTIF('1.연간시수표'!O27,$BH$7),COUNTIF('1.연간시수표'!O27,$BI$9),COUNTIF('1.연간시수표'!O27,$BI$7),COUNTIF('1.연간시수표'!O27,$BJ$9),COUNTIF('1.연간시수표'!O27,$BJ$7),COUNTIF('1.연간시수표'!O27,$BK$9),COUNTIF('1.연간시수표'!O27,$BK$7),COUNTIF('1.연간시수표'!O27,$BL$9),COUNTIF('1.연간시수표'!O27,$BL$7),COUNTIF('1.연간시수표'!O27,$BM$9),COUNTIF('1.연간시수표'!O27,$BM$7)),$BF$6,IF(OR(COUNTIF('1.연간시수표'!O27,$BO$9),COUNTIF('1.연간시수표'!O27,$BO$7)),$BO$6,IF(OR(COUNTIF('1.연간시수표'!O27,$BP$9),COUNTIF('1.연간시수표'!O27,$BP$7)),$BP$6,IF(OR(COUNTIF('1.연간시수표'!O27,$BQ$9),COUNTIF('1.연간시수표'!O27,$BQ$7)),$BQ$6,IF(OR(COUNTIF('1.연간시수표'!O27,$BR$9),COUNTIF('1.연간시수표'!O27,$BR$7)),$BR$6,"_")))))))))))))))</f>
        <v>사회</v>
      </c>
      <c r="P27" s="148" t="str">
        <f>IF(OR(COUNTIF('1.연간시수표'!P27,$AT$9),COUNTIF('1.연간시수표'!P27,$AT$7)),$AT$6,IF(OR(COUNTIF('1.연간시수표'!P27,$AU$9),COUNTIF('1.연간시수표'!P27,$AU$7)),$AU$6,IF(OR(COUNTIF('1.연간시수표'!P27,$AV$9),COUNTIF('1.연간시수표'!P27,$AV$7)),$AV$6,IF(OR(COUNTIF('1.연간시수표'!P27,$AW$9),COUNTIF('1.연간시수표'!P27,$AW$7)),$AW$6,IF(OR(COUNTIF('1.연간시수표'!P27,$AX$9),COUNTIF('1.연간시수표'!P27,$AX$7)),$AX$6,IF(OR(COUNTIF('1.연간시수표'!P27,$AY$9),COUNTIF('1.연간시수표'!P27,$AY$7)),$AY$6,IF(OR(COUNTIF('1.연간시수표'!P27,$AZ$9),COUNTIF('1.연간시수표'!P27,$AZ$7)),$AZ$6,IF(OR(COUNTIF('1.연간시수표'!P27,$BA$9),COUNTIF('1.연간시수표'!P27,$BA$7)),$BA$6,IF(OR(COUNTIF('1.연간시수표'!P27,$BB$9),COUNTIF('1.연간시수표'!P27,$BB$7)),$BB$6,IF(OR(COUNTIF('1.연간시수표'!P27,$BC$9),COUNTIF('1.연간시수표'!P27,$BC$7)),$BC$6,IF(OR(COUNTIF('1.연간시수표'!P27,$BF$9),COUNTIF('1.연간시수표'!P27,$BF$7),COUNTIF('1.연간시수표'!P27,$BG$9),COUNTIF('1.연간시수표'!P27,$BG$7),COUNTIF('1.연간시수표'!P27,$BH$9),COUNTIF('1.연간시수표'!P27,$BH$7),COUNTIF('1.연간시수표'!P27,$BI$9),COUNTIF('1.연간시수표'!P27,$BI$7),COUNTIF('1.연간시수표'!P27,$BJ$9),COUNTIF('1.연간시수표'!P27,$BJ$7),COUNTIF('1.연간시수표'!P27,$BK$9),COUNTIF('1.연간시수표'!P27,$BK$7),COUNTIF('1.연간시수표'!P27,$BL$9),COUNTIF('1.연간시수표'!P27,$BL$7),COUNTIF('1.연간시수표'!P27,$BM$9),COUNTIF('1.연간시수표'!P27,$BM$7)),$BF$6,IF(OR(COUNTIF('1.연간시수표'!P27,$BO$9),COUNTIF('1.연간시수표'!P27,$BO$7)),$BO$6,IF(OR(COUNTIF('1.연간시수표'!P27,$BP$9),COUNTIF('1.연간시수표'!P27,$BP$7)),$BP$6,IF(OR(COUNTIF('1.연간시수표'!P27,$BQ$9),COUNTIF('1.연간시수표'!P27,$BQ$7)),$BQ$6,IF(OR(COUNTIF('1.연간시수표'!P27,$BR$9),COUNTIF('1.연간시수표'!P27,$BR$7)),$BR$6,"_")))))))))))))))</f>
        <v>수학</v>
      </c>
      <c r="Q27" s="148" t="str">
        <f>IF(OR(COUNTIF('1.연간시수표'!Q27,$AT$9),COUNTIF('1.연간시수표'!Q27,$AT$7)),$AT$6,IF(OR(COUNTIF('1.연간시수표'!Q27,$AU$9),COUNTIF('1.연간시수표'!Q27,$AU$7)),$AU$6,IF(OR(COUNTIF('1.연간시수표'!Q27,$AV$9),COUNTIF('1.연간시수표'!Q27,$AV$7)),$AV$6,IF(OR(COUNTIF('1.연간시수표'!Q27,$AW$9),COUNTIF('1.연간시수표'!Q27,$AW$7)),$AW$6,IF(OR(COUNTIF('1.연간시수표'!Q27,$AX$9),COUNTIF('1.연간시수표'!Q27,$AX$7)),$AX$6,IF(OR(COUNTIF('1.연간시수표'!Q27,$AY$9),COUNTIF('1.연간시수표'!Q27,$AY$7)),$AY$6,IF(OR(COUNTIF('1.연간시수표'!Q27,$AZ$9),COUNTIF('1.연간시수표'!Q27,$AZ$7)),$AZ$6,IF(OR(COUNTIF('1.연간시수표'!Q27,$BA$9),COUNTIF('1.연간시수표'!Q27,$BA$7)),$BA$6,IF(OR(COUNTIF('1.연간시수표'!Q27,$BB$9),COUNTIF('1.연간시수표'!Q27,$BB$7)),$BB$6,IF(OR(COUNTIF('1.연간시수표'!Q27,$BC$9),COUNTIF('1.연간시수표'!Q27,$BC$7)),$BC$6,IF(OR(COUNTIF('1.연간시수표'!Q27,$BF$9),COUNTIF('1.연간시수표'!Q27,$BF$7),COUNTIF('1.연간시수표'!Q27,$BG$9),COUNTIF('1.연간시수표'!Q27,$BG$7),COUNTIF('1.연간시수표'!Q27,$BH$9),COUNTIF('1.연간시수표'!Q27,$BH$7),COUNTIF('1.연간시수표'!Q27,$BI$9),COUNTIF('1.연간시수표'!Q27,$BI$7),COUNTIF('1.연간시수표'!Q27,$BJ$9),COUNTIF('1.연간시수표'!Q27,$BJ$7),COUNTIF('1.연간시수표'!Q27,$BK$9),COUNTIF('1.연간시수표'!Q27,$BK$7),COUNTIF('1.연간시수표'!Q27,$BL$9),COUNTIF('1.연간시수표'!Q27,$BL$7),COUNTIF('1.연간시수표'!Q27,$BM$9),COUNTIF('1.연간시수표'!Q27,$BM$7)),$BF$6,IF(OR(COUNTIF('1.연간시수표'!Q27,$BO$9),COUNTIF('1.연간시수표'!Q27,$BO$7)),$BO$6,IF(OR(COUNTIF('1.연간시수표'!Q27,$BP$9),COUNTIF('1.연간시수표'!Q27,$BP$7)),$BP$6,IF(OR(COUNTIF('1.연간시수표'!Q27,$BQ$9),COUNTIF('1.연간시수표'!Q27,$BQ$7)),$BQ$6,IF(OR(COUNTIF('1.연간시수표'!Q27,$BR$9),COUNTIF('1.연간시수표'!Q27,$BR$7)),$BR$6,"_")))))))))))))))</f>
        <v>과학</v>
      </c>
      <c r="R27" s="148" t="str">
        <f>IF(OR(COUNTIF('1.연간시수표'!R27,$AT$9),COUNTIF('1.연간시수표'!R27,$AT$7)),$AT$6,IF(OR(COUNTIF('1.연간시수표'!R27,$AU$9),COUNTIF('1.연간시수표'!R27,$AU$7)),$AU$6,IF(OR(COUNTIF('1.연간시수표'!R27,$AV$9),COUNTIF('1.연간시수표'!R27,$AV$7)),$AV$6,IF(OR(COUNTIF('1.연간시수표'!R27,$AW$9),COUNTIF('1.연간시수표'!R27,$AW$7)),$AW$6,IF(OR(COUNTIF('1.연간시수표'!R27,$AX$9),COUNTIF('1.연간시수표'!R27,$AX$7)),$AX$6,IF(OR(COUNTIF('1.연간시수표'!R27,$AY$9),COUNTIF('1.연간시수표'!R27,$AY$7)),$AY$6,IF(OR(COUNTIF('1.연간시수표'!R27,$AZ$9),COUNTIF('1.연간시수표'!R27,$AZ$7)),$AZ$6,IF(OR(COUNTIF('1.연간시수표'!R27,$BA$9),COUNTIF('1.연간시수표'!R27,$BA$7)),$BA$6,IF(OR(COUNTIF('1.연간시수표'!R27,$BB$9),COUNTIF('1.연간시수표'!R27,$BB$7)),$BB$6,IF(OR(COUNTIF('1.연간시수표'!R27,$BC$9),COUNTIF('1.연간시수표'!R27,$BC$7)),$BC$6,IF(OR(COUNTIF('1.연간시수표'!R27,$BF$9),COUNTIF('1.연간시수표'!R27,$BF$7),COUNTIF('1.연간시수표'!R27,$BG$9),COUNTIF('1.연간시수표'!R27,$BG$7),COUNTIF('1.연간시수표'!R27,$BH$9),COUNTIF('1.연간시수표'!R27,$BH$7),COUNTIF('1.연간시수표'!R27,$BI$9),COUNTIF('1.연간시수표'!R27,$BI$7),COUNTIF('1.연간시수표'!R27,$BJ$9),COUNTIF('1.연간시수표'!R27,$BJ$7),COUNTIF('1.연간시수표'!R27,$BK$9),COUNTIF('1.연간시수표'!R27,$BK$7),COUNTIF('1.연간시수표'!R27,$BL$9),COUNTIF('1.연간시수표'!R27,$BL$7),COUNTIF('1.연간시수표'!R27,$BM$9),COUNTIF('1.연간시수표'!R27,$BM$7)),$BF$6,IF(OR(COUNTIF('1.연간시수표'!R27,$BO$9),COUNTIF('1.연간시수표'!R27,$BO$7)),$BO$6,IF(OR(COUNTIF('1.연간시수표'!R27,$BP$9),COUNTIF('1.연간시수표'!R27,$BP$7)),$BP$6,IF(OR(COUNTIF('1.연간시수표'!R27,$BQ$9),COUNTIF('1.연간시수표'!R27,$BQ$7)),$BQ$6,IF(OR(COUNTIF('1.연간시수표'!R27,$BR$9),COUNTIF('1.연간시수표'!R27,$BR$7)),$BR$6,"_")))))))))))))))</f>
        <v>실과</v>
      </c>
      <c r="S27" s="148" t="str">
        <f>IF(OR(COUNTIF('1.연간시수표'!S27,$AT$9),COUNTIF('1.연간시수표'!S27,$AT$7)),$AT$6,IF(OR(COUNTIF('1.연간시수표'!S27,$AU$9),COUNTIF('1.연간시수표'!S27,$AU$7)),$AU$6,IF(OR(COUNTIF('1.연간시수표'!S27,$AV$9),COUNTIF('1.연간시수표'!S27,$AV$7)),$AV$6,IF(OR(COUNTIF('1.연간시수표'!S27,$AW$9),COUNTIF('1.연간시수표'!S27,$AW$7)),$AW$6,IF(OR(COUNTIF('1.연간시수표'!S27,$AX$9),COUNTIF('1.연간시수표'!S27,$AX$7)),$AX$6,IF(OR(COUNTIF('1.연간시수표'!S27,$AY$9),COUNTIF('1.연간시수표'!S27,$AY$7)),$AY$6,IF(OR(COUNTIF('1.연간시수표'!S27,$AZ$9),COUNTIF('1.연간시수표'!S27,$AZ$7)),$AZ$6,IF(OR(COUNTIF('1.연간시수표'!S27,$BA$9),COUNTIF('1.연간시수표'!S27,$BA$7)),$BA$6,IF(OR(COUNTIF('1.연간시수표'!S27,$BB$9),COUNTIF('1.연간시수표'!S27,$BB$7)),$BB$6,IF(OR(COUNTIF('1.연간시수표'!S27,$BC$9),COUNTIF('1.연간시수표'!S27,$BC$7)),$BC$6,IF(OR(COUNTIF('1.연간시수표'!S27,$BF$9),COUNTIF('1.연간시수표'!S27,$BF$7),COUNTIF('1.연간시수표'!S27,$BG$9),COUNTIF('1.연간시수표'!S27,$BG$7),COUNTIF('1.연간시수표'!S27,$BH$9),COUNTIF('1.연간시수표'!S27,$BH$7),COUNTIF('1.연간시수표'!S27,$BI$9),COUNTIF('1.연간시수표'!S27,$BI$7),COUNTIF('1.연간시수표'!S27,$BJ$9),COUNTIF('1.연간시수표'!S27,$BJ$7),COUNTIF('1.연간시수표'!S27,$BK$9),COUNTIF('1.연간시수표'!S27,$BK$7),COUNTIF('1.연간시수표'!S27,$BL$9),COUNTIF('1.연간시수표'!S27,$BL$7),COUNTIF('1.연간시수표'!S27,$BM$9),COUNTIF('1.연간시수표'!S27,$BM$7)),$BF$6,IF(OR(COUNTIF('1.연간시수표'!S27,$BO$9),COUNTIF('1.연간시수표'!S27,$BO$7)),$BO$6,IF(OR(COUNTIF('1.연간시수표'!S27,$BP$9),COUNTIF('1.연간시수표'!S27,$BP$7)),$BP$6,IF(OR(COUNTIF('1.연간시수표'!S27,$BQ$9),COUNTIF('1.연간시수표'!S27,$BQ$7)),$BQ$6,IF(OR(COUNTIF('1.연간시수표'!S27,$BR$9),COUNTIF('1.연간시수표'!S27,$BR$7)),$BR$6,"_")))))))))))))))</f>
        <v>_</v>
      </c>
      <c r="T27" s="148" t="str">
        <f>IF(OR(COUNTIF('1.연간시수표'!T27,$AT$9),COUNTIF('1.연간시수표'!T27,$AT$7)),$AT$6,IF(OR(COUNTIF('1.연간시수표'!T27,$AU$9),COUNTIF('1.연간시수표'!T27,$AU$7)),$AU$6,IF(OR(COUNTIF('1.연간시수표'!T27,$AV$9),COUNTIF('1.연간시수표'!T27,$AV$7)),$AV$6,IF(OR(COUNTIF('1.연간시수표'!T27,$AW$9),COUNTIF('1.연간시수표'!T27,$AW$7)),$AW$6,IF(OR(COUNTIF('1.연간시수표'!T27,$AX$9),COUNTIF('1.연간시수표'!T27,$AX$7)),$AX$6,IF(OR(COUNTIF('1.연간시수표'!T27,$AY$9),COUNTIF('1.연간시수표'!T27,$AY$7)),$AY$6,IF(OR(COUNTIF('1.연간시수표'!T27,$AZ$9),COUNTIF('1.연간시수표'!T27,$AZ$7)),$AZ$6,IF(OR(COUNTIF('1.연간시수표'!T27,$BA$9),COUNTIF('1.연간시수표'!T27,$BA$7)),$BA$6,IF(OR(COUNTIF('1.연간시수표'!T27,$BB$9),COUNTIF('1.연간시수표'!T27,$BB$7)),$BB$6,IF(OR(COUNTIF('1.연간시수표'!T27,$BC$9),COUNTIF('1.연간시수표'!T27,$BC$7)),$BC$6,IF(OR(COUNTIF('1.연간시수표'!T27,$BF$9),COUNTIF('1.연간시수표'!T27,$BF$7),COUNTIF('1.연간시수표'!T27,$BG$9),COUNTIF('1.연간시수표'!T27,$BG$7),COUNTIF('1.연간시수표'!T27,$BH$9),COUNTIF('1.연간시수표'!T27,$BH$7),COUNTIF('1.연간시수표'!T27,$BI$9),COUNTIF('1.연간시수표'!T27,$BI$7),COUNTIF('1.연간시수표'!T27,$BJ$9),COUNTIF('1.연간시수표'!T27,$BJ$7),COUNTIF('1.연간시수표'!T27,$BK$9),COUNTIF('1.연간시수표'!T27,$BK$7),COUNTIF('1.연간시수표'!T27,$BL$9),COUNTIF('1.연간시수표'!T27,$BL$7),COUNTIF('1.연간시수표'!T27,$BM$9),COUNTIF('1.연간시수표'!T27,$BM$7)),$BF$6,IF(OR(COUNTIF('1.연간시수표'!T27,$BO$9),COUNTIF('1.연간시수표'!T27,$BO$7)),$BO$6,IF(OR(COUNTIF('1.연간시수표'!T27,$BP$9),COUNTIF('1.연간시수표'!T27,$BP$7)),$BP$6,IF(OR(COUNTIF('1.연간시수표'!T27,$BQ$9),COUNTIF('1.연간시수표'!T27,$BQ$7)),$BQ$6,IF(OR(COUNTIF('1.연간시수표'!T27,$BR$9),COUNTIF('1.연간시수표'!T27,$BR$7)),$BR$6,"_")))))))))))))))</f>
        <v>_</v>
      </c>
      <c r="U27" s="148" t="str">
        <f>IF(OR(COUNTIF('1.연간시수표'!U27,$AT$9),COUNTIF('1.연간시수표'!U27,$AT$7)),$AT$6,IF(OR(COUNTIF('1.연간시수표'!U27,$AU$9),COUNTIF('1.연간시수표'!U27,$AU$7)),$AU$6,IF(OR(COUNTIF('1.연간시수표'!U27,$AV$9),COUNTIF('1.연간시수표'!U27,$AV$7)),$AV$6,IF(OR(COUNTIF('1.연간시수표'!U27,$AW$9),COUNTIF('1.연간시수표'!U27,$AW$7)),$AW$6,IF(OR(COUNTIF('1.연간시수표'!U27,$AX$9),COUNTIF('1.연간시수표'!U27,$AX$7)),$AX$6,IF(OR(COUNTIF('1.연간시수표'!U27,$AY$9),COUNTIF('1.연간시수표'!U27,$AY$7)),$AY$6,IF(OR(COUNTIF('1.연간시수표'!U27,$AZ$9),COUNTIF('1.연간시수표'!U27,$AZ$7)),$AZ$6,IF(OR(COUNTIF('1.연간시수표'!U27,$BA$9),COUNTIF('1.연간시수표'!U27,$BA$7)),$BA$6,IF(OR(COUNTIF('1.연간시수표'!U27,$BB$9),COUNTIF('1.연간시수표'!U27,$BB$7)),$BB$6,IF(OR(COUNTIF('1.연간시수표'!U27,$BC$9),COUNTIF('1.연간시수표'!U27,$BC$7)),$BC$6,IF(OR(COUNTIF('1.연간시수표'!U27,$BF$9),COUNTIF('1.연간시수표'!U27,$BF$7),COUNTIF('1.연간시수표'!U27,$BG$9),COUNTIF('1.연간시수표'!U27,$BG$7),COUNTIF('1.연간시수표'!U27,$BH$9),COUNTIF('1.연간시수표'!U27,$BH$7),COUNTIF('1.연간시수표'!U27,$BI$9),COUNTIF('1.연간시수표'!U27,$BI$7),COUNTIF('1.연간시수표'!U27,$BJ$9),COUNTIF('1.연간시수표'!U27,$BJ$7),COUNTIF('1.연간시수표'!U27,$BK$9),COUNTIF('1.연간시수표'!U27,$BK$7),COUNTIF('1.연간시수표'!U27,$BL$9),COUNTIF('1.연간시수표'!U27,$BL$7),COUNTIF('1.연간시수표'!U27,$BM$9),COUNTIF('1.연간시수표'!U27,$BM$7)),$BF$6,IF(OR(COUNTIF('1.연간시수표'!U27,$BO$9),COUNTIF('1.연간시수표'!U27,$BO$7)),$BO$6,IF(OR(COUNTIF('1.연간시수표'!U27,$BP$9),COUNTIF('1.연간시수표'!U27,$BP$7)),$BP$6,IF(OR(COUNTIF('1.연간시수표'!U27,$BQ$9),COUNTIF('1.연간시수표'!U27,$BQ$7)),$BQ$6,IF(OR(COUNTIF('1.연간시수표'!U27,$BR$9),COUNTIF('1.연간시수표'!U27,$BR$7)),$BR$6,"_")))))))))))))))</f>
        <v>영어</v>
      </c>
      <c r="V27" s="148" t="str">
        <f>IF(OR(COUNTIF('1.연간시수표'!V27,$AT$9),COUNTIF('1.연간시수표'!V27,$AT$7)),$AT$6,IF(OR(COUNTIF('1.연간시수표'!V27,$AU$9),COUNTIF('1.연간시수표'!V27,$AU$7)),$AU$6,IF(OR(COUNTIF('1.연간시수표'!V27,$AV$9),COUNTIF('1.연간시수표'!V27,$AV$7)),$AV$6,IF(OR(COUNTIF('1.연간시수표'!V27,$AW$9),COUNTIF('1.연간시수표'!V27,$AW$7)),$AW$6,IF(OR(COUNTIF('1.연간시수표'!V27,$AX$9),COUNTIF('1.연간시수표'!V27,$AX$7)),$AX$6,IF(OR(COUNTIF('1.연간시수표'!V27,$AY$9),COUNTIF('1.연간시수표'!V27,$AY$7)),$AY$6,IF(OR(COUNTIF('1.연간시수표'!V27,$AZ$9),COUNTIF('1.연간시수표'!V27,$AZ$7)),$AZ$6,IF(OR(COUNTIF('1.연간시수표'!V27,$BA$9),COUNTIF('1.연간시수표'!V27,$BA$7)),$BA$6,IF(OR(COUNTIF('1.연간시수표'!V27,$BB$9),COUNTIF('1.연간시수표'!V27,$BB$7)),$BB$6,IF(OR(COUNTIF('1.연간시수표'!V27,$BC$9),COUNTIF('1.연간시수표'!V27,$BC$7)),$BC$6,IF(OR(COUNTIF('1.연간시수표'!V27,$BF$9),COUNTIF('1.연간시수표'!V27,$BF$7),COUNTIF('1.연간시수표'!V27,$BG$9),COUNTIF('1.연간시수표'!V27,$BG$7),COUNTIF('1.연간시수표'!V27,$BH$9),COUNTIF('1.연간시수표'!V27,$BH$7),COUNTIF('1.연간시수표'!V27,$BI$9),COUNTIF('1.연간시수표'!V27,$BI$7),COUNTIF('1.연간시수표'!V27,$BJ$9),COUNTIF('1.연간시수표'!V27,$BJ$7),COUNTIF('1.연간시수표'!V27,$BK$9),COUNTIF('1.연간시수표'!V27,$BK$7),COUNTIF('1.연간시수표'!V27,$BL$9),COUNTIF('1.연간시수표'!V27,$BL$7),COUNTIF('1.연간시수표'!V27,$BM$9),COUNTIF('1.연간시수표'!V27,$BM$7)),$BF$6,IF(OR(COUNTIF('1.연간시수표'!V27,$BO$9),COUNTIF('1.연간시수표'!V27,$BO$7)),$BO$6,IF(OR(COUNTIF('1.연간시수표'!V27,$BP$9),COUNTIF('1.연간시수표'!V27,$BP$7)),$BP$6,IF(OR(COUNTIF('1.연간시수표'!V27,$BQ$9),COUNTIF('1.연간시수표'!V27,$BQ$7)),$BQ$6,IF(OR(COUNTIF('1.연간시수표'!V27,$BR$9),COUNTIF('1.연간시수표'!V27,$BR$7)),$BR$6,"_")))))))))))))))</f>
        <v>과학</v>
      </c>
      <c r="W27" s="148" t="str">
        <f>IF(OR(COUNTIF('1.연간시수표'!W27,$AT$9),COUNTIF('1.연간시수표'!W27,$AT$7)),$AT$6,IF(OR(COUNTIF('1.연간시수표'!W27,$AU$9),COUNTIF('1.연간시수표'!W27,$AU$7)),$AU$6,IF(OR(COUNTIF('1.연간시수표'!W27,$AV$9),COUNTIF('1.연간시수표'!W27,$AV$7)),$AV$6,IF(OR(COUNTIF('1.연간시수표'!W27,$AW$9),COUNTIF('1.연간시수표'!W27,$AW$7)),$AW$6,IF(OR(COUNTIF('1.연간시수표'!W27,$AX$9),COUNTIF('1.연간시수표'!W27,$AX$7)),$AX$6,IF(OR(COUNTIF('1.연간시수표'!W27,$AY$9),COUNTIF('1.연간시수표'!W27,$AY$7)),$AY$6,IF(OR(COUNTIF('1.연간시수표'!W27,$AZ$9),COUNTIF('1.연간시수표'!W27,$AZ$7)),$AZ$6,IF(OR(COUNTIF('1.연간시수표'!W27,$BA$9),COUNTIF('1.연간시수표'!W27,$BA$7)),$BA$6,IF(OR(COUNTIF('1.연간시수표'!W27,$BB$9),COUNTIF('1.연간시수표'!W27,$BB$7)),$BB$6,IF(OR(COUNTIF('1.연간시수표'!W27,$BC$9),COUNTIF('1.연간시수표'!W27,$BC$7)),$BC$6,IF(OR(COUNTIF('1.연간시수표'!W27,$BF$9),COUNTIF('1.연간시수표'!W27,$BF$7),COUNTIF('1.연간시수표'!W27,$BG$9),COUNTIF('1.연간시수표'!W27,$BG$7),COUNTIF('1.연간시수표'!W27,$BH$9),COUNTIF('1.연간시수표'!W27,$BH$7),COUNTIF('1.연간시수표'!W27,$BI$9),COUNTIF('1.연간시수표'!W27,$BI$7),COUNTIF('1.연간시수표'!W27,$BJ$9),COUNTIF('1.연간시수표'!W27,$BJ$7),COUNTIF('1.연간시수표'!W27,$BK$9),COUNTIF('1.연간시수표'!W27,$BK$7),COUNTIF('1.연간시수표'!W27,$BL$9),COUNTIF('1.연간시수표'!W27,$BL$7),COUNTIF('1.연간시수표'!W27,$BM$9),COUNTIF('1.연간시수표'!W27,$BM$7)),$BF$6,IF(OR(COUNTIF('1.연간시수표'!W27,$BO$9),COUNTIF('1.연간시수표'!W27,$BO$7)),$BO$6,IF(OR(COUNTIF('1.연간시수표'!W27,$BP$9),COUNTIF('1.연간시수표'!W27,$BP$7)),$BP$6,IF(OR(COUNTIF('1.연간시수표'!W27,$BQ$9),COUNTIF('1.연간시수표'!W27,$BQ$7)),$BQ$6,IF(OR(COUNTIF('1.연간시수표'!W27,$BR$9),COUNTIF('1.연간시수표'!W27,$BR$7)),$BR$6,"_")))))))))))))))</f>
        <v>체육</v>
      </c>
      <c r="X27" s="148" t="str">
        <f>IF(OR(COUNTIF('1.연간시수표'!X27,$AT$9),COUNTIF('1.연간시수표'!X27,$AT$7)),$AT$6,IF(OR(COUNTIF('1.연간시수표'!X27,$AU$9),COUNTIF('1.연간시수표'!X27,$AU$7)),$AU$6,IF(OR(COUNTIF('1.연간시수표'!X27,$AV$9),COUNTIF('1.연간시수표'!X27,$AV$7)),$AV$6,IF(OR(COUNTIF('1.연간시수표'!X27,$AW$9),COUNTIF('1.연간시수표'!X27,$AW$7)),$AW$6,IF(OR(COUNTIF('1.연간시수표'!X27,$AX$9),COUNTIF('1.연간시수표'!X27,$AX$7)),$AX$6,IF(OR(COUNTIF('1.연간시수표'!X27,$AY$9),COUNTIF('1.연간시수표'!X27,$AY$7)),$AY$6,IF(OR(COUNTIF('1.연간시수표'!X27,$AZ$9),COUNTIF('1.연간시수표'!X27,$AZ$7)),$AZ$6,IF(OR(COUNTIF('1.연간시수표'!X27,$BA$9),COUNTIF('1.연간시수표'!X27,$BA$7)),$BA$6,IF(OR(COUNTIF('1.연간시수표'!X27,$BB$9),COUNTIF('1.연간시수표'!X27,$BB$7)),$BB$6,IF(OR(COUNTIF('1.연간시수표'!X27,$BC$9),COUNTIF('1.연간시수표'!X27,$BC$7)),$BC$6,IF(OR(COUNTIF('1.연간시수표'!X27,$BF$9),COUNTIF('1.연간시수표'!X27,$BF$7),COUNTIF('1.연간시수표'!X27,$BG$9),COUNTIF('1.연간시수표'!X27,$BG$7),COUNTIF('1.연간시수표'!X27,$BH$9),COUNTIF('1.연간시수표'!X27,$BH$7),COUNTIF('1.연간시수표'!X27,$BI$9),COUNTIF('1.연간시수표'!X27,$BI$7),COUNTIF('1.연간시수표'!X27,$BJ$9),COUNTIF('1.연간시수표'!X27,$BJ$7),COUNTIF('1.연간시수표'!X27,$BK$9),COUNTIF('1.연간시수표'!X27,$BK$7),COUNTIF('1.연간시수표'!X27,$BL$9),COUNTIF('1.연간시수표'!X27,$BL$7),COUNTIF('1.연간시수표'!X27,$BM$9),COUNTIF('1.연간시수표'!X27,$BM$7)),$BF$6,IF(OR(COUNTIF('1.연간시수표'!X27,$BO$9),COUNTIF('1.연간시수표'!X27,$BO$7)),$BO$6,IF(OR(COUNTIF('1.연간시수표'!X27,$BP$9),COUNTIF('1.연간시수표'!X27,$BP$7)),$BP$6,IF(OR(COUNTIF('1.연간시수표'!X27,$BQ$9),COUNTIF('1.연간시수표'!X27,$BQ$7)),$BQ$6,IF(OR(COUNTIF('1.연간시수표'!X27,$BR$9),COUNTIF('1.연간시수표'!X27,$BR$7)),$BR$6,"_")))))))))))))))</f>
        <v>체육</v>
      </c>
      <c r="Y27" s="148" t="str">
        <f>IF(OR(COUNTIF('1.연간시수표'!Y27,$AT$9),COUNTIF('1.연간시수표'!Y27,$AT$7)),$AT$6,IF(OR(COUNTIF('1.연간시수표'!Y27,$AU$9),COUNTIF('1.연간시수표'!Y27,$AU$7)),$AU$6,IF(OR(COUNTIF('1.연간시수표'!Y27,$AV$9),COUNTIF('1.연간시수표'!Y27,$AV$7)),$AV$6,IF(OR(COUNTIF('1.연간시수표'!Y27,$AW$9),COUNTIF('1.연간시수표'!Y27,$AW$7)),$AW$6,IF(OR(COUNTIF('1.연간시수표'!Y27,$AX$9),COUNTIF('1.연간시수표'!Y27,$AX$7)),$AX$6,IF(OR(COUNTIF('1.연간시수표'!Y27,$AY$9),COUNTIF('1.연간시수표'!Y27,$AY$7)),$AY$6,IF(OR(COUNTIF('1.연간시수표'!Y27,$AZ$9),COUNTIF('1.연간시수표'!Y27,$AZ$7)),$AZ$6,IF(OR(COUNTIF('1.연간시수표'!Y27,$BA$9),COUNTIF('1.연간시수표'!Y27,$BA$7)),$BA$6,IF(OR(COUNTIF('1.연간시수표'!Y27,$BB$9),COUNTIF('1.연간시수표'!Y27,$BB$7)),$BB$6,IF(OR(COUNTIF('1.연간시수표'!Y27,$BC$9),COUNTIF('1.연간시수표'!Y27,$BC$7)),$BC$6,IF(OR(COUNTIF('1.연간시수표'!Y27,$BF$9),COUNTIF('1.연간시수표'!Y27,$BF$7),COUNTIF('1.연간시수표'!Y27,$BG$9),COUNTIF('1.연간시수표'!Y27,$BG$7),COUNTIF('1.연간시수표'!Y27,$BH$9),COUNTIF('1.연간시수표'!Y27,$BH$7),COUNTIF('1.연간시수표'!Y27,$BI$9),COUNTIF('1.연간시수표'!Y27,$BI$7),COUNTIF('1.연간시수표'!Y27,$BJ$9),COUNTIF('1.연간시수표'!Y27,$BJ$7),COUNTIF('1.연간시수표'!Y27,$BK$9),COUNTIF('1.연간시수표'!Y27,$BK$7),COUNTIF('1.연간시수표'!Y27,$BL$9),COUNTIF('1.연간시수표'!Y27,$BL$7),COUNTIF('1.연간시수표'!Y27,$BM$9),COUNTIF('1.연간시수표'!Y27,$BM$7)),$BF$6,IF(OR(COUNTIF('1.연간시수표'!Y27,$BO$9),COUNTIF('1.연간시수표'!Y27,$BO$7)),$BO$6,IF(OR(COUNTIF('1.연간시수표'!Y27,$BP$9),COUNTIF('1.연간시수표'!Y27,$BP$7)),$BP$6,IF(OR(COUNTIF('1.연간시수표'!Y27,$BQ$9),COUNTIF('1.연간시수표'!Y27,$BQ$7)),$BQ$6,IF(OR(COUNTIF('1.연간시수표'!Y27,$BR$9),COUNTIF('1.연간시수표'!Y27,$BR$7)),$BR$6,"_")))))))))))))))</f>
        <v>음악</v>
      </c>
      <c r="Z27" s="148" t="str">
        <f>IF(OR(COUNTIF('1.연간시수표'!Z27,$AT$9),COUNTIF('1.연간시수표'!Z27,$AT$7)),$AT$6,IF(OR(COUNTIF('1.연간시수표'!Z27,$AU$9),COUNTIF('1.연간시수표'!Z27,$AU$7)),$AU$6,IF(OR(COUNTIF('1.연간시수표'!Z27,$AV$9),COUNTIF('1.연간시수표'!Z27,$AV$7)),$AV$6,IF(OR(COUNTIF('1.연간시수표'!Z27,$AW$9),COUNTIF('1.연간시수표'!Z27,$AW$7)),$AW$6,IF(OR(COUNTIF('1.연간시수표'!Z27,$AX$9),COUNTIF('1.연간시수표'!Z27,$AX$7)),$AX$6,IF(OR(COUNTIF('1.연간시수표'!Z27,$AY$9),COUNTIF('1.연간시수표'!Z27,$AY$7)),$AY$6,IF(OR(COUNTIF('1.연간시수표'!Z27,$AZ$9),COUNTIF('1.연간시수표'!Z27,$AZ$7)),$AZ$6,IF(OR(COUNTIF('1.연간시수표'!Z27,$BA$9),COUNTIF('1.연간시수표'!Z27,$BA$7)),$BA$6,IF(OR(COUNTIF('1.연간시수표'!Z27,$BB$9),COUNTIF('1.연간시수표'!Z27,$BB$7)),$BB$6,IF(OR(COUNTIF('1.연간시수표'!Z27,$BC$9),COUNTIF('1.연간시수표'!Z27,$BC$7)),$BC$6,IF(OR(COUNTIF('1.연간시수표'!Z27,$BF$9),COUNTIF('1.연간시수표'!Z27,$BF$7),COUNTIF('1.연간시수표'!Z27,$BG$9),COUNTIF('1.연간시수표'!Z27,$BG$7),COUNTIF('1.연간시수표'!Z27,$BH$9),COUNTIF('1.연간시수표'!Z27,$BH$7),COUNTIF('1.연간시수표'!Z27,$BI$9),COUNTIF('1.연간시수표'!Z27,$BI$7),COUNTIF('1.연간시수표'!Z27,$BJ$9),COUNTIF('1.연간시수표'!Z27,$BJ$7),COUNTIF('1.연간시수표'!Z27,$BK$9),COUNTIF('1.연간시수표'!Z27,$BK$7),COUNTIF('1.연간시수표'!Z27,$BL$9),COUNTIF('1.연간시수표'!Z27,$BL$7),COUNTIF('1.연간시수표'!Z27,$BM$9),COUNTIF('1.연간시수표'!Z27,$BM$7)),$BF$6,IF(OR(COUNTIF('1.연간시수표'!Z27,$BO$9),COUNTIF('1.연간시수표'!Z27,$BO$7)),$BO$6,IF(OR(COUNTIF('1.연간시수표'!Z27,$BP$9),COUNTIF('1.연간시수표'!Z27,$BP$7)),$BP$6,IF(OR(COUNTIF('1.연간시수표'!Z27,$BQ$9),COUNTIF('1.연간시수표'!Z27,$BQ$7)),$BQ$6,IF(OR(COUNTIF('1.연간시수표'!Z27,$BR$9),COUNTIF('1.연간시수표'!Z27,$BR$7)),$BR$6,"_")))))))))))))))</f>
        <v>_</v>
      </c>
      <c r="AA27" s="148" t="str">
        <f>IF(OR(COUNTIF('1.연간시수표'!AA27,$AT$9),COUNTIF('1.연간시수표'!AA27,$AT$7)),$AT$6,IF(OR(COUNTIF('1.연간시수표'!AA27,$AU$9),COUNTIF('1.연간시수표'!AA27,$AU$7)),$AU$6,IF(OR(COUNTIF('1.연간시수표'!AA27,$AV$9),COUNTIF('1.연간시수표'!AA27,$AV$7)),$AV$6,IF(OR(COUNTIF('1.연간시수표'!AA27,$AW$9),COUNTIF('1.연간시수표'!AA27,$AW$7)),$AW$6,IF(OR(COUNTIF('1.연간시수표'!AA27,$AX$9),COUNTIF('1.연간시수표'!AA27,$AX$7)),$AX$6,IF(OR(COUNTIF('1.연간시수표'!AA27,$AY$9),COUNTIF('1.연간시수표'!AA27,$AY$7)),$AY$6,IF(OR(COUNTIF('1.연간시수표'!AA27,$AZ$9),COUNTIF('1.연간시수표'!AA27,$AZ$7)),$AZ$6,IF(OR(COUNTIF('1.연간시수표'!AA27,$BA$9),COUNTIF('1.연간시수표'!AA27,$BA$7)),$BA$6,IF(OR(COUNTIF('1.연간시수표'!AA27,$BB$9),COUNTIF('1.연간시수표'!AA27,$BB$7)),$BB$6,IF(OR(COUNTIF('1.연간시수표'!AA27,$BC$9),COUNTIF('1.연간시수표'!AA27,$BC$7)),$BC$6,IF(OR(COUNTIF('1.연간시수표'!AA27,$BF$9),COUNTIF('1.연간시수표'!AA27,$BF$7),COUNTIF('1.연간시수표'!AA27,$BG$9),COUNTIF('1.연간시수표'!AA27,$BG$7),COUNTIF('1.연간시수표'!AA27,$BH$9),COUNTIF('1.연간시수표'!AA27,$BH$7),COUNTIF('1.연간시수표'!AA27,$BI$9),COUNTIF('1.연간시수표'!AA27,$BI$7),COUNTIF('1.연간시수표'!AA27,$BJ$9),COUNTIF('1.연간시수표'!AA27,$BJ$7),COUNTIF('1.연간시수표'!AA27,$BK$9),COUNTIF('1.연간시수표'!AA27,$BK$7),COUNTIF('1.연간시수표'!AA27,$BL$9),COUNTIF('1.연간시수표'!AA27,$BL$7),COUNTIF('1.연간시수표'!AA27,$BM$9),COUNTIF('1.연간시수표'!AA27,$BM$7)),$BF$6,IF(OR(COUNTIF('1.연간시수표'!AA27,$BO$9),COUNTIF('1.연간시수표'!AA27,$BO$7)),$BO$6,IF(OR(COUNTIF('1.연간시수표'!AA27,$BP$9),COUNTIF('1.연간시수표'!AA27,$BP$7)),$BP$6,IF(OR(COUNTIF('1.연간시수표'!AA27,$BQ$9),COUNTIF('1.연간시수표'!AA27,$BQ$7)),$BQ$6,IF(OR(COUNTIF('1.연간시수표'!AA27,$BR$9),COUNTIF('1.연간시수표'!AA27,$BR$7)),$BR$6,"_")))))))))))))))</f>
        <v>_</v>
      </c>
      <c r="AB27" s="148" t="str">
        <f>IF(OR(COUNTIF('1.연간시수표'!AB27,$AT$9),COUNTIF('1.연간시수표'!AB27,$AT$7)),$AT$6,IF(OR(COUNTIF('1.연간시수표'!AB27,$AU$9),COUNTIF('1.연간시수표'!AB27,$AU$7)),$AU$6,IF(OR(COUNTIF('1.연간시수표'!AB27,$AV$9),COUNTIF('1.연간시수표'!AB27,$AV$7)),$AV$6,IF(OR(COUNTIF('1.연간시수표'!AB27,$AW$9),COUNTIF('1.연간시수표'!AB27,$AW$7)),$AW$6,IF(OR(COUNTIF('1.연간시수표'!AB27,$AX$9),COUNTIF('1.연간시수표'!AB27,$AX$7)),$AX$6,IF(OR(COUNTIF('1.연간시수표'!AB27,$AY$9),COUNTIF('1.연간시수표'!AB27,$AY$7)),$AY$6,IF(OR(COUNTIF('1.연간시수표'!AB27,$AZ$9),COUNTIF('1.연간시수표'!AB27,$AZ$7)),$AZ$6,IF(OR(COUNTIF('1.연간시수표'!AB27,$BA$9),COUNTIF('1.연간시수표'!AB27,$BA$7)),$BA$6,IF(OR(COUNTIF('1.연간시수표'!AB27,$BB$9),COUNTIF('1.연간시수표'!AB27,$BB$7)),$BB$6,IF(OR(COUNTIF('1.연간시수표'!AB27,$BC$9),COUNTIF('1.연간시수표'!AB27,$BC$7)),$BC$6,IF(OR(COUNTIF('1.연간시수표'!AB27,$BF$9),COUNTIF('1.연간시수표'!AB27,$BF$7),COUNTIF('1.연간시수표'!AB27,$BG$9),COUNTIF('1.연간시수표'!AB27,$BG$7),COUNTIF('1.연간시수표'!AB27,$BH$9),COUNTIF('1.연간시수표'!AB27,$BH$7),COUNTIF('1.연간시수표'!AB27,$BI$9),COUNTIF('1.연간시수표'!AB27,$BI$7),COUNTIF('1.연간시수표'!AB27,$BJ$9),COUNTIF('1.연간시수표'!AB27,$BJ$7),COUNTIF('1.연간시수표'!AB27,$BK$9),COUNTIF('1.연간시수표'!AB27,$BK$7),COUNTIF('1.연간시수표'!AB27,$BL$9),COUNTIF('1.연간시수표'!AB27,$BL$7),COUNTIF('1.연간시수표'!AB27,$BM$9),COUNTIF('1.연간시수표'!AB27,$BM$7)),$BF$6,IF(OR(COUNTIF('1.연간시수표'!AB27,$BO$9),COUNTIF('1.연간시수표'!AB27,$BO$7)),$BO$6,IF(OR(COUNTIF('1.연간시수표'!AB27,$BP$9),COUNTIF('1.연간시수표'!AB27,$BP$7)),$BP$6,IF(OR(COUNTIF('1.연간시수표'!AB27,$BQ$9),COUNTIF('1.연간시수표'!AB27,$BQ$7)),$BQ$6,IF(OR(COUNTIF('1.연간시수표'!AB27,$BR$9),COUNTIF('1.연간시수표'!AB27,$BR$7)),$BR$6,"_")))))))))))))))</f>
        <v>_</v>
      </c>
      <c r="AC27" s="148" t="str">
        <f>IF(OR(COUNTIF('1.연간시수표'!AC27,$AT$9),COUNTIF('1.연간시수표'!AC27,$AT$7)),$AT$6,IF(OR(COUNTIF('1.연간시수표'!AC27,$AU$9),COUNTIF('1.연간시수표'!AC27,$AU$7)),$AU$6,IF(OR(COUNTIF('1.연간시수표'!AC27,$AV$9),COUNTIF('1.연간시수표'!AC27,$AV$7)),$AV$6,IF(OR(COUNTIF('1.연간시수표'!AC27,$AW$9),COUNTIF('1.연간시수표'!AC27,$AW$7)),$AW$6,IF(OR(COUNTIF('1.연간시수표'!AC27,$AX$9),COUNTIF('1.연간시수표'!AC27,$AX$7)),$AX$6,IF(OR(COUNTIF('1.연간시수표'!AC27,$AY$9),COUNTIF('1.연간시수표'!AC27,$AY$7)),$AY$6,IF(OR(COUNTIF('1.연간시수표'!AC27,$AZ$9),COUNTIF('1.연간시수표'!AC27,$AZ$7)),$AZ$6,IF(OR(COUNTIF('1.연간시수표'!AC27,$BA$9),COUNTIF('1.연간시수표'!AC27,$BA$7)),$BA$6,IF(OR(COUNTIF('1.연간시수표'!AC27,$BB$9),COUNTIF('1.연간시수표'!AC27,$BB$7)),$BB$6,IF(OR(COUNTIF('1.연간시수표'!AC27,$BC$9),COUNTIF('1.연간시수표'!AC27,$BC$7)),$BC$6,IF(OR(COUNTIF('1.연간시수표'!AC27,$BF$9),COUNTIF('1.연간시수표'!AC27,$BF$7),COUNTIF('1.연간시수표'!AC27,$BG$9),COUNTIF('1.연간시수표'!AC27,$BG$7),COUNTIF('1.연간시수표'!AC27,$BH$9),COUNTIF('1.연간시수표'!AC27,$BH$7),COUNTIF('1.연간시수표'!AC27,$BI$9),COUNTIF('1.연간시수표'!AC27,$BI$7),COUNTIF('1.연간시수표'!AC27,$BJ$9),COUNTIF('1.연간시수표'!AC27,$BJ$7),COUNTIF('1.연간시수표'!AC27,$BK$9),COUNTIF('1.연간시수표'!AC27,$BK$7),COUNTIF('1.연간시수표'!AC27,$BL$9),COUNTIF('1.연간시수표'!AC27,$BL$7),COUNTIF('1.연간시수표'!AC27,$BM$9),COUNTIF('1.연간시수표'!AC27,$BM$7)),$BF$6,IF(OR(COUNTIF('1.연간시수표'!AC27,$BO$9),COUNTIF('1.연간시수표'!AC27,$BO$7)),$BO$6,IF(OR(COUNTIF('1.연간시수표'!AC27,$BP$9),COUNTIF('1.연간시수표'!AC27,$BP$7)),$BP$6,IF(OR(COUNTIF('1.연간시수표'!AC27,$BQ$9),COUNTIF('1.연간시수표'!AC27,$BQ$7)),$BQ$6,IF(OR(COUNTIF('1.연간시수표'!AC27,$BR$9),COUNTIF('1.연간시수표'!AC27,$BR$7)),$BR$6,"_")))))))))))))))</f>
        <v>국어</v>
      </c>
      <c r="AD27" s="148" t="str">
        <f>IF(OR(COUNTIF('1.연간시수표'!AD27,$AT$9),COUNTIF('1.연간시수표'!AD27,$AT$7)),$AT$6,IF(OR(COUNTIF('1.연간시수표'!AD27,$AU$9),COUNTIF('1.연간시수표'!AD27,$AU$7)),$AU$6,IF(OR(COUNTIF('1.연간시수표'!AD27,$AV$9),COUNTIF('1.연간시수표'!AD27,$AV$7)),$AV$6,IF(OR(COUNTIF('1.연간시수표'!AD27,$AW$9),COUNTIF('1.연간시수표'!AD27,$AW$7)),$AW$6,IF(OR(COUNTIF('1.연간시수표'!AD27,$AX$9),COUNTIF('1.연간시수표'!AD27,$AX$7)),$AX$6,IF(OR(COUNTIF('1.연간시수표'!AD27,$AY$9),COUNTIF('1.연간시수표'!AD27,$AY$7)),$AY$6,IF(OR(COUNTIF('1.연간시수표'!AD27,$AZ$9),COUNTIF('1.연간시수표'!AD27,$AZ$7)),$AZ$6,IF(OR(COUNTIF('1.연간시수표'!AD27,$BA$9),COUNTIF('1.연간시수표'!AD27,$BA$7)),$BA$6,IF(OR(COUNTIF('1.연간시수표'!AD27,$BB$9),COUNTIF('1.연간시수표'!AD27,$BB$7)),$BB$6,IF(OR(COUNTIF('1.연간시수표'!AD27,$BC$9),COUNTIF('1.연간시수표'!AD27,$BC$7)),$BC$6,IF(OR(COUNTIF('1.연간시수표'!AD27,$BF$9),COUNTIF('1.연간시수표'!AD27,$BF$7),COUNTIF('1.연간시수표'!AD27,$BG$9),COUNTIF('1.연간시수표'!AD27,$BG$7),COUNTIF('1.연간시수표'!AD27,$BH$9),COUNTIF('1.연간시수표'!AD27,$BH$7),COUNTIF('1.연간시수표'!AD27,$BI$9),COUNTIF('1.연간시수표'!AD27,$BI$7),COUNTIF('1.연간시수표'!AD27,$BJ$9),COUNTIF('1.연간시수표'!AD27,$BJ$7),COUNTIF('1.연간시수표'!AD27,$BK$9),COUNTIF('1.연간시수표'!AD27,$BK$7),COUNTIF('1.연간시수표'!AD27,$BL$9),COUNTIF('1.연간시수표'!AD27,$BL$7),COUNTIF('1.연간시수표'!AD27,$BM$9),COUNTIF('1.연간시수표'!AD27,$BM$7)),$BF$6,IF(OR(COUNTIF('1.연간시수표'!AD27,$BO$9),COUNTIF('1.연간시수표'!AD27,$BO$7)),$BO$6,IF(OR(COUNTIF('1.연간시수표'!AD27,$BP$9),COUNTIF('1.연간시수표'!AD27,$BP$7)),$BP$6,IF(OR(COUNTIF('1.연간시수표'!AD27,$BQ$9),COUNTIF('1.연간시수표'!AD27,$BQ$7)),$BQ$6,IF(OR(COUNTIF('1.연간시수표'!AD27,$BR$9),COUNTIF('1.연간시수표'!AD27,$BR$7)),$BR$6,"_")))))))))))))))</f>
        <v>수학</v>
      </c>
      <c r="AE27" s="148" t="str">
        <f>IF(OR(COUNTIF('1.연간시수표'!AE27,$AT$9),COUNTIF('1.연간시수표'!AE27,$AT$7)),$AT$6,IF(OR(COUNTIF('1.연간시수표'!AE27,$AU$9),COUNTIF('1.연간시수표'!AE27,$AU$7)),$AU$6,IF(OR(COUNTIF('1.연간시수표'!AE27,$AV$9),COUNTIF('1.연간시수표'!AE27,$AV$7)),$AV$6,IF(OR(COUNTIF('1.연간시수표'!AE27,$AW$9),COUNTIF('1.연간시수표'!AE27,$AW$7)),$AW$6,IF(OR(COUNTIF('1.연간시수표'!AE27,$AX$9),COUNTIF('1.연간시수표'!AE27,$AX$7)),$AX$6,IF(OR(COUNTIF('1.연간시수표'!AE27,$AY$9),COUNTIF('1.연간시수표'!AE27,$AY$7)),$AY$6,IF(OR(COUNTIF('1.연간시수표'!AE27,$AZ$9),COUNTIF('1.연간시수표'!AE27,$AZ$7)),$AZ$6,IF(OR(COUNTIF('1.연간시수표'!AE27,$BA$9),COUNTIF('1.연간시수표'!AE27,$BA$7)),$BA$6,IF(OR(COUNTIF('1.연간시수표'!AE27,$BB$9),COUNTIF('1.연간시수표'!AE27,$BB$7)),$BB$6,IF(OR(COUNTIF('1.연간시수표'!AE27,$BC$9),COUNTIF('1.연간시수표'!AE27,$BC$7)),$BC$6,IF(OR(COUNTIF('1.연간시수표'!AE27,$BF$9),COUNTIF('1.연간시수표'!AE27,$BF$7),COUNTIF('1.연간시수표'!AE27,$BG$9),COUNTIF('1.연간시수표'!AE27,$BG$7),COUNTIF('1.연간시수표'!AE27,$BH$9),COUNTIF('1.연간시수표'!AE27,$BH$7),COUNTIF('1.연간시수표'!AE27,$BI$9),COUNTIF('1.연간시수표'!AE27,$BI$7),COUNTIF('1.연간시수표'!AE27,$BJ$9),COUNTIF('1.연간시수표'!AE27,$BJ$7),COUNTIF('1.연간시수표'!AE27,$BK$9),COUNTIF('1.연간시수표'!AE27,$BK$7),COUNTIF('1.연간시수표'!AE27,$BL$9),COUNTIF('1.연간시수표'!AE27,$BL$7),COUNTIF('1.연간시수표'!AE27,$BM$9),COUNTIF('1.연간시수표'!AE27,$BM$7)),$BF$6,IF(OR(COUNTIF('1.연간시수표'!AE27,$BO$9),COUNTIF('1.연간시수표'!AE27,$BO$7)),$BO$6,IF(OR(COUNTIF('1.연간시수표'!AE27,$BP$9),COUNTIF('1.연간시수표'!AE27,$BP$7)),$BP$6,IF(OR(COUNTIF('1.연간시수표'!AE27,$BQ$9),COUNTIF('1.연간시수표'!AE27,$BQ$7)),$BQ$6,IF(OR(COUNTIF('1.연간시수표'!AE27,$BR$9),COUNTIF('1.연간시수표'!AE27,$BR$7)),$BR$6,"_")))))))))))))))</f>
        <v>체육</v>
      </c>
      <c r="AF27" s="148" t="str">
        <f>IF(OR(COUNTIF('1.연간시수표'!AF27,$AT$9),COUNTIF('1.연간시수표'!AF27,$AT$7)),$AT$6,IF(OR(COUNTIF('1.연간시수표'!AF27,$AU$9),COUNTIF('1.연간시수표'!AF27,$AU$7)),$AU$6,IF(OR(COUNTIF('1.연간시수표'!AF27,$AV$9),COUNTIF('1.연간시수표'!AF27,$AV$7)),$AV$6,IF(OR(COUNTIF('1.연간시수표'!AF27,$AW$9),COUNTIF('1.연간시수표'!AF27,$AW$7)),$AW$6,IF(OR(COUNTIF('1.연간시수표'!AF27,$AX$9),COUNTIF('1.연간시수표'!AF27,$AX$7)),$AX$6,IF(OR(COUNTIF('1.연간시수표'!AF27,$AY$9),COUNTIF('1.연간시수표'!AF27,$AY$7)),$AY$6,IF(OR(COUNTIF('1.연간시수표'!AF27,$AZ$9),COUNTIF('1.연간시수표'!AF27,$AZ$7)),$AZ$6,IF(OR(COUNTIF('1.연간시수표'!AF27,$BA$9),COUNTIF('1.연간시수표'!AF27,$BA$7)),$BA$6,IF(OR(COUNTIF('1.연간시수표'!AF27,$BB$9),COUNTIF('1.연간시수표'!AF27,$BB$7)),$BB$6,IF(OR(COUNTIF('1.연간시수표'!AF27,$BC$9),COUNTIF('1.연간시수표'!AF27,$BC$7)),$BC$6,IF(OR(COUNTIF('1.연간시수표'!AF27,$BF$9),COUNTIF('1.연간시수표'!AF27,$BF$7),COUNTIF('1.연간시수표'!AF27,$BG$9),COUNTIF('1.연간시수표'!AF27,$BG$7),COUNTIF('1.연간시수표'!AF27,$BH$9),COUNTIF('1.연간시수표'!AF27,$BH$7),COUNTIF('1.연간시수표'!AF27,$BI$9),COUNTIF('1.연간시수표'!AF27,$BI$7),COUNTIF('1.연간시수표'!AF27,$BJ$9),COUNTIF('1.연간시수표'!AF27,$BJ$7),COUNTIF('1.연간시수표'!AF27,$BK$9),COUNTIF('1.연간시수표'!AF27,$BK$7),COUNTIF('1.연간시수표'!AF27,$BL$9),COUNTIF('1.연간시수표'!AF27,$BL$7),COUNTIF('1.연간시수표'!AF27,$BM$9),COUNTIF('1.연간시수표'!AF27,$BM$7)),$BF$6,IF(OR(COUNTIF('1.연간시수표'!AF27,$BO$9),COUNTIF('1.연간시수표'!AF27,$BO$7)),$BO$6,IF(OR(COUNTIF('1.연간시수표'!AF27,$BP$9),COUNTIF('1.연간시수표'!AF27,$BP$7)),$BP$6,IF(OR(COUNTIF('1.연간시수표'!AF27,$BQ$9),COUNTIF('1.연간시수표'!AF27,$BQ$7)),$BQ$6,IF(OR(COUNTIF('1.연간시수표'!AF27,$BR$9),COUNTIF('1.연간시수표'!AF27,$BR$7)),$BR$6,"_")))))))))))))))</f>
        <v>체육</v>
      </c>
      <c r="AG27" s="148" t="str">
        <f>IF(OR(COUNTIF('1.연간시수표'!AG27,$AT$9),COUNTIF('1.연간시수표'!AG27,$AT$7)),$AT$6,IF(OR(COUNTIF('1.연간시수표'!AG27,$AU$9),COUNTIF('1.연간시수표'!AG27,$AU$7)),$AU$6,IF(OR(COUNTIF('1.연간시수표'!AG27,$AV$9),COUNTIF('1.연간시수표'!AG27,$AV$7)),$AV$6,IF(OR(COUNTIF('1.연간시수표'!AG27,$AW$9),COUNTIF('1.연간시수표'!AG27,$AW$7)),$AW$6,IF(OR(COUNTIF('1.연간시수표'!AG27,$AX$9),COUNTIF('1.연간시수표'!AG27,$AX$7)),$AX$6,IF(OR(COUNTIF('1.연간시수표'!AG27,$AY$9),COUNTIF('1.연간시수표'!AG27,$AY$7)),$AY$6,IF(OR(COUNTIF('1.연간시수표'!AG27,$AZ$9),COUNTIF('1.연간시수표'!AG27,$AZ$7)),$AZ$6,IF(OR(COUNTIF('1.연간시수표'!AG27,$BA$9),COUNTIF('1.연간시수표'!AG27,$BA$7)),$BA$6,IF(OR(COUNTIF('1.연간시수표'!AG27,$BB$9),COUNTIF('1.연간시수표'!AG27,$BB$7)),$BB$6,IF(OR(COUNTIF('1.연간시수표'!AG27,$BC$9),COUNTIF('1.연간시수표'!AG27,$BC$7)),$BC$6,IF(OR(COUNTIF('1.연간시수표'!AG27,$BF$9),COUNTIF('1.연간시수표'!AG27,$BF$7),COUNTIF('1.연간시수표'!AG27,$BG$9),COUNTIF('1.연간시수표'!AG27,$BG$7),COUNTIF('1.연간시수표'!AG27,$BH$9),COUNTIF('1.연간시수표'!AG27,$BH$7),COUNTIF('1.연간시수표'!AG27,$BI$9),COUNTIF('1.연간시수표'!AG27,$BI$7),COUNTIF('1.연간시수표'!AG27,$BJ$9),COUNTIF('1.연간시수표'!AG27,$BJ$7),COUNTIF('1.연간시수표'!AG27,$BK$9),COUNTIF('1.연간시수표'!AG27,$BK$7),COUNTIF('1.연간시수표'!AG27,$BL$9),COUNTIF('1.연간시수표'!AG27,$BL$7),COUNTIF('1.연간시수표'!AG27,$BM$9),COUNTIF('1.연간시수표'!AG27,$BM$7)),$BF$6,IF(OR(COUNTIF('1.연간시수표'!AG27,$BO$9),COUNTIF('1.연간시수표'!AG27,$BO$7)),$BO$6,IF(OR(COUNTIF('1.연간시수표'!AG27,$BP$9),COUNTIF('1.연간시수표'!AG27,$BP$7)),$BP$6,IF(OR(COUNTIF('1.연간시수표'!AG27,$BQ$9),COUNTIF('1.연간시수표'!AG27,$BQ$7)),$BQ$6,IF(OR(COUNTIF('1.연간시수표'!AG27,$BR$9),COUNTIF('1.연간시수표'!AG27,$BR$7)),$BR$6,"_")))))))))))))))</f>
        <v>과학</v>
      </c>
      <c r="AH27" s="148" t="str">
        <f>IF(OR(COUNTIF('1.연간시수표'!AH27,$AT$9),COUNTIF('1.연간시수표'!AH27,$AT$7)),$AT$6,IF(OR(COUNTIF('1.연간시수표'!AH27,$AU$9),COUNTIF('1.연간시수표'!AH27,$AU$7)),$AU$6,IF(OR(COUNTIF('1.연간시수표'!AH27,$AV$9),COUNTIF('1.연간시수표'!AH27,$AV$7)),$AV$6,IF(OR(COUNTIF('1.연간시수표'!AH27,$AW$9),COUNTIF('1.연간시수표'!AH27,$AW$7)),$AW$6,IF(OR(COUNTIF('1.연간시수표'!AH27,$AX$9),COUNTIF('1.연간시수표'!AH27,$AX$7)),$AX$6,IF(OR(COUNTIF('1.연간시수표'!AH27,$AY$9),COUNTIF('1.연간시수표'!AH27,$AY$7)),$AY$6,IF(OR(COUNTIF('1.연간시수표'!AH27,$AZ$9),COUNTIF('1.연간시수표'!AH27,$AZ$7)),$AZ$6,IF(OR(COUNTIF('1.연간시수표'!AH27,$BA$9),COUNTIF('1.연간시수표'!AH27,$BA$7)),$BA$6,IF(OR(COUNTIF('1.연간시수표'!AH27,$BB$9),COUNTIF('1.연간시수표'!AH27,$BB$7)),$BB$6,IF(OR(COUNTIF('1.연간시수표'!AH27,$BC$9),COUNTIF('1.연간시수표'!AH27,$BC$7)),$BC$6,IF(OR(COUNTIF('1.연간시수표'!AH27,$BF$9),COUNTIF('1.연간시수표'!AH27,$BF$7),COUNTIF('1.연간시수표'!AH27,$BG$9),COUNTIF('1.연간시수표'!AH27,$BG$7),COUNTIF('1.연간시수표'!AH27,$BH$9),COUNTIF('1.연간시수표'!AH27,$BH$7),COUNTIF('1.연간시수표'!AH27,$BI$9),COUNTIF('1.연간시수표'!AH27,$BI$7),COUNTIF('1.연간시수표'!AH27,$BJ$9),COUNTIF('1.연간시수표'!AH27,$BJ$7),COUNTIF('1.연간시수표'!AH27,$BK$9),COUNTIF('1.연간시수표'!AH27,$BK$7),COUNTIF('1.연간시수표'!AH27,$BL$9),COUNTIF('1.연간시수표'!AH27,$BL$7),COUNTIF('1.연간시수표'!AH27,$BM$9),COUNTIF('1.연간시수표'!AH27,$BM$7)),$BF$6,IF(OR(COUNTIF('1.연간시수표'!AH27,$BO$9),COUNTIF('1.연간시수표'!AH27,$BO$7)),$BO$6,IF(OR(COUNTIF('1.연간시수표'!AH27,$BP$9),COUNTIF('1.연간시수표'!AH27,$BP$7)),$BP$6,IF(OR(COUNTIF('1.연간시수표'!AH27,$BQ$9),COUNTIF('1.연간시수표'!AH27,$BQ$7)),$BQ$6,IF(OR(COUNTIF('1.연간시수표'!AH27,$BR$9),COUNTIF('1.연간시수표'!AH27,$BR$7)),$BR$6,"_")))))))))))))))</f>
        <v>음악</v>
      </c>
      <c r="AI27" s="148" t="str">
        <f>IF(OR(COUNTIF('1.연간시수표'!AI27,$AT$9),COUNTIF('1.연간시수표'!AI27,$AT$7)),$AT$6,IF(OR(COUNTIF('1.연간시수표'!AI27,$AU$9),COUNTIF('1.연간시수표'!AI27,$AU$7)),$AU$6,IF(OR(COUNTIF('1.연간시수표'!AI27,$AV$9),COUNTIF('1.연간시수표'!AI27,$AV$7)),$AV$6,IF(OR(COUNTIF('1.연간시수표'!AI27,$AW$9),COUNTIF('1.연간시수표'!AI27,$AW$7)),$AW$6,IF(OR(COUNTIF('1.연간시수표'!AI27,$AX$9),COUNTIF('1.연간시수표'!AI27,$AX$7)),$AX$6,IF(OR(COUNTIF('1.연간시수표'!AI27,$AY$9),COUNTIF('1.연간시수표'!AI27,$AY$7)),$AY$6,IF(OR(COUNTIF('1.연간시수표'!AI27,$AZ$9),COUNTIF('1.연간시수표'!AI27,$AZ$7)),$AZ$6,IF(OR(COUNTIF('1.연간시수표'!AI27,$BA$9),COUNTIF('1.연간시수표'!AI27,$BA$7)),$BA$6,IF(OR(COUNTIF('1.연간시수표'!AI27,$BB$9),COUNTIF('1.연간시수표'!AI27,$BB$7)),$BB$6,IF(OR(COUNTIF('1.연간시수표'!AI27,$BC$9),COUNTIF('1.연간시수표'!AI27,$BC$7)),$BC$6,IF(OR(COUNTIF('1.연간시수표'!AI27,$BF$9),COUNTIF('1.연간시수표'!AI27,$BF$7),COUNTIF('1.연간시수표'!AI27,$BG$9),COUNTIF('1.연간시수표'!AI27,$BG$7),COUNTIF('1.연간시수표'!AI27,$BH$9),COUNTIF('1.연간시수표'!AI27,$BH$7),COUNTIF('1.연간시수표'!AI27,$BI$9),COUNTIF('1.연간시수표'!AI27,$BI$7),COUNTIF('1.연간시수표'!AI27,$BJ$9),COUNTIF('1.연간시수표'!AI27,$BJ$7),COUNTIF('1.연간시수표'!AI27,$BK$9),COUNTIF('1.연간시수표'!AI27,$BK$7),COUNTIF('1.연간시수표'!AI27,$BL$9),COUNTIF('1.연간시수표'!AI27,$BL$7),COUNTIF('1.연간시수표'!AI27,$BM$9),COUNTIF('1.연간시수표'!AI27,$BM$7)),$BF$6,IF(OR(COUNTIF('1.연간시수표'!AI27,$BO$9),COUNTIF('1.연간시수표'!AI27,$BO$7)),$BO$6,IF(OR(COUNTIF('1.연간시수표'!AI27,$BP$9),COUNTIF('1.연간시수표'!AI27,$BP$7)),$BP$6,IF(OR(COUNTIF('1.연간시수표'!AI27,$BQ$9),COUNTIF('1.연간시수표'!AI27,$BQ$7)),$BQ$6,IF(OR(COUNTIF('1.연간시수표'!AI27,$BR$9),COUNTIF('1.연간시수표'!AI27,$BR$7)),$BR$6,"_")))))))))))))))</f>
        <v>_</v>
      </c>
      <c r="AJ27" s="148" t="str">
        <f>IF(OR(COUNTIF('1.연간시수표'!AJ27,$AT$9),COUNTIF('1.연간시수표'!AJ27,$AT$7)),$AT$6,IF(OR(COUNTIF('1.연간시수표'!AJ27,$AU$9),COUNTIF('1.연간시수표'!AJ27,$AU$7)),$AU$6,IF(OR(COUNTIF('1.연간시수표'!AJ27,$AV$9),COUNTIF('1.연간시수표'!AJ27,$AV$7)),$AV$6,IF(OR(COUNTIF('1.연간시수표'!AJ27,$AW$9),COUNTIF('1.연간시수표'!AJ27,$AW$7)),$AW$6,IF(OR(COUNTIF('1.연간시수표'!AJ27,$AX$9),COUNTIF('1.연간시수표'!AJ27,$AX$7)),$AX$6,IF(OR(COUNTIF('1.연간시수표'!AJ27,$AY$9),COUNTIF('1.연간시수표'!AJ27,$AY$7)),$AY$6,IF(OR(COUNTIF('1.연간시수표'!AJ27,$AZ$9),COUNTIF('1.연간시수표'!AJ27,$AZ$7)),$AZ$6,IF(OR(COUNTIF('1.연간시수표'!AJ27,$BA$9),COUNTIF('1.연간시수표'!AJ27,$BA$7)),$BA$6,IF(OR(COUNTIF('1.연간시수표'!AJ27,$BB$9),COUNTIF('1.연간시수표'!AJ27,$BB$7)),$BB$6,IF(OR(COUNTIF('1.연간시수표'!AJ27,$BC$9),COUNTIF('1.연간시수표'!AJ27,$BC$7)),$BC$6,IF(OR(COUNTIF('1.연간시수표'!AJ27,$BF$9),COUNTIF('1.연간시수표'!AJ27,$BF$7),COUNTIF('1.연간시수표'!AJ27,$BG$9),COUNTIF('1.연간시수표'!AJ27,$BG$7),COUNTIF('1.연간시수표'!AJ27,$BH$9),COUNTIF('1.연간시수표'!AJ27,$BH$7),COUNTIF('1.연간시수표'!AJ27,$BI$9),COUNTIF('1.연간시수표'!AJ27,$BI$7),COUNTIF('1.연간시수표'!AJ27,$BJ$9),COUNTIF('1.연간시수표'!AJ27,$BJ$7),COUNTIF('1.연간시수표'!AJ27,$BK$9),COUNTIF('1.연간시수표'!AJ27,$BK$7),COUNTIF('1.연간시수표'!AJ27,$BL$9),COUNTIF('1.연간시수표'!AJ27,$BL$7),COUNTIF('1.연간시수표'!AJ27,$BM$9),COUNTIF('1.연간시수표'!AJ27,$BM$7)),$BF$6,IF(OR(COUNTIF('1.연간시수표'!AJ27,$BO$9),COUNTIF('1.연간시수표'!AJ27,$BO$7)),$BO$6,IF(OR(COUNTIF('1.연간시수표'!AJ27,$BP$9),COUNTIF('1.연간시수표'!AJ27,$BP$7)),$BP$6,IF(OR(COUNTIF('1.연간시수표'!AJ27,$BQ$9),COUNTIF('1.연간시수표'!AJ27,$BQ$7)),$BQ$6,IF(OR(COUNTIF('1.연간시수표'!AJ27,$BR$9),COUNTIF('1.연간시수표'!AJ27,$BR$7)),$BR$6,"_")))))))))))))))</f>
        <v>_</v>
      </c>
      <c r="AK27" s="148" t="str">
        <f>IF(OR(COUNTIF('1.연간시수표'!AK27,$AT$9),COUNTIF('1.연간시수표'!AK27,$AT$7)),$AT$6,IF(OR(COUNTIF('1.연간시수표'!AK27,$AU$9),COUNTIF('1.연간시수표'!AK27,$AU$7)),$AU$6,IF(OR(COUNTIF('1.연간시수표'!AK27,$AV$9),COUNTIF('1.연간시수표'!AK27,$AV$7)),$AV$6,IF(OR(COUNTIF('1.연간시수표'!AK27,$AW$9),COUNTIF('1.연간시수표'!AK27,$AW$7)),$AW$6,IF(OR(COUNTIF('1.연간시수표'!AK27,$AX$9),COUNTIF('1.연간시수표'!AK27,$AX$7)),$AX$6,IF(OR(COUNTIF('1.연간시수표'!AK27,$AY$9),COUNTIF('1.연간시수표'!AK27,$AY$7)),$AY$6,IF(OR(COUNTIF('1.연간시수표'!AK27,$AZ$9),COUNTIF('1.연간시수표'!AK27,$AZ$7)),$AZ$6,IF(OR(COUNTIF('1.연간시수표'!AK27,$BA$9),COUNTIF('1.연간시수표'!AK27,$BA$7)),$BA$6,IF(OR(COUNTIF('1.연간시수표'!AK27,$BB$9),COUNTIF('1.연간시수표'!AK27,$BB$7)),$BB$6,IF(OR(COUNTIF('1.연간시수표'!AK27,$BC$9),COUNTIF('1.연간시수표'!AK27,$BC$7)),$BC$6,IF(OR(COUNTIF('1.연간시수표'!AK27,$BF$9),COUNTIF('1.연간시수표'!AK27,$BF$7),COUNTIF('1.연간시수표'!AK27,$BG$9),COUNTIF('1.연간시수표'!AK27,$BG$7),COUNTIF('1.연간시수표'!AK27,$BH$9),COUNTIF('1.연간시수표'!AK27,$BH$7),COUNTIF('1.연간시수표'!AK27,$BI$9),COUNTIF('1.연간시수표'!AK27,$BI$7),COUNTIF('1.연간시수표'!AK27,$BJ$9),COUNTIF('1.연간시수표'!AK27,$BJ$7),COUNTIF('1.연간시수표'!AK27,$BK$9),COUNTIF('1.연간시수표'!AK27,$BK$7),COUNTIF('1.연간시수표'!AK27,$BL$9),COUNTIF('1.연간시수표'!AK27,$BL$7),COUNTIF('1.연간시수표'!AK27,$BM$9),COUNTIF('1.연간시수표'!AK27,$BM$7)),$BF$6,IF(OR(COUNTIF('1.연간시수표'!AK27,$BO$9),COUNTIF('1.연간시수표'!AK27,$BO$7)),$BO$6,IF(OR(COUNTIF('1.연간시수표'!AK27,$BP$9),COUNTIF('1.연간시수표'!AK27,$BP$7)),$BP$6,IF(OR(COUNTIF('1.연간시수표'!AK27,$BQ$9),COUNTIF('1.연간시수표'!AK27,$BQ$7)),$BQ$6,IF(OR(COUNTIF('1.연간시수표'!AK27,$BR$9),COUNTIF('1.연간시수표'!AK27,$BR$7)),$BR$6,"_")))))))))))))))</f>
        <v>자율활동</v>
      </c>
      <c r="AL27" s="148" t="str">
        <f>IF(OR(COUNTIF('1.연간시수표'!AL27,$AT$9),COUNTIF('1.연간시수표'!AL27,$AT$7)),$AT$6,IF(OR(COUNTIF('1.연간시수표'!AL27,$AU$9),COUNTIF('1.연간시수표'!AL27,$AU$7)),$AU$6,IF(OR(COUNTIF('1.연간시수표'!AL27,$AV$9),COUNTIF('1.연간시수표'!AL27,$AV$7)),$AV$6,IF(OR(COUNTIF('1.연간시수표'!AL27,$AW$9),COUNTIF('1.연간시수표'!AL27,$AW$7)),$AW$6,IF(OR(COUNTIF('1.연간시수표'!AL27,$AX$9),COUNTIF('1.연간시수표'!AL27,$AX$7)),$AX$6,IF(OR(COUNTIF('1.연간시수표'!AL27,$AY$9),COUNTIF('1.연간시수표'!AL27,$AY$7)),$AY$6,IF(OR(COUNTIF('1.연간시수표'!AL27,$AZ$9),COUNTIF('1.연간시수표'!AL27,$AZ$7)),$AZ$6,IF(OR(COUNTIF('1.연간시수표'!AL27,$BA$9),COUNTIF('1.연간시수표'!AL27,$BA$7)),$BA$6,IF(OR(COUNTIF('1.연간시수표'!AL27,$BB$9),COUNTIF('1.연간시수표'!AL27,$BB$7)),$BB$6,IF(OR(COUNTIF('1.연간시수표'!AL27,$BC$9),COUNTIF('1.연간시수표'!AL27,$BC$7)),$BC$6,IF(OR(COUNTIF('1.연간시수표'!AL27,$BF$9),COUNTIF('1.연간시수표'!AL27,$BF$7),COUNTIF('1.연간시수표'!AL27,$BG$9),COUNTIF('1.연간시수표'!AL27,$BG$7),COUNTIF('1.연간시수표'!AL27,$BH$9),COUNTIF('1.연간시수표'!AL27,$BH$7),COUNTIF('1.연간시수표'!AL27,$BI$9),COUNTIF('1.연간시수표'!AL27,$BI$7),COUNTIF('1.연간시수표'!AL27,$BJ$9),COUNTIF('1.연간시수표'!AL27,$BJ$7),COUNTIF('1.연간시수표'!AL27,$BK$9),COUNTIF('1.연간시수표'!AL27,$BK$7),COUNTIF('1.연간시수표'!AL27,$BL$9),COUNTIF('1.연간시수표'!AL27,$BL$7),COUNTIF('1.연간시수표'!AL27,$BM$9),COUNTIF('1.연간시수표'!AL27,$BM$7)),$BF$6,IF(OR(COUNTIF('1.연간시수표'!AL27,$BO$9),COUNTIF('1.연간시수표'!AL27,$BO$7)),$BO$6,IF(OR(COUNTIF('1.연간시수표'!AL27,$BP$9),COUNTIF('1.연간시수표'!AL27,$BP$7)),$BP$6,IF(OR(COUNTIF('1.연간시수표'!AL27,$BQ$9),COUNTIF('1.연간시수표'!AL27,$BQ$7)),$BQ$6,IF(OR(COUNTIF('1.연간시수표'!AL27,$BR$9),COUNTIF('1.연간시수표'!AL27,$BR$7)),$BR$6,"_")))))))))))))))</f>
        <v>체육</v>
      </c>
      <c r="AM27" s="148" t="str">
        <f>IF(OR(COUNTIF('1.연간시수표'!AM27,$AT$9),COUNTIF('1.연간시수표'!AM27,$AT$7)),$AT$6,IF(OR(COUNTIF('1.연간시수표'!AM27,$AU$9),COUNTIF('1.연간시수표'!AM27,$AU$7)),$AU$6,IF(OR(COUNTIF('1.연간시수표'!AM27,$AV$9),COUNTIF('1.연간시수표'!AM27,$AV$7)),$AV$6,IF(OR(COUNTIF('1.연간시수표'!AM27,$AW$9),COUNTIF('1.연간시수표'!AM27,$AW$7)),$AW$6,IF(OR(COUNTIF('1.연간시수표'!AM27,$AX$9),COUNTIF('1.연간시수표'!AM27,$AX$7)),$AX$6,IF(OR(COUNTIF('1.연간시수표'!AM27,$AY$9),COUNTIF('1.연간시수표'!AM27,$AY$7)),$AY$6,IF(OR(COUNTIF('1.연간시수표'!AM27,$AZ$9),COUNTIF('1.연간시수표'!AM27,$AZ$7)),$AZ$6,IF(OR(COUNTIF('1.연간시수표'!AM27,$BA$9),COUNTIF('1.연간시수표'!AM27,$BA$7)),$BA$6,IF(OR(COUNTIF('1.연간시수표'!AM27,$BB$9),COUNTIF('1.연간시수표'!AM27,$BB$7)),$BB$6,IF(OR(COUNTIF('1.연간시수표'!AM27,$BC$9),COUNTIF('1.연간시수표'!AM27,$BC$7)),$BC$6,IF(OR(COUNTIF('1.연간시수표'!AM27,$BF$9),COUNTIF('1.연간시수표'!AM27,$BF$7),COUNTIF('1.연간시수표'!AM27,$BG$9),COUNTIF('1.연간시수표'!AM27,$BG$7),COUNTIF('1.연간시수표'!AM27,$BH$9),COUNTIF('1.연간시수표'!AM27,$BH$7),COUNTIF('1.연간시수표'!AM27,$BI$9),COUNTIF('1.연간시수표'!AM27,$BI$7),COUNTIF('1.연간시수표'!AM27,$BJ$9),COUNTIF('1.연간시수표'!AM27,$BJ$7),COUNTIF('1.연간시수표'!AM27,$BK$9),COUNTIF('1.연간시수표'!AM27,$BK$7),COUNTIF('1.연간시수표'!AM27,$BL$9),COUNTIF('1.연간시수표'!AM27,$BL$7),COUNTIF('1.연간시수표'!AM27,$BM$9),COUNTIF('1.연간시수표'!AM27,$BM$7)),$BF$6,IF(OR(COUNTIF('1.연간시수표'!AM27,$BO$9),COUNTIF('1.연간시수표'!AM27,$BO$7)),$BO$6,IF(OR(COUNTIF('1.연간시수표'!AM27,$BP$9),COUNTIF('1.연간시수표'!AM27,$BP$7)),$BP$6,IF(OR(COUNTIF('1.연간시수표'!AM27,$BQ$9),COUNTIF('1.연간시수표'!AM27,$BQ$7)),$BQ$6,IF(OR(COUNTIF('1.연간시수표'!AM27,$BR$9),COUNTIF('1.연간시수표'!AM27,$BR$7)),$BR$6,"_")))))))))))))))</f>
        <v>체육</v>
      </c>
      <c r="AN27" s="148" t="str">
        <f>IF(OR(COUNTIF('1.연간시수표'!AN27,$AT$9),COUNTIF('1.연간시수표'!AN27,$AT$7)),$AT$6,IF(OR(COUNTIF('1.연간시수표'!AN27,$AU$9),COUNTIF('1.연간시수표'!AN27,$AU$7)),$AU$6,IF(OR(COUNTIF('1.연간시수표'!AN27,$AV$9),COUNTIF('1.연간시수표'!AN27,$AV$7)),$AV$6,IF(OR(COUNTIF('1.연간시수표'!AN27,$AW$9),COUNTIF('1.연간시수표'!AN27,$AW$7)),$AW$6,IF(OR(COUNTIF('1.연간시수표'!AN27,$AX$9),COUNTIF('1.연간시수표'!AN27,$AX$7)),$AX$6,IF(OR(COUNTIF('1.연간시수표'!AN27,$AY$9),COUNTIF('1.연간시수표'!AN27,$AY$7)),$AY$6,IF(OR(COUNTIF('1.연간시수표'!AN27,$AZ$9),COUNTIF('1.연간시수표'!AN27,$AZ$7)),$AZ$6,IF(OR(COUNTIF('1.연간시수표'!AN27,$BA$9),COUNTIF('1.연간시수표'!AN27,$BA$7)),$BA$6,IF(OR(COUNTIF('1.연간시수표'!AN27,$BB$9),COUNTIF('1.연간시수표'!AN27,$BB$7)),$BB$6,IF(OR(COUNTIF('1.연간시수표'!AN27,$BC$9),COUNTIF('1.연간시수표'!AN27,$BC$7)),$BC$6,IF(OR(COUNTIF('1.연간시수표'!AN27,$BF$9),COUNTIF('1.연간시수표'!AN27,$BF$7),COUNTIF('1.연간시수표'!AN27,$BG$9),COUNTIF('1.연간시수표'!AN27,$BG$7),COUNTIF('1.연간시수표'!AN27,$BH$9),COUNTIF('1.연간시수표'!AN27,$BH$7),COUNTIF('1.연간시수표'!AN27,$BI$9),COUNTIF('1.연간시수표'!AN27,$BI$7),COUNTIF('1.연간시수표'!AN27,$BJ$9),COUNTIF('1.연간시수표'!AN27,$BJ$7),COUNTIF('1.연간시수표'!AN27,$BK$9),COUNTIF('1.연간시수표'!AN27,$BK$7),COUNTIF('1.연간시수표'!AN27,$BL$9),COUNTIF('1.연간시수표'!AN27,$BL$7),COUNTIF('1.연간시수표'!AN27,$BM$9),COUNTIF('1.연간시수표'!AN27,$BM$7)),$BF$6,IF(OR(COUNTIF('1.연간시수표'!AN27,$BO$9),COUNTIF('1.연간시수표'!AN27,$BO$7)),$BO$6,IF(OR(COUNTIF('1.연간시수표'!AN27,$BP$9),COUNTIF('1.연간시수표'!AN27,$BP$7)),$BP$6,IF(OR(COUNTIF('1.연간시수표'!AN27,$BQ$9),COUNTIF('1.연간시수표'!AN27,$BQ$7)),$BQ$6,IF(OR(COUNTIF('1.연간시수표'!AN27,$BR$9),COUNTIF('1.연간시수표'!AN27,$BR$7)),$BR$6,"_")))))))))))))))</f>
        <v>국어</v>
      </c>
      <c r="AO27" s="148" t="str">
        <f>IF(OR(COUNTIF('1.연간시수표'!AO27,$AT$9),COUNTIF('1.연간시수표'!AO27,$AT$7)),$AT$6,IF(OR(COUNTIF('1.연간시수표'!AO27,$AU$9),COUNTIF('1.연간시수표'!AO27,$AU$7)),$AU$6,IF(OR(COUNTIF('1.연간시수표'!AO27,$AV$9),COUNTIF('1.연간시수표'!AO27,$AV$7)),$AV$6,IF(OR(COUNTIF('1.연간시수표'!AO27,$AW$9),COUNTIF('1.연간시수표'!AO27,$AW$7)),$AW$6,IF(OR(COUNTIF('1.연간시수표'!AO27,$AX$9),COUNTIF('1.연간시수표'!AO27,$AX$7)),$AX$6,IF(OR(COUNTIF('1.연간시수표'!AO27,$AY$9),COUNTIF('1.연간시수표'!AO27,$AY$7)),$AY$6,IF(OR(COUNTIF('1.연간시수표'!AO27,$AZ$9),COUNTIF('1.연간시수표'!AO27,$AZ$7)),$AZ$6,IF(OR(COUNTIF('1.연간시수표'!AO27,$BA$9),COUNTIF('1.연간시수표'!AO27,$BA$7)),$BA$6,IF(OR(COUNTIF('1.연간시수표'!AO27,$BB$9),COUNTIF('1.연간시수표'!AO27,$BB$7)),$BB$6,IF(OR(COUNTIF('1.연간시수표'!AO27,$BC$9),COUNTIF('1.연간시수표'!AO27,$BC$7)),$BC$6,IF(OR(COUNTIF('1.연간시수표'!AO27,$BF$9),COUNTIF('1.연간시수표'!AO27,$BF$7),COUNTIF('1.연간시수표'!AO27,$BG$9),COUNTIF('1.연간시수표'!AO27,$BG$7),COUNTIF('1.연간시수표'!AO27,$BH$9),COUNTIF('1.연간시수표'!AO27,$BH$7),COUNTIF('1.연간시수표'!AO27,$BI$9),COUNTIF('1.연간시수표'!AO27,$BI$7),COUNTIF('1.연간시수표'!AO27,$BJ$9),COUNTIF('1.연간시수표'!AO27,$BJ$7),COUNTIF('1.연간시수표'!AO27,$BK$9),COUNTIF('1.연간시수표'!AO27,$BK$7),COUNTIF('1.연간시수표'!AO27,$BL$9),COUNTIF('1.연간시수표'!AO27,$BL$7),COUNTIF('1.연간시수표'!AO27,$BM$9),COUNTIF('1.연간시수표'!AO27,$BM$7)),$BF$6,IF(OR(COUNTIF('1.연간시수표'!AO27,$BO$9),COUNTIF('1.연간시수표'!AO27,$BO$7)),$BO$6,IF(OR(COUNTIF('1.연간시수표'!AO27,$BP$9),COUNTIF('1.연간시수표'!AO27,$BP$7)),$BP$6,IF(OR(COUNTIF('1.연간시수표'!AO27,$BQ$9),COUNTIF('1.연간시수표'!AO27,$BQ$7)),$BQ$6,IF(OR(COUNTIF('1.연간시수표'!AO27,$BR$9),COUNTIF('1.연간시수표'!AO27,$BR$7)),$BR$6,"_")))))))))))))))</f>
        <v>사회</v>
      </c>
      <c r="AP27" s="148" t="str">
        <f>IF(OR(COUNTIF('1.연간시수표'!AP27,$AT$9),COUNTIF('1.연간시수표'!AP27,$AT$7)),$AT$6,IF(OR(COUNTIF('1.연간시수표'!AP27,$AU$9),COUNTIF('1.연간시수표'!AP27,$AU$7)),$AU$6,IF(OR(COUNTIF('1.연간시수표'!AP27,$AV$9),COUNTIF('1.연간시수표'!AP27,$AV$7)),$AV$6,IF(OR(COUNTIF('1.연간시수표'!AP27,$AW$9),COUNTIF('1.연간시수표'!AP27,$AW$7)),$AW$6,IF(OR(COUNTIF('1.연간시수표'!AP27,$AX$9),COUNTIF('1.연간시수표'!AP27,$AX$7)),$AX$6,IF(OR(COUNTIF('1.연간시수표'!AP27,$AY$9),COUNTIF('1.연간시수표'!AP27,$AY$7)),$AY$6,IF(OR(COUNTIF('1.연간시수표'!AP27,$AZ$9),COUNTIF('1.연간시수표'!AP27,$AZ$7)),$AZ$6,IF(OR(COUNTIF('1.연간시수표'!AP27,$BA$9),COUNTIF('1.연간시수표'!AP27,$BA$7)),$BA$6,IF(OR(COUNTIF('1.연간시수표'!AP27,$BB$9),COUNTIF('1.연간시수표'!AP27,$BB$7)),$BB$6,IF(OR(COUNTIF('1.연간시수표'!AP27,$BC$9),COUNTIF('1.연간시수표'!AP27,$BC$7)),$BC$6,IF(OR(COUNTIF('1.연간시수표'!AP27,$BF$9),COUNTIF('1.연간시수표'!AP27,$BF$7),COUNTIF('1.연간시수표'!AP27,$BG$9),COUNTIF('1.연간시수표'!AP27,$BG$7),COUNTIF('1.연간시수표'!AP27,$BH$9),COUNTIF('1.연간시수표'!AP27,$BH$7),COUNTIF('1.연간시수표'!AP27,$BI$9),COUNTIF('1.연간시수표'!AP27,$BI$7),COUNTIF('1.연간시수표'!AP27,$BJ$9),COUNTIF('1.연간시수표'!AP27,$BJ$7),COUNTIF('1.연간시수표'!AP27,$BK$9),COUNTIF('1.연간시수표'!AP27,$BK$7),COUNTIF('1.연간시수표'!AP27,$BL$9),COUNTIF('1.연간시수표'!AP27,$BL$7),COUNTIF('1.연간시수표'!AP27,$BM$9),COUNTIF('1.연간시수표'!AP27,$BM$7)),$BF$6,IF(OR(COUNTIF('1.연간시수표'!AP27,$BO$9),COUNTIF('1.연간시수표'!AP27,$BO$7)),$BO$6,IF(OR(COUNTIF('1.연간시수표'!AP27,$BP$9),COUNTIF('1.연간시수표'!AP27,$BP$7)),$BP$6,IF(OR(COUNTIF('1.연간시수표'!AP27,$BQ$9),COUNTIF('1.연간시수표'!AP27,$BQ$7)),$BQ$6,IF(OR(COUNTIF('1.연간시수표'!AP27,$BR$9),COUNTIF('1.연간시수표'!AP27,$BR$7)),$BR$6,"_")))))))))))))))</f>
        <v>실과</v>
      </c>
      <c r="AQ27" s="148" t="str">
        <f>IF(OR(COUNTIF('1.연간시수표'!AQ27,$AT$9),COUNTIF('1.연간시수표'!AQ27,$AT$7)),$AT$6,IF(OR(COUNTIF('1.연간시수표'!AQ27,$AU$9),COUNTIF('1.연간시수표'!AQ27,$AU$7)),$AU$6,IF(OR(COUNTIF('1.연간시수표'!AQ27,$AV$9),COUNTIF('1.연간시수표'!AQ27,$AV$7)),$AV$6,IF(OR(COUNTIF('1.연간시수표'!AQ27,$AW$9),COUNTIF('1.연간시수표'!AQ27,$AW$7)),$AW$6,IF(OR(COUNTIF('1.연간시수표'!AQ27,$AX$9),COUNTIF('1.연간시수표'!AQ27,$AX$7)),$AX$6,IF(OR(COUNTIF('1.연간시수표'!AQ27,$AY$9),COUNTIF('1.연간시수표'!AQ27,$AY$7)),$AY$6,IF(OR(COUNTIF('1.연간시수표'!AQ27,$AZ$9),COUNTIF('1.연간시수표'!AQ27,$AZ$7)),$AZ$6,IF(OR(COUNTIF('1.연간시수표'!AQ27,$BA$9),COUNTIF('1.연간시수표'!AQ27,$BA$7)),$BA$6,IF(OR(COUNTIF('1.연간시수표'!AQ27,$BB$9),COUNTIF('1.연간시수표'!AQ27,$BB$7)),$BB$6,IF(OR(COUNTIF('1.연간시수표'!AQ27,$BC$9),COUNTIF('1.연간시수표'!AQ27,$BC$7)),$BC$6,IF(OR(COUNTIF('1.연간시수표'!AQ27,$BF$9),COUNTIF('1.연간시수표'!AQ27,$BF$7),COUNTIF('1.연간시수표'!AQ27,$BG$9),COUNTIF('1.연간시수표'!AQ27,$BG$7),COUNTIF('1.연간시수표'!AQ27,$BH$9),COUNTIF('1.연간시수표'!AQ27,$BH$7),COUNTIF('1.연간시수표'!AQ27,$BI$9),COUNTIF('1.연간시수표'!AQ27,$BI$7),COUNTIF('1.연간시수표'!AQ27,$BJ$9),COUNTIF('1.연간시수표'!AQ27,$BJ$7),COUNTIF('1.연간시수표'!AQ27,$BK$9),COUNTIF('1.연간시수표'!AQ27,$BK$7),COUNTIF('1.연간시수표'!AQ27,$BL$9),COUNTIF('1.연간시수표'!AQ27,$BL$7),COUNTIF('1.연간시수표'!AQ27,$BM$9),COUNTIF('1.연간시수표'!AQ27,$BM$7)),$BF$6,IF(OR(COUNTIF('1.연간시수표'!AQ27,$BO$9),COUNTIF('1.연간시수표'!AQ27,$BO$7)),$BO$6,IF(OR(COUNTIF('1.연간시수표'!AQ27,$BP$9),COUNTIF('1.연간시수표'!AQ27,$BP$7)),$BP$6,IF(OR(COUNTIF('1.연간시수표'!AQ27,$BQ$9),COUNTIF('1.연간시수표'!AQ27,$BQ$7)),$BQ$6,IF(OR(COUNTIF('1.연간시수표'!AQ27,$BR$9),COUNTIF('1.연간시수표'!AQ27,$BR$7)),$BR$6,"_")))))))))))))))</f>
        <v>_</v>
      </c>
      <c r="AR27" s="148" t="str">
        <f>IF(OR(COUNTIF('1.연간시수표'!AR27,$AT$9),COUNTIF('1.연간시수표'!AR27,$AT$7)),$AT$6,IF(OR(COUNTIF('1.연간시수표'!AR27,$AU$9),COUNTIF('1.연간시수표'!AR27,$AU$7)),$AU$6,IF(OR(COUNTIF('1.연간시수표'!AR27,$AV$9),COUNTIF('1.연간시수표'!AR27,$AV$7)),$AV$6,IF(OR(COUNTIF('1.연간시수표'!AR27,$AW$9),COUNTIF('1.연간시수표'!AR27,$AW$7)),$AW$6,IF(OR(COUNTIF('1.연간시수표'!AR27,$AX$9),COUNTIF('1.연간시수표'!AR27,$AX$7)),$AX$6,IF(OR(COUNTIF('1.연간시수표'!AR27,$AY$9),COUNTIF('1.연간시수표'!AR27,$AY$7)),$AY$6,IF(OR(COUNTIF('1.연간시수표'!AR27,$AZ$9),COUNTIF('1.연간시수표'!AR27,$AZ$7)),$AZ$6,IF(OR(COUNTIF('1.연간시수표'!AR27,$BA$9),COUNTIF('1.연간시수표'!AR27,$BA$7)),$BA$6,IF(OR(COUNTIF('1.연간시수표'!AR27,$BB$9),COUNTIF('1.연간시수표'!AR27,$BB$7)),$BB$6,IF(OR(COUNTIF('1.연간시수표'!AR27,$BC$9),COUNTIF('1.연간시수표'!AR27,$BC$7)),$BC$6,IF(OR(COUNTIF('1.연간시수표'!AR27,$BF$9),COUNTIF('1.연간시수표'!AR27,$BF$7),COUNTIF('1.연간시수표'!AR27,$BG$9),COUNTIF('1.연간시수표'!AR27,$BG$7),COUNTIF('1.연간시수표'!AR27,$BH$9),COUNTIF('1.연간시수표'!AR27,$BH$7),COUNTIF('1.연간시수표'!AR27,$BI$9),COUNTIF('1.연간시수표'!AR27,$BI$7),COUNTIF('1.연간시수표'!AR27,$BJ$9),COUNTIF('1.연간시수표'!AR27,$BJ$7),COUNTIF('1.연간시수표'!AR27,$BK$9),COUNTIF('1.연간시수표'!AR27,$BK$7),COUNTIF('1.연간시수표'!AR27,$BL$9),COUNTIF('1.연간시수표'!AR27,$BL$7),COUNTIF('1.연간시수표'!AR27,$BM$9),COUNTIF('1.연간시수표'!AR27,$BM$7)),$BF$6,IF(OR(COUNTIF('1.연간시수표'!AR27,$BO$9),COUNTIF('1.연간시수표'!AR27,$BO$7)),$BO$6,IF(OR(COUNTIF('1.연간시수표'!AR27,$BP$9),COUNTIF('1.연간시수표'!AR27,$BP$7)),$BP$6,IF(OR(COUNTIF('1.연간시수표'!AR27,$BQ$9),COUNTIF('1.연간시수표'!AR27,$BQ$7)),$BQ$6,IF(OR(COUNTIF('1.연간시수표'!AR27,$BR$9),COUNTIF('1.연간시수표'!AR27,$BR$7)),$BR$6,"_")))))))))))))))</f>
        <v>_</v>
      </c>
      <c r="BU27" s="51">
        <f>BR6</f>
        <v>0</v>
      </c>
      <c r="BV27" s="142">
        <f t="shared" si="0"/>
        <v>0</v>
      </c>
    </row>
    <row r="28" spans="2:74">
      <c r="B28" s="6"/>
      <c r="C28" s="79">
        <f>'1.연간시수표'!C28</f>
        <v>19</v>
      </c>
      <c r="D28" s="3"/>
      <c r="E28" s="148" t="str">
        <f>IF(OR(COUNTIF('1.연간시수표'!E28,$AT$9),COUNTIF('1.연간시수표'!E28,$AT$7)),$AT$6,IF(OR(COUNTIF('1.연간시수표'!E28,$AU$9),COUNTIF('1.연간시수표'!E28,$AU$7)),$AU$6,IF(OR(COUNTIF('1.연간시수표'!E28,$AV$9),COUNTIF('1.연간시수표'!E28,$AV$7)),$AV$6,IF(OR(COUNTIF('1.연간시수표'!E28,$AW$9),COUNTIF('1.연간시수표'!E28,$AW$7)),$AW$6,IF(OR(COUNTIF('1.연간시수표'!E28,$AX$9),COUNTIF('1.연간시수표'!E28,$AX$7)),$AX$6,IF(OR(COUNTIF('1.연간시수표'!E28,$AY$9),COUNTIF('1.연간시수표'!E28,$AY$7)),$AY$6,IF(OR(COUNTIF('1.연간시수표'!E28,$AZ$9),COUNTIF('1.연간시수표'!E28,$AZ$7)),$AZ$6,IF(OR(COUNTIF('1.연간시수표'!E28,$BA$9),COUNTIF('1.연간시수표'!E28,$BA$7)),$BA$6,IF(OR(COUNTIF('1.연간시수표'!E28,$BB$9),COUNTIF('1.연간시수표'!E28,$BB$7)),$BB$6,IF(OR(COUNTIF('1.연간시수표'!E28,$BC$9),COUNTIF('1.연간시수표'!E28,$BC$7)),$BC$6,IF(OR(COUNTIF('1.연간시수표'!E28,$BF$9),COUNTIF('1.연간시수표'!E28,$BF$7),COUNTIF('1.연간시수표'!E28,$BG$9),COUNTIF('1.연간시수표'!E28,$BG$7),COUNTIF('1.연간시수표'!E28,$BH$9),COUNTIF('1.연간시수표'!E28,$BH$7),COUNTIF('1.연간시수표'!E28,$BI$9),COUNTIF('1.연간시수표'!E28,$BI$7),COUNTIF('1.연간시수표'!E28,$BJ$9),COUNTIF('1.연간시수표'!E28,$BJ$7),COUNTIF('1.연간시수표'!E28,$BK$9),COUNTIF('1.연간시수표'!E28,$BK$7),COUNTIF('1.연간시수표'!E28,$BL$9),COUNTIF('1.연간시수표'!E28,$BL$7),COUNTIF('1.연간시수표'!E28,$BM$9),COUNTIF('1.연간시수표'!E28,$BM$7)),$BF$6,IF(OR(COUNTIF('1.연간시수표'!E28,$BO$9),COUNTIF('1.연간시수표'!E28,$BO$7)),$BO$6,IF(OR(COUNTIF('1.연간시수표'!E28,$BP$9),COUNTIF('1.연간시수표'!E28,$BP$7)),$BP$6,IF(OR(COUNTIF('1.연간시수표'!E28,$BQ$9),COUNTIF('1.연간시수표'!E28,$BQ$7)),$BQ$6,IF(OR(COUNTIF('1.연간시수표'!E28,$BR$9),COUNTIF('1.연간시수표'!E28,$BR$7)),$BR$6,"_")))))))))))))))</f>
        <v>국어</v>
      </c>
      <c r="F28" s="148" t="str">
        <f>IF(OR(COUNTIF('1.연간시수표'!F28,$AT$9),COUNTIF('1.연간시수표'!F28,$AT$7)),$AT$6,IF(OR(COUNTIF('1.연간시수표'!F28,$AU$9),COUNTIF('1.연간시수표'!F28,$AU$7)),$AU$6,IF(OR(COUNTIF('1.연간시수표'!F28,$AV$9),COUNTIF('1.연간시수표'!F28,$AV$7)),$AV$6,IF(OR(COUNTIF('1.연간시수표'!F28,$AW$9),COUNTIF('1.연간시수표'!F28,$AW$7)),$AW$6,IF(OR(COUNTIF('1.연간시수표'!F28,$AX$9),COUNTIF('1.연간시수표'!F28,$AX$7)),$AX$6,IF(OR(COUNTIF('1.연간시수표'!F28,$AY$9),COUNTIF('1.연간시수표'!F28,$AY$7)),$AY$6,IF(OR(COUNTIF('1.연간시수표'!F28,$AZ$9),COUNTIF('1.연간시수표'!F28,$AZ$7)),$AZ$6,IF(OR(COUNTIF('1.연간시수표'!F28,$BA$9),COUNTIF('1.연간시수표'!F28,$BA$7)),$BA$6,IF(OR(COUNTIF('1.연간시수표'!F28,$BB$9),COUNTIF('1.연간시수표'!F28,$BB$7)),$BB$6,IF(OR(COUNTIF('1.연간시수표'!F28,$BC$9),COUNTIF('1.연간시수표'!F28,$BC$7)),$BC$6,IF(OR(COUNTIF('1.연간시수표'!F28,$BF$9),COUNTIF('1.연간시수표'!F28,$BF$7),COUNTIF('1.연간시수표'!F28,$BG$9),COUNTIF('1.연간시수표'!F28,$BG$7),COUNTIF('1.연간시수표'!F28,$BH$9),COUNTIF('1.연간시수표'!F28,$BH$7),COUNTIF('1.연간시수표'!F28,$BI$9),COUNTIF('1.연간시수표'!F28,$BI$7),COUNTIF('1.연간시수표'!F28,$BJ$9),COUNTIF('1.연간시수표'!F28,$BJ$7),COUNTIF('1.연간시수표'!F28,$BK$9),COUNTIF('1.연간시수표'!F28,$BK$7),COUNTIF('1.연간시수표'!F28,$BL$9),COUNTIF('1.연간시수표'!F28,$BL$7),COUNTIF('1.연간시수표'!F28,$BM$9),COUNTIF('1.연간시수표'!F28,$BM$7)),$BF$6,IF(OR(COUNTIF('1.연간시수표'!F28,$BO$9),COUNTIF('1.연간시수표'!F28,$BO$7)),$BO$6,IF(OR(COUNTIF('1.연간시수표'!F28,$BP$9),COUNTIF('1.연간시수표'!F28,$BP$7)),$BP$6,IF(OR(COUNTIF('1.연간시수표'!F28,$BQ$9),COUNTIF('1.연간시수표'!F28,$BQ$7)),$BQ$6,IF(OR(COUNTIF('1.연간시수표'!F28,$BR$9),COUNTIF('1.연간시수표'!F28,$BR$7)),$BR$6,"_")))))))))))))))</f>
        <v>미술</v>
      </c>
      <c r="G28" s="148" t="str">
        <f>IF(OR(COUNTIF('1.연간시수표'!G28,$AT$9),COUNTIF('1.연간시수표'!G28,$AT$7)),$AT$6,IF(OR(COUNTIF('1.연간시수표'!G28,$AU$9),COUNTIF('1.연간시수표'!G28,$AU$7)),$AU$6,IF(OR(COUNTIF('1.연간시수표'!G28,$AV$9),COUNTIF('1.연간시수표'!G28,$AV$7)),$AV$6,IF(OR(COUNTIF('1.연간시수표'!G28,$AW$9),COUNTIF('1.연간시수표'!G28,$AW$7)),$AW$6,IF(OR(COUNTIF('1.연간시수표'!G28,$AX$9),COUNTIF('1.연간시수표'!G28,$AX$7)),$AX$6,IF(OR(COUNTIF('1.연간시수표'!G28,$AY$9),COUNTIF('1.연간시수표'!G28,$AY$7)),$AY$6,IF(OR(COUNTIF('1.연간시수표'!G28,$AZ$9),COUNTIF('1.연간시수표'!G28,$AZ$7)),$AZ$6,IF(OR(COUNTIF('1.연간시수표'!G28,$BA$9),COUNTIF('1.연간시수표'!G28,$BA$7)),$BA$6,IF(OR(COUNTIF('1.연간시수표'!G28,$BB$9),COUNTIF('1.연간시수표'!G28,$BB$7)),$BB$6,IF(OR(COUNTIF('1.연간시수표'!G28,$BC$9),COUNTIF('1.연간시수표'!G28,$BC$7)),$BC$6,IF(OR(COUNTIF('1.연간시수표'!G28,$BF$9),COUNTIF('1.연간시수표'!G28,$BF$7),COUNTIF('1.연간시수표'!G28,$BG$9),COUNTIF('1.연간시수표'!G28,$BG$7),COUNTIF('1.연간시수표'!G28,$BH$9),COUNTIF('1.연간시수표'!G28,$BH$7),COUNTIF('1.연간시수표'!G28,$BI$9),COUNTIF('1.연간시수표'!G28,$BI$7),COUNTIF('1.연간시수표'!G28,$BJ$9),COUNTIF('1.연간시수표'!G28,$BJ$7),COUNTIF('1.연간시수표'!G28,$BK$9),COUNTIF('1.연간시수표'!G28,$BK$7),COUNTIF('1.연간시수표'!G28,$BL$9),COUNTIF('1.연간시수표'!G28,$BL$7),COUNTIF('1.연간시수표'!G28,$BM$9),COUNTIF('1.연간시수표'!G28,$BM$7)),$BF$6,IF(OR(COUNTIF('1.연간시수표'!G28,$BO$9),COUNTIF('1.연간시수표'!G28,$BO$7)),$BO$6,IF(OR(COUNTIF('1.연간시수표'!G28,$BP$9),COUNTIF('1.연간시수표'!G28,$BP$7)),$BP$6,IF(OR(COUNTIF('1.연간시수표'!G28,$BQ$9),COUNTIF('1.연간시수표'!G28,$BQ$7)),$BQ$6,IF(OR(COUNTIF('1.연간시수표'!G28,$BR$9),COUNTIF('1.연간시수표'!G28,$BR$7)),$BR$6,"_")))))))))))))))</f>
        <v>미술</v>
      </c>
      <c r="H28" s="148" t="str">
        <f>IF(OR(COUNTIF('1.연간시수표'!H28,$AT$9),COUNTIF('1.연간시수표'!H28,$AT$7)),$AT$6,IF(OR(COUNTIF('1.연간시수표'!H28,$AU$9),COUNTIF('1.연간시수표'!H28,$AU$7)),$AU$6,IF(OR(COUNTIF('1.연간시수표'!H28,$AV$9),COUNTIF('1.연간시수표'!H28,$AV$7)),$AV$6,IF(OR(COUNTIF('1.연간시수표'!H28,$AW$9),COUNTIF('1.연간시수표'!H28,$AW$7)),$AW$6,IF(OR(COUNTIF('1.연간시수표'!H28,$AX$9),COUNTIF('1.연간시수표'!H28,$AX$7)),$AX$6,IF(OR(COUNTIF('1.연간시수표'!H28,$AY$9),COUNTIF('1.연간시수표'!H28,$AY$7)),$AY$6,IF(OR(COUNTIF('1.연간시수표'!H28,$AZ$9),COUNTIF('1.연간시수표'!H28,$AZ$7)),$AZ$6,IF(OR(COUNTIF('1.연간시수표'!H28,$BA$9),COUNTIF('1.연간시수표'!H28,$BA$7)),$BA$6,IF(OR(COUNTIF('1.연간시수표'!H28,$BB$9),COUNTIF('1.연간시수표'!H28,$BB$7)),$BB$6,IF(OR(COUNTIF('1.연간시수표'!H28,$BC$9),COUNTIF('1.연간시수표'!H28,$BC$7)),$BC$6,IF(OR(COUNTIF('1.연간시수표'!H28,$BF$9),COUNTIF('1.연간시수표'!H28,$BF$7),COUNTIF('1.연간시수표'!H28,$BG$9),COUNTIF('1.연간시수표'!H28,$BG$7),COUNTIF('1.연간시수표'!H28,$BH$9),COUNTIF('1.연간시수표'!H28,$BH$7),COUNTIF('1.연간시수표'!H28,$BI$9),COUNTIF('1.연간시수표'!H28,$BI$7),COUNTIF('1.연간시수표'!H28,$BJ$9),COUNTIF('1.연간시수표'!H28,$BJ$7),COUNTIF('1.연간시수표'!H28,$BK$9),COUNTIF('1.연간시수표'!H28,$BK$7),COUNTIF('1.연간시수표'!H28,$BL$9),COUNTIF('1.연간시수표'!H28,$BL$7),COUNTIF('1.연간시수표'!H28,$BM$9),COUNTIF('1.연간시수표'!H28,$BM$7)),$BF$6,IF(OR(COUNTIF('1.연간시수표'!H28,$BO$9),COUNTIF('1.연간시수표'!H28,$BO$7)),$BO$6,IF(OR(COUNTIF('1.연간시수표'!H28,$BP$9),COUNTIF('1.연간시수표'!H28,$BP$7)),$BP$6,IF(OR(COUNTIF('1.연간시수표'!H28,$BQ$9),COUNTIF('1.연간시수표'!H28,$BQ$7)),$BQ$6,IF(OR(COUNTIF('1.연간시수표'!H28,$BR$9),COUNTIF('1.연간시수표'!H28,$BR$7)),$BR$6,"_")))))))))))))))</f>
        <v>영어</v>
      </c>
      <c r="I28" s="148" t="str">
        <f>IF(OR(COUNTIF('1.연간시수표'!I28,$AT$9),COUNTIF('1.연간시수표'!I28,$AT$7)),$AT$6,IF(OR(COUNTIF('1.연간시수표'!I28,$AU$9),COUNTIF('1.연간시수표'!I28,$AU$7)),$AU$6,IF(OR(COUNTIF('1.연간시수표'!I28,$AV$9),COUNTIF('1.연간시수표'!I28,$AV$7)),$AV$6,IF(OR(COUNTIF('1.연간시수표'!I28,$AW$9),COUNTIF('1.연간시수표'!I28,$AW$7)),$AW$6,IF(OR(COUNTIF('1.연간시수표'!I28,$AX$9),COUNTIF('1.연간시수표'!I28,$AX$7)),$AX$6,IF(OR(COUNTIF('1.연간시수표'!I28,$AY$9),COUNTIF('1.연간시수표'!I28,$AY$7)),$AY$6,IF(OR(COUNTIF('1.연간시수표'!I28,$AZ$9),COUNTIF('1.연간시수표'!I28,$AZ$7)),$AZ$6,IF(OR(COUNTIF('1.연간시수표'!I28,$BA$9),COUNTIF('1.연간시수표'!I28,$BA$7)),$BA$6,IF(OR(COUNTIF('1.연간시수표'!I28,$BB$9),COUNTIF('1.연간시수표'!I28,$BB$7)),$BB$6,IF(OR(COUNTIF('1.연간시수표'!I28,$BC$9),COUNTIF('1.연간시수표'!I28,$BC$7)),$BC$6,IF(OR(COUNTIF('1.연간시수표'!I28,$BF$9),COUNTIF('1.연간시수표'!I28,$BF$7),COUNTIF('1.연간시수표'!I28,$BG$9),COUNTIF('1.연간시수표'!I28,$BG$7),COUNTIF('1.연간시수표'!I28,$BH$9),COUNTIF('1.연간시수표'!I28,$BH$7),COUNTIF('1.연간시수표'!I28,$BI$9),COUNTIF('1.연간시수표'!I28,$BI$7),COUNTIF('1.연간시수표'!I28,$BJ$9),COUNTIF('1.연간시수표'!I28,$BJ$7),COUNTIF('1.연간시수표'!I28,$BK$9),COUNTIF('1.연간시수표'!I28,$BK$7),COUNTIF('1.연간시수표'!I28,$BL$9),COUNTIF('1.연간시수표'!I28,$BL$7),COUNTIF('1.연간시수표'!I28,$BM$9),COUNTIF('1.연간시수표'!I28,$BM$7)),$BF$6,IF(OR(COUNTIF('1.연간시수표'!I28,$BO$9),COUNTIF('1.연간시수표'!I28,$BO$7)),$BO$6,IF(OR(COUNTIF('1.연간시수표'!I28,$BP$9),COUNTIF('1.연간시수표'!I28,$BP$7)),$BP$6,IF(OR(COUNTIF('1.연간시수표'!I28,$BQ$9),COUNTIF('1.연간시수표'!I28,$BQ$7)),$BQ$6,IF(OR(COUNTIF('1.연간시수표'!I28,$BR$9),COUNTIF('1.연간시수표'!I28,$BR$7)),$BR$6,"_")))))))))))))))</f>
        <v>수학</v>
      </c>
      <c r="J28" s="148" t="str">
        <f>IF(OR(COUNTIF('1.연간시수표'!J28,$AT$9),COUNTIF('1.연간시수표'!J28,$AT$7)),$AT$6,IF(OR(COUNTIF('1.연간시수표'!J28,$AU$9),COUNTIF('1.연간시수표'!J28,$AU$7)),$AU$6,IF(OR(COUNTIF('1.연간시수표'!J28,$AV$9),COUNTIF('1.연간시수표'!J28,$AV$7)),$AV$6,IF(OR(COUNTIF('1.연간시수표'!J28,$AW$9),COUNTIF('1.연간시수표'!J28,$AW$7)),$AW$6,IF(OR(COUNTIF('1.연간시수표'!J28,$AX$9),COUNTIF('1.연간시수표'!J28,$AX$7)),$AX$6,IF(OR(COUNTIF('1.연간시수표'!J28,$AY$9),COUNTIF('1.연간시수표'!J28,$AY$7)),$AY$6,IF(OR(COUNTIF('1.연간시수표'!J28,$AZ$9),COUNTIF('1.연간시수표'!J28,$AZ$7)),$AZ$6,IF(OR(COUNTIF('1.연간시수표'!J28,$BA$9),COUNTIF('1.연간시수표'!J28,$BA$7)),$BA$6,IF(OR(COUNTIF('1.연간시수표'!J28,$BB$9),COUNTIF('1.연간시수표'!J28,$BB$7)),$BB$6,IF(OR(COUNTIF('1.연간시수표'!J28,$BC$9),COUNTIF('1.연간시수표'!J28,$BC$7)),$BC$6,IF(OR(COUNTIF('1.연간시수표'!J28,$BF$9),COUNTIF('1.연간시수표'!J28,$BF$7),COUNTIF('1.연간시수표'!J28,$BG$9),COUNTIF('1.연간시수표'!J28,$BG$7),COUNTIF('1.연간시수표'!J28,$BH$9),COUNTIF('1.연간시수표'!J28,$BH$7),COUNTIF('1.연간시수표'!J28,$BI$9),COUNTIF('1.연간시수표'!J28,$BI$7),COUNTIF('1.연간시수표'!J28,$BJ$9),COUNTIF('1.연간시수표'!J28,$BJ$7),COUNTIF('1.연간시수표'!J28,$BK$9),COUNTIF('1.연간시수표'!J28,$BK$7),COUNTIF('1.연간시수표'!J28,$BL$9),COUNTIF('1.연간시수표'!J28,$BL$7),COUNTIF('1.연간시수표'!J28,$BM$9),COUNTIF('1.연간시수표'!J28,$BM$7)),$BF$6,IF(OR(COUNTIF('1.연간시수표'!J28,$BO$9),COUNTIF('1.연간시수표'!J28,$BO$7)),$BO$6,IF(OR(COUNTIF('1.연간시수표'!J28,$BP$9),COUNTIF('1.연간시수표'!J28,$BP$7)),$BP$6,IF(OR(COUNTIF('1.연간시수표'!J28,$BQ$9),COUNTIF('1.연간시수표'!J28,$BQ$7)),$BQ$6,IF(OR(COUNTIF('1.연간시수표'!J28,$BR$9),COUNTIF('1.연간시수표'!J28,$BR$7)),$BR$6,"_")))))))))))))))</f>
        <v>자율활동</v>
      </c>
      <c r="K28" s="148" t="str">
        <f>IF(OR(COUNTIF('1.연간시수표'!K28,$AT$9),COUNTIF('1.연간시수표'!K28,$AT$7)),$AT$6,IF(OR(COUNTIF('1.연간시수표'!K28,$AU$9),COUNTIF('1.연간시수표'!K28,$AU$7)),$AU$6,IF(OR(COUNTIF('1.연간시수표'!K28,$AV$9),COUNTIF('1.연간시수표'!K28,$AV$7)),$AV$6,IF(OR(COUNTIF('1.연간시수표'!K28,$AW$9),COUNTIF('1.연간시수표'!K28,$AW$7)),$AW$6,IF(OR(COUNTIF('1.연간시수표'!K28,$AX$9),COUNTIF('1.연간시수표'!K28,$AX$7)),$AX$6,IF(OR(COUNTIF('1.연간시수표'!K28,$AY$9),COUNTIF('1.연간시수표'!K28,$AY$7)),$AY$6,IF(OR(COUNTIF('1.연간시수표'!K28,$AZ$9),COUNTIF('1.연간시수표'!K28,$AZ$7)),$AZ$6,IF(OR(COUNTIF('1.연간시수표'!K28,$BA$9),COUNTIF('1.연간시수표'!K28,$BA$7)),$BA$6,IF(OR(COUNTIF('1.연간시수표'!K28,$BB$9),COUNTIF('1.연간시수표'!K28,$BB$7)),$BB$6,IF(OR(COUNTIF('1.연간시수표'!K28,$BC$9),COUNTIF('1.연간시수표'!K28,$BC$7)),$BC$6,IF(OR(COUNTIF('1.연간시수표'!K28,$BF$9),COUNTIF('1.연간시수표'!K28,$BF$7),COUNTIF('1.연간시수표'!K28,$BG$9),COUNTIF('1.연간시수표'!K28,$BG$7),COUNTIF('1.연간시수표'!K28,$BH$9),COUNTIF('1.연간시수표'!K28,$BH$7),COUNTIF('1.연간시수표'!K28,$BI$9),COUNTIF('1.연간시수표'!K28,$BI$7),COUNTIF('1.연간시수표'!K28,$BJ$9),COUNTIF('1.연간시수표'!K28,$BJ$7),COUNTIF('1.연간시수표'!K28,$BK$9),COUNTIF('1.연간시수표'!K28,$BK$7),COUNTIF('1.연간시수표'!K28,$BL$9),COUNTIF('1.연간시수표'!K28,$BL$7),COUNTIF('1.연간시수표'!K28,$BM$9),COUNTIF('1.연간시수표'!K28,$BM$7)),$BF$6,IF(OR(COUNTIF('1.연간시수표'!K28,$BO$9),COUNTIF('1.연간시수표'!K28,$BO$7)),$BO$6,IF(OR(COUNTIF('1.연간시수표'!K28,$BP$9),COUNTIF('1.연간시수표'!K28,$BP$7)),$BP$6,IF(OR(COUNTIF('1.연간시수표'!K28,$BQ$9),COUNTIF('1.연간시수표'!K28,$BQ$7)),$BQ$6,IF(OR(COUNTIF('1.연간시수표'!K28,$BR$9),COUNTIF('1.연간시수표'!K28,$BR$7)),$BR$6,"_")))))))))))))))</f>
        <v>_</v>
      </c>
      <c r="L28" s="148" t="str">
        <f>IF(OR(COUNTIF('1.연간시수표'!L28,$AT$9),COUNTIF('1.연간시수표'!L28,$AT$7)),$AT$6,IF(OR(COUNTIF('1.연간시수표'!L28,$AU$9),COUNTIF('1.연간시수표'!L28,$AU$7)),$AU$6,IF(OR(COUNTIF('1.연간시수표'!L28,$AV$9),COUNTIF('1.연간시수표'!L28,$AV$7)),$AV$6,IF(OR(COUNTIF('1.연간시수표'!L28,$AW$9),COUNTIF('1.연간시수표'!L28,$AW$7)),$AW$6,IF(OR(COUNTIF('1.연간시수표'!L28,$AX$9),COUNTIF('1.연간시수표'!L28,$AX$7)),$AX$6,IF(OR(COUNTIF('1.연간시수표'!L28,$AY$9),COUNTIF('1.연간시수표'!L28,$AY$7)),$AY$6,IF(OR(COUNTIF('1.연간시수표'!L28,$AZ$9),COUNTIF('1.연간시수표'!L28,$AZ$7)),$AZ$6,IF(OR(COUNTIF('1.연간시수표'!L28,$BA$9),COUNTIF('1.연간시수표'!L28,$BA$7)),$BA$6,IF(OR(COUNTIF('1.연간시수표'!L28,$BB$9),COUNTIF('1.연간시수표'!L28,$BB$7)),$BB$6,IF(OR(COUNTIF('1.연간시수표'!L28,$BC$9),COUNTIF('1.연간시수표'!L28,$BC$7)),$BC$6,IF(OR(COUNTIF('1.연간시수표'!L28,$BF$9),COUNTIF('1.연간시수표'!L28,$BF$7),COUNTIF('1.연간시수표'!L28,$BG$9),COUNTIF('1.연간시수표'!L28,$BG$7),COUNTIF('1.연간시수표'!L28,$BH$9),COUNTIF('1.연간시수표'!L28,$BH$7),COUNTIF('1.연간시수표'!L28,$BI$9),COUNTIF('1.연간시수표'!L28,$BI$7),COUNTIF('1.연간시수표'!L28,$BJ$9),COUNTIF('1.연간시수표'!L28,$BJ$7),COUNTIF('1.연간시수표'!L28,$BK$9),COUNTIF('1.연간시수표'!L28,$BK$7),COUNTIF('1.연간시수표'!L28,$BL$9),COUNTIF('1.연간시수표'!L28,$BL$7),COUNTIF('1.연간시수표'!L28,$BM$9),COUNTIF('1.연간시수표'!L28,$BM$7)),$BF$6,IF(OR(COUNTIF('1.연간시수표'!L28,$BO$9),COUNTIF('1.연간시수표'!L28,$BO$7)),$BO$6,IF(OR(COUNTIF('1.연간시수표'!L28,$BP$9),COUNTIF('1.연간시수표'!L28,$BP$7)),$BP$6,IF(OR(COUNTIF('1.연간시수표'!L28,$BQ$9),COUNTIF('1.연간시수표'!L28,$BQ$7)),$BQ$6,IF(OR(COUNTIF('1.연간시수표'!L28,$BR$9),COUNTIF('1.연간시수표'!L28,$BR$7)),$BR$6,"_")))))))))))))))</f>
        <v>_</v>
      </c>
      <c r="M28" s="148" t="str">
        <f>IF(OR(COUNTIF('1.연간시수표'!M28,$AT$9),COUNTIF('1.연간시수표'!M28,$AT$7)),$AT$6,IF(OR(COUNTIF('1.연간시수표'!M28,$AU$9),COUNTIF('1.연간시수표'!M28,$AU$7)),$AU$6,IF(OR(COUNTIF('1.연간시수표'!M28,$AV$9),COUNTIF('1.연간시수표'!M28,$AV$7)),$AV$6,IF(OR(COUNTIF('1.연간시수표'!M28,$AW$9),COUNTIF('1.연간시수표'!M28,$AW$7)),$AW$6,IF(OR(COUNTIF('1.연간시수표'!M28,$AX$9),COUNTIF('1.연간시수표'!M28,$AX$7)),$AX$6,IF(OR(COUNTIF('1.연간시수표'!M28,$AY$9),COUNTIF('1.연간시수표'!M28,$AY$7)),$AY$6,IF(OR(COUNTIF('1.연간시수표'!M28,$AZ$9),COUNTIF('1.연간시수표'!M28,$AZ$7)),$AZ$6,IF(OR(COUNTIF('1.연간시수표'!M28,$BA$9),COUNTIF('1.연간시수표'!M28,$BA$7)),$BA$6,IF(OR(COUNTIF('1.연간시수표'!M28,$BB$9),COUNTIF('1.연간시수표'!M28,$BB$7)),$BB$6,IF(OR(COUNTIF('1.연간시수표'!M28,$BC$9),COUNTIF('1.연간시수표'!M28,$BC$7)),$BC$6,IF(OR(COUNTIF('1.연간시수표'!M28,$BF$9),COUNTIF('1.연간시수표'!M28,$BF$7),COUNTIF('1.연간시수표'!M28,$BG$9),COUNTIF('1.연간시수표'!M28,$BG$7),COUNTIF('1.연간시수표'!M28,$BH$9),COUNTIF('1.연간시수표'!M28,$BH$7),COUNTIF('1.연간시수표'!M28,$BI$9),COUNTIF('1.연간시수표'!M28,$BI$7),COUNTIF('1.연간시수표'!M28,$BJ$9),COUNTIF('1.연간시수표'!M28,$BJ$7),COUNTIF('1.연간시수표'!M28,$BK$9),COUNTIF('1.연간시수표'!M28,$BK$7),COUNTIF('1.연간시수표'!M28,$BL$9),COUNTIF('1.연간시수표'!M28,$BL$7),COUNTIF('1.연간시수표'!M28,$BM$9),COUNTIF('1.연간시수표'!M28,$BM$7)),$BF$6,IF(OR(COUNTIF('1.연간시수표'!M28,$BO$9),COUNTIF('1.연간시수표'!M28,$BO$7)),$BO$6,IF(OR(COUNTIF('1.연간시수표'!M28,$BP$9),COUNTIF('1.연간시수표'!M28,$BP$7)),$BP$6,IF(OR(COUNTIF('1.연간시수표'!M28,$BQ$9),COUNTIF('1.연간시수표'!M28,$BQ$7)),$BQ$6,IF(OR(COUNTIF('1.연간시수표'!M28,$BR$9),COUNTIF('1.연간시수표'!M28,$BR$7)),$BR$6,"_")))))))))))))))</f>
        <v>국어</v>
      </c>
      <c r="N28" s="148" t="str">
        <f>IF(OR(COUNTIF('1.연간시수표'!N28,$AT$9),COUNTIF('1.연간시수표'!N28,$AT$7)),$AT$6,IF(OR(COUNTIF('1.연간시수표'!N28,$AU$9),COUNTIF('1.연간시수표'!N28,$AU$7)),$AU$6,IF(OR(COUNTIF('1.연간시수표'!N28,$AV$9),COUNTIF('1.연간시수표'!N28,$AV$7)),$AV$6,IF(OR(COUNTIF('1.연간시수표'!N28,$AW$9),COUNTIF('1.연간시수표'!N28,$AW$7)),$AW$6,IF(OR(COUNTIF('1.연간시수표'!N28,$AX$9),COUNTIF('1.연간시수표'!N28,$AX$7)),$AX$6,IF(OR(COUNTIF('1.연간시수표'!N28,$AY$9),COUNTIF('1.연간시수표'!N28,$AY$7)),$AY$6,IF(OR(COUNTIF('1.연간시수표'!N28,$AZ$9),COUNTIF('1.연간시수표'!N28,$AZ$7)),$AZ$6,IF(OR(COUNTIF('1.연간시수표'!N28,$BA$9),COUNTIF('1.연간시수표'!N28,$BA$7)),$BA$6,IF(OR(COUNTIF('1.연간시수표'!N28,$BB$9),COUNTIF('1.연간시수표'!N28,$BB$7)),$BB$6,IF(OR(COUNTIF('1.연간시수표'!N28,$BC$9),COUNTIF('1.연간시수표'!N28,$BC$7)),$BC$6,IF(OR(COUNTIF('1.연간시수표'!N28,$BF$9),COUNTIF('1.연간시수표'!N28,$BF$7),COUNTIF('1.연간시수표'!N28,$BG$9),COUNTIF('1.연간시수표'!N28,$BG$7),COUNTIF('1.연간시수표'!N28,$BH$9),COUNTIF('1.연간시수표'!N28,$BH$7),COUNTIF('1.연간시수표'!N28,$BI$9),COUNTIF('1.연간시수표'!N28,$BI$7),COUNTIF('1.연간시수표'!N28,$BJ$9),COUNTIF('1.연간시수표'!N28,$BJ$7),COUNTIF('1.연간시수표'!N28,$BK$9),COUNTIF('1.연간시수표'!N28,$BK$7),COUNTIF('1.연간시수표'!N28,$BL$9),COUNTIF('1.연간시수표'!N28,$BL$7),COUNTIF('1.연간시수표'!N28,$BM$9),COUNTIF('1.연간시수표'!N28,$BM$7)),$BF$6,IF(OR(COUNTIF('1.연간시수표'!N28,$BO$9),COUNTIF('1.연간시수표'!N28,$BO$7)),$BO$6,IF(OR(COUNTIF('1.연간시수표'!N28,$BP$9),COUNTIF('1.연간시수표'!N28,$BP$7)),$BP$6,IF(OR(COUNTIF('1.연간시수표'!N28,$BQ$9),COUNTIF('1.연간시수표'!N28,$BQ$7)),$BQ$6,IF(OR(COUNTIF('1.연간시수표'!N28,$BR$9),COUNTIF('1.연간시수표'!N28,$BR$7)),$BR$6,"_")))))))))))))))</f>
        <v>국어</v>
      </c>
      <c r="O28" s="148" t="str">
        <f>IF(OR(COUNTIF('1.연간시수표'!O28,$AT$9),COUNTIF('1.연간시수표'!O28,$AT$7)),$AT$6,IF(OR(COUNTIF('1.연간시수표'!O28,$AU$9),COUNTIF('1.연간시수표'!O28,$AU$7)),$AU$6,IF(OR(COUNTIF('1.연간시수표'!O28,$AV$9),COUNTIF('1.연간시수표'!O28,$AV$7)),$AV$6,IF(OR(COUNTIF('1.연간시수표'!O28,$AW$9),COUNTIF('1.연간시수표'!O28,$AW$7)),$AW$6,IF(OR(COUNTIF('1.연간시수표'!O28,$AX$9),COUNTIF('1.연간시수표'!O28,$AX$7)),$AX$6,IF(OR(COUNTIF('1.연간시수표'!O28,$AY$9),COUNTIF('1.연간시수표'!O28,$AY$7)),$AY$6,IF(OR(COUNTIF('1.연간시수표'!O28,$AZ$9),COUNTIF('1.연간시수표'!O28,$AZ$7)),$AZ$6,IF(OR(COUNTIF('1.연간시수표'!O28,$BA$9),COUNTIF('1.연간시수표'!O28,$BA$7)),$BA$6,IF(OR(COUNTIF('1.연간시수표'!O28,$BB$9),COUNTIF('1.연간시수표'!O28,$BB$7)),$BB$6,IF(OR(COUNTIF('1.연간시수표'!O28,$BC$9),COUNTIF('1.연간시수표'!O28,$BC$7)),$BC$6,IF(OR(COUNTIF('1.연간시수표'!O28,$BF$9),COUNTIF('1.연간시수표'!O28,$BF$7),COUNTIF('1.연간시수표'!O28,$BG$9),COUNTIF('1.연간시수표'!O28,$BG$7),COUNTIF('1.연간시수표'!O28,$BH$9),COUNTIF('1.연간시수표'!O28,$BH$7),COUNTIF('1.연간시수표'!O28,$BI$9),COUNTIF('1.연간시수표'!O28,$BI$7),COUNTIF('1.연간시수표'!O28,$BJ$9),COUNTIF('1.연간시수표'!O28,$BJ$7),COUNTIF('1.연간시수표'!O28,$BK$9),COUNTIF('1.연간시수표'!O28,$BK$7),COUNTIF('1.연간시수표'!O28,$BL$9),COUNTIF('1.연간시수표'!O28,$BL$7),COUNTIF('1.연간시수표'!O28,$BM$9),COUNTIF('1.연간시수표'!O28,$BM$7)),$BF$6,IF(OR(COUNTIF('1.연간시수표'!O28,$BO$9),COUNTIF('1.연간시수표'!O28,$BO$7)),$BO$6,IF(OR(COUNTIF('1.연간시수표'!O28,$BP$9),COUNTIF('1.연간시수표'!O28,$BP$7)),$BP$6,IF(OR(COUNTIF('1.연간시수표'!O28,$BQ$9),COUNTIF('1.연간시수표'!O28,$BQ$7)),$BQ$6,IF(OR(COUNTIF('1.연간시수표'!O28,$BR$9),COUNTIF('1.연간시수표'!O28,$BR$7)),$BR$6,"_")))))))))))))))</f>
        <v>사회</v>
      </c>
      <c r="P28" s="148" t="str">
        <f>IF(OR(COUNTIF('1.연간시수표'!P28,$AT$9),COUNTIF('1.연간시수표'!P28,$AT$7)),$AT$6,IF(OR(COUNTIF('1.연간시수표'!P28,$AU$9),COUNTIF('1.연간시수표'!P28,$AU$7)),$AU$6,IF(OR(COUNTIF('1.연간시수표'!P28,$AV$9),COUNTIF('1.연간시수표'!P28,$AV$7)),$AV$6,IF(OR(COUNTIF('1.연간시수표'!P28,$AW$9),COUNTIF('1.연간시수표'!P28,$AW$7)),$AW$6,IF(OR(COUNTIF('1.연간시수표'!P28,$AX$9),COUNTIF('1.연간시수표'!P28,$AX$7)),$AX$6,IF(OR(COUNTIF('1.연간시수표'!P28,$AY$9),COUNTIF('1.연간시수표'!P28,$AY$7)),$AY$6,IF(OR(COUNTIF('1.연간시수표'!P28,$AZ$9),COUNTIF('1.연간시수표'!P28,$AZ$7)),$AZ$6,IF(OR(COUNTIF('1.연간시수표'!P28,$BA$9),COUNTIF('1.연간시수표'!P28,$BA$7)),$BA$6,IF(OR(COUNTIF('1.연간시수표'!P28,$BB$9),COUNTIF('1.연간시수표'!P28,$BB$7)),$BB$6,IF(OR(COUNTIF('1.연간시수표'!P28,$BC$9),COUNTIF('1.연간시수표'!P28,$BC$7)),$BC$6,IF(OR(COUNTIF('1.연간시수표'!P28,$BF$9),COUNTIF('1.연간시수표'!P28,$BF$7),COUNTIF('1.연간시수표'!P28,$BG$9),COUNTIF('1.연간시수표'!P28,$BG$7),COUNTIF('1.연간시수표'!P28,$BH$9),COUNTIF('1.연간시수표'!P28,$BH$7),COUNTIF('1.연간시수표'!P28,$BI$9),COUNTIF('1.연간시수표'!P28,$BI$7),COUNTIF('1.연간시수표'!P28,$BJ$9),COUNTIF('1.연간시수표'!P28,$BJ$7),COUNTIF('1.연간시수표'!P28,$BK$9),COUNTIF('1.연간시수표'!P28,$BK$7),COUNTIF('1.연간시수표'!P28,$BL$9),COUNTIF('1.연간시수표'!P28,$BL$7),COUNTIF('1.연간시수표'!P28,$BM$9),COUNTIF('1.연간시수표'!P28,$BM$7)),$BF$6,IF(OR(COUNTIF('1.연간시수표'!P28,$BO$9),COUNTIF('1.연간시수표'!P28,$BO$7)),$BO$6,IF(OR(COUNTIF('1.연간시수표'!P28,$BP$9),COUNTIF('1.연간시수표'!P28,$BP$7)),$BP$6,IF(OR(COUNTIF('1.연간시수표'!P28,$BQ$9),COUNTIF('1.연간시수표'!P28,$BQ$7)),$BQ$6,IF(OR(COUNTIF('1.연간시수표'!P28,$BR$9),COUNTIF('1.연간시수표'!P28,$BR$7)),$BR$6,"_")))))))))))))))</f>
        <v>수학</v>
      </c>
      <c r="Q28" s="148" t="str">
        <f>IF(OR(COUNTIF('1.연간시수표'!Q28,$AT$9),COUNTIF('1.연간시수표'!Q28,$AT$7)),$AT$6,IF(OR(COUNTIF('1.연간시수표'!Q28,$AU$9),COUNTIF('1.연간시수표'!Q28,$AU$7)),$AU$6,IF(OR(COUNTIF('1.연간시수표'!Q28,$AV$9),COUNTIF('1.연간시수표'!Q28,$AV$7)),$AV$6,IF(OR(COUNTIF('1.연간시수표'!Q28,$AW$9),COUNTIF('1.연간시수표'!Q28,$AW$7)),$AW$6,IF(OR(COUNTIF('1.연간시수표'!Q28,$AX$9),COUNTIF('1.연간시수표'!Q28,$AX$7)),$AX$6,IF(OR(COUNTIF('1.연간시수표'!Q28,$AY$9),COUNTIF('1.연간시수표'!Q28,$AY$7)),$AY$6,IF(OR(COUNTIF('1.연간시수표'!Q28,$AZ$9),COUNTIF('1.연간시수표'!Q28,$AZ$7)),$AZ$6,IF(OR(COUNTIF('1.연간시수표'!Q28,$BA$9),COUNTIF('1.연간시수표'!Q28,$BA$7)),$BA$6,IF(OR(COUNTIF('1.연간시수표'!Q28,$BB$9),COUNTIF('1.연간시수표'!Q28,$BB$7)),$BB$6,IF(OR(COUNTIF('1.연간시수표'!Q28,$BC$9),COUNTIF('1.연간시수표'!Q28,$BC$7)),$BC$6,IF(OR(COUNTIF('1.연간시수표'!Q28,$BF$9),COUNTIF('1.연간시수표'!Q28,$BF$7),COUNTIF('1.연간시수표'!Q28,$BG$9),COUNTIF('1.연간시수표'!Q28,$BG$7),COUNTIF('1.연간시수표'!Q28,$BH$9),COUNTIF('1.연간시수표'!Q28,$BH$7),COUNTIF('1.연간시수표'!Q28,$BI$9),COUNTIF('1.연간시수표'!Q28,$BI$7),COUNTIF('1.연간시수표'!Q28,$BJ$9),COUNTIF('1.연간시수표'!Q28,$BJ$7),COUNTIF('1.연간시수표'!Q28,$BK$9),COUNTIF('1.연간시수표'!Q28,$BK$7),COUNTIF('1.연간시수표'!Q28,$BL$9),COUNTIF('1.연간시수표'!Q28,$BL$7),COUNTIF('1.연간시수표'!Q28,$BM$9),COUNTIF('1.연간시수표'!Q28,$BM$7)),$BF$6,IF(OR(COUNTIF('1.연간시수표'!Q28,$BO$9),COUNTIF('1.연간시수표'!Q28,$BO$7)),$BO$6,IF(OR(COUNTIF('1.연간시수표'!Q28,$BP$9),COUNTIF('1.연간시수표'!Q28,$BP$7)),$BP$6,IF(OR(COUNTIF('1.연간시수표'!Q28,$BQ$9),COUNTIF('1.연간시수표'!Q28,$BQ$7)),$BQ$6,IF(OR(COUNTIF('1.연간시수표'!Q28,$BR$9),COUNTIF('1.연간시수표'!Q28,$BR$7)),$BR$6,"_")))))))))))))))</f>
        <v>과학</v>
      </c>
      <c r="R28" s="148" t="str">
        <f>IF(OR(COUNTIF('1.연간시수표'!R28,$AT$9),COUNTIF('1.연간시수표'!R28,$AT$7)),$AT$6,IF(OR(COUNTIF('1.연간시수표'!R28,$AU$9),COUNTIF('1.연간시수표'!R28,$AU$7)),$AU$6,IF(OR(COUNTIF('1.연간시수표'!R28,$AV$9),COUNTIF('1.연간시수표'!R28,$AV$7)),$AV$6,IF(OR(COUNTIF('1.연간시수표'!R28,$AW$9),COUNTIF('1.연간시수표'!R28,$AW$7)),$AW$6,IF(OR(COUNTIF('1.연간시수표'!R28,$AX$9),COUNTIF('1.연간시수표'!R28,$AX$7)),$AX$6,IF(OR(COUNTIF('1.연간시수표'!R28,$AY$9),COUNTIF('1.연간시수표'!R28,$AY$7)),$AY$6,IF(OR(COUNTIF('1.연간시수표'!R28,$AZ$9),COUNTIF('1.연간시수표'!R28,$AZ$7)),$AZ$6,IF(OR(COUNTIF('1.연간시수표'!R28,$BA$9),COUNTIF('1.연간시수표'!R28,$BA$7)),$BA$6,IF(OR(COUNTIF('1.연간시수표'!R28,$BB$9),COUNTIF('1.연간시수표'!R28,$BB$7)),$BB$6,IF(OR(COUNTIF('1.연간시수표'!R28,$BC$9),COUNTIF('1.연간시수표'!R28,$BC$7)),$BC$6,IF(OR(COUNTIF('1.연간시수표'!R28,$BF$9),COUNTIF('1.연간시수표'!R28,$BF$7),COUNTIF('1.연간시수표'!R28,$BG$9),COUNTIF('1.연간시수표'!R28,$BG$7),COUNTIF('1.연간시수표'!R28,$BH$9),COUNTIF('1.연간시수표'!R28,$BH$7),COUNTIF('1.연간시수표'!R28,$BI$9),COUNTIF('1.연간시수표'!R28,$BI$7),COUNTIF('1.연간시수표'!R28,$BJ$9),COUNTIF('1.연간시수표'!R28,$BJ$7),COUNTIF('1.연간시수표'!R28,$BK$9),COUNTIF('1.연간시수표'!R28,$BK$7),COUNTIF('1.연간시수표'!R28,$BL$9),COUNTIF('1.연간시수표'!R28,$BL$7),COUNTIF('1.연간시수표'!R28,$BM$9),COUNTIF('1.연간시수표'!R28,$BM$7)),$BF$6,IF(OR(COUNTIF('1.연간시수표'!R28,$BO$9),COUNTIF('1.연간시수표'!R28,$BO$7)),$BO$6,IF(OR(COUNTIF('1.연간시수표'!R28,$BP$9),COUNTIF('1.연간시수표'!R28,$BP$7)),$BP$6,IF(OR(COUNTIF('1.연간시수표'!R28,$BQ$9),COUNTIF('1.연간시수표'!R28,$BQ$7)),$BQ$6,IF(OR(COUNTIF('1.연간시수표'!R28,$BR$9),COUNTIF('1.연간시수표'!R28,$BR$7)),$BR$6,"_")))))))))))))))</f>
        <v>체육</v>
      </c>
      <c r="S28" s="148" t="str">
        <f>IF(OR(COUNTIF('1.연간시수표'!S28,$AT$9),COUNTIF('1.연간시수표'!S28,$AT$7)),$AT$6,IF(OR(COUNTIF('1.연간시수표'!S28,$AU$9),COUNTIF('1.연간시수표'!S28,$AU$7)),$AU$6,IF(OR(COUNTIF('1.연간시수표'!S28,$AV$9),COUNTIF('1.연간시수표'!S28,$AV$7)),$AV$6,IF(OR(COUNTIF('1.연간시수표'!S28,$AW$9),COUNTIF('1.연간시수표'!S28,$AW$7)),$AW$6,IF(OR(COUNTIF('1.연간시수표'!S28,$AX$9),COUNTIF('1.연간시수표'!S28,$AX$7)),$AX$6,IF(OR(COUNTIF('1.연간시수표'!S28,$AY$9),COUNTIF('1.연간시수표'!S28,$AY$7)),$AY$6,IF(OR(COUNTIF('1.연간시수표'!S28,$AZ$9),COUNTIF('1.연간시수표'!S28,$AZ$7)),$AZ$6,IF(OR(COUNTIF('1.연간시수표'!S28,$BA$9),COUNTIF('1.연간시수표'!S28,$BA$7)),$BA$6,IF(OR(COUNTIF('1.연간시수표'!S28,$BB$9),COUNTIF('1.연간시수표'!S28,$BB$7)),$BB$6,IF(OR(COUNTIF('1.연간시수표'!S28,$BC$9),COUNTIF('1.연간시수표'!S28,$BC$7)),$BC$6,IF(OR(COUNTIF('1.연간시수표'!S28,$BF$9),COUNTIF('1.연간시수표'!S28,$BF$7),COUNTIF('1.연간시수표'!S28,$BG$9),COUNTIF('1.연간시수표'!S28,$BG$7),COUNTIF('1.연간시수표'!S28,$BH$9),COUNTIF('1.연간시수표'!S28,$BH$7),COUNTIF('1.연간시수표'!S28,$BI$9),COUNTIF('1.연간시수표'!S28,$BI$7),COUNTIF('1.연간시수표'!S28,$BJ$9),COUNTIF('1.연간시수표'!S28,$BJ$7),COUNTIF('1.연간시수표'!S28,$BK$9),COUNTIF('1.연간시수표'!S28,$BK$7),COUNTIF('1.연간시수표'!S28,$BL$9),COUNTIF('1.연간시수표'!S28,$BL$7),COUNTIF('1.연간시수표'!S28,$BM$9),COUNTIF('1.연간시수표'!S28,$BM$7)),$BF$6,IF(OR(COUNTIF('1.연간시수표'!S28,$BO$9),COUNTIF('1.연간시수표'!S28,$BO$7)),$BO$6,IF(OR(COUNTIF('1.연간시수표'!S28,$BP$9),COUNTIF('1.연간시수표'!S28,$BP$7)),$BP$6,IF(OR(COUNTIF('1.연간시수표'!S28,$BQ$9),COUNTIF('1.연간시수표'!S28,$BQ$7)),$BQ$6,IF(OR(COUNTIF('1.연간시수표'!S28,$BR$9),COUNTIF('1.연간시수표'!S28,$BR$7)),$BR$6,"_")))))))))))))))</f>
        <v>_</v>
      </c>
      <c r="T28" s="148" t="str">
        <f>IF(OR(COUNTIF('1.연간시수표'!T28,$AT$9),COUNTIF('1.연간시수표'!T28,$AT$7)),$AT$6,IF(OR(COUNTIF('1.연간시수표'!T28,$AU$9),COUNTIF('1.연간시수표'!T28,$AU$7)),$AU$6,IF(OR(COUNTIF('1.연간시수표'!T28,$AV$9),COUNTIF('1.연간시수표'!T28,$AV$7)),$AV$6,IF(OR(COUNTIF('1.연간시수표'!T28,$AW$9),COUNTIF('1.연간시수표'!T28,$AW$7)),$AW$6,IF(OR(COUNTIF('1.연간시수표'!T28,$AX$9),COUNTIF('1.연간시수표'!T28,$AX$7)),$AX$6,IF(OR(COUNTIF('1.연간시수표'!T28,$AY$9),COUNTIF('1.연간시수표'!T28,$AY$7)),$AY$6,IF(OR(COUNTIF('1.연간시수표'!T28,$AZ$9),COUNTIF('1.연간시수표'!T28,$AZ$7)),$AZ$6,IF(OR(COUNTIF('1.연간시수표'!T28,$BA$9),COUNTIF('1.연간시수표'!T28,$BA$7)),$BA$6,IF(OR(COUNTIF('1.연간시수표'!T28,$BB$9),COUNTIF('1.연간시수표'!T28,$BB$7)),$BB$6,IF(OR(COUNTIF('1.연간시수표'!T28,$BC$9),COUNTIF('1.연간시수표'!T28,$BC$7)),$BC$6,IF(OR(COUNTIF('1.연간시수표'!T28,$BF$9),COUNTIF('1.연간시수표'!T28,$BF$7),COUNTIF('1.연간시수표'!T28,$BG$9),COUNTIF('1.연간시수표'!T28,$BG$7),COUNTIF('1.연간시수표'!T28,$BH$9),COUNTIF('1.연간시수표'!T28,$BH$7),COUNTIF('1.연간시수표'!T28,$BI$9),COUNTIF('1.연간시수표'!T28,$BI$7),COUNTIF('1.연간시수표'!T28,$BJ$9),COUNTIF('1.연간시수표'!T28,$BJ$7),COUNTIF('1.연간시수표'!T28,$BK$9),COUNTIF('1.연간시수표'!T28,$BK$7),COUNTIF('1.연간시수표'!T28,$BL$9),COUNTIF('1.연간시수표'!T28,$BL$7),COUNTIF('1.연간시수표'!T28,$BM$9),COUNTIF('1.연간시수표'!T28,$BM$7)),$BF$6,IF(OR(COUNTIF('1.연간시수표'!T28,$BO$9),COUNTIF('1.연간시수표'!T28,$BO$7)),$BO$6,IF(OR(COUNTIF('1.연간시수표'!T28,$BP$9),COUNTIF('1.연간시수표'!T28,$BP$7)),$BP$6,IF(OR(COUNTIF('1.연간시수표'!T28,$BQ$9),COUNTIF('1.연간시수표'!T28,$BQ$7)),$BQ$6,IF(OR(COUNTIF('1.연간시수표'!T28,$BR$9),COUNTIF('1.연간시수표'!T28,$BR$7)),$BR$6,"_")))))))))))))))</f>
        <v>_</v>
      </c>
      <c r="U28" s="148" t="str">
        <f>IF(OR(COUNTIF('1.연간시수표'!U28,$AT$9),COUNTIF('1.연간시수표'!U28,$AT$7)),$AT$6,IF(OR(COUNTIF('1.연간시수표'!U28,$AU$9),COUNTIF('1.연간시수표'!U28,$AU$7)),$AU$6,IF(OR(COUNTIF('1.연간시수표'!U28,$AV$9),COUNTIF('1.연간시수표'!U28,$AV$7)),$AV$6,IF(OR(COUNTIF('1.연간시수표'!U28,$AW$9),COUNTIF('1.연간시수표'!U28,$AW$7)),$AW$6,IF(OR(COUNTIF('1.연간시수표'!U28,$AX$9),COUNTIF('1.연간시수표'!U28,$AX$7)),$AX$6,IF(OR(COUNTIF('1.연간시수표'!U28,$AY$9),COUNTIF('1.연간시수표'!U28,$AY$7)),$AY$6,IF(OR(COUNTIF('1.연간시수표'!U28,$AZ$9),COUNTIF('1.연간시수표'!U28,$AZ$7)),$AZ$6,IF(OR(COUNTIF('1.연간시수표'!U28,$BA$9),COUNTIF('1.연간시수표'!U28,$BA$7)),$BA$6,IF(OR(COUNTIF('1.연간시수표'!U28,$BB$9),COUNTIF('1.연간시수표'!U28,$BB$7)),$BB$6,IF(OR(COUNTIF('1.연간시수표'!U28,$BC$9),COUNTIF('1.연간시수표'!U28,$BC$7)),$BC$6,IF(OR(COUNTIF('1.연간시수표'!U28,$BF$9),COUNTIF('1.연간시수표'!U28,$BF$7),COUNTIF('1.연간시수표'!U28,$BG$9),COUNTIF('1.연간시수표'!U28,$BG$7),COUNTIF('1.연간시수표'!U28,$BH$9),COUNTIF('1.연간시수표'!U28,$BH$7),COUNTIF('1.연간시수표'!U28,$BI$9),COUNTIF('1.연간시수표'!U28,$BI$7),COUNTIF('1.연간시수표'!U28,$BJ$9),COUNTIF('1.연간시수표'!U28,$BJ$7),COUNTIF('1.연간시수표'!U28,$BK$9),COUNTIF('1.연간시수표'!U28,$BK$7),COUNTIF('1.연간시수표'!U28,$BL$9),COUNTIF('1.연간시수표'!U28,$BL$7),COUNTIF('1.연간시수표'!U28,$BM$9),COUNTIF('1.연간시수표'!U28,$BM$7)),$BF$6,IF(OR(COUNTIF('1.연간시수표'!U28,$BO$9),COUNTIF('1.연간시수표'!U28,$BO$7)),$BO$6,IF(OR(COUNTIF('1.연간시수표'!U28,$BP$9),COUNTIF('1.연간시수표'!U28,$BP$7)),$BP$6,IF(OR(COUNTIF('1.연간시수표'!U28,$BQ$9),COUNTIF('1.연간시수표'!U28,$BQ$7)),$BQ$6,IF(OR(COUNTIF('1.연간시수표'!U28,$BR$9),COUNTIF('1.연간시수표'!U28,$BR$7)),$BR$6,"_")))))))))))))))</f>
        <v>영어</v>
      </c>
      <c r="V28" s="148" t="str">
        <f>IF(OR(COUNTIF('1.연간시수표'!V28,$AT$9),COUNTIF('1.연간시수표'!V28,$AT$7)),$AT$6,IF(OR(COUNTIF('1.연간시수표'!V28,$AU$9),COUNTIF('1.연간시수표'!V28,$AU$7)),$AU$6,IF(OR(COUNTIF('1.연간시수표'!V28,$AV$9),COUNTIF('1.연간시수표'!V28,$AV$7)),$AV$6,IF(OR(COUNTIF('1.연간시수표'!V28,$AW$9),COUNTIF('1.연간시수표'!V28,$AW$7)),$AW$6,IF(OR(COUNTIF('1.연간시수표'!V28,$AX$9),COUNTIF('1.연간시수표'!V28,$AX$7)),$AX$6,IF(OR(COUNTIF('1.연간시수표'!V28,$AY$9),COUNTIF('1.연간시수표'!V28,$AY$7)),$AY$6,IF(OR(COUNTIF('1.연간시수표'!V28,$AZ$9),COUNTIF('1.연간시수표'!V28,$AZ$7)),$AZ$6,IF(OR(COUNTIF('1.연간시수표'!V28,$BA$9),COUNTIF('1.연간시수표'!V28,$BA$7)),$BA$6,IF(OR(COUNTIF('1.연간시수표'!V28,$BB$9),COUNTIF('1.연간시수표'!V28,$BB$7)),$BB$6,IF(OR(COUNTIF('1.연간시수표'!V28,$BC$9),COUNTIF('1.연간시수표'!V28,$BC$7)),$BC$6,IF(OR(COUNTIF('1.연간시수표'!V28,$BF$9),COUNTIF('1.연간시수표'!V28,$BF$7),COUNTIF('1.연간시수표'!V28,$BG$9),COUNTIF('1.연간시수표'!V28,$BG$7),COUNTIF('1.연간시수표'!V28,$BH$9),COUNTIF('1.연간시수표'!V28,$BH$7),COUNTIF('1.연간시수표'!V28,$BI$9),COUNTIF('1.연간시수표'!V28,$BI$7),COUNTIF('1.연간시수표'!V28,$BJ$9),COUNTIF('1.연간시수표'!V28,$BJ$7),COUNTIF('1.연간시수표'!V28,$BK$9),COUNTIF('1.연간시수표'!V28,$BK$7),COUNTIF('1.연간시수표'!V28,$BL$9),COUNTIF('1.연간시수표'!V28,$BL$7),COUNTIF('1.연간시수표'!V28,$BM$9),COUNTIF('1.연간시수표'!V28,$BM$7)),$BF$6,IF(OR(COUNTIF('1.연간시수표'!V28,$BO$9),COUNTIF('1.연간시수표'!V28,$BO$7)),$BO$6,IF(OR(COUNTIF('1.연간시수표'!V28,$BP$9),COUNTIF('1.연간시수표'!V28,$BP$7)),$BP$6,IF(OR(COUNTIF('1.연간시수표'!V28,$BQ$9),COUNTIF('1.연간시수표'!V28,$BQ$7)),$BQ$6,IF(OR(COUNTIF('1.연간시수표'!V28,$BR$9),COUNTIF('1.연간시수표'!V28,$BR$7)),$BR$6,"_")))))))))))))))</f>
        <v>과학</v>
      </c>
      <c r="W28" s="148" t="str">
        <f>IF(OR(COUNTIF('1.연간시수표'!W28,$AT$9),COUNTIF('1.연간시수표'!W28,$AT$7)),$AT$6,IF(OR(COUNTIF('1.연간시수표'!W28,$AU$9),COUNTIF('1.연간시수표'!W28,$AU$7)),$AU$6,IF(OR(COUNTIF('1.연간시수표'!W28,$AV$9),COUNTIF('1.연간시수표'!W28,$AV$7)),$AV$6,IF(OR(COUNTIF('1.연간시수표'!W28,$AW$9),COUNTIF('1.연간시수표'!W28,$AW$7)),$AW$6,IF(OR(COUNTIF('1.연간시수표'!W28,$AX$9),COUNTIF('1.연간시수표'!W28,$AX$7)),$AX$6,IF(OR(COUNTIF('1.연간시수표'!W28,$AY$9),COUNTIF('1.연간시수표'!W28,$AY$7)),$AY$6,IF(OR(COUNTIF('1.연간시수표'!W28,$AZ$9),COUNTIF('1.연간시수표'!W28,$AZ$7)),$AZ$6,IF(OR(COUNTIF('1.연간시수표'!W28,$BA$9),COUNTIF('1.연간시수표'!W28,$BA$7)),$BA$6,IF(OR(COUNTIF('1.연간시수표'!W28,$BB$9),COUNTIF('1.연간시수표'!W28,$BB$7)),$BB$6,IF(OR(COUNTIF('1.연간시수표'!W28,$BC$9),COUNTIF('1.연간시수표'!W28,$BC$7)),$BC$6,IF(OR(COUNTIF('1.연간시수표'!W28,$BF$9),COUNTIF('1.연간시수표'!W28,$BF$7),COUNTIF('1.연간시수표'!W28,$BG$9),COUNTIF('1.연간시수표'!W28,$BG$7),COUNTIF('1.연간시수표'!W28,$BH$9),COUNTIF('1.연간시수표'!W28,$BH$7),COUNTIF('1.연간시수표'!W28,$BI$9),COUNTIF('1.연간시수표'!W28,$BI$7),COUNTIF('1.연간시수표'!W28,$BJ$9),COUNTIF('1.연간시수표'!W28,$BJ$7),COUNTIF('1.연간시수표'!W28,$BK$9),COUNTIF('1.연간시수표'!W28,$BK$7),COUNTIF('1.연간시수표'!W28,$BL$9),COUNTIF('1.연간시수표'!W28,$BL$7),COUNTIF('1.연간시수표'!W28,$BM$9),COUNTIF('1.연간시수표'!W28,$BM$7)),$BF$6,IF(OR(COUNTIF('1.연간시수표'!W28,$BO$9),COUNTIF('1.연간시수표'!W28,$BO$7)),$BO$6,IF(OR(COUNTIF('1.연간시수표'!W28,$BP$9),COUNTIF('1.연간시수표'!W28,$BP$7)),$BP$6,IF(OR(COUNTIF('1.연간시수표'!W28,$BQ$9),COUNTIF('1.연간시수표'!W28,$BQ$7)),$BQ$6,IF(OR(COUNTIF('1.연간시수표'!W28,$BR$9),COUNTIF('1.연간시수표'!W28,$BR$7)),$BR$6,"_")))))))))))))))</f>
        <v>체육</v>
      </c>
      <c r="X28" s="148" t="str">
        <f>IF(OR(COUNTIF('1.연간시수표'!X28,$AT$9),COUNTIF('1.연간시수표'!X28,$AT$7)),$AT$6,IF(OR(COUNTIF('1.연간시수표'!X28,$AU$9),COUNTIF('1.연간시수표'!X28,$AU$7)),$AU$6,IF(OR(COUNTIF('1.연간시수표'!X28,$AV$9),COUNTIF('1.연간시수표'!X28,$AV$7)),$AV$6,IF(OR(COUNTIF('1.연간시수표'!X28,$AW$9),COUNTIF('1.연간시수표'!X28,$AW$7)),$AW$6,IF(OR(COUNTIF('1.연간시수표'!X28,$AX$9),COUNTIF('1.연간시수표'!X28,$AX$7)),$AX$6,IF(OR(COUNTIF('1.연간시수표'!X28,$AY$9),COUNTIF('1.연간시수표'!X28,$AY$7)),$AY$6,IF(OR(COUNTIF('1.연간시수표'!X28,$AZ$9),COUNTIF('1.연간시수표'!X28,$AZ$7)),$AZ$6,IF(OR(COUNTIF('1.연간시수표'!X28,$BA$9),COUNTIF('1.연간시수표'!X28,$BA$7)),$BA$6,IF(OR(COUNTIF('1.연간시수표'!X28,$BB$9),COUNTIF('1.연간시수표'!X28,$BB$7)),$BB$6,IF(OR(COUNTIF('1.연간시수표'!X28,$BC$9),COUNTIF('1.연간시수표'!X28,$BC$7)),$BC$6,IF(OR(COUNTIF('1.연간시수표'!X28,$BF$9),COUNTIF('1.연간시수표'!X28,$BF$7),COUNTIF('1.연간시수표'!X28,$BG$9),COUNTIF('1.연간시수표'!X28,$BG$7),COUNTIF('1.연간시수표'!X28,$BH$9),COUNTIF('1.연간시수표'!X28,$BH$7),COUNTIF('1.연간시수표'!X28,$BI$9),COUNTIF('1.연간시수표'!X28,$BI$7),COUNTIF('1.연간시수표'!X28,$BJ$9),COUNTIF('1.연간시수표'!X28,$BJ$7),COUNTIF('1.연간시수표'!X28,$BK$9),COUNTIF('1.연간시수표'!X28,$BK$7),COUNTIF('1.연간시수표'!X28,$BL$9),COUNTIF('1.연간시수표'!X28,$BL$7),COUNTIF('1.연간시수표'!X28,$BM$9),COUNTIF('1.연간시수표'!X28,$BM$7)),$BF$6,IF(OR(COUNTIF('1.연간시수표'!X28,$BO$9),COUNTIF('1.연간시수표'!X28,$BO$7)),$BO$6,IF(OR(COUNTIF('1.연간시수표'!X28,$BP$9),COUNTIF('1.연간시수표'!X28,$BP$7)),$BP$6,IF(OR(COUNTIF('1.연간시수표'!X28,$BQ$9),COUNTIF('1.연간시수표'!X28,$BQ$7)),$BQ$6,IF(OR(COUNTIF('1.연간시수표'!X28,$BR$9),COUNTIF('1.연간시수표'!X28,$BR$7)),$BR$6,"_")))))))))))))))</f>
        <v>체육</v>
      </c>
      <c r="Y28" s="148" t="str">
        <f>IF(OR(COUNTIF('1.연간시수표'!Y28,$AT$9),COUNTIF('1.연간시수표'!Y28,$AT$7)),$AT$6,IF(OR(COUNTIF('1.연간시수표'!Y28,$AU$9),COUNTIF('1.연간시수표'!Y28,$AU$7)),$AU$6,IF(OR(COUNTIF('1.연간시수표'!Y28,$AV$9),COUNTIF('1.연간시수표'!Y28,$AV$7)),$AV$6,IF(OR(COUNTIF('1.연간시수표'!Y28,$AW$9),COUNTIF('1.연간시수표'!Y28,$AW$7)),$AW$6,IF(OR(COUNTIF('1.연간시수표'!Y28,$AX$9),COUNTIF('1.연간시수표'!Y28,$AX$7)),$AX$6,IF(OR(COUNTIF('1.연간시수표'!Y28,$AY$9),COUNTIF('1.연간시수표'!Y28,$AY$7)),$AY$6,IF(OR(COUNTIF('1.연간시수표'!Y28,$AZ$9),COUNTIF('1.연간시수표'!Y28,$AZ$7)),$AZ$6,IF(OR(COUNTIF('1.연간시수표'!Y28,$BA$9),COUNTIF('1.연간시수표'!Y28,$BA$7)),$BA$6,IF(OR(COUNTIF('1.연간시수표'!Y28,$BB$9),COUNTIF('1.연간시수표'!Y28,$BB$7)),$BB$6,IF(OR(COUNTIF('1.연간시수표'!Y28,$BC$9),COUNTIF('1.연간시수표'!Y28,$BC$7)),$BC$6,IF(OR(COUNTIF('1.연간시수표'!Y28,$BF$9),COUNTIF('1.연간시수표'!Y28,$BF$7),COUNTIF('1.연간시수표'!Y28,$BG$9),COUNTIF('1.연간시수표'!Y28,$BG$7),COUNTIF('1.연간시수표'!Y28,$BH$9),COUNTIF('1.연간시수표'!Y28,$BH$7),COUNTIF('1.연간시수표'!Y28,$BI$9),COUNTIF('1.연간시수표'!Y28,$BI$7),COUNTIF('1.연간시수표'!Y28,$BJ$9),COUNTIF('1.연간시수표'!Y28,$BJ$7),COUNTIF('1.연간시수표'!Y28,$BK$9),COUNTIF('1.연간시수표'!Y28,$BK$7),COUNTIF('1.연간시수표'!Y28,$BL$9),COUNTIF('1.연간시수표'!Y28,$BL$7),COUNTIF('1.연간시수표'!Y28,$BM$9),COUNTIF('1.연간시수표'!Y28,$BM$7)),$BF$6,IF(OR(COUNTIF('1.연간시수표'!Y28,$BO$9),COUNTIF('1.연간시수표'!Y28,$BO$7)),$BO$6,IF(OR(COUNTIF('1.연간시수표'!Y28,$BP$9),COUNTIF('1.연간시수표'!Y28,$BP$7)),$BP$6,IF(OR(COUNTIF('1.연간시수표'!Y28,$BQ$9),COUNTIF('1.연간시수표'!Y28,$BQ$7)),$BQ$6,IF(OR(COUNTIF('1.연간시수표'!Y28,$BR$9),COUNTIF('1.연간시수표'!Y28,$BR$7)),$BR$6,"_")))))))))))))))</f>
        <v>음악</v>
      </c>
      <c r="Z28" s="148" t="str">
        <f>IF(OR(COUNTIF('1.연간시수표'!Z28,$AT$9),COUNTIF('1.연간시수표'!Z28,$AT$7)),$AT$6,IF(OR(COUNTIF('1.연간시수표'!Z28,$AU$9),COUNTIF('1.연간시수표'!Z28,$AU$7)),$AU$6,IF(OR(COUNTIF('1.연간시수표'!Z28,$AV$9),COUNTIF('1.연간시수표'!Z28,$AV$7)),$AV$6,IF(OR(COUNTIF('1.연간시수표'!Z28,$AW$9),COUNTIF('1.연간시수표'!Z28,$AW$7)),$AW$6,IF(OR(COUNTIF('1.연간시수표'!Z28,$AX$9),COUNTIF('1.연간시수표'!Z28,$AX$7)),$AX$6,IF(OR(COUNTIF('1.연간시수표'!Z28,$AY$9),COUNTIF('1.연간시수표'!Z28,$AY$7)),$AY$6,IF(OR(COUNTIF('1.연간시수표'!Z28,$AZ$9),COUNTIF('1.연간시수표'!Z28,$AZ$7)),$AZ$6,IF(OR(COUNTIF('1.연간시수표'!Z28,$BA$9),COUNTIF('1.연간시수표'!Z28,$BA$7)),$BA$6,IF(OR(COUNTIF('1.연간시수표'!Z28,$BB$9),COUNTIF('1.연간시수표'!Z28,$BB$7)),$BB$6,IF(OR(COUNTIF('1.연간시수표'!Z28,$BC$9),COUNTIF('1.연간시수표'!Z28,$BC$7)),$BC$6,IF(OR(COUNTIF('1.연간시수표'!Z28,$BF$9),COUNTIF('1.연간시수표'!Z28,$BF$7),COUNTIF('1.연간시수표'!Z28,$BG$9),COUNTIF('1.연간시수표'!Z28,$BG$7),COUNTIF('1.연간시수표'!Z28,$BH$9),COUNTIF('1.연간시수표'!Z28,$BH$7),COUNTIF('1.연간시수표'!Z28,$BI$9),COUNTIF('1.연간시수표'!Z28,$BI$7),COUNTIF('1.연간시수표'!Z28,$BJ$9),COUNTIF('1.연간시수표'!Z28,$BJ$7),COUNTIF('1.연간시수표'!Z28,$BK$9),COUNTIF('1.연간시수표'!Z28,$BK$7),COUNTIF('1.연간시수표'!Z28,$BL$9),COUNTIF('1.연간시수표'!Z28,$BL$7),COUNTIF('1.연간시수표'!Z28,$BM$9),COUNTIF('1.연간시수표'!Z28,$BM$7)),$BF$6,IF(OR(COUNTIF('1.연간시수표'!Z28,$BO$9),COUNTIF('1.연간시수표'!Z28,$BO$7)),$BO$6,IF(OR(COUNTIF('1.연간시수표'!Z28,$BP$9),COUNTIF('1.연간시수표'!Z28,$BP$7)),$BP$6,IF(OR(COUNTIF('1.연간시수표'!Z28,$BQ$9),COUNTIF('1.연간시수표'!Z28,$BQ$7)),$BQ$6,IF(OR(COUNTIF('1.연간시수표'!Z28,$BR$9),COUNTIF('1.연간시수표'!Z28,$BR$7)),$BR$6,"_")))))))))))))))</f>
        <v>_</v>
      </c>
      <c r="AA28" s="148" t="str">
        <f>IF(OR(COUNTIF('1.연간시수표'!AA28,$AT$9),COUNTIF('1.연간시수표'!AA28,$AT$7)),$AT$6,IF(OR(COUNTIF('1.연간시수표'!AA28,$AU$9),COUNTIF('1.연간시수표'!AA28,$AU$7)),$AU$6,IF(OR(COUNTIF('1.연간시수표'!AA28,$AV$9),COUNTIF('1.연간시수표'!AA28,$AV$7)),$AV$6,IF(OR(COUNTIF('1.연간시수표'!AA28,$AW$9),COUNTIF('1.연간시수표'!AA28,$AW$7)),$AW$6,IF(OR(COUNTIF('1.연간시수표'!AA28,$AX$9),COUNTIF('1.연간시수표'!AA28,$AX$7)),$AX$6,IF(OR(COUNTIF('1.연간시수표'!AA28,$AY$9),COUNTIF('1.연간시수표'!AA28,$AY$7)),$AY$6,IF(OR(COUNTIF('1.연간시수표'!AA28,$AZ$9),COUNTIF('1.연간시수표'!AA28,$AZ$7)),$AZ$6,IF(OR(COUNTIF('1.연간시수표'!AA28,$BA$9),COUNTIF('1.연간시수표'!AA28,$BA$7)),$BA$6,IF(OR(COUNTIF('1.연간시수표'!AA28,$BB$9),COUNTIF('1.연간시수표'!AA28,$BB$7)),$BB$6,IF(OR(COUNTIF('1.연간시수표'!AA28,$BC$9),COUNTIF('1.연간시수표'!AA28,$BC$7)),$BC$6,IF(OR(COUNTIF('1.연간시수표'!AA28,$BF$9),COUNTIF('1.연간시수표'!AA28,$BF$7),COUNTIF('1.연간시수표'!AA28,$BG$9),COUNTIF('1.연간시수표'!AA28,$BG$7),COUNTIF('1.연간시수표'!AA28,$BH$9),COUNTIF('1.연간시수표'!AA28,$BH$7),COUNTIF('1.연간시수표'!AA28,$BI$9),COUNTIF('1.연간시수표'!AA28,$BI$7),COUNTIF('1.연간시수표'!AA28,$BJ$9),COUNTIF('1.연간시수표'!AA28,$BJ$7),COUNTIF('1.연간시수표'!AA28,$BK$9),COUNTIF('1.연간시수표'!AA28,$BK$7),COUNTIF('1.연간시수표'!AA28,$BL$9),COUNTIF('1.연간시수표'!AA28,$BL$7),COUNTIF('1.연간시수표'!AA28,$BM$9),COUNTIF('1.연간시수표'!AA28,$BM$7)),$BF$6,IF(OR(COUNTIF('1.연간시수표'!AA28,$BO$9),COUNTIF('1.연간시수표'!AA28,$BO$7)),$BO$6,IF(OR(COUNTIF('1.연간시수표'!AA28,$BP$9),COUNTIF('1.연간시수표'!AA28,$BP$7)),$BP$6,IF(OR(COUNTIF('1.연간시수표'!AA28,$BQ$9),COUNTIF('1.연간시수표'!AA28,$BQ$7)),$BQ$6,IF(OR(COUNTIF('1.연간시수표'!AA28,$BR$9),COUNTIF('1.연간시수표'!AA28,$BR$7)),$BR$6,"_")))))))))))))))</f>
        <v>_</v>
      </c>
      <c r="AB28" s="148" t="str">
        <f>IF(OR(COUNTIF('1.연간시수표'!AB28,$AT$9),COUNTIF('1.연간시수표'!AB28,$AT$7)),$AT$6,IF(OR(COUNTIF('1.연간시수표'!AB28,$AU$9),COUNTIF('1.연간시수표'!AB28,$AU$7)),$AU$6,IF(OR(COUNTIF('1.연간시수표'!AB28,$AV$9),COUNTIF('1.연간시수표'!AB28,$AV$7)),$AV$6,IF(OR(COUNTIF('1.연간시수표'!AB28,$AW$9),COUNTIF('1.연간시수표'!AB28,$AW$7)),$AW$6,IF(OR(COUNTIF('1.연간시수표'!AB28,$AX$9),COUNTIF('1.연간시수표'!AB28,$AX$7)),$AX$6,IF(OR(COUNTIF('1.연간시수표'!AB28,$AY$9),COUNTIF('1.연간시수표'!AB28,$AY$7)),$AY$6,IF(OR(COUNTIF('1.연간시수표'!AB28,$AZ$9),COUNTIF('1.연간시수표'!AB28,$AZ$7)),$AZ$6,IF(OR(COUNTIF('1.연간시수표'!AB28,$BA$9),COUNTIF('1.연간시수표'!AB28,$BA$7)),$BA$6,IF(OR(COUNTIF('1.연간시수표'!AB28,$BB$9),COUNTIF('1.연간시수표'!AB28,$BB$7)),$BB$6,IF(OR(COUNTIF('1.연간시수표'!AB28,$BC$9),COUNTIF('1.연간시수표'!AB28,$BC$7)),$BC$6,IF(OR(COUNTIF('1.연간시수표'!AB28,$BF$9),COUNTIF('1.연간시수표'!AB28,$BF$7),COUNTIF('1.연간시수표'!AB28,$BG$9),COUNTIF('1.연간시수표'!AB28,$BG$7),COUNTIF('1.연간시수표'!AB28,$BH$9),COUNTIF('1.연간시수표'!AB28,$BH$7),COUNTIF('1.연간시수표'!AB28,$BI$9),COUNTIF('1.연간시수표'!AB28,$BI$7),COUNTIF('1.연간시수표'!AB28,$BJ$9),COUNTIF('1.연간시수표'!AB28,$BJ$7),COUNTIF('1.연간시수표'!AB28,$BK$9),COUNTIF('1.연간시수표'!AB28,$BK$7),COUNTIF('1.연간시수표'!AB28,$BL$9),COUNTIF('1.연간시수표'!AB28,$BL$7),COUNTIF('1.연간시수표'!AB28,$BM$9),COUNTIF('1.연간시수표'!AB28,$BM$7)),$BF$6,IF(OR(COUNTIF('1.연간시수표'!AB28,$BO$9),COUNTIF('1.연간시수표'!AB28,$BO$7)),$BO$6,IF(OR(COUNTIF('1.연간시수표'!AB28,$BP$9),COUNTIF('1.연간시수표'!AB28,$BP$7)),$BP$6,IF(OR(COUNTIF('1.연간시수표'!AB28,$BQ$9),COUNTIF('1.연간시수표'!AB28,$BQ$7)),$BQ$6,IF(OR(COUNTIF('1.연간시수표'!AB28,$BR$9),COUNTIF('1.연간시수표'!AB28,$BR$7)),$BR$6,"_")))))))))))))))</f>
        <v>_</v>
      </c>
      <c r="AC28" s="148" t="str">
        <f>IF(OR(COUNTIF('1.연간시수표'!AC28,$AT$9),COUNTIF('1.연간시수표'!AC28,$AT$7)),$AT$6,IF(OR(COUNTIF('1.연간시수표'!AC28,$AU$9),COUNTIF('1.연간시수표'!AC28,$AU$7)),$AU$6,IF(OR(COUNTIF('1.연간시수표'!AC28,$AV$9),COUNTIF('1.연간시수표'!AC28,$AV$7)),$AV$6,IF(OR(COUNTIF('1.연간시수표'!AC28,$AW$9),COUNTIF('1.연간시수표'!AC28,$AW$7)),$AW$6,IF(OR(COUNTIF('1.연간시수표'!AC28,$AX$9),COUNTIF('1.연간시수표'!AC28,$AX$7)),$AX$6,IF(OR(COUNTIF('1.연간시수표'!AC28,$AY$9),COUNTIF('1.연간시수표'!AC28,$AY$7)),$AY$6,IF(OR(COUNTIF('1.연간시수표'!AC28,$AZ$9),COUNTIF('1.연간시수표'!AC28,$AZ$7)),$AZ$6,IF(OR(COUNTIF('1.연간시수표'!AC28,$BA$9),COUNTIF('1.연간시수표'!AC28,$BA$7)),$BA$6,IF(OR(COUNTIF('1.연간시수표'!AC28,$BB$9),COUNTIF('1.연간시수표'!AC28,$BB$7)),$BB$6,IF(OR(COUNTIF('1.연간시수표'!AC28,$BC$9),COUNTIF('1.연간시수표'!AC28,$BC$7)),$BC$6,IF(OR(COUNTIF('1.연간시수표'!AC28,$BF$9),COUNTIF('1.연간시수표'!AC28,$BF$7),COUNTIF('1.연간시수표'!AC28,$BG$9),COUNTIF('1.연간시수표'!AC28,$BG$7),COUNTIF('1.연간시수표'!AC28,$BH$9),COUNTIF('1.연간시수표'!AC28,$BH$7),COUNTIF('1.연간시수표'!AC28,$BI$9),COUNTIF('1.연간시수표'!AC28,$BI$7),COUNTIF('1.연간시수표'!AC28,$BJ$9),COUNTIF('1.연간시수표'!AC28,$BJ$7),COUNTIF('1.연간시수표'!AC28,$BK$9),COUNTIF('1.연간시수표'!AC28,$BK$7),COUNTIF('1.연간시수표'!AC28,$BL$9),COUNTIF('1.연간시수표'!AC28,$BL$7),COUNTIF('1.연간시수표'!AC28,$BM$9),COUNTIF('1.연간시수표'!AC28,$BM$7)),$BF$6,IF(OR(COUNTIF('1.연간시수표'!AC28,$BO$9),COUNTIF('1.연간시수표'!AC28,$BO$7)),$BO$6,IF(OR(COUNTIF('1.연간시수표'!AC28,$BP$9),COUNTIF('1.연간시수표'!AC28,$BP$7)),$BP$6,IF(OR(COUNTIF('1.연간시수표'!AC28,$BQ$9),COUNTIF('1.연간시수표'!AC28,$BQ$7)),$BQ$6,IF(OR(COUNTIF('1.연간시수표'!AC28,$BR$9),COUNTIF('1.연간시수표'!AC28,$BR$7)),$BR$6,"_")))))))))))))))</f>
        <v>국어</v>
      </c>
      <c r="AD28" s="148" t="str">
        <f>IF(OR(COUNTIF('1.연간시수표'!AD28,$AT$9),COUNTIF('1.연간시수표'!AD28,$AT$7)),$AT$6,IF(OR(COUNTIF('1.연간시수표'!AD28,$AU$9),COUNTIF('1.연간시수표'!AD28,$AU$7)),$AU$6,IF(OR(COUNTIF('1.연간시수표'!AD28,$AV$9),COUNTIF('1.연간시수표'!AD28,$AV$7)),$AV$6,IF(OR(COUNTIF('1.연간시수표'!AD28,$AW$9),COUNTIF('1.연간시수표'!AD28,$AW$7)),$AW$6,IF(OR(COUNTIF('1.연간시수표'!AD28,$AX$9),COUNTIF('1.연간시수표'!AD28,$AX$7)),$AX$6,IF(OR(COUNTIF('1.연간시수표'!AD28,$AY$9),COUNTIF('1.연간시수표'!AD28,$AY$7)),$AY$6,IF(OR(COUNTIF('1.연간시수표'!AD28,$AZ$9),COUNTIF('1.연간시수표'!AD28,$AZ$7)),$AZ$6,IF(OR(COUNTIF('1.연간시수표'!AD28,$BA$9),COUNTIF('1.연간시수표'!AD28,$BA$7)),$BA$6,IF(OR(COUNTIF('1.연간시수표'!AD28,$BB$9),COUNTIF('1.연간시수표'!AD28,$BB$7)),$BB$6,IF(OR(COUNTIF('1.연간시수표'!AD28,$BC$9),COUNTIF('1.연간시수표'!AD28,$BC$7)),$BC$6,IF(OR(COUNTIF('1.연간시수표'!AD28,$BF$9),COUNTIF('1.연간시수표'!AD28,$BF$7),COUNTIF('1.연간시수표'!AD28,$BG$9),COUNTIF('1.연간시수표'!AD28,$BG$7),COUNTIF('1.연간시수표'!AD28,$BH$9),COUNTIF('1.연간시수표'!AD28,$BH$7),COUNTIF('1.연간시수표'!AD28,$BI$9),COUNTIF('1.연간시수표'!AD28,$BI$7),COUNTIF('1.연간시수표'!AD28,$BJ$9),COUNTIF('1.연간시수표'!AD28,$BJ$7),COUNTIF('1.연간시수표'!AD28,$BK$9),COUNTIF('1.연간시수표'!AD28,$BK$7),COUNTIF('1.연간시수표'!AD28,$BL$9),COUNTIF('1.연간시수표'!AD28,$BL$7),COUNTIF('1.연간시수표'!AD28,$BM$9),COUNTIF('1.연간시수표'!AD28,$BM$7)),$BF$6,IF(OR(COUNTIF('1.연간시수표'!AD28,$BO$9),COUNTIF('1.연간시수표'!AD28,$BO$7)),$BO$6,IF(OR(COUNTIF('1.연간시수표'!AD28,$BP$9),COUNTIF('1.연간시수표'!AD28,$BP$7)),$BP$6,IF(OR(COUNTIF('1.연간시수표'!AD28,$BQ$9),COUNTIF('1.연간시수표'!AD28,$BQ$7)),$BQ$6,IF(OR(COUNTIF('1.연간시수표'!AD28,$BR$9),COUNTIF('1.연간시수표'!AD28,$BR$7)),$BR$6,"_")))))))))))))))</f>
        <v>수학</v>
      </c>
      <c r="AE28" s="148" t="str">
        <f>IF(OR(COUNTIF('1.연간시수표'!AE28,$AT$9),COUNTIF('1.연간시수표'!AE28,$AT$7)),$AT$6,IF(OR(COUNTIF('1.연간시수표'!AE28,$AU$9),COUNTIF('1.연간시수표'!AE28,$AU$7)),$AU$6,IF(OR(COUNTIF('1.연간시수표'!AE28,$AV$9),COUNTIF('1.연간시수표'!AE28,$AV$7)),$AV$6,IF(OR(COUNTIF('1.연간시수표'!AE28,$AW$9),COUNTIF('1.연간시수표'!AE28,$AW$7)),$AW$6,IF(OR(COUNTIF('1.연간시수표'!AE28,$AX$9),COUNTIF('1.연간시수표'!AE28,$AX$7)),$AX$6,IF(OR(COUNTIF('1.연간시수표'!AE28,$AY$9),COUNTIF('1.연간시수표'!AE28,$AY$7)),$AY$6,IF(OR(COUNTIF('1.연간시수표'!AE28,$AZ$9),COUNTIF('1.연간시수표'!AE28,$AZ$7)),$AZ$6,IF(OR(COUNTIF('1.연간시수표'!AE28,$BA$9),COUNTIF('1.연간시수표'!AE28,$BA$7)),$BA$6,IF(OR(COUNTIF('1.연간시수표'!AE28,$BB$9),COUNTIF('1.연간시수표'!AE28,$BB$7)),$BB$6,IF(OR(COUNTIF('1.연간시수표'!AE28,$BC$9),COUNTIF('1.연간시수표'!AE28,$BC$7)),$BC$6,IF(OR(COUNTIF('1.연간시수표'!AE28,$BF$9),COUNTIF('1.연간시수표'!AE28,$BF$7),COUNTIF('1.연간시수표'!AE28,$BG$9),COUNTIF('1.연간시수표'!AE28,$BG$7),COUNTIF('1.연간시수표'!AE28,$BH$9),COUNTIF('1.연간시수표'!AE28,$BH$7),COUNTIF('1.연간시수표'!AE28,$BI$9),COUNTIF('1.연간시수표'!AE28,$BI$7),COUNTIF('1.연간시수표'!AE28,$BJ$9),COUNTIF('1.연간시수표'!AE28,$BJ$7),COUNTIF('1.연간시수표'!AE28,$BK$9),COUNTIF('1.연간시수표'!AE28,$BK$7),COUNTIF('1.연간시수표'!AE28,$BL$9),COUNTIF('1.연간시수표'!AE28,$BL$7),COUNTIF('1.연간시수표'!AE28,$BM$9),COUNTIF('1.연간시수표'!AE28,$BM$7)),$BF$6,IF(OR(COUNTIF('1.연간시수표'!AE28,$BO$9),COUNTIF('1.연간시수표'!AE28,$BO$7)),$BO$6,IF(OR(COUNTIF('1.연간시수표'!AE28,$BP$9),COUNTIF('1.연간시수표'!AE28,$BP$7)),$BP$6,IF(OR(COUNTIF('1.연간시수표'!AE28,$BQ$9),COUNTIF('1.연간시수표'!AE28,$BQ$7)),$BQ$6,IF(OR(COUNTIF('1.연간시수표'!AE28,$BR$9),COUNTIF('1.연간시수표'!AE28,$BR$7)),$BR$6,"_")))))))))))))))</f>
        <v>체육</v>
      </c>
      <c r="AF28" s="148" t="str">
        <f>IF(OR(COUNTIF('1.연간시수표'!AF28,$AT$9),COUNTIF('1.연간시수표'!AF28,$AT$7)),$AT$6,IF(OR(COUNTIF('1.연간시수표'!AF28,$AU$9),COUNTIF('1.연간시수표'!AF28,$AU$7)),$AU$6,IF(OR(COUNTIF('1.연간시수표'!AF28,$AV$9),COUNTIF('1.연간시수표'!AF28,$AV$7)),$AV$6,IF(OR(COUNTIF('1.연간시수표'!AF28,$AW$9),COUNTIF('1.연간시수표'!AF28,$AW$7)),$AW$6,IF(OR(COUNTIF('1.연간시수표'!AF28,$AX$9),COUNTIF('1.연간시수표'!AF28,$AX$7)),$AX$6,IF(OR(COUNTIF('1.연간시수표'!AF28,$AY$9),COUNTIF('1.연간시수표'!AF28,$AY$7)),$AY$6,IF(OR(COUNTIF('1.연간시수표'!AF28,$AZ$9),COUNTIF('1.연간시수표'!AF28,$AZ$7)),$AZ$6,IF(OR(COUNTIF('1.연간시수표'!AF28,$BA$9),COUNTIF('1.연간시수표'!AF28,$BA$7)),$BA$6,IF(OR(COUNTIF('1.연간시수표'!AF28,$BB$9),COUNTIF('1.연간시수표'!AF28,$BB$7)),$BB$6,IF(OR(COUNTIF('1.연간시수표'!AF28,$BC$9),COUNTIF('1.연간시수표'!AF28,$BC$7)),$BC$6,IF(OR(COUNTIF('1.연간시수표'!AF28,$BF$9),COUNTIF('1.연간시수표'!AF28,$BF$7),COUNTIF('1.연간시수표'!AF28,$BG$9),COUNTIF('1.연간시수표'!AF28,$BG$7),COUNTIF('1.연간시수표'!AF28,$BH$9),COUNTIF('1.연간시수표'!AF28,$BH$7),COUNTIF('1.연간시수표'!AF28,$BI$9),COUNTIF('1.연간시수표'!AF28,$BI$7),COUNTIF('1.연간시수표'!AF28,$BJ$9),COUNTIF('1.연간시수표'!AF28,$BJ$7),COUNTIF('1.연간시수표'!AF28,$BK$9),COUNTIF('1.연간시수표'!AF28,$BK$7),COUNTIF('1.연간시수표'!AF28,$BL$9),COUNTIF('1.연간시수표'!AF28,$BL$7),COUNTIF('1.연간시수표'!AF28,$BM$9),COUNTIF('1.연간시수표'!AF28,$BM$7)),$BF$6,IF(OR(COUNTIF('1.연간시수표'!AF28,$BO$9),COUNTIF('1.연간시수표'!AF28,$BO$7)),$BO$6,IF(OR(COUNTIF('1.연간시수표'!AF28,$BP$9),COUNTIF('1.연간시수표'!AF28,$BP$7)),$BP$6,IF(OR(COUNTIF('1.연간시수표'!AF28,$BQ$9),COUNTIF('1.연간시수표'!AF28,$BQ$7)),$BQ$6,IF(OR(COUNTIF('1.연간시수표'!AF28,$BR$9),COUNTIF('1.연간시수표'!AF28,$BR$7)),$BR$6,"_")))))))))))))))</f>
        <v>체육</v>
      </c>
      <c r="AG28" s="148" t="str">
        <f>IF(OR(COUNTIF('1.연간시수표'!AG28,$AT$9),COUNTIF('1.연간시수표'!AG28,$AT$7)),$AT$6,IF(OR(COUNTIF('1.연간시수표'!AG28,$AU$9),COUNTIF('1.연간시수표'!AG28,$AU$7)),$AU$6,IF(OR(COUNTIF('1.연간시수표'!AG28,$AV$9),COUNTIF('1.연간시수표'!AG28,$AV$7)),$AV$6,IF(OR(COUNTIF('1.연간시수표'!AG28,$AW$9),COUNTIF('1.연간시수표'!AG28,$AW$7)),$AW$6,IF(OR(COUNTIF('1.연간시수표'!AG28,$AX$9),COUNTIF('1.연간시수표'!AG28,$AX$7)),$AX$6,IF(OR(COUNTIF('1.연간시수표'!AG28,$AY$9),COUNTIF('1.연간시수표'!AG28,$AY$7)),$AY$6,IF(OR(COUNTIF('1.연간시수표'!AG28,$AZ$9),COUNTIF('1.연간시수표'!AG28,$AZ$7)),$AZ$6,IF(OR(COUNTIF('1.연간시수표'!AG28,$BA$9),COUNTIF('1.연간시수표'!AG28,$BA$7)),$BA$6,IF(OR(COUNTIF('1.연간시수표'!AG28,$BB$9),COUNTIF('1.연간시수표'!AG28,$BB$7)),$BB$6,IF(OR(COUNTIF('1.연간시수표'!AG28,$BC$9),COUNTIF('1.연간시수표'!AG28,$BC$7)),$BC$6,IF(OR(COUNTIF('1.연간시수표'!AG28,$BF$9),COUNTIF('1.연간시수표'!AG28,$BF$7),COUNTIF('1.연간시수표'!AG28,$BG$9),COUNTIF('1.연간시수표'!AG28,$BG$7),COUNTIF('1.연간시수표'!AG28,$BH$9),COUNTIF('1.연간시수표'!AG28,$BH$7),COUNTIF('1.연간시수표'!AG28,$BI$9),COUNTIF('1.연간시수표'!AG28,$BI$7),COUNTIF('1.연간시수표'!AG28,$BJ$9),COUNTIF('1.연간시수표'!AG28,$BJ$7),COUNTIF('1.연간시수표'!AG28,$BK$9),COUNTIF('1.연간시수표'!AG28,$BK$7),COUNTIF('1.연간시수표'!AG28,$BL$9),COUNTIF('1.연간시수표'!AG28,$BL$7),COUNTIF('1.연간시수표'!AG28,$BM$9),COUNTIF('1.연간시수표'!AG28,$BM$7)),$BF$6,IF(OR(COUNTIF('1.연간시수표'!AG28,$BO$9),COUNTIF('1.연간시수표'!AG28,$BO$7)),$BO$6,IF(OR(COUNTIF('1.연간시수표'!AG28,$BP$9),COUNTIF('1.연간시수표'!AG28,$BP$7)),$BP$6,IF(OR(COUNTIF('1.연간시수표'!AG28,$BQ$9),COUNTIF('1.연간시수표'!AG28,$BQ$7)),$BQ$6,IF(OR(COUNTIF('1.연간시수표'!AG28,$BR$9),COUNTIF('1.연간시수표'!AG28,$BR$7)),$BR$6,"_")))))))))))))))</f>
        <v>과학</v>
      </c>
      <c r="AH28" s="148" t="str">
        <f>IF(OR(COUNTIF('1.연간시수표'!AH28,$AT$9),COUNTIF('1.연간시수표'!AH28,$AT$7)),$AT$6,IF(OR(COUNTIF('1.연간시수표'!AH28,$AU$9),COUNTIF('1.연간시수표'!AH28,$AU$7)),$AU$6,IF(OR(COUNTIF('1.연간시수표'!AH28,$AV$9),COUNTIF('1.연간시수표'!AH28,$AV$7)),$AV$6,IF(OR(COUNTIF('1.연간시수표'!AH28,$AW$9),COUNTIF('1.연간시수표'!AH28,$AW$7)),$AW$6,IF(OR(COUNTIF('1.연간시수표'!AH28,$AX$9),COUNTIF('1.연간시수표'!AH28,$AX$7)),$AX$6,IF(OR(COUNTIF('1.연간시수표'!AH28,$AY$9),COUNTIF('1.연간시수표'!AH28,$AY$7)),$AY$6,IF(OR(COUNTIF('1.연간시수표'!AH28,$AZ$9),COUNTIF('1.연간시수표'!AH28,$AZ$7)),$AZ$6,IF(OR(COUNTIF('1.연간시수표'!AH28,$BA$9),COUNTIF('1.연간시수표'!AH28,$BA$7)),$BA$6,IF(OR(COUNTIF('1.연간시수표'!AH28,$BB$9),COUNTIF('1.연간시수표'!AH28,$BB$7)),$BB$6,IF(OR(COUNTIF('1.연간시수표'!AH28,$BC$9),COUNTIF('1.연간시수표'!AH28,$BC$7)),$BC$6,IF(OR(COUNTIF('1.연간시수표'!AH28,$BF$9),COUNTIF('1.연간시수표'!AH28,$BF$7),COUNTIF('1.연간시수표'!AH28,$BG$9),COUNTIF('1.연간시수표'!AH28,$BG$7),COUNTIF('1.연간시수표'!AH28,$BH$9),COUNTIF('1.연간시수표'!AH28,$BH$7),COUNTIF('1.연간시수표'!AH28,$BI$9),COUNTIF('1.연간시수표'!AH28,$BI$7),COUNTIF('1.연간시수표'!AH28,$BJ$9),COUNTIF('1.연간시수표'!AH28,$BJ$7),COUNTIF('1.연간시수표'!AH28,$BK$9),COUNTIF('1.연간시수표'!AH28,$BK$7),COUNTIF('1.연간시수표'!AH28,$BL$9),COUNTIF('1.연간시수표'!AH28,$BL$7),COUNTIF('1.연간시수표'!AH28,$BM$9),COUNTIF('1.연간시수표'!AH28,$BM$7)),$BF$6,IF(OR(COUNTIF('1.연간시수표'!AH28,$BO$9),COUNTIF('1.연간시수표'!AH28,$BO$7)),$BO$6,IF(OR(COUNTIF('1.연간시수표'!AH28,$BP$9),COUNTIF('1.연간시수표'!AH28,$BP$7)),$BP$6,IF(OR(COUNTIF('1.연간시수표'!AH28,$BQ$9),COUNTIF('1.연간시수표'!AH28,$BQ$7)),$BQ$6,IF(OR(COUNTIF('1.연간시수표'!AH28,$BR$9),COUNTIF('1.연간시수표'!AH28,$BR$7)),$BR$6,"_")))))))))))))))</f>
        <v>음악</v>
      </c>
      <c r="AI28" s="148" t="str">
        <f>IF(OR(COUNTIF('1.연간시수표'!AI28,$AT$9),COUNTIF('1.연간시수표'!AI28,$AT$7)),$AT$6,IF(OR(COUNTIF('1.연간시수표'!AI28,$AU$9),COUNTIF('1.연간시수표'!AI28,$AU$7)),$AU$6,IF(OR(COUNTIF('1.연간시수표'!AI28,$AV$9),COUNTIF('1.연간시수표'!AI28,$AV$7)),$AV$6,IF(OR(COUNTIF('1.연간시수표'!AI28,$AW$9),COUNTIF('1.연간시수표'!AI28,$AW$7)),$AW$6,IF(OR(COUNTIF('1.연간시수표'!AI28,$AX$9),COUNTIF('1.연간시수표'!AI28,$AX$7)),$AX$6,IF(OR(COUNTIF('1.연간시수표'!AI28,$AY$9),COUNTIF('1.연간시수표'!AI28,$AY$7)),$AY$6,IF(OR(COUNTIF('1.연간시수표'!AI28,$AZ$9),COUNTIF('1.연간시수표'!AI28,$AZ$7)),$AZ$6,IF(OR(COUNTIF('1.연간시수표'!AI28,$BA$9),COUNTIF('1.연간시수표'!AI28,$BA$7)),$BA$6,IF(OR(COUNTIF('1.연간시수표'!AI28,$BB$9),COUNTIF('1.연간시수표'!AI28,$BB$7)),$BB$6,IF(OR(COUNTIF('1.연간시수표'!AI28,$BC$9),COUNTIF('1.연간시수표'!AI28,$BC$7)),$BC$6,IF(OR(COUNTIF('1.연간시수표'!AI28,$BF$9),COUNTIF('1.연간시수표'!AI28,$BF$7),COUNTIF('1.연간시수표'!AI28,$BG$9),COUNTIF('1.연간시수표'!AI28,$BG$7),COUNTIF('1.연간시수표'!AI28,$BH$9),COUNTIF('1.연간시수표'!AI28,$BH$7),COUNTIF('1.연간시수표'!AI28,$BI$9),COUNTIF('1.연간시수표'!AI28,$BI$7),COUNTIF('1.연간시수표'!AI28,$BJ$9),COUNTIF('1.연간시수표'!AI28,$BJ$7),COUNTIF('1.연간시수표'!AI28,$BK$9),COUNTIF('1.연간시수표'!AI28,$BK$7),COUNTIF('1.연간시수표'!AI28,$BL$9),COUNTIF('1.연간시수표'!AI28,$BL$7),COUNTIF('1.연간시수표'!AI28,$BM$9),COUNTIF('1.연간시수표'!AI28,$BM$7)),$BF$6,IF(OR(COUNTIF('1.연간시수표'!AI28,$BO$9),COUNTIF('1.연간시수표'!AI28,$BO$7)),$BO$6,IF(OR(COUNTIF('1.연간시수표'!AI28,$BP$9),COUNTIF('1.연간시수표'!AI28,$BP$7)),$BP$6,IF(OR(COUNTIF('1.연간시수표'!AI28,$BQ$9),COUNTIF('1.연간시수표'!AI28,$BQ$7)),$BQ$6,IF(OR(COUNTIF('1.연간시수표'!AI28,$BR$9),COUNTIF('1.연간시수표'!AI28,$BR$7)),$BR$6,"_")))))))))))))))</f>
        <v>_</v>
      </c>
      <c r="AJ28" s="148" t="str">
        <f>IF(OR(COUNTIF('1.연간시수표'!AJ28,$AT$9),COUNTIF('1.연간시수표'!AJ28,$AT$7)),$AT$6,IF(OR(COUNTIF('1.연간시수표'!AJ28,$AU$9),COUNTIF('1.연간시수표'!AJ28,$AU$7)),$AU$6,IF(OR(COUNTIF('1.연간시수표'!AJ28,$AV$9),COUNTIF('1.연간시수표'!AJ28,$AV$7)),$AV$6,IF(OR(COUNTIF('1.연간시수표'!AJ28,$AW$9),COUNTIF('1.연간시수표'!AJ28,$AW$7)),$AW$6,IF(OR(COUNTIF('1.연간시수표'!AJ28,$AX$9),COUNTIF('1.연간시수표'!AJ28,$AX$7)),$AX$6,IF(OR(COUNTIF('1.연간시수표'!AJ28,$AY$9),COUNTIF('1.연간시수표'!AJ28,$AY$7)),$AY$6,IF(OR(COUNTIF('1.연간시수표'!AJ28,$AZ$9),COUNTIF('1.연간시수표'!AJ28,$AZ$7)),$AZ$6,IF(OR(COUNTIF('1.연간시수표'!AJ28,$BA$9),COUNTIF('1.연간시수표'!AJ28,$BA$7)),$BA$6,IF(OR(COUNTIF('1.연간시수표'!AJ28,$BB$9),COUNTIF('1.연간시수표'!AJ28,$BB$7)),$BB$6,IF(OR(COUNTIF('1.연간시수표'!AJ28,$BC$9),COUNTIF('1.연간시수표'!AJ28,$BC$7)),$BC$6,IF(OR(COUNTIF('1.연간시수표'!AJ28,$BF$9),COUNTIF('1.연간시수표'!AJ28,$BF$7),COUNTIF('1.연간시수표'!AJ28,$BG$9),COUNTIF('1.연간시수표'!AJ28,$BG$7),COUNTIF('1.연간시수표'!AJ28,$BH$9),COUNTIF('1.연간시수표'!AJ28,$BH$7),COUNTIF('1.연간시수표'!AJ28,$BI$9),COUNTIF('1.연간시수표'!AJ28,$BI$7),COUNTIF('1.연간시수표'!AJ28,$BJ$9),COUNTIF('1.연간시수표'!AJ28,$BJ$7),COUNTIF('1.연간시수표'!AJ28,$BK$9),COUNTIF('1.연간시수표'!AJ28,$BK$7),COUNTIF('1.연간시수표'!AJ28,$BL$9),COUNTIF('1.연간시수표'!AJ28,$BL$7),COUNTIF('1.연간시수표'!AJ28,$BM$9),COUNTIF('1.연간시수표'!AJ28,$BM$7)),$BF$6,IF(OR(COUNTIF('1.연간시수표'!AJ28,$BO$9),COUNTIF('1.연간시수표'!AJ28,$BO$7)),$BO$6,IF(OR(COUNTIF('1.연간시수표'!AJ28,$BP$9),COUNTIF('1.연간시수표'!AJ28,$BP$7)),$BP$6,IF(OR(COUNTIF('1.연간시수표'!AJ28,$BQ$9),COUNTIF('1.연간시수표'!AJ28,$BQ$7)),$BQ$6,IF(OR(COUNTIF('1.연간시수표'!AJ28,$BR$9),COUNTIF('1.연간시수표'!AJ28,$BR$7)),$BR$6,"_")))))))))))))))</f>
        <v>_</v>
      </c>
      <c r="AK28" s="148" t="str">
        <f>IF(OR(COUNTIF('1.연간시수표'!AK28,$AT$9),COUNTIF('1.연간시수표'!AK28,$AT$7)),$AT$6,IF(OR(COUNTIF('1.연간시수표'!AK28,$AU$9),COUNTIF('1.연간시수표'!AK28,$AU$7)),$AU$6,IF(OR(COUNTIF('1.연간시수표'!AK28,$AV$9),COUNTIF('1.연간시수표'!AK28,$AV$7)),$AV$6,IF(OR(COUNTIF('1.연간시수표'!AK28,$AW$9),COUNTIF('1.연간시수표'!AK28,$AW$7)),$AW$6,IF(OR(COUNTIF('1.연간시수표'!AK28,$AX$9),COUNTIF('1.연간시수표'!AK28,$AX$7)),$AX$6,IF(OR(COUNTIF('1.연간시수표'!AK28,$AY$9),COUNTIF('1.연간시수표'!AK28,$AY$7)),$AY$6,IF(OR(COUNTIF('1.연간시수표'!AK28,$AZ$9),COUNTIF('1.연간시수표'!AK28,$AZ$7)),$AZ$6,IF(OR(COUNTIF('1.연간시수표'!AK28,$BA$9),COUNTIF('1.연간시수표'!AK28,$BA$7)),$BA$6,IF(OR(COUNTIF('1.연간시수표'!AK28,$BB$9),COUNTIF('1.연간시수표'!AK28,$BB$7)),$BB$6,IF(OR(COUNTIF('1.연간시수표'!AK28,$BC$9),COUNTIF('1.연간시수표'!AK28,$BC$7)),$BC$6,IF(OR(COUNTIF('1.연간시수표'!AK28,$BF$9),COUNTIF('1.연간시수표'!AK28,$BF$7),COUNTIF('1.연간시수표'!AK28,$BG$9),COUNTIF('1.연간시수표'!AK28,$BG$7),COUNTIF('1.연간시수표'!AK28,$BH$9),COUNTIF('1.연간시수표'!AK28,$BH$7),COUNTIF('1.연간시수표'!AK28,$BI$9),COUNTIF('1.연간시수표'!AK28,$BI$7),COUNTIF('1.연간시수표'!AK28,$BJ$9),COUNTIF('1.연간시수표'!AK28,$BJ$7),COUNTIF('1.연간시수표'!AK28,$BK$9),COUNTIF('1.연간시수표'!AK28,$BK$7),COUNTIF('1.연간시수표'!AK28,$BL$9),COUNTIF('1.연간시수표'!AK28,$BL$7),COUNTIF('1.연간시수표'!AK28,$BM$9),COUNTIF('1.연간시수표'!AK28,$BM$7)),$BF$6,IF(OR(COUNTIF('1.연간시수표'!AK28,$BO$9),COUNTIF('1.연간시수표'!AK28,$BO$7)),$BO$6,IF(OR(COUNTIF('1.연간시수표'!AK28,$BP$9),COUNTIF('1.연간시수표'!AK28,$BP$7)),$BP$6,IF(OR(COUNTIF('1.연간시수표'!AK28,$BQ$9),COUNTIF('1.연간시수표'!AK28,$BQ$7)),$BQ$6,IF(OR(COUNTIF('1.연간시수표'!AK28,$BR$9),COUNTIF('1.연간시수표'!AK28,$BR$7)),$BR$6,"_")))))))))))))))</f>
        <v>자율활동</v>
      </c>
      <c r="AL28" s="148" t="str">
        <f>IF(OR(COUNTIF('1.연간시수표'!AL28,$AT$9),COUNTIF('1.연간시수표'!AL28,$AT$7)),$AT$6,IF(OR(COUNTIF('1.연간시수표'!AL28,$AU$9),COUNTIF('1.연간시수표'!AL28,$AU$7)),$AU$6,IF(OR(COUNTIF('1.연간시수표'!AL28,$AV$9),COUNTIF('1.연간시수표'!AL28,$AV$7)),$AV$6,IF(OR(COUNTIF('1.연간시수표'!AL28,$AW$9),COUNTIF('1.연간시수표'!AL28,$AW$7)),$AW$6,IF(OR(COUNTIF('1.연간시수표'!AL28,$AX$9),COUNTIF('1.연간시수표'!AL28,$AX$7)),$AX$6,IF(OR(COUNTIF('1.연간시수표'!AL28,$AY$9),COUNTIF('1.연간시수표'!AL28,$AY$7)),$AY$6,IF(OR(COUNTIF('1.연간시수표'!AL28,$AZ$9),COUNTIF('1.연간시수표'!AL28,$AZ$7)),$AZ$6,IF(OR(COUNTIF('1.연간시수표'!AL28,$BA$9),COUNTIF('1.연간시수표'!AL28,$BA$7)),$BA$6,IF(OR(COUNTIF('1.연간시수표'!AL28,$BB$9),COUNTIF('1.연간시수표'!AL28,$BB$7)),$BB$6,IF(OR(COUNTIF('1.연간시수표'!AL28,$BC$9),COUNTIF('1.연간시수표'!AL28,$BC$7)),$BC$6,IF(OR(COUNTIF('1.연간시수표'!AL28,$BF$9),COUNTIF('1.연간시수표'!AL28,$BF$7),COUNTIF('1.연간시수표'!AL28,$BG$9),COUNTIF('1.연간시수표'!AL28,$BG$7),COUNTIF('1.연간시수표'!AL28,$BH$9),COUNTIF('1.연간시수표'!AL28,$BH$7),COUNTIF('1.연간시수표'!AL28,$BI$9),COUNTIF('1.연간시수표'!AL28,$BI$7),COUNTIF('1.연간시수표'!AL28,$BJ$9),COUNTIF('1.연간시수표'!AL28,$BJ$7),COUNTIF('1.연간시수표'!AL28,$BK$9),COUNTIF('1.연간시수표'!AL28,$BK$7),COUNTIF('1.연간시수표'!AL28,$BL$9),COUNTIF('1.연간시수표'!AL28,$BL$7),COUNTIF('1.연간시수표'!AL28,$BM$9),COUNTIF('1.연간시수표'!AL28,$BM$7)),$BF$6,IF(OR(COUNTIF('1.연간시수표'!AL28,$BO$9),COUNTIF('1.연간시수표'!AL28,$BO$7)),$BO$6,IF(OR(COUNTIF('1.연간시수표'!AL28,$BP$9),COUNTIF('1.연간시수표'!AL28,$BP$7)),$BP$6,IF(OR(COUNTIF('1.연간시수표'!AL28,$BQ$9),COUNTIF('1.연간시수표'!AL28,$BQ$7)),$BQ$6,IF(OR(COUNTIF('1.연간시수표'!AL28,$BR$9),COUNTIF('1.연간시수표'!AL28,$BR$7)),$BR$6,"_")))))))))))))))</f>
        <v>체육</v>
      </c>
      <c r="AM28" s="148" t="str">
        <f>IF(OR(COUNTIF('1.연간시수표'!AM28,$AT$9),COUNTIF('1.연간시수표'!AM28,$AT$7)),$AT$6,IF(OR(COUNTIF('1.연간시수표'!AM28,$AU$9),COUNTIF('1.연간시수표'!AM28,$AU$7)),$AU$6,IF(OR(COUNTIF('1.연간시수표'!AM28,$AV$9),COUNTIF('1.연간시수표'!AM28,$AV$7)),$AV$6,IF(OR(COUNTIF('1.연간시수표'!AM28,$AW$9),COUNTIF('1.연간시수표'!AM28,$AW$7)),$AW$6,IF(OR(COUNTIF('1.연간시수표'!AM28,$AX$9),COUNTIF('1.연간시수표'!AM28,$AX$7)),$AX$6,IF(OR(COUNTIF('1.연간시수표'!AM28,$AY$9),COUNTIF('1.연간시수표'!AM28,$AY$7)),$AY$6,IF(OR(COUNTIF('1.연간시수표'!AM28,$AZ$9),COUNTIF('1.연간시수표'!AM28,$AZ$7)),$AZ$6,IF(OR(COUNTIF('1.연간시수표'!AM28,$BA$9),COUNTIF('1.연간시수표'!AM28,$BA$7)),$BA$6,IF(OR(COUNTIF('1.연간시수표'!AM28,$BB$9),COUNTIF('1.연간시수표'!AM28,$BB$7)),$BB$6,IF(OR(COUNTIF('1.연간시수표'!AM28,$BC$9),COUNTIF('1.연간시수표'!AM28,$BC$7)),$BC$6,IF(OR(COUNTIF('1.연간시수표'!AM28,$BF$9),COUNTIF('1.연간시수표'!AM28,$BF$7),COUNTIF('1.연간시수표'!AM28,$BG$9),COUNTIF('1.연간시수표'!AM28,$BG$7),COUNTIF('1.연간시수표'!AM28,$BH$9),COUNTIF('1.연간시수표'!AM28,$BH$7),COUNTIF('1.연간시수표'!AM28,$BI$9),COUNTIF('1.연간시수표'!AM28,$BI$7),COUNTIF('1.연간시수표'!AM28,$BJ$9),COUNTIF('1.연간시수표'!AM28,$BJ$7),COUNTIF('1.연간시수표'!AM28,$BK$9),COUNTIF('1.연간시수표'!AM28,$BK$7),COUNTIF('1.연간시수표'!AM28,$BL$9),COUNTIF('1.연간시수표'!AM28,$BL$7),COUNTIF('1.연간시수표'!AM28,$BM$9),COUNTIF('1.연간시수표'!AM28,$BM$7)),$BF$6,IF(OR(COUNTIF('1.연간시수표'!AM28,$BO$9),COUNTIF('1.연간시수표'!AM28,$BO$7)),$BO$6,IF(OR(COUNTIF('1.연간시수표'!AM28,$BP$9),COUNTIF('1.연간시수표'!AM28,$BP$7)),$BP$6,IF(OR(COUNTIF('1.연간시수표'!AM28,$BQ$9),COUNTIF('1.연간시수표'!AM28,$BQ$7)),$BQ$6,IF(OR(COUNTIF('1.연간시수표'!AM28,$BR$9),COUNTIF('1.연간시수표'!AM28,$BR$7)),$BR$6,"_")))))))))))))))</f>
        <v>체육</v>
      </c>
      <c r="AN28" s="148" t="str">
        <f>IF(OR(COUNTIF('1.연간시수표'!AN28,$AT$9),COUNTIF('1.연간시수표'!AN28,$AT$7)),$AT$6,IF(OR(COUNTIF('1.연간시수표'!AN28,$AU$9),COUNTIF('1.연간시수표'!AN28,$AU$7)),$AU$6,IF(OR(COUNTIF('1.연간시수표'!AN28,$AV$9),COUNTIF('1.연간시수표'!AN28,$AV$7)),$AV$6,IF(OR(COUNTIF('1.연간시수표'!AN28,$AW$9),COUNTIF('1.연간시수표'!AN28,$AW$7)),$AW$6,IF(OR(COUNTIF('1.연간시수표'!AN28,$AX$9),COUNTIF('1.연간시수표'!AN28,$AX$7)),$AX$6,IF(OR(COUNTIF('1.연간시수표'!AN28,$AY$9),COUNTIF('1.연간시수표'!AN28,$AY$7)),$AY$6,IF(OR(COUNTIF('1.연간시수표'!AN28,$AZ$9),COUNTIF('1.연간시수표'!AN28,$AZ$7)),$AZ$6,IF(OR(COUNTIF('1.연간시수표'!AN28,$BA$9),COUNTIF('1.연간시수표'!AN28,$BA$7)),$BA$6,IF(OR(COUNTIF('1.연간시수표'!AN28,$BB$9),COUNTIF('1.연간시수표'!AN28,$BB$7)),$BB$6,IF(OR(COUNTIF('1.연간시수표'!AN28,$BC$9),COUNTIF('1.연간시수표'!AN28,$BC$7)),$BC$6,IF(OR(COUNTIF('1.연간시수표'!AN28,$BF$9),COUNTIF('1.연간시수표'!AN28,$BF$7),COUNTIF('1.연간시수표'!AN28,$BG$9),COUNTIF('1.연간시수표'!AN28,$BG$7),COUNTIF('1.연간시수표'!AN28,$BH$9),COUNTIF('1.연간시수표'!AN28,$BH$7),COUNTIF('1.연간시수표'!AN28,$BI$9),COUNTIF('1.연간시수표'!AN28,$BI$7),COUNTIF('1.연간시수표'!AN28,$BJ$9),COUNTIF('1.연간시수표'!AN28,$BJ$7),COUNTIF('1.연간시수표'!AN28,$BK$9),COUNTIF('1.연간시수표'!AN28,$BK$7),COUNTIF('1.연간시수표'!AN28,$BL$9),COUNTIF('1.연간시수표'!AN28,$BL$7),COUNTIF('1.연간시수표'!AN28,$BM$9),COUNTIF('1.연간시수표'!AN28,$BM$7)),$BF$6,IF(OR(COUNTIF('1.연간시수표'!AN28,$BO$9),COUNTIF('1.연간시수표'!AN28,$BO$7)),$BO$6,IF(OR(COUNTIF('1.연간시수표'!AN28,$BP$9),COUNTIF('1.연간시수표'!AN28,$BP$7)),$BP$6,IF(OR(COUNTIF('1.연간시수표'!AN28,$BQ$9),COUNTIF('1.연간시수표'!AN28,$BQ$7)),$BQ$6,IF(OR(COUNTIF('1.연간시수표'!AN28,$BR$9),COUNTIF('1.연간시수표'!AN28,$BR$7)),$BR$6,"_")))))))))))))))</f>
        <v>국어</v>
      </c>
      <c r="AO28" s="148" t="str">
        <f>IF(OR(COUNTIF('1.연간시수표'!AO28,$AT$9),COUNTIF('1.연간시수표'!AO28,$AT$7)),$AT$6,IF(OR(COUNTIF('1.연간시수표'!AO28,$AU$9),COUNTIF('1.연간시수표'!AO28,$AU$7)),$AU$6,IF(OR(COUNTIF('1.연간시수표'!AO28,$AV$9),COUNTIF('1.연간시수표'!AO28,$AV$7)),$AV$6,IF(OR(COUNTIF('1.연간시수표'!AO28,$AW$9),COUNTIF('1.연간시수표'!AO28,$AW$7)),$AW$6,IF(OR(COUNTIF('1.연간시수표'!AO28,$AX$9),COUNTIF('1.연간시수표'!AO28,$AX$7)),$AX$6,IF(OR(COUNTIF('1.연간시수표'!AO28,$AY$9),COUNTIF('1.연간시수표'!AO28,$AY$7)),$AY$6,IF(OR(COUNTIF('1.연간시수표'!AO28,$AZ$9),COUNTIF('1.연간시수표'!AO28,$AZ$7)),$AZ$6,IF(OR(COUNTIF('1.연간시수표'!AO28,$BA$9),COUNTIF('1.연간시수표'!AO28,$BA$7)),$BA$6,IF(OR(COUNTIF('1.연간시수표'!AO28,$BB$9),COUNTIF('1.연간시수표'!AO28,$BB$7)),$BB$6,IF(OR(COUNTIF('1.연간시수표'!AO28,$BC$9),COUNTIF('1.연간시수표'!AO28,$BC$7)),$BC$6,IF(OR(COUNTIF('1.연간시수표'!AO28,$BF$9),COUNTIF('1.연간시수표'!AO28,$BF$7),COUNTIF('1.연간시수표'!AO28,$BG$9),COUNTIF('1.연간시수표'!AO28,$BG$7),COUNTIF('1.연간시수표'!AO28,$BH$9),COUNTIF('1.연간시수표'!AO28,$BH$7),COUNTIF('1.연간시수표'!AO28,$BI$9),COUNTIF('1.연간시수표'!AO28,$BI$7),COUNTIF('1.연간시수표'!AO28,$BJ$9),COUNTIF('1.연간시수표'!AO28,$BJ$7),COUNTIF('1.연간시수표'!AO28,$BK$9),COUNTIF('1.연간시수표'!AO28,$BK$7),COUNTIF('1.연간시수표'!AO28,$BL$9),COUNTIF('1.연간시수표'!AO28,$BL$7),COUNTIF('1.연간시수표'!AO28,$BM$9),COUNTIF('1.연간시수표'!AO28,$BM$7)),$BF$6,IF(OR(COUNTIF('1.연간시수표'!AO28,$BO$9),COUNTIF('1.연간시수표'!AO28,$BO$7)),$BO$6,IF(OR(COUNTIF('1.연간시수표'!AO28,$BP$9),COUNTIF('1.연간시수표'!AO28,$BP$7)),$BP$6,IF(OR(COUNTIF('1.연간시수표'!AO28,$BQ$9),COUNTIF('1.연간시수표'!AO28,$BQ$7)),$BQ$6,IF(OR(COUNTIF('1.연간시수표'!AO28,$BR$9),COUNTIF('1.연간시수표'!AO28,$BR$7)),$BR$6,"_")))))))))))))))</f>
        <v>사회</v>
      </c>
      <c r="AP28" s="148" t="str">
        <f>IF(OR(COUNTIF('1.연간시수표'!AP28,$AT$9),COUNTIF('1.연간시수표'!AP28,$AT$7)),$AT$6,IF(OR(COUNTIF('1.연간시수표'!AP28,$AU$9),COUNTIF('1.연간시수표'!AP28,$AU$7)),$AU$6,IF(OR(COUNTIF('1.연간시수표'!AP28,$AV$9),COUNTIF('1.연간시수표'!AP28,$AV$7)),$AV$6,IF(OR(COUNTIF('1.연간시수표'!AP28,$AW$9),COUNTIF('1.연간시수표'!AP28,$AW$7)),$AW$6,IF(OR(COUNTIF('1.연간시수표'!AP28,$AX$9),COUNTIF('1.연간시수표'!AP28,$AX$7)),$AX$6,IF(OR(COUNTIF('1.연간시수표'!AP28,$AY$9),COUNTIF('1.연간시수표'!AP28,$AY$7)),$AY$6,IF(OR(COUNTIF('1.연간시수표'!AP28,$AZ$9),COUNTIF('1.연간시수표'!AP28,$AZ$7)),$AZ$6,IF(OR(COUNTIF('1.연간시수표'!AP28,$BA$9),COUNTIF('1.연간시수표'!AP28,$BA$7)),$BA$6,IF(OR(COUNTIF('1.연간시수표'!AP28,$BB$9),COUNTIF('1.연간시수표'!AP28,$BB$7)),$BB$6,IF(OR(COUNTIF('1.연간시수표'!AP28,$BC$9),COUNTIF('1.연간시수표'!AP28,$BC$7)),$BC$6,IF(OR(COUNTIF('1.연간시수표'!AP28,$BF$9),COUNTIF('1.연간시수표'!AP28,$BF$7),COUNTIF('1.연간시수표'!AP28,$BG$9),COUNTIF('1.연간시수표'!AP28,$BG$7),COUNTIF('1.연간시수표'!AP28,$BH$9),COUNTIF('1.연간시수표'!AP28,$BH$7),COUNTIF('1.연간시수표'!AP28,$BI$9),COUNTIF('1.연간시수표'!AP28,$BI$7),COUNTIF('1.연간시수표'!AP28,$BJ$9),COUNTIF('1.연간시수표'!AP28,$BJ$7),COUNTIF('1.연간시수표'!AP28,$BK$9),COUNTIF('1.연간시수표'!AP28,$BK$7),COUNTIF('1.연간시수표'!AP28,$BL$9),COUNTIF('1.연간시수표'!AP28,$BL$7),COUNTIF('1.연간시수표'!AP28,$BM$9),COUNTIF('1.연간시수표'!AP28,$BM$7)),$BF$6,IF(OR(COUNTIF('1.연간시수표'!AP28,$BO$9),COUNTIF('1.연간시수표'!AP28,$BO$7)),$BO$6,IF(OR(COUNTIF('1.연간시수표'!AP28,$BP$9),COUNTIF('1.연간시수표'!AP28,$BP$7)),$BP$6,IF(OR(COUNTIF('1.연간시수표'!AP28,$BQ$9),COUNTIF('1.연간시수표'!AP28,$BQ$7)),$BQ$6,IF(OR(COUNTIF('1.연간시수표'!AP28,$BR$9),COUNTIF('1.연간시수표'!AP28,$BR$7)),$BR$6,"_")))))))))))))))</f>
        <v>실과</v>
      </c>
      <c r="AQ28" s="148" t="str">
        <f>IF(OR(COUNTIF('1.연간시수표'!AQ28,$AT$9),COUNTIF('1.연간시수표'!AQ28,$AT$7)),$AT$6,IF(OR(COUNTIF('1.연간시수표'!AQ28,$AU$9),COUNTIF('1.연간시수표'!AQ28,$AU$7)),$AU$6,IF(OR(COUNTIF('1.연간시수표'!AQ28,$AV$9),COUNTIF('1.연간시수표'!AQ28,$AV$7)),$AV$6,IF(OR(COUNTIF('1.연간시수표'!AQ28,$AW$9),COUNTIF('1.연간시수표'!AQ28,$AW$7)),$AW$6,IF(OR(COUNTIF('1.연간시수표'!AQ28,$AX$9),COUNTIF('1.연간시수표'!AQ28,$AX$7)),$AX$6,IF(OR(COUNTIF('1.연간시수표'!AQ28,$AY$9),COUNTIF('1.연간시수표'!AQ28,$AY$7)),$AY$6,IF(OR(COUNTIF('1.연간시수표'!AQ28,$AZ$9),COUNTIF('1.연간시수표'!AQ28,$AZ$7)),$AZ$6,IF(OR(COUNTIF('1.연간시수표'!AQ28,$BA$9),COUNTIF('1.연간시수표'!AQ28,$BA$7)),$BA$6,IF(OR(COUNTIF('1.연간시수표'!AQ28,$BB$9),COUNTIF('1.연간시수표'!AQ28,$BB$7)),$BB$6,IF(OR(COUNTIF('1.연간시수표'!AQ28,$BC$9),COUNTIF('1.연간시수표'!AQ28,$BC$7)),$BC$6,IF(OR(COUNTIF('1.연간시수표'!AQ28,$BF$9),COUNTIF('1.연간시수표'!AQ28,$BF$7),COUNTIF('1.연간시수표'!AQ28,$BG$9),COUNTIF('1.연간시수표'!AQ28,$BG$7),COUNTIF('1.연간시수표'!AQ28,$BH$9),COUNTIF('1.연간시수표'!AQ28,$BH$7),COUNTIF('1.연간시수표'!AQ28,$BI$9),COUNTIF('1.연간시수표'!AQ28,$BI$7),COUNTIF('1.연간시수표'!AQ28,$BJ$9),COUNTIF('1.연간시수표'!AQ28,$BJ$7),COUNTIF('1.연간시수표'!AQ28,$BK$9),COUNTIF('1.연간시수표'!AQ28,$BK$7),COUNTIF('1.연간시수표'!AQ28,$BL$9),COUNTIF('1.연간시수표'!AQ28,$BL$7),COUNTIF('1.연간시수표'!AQ28,$BM$9),COUNTIF('1.연간시수표'!AQ28,$BM$7)),$BF$6,IF(OR(COUNTIF('1.연간시수표'!AQ28,$BO$9),COUNTIF('1.연간시수표'!AQ28,$BO$7)),$BO$6,IF(OR(COUNTIF('1.연간시수표'!AQ28,$BP$9),COUNTIF('1.연간시수표'!AQ28,$BP$7)),$BP$6,IF(OR(COUNTIF('1.연간시수표'!AQ28,$BQ$9),COUNTIF('1.연간시수표'!AQ28,$BQ$7)),$BQ$6,IF(OR(COUNTIF('1.연간시수표'!AQ28,$BR$9),COUNTIF('1.연간시수표'!AQ28,$BR$7)),$BR$6,"_")))))))))))))))</f>
        <v>_</v>
      </c>
      <c r="AR28" s="148" t="str">
        <f>IF(OR(COUNTIF('1.연간시수표'!AR28,$AT$9),COUNTIF('1.연간시수표'!AR28,$AT$7)),$AT$6,IF(OR(COUNTIF('1.연간시수표'!AR28,$AU$9),COUNTIF('1.연간시수표'!AR28,$AU$7)),$AU$6,IF(OR(COUNTIF('1.연간시수표'!AR28,$AV$9),COUNTIF('1.연간시수표'!AR28,$AV$7)),$AV$6,IF(OR(COUNTIF('1.연간시수표'!AR28,$AW$9),COUNTIF('1.연간시수표'!AR28,$AW$7)),$AW$6,IF(OR(COUNTIF('1.연간시수표'!AR28,$AX$9),COUNTIF('1.연간시수표'!AR28,$AX$7)),$AX$6,IF(OR(COUNTIF('1.연간시수표'!AR28,$AY$9),COUNTIF('1.연간시수표'!AR28,$AY$7)),$AY$6,IF(OR(COUNTIF('1.연간시수표'!AR28,$AZ$9),COUNTIF('1.연간시수표'!AR28,$AZ$7)),$AZ$6,IF(OR(COUNTIF('1.연간시수표'!AR28,$BA$9),COUNTIF('1.연간시수표'!AR28,$BA$7)),$BA$6,IF(OR(COUNTIF('1.연간시수표'!AR28,$BB$9),COUNTIF('1.연간시수표'!AR28,$BB$7)),$BB$6,IF(OR(COUNTIF('1.연간시수표'!AR28,$BC$9),COUNTIF('1.연간시수표'!AR28,$BC$7)),$BC$6,IF(OR(COUNTIF('1.연간시수표'!AR28,$BF$9),COUNTIF('1.연간시수표'!AR28,$BF$7),COUNTIF('1.연간시수표'!AR28,$BG$9),COUNTIF('1.연간시수표'!AR28,$BG$7),COUNTIF('1.연간시수표'!AR28,$BH$9),COUNTIF('1.연간시수표'!AR28,$BH$7),COUNTIF('1.연간시수표'!AR28,$BI$9),COUNTIF('1.연간시수표'!AR28,$BI$7),COUNTIF('1.연간시수표'!AR28,$BJ$9),COUNTIF('1.연간시수표'!AR28,$BJ$7),COUNTIF('1.연간시수표'!AR28,$BK$9),COUNTIF('1.연간시수표'!AR28,$BK$7),COUNTIF('1.연간시수표'!AR28,$BL$9),COUNTIF('1.연간시수표'!AR28,$BL$7),COUNTIF('1.연간시수표'!AR28,$BM$9),COUNTIF('1.연간시수표'!AR28,$BM$7)),$BF$6,IF(OR(COUNTIF('1.연간시수표'!AR28,$BO$9),COUNTIF('1.연간시수표'!AR28,$BO$7)),$BO$6,IF(OR(COUNTIF('1.연간시수표'!AR28,$BP$9),COUNTIF('1.연간시수표'!AR28,$BP$7)),$BP$6,IF(OR(COUNTIF('1.연간시수표'!AR28,$BQ$9),COUNTIF('1.연간시수표'!AR28,$BQ$7)),$BQ$6,IF(OR(COUNTIF('1.연간시수표'!AR28,$BR$9),COUNTIF('1.연간시수표'!AR28,$BR$7)),$BR$6,"_")))))))))))))))</f>
        <v>_</v>
      </c>
      <c r="BU28" s="51" t="s">
        <v>74</v>
      </c>
      <c r="BV28" s="142" t="str">
        <f t="shared" ref="BV28" si="1">BU28</f>
        <v>_</v>
      </c>
    </row>
    <row r="29" spans="2:74">
      <c r="B29" s="6"/>
      <c r="C29" s="79">
        <f>'1.연간시수표'!C29</f>
        <v>20</v>
      </c>
      <c r="D29" s="3"/>
      <c r="E29" s="148" t="str">
        <f>IF(OR(COUNTIF('1.연간시수표'!E29,$AT$9),COUNTIF('1.연간시수표'!E29,$AT$7)),$AT$6,IF(OR(COUNTIF('1.연간시수표'!E29,$AU$9),COUNTIF('1.연간시수표'!E29,$AU$7)),$AU$6,IF(OR(COUNTIF('1.연간시수표'!E29,$AV$9),COUNTIF('1.연간시수표'!E29,$AV$7)),$AV$6,IF(OR(COUNTIF('1.연간시수표'!E29,$AW$9),COUNTIF('1.연간시수표'!E29,$AW$7)),$AW$6,IF(OR(COUNTIF('1.연간시수표'!E29,$AX$9),COUNTIF('1.연간시수표'!E29,$AX$7)),$AX$6,IF(OR(COUNTIF('1.연간시수표'!E29,$AY$9),COUNTIF('1.연간시수표'!E29,$AY$7)),$AY$6,IF(OR(COUNTIF('1.연간시수표'!E29,$AZ$9),COUNTIF('1.연간시수표'!E29,$AZ$7)),$AZ$6,IF(OR(COUNTIF('1.연간시수표'!E29,$BA$9),COUNTIF('1.연간시수표'!E29,$BA$7)),$BA$6,IF(OR(COUNTIF('1.연간시수표'!E29,$BB$9),COUNTIF('1.연간시수표'!E29,$BB$7)),$BB$6,IF(OR(COUNTIF('1.연간시수표'!E29,$BC$9),COUNTIF('1.연간시수표'!E29,$BC$7)),$BC$6,IF(OR(COUNTIF('1.연간시수표'!E29,$BF$9),COUNTIF('1.연간시수표'!E29,$BF$7),COUNTIF('1.연간시수표'!E29,$BG$9),COUNTIF('1.연간시수표'!E29,$BG$7),COUNTIF('1.연간시수표'!E29,$BH$9),COUNTIF('1.연간시수표'!E29,$BH$7),COUNTIF('1.연간시수표'!E29,$BI$9),COUNTIF('1.연간시수표'!E29,$BI$7),COUNTIF('1.연간시수표'!E29,$BJ$9),COUNTIF('1.연간시수표'!E29,$BJ$7),COUNTIF('1.연간시수표'!E29,$BK$9),COUNTIF('1.연간시수표'!E29,$BK$7),COUNTIF('1.연간시수표'!E29,$BL$9),COUNTIF('1.연간시수표'!E29,$BL$7),COUNTIF('1.연간시수표'!E29,$BM$9),COUNTIF('1.연간시수표'!E29,$BM$7)),$BF$6,IF(OR(COUNTIF('1.연간시수표'!E29,$BO$9),COUNTIF('1.연간시수표'!E29,$BO$7)),$BO$6,IF(OR(COUNTIF('1.연간시수표'!E29,$BP$9),COUNTIF('1.연간시수표'!E29,$BP$7)),$BP$6,IF(OR(COUNTIF('1.연간시수표'!E29,$BQ$9),COUNTIF('1.연간시수표'!E29,$BQ$7)),$BQ$6,IF(OR(COUNTIF('1.연간시수표'!E29,$BR$9),COUNTIF('1.연간시수표'!E29,$BR$7)),$BR$6,"_")))))))))))))))</f>
        <v>국어</v>
      </c>
      <c r="F29" s="148" t="str">
        <f>IF(OR(COUNTIF('1.연간시수표'!F29,$AT$9),COUNTIF('1.연간시수표'!F29,$AT$7)),$AT$6,IF(OR(COUNTIF('1.연간시수표'!F29,$AU$9),COUNTIF('1.연간시수표'!F29,$AU$7)),$AU$6,IF(OR(COUNTIF('1.연간시수표'!F29,$AV$9),COUNTIF('1.연간시수표'!F29,$AV$7)),$AV$6,IF(OR(COUNTIF('1.연간시수표'!F29,$AW$9),COUNTIF('1.연간시수표'!F29,$AW$7)),$AW$6,IF(OR(COUNTIF('1.연간시수표'!F29,$AX$9),COUNTIF('1.연간시수표'!F29,$AX$7)),$AX$6,IF(OR(COUNTIF('1.연간시수표'!F29,$AY$9),COUNTIF('1.연간시수표'!F29,$AY$7)),$AY$6,IF(OR(COUNTIF('1.연간시수표'!F29,$AZ$9),COUNTIF('1.연간시수표'!F29,$AZ$7)),$AZ$6,IF(OR(COUNTIF('1.연간시수표'!F29,$BA$9),COUNTIF('1.연간시수표'!F29,$BA$7)),$BA$6,IF(OR(COUNTIF('1.연간시수표'!F29,$BB$9),COUNTIF('1.연간시수표'!F29,$BB$7)),$BB$6,IF(OR(COUNTIF('1.연간시수표'!F29,$BC$9),COUNTIF('1.연간시수표'!F29,$BC$7)),$BC$6,IF(OR(COUNTIF('1.연간시수표'!F29,$BF$9),COUNTIF('1.연간시수표'!F29,$BF$7),COUNTIF('1.연간시수표'!F29,$BG$9),COUNTIF('1.연간시수표'!F29,$BG$7),COUNTIF('1.연간시수표'!F29,$BH$9),COUNTIF('1.연간시수표'!F29,$BH$7),COUNTIF('1.연간시수표'!F29,$BI$9),COUNTIF('1.연간시수표'!F29,$BI$7),COUNTIF('1.연간시수표'!F29,$BJ$9),COUNTIF('1.연간시수표'!F29,$BJ$7),COUNTIF('1.연간시수표'!F29,$BK$9),COUNTIF('1.연간시수표'!F29,$BK$7),COUNTIF('1.연간시수표'!F29,$BL$9),COUNTIF('1.연간시수표'!F29,$BL$7),COUNTIF('1.연간시수표'!F29,$BM$9),COUNTIF('1.연간시수표'!F29,$BM$7)),$BF$6,IF(OR(COUNTIF('1.연간시수표'!F29,$BO$9),COUNTIF('1.연간시수표'!F29,$BO$7)),$BO$6,IF(OR(COUNTIF('1.연간시수표'!F29,$BP$9),COUNTIF('1.연간시수표'!F29,$BP$7)),$BP$6,IF(OR(COUNTIF('1.연간시수표'!F29,$BQ$9),COUNTIF('1.연간시수표'!F29,$BQ$7)),$BQ$6,IF(OR(COUNTIF('1.연간시수표'!F29,$BR$9),COUNTIF('1.연간시수표'!F29,$BR$7)),$BR$6,"_")))))))))))))))</f>
        <v>체육</v>
      </c>
      <c r="G29" s="148" t="str">
        <f>IF(OR(COUNTIF('1.연간시수표'!G29,$AT$9),COUNTIF('1.연간시수표'!G29,$AT$7)),$AT$6,IF(OR(COUNTIF('1.연간시수표'!G29,$AU$9),COUNTIF('1.연간시수표'!G29,$AU$7)),$AU$6,IF(OR(COUNTIF('1.연간시수표'!G29,$AV$9),COUNTIF('1.연간시수표'!G29,$AV$7)),$AV$6,IF(OR(COUNTIF('1.연간시수표'!G29,$AW$9),COUNTIF('1.연간시수표'!G29,$AW$7)),$AW$6,IF(OR(COUNTIF('1.연간시수표'!G29,$AX$9),COUNTIF('1.연간시수표'!G29,$AX$7)),$AX$6,IF(OR(COUNTIF('1.연간시수표'!G29,$AY$9),COUNTIF('1.연간시수표'!G29,$AY$7)),$AY$6,IF(OR(COUNTIF('1.연간시수표'!G29,$AZ$9),COUNTIF('1.연간시수표'!G29,$AZ$7)),$AZ$6,IF(OR(COUNTIF('1.연간시수표'!G29,$BA$9),COUNTIF('1.연간시수표'!G29,$BA$7)),$BA$6,IF(OR(COUNTIF('1.연간시수표'!G29,$BB$9),COUNTIF('1.연간시수표'!G29,$BB$7)),$BB$6,IF(OR(COUNTIF('1.연간시수표'!G29,$BC$9),COUNTIF('1.연간시수표'!G29,$BC$7)),$BC$6,IF(OR(COUNTIF('1.연간시수표'!G29,$BF$9),COUNTIF('1.연간시수표'!G29,$BF$7),COUNTIF('1.연간시수표'!G29,$BG$9),COUNTIF('1.연간시수표'!G29,$BG$7),COUNTIF('1.연간시수표'!G29,$BH$9),COUNTIF('1.연간시수표'!G29,$BH$7),COUNTIF('1.연간시수표'!G29,$BI$9),COUNTIF('1.연간시수표'!G29,$BI$7),COUNTIF('1.연간시수표'!G29,$BJ$9),COUNTIF('1.연간시수표'!G29,$BJ$7),COUNTIF('1.연간시수표'!G29,$BK$9),COUNTIF('1.연간시수표'!G29,$BK$7),COUNTIF('1.연간시수표'!G29,$BL$9),COUNTIF('1.연간시수표'!G29,$BL$7),COUNTIF('1.연간시수표'!G29,$BM$9),COUNTIF('1.연간시수표'!G29,$BM$7)),$BF$6,IF(OR(COUNTIF('1.연간시수표'!G29,$BO$9),COUNTIF('1.연간시수표'!G29,$BO$7)),$BO$6,IF(OR(COUNTIF('1.연간시수표'!G29,$BP$9),COUNTIF('1.연간시수표'!G29,$BP$7)),$BP$6,IF(OR(COUNTIF('1.연간시수표'!G29,$BQ$9),COUNTIF('1.연간시수표'!G29,$BQ$7)),$BQ$6,IF(OR(COUNTIF('1.연간시수표'!G29,$BR$9),COUNTIF('1.연간시수표'!G29,$BR$7)),$BR$6,"_")))))))))))))))</f>
        <v>체육</v>
      </c>
      <c r="H29" s="148" t="str">
        <f>IF(OR(COUNTIF('1.연간시수표'!H29,$AT$9),COUNTIF('1.연간시수표'!H29,$AT$7)),$AT$6,IF(OR(COUNTIF('1.연간시수표'!H29,$AU$9),COUNTIF('1.연간시수표'!H29,$AU$7)),$AU$6,IF(OR(COUNTIF('1.연간시수표'!H29,$AV$9),COUNTIF('1.연간시수표'!H29,$AV$7)),$AV$6,IF(OR(COUNTIF('1.연간시수표'!H29,$AW$9),COUNTIF('1.연간시수표'!H29,$AW$7)),$AW$6,IF(OR(COUNTIF('1.연간시수표'!H29,$AX$9),COUNTIF('1.연간시수표'!H29,$AX$7)),$AX$6,IF(OR(COUNTIF('1.연간시수표'!H29,$AY$9),COUNTIF('1.연간시수표'!H29,$AY$7)),$AY$6,IF(OR(COUNTIF('1.연간시수표'!H29,$AZ$9),COUNTIF('1.연간시수표'!H29,$AZ$7)),$AZ$6,IF(OR(COUNTIF('1.연간시수표'!H29,$BA$9),COUNTIF('1.연간시수표'!H29,$BA$7)),$BA$6,IF(OR(COUNTIF('1.연간시수표'!H29,$BB$9),COUNTIF('1.연간시수표'!H29,$BB$7)),$BB$6,IF(OR(COUNTIF('1.연간시수표'!H29,$BC$9),COUNTIF('1.연간시수표'!H29,$BC$7)),$BC$6,IF(OR(COUNTIF('1.연간시수표'!H29,$BF$9),COUNTIF('1.연간시수표'!H29,$BF$7),COUNTIF('1.연간시수표'!H29,$BG$9),COUNTIF('1.연간시수표'!H29,$BG$7),COUNTIF('1.연간시수표'!H29,$BH$9),COUNTIF('1.연간시수표'!H29,$BH$7),COUNTIF('1.연간시수표'!H29,$BI$9),COUNTIF('1.연간시수표'!H29,$BI$7),COUNTIF('1.연간시수표'!H29,$BJ$9),COUNTIF('1.연간시수표'!H29,$BJ$7),COUNTIF('1.연간시수표'!H29,$BK$9),COUNTIF('1.연간시수표'!H29,$BK$7),COUNTIF('1.연간시수표'!H29,$BL$9),COUNTIF('1.연간시수표'!H29,$BL$7),COUNTIF('1.연간시수표'!H29,$BM$9),COUNTIF('1.연간시수표'!H29,$BM$7)),$BF$6,IF(OR(COUNTIF('1.연간시수표'!H29,$BO$9),COUNTIF('1.연간시수표'!H29,$BO$7)),$BO$6,IF(OR(COUNTIF('1.연간시수표'!H29,$BP$9),COUNTIF('1.연간시수표'!H29,$BP$7)),$BP$6,IF(OR(COUNTIF('1.연간시수표'!H29,$BQ$9),COUNTIF('1.연간시수표'!H29,$BQ$7)),$BQ$6,IF(OR(COUNTIF('1.연간시수표'!H29,$BR$9),COUNTIF('1.연간시수표'!H29,$BR$7)),$BR$6,"_")))))))))))))))</f>
        <v>영어</v>
      </c>
      <c r="I29" s="148" t="str">
        <f>IF(OR(COUNTIF('1.연간시수표'!I29,$AT$9),COUNTIF('1.연간시수표'!I29,$AT$7)),$AT$6,IF(OR(COUNTIF('1.연간시수표'!I29,$AU$9),COUNTIF('1.연간시수표'!I29,$AU$7)),$AU$6,IF(OR(COUNTIF('1.연간시수표'!I29,$AV$9),COUNTIF('1.연간시수표'!I29,$AV$7)),$AV$6,IF(OR(COUNTIF('1.연간시수표'!I29,$AW$9),COUNTIF('1.연간시수표'!I29,$AW$7)),$AW$6,IF(OR(COUNTIF('1.연간시수표'!I29,$AX$9),COUNTIF('1.연간시수표'!I29,$AX$7)),$AX$6,IF(OR(COUNTIF('1.연간시수표'!I29,$AY$9),COUNTIF('1.연간시수표'!I29,$AY$7)),$AY$6,IF(OR(COUNTIF('1.연간시수표'!I29,$AZ$9),COUNTIF('1.연간시수표'!I29,$AZ$7)),$AZ$6,IF(OR(COUNTIF('1.연간시수표'!I29,$BA$9),COUNTIF('1.연간시수표'!I29,$BA$7)),$BA$6,IF(OR(COUNTIF('1.연간시수표'!I29,$BB$9),COUNTIF('1.연간시수표'!I29,$BB$7)),$BB$6,IF(OR(COUNTIF('1.연간시수표'!I29,$BC$9),COUNTIF('1.연간시수표'!I29,$BC$7)),$BC$6,IF(OR(COUNTIF('1.연간시수표'!I29,$BF$9),COUNTIF('1.연간시수표'!I29,$BF$7),COUNTIF('1.연간시수표'!I29,$BG$9),COUNTIF('1.연간시수표'!I29,$BG$7),COUNTIF('1.연간시수표'!I29,$BH$9),COUNTIF('1.연간시수표'!I29,$BH$7),COUNTIF('1.연간시수표'!I29,$BI$9),COUNTIF('1.연간시수표'!I29,$BI$7),COUNTIF('1.연간시수표'!I29,$BJ$9),COUNTIF('1.연간시수표'!I29,$BJ$7),COUNTIF('1.연간시수표'!I29,$BK$9),COUNTIF('1.연간시수표'!I29,$BK$7),COUNTIF('1.연간시수표'!I29,$BL$9),COUNTIF('1.연간시수표'!I29,$BL$7),COUNTIF('1.연간시수표'!I29,$BM$9),COUNTIF('1.연간시수표'!I29,$BM$7)),$BF$6,IF(OR(COUNTIF('1.연간시수표'!I29,$BO$9),COUNTIF('1.연간시수표'!I29,$BO$7)),$BO$6,IF(OR(COUNTIF('1.연간시수표'!I29,$BP$9),COUNTIF('1.연간시수표'!I29,$BP$7)),$BP$6,IF(OR(COUNTIF('1.연간시수표'!I29,$BQ$9),COUNTIF('1.연간시수표'!I29,$BQ$7)),$BQ$6,IF(OR(COUNTIF('1.연간시수표'!I29,$BR$9),COUNTIF('1.연간시수표'!I29,$BR$7)),$BR$6,"_")))))))))))))))</f>
        <v>수학</v>
      </c>
      <c r="J29" s="148" t="str">
        <f>IF(OR(COUNTIF('1.연간시수표'!J29,$AT$9),COUNTIF('1.연간시수표'!J29,$AT$7)),$AT$6,IF(OR(COUNTIF('1.연간시수표'!J29,$AU$9),COUNTIF('1.연간시수표'!J29,$AU$7)),$AU$6,IF(OR(COUNTIF('1.연간시수표'!J29,$AV$9),COUNTIF('1.연간시수표'!J29,$AV$7)),$AV$6,IF(OR(COUNTIF('1.연간시수표'!J29,$AW$9),COUNTIF('1.연간시수표'!J29,$AW$7)),$AW$6,IF(OR(COUNTIF('1.연간시수표'!J29,$AX$9),COUNTIF('1.연간시수표'!J29,$AX$7)),$AX$6,IF(OR(COUNTIF('1.연간시수표'!J29,$AY$9),COUNTIF('1.연간시수표'!J29,$AY$7)),$AY$6,IF(OR(COUNTIF('1.연간시수표'!J29,$AZ$9),COUNTIF('1.연간시수표'!J29,$AZ$7)),$AZ$6,IF(OR(COUNTIF('1.연간시수표'!J29,$BA$9),COUNTIF('1.연간시수표'!J29,$BA$7)),$BA$6,IF(OR(COUNTIF('1.연간시수표'!J29,$BB$9),COUNTIF('1.연간시수표'!J29,$BB$7)),$BB$6,IF(OR(COUNTIF('1.연간시수표'!J29,$BC$9),COUNTIF('1.연간시수표'!J29,$BC$7)),$BC$6,IF(OR(COUNTIF('1.연간시수표'!J29,$BF$9),COUNTIF('1.연간시수표'!J29,$BF$7),COUNTIF('1.연간시수표'!J29,$BG$9),COUNTIF('1.연간시수표'!J29,$BG$7),COUNTIF('1.연간시수표'!J29,$BH$9),COUNTIF('1.연간시수표'!J29,$BH$7),COUNTIF('1.연간시수표'!J29,$BI$9),COUNTIF('1.연간시수표'!J29,$BI$7),COUNTIF('1.연간시수표'!J29,$BJ$9),COUNTIF('1.연간시수표'!J29,$BJ$7),COUNTIF('1.연간시수표'!J29,$BK$9),COUNTIF('1.연간시수표'!J29,$BK$7),COUNTIF('1.연간시수표'!J29,$BL$9),COUNTIF('1.연간시수표'!J29,$BL$7),COUNTIF('1.연간시수표'!J29,$BM$9),COUNTIF('1.연간시수표'!J29,$BM$7)),$BF$6,IF(OR(COUNTIF('1.연간시수표'!J29,$BO$9),COUNTIF('1.연간시수표'!J29,$BO$7)),$BO$6,IF(OR(COUNTIF('1.연간시수표'!J29,$BP$9),COUNTIF('1.연간시수표'!J29,$BP$7)),$BP$6,IF(OR(COUNTIF('1.연간시수표'!J29,$BQ$9),COUNTIF('1.연간시수표'!J29,$BQ$7)),$BQ$6,IF(OR(COUNTIF('1.연간시수표'!J29,$BR$9),COUNTIF('1.연간시수표'!J29,$BR$7)),$BR$6,"_")))))))))))))))</f>
        <v>자율활동</v>
      </c>
      <c r="K29" s="148" t="str">
        <f>IF(OR(COUNTIF('1.연간시수표'!K29,$AT$9),COUNTIF('1.연간시수표'!K29,$AT$7)),$AT$6,IF(OR(COUNTIF('1.연간시수표'!K29,$AU$9),COUNTIF('1.연간시수표'!K29,$AU$7)),$AU$6,IF(OR(COUNTIF('1.연간시수표'!K29,$AV$9),COUNTIF('1.연간시수표'!K29,$AV$7)),$AV$6,IF(OR(COUNTIF('1.연간시수표'!K29,$AW$9),COUNTIF('1.연간시수표'!K29,$AW$7)),$AW$6,IF(OR(COUNTIF('1.연간시수표'!K29,$AX$9),COUNTIF('1.연간시수표'!K29,$AX$7)),$AX$6,IF(OR(COUNTIF('1.연간시수표'!K29,$AY$9),COUNTIF('1.연간시수표'!K29,$AY$7)),$AY$6,IF(OR(COUNTIF('1.연간시수표'!K29,$AZ$9),COUNTIF('1.연간시수표'!K29,$AZ$7)),$AZ$6,IF(OR(COUNTIF('1.연간시수표'!K29,$BA$9),COUNTIF('1.연간시수표'!K29,$BA$7)),$BA$6,IF(OR(COUNTIF('1.연간시수표'!K29,$BB$9),COUNTIF('1.연간시수표'!K29,$BB$7)),$BB$6,IF(OR(COUNTIF('1.연간시수표'!K29,$BC$9),COUNTIF('1.연간시수표'!K29,$BC$7)),$BC$6,IF(OR(COUNTIF('1.연간시수표'!K29,$BF$9),COUNTIF('1.연간시수표'!K29,$BF$7),COUNTIF('1.연간시수표'!K29,$BG$9),COUNTIF('1.연간시수표'!K29,$BG$7),COUNTIF('1.연간시수표'!K29,$BH$9),COUNTIF('1.연간시수표'!K29,$BH$7),COUNTIF('1.연간시수표'!K29,$BI$9),COUNTIF('1.연간시수표'!K29,$BI$7),COUNTIF('1.연간시수표'!K29,$BJ$9),COUNTIF('1.연간시수표'!K29,$BJ$7),COUNTIF('1.연간시수표'!K29,$BK$9),COUNTIF('1.연간시수표'!K29,$BK$7),COUNTIF('1.연간시수표'!K29,$BL$9),COUNTIF('1.연간시수표'!K29,$BL$7),COUNTIF('1.연간시수표'!K29,$BM$9),COUNTIF('1.연간시수표'!K29,$BM$7)),$BF$6,IF(OR(COUNTIF('1.연간시수표'!K29,$BO$9),COUNTIF('1.연간시수표'!K29,$BO$7)),$BO$6,IF(OR(COUNTIF('1.연간시수표'!K29,$BP$9),COUNTIF('1.연간시수표'!K29,$BP$7)),$BP$6,IF(OR(COUNTIF('1.연간시수표'!K29,$BQ$9),COUNTIF('1.연간시수표'!K29,$BQ$7)),$BQ$6,IF(OR(COUNTIF('1.연간시수표'!K29,$BR$9),COUNTIF('1.연간시수표'!K29,$BR$7)),$BR$6,"_")))))))))))))))</f>
        <v>_</v>
      </c>
      <c r="L29" s="148" t="str">
        <f>IF(OR(COUNTIF('1.연간시수표'!L29,$AT$9),COUNTIF('1.연간시수표'!L29,$AT$7)),$AT$6,IF(OR(COUNTIF('1.연간시수표'!L29,$AU$9),COUNTIF('1.연간시수표'!L29,$AU$7)),$AU$6,IF(OR(COUNTIF('1.연간시수표'!L29,$AV$9),COUNTIF('1.연간시수표'!L29,$AV$7)),$AV$6,IF(OR(COUNTIF('1.연간시수표'!L29,$AW$9),COUNTIF('1.연간시수표'!L29,$AW$7)),$AW$6,IF(OR(COUNTIF('1.연간시수표'!L29,$AX$9),COUNTIF('1.연간시수표'!L29,$AX$7)),$AX$6,IF(OR(COUNTIF('1.연간시수표'!L29,$AY$9),COUNTIF('1.연간시수표'!L29,$AY$7)),$AY$6,IF(OR(COUNTIF('1.연간시수표'!L29,$AZ$9),COUNTIF('1.연간시수표'!L29,$AZ$7)),$AZ$6,IF(OR(COUNTIF('1.연간시수표'!L29,$BA$9),COUNTIF('1.연간시수표'!L29,$BA$7)),$BA$6,IF(OR(COUNTIF('1.연간시수표'!L29,$BB$9),COUNTIF('1.연간시수표'!L29,$BB$7)),$BB$6,IF(OR(COUNTIF('1.연간시수표'!L29,$BC$9),COUNTIF('1.연간시수표'!L29,$BC$7)),$BC$6,IF(OR(COUNTIF('1.연간시수표'!L29,$BF$9),COUNTIF('1.연간시수표'!L29,$BF$7),COUNTIF('1.연간시수표'!L29,$BG$9),COUNTIF('1.연간시수표'!L29,$BG$7),COUNTIF('1.연간시수표'!L29,$BH$9),COUNTIF('1.연간시수표'!L29,$BH$7),COUNTIF('1.연간시수표'!L29,$BI$9),COUNTIF('1.연간시수표'!L29,$BI$7),COUNTIF('1.연간시수표'!L29,$BJ$9),COUNTIF('1.연간시수표'!L29,$BJ$7),COUNTIF('1.연간시수표'!L29,$BK$9),COUNTIF('1.연간시수표'!L29,$BK$7),COUNTIF('1.연간시수표'!L29,$BL$9),COUNTIF('1.연간시수표'!L29,$BL$7),COUNTIF('1.연간시수표'!L29,$BM$9),COUNTIF('1.연간시수표'!L29,$BM$7)),$BF$6,IF(OR(COUNTIF('1.연간시수표'!L29,$BO$9),COUNTIF('1.연간시수표'!L29,$BO$7)),$BO$6,IF(OR(COUNTIF('1.연간시수표'!L29,$BP$9),COUNTIF('1.연간시수표'!L29,$BP$7)),$BP$6,IF(OR(COUNTIF('1.연간시수표'!L29,$BQ$9),COUNTIF('1.연간시수표'!L29,$BQ$7)),$BQ$6,IF(OR(COUNTIF('1.연간시수표'!L29,$BR$9),COUNTIF('1.연간시수표'!L29,$BR$7)),$BR$6,"_")))))))))))))))</f>
        <v>_</v>
      </c>
      <c r="M29" s="148" t="str">
        <f>IF(OR(COUNTIF('1.연간시수표'!M29,$AT$9),COUNTIF('1.연간시수표'!M29,$AT$7)),$AT$6,IF(OR(COUNTIF('1.연간시수표'!M29,$AU$9),COUNTIF('1.연간시수표'!M29,$AU$7)),$AU$6,IF(OR(COUNTIF('1.연간시수표'!M29,$AV$9),COUNTIF('1.연간시수표'!M29,$AV$7)),$AV$6,IF(OR(COUNTIF('1.연간시수표'!M29,$AW$9),COUNTIF('1.연간시수표'!M29,$AW$7)),$AW$6,IF(OR(COUNTIF('1.연간시수표'!M29,$AX$9),COUNTIF('1.연간시수표'!M29,$AX$7)),$AX$6,IF(OR(COUNTIF('1.연간시수표'!M29,$AY$9),COUNTIF('1.연간시수표'!M29,$AY$7)),$AY$6,IF(OR(COUNTIF('1.연간시수표'!M29,$AZ$9),COUNTIF('1.연간시수표'!M29,$AZ$7)),$AZ$6,IF(OR(COUNTIF('1.연간시수표'!M29,$BA$9),COUNTIF('1.연간시수표'!M29,$BA$7)),$BA$6,IF(OR(COUNTIF('1.연간시수표'!M29,$BB$9),COUNTIF('1.연간시수표'!M29,$BB$7)),$BB$6,IF(OR(COUNTIF('1.연간시수표'!M29,$BC$9),COUNTIF('1.연간시수표'!M29,$BC$7)),$BC$6,IF(OR(COUNTIF('1.연간시수표'!M29,$BF$9),COUNTIF('1.연간시수표'!M29,$BF$7),COUNTIF('1.연간시수표'!M29,$BG$9),COUNTIF('1.연간시수표'!M29,$BG$7),COUNTIF('1.연간시수표'!M29,$BH$9),COUNTIF('1.연간시수표'!M29,$BH$7),COUNTIF('1.연간시수표'!M29,$BI$9),COUNTIF('1.연간시수표'!M29,$BI$7),COUNTIF('1.연간시수표'!M29,$BJ$9),COUNTIF('1.연간시수표'!M29,$BJ$7),COUNTIF('1.연간시수표'!M29,$BK$9),COUNTIF('1.연간시수표'!M29,$BK$7),COUNTIF('1.연간시수표'!M29,$BL$9),COUNTIF('1.연간시수표'!M29,$BL$7),COUNTIF('1.연간시수표'!M29,$BM$9),COUNTIF('1.연간시수표'!M29,$BM$7)),$BF$6,IF(OR(COUNTIF('1.연간시수표'!M29,$BO$9),COUNTIF('1.연간시수표'!M29,$BO$7)),$BO$6,IF(OR(COUNTIF('1.연간시수표'!M29,$BP$9),COUNTIF('1.연간시수표'!M29,$BP$7)),$BP$6,IF(OR(COUNTIF('1.연간시수표'!M29,$BQ$9),COUNTIF('1.연간시수표'!M29,$BQ$7)),$BQ$6,IF(OR(COUNTIF('1.연간시수표'!M29,$BR$9),COUNTIF('1.연간시수표'!M29,$BR$7)),$BR$6,"_")))))))))))))))</f>
        <v>국어</v>
      </c>
      <c r="N29" s="148" t="str">
        <f>IF(OR(COUNTIF('1.연간시수표'!N29,$AT$9),COUNTIF('1.연간시수표'!N29,$AT$7)),$AT$6,IF(OR(COUNTIF('1.연간시수표'!N29,$AU$9),COUNTIF('1.연간시수표'!N29,$AU$7)),$AU$6,IF(OR(COUNTIF('1.연간시수표'!N29,$AV$9),COUNTIF('1.연간시수표'!N29,$AV$7)),$AV$6,IF(OR(COUNTIF('1.연간시수표'!N29,$AW$9),COUNTIF('1.연간시수표'!N29,$AW$7)),$AW$6,IF(OR(COUNTIF('1.연간시수표'!N29,$AX$9),COUNTIF('1.연간시수표'!N29,$AX$7)),$AX$6,IF(OR(COUNTIF('1.연간시수표'!N29,$AY$9),COUNTIF('1.연간시수표'!N29,$AY$7)),$AY$6,IF(OR(COUNTIF('1.연간시수표'!N29,$AZ$9),COUNTIF('1.연간시수표'!N29,$AZ$7)),$AZ$6,IF(OR(COUNTIF('1.연간시수표'!N29,$BA$9),COUNTIF('1.연간시수표'!N29,$BA$7)),$BA$6,IF(OR(COUNTIF('1.연간시수표'!N29,$BB$9),COUNTIF('1.연간시수표'!N29,$BB$7)),$BB$6,IF(OR(COUNTIF('1.연간시수표'!N29,$BC$9),COUNTIF('1.연간시수표'!N29,$BC$7)),$BC$6,IF(OR(COUNTIF('1.연간시수표'!N29,$BF$9),COUNTIF('1.연간시수표'!N29,$BF$7),COUNTIF('1.연간시수표'!N29,$BG$9),COUNTIF('1.연간시수표'!N29,$BG$7),COUNTIF('1.연간시수표'!N29,$BH$9),COUNTIF('1.연간시수표'!N29,$BH$7),COUNTIF('1.연간시수표'!N29,$BI$9),COUNTIF('1.연간시수표'!N29,$BI$7),COUNTIF('1.연간시수표'!N29,$BJ$9),COUNTIF('1.연간시수표'!N29,$BJ$7),COUNTIF('1.연간시수표'!N29,$BK$9),COUNTIF('1.연간시수표'!N29,$BK$7),COUNTIF('1.연간시수표'!N29,$BL$9),COUNTIF('1.연간시수표'!N29,$BL$7),COUNTIF('1.연간시수표'!N29,$BM$9),COUNTIF('1.연간시수표'!N29,$BM$7)),$BF$6,IF(OR(COUNTIF('1.연간시수표'!N29,$BO$9),COUNTIF('1.연간시수표'!N29,$BO$7)),$BO$6,IF(OR(COUNTIF('1.연간시수표'!N29,$BP$9),COUNTIF('1.연간시수표'!N29,$BP$7)),$BP$6,IF(OR(COUNTIF('1.연간시수표'!N29,$BQ$9),COUNTIF('1.연간시수표'!N29,$BQ$7)),$BQ$6,IF(OR(COUNTIF('1.연간시수표'!N29,$BR$9),COUNTIF('1.연간시수표'!N29,$BR$7)),$BR$6,"_")))))))))))))))</f>
        <v>국어</v>
      </c>
      <c r="O29" s="148" t="str">
        <f>IF(OR(COUNTIF('1.연간시수표'!O29,$AT$9),COUNTIF('1.연간시수표'!O29,$AT$7)),$AT$6,IF(OR(COUNTIF('1.연간시수표'!O29,$AU$9),COUNTIF('1.연간시수표'!O29,$AU$7)),$AU$6,IF(OR(COUNTIF('1.연간시수표'!O29,$AV$9),COUNTIF('1.연간시수표'!O29,$AV$7)),$AV$6,IF(OR(COUNTIF('1.연간시수표'!O29,$AW$9),COUNTIF('1.연간시수표'!O29,$AW$7)),$AW$6,IF(OR(COUNTIF('1.연간시수표'!O29,$AX$9),COUNTIF('1.연간시수표'!O29,$AX$7)),$AX$6,IF(OR(COUNTIF('1.연간시수표'!O29,$AY$9),COUNTIF('1.연간시수표'!O29,$AY$7)),$AY$6,IF(OR(COUNTIF('1.연간시수표'!O29,$AZ$9),COUNTIF('1.연간시수표'!O29,$AZ$7)),$AZ$6,IF(OR(COUNTIF('1.연간시수표'!O29,$BA$9),COUNTIF('1.연간시수표'!O29,$BA$7)),$BA$6,IF(OR(COUNTIF('1.연간시수표'!O29,$BB$9),COUNTIF('1.연간시수표'!O29,$BB$7)),$BB$6,IF(OR(COUNTIF('1.연간시수표'!O29,$BC$9),COUNTIF('1.연간시수표'!O29,$BC$7)),$BC$6,IF(OR(COUNTIF('1.연간시수표'!O29,$BF$9),COUNTIF('1.연간시수표'!O29,$BF$7),COUNTIF('1.연간시수표'!O29,$BG$9),COUNTIF('1.연간시수표'!O29,$BG$7),COUNTIF('1.연간시수표'!O29,$BH$9),COUNTIF('1.연간시수표'!O29,$BH$7),COUNTIF('1.연간시수표'!O29,$BI$9),COUNTIF('1.연간시수표'!O29,$BI$7),COUNTIF('1.연간시수표'!O29,$BJ$9),COUNTIF('1.연간시수표'!O29,$BJ$7),COUNTIF('1.연간시수표'!O29,$BK$9),COUNTIF('1.연간시수표'!O29,$BK$7),COUNTIF('1.연간시수표'!O29,$BL$9),COUNTIF('1.연간시수표'!O29,$BL$7),COUNTIF('1.연간시수표'!O29,$BM$9),COUNTIF('1.연간시수표'!O29,$BM$7)),$BF$6,IF(OR(COUNTIF('1.연간시수표'!O29,$BO$9),COUNTIF('1.연간시수표'!O29,$BO$7)),$BO$6,IF(OR(COUNTIF('1.연간시수표'!O29,$BP$9),COUNTIF('1.연간시수표'!O29,$BP$7)),$BP$6,IF(OR(COUNTIF('1.연간시수표'!O29,$BQ$9),COUNTIF('1.연간시수표'!O29,$BQ$7)),$BQ$6,IF(OR(COUNTIF('1.연간시수표'!O29,$BR$9),COUNTIF('1.연간시수표'!O29,$BR$7)),$BR$6,"_")))))))))))))))</f>
        <v>사회</v>
      </c>
      <c r="P29" s="148" t="str">
        <f>IF(OR(COUNTIF('1.연간시수표'!P29,$AT$9),COUNTIF('1.연간시수표'!P29,$AT$7)),$AT$6,IF(OR(COUNTIF('1.연간시수표'!P29,$AU$9),COUNTIF('1.연간시수표'!P29,$AU$7)),$AU$6,IF(OR(COUNTIF('1.연간시수표'!P29,$AV$9),COUNTIF('1.연간시수표'!P29,$AV$7)),$AV$6,IF(OR(COUNTIF('1.연간시수표'!P29,$AW$9),COUNTIF('1.연간시수표'!P29,$AW$7)),$AW$6,IF(OR(COUNTIF('1.연간시수표'!P29,$AX$9),COUNTIF('1.연간시수표'!P29,$AX$7)),$AX$6,IF(OR(COUNTIF('1.연간시수표'!P29,$AY$9),COUNTIF('1.연간시수표'!P29,$AY$7)),$AY$6,IF(OR(COUNTIF('1.연간시수표'!P29,$AZ$9),COUNTIF('1.연간시수표'!P29,$AZ$7)),$AZ$6,IF(OR(COUNTIF('1.연간시수표'!P29,$BA$9),COUNTIF('1.연간시수표'!P29,$BA$7)),$BA$6,IF(OR(COUNTIF('1.연간시수표'!P29,$BB$9),COUNTIF('1.연간시수표'!P29,$BB$7)),$BB$6,IF(OR(COUNTIF('1.연간시수표'!P29,$BC$9),COUNTIF('1.연간시수표'!P29,$BC$7)),$BC$6,IF(OR(COUNTIF('1.연간시수표'!P29,$BF$9),COUNTIF('1.연간시수표'!P29,$BF$7),COUNTIF('1.연간시수표'!P29,$BG$9),COUNTIF('1.연간시수표'!P29,$BG$7),COUNTIF('1.연간시수표'!P29,$BH$9),COUNTIF('1.연간시수표'!P29,$BH$7),COUNTIF('1.연간시수표'!P29,$BI$9),COUNTIF('1.연간시수표'!P29,$BI$7),COUNTIF('1.연간시수표'!P29,$BJ$9),COUNTIF('1.연간시수표'!P29,$BJ$7),COUNTIF('1.연간시수표'!P29,$BK$9),COUNTIF('1.연간시수표'!P29,$BK$7),COUNTIF('1.연간시수표'!P29,$BL$9),COUNTIF('1.연간시수표'!P29,$BL$7),COUNTIF('1.연간시수표'!P29,$BM$9),COUNTIF('1.연간시수표'!P29,$BM$7)),$BF$6,IF(OR(COUNTIF('1.연간시수표'!P29,$BO$9),COUNTIF('1.연간시수표'!P29,$BO$7)),$BO$6,IF(OR(COUNTIF('1.연간시수표'!P29,$BP$9),COUNTIF('1.연간시수표'!P29,$BP$7)),$BP$6,IF(OR(COUNTIF('1.연간시수표'!P29,$BQ$9),COUNTIF('1.연간시수표'!P29,$BQ$7)),$BQ$6,IF(OR(COUNTIF('1.연간시수표'!P29,$BR$9),COUNTIF('1.연간시수표'!P29,$BR$7)),$BR$6,"_")))))))))))))))</f>
        <v>수학</v>
      </c>
      <c r="Q29" s="148" t="str">
        <f>IF(OR(COUNTIF('1.연간시수표'!Q29,$AT$9),COUNTIF('1.연간시수표'!Q29,$AT$7)),$AT$6,IF(OR(COUNTIF('1.연간시수표'!Q29,$AU$9),COUNTIF('1.연간시수표'!Q29,$AU$7)),$AU$6,IF(OR(COUNTIF('1.연간시수표'!Q29,$AV$9),COUNTIF('1.연간시수표'!Q29,$AV$7)),$AV$6,IF(OR(COUNTIF('1.연간시수표'!Q29,$AW$9),COUNTIF('1.연간시수표'!Q29,$AW$7)),$AW$6,IF(OR(COUNTIF('1.연간시수표'!Q29,$AX$9),COUNTIF('1.연간시수표'!Q29,$AX$7)),$AX$6,IF(OR(COUNTIF('1.연간시수표'!Q29,$AY$9),COUNTIF('1.연간시수표'!Q29,$AY$7)),$AY$6,IF(OR(COUNTIF('1.연간시수표'!Q29,$AZ$9),COUNTIF('1.연간시수표'!Q29,$AZ$7)),$AZ$6,IF(OR(COUNTIF('1.연간시수표'!Q29,$BA$9),COUNTIF('1.연간시수표'!Q29,$BA$7)),$BA$6,IF(OR(COUNTIF('1.연간시수표'!Q29,$BB$9),COUNTIF('1.연간시수표'!Q29,$BB$7)),$BB$6,IF(OR(COUNTIF('1.연간시수표'!Q29,$BC$9),COUNTIF('1.연간시수표'!Q29,$BC$7)),$BC$6,IF(OR(COUNTIF('1.연간시수표'!Q29,$BF$9),COUNTIF('1.연간시수표'!Q29,$BF$7),COUNTIF('1.연간시수표'!Q29,$BG$9),COUNTIF('1.연간시수표'!Q29,$BG$7),COUNTIF('1.연간시수표'!Q29,$BH$9),COUNTIF('1.연간시수표'!Q29,$BH$7),COUNTIF('1.연간시수표'!Q29,$BI$9),COUNTIF('1.연간시수표'!Q29,$BI$7),COUNTIF('1.연간시수표'!Q29,$BJ$9),COUNTIF('1.연간시수표'!Q29,$BJ$7),COUNTIF('1.연간시수표'!Q29,$BK$9),COUNTIF('1.연간시수표'!Q29,$BK$7),COUNTIF('1.연간시수표'!Q29,$BL$9),COUNTIF('1.연간시수표'!Q29,$BL$7),COUNTIF('1.연간시수표'!Q29,$BM$9),COUNTIF('1.연간시수표'!Q29,$BM$7)),$BF$6,IF(OR(COUNTIF('1.연간시수표'!Q29,$BO$9),COUNTIF('1.연간시수표'!Q29,$BO$7)),$BO$6,IF(OR(COUNTIF('1.연간시수표'!Q29,$BP$9),COUNTIF('1.연간시수표'!Q29,$BP$7)),$BP$6,IF(OR(COUNTIF('1.연간시수표'!Q29,$BQ$9),COUNTIF('1.연간시수표'!Q29,$BQ$7)),$BQ$6,IF(OR(COUNTIF('1.연간시수표'!Q29,$BR$9),COUNTIF('1.연간시수표'!Q29,$BR$7)),$BR$6,"_")))))))))))))))</f>
        <v>과학</v>
      </c>
      <c r="R29" s="148" t="str">
        <f>IF(OR(COUNTIF('1.연간시수표'!R29,$AT$9),COUNTIF('1.연간시수표'!R29,$AT$7)),$AT$6,IF(OR(COUNTIF('1.연간시수표'!R29,$AU$9),COUNTIF('1.연간시수표'!R29,$AU$7)),$AU$6,IF(OR(COUNTIF('1.연간시수표'!R29,$AV$9),COUNTIF('1.연간시수표'!R29,$AV$7)),$AV$6,IF(OR(COUNTIF('1.연간시수표'!R29,$AW$9),COUNTIF('1.연간시수표'!R29,$AW$7)),$AW$6,IF(OR(COUNTIF('1.연간시수표'!R29,$AX$9),COUNTIF('1.연간시수표'!R29,$AX$7)),$AX$6,IF(OR(COUNTIF('1.연간시수표'!R29,$AY$9),COUNTIF('1.연간시수표'!R29,$AY$7)),$AY$6,IF(OR(COUNTIF('1.연간시수표'!R29,$AZ$9),COUNTIF('1.연간시수표'!R29,$AZ$7)),$AZ$6,IF(OR(COUNTIF('1.연간시수표'!R29,$BA$9),COUNTIF('1.연간시수표'!R29,$BA$7)),$BA$6,IF(OR(COUNTIF('1.연간시수표'!R29,$BB$9),COUNTIF('1.연간시수표'!R29,$BB$7)),$BB$6,IF(OR(COUNTIF('1.연간시수표'!R29,$BC$9),COUNTIF('1.연간시수표'!R29,$BC$7)),$BC$6,IF(OR(COUNTIF('1.연간시수표'!R29,$BF$9),COUNTIF('1.연간시수표'!R29,$BF$7),COUNTIF('1.연간시수표'!R29,$BG$9),COUNTIF('1.연간시수표'!R29,$BG$7),COUNTIF('1.연간시수표'!R29,$BH$9),COUNTIF('1.연간시수표'!R29,$BH$7),COUNTIF('1.연간시수표'!R29,$BI$9),COUNTIF('1.연간시수표'!R29,$BI$7),COUNTIF('1.연간시수표'!R29,$BJ$9),COUNTIF('1.연간시수표'!R29,$BJ$7),COUNTIF('1.연간시수표'!R29,$BK$9),COUNTIF('1.연간시수표'!R29,$BK$7),COUNTIF('1.연간시수표'!R29,$BL$9),COUNTIF('1.연간시수표'!R29,$BL$7),COUNTIF('1.연간시수표'!R29,$BM$9),COUNTIF('1.연간시수표'!R29,$BM$7)),$BF$6,IF(OR(COUNTIF('1.연간시수표'!R29,$BO$9),COUNTIF('1.연간시수표'!R29,$BO$7)),$BO$6,IF(OR(COUNTIF('1.연간시수표'!R29,$BP$9),COUNTIF('1.연간시수표'!R29,$BP$7)),$BP$6,IF(OR(COUNTIF('1.연간시수표'!R29,$BQ$9),COUNTIF('1.연간시수표'!R29,$BQ$7)),$BQ$6,IF(OR(COUNTIF('1.연간시수표'!R29,$BR$9),COUNTIF('1.연간시수표'!R29,$BR$7)),$BR$6,"_")))))))))))))))</f>
        <v>체육</v>
      </c>
      <c r="S29" s="148" t="str">
        <f>IF(OR(COUNTIF('1.연간시수표'!S29,$AT$9),COUNTIF('1.연간시수표'!S29,$AT$7)),$AT$6,IF(OR(COUNTIF('1.연간시수표'!S29,$AU$9),COUNTIF('1.연간시수표'!S29,$AU$7)),$AU$6,IF(OR(COUNTIF('1.연간시수표'!S29,$AV$9),COUNTIF('1.연간시수표'!S29,$AV$7)),$AV$6,IF(OR(COUNTIF('1.연간시수표'!S29,$AW$9),COUNTIF('1.연간시수표'!S29,$AW$7)),$AW$6,IF(OR(COUNTIF('1.연간시수표'!S29,$AX$9),COUNTIF('1.연간시수표'!S29,$AX$7)),$AX$6,IF(OR(COUNTIF('1.연간시수표'!S29,$AY$9),COUNTIF('1.연간시수표'!S29,$AY$7)),$AY$6,IF(OR(COUNTIF('1.연간시수표'!S29,$AZ$9),COUNTIF('1.연간시수표'!S29,$AZ$7)),$AZ$6,IF(OR(COUNTIF('1.연간시수표'!S29,$BA$9),COUNTIF('1.연간시수표'!S29,$BA$7)),$BA$6,IF(OR(COUNTIF('1.연간시수표'!S29,$BB$9),COUNTIF('1.연간시수표'!S29,$BB$7)),$BB$6,IF(OR(COUNTIF('1.연간시수표'!S29,$BC$9),COUNTIF('1.연간시수표'!S29,$BC$7)),$BC$6,IF(OR(COUNTIF('1.연간시수표'!S29,$BF$9),COUNTIF('1.연간시수표'!S29,$BF$7),COUNTIF('1.연간시수표'!S29,$BG$9),COUNTIF('1.연간시수표'!S29,$BG$7),COUNTIF('1.연간시수표'!S29,$BH$9),COUNTIF('1.연간시수표'!S29,$BH$7),COUNTIF('1.연간시수표'!S29,$BI$9),COUNTIF('1.연간시수표'!S29,$BI$7),COUNTIF('1.연간시수표'!S29,$BJ$9),COUNTIF('1.연간시수표'!S29,$BJ$7),COUNTIF('1.연간시수표'!S29,$BK$9),COUNTIF('1.연간시수표'!S29,$BK$7),COUNTIF('1.연간시수표'!S29,$BL$9),COUNTIF('1.연간시수표'!S29,$BL$7),COUNTIF('1.연간시수표'!S29,$BM$9),COUNTIF('1.연간시수표'!S29,$BM$7)),$BF$6,IF(OR(COUNTIF('1.연간시수표'!S29,$BO$9),COUNTIF('1.연간시수표'!S29,$BO$7)),$BO$6,IF(OR(COUNTIF('1.연간시수표'!S29,$BP$9),COUNTIF('1.연간시수표'!S29,$BP$7)),$BP$6,IF(OR(COUNTIF('1.연간시수표'!S29,$BQ$9),COUNTIF('1.연간시수표'!S29,$BQ$7)),$BQ$6,IF(OR(COUNTIF('1.연간시수표'!S29,$BR$9),COUNTIF('1.연간시수표'!S29,$BR$7)),$BR$6,"_")))))))))))))))</f>
        <v>_</v>
      </c>
      <c r="T29" s="148" t="str">
        <f>IF(OR(COUNTIF('1.연간시수표'!T29,$AT$9),COUNTIF('1.연간시수표'!T29,$AT$7)),$AT$6,IF(OR(COUNTIF('1.연간시수표'!T29,$AU$9),COUNTIF('1.연간시수표'!T29,$AU$7)),$AU$6,IF(OR(COUNTIF('1.연간시수표'!T29,$AV$9),COUNTIF('1.연간시수표'!T29,$AV$7)),$AV$6,IF(OR(COUNTIF('1.연간시수표'!T29,$AW$9),COUNTIF('1.연간시수표'!T29,$AW$7)),$AW$6,IF(OR(COUNTIF('1.연간시수표'!T29,$AX$9),COUNTIF('1.연간시수표'!T29,$AX$7)),$AX$6,IF(OR(COUNTIF('1.연간시수표'!T29,$AY$9),COUNTIF('1.연간시수표'!T29,$AY$7)),$AY$6,IF(OR(COUNTIF('1.연간시수표'!T29,$AZ$9),COUNTIF('1.연간시수표'!T29,$AZ$7)),$AZ$6,IF(OR(COUNTIF('1.연간시수표'!T29,$BA$9),COUNTIF('1.연간시수표'!T29,$BA$7)),$BA$6,IF(OR(COUNTIF('1.연간시수표'!T29,$BB$9),COUNTIF('1.연간시수표'!T29,$BB$7)),$BB$6,IF(OR(COUNTIF('1.연간시수표'!T29,$BC$9),COUNTIF('1.연간시수표'!T29,$BC$7)),$BC$6,IF(OR(COUNTIF('1.연간시수표'!T29,$BF$9),COUNTIF('1.연간시수표'!T29,$BF$7),COUNTIF('1.연간시수표'!T29,$BG$9),COUNTIF('1.연간시수표'!T29,$BG$7),COUNTIF('1.연간시수표'!T29,$BH$9),COUNTIF('1.연간시수표'!T29,$BH$7),COUNTIF('1.연간시수표'!T29,$BI$9),COUNTIF('1.연간시수표'!T29,$BI$7),COUNTIF('1.연간시수표'!T29,$BJ$9),COUNTIF('1.연간시수표'!T29,$BJ$7),COUNTIF('1.연간시수표'!T29,$BK$9),COUNTIF('1.연간시수표'!T29,$BK$7),COUNTIF('1.연간시수표'!T29,$BL$9),COUNTIF('1.연간시수표'!T29,$BL$7),COUNTIF('1.연간시수표'!T29,$BM$9),COUNTIF('1.연간시수표'!T29,$BM$7)),$BF$6,IF(OR(COUNTIF('1.연간시수표'!T29,$BO$9),COUNTIF('1.연간시수표'!T29,$BO$7)),$BO$6,IF(OR(COUNTIF('1.연간시수표'!T29,$BP$9),COUNTIF('1.연간시수표'!T29,$BP$7)),$BP$6,IF(OR(COUNTIF('1.연간시수표'!T29,$BQ$9),COUNTIF('1.연간시수표'!T29,$BQ$7)),$BQ$6,IF(OR(COUNTIF('1.연간시수표'!T29,$BR$9),COUNTIF('1.연간시수표'!T29,$BR$7)),$BR$6,"_")))))))))))))))</f>
        <v>_</v>
      </c>
      <c r="U29" s="148" t="str">
        <f>IF(OR(COUNTIF('1.연간시수표'!U29,$AT$9),COUNTIF('1.연간시수표'!U29,$AT$7)),$AT$6,IF(OR(COUNTIF('1.연간시수표'!U29,$AU$9),COUNTIF('1.연간시수표'!U29,$AU$7)),$AU$6,IF(OR(COUNTIF('1.연간시수표'!U29,$AV$9),COUNTIF('1.연간시수표'!U29,$AV$7)),$AV$6,IF(OR(COUNTIF('1.연간시수표'!U29,$AW$9),COUNTIF('1.연간시수표'!U29,$AW$7)),$AW$6,IF(OR(COUNTIF('1.연간시수표'!U29,$AX$9),COUNTIF('1.연간시수표'!U29,$AX$7)),$AX$6,IF(OR(COUNTIF('1.연간시수표'!U29,$AY$9),COUNTIF('1.연간시수표'!U29,$AY$7)),$AY$6,IF(OR(COUNTIF('1.연간시수표'!U29,$AZ$9),COUNTIF('1.연간시수표'!U29,$AZ$7)),$AZ$6,IF(OR(COUNTIF('1.연간시수표'!U29,$BA$9),COUNTIF('1.연간시수표'!U29,$BA$7)),$BA$6,IF(OR(COUNTIF('1.연간시수표'!U29,$BB$9),COUNTIF('1.연간시수표'!U29,$BB$7)),$BB$6,IF(OR(COUNTIF('1.연간시수표'!U29,$BC$9),COUNTIF('1.연간시수표'!U29,$BC$7)),$BC$6,IF(OR(COUNTIF('1.연간시수표'!U29,$BF$9),COUNTIF('1.연간시수표'!U29,$BF$7),COUNTIF('1.연간시수표'!U29,$BG$9),COUNTIF('1.연간시수표'!U29,$BG$7),COUNTIF('1.연간시수표'!U29,$BH$9),COUNTIF('1.연간시수표'!U29,$BH$7),COUNTIF('1.연간시수표'!U29,$BI$9),COUNTIF('1.연간시수표'!U29,$BI$7),COUNTIF('1.연간시수표'!U29,$BJ$9),COUNTIF('1.연간시수표'!U29,$BJ$7),COUNTIF('1.연간시수표'!U29,$BK$9),COUNTIF('1.연간시수표'!U29,$BK$7),COUNTIF('1.연간시수표'!U29,$BL$9),COUNTIF('1.연간시수표'!U29,$BL$7),COUNTIF('1.연간시수표'!U29,$BM$9),COUNTIF('1.연간시수표'!U29,$BM$7)),$BF$6,IF(OR(COUNTIF('1.연간시수표'!U29,$BO$9),COUNTIF('1.연간시수표'!U29,$BO$7)),$BO$6,IF(OR(COUNTIF('1.연간시수표'!U29,$BP$9),COUNTIF('1.연간시수표'!U29,$BP$7)),$BP$6,IF(OR(COUNTIF('1.연간시수표'!U29,$BQ$9),COUNTIF('1.연간시수표'!U29,$BQ$7)),$BQ$6,IF(OR(COUNTIF('1.연간시수표'!U29,$BR$9),COUNTIF('1.연간시수표'!U29,$BR$7)),$BR$6,"_")))))))))))))))</f>
        <v>영어</v>
      </c>
      <c r="V29" s="148" t="str">
        <f>IF(OR(COUNTIF('1.연간시수표'!V29,$AT$9),COUNTIF('1.연간시수표'!V29,$AT$7)),$AT$6,IF(OR(COUNTIF('1.연간시수표'!V29,$AU$9),COUNTIF('1.연간시수표'!V29,$AU$7)),$AU$6,IF(OR(COUNTIF('1.연간시수표'!V29,$AV$9),COUNTIF('1.연간시수표'!V29,$AV$7)),$AV$6,IF(OR(COUNTIF('1.연간시수표'!V29,$AW$9),COUNTIF('1.연간시수표'!V29,$AW$7)),$AW$6,IF(OR(COUNTIF('1.연간시수표'!V29,$AX$9),COUNTIF('1.연간시수표'!V29,$AX$7)),$AX$6,IF(OR(COUNTIF('1.연간시수표'!V29,$AY$9),COUNTIF('1.연간시수표'!V29,$AY$7)),$AY$6,IF(OR(COUNTIF('1.연간시수표'!V29,$AZ$9),COUNTIF('1.연간시수표'!V29,$AZ$7)),$AZ$6,IF(OR(COUNTIF('1.연간시수표'!V29,$BA$9),COUNTIF('1.연간시수표'!V29,$BA$7)),$BA$6,IF(OR(COUNTIF('1.연간시수표'!V29,$BB$9),COUNTIF('1.연간시수표'!V29,$BB$7)),$BB$6,IF(OR(COUNTIF('1.연간시수표'!V29,$BC$9),COUNTIF('1.연간시수표'!V29,$BC$7)),$BC$6,IF(OR(COUNTIF('1.연간시수표'!V29,$BF$9),COUNTIF('1.연간시수표'!V29,$BF$7),COUNTIF('1.연간시수표'!V29,$BG$9),COUNTIF('1.연간시수표'!V29,$BG$7),COUNTIF('1.연간시수표'!V29,$BH$9),COUNTIF('1.연간시수표'!V29,$BH$7),COUNTIF('1.연간시수표'!V29,$BI$9),COUNTIF('1.연간시수표'!V29,$BI$7),COUNTIF('1.연간시수표'!V29,$BJ$9),COUNTIF('1.연간시수표'!V29,$BJ$7),COUNTIF('1.연간시수표'!V29,$BK$9),COUNTIF('1.연간시수표'!V29,$BK$7),COUNTIF('1.연간시수표'!V29,$BL$9),COUNTIF('1.연간시수표'!V29,$BL$7),COUNTIF('1.연간시수표'!V29,$BM$9),COUNTIF('1.연간시수표'!V29,$BM$7)),$BF$6,IF(OR(COUNTIF('1.연간시수표'!V29,$BO$9),COUNTIF('1.연간시수표'!V29,$BO$7)),$BO$6,IF(OR(COUNTIF('1.연간시수표'!V29,$BP$9),COUNTIF('1.연간시수표'!V29,$BP$7)),$BP$6,IF(OR(COUNTIF('1.연간시수표'!V29,$BQ$9),COUNTIF('1.연간시수표'!V29,$BQ$7)),$BQ$6,IF(OR(COUNTIF('1.연간시수표'!V29,$BR$9),COUNTIF('1.연간시수표'!V29,$BR$7)),$BR$6,"_")))))))))))))))</f>
        <v>과학</v>
      </c>
      <c r="W29" s="148" t="str">
        <f>IF(OR(COUNTIF('1.연간시수표'!W29,$AT$9),COUNTIF('1.연간시수표'!W29,$AT$7)),$AT$6,IF(OR(COUNTIF('1.연간시수표'!W29,$AU$9),COUNTIF('1.연간시수표'!W29,$AU$7)),$AU$6,IF(OR(COUNTIF('1.연간시수표'!W29,$AV$9),COUNTIF('1.연간시수표'!W29,$AV$7)),$AV$6,IF(OR(COUNTIF('1.연간시수표'!W29,$AW$9),COUNTIF('1.연간시수표'!W29,$AW$7)),$AW$6,IF(OR(COUNTIF('1.연간시수표'!W29,$AX$9),COUNTIF('1.연간시수표'!W29,$AX$7)),$AX$6,IF(OR(COUNTIF('1.연간시수표'!W29,$AY$9),COUNTIF('1.연간시수표'!W29,$AY$7)),$AY$6,IF(OR(COUNTIF('1.연간시수표'!W29,$AZ$9),COUNTIF('1.연간시수표'!W29,$AZ$7)),$AZ$6,IF(OR(COUNTIF('1.연간시수표'!W29,$BA$9),COUNTIF('1.연간시수표'!W29,$BA$7)),$BA$6,IF(OR(COUNTIF('1.연간시수표'!W29,$BB$9),COUNTIF('1.연간시수표'!W29,$BB$7)),$BB$6,IF(OR(COUNTIF('1.연간시수표'!W29,$BC$9),COUNTIF('1.연간시수표'!W29,$BC$7)),$BC$6,IF(OR(COUNTIF('1.연간시수표'!W29,$BF$9),COUNTIF('1.연간시수표'!W29,$BF$7),COUNTIF('1.연간시수표'!W29,$BG$9),COUNTIF('1.연간시수표'!W29,$BG$7),COUNTIF('1.연간시수표'!W29,$BH$9),COUNTIF('1.연간시수표'!W29,$BH$7),COUNTIF('1.연간시수표'!W29,$BI$9),COUNTIF('1.연간시수표'!W29,$BI$7),COUNTIF('1.연간시수표'!W29,$BJ$9),COUNTIF('1.연간시수표'!W29,$BJ$7),COUNTIF('1.연간시수표'!W29,$BK$9),COUNTIF('1.연간시수표'!W29,$BK$7),COUNTIF('1.연간시수표'!W29,$BL$9),COUNTIF('1.연간시수표'!W29,$BL$7),COUNTIF('1.연간시수표'!W29,$BM$9),COUNTIF('1.연간시수표'!W29,$BM$7)),$BF$6,IF(OR(COUNTIF('1.연간시수표'!W29,$BO$9),COUNTIF('1.연간시수표'!W29,$BO$7)),$BO$6,IF(OR(COUNTIF('1.연간시수표'!W29,$BP$9),COUNTIF('1.연간시수표'!W29,$BP$7)),$BP$6,IF(OR(COUNTIF('1.연간시수표'!W29,$BQ$9),COUNTIF('1.연간시수표'!W29,$BQ$7)),$BQ$6,IF(OR(COUNTIF('1.연간시수표'!W29,$BR$9),COUNTIF('1.연간시수표'!W29,$BR$7)),$BR$6,"_")))))))))))))))</f>
        <v>체육</v>
      </c>
      <c r="X29" s="148" t="str">
        <f>IF(OR(COUNTIF('1.연간시수표'!X29,$AT$9),COUNTIF('1.연간시수표'!X29,$AT$7)),$AT$6,IF(OR(COUNTIF('1.연간시수표'!X29,$AU$9),COUNTIF('1.연간시수표'!X29,$AU$7)),$AU$6,IF(OR(COUNTIF('1.연간시수표'!X29,$AV$9),COUNTIF('1.연간시수표'!X29,$AV$7)),$AV$6,IF(OR(COUNTIF('1.연간시수표'!X29,$AW$9),COUNTIF('1.연간시수표'!X29,$AW$7)),$AW$6,IF(OR(COUNTIF('1.연간시수표'!X29,$AX$9),COUNTIF('1.연간시수표'!X29,$AX$7)),$AX$6,IF(OR(COUNTIF('1.연간시수표'!X29,$AY$9),COUNTIF('1.연간시수표'!X29,$AY$7)),$AY$6,IF(OR(COUNTIF('1.연간시수표'!X29,$AZ$9),COUNTIF('1.연간시수표'!X29,$AZ$7)),$AZ$6,IF(OR(COUNTIF('1.연간시수표'!X29,$BA$9),COUNTIF('1.연간시수표'!X29,$BA$7)),$BA$6,IF(OR(COUNTIF('1.연간시수표'!X29,$BB$9),COUNTIF('1.연간시수표'!X29,$BB$7)),$BB$6,IF(OR(COUNTIF('1.연간시수표'!X29,$BC$9),COUNTIF('1.연간시수표'!X29,$BC$7)),$BC$6,IF(OR(COUNTIF('1.연간시수표'!X29,$BF$9),COUNTIF('1.연간시수표'!X29,$BF$7),COUNTIF('1.연간시수표'!X29,$BG$9),COUNTIF('1.연간시수표'!X29,$BG$7),COUNTIF('1.연간시수표'!X29,$BH$9),COUNTIF('1.연간시수표'!X29,$BH$7),COUNTIF('1.연간시수표'!X29,$BI$9),COUNTIF('1.연간시수표'!X29,$BI$7),COUNTIF('1.연간시수표'!X29,$BJ$9),COUNTIF('1.연간시수표'!X29,$BJ$7),COUNTIF('1.연간시수표'!X29,$BK$9),COUNTIF('1.연간시수표'!X29,$BK$7),COUNTIF('1.연간시수표'!X29,$BL$9),COUNTIF('1.연간시수표'!X29,$BL$7),COUNTIF('1.연간시수표'!X29,$BM$9),COUNTIF('1.연간시수표'!X29,$BM$7)),$BF$6,IF(OR(COUNTIF('1.연간시수표'!X29,$BO$9),COUNTIF('1.연간시수표'!X29,$BO$7)),$BO$6,IF(OR(COUNTIF('1.연간시수표'!X29,$BP$9),COUNTIF('1.연간시수표'!X29,$BP$7)),$BP$6,IF(OR(COUNTIF('1.연간시수표'!X29,$BQ$9),COUNTIF('1.연간시수표'!X29,$BQ$7)),$BQ$6,IF(OR(COUNTIF('1.연간시수표'!X29,$BR$9),COUNTIF('1.연간시수표'!X29,$BR$7)),$BR$6,"_")))))))))))))))</f>
        <v>체육</v>
      </c>
      <c r="Y29" s="148" t="str">
        <f>IF(OR(COUNTIF('1.연간시수표'!Y29,$AT$9),COUNTIF('1.연간시수표'!Y29,$AT$7)),$AT$6,IF(OR(COUNTIF('1.연간시수표'!Y29,$AU$9),COUNTIF('1.연간시수표'!Y29,$AU$7)),$AU$6,IF(OR(COUNTIF('1.연간시수표'!Y29,$AV$9),COUNTIF('1.연간시수표'!Y29,$AV$7)),$AV$6,IF(OR(COUNTIF('1.연간시수표'!Y29,$AW$9),COUNTIF('1.연간시수표'!Y29,$AW$7)),$AW$6,IF(OR(COUNTIF('1.연간시수표'!Y29,$AX$9),COUNTIF('1.연간시수표'!Y29,$AX$7)),$AX$6,IF(OR(COUNTIF('1.연간시수표'!Y29,$AY$9),COUNTIF('1.연간시수표'!Y29,$AY$7)),$AY$6,IF(OR(COUNTIF('1.연간시수표'!Y29,$AZ$9),COUNTIF('1.연간시수표'!Y29,$AZ$7)),$AZ$6,IF(OR(COUNTIF('1.연간시수표'!Y29,$BA$9),COUNTIF('1.연간시수표'!Y29,$BA$7)),$BA$6,IF(OR(COUNTIF('1.연간시수표'!Y29,$BB$9),COUNTIF('1.연간시수표'!Y29,$BB$7)),$BB$6,IF(OR(COUNTIF('1.연간시수표'!Y29,$BC$9),COUNTIF('1.연간시수표'!Y29,$BC$7)),$BC$6,IF(OR(COUNTIF('1.연간시수표'!Y29,$BF$9),COUNTIF('1.연간시수표'!Y29,$BF$7),COUNTIF('1.연간시수표'!Y29,$BG$9),COUNTIF('1.연간시수표'!Y29,$BG$7),COUNTIF('1.연간시수표'!Y29,$BH$9),COUNTIF('1.연간시수표'!Y29,$BH$7),COUNTIF('1.연간시수표'!Y29,$BI$9),COUNTIF('1.연간시수표'!Y29,$BI$7),COUNTIF('1.연간시수표'!Y29,$BJ$9),COUNTIF('1.연간시수표'!Y29,$BJ$7),COUNTIF('1.연간시수표'!Y29,$BK$9),COUNTIF('1.연간시수표'!Y29,$BK$7),COUNTIF('1.연간시수표'!Y29,$BL$9),COUNTIF('1.연간시수표'!Y29,$BL$7),COUNTIF('1.연간시수표'!Y29,$BM$9),COUNTIF('1.연간시수표'!Y29,$BM$7)),$BF$6,IF(OR(COUNTIF('1.연간시수표'!Y29,$BO$9),COUNTIF('1.연간시수표'!Y29,$BO$7)),$BO$6,IF(OR(COUNTIF('1.연간시수표'!Y29,$BP$9),COUNTIF('1.연간시수표'!Y29,$BP$7)),$BP$6,IF(OR(COUNTIF('1.연간시수표'!Y29,$BQ$9),COUNTIF('1.연간시수표'!Y29,$BQ$7)),$BQ$6,IF(OR(COUNTIF('1.연간시수표'!Y29,$BR$9),COUNTIF('1.연간시수표'!Y29,$BR$7)),$BR$6,"_")))))))))))))))</f>
        <v>도덕</v>
      </c>
      <c r="Z29" s="148" t="str">
        <f>IF(OR(COUNTIF('1.연간시수표'!Z29,$AT$9),COUNTIF('1.연간시수표'!Z29,$AT$7)),$AT$6,IF(OR(COUNTIF('1.연간시수표'!Z29,$AU$9),COUNTIF('1.연간시수표'!Z29,$AU$7)),$AU$6,IF(OR(COUNTIF('1.연간시수표'!Z29,$AV$9),COUNTIF('1.연간시수표'!Z29,$AV$7)),$AV$6,IF(OR(COUNTIF('1.연간시수표'!Z29,$AW$9),COUNTIF('1.연간시수표'!Z29,$AW$7)),$AW$6,IF(OR(COUNTIF('1.연간시수표'!Z29,$AX$9),COUNTIF('1.연간시수표'!Z29,$AX$7)),$AX$6,IF(OR(COUNTIF('1.연간시수표'!Z29,$AY$9),COUNTIF('1.연간시수표'!Z29,$AY$7)),$AY$6,IF(OR(COUNTIF('1.연간시수표'!Z29,$AZ$9),COUNTIF('1.연간시수표'!Z29,$AZ$7)),$AZ$6,IF(OR(COUNTIF('1.연간시수표'!Z29,$BA$9),COUNTIF('1.연간시수표'!Z29,$BA$7)),$BA$6,IF(OR(COUNTIF('1.연간시수표'!Z29,$BB$9),COUNTIF('1.연간시수표'!Z29,$BB$7)),$BB$6,IF(OR(COUNTIF('1.연간시수표'!Z29,$BC$9),COUNTIF('1.연간시수표'!Z29,$BC$7)),$BC$6,IF(OR(COUNTIF('1.연간시수표'!Z29,$BF$9),COUNTIF('1.연간시수표'!Z29,$BF$7),COUNTIF('1.연간시수표'!Z29,$BG$9),COUNTIF('1.연간시수표'!Z29,$BG$7),COUNTIF('1.연간시수표'!Z29,$BH$9),COUNTIF('1.연간시수표'!Z29,$BH$7),COUNTIF('1.연간시수표'!Z29,$BI$9),COUNTIF('1.연간시수표'!Z29,$BI$7),COUNTIF('1.연간시수표'!Z29,$BJ$9),COUNTIF('1.연간시수표'!Z29,$BJ$7),COUNTIF('1.연간시수표'!Z29,$BK$9),COUNTIF('1.연간시수표'!Z29,$BK$7),COUNTIF('1.연간시수표'!Z29,$BL$9),COUNTIF('1.연간시수표'!Z29,$BL$7),COUNTIF('1.연간시수표'!Z29,$BM$9),COUNTIF('1.연간시수표'!Z29,$BM$7)),$BF$6,IF(OR(COUNTIF('1.연간시수표'!Z29,$BO$9),COUNTIF('1.연간시수표'!Z29,$BO$7)),$BO$6,IF(OR(COUNTIF('1.연간시수표'!Z29,$BP$9),COUNTIF('1.연간시수표'!Z29,$BP$7)),$BP$6,IF(OR(COUNTIF('1.연간시수표'!Z29,$BQ$9),COUNTIF('1.연간시수표'!Z29,$BQ$7)),$BQ$6,IF(OR(COUNTIF('1.연간시수표'!Z29,$BR$9),COUNTIF('1.연간시수표'!Z29,$BR$7)),$BR$6,"_")))))))))))))))</f>
        <v>_</v>
      </c>
      <c r="AA29" s="148" t="str">
        <f>IF(OR(COUNTIF('1.연간시수표'!AA29,$AT$9),COUNTIF('1.연간시수표'!AA29,$AT$7)),$AT$6,IF(OR(COUNTIF('1.연간시수표'!AA29,$AU$9),COUNTIF('1.연간시수표'!AA29,$AU$7)),$AU$6,IF(OR(COUNTIF('1.연간시수표'!AA29,$AV$9),COUNTIF('1.연간시수표'!AA29,$AV$7)),$AV$6,IF(OR(COUNTIF('1.연간시수표'!AA29,$AW$9),COUNTIF('1.연간시수표'!AA29,$AW$7)),$AW$6,IF(OR(COUNTIF('1.연간시수표'!AA29,$AX$9),COUNTIF('1.연간시수표'!AA29,$AX$7)),$AX$6,IF(OR(COUNTIF('1.연간시수표'!AA29,$AY$9),COUNTIF('1.연간시수표'!AA29,$AY$7)),$AY$6,IF(OR(COUNTIF('1.연간시수표'!AA29,$AZ$9),COUNTIF('1.연간시수표'!AA29,$AZ$7)),$AZ$6,IF(OR(COUNTIF('1.연간시수표'!AA29,$BA$9),COUNTIF('1.연간시수표'!AA29,$BA$7)),$BA$6,IF(OR(COUNTIF('1.연간시수표'!AA29,$BB$9),COUNTIF('1.연간시수표'!AA29,$BB$7)),$BB$6,IF(OR(COUNTIF('1.연간시수표'!AA29,$BC$9),COUNTIF('1.연간시수표'!AA29,$BC$7)),$BC$6,IF(OR(COUNTIF('1.연간시수표'!AA29,$BF$9),COUNTIF('1.연간시수표'!AA29,$BF$7),COUNTIF('1.연간시수표'!AA29,$BG$9),COUNTIF('1.연간시수표'!AA29,$BG$7),COUNTIF('1.연간시수표'!AA29,$BH$9),COUNTIF('1.연간시수표'!AA29,$BH$7),COUNTIF('1.연간시수표'!AA29,$BI$9),COUNTIF('1.연간시수표'!AA29,$BI$7),COUNTIF('1.연간시수표'!AA29,$BJ$9),COUNTIF('1.연간시수표'!AA29,$BJ$7),COUNTIF('1.연간시수표'!AA29,$BK$9),COUNTIF('1.연간시수표'!AA29,$BK$7),COUNTIF('1.연간시수표'!AA29,$BL$9),COUNTIF('1.연간시수표'!AA29,$BL$7),COUNTIF('1.연간시수표'!AA29,$BM$9),COUNTIF('1.연간시수표'!AA29,$BM$7)),$BF$6,IF(OR(COUNTIF('1.연간시수표'!AA29,$BO$9),COUNTIF('1.연간시수표'!AA29,$BO$7)),$BO$6,IF(OR(COUNTIF('1.연간시수표'!AA29,$BP$9),COUNTIF('1.연간시수표'!AA29,$BP$7)),$BP$6,IF(OR(COUNTIF('1.연간시수표'!AA29,$BQ$9),COUNTIF('1.연간시수표'!AA29,$BQ$7)),$BQ$6,IF(OR(COUNTIF('1.연간시수표'!AA29,$BR$9),COUNTIF('1.연간시수표'!AA29,$BR$7)),$BR$6,"_")))))))))))))))</f>
        <v>_</v>
      </c>
      <c r="AB29" s="148" t="str">
        <f>IF(OR(COUNTIF('1.연간시수표'!AB29,$AT$9),COUNTIF('1.연간시수표'!AB29,$AT$7)),$AT$6,IF(OR(COUNTIF('1.연간시수표'!AB29,$AU$9),COUNTIF('1.연간시수표'!AB29,$AU$7)),$AU$6,IF(OR(COUNTIF('1.연간시수표'!AB29,$AV$9),COUNTIF('1.연간시수표'!AB29,$AV$7)),$AV$6,IF(OR(COUNTIF('1.연간시수표'!AB29,$AW$9),COUNTIF('1.연간시수표'!AB29,$AW$7)),$AW$6,IF(OR(COUNTIF('1.연간시수표'!AB29,$AX$9),COUNTIF('1.연간시수표'!AB29,$AX$7)),$AX$6,IF(OR(COUNTIF('1.연간시수표'!AB29,$AY$9),COUNTIF('1.연간시수표'!AB29,$AY$7)),$AY$6,IF(OR(COUNTIF('1.연간시수표'!AB29,$AZ$9),COUNTIF('1.연간시수표'!AB29,$AZ$7)),$AZ$6,IF(OR(COUNTIF('1.연간시수표'!AB29,$BA$9),COUNTIF('1.연간시수표'!AB29,$BA$7)),$BA$6,IF(OR(COUNTIF('1.연간시수표'!AB29,$BB$9),COUNTIF('1.연간시수표'!AB29,$BB$7)),$BB$6,IF(OR(COUNTIF('1.연간시수표'!AB29,$BC$9),COUNTIF('1.연간시수표'!AB29,$BC$7)),$BC$6,IF(OR(COUNTIF('1.연간시수표'!AB29,$BF$9),COUNTIF('1.연간시수표'!AB29,$BF$7),COUNTIF('1.연간시수표'!AB29,$BG$9),COUNTIF('1.연간시수표'!AB29,$BG$7),COUNTIF('1.연간시수표'!AB29,$BH$9),COUNTIF('1.연간시수표'!AB29,$BH$7),COUNTIF('1.연간시수표'!AB29,$BI$9),COUNTIF('1.연간시수표'!AB29,$BI$7),COUNTIF('1.연간시수표'!AB29,$BJ$9),COUNTIF('1.연간시수표'!AB29,$BJ$7),COUNTIF('1.연간시수표'!AB29,$BK$9),COUNTIF('1.연간시수표'!AB29,$BK$7),COUNTIF('1.연간시수표'!AB29,$BL$9),COUNTIF('1.연간시수표'!AB29,$BL$7),COUNTIF('1.연간시수표'!AB29,$BM$9),COUNTIF('1.연간시수표'!AB29,$BM$7)),$BF$6,IF(OR(COUNTIF('1.연간시수표'!AB29,$BO$9),COUNTIF('1.연간시수표'!AB29,$BO$7)),$BO$6,IF(OR(COUNTIF('1.연간시수표'!AB29,$BP$9),COUNTIF('1.연간시수표'!AB29,$BP$7)),$BP$6,IF(OR(COUNTIF('1.연간시수표'!AB29,$BQ$9),COUNTIF('1.연간시수표'!AB29,$BQ$7)),$BQ$6,IF(OR(COUNTIF('1.연간시수표'!AB29,$BR$9),COUNTIF('1.연간시수표'!AB29,$BR$7)),$BR$6,"_")))))))))))))))</f>
        <v>_</v>
      </c>
      <c r="AC29" s="148" t="str">
        <f>IF(OR(COUNTIF('1.연간시수표'!AC29,$AT$9),COUNTIF('1.연간시수표'!AC29,$AT$7)),$AT$6,IF(OR(COUNTIF('1.연간시수표'!AC29,$AU$9),COUNTIF('1.연간시수표'!AC29,$AU$7)),$AU$6,IF(OR(COUNTIF('1.연간시수표'!AC29,$AV$9),COUNTIF('1.연간시수표'!AC29,$AV$7)),$AV$6,IF(OR(COUNTIF('1.연간시수표'!AC29,$AW$9),COUNTIF('1.연간시수표'!AC29,$AW$7)),$AW$6,IF(OR(COUNTIF('1.연간시수표'!AC29,$AX$9),COUNTIF('1.연간시수표'!AC29,$AX$7)),$AX$6,IF(OR(COUNTIF('1.연간시수표'!AC29,$AY$9),COUNTIF('1.연간시수표'!AC29,$AY$7)),$AY$6,IF(OR(COUNTIF('1.연간시수표'!AC29,$AZ$9),COUNTIF('1.연간시수표'!AC29,$AZ$7)),$AZ$6,IF(OR(COUNTIF('1.연간시수표'!AC29,$BA$9),COUNTIF('1.연간시수표'!AC29,$BA$7)),$BA$6,IF(OR(COUNTIF('1.연간시수표'!AC29,$BB$9),COUNTIF('1.연간시수표'!AC29,$BB$7)),$BB$6,IF(OR(COUNTIF('1.연간시수표'!AC29,$BC$9),COUNTIF('1.연간시수표'!AC29,$BC$7)),$BC$6,IF(OR(COUNTIF('1.연간시수표'!AC29,$BF$9),COUNTIF('1.연간시수표'!AC29,$BF$7),COUNTIF('1.연간시수표'!AC29,$BG$9),COUNTIF('1.연간시수표'!AC29,$BG$7),COUNTIF('1.연간시수표'!AC29,$BH$9),COUNTIF('1.연간시수표'!AC29,$BH$7),COUNTIF('1.연간시수표'!AC29,$BI$9),COUNTIF('1.연간시수표'!AC29,$BI$7),COUNTIF('1.연간시수표'!AC29,$BJ$9),COUNTIF('1.연간시수표'!AC29,$BJ$7),COUNTIF('1.연간시수표'!AC29,$BK$9),COUNTIF('1.연간시수표'!AC29,$BK$7),COUNTIF('1.연간시수표'!AC29,$BL$9),COUNTIF('1.연간시수표'!AC29,$BL$7),COUNTIF('1.연간시수표'!AC29,$BM$9),COUNTIF('1.연간시수표'!AC29,$BM$7)),$BF$6,IF(OR(COUNTIF('1.연간시수표'!AC29,$BO$9),COUNTIF('1.연간시수표'!AC29,$BO$7)),$BO$6,IF(OR(COUNTIF('1.연간시수표'!AC29,$BP$9),COUNTIF('1.연간시수표'!AC29,$BP$7)),$BP$6,IF(OR(COUNTIF('1.연간시수표'!AC29,$BQ$9),COUNTIF('1.연간시수표'!AC29,$BQ$7)),$BQ$6,IF(OR(COUNTIF('1.연간시수표'!AC29,$BR$9),COUNTIF('1.연간시수표'!AC29,$BR$7)),$BR$6,"_")))))))))))))))</f>
        <v>국어</v>
      </c>
      <c r="AD29" s="148" t="str">
        <f>IF(OR(COUNTIF('1.연간시수표'!AD29,$AT$9),COUNTIF('1.연간시수표'!AD29,$AT$7)),$AT$6,IF(OR(COUNTIF('1.연간시수표'!AD29,$AU$9),COUNTIF('1.연간시수표'!AD29,$AU$7)),$AU$6,IF(OR(COUNTIF('1.연간시수표'!AD29,$AV$9),COUNTIF('1.연간시수표'!AD29,$AV$7)),$AV$6,IF(OR(COUNTIF('1.연간시수표'!AD29,$AW$9),COUNTIF('1.연간시수표'!AD29,$AW$7)),$AW$6,IF(OR(COUNTIF('1.연간시수표'!AD29,$AX$9),COUNTIF('1.연간시수표'!AD29,$AX$7)),$AX$6,IF(OR(COUNTIF('1.연간시수표'!AD29,$AY$9),COUNTIF('1.연간시수표'!AD29,$AY$7)),$AY$6,IF(OR(COUNTIF('1.연간시수표'!AD29,$AZ$9),COUNTIF('1.연간시수표'!AD29,$AZ$7)),$AZ$6,IF(OR(COUNTIF('1.연간시수표'!AD29,$BA$9),COUNTIF('1.연간시수표'!AD29,$BA$7)),$BA$6,IF(OR(COUNTIF('1.연간시수표'!AD29,$BB$9),COUNTIF('1.연간시수표'!AD29,$BB$7)),$BB$6,IF(OR(COUNTIF('1.연간시수표'!AD29,$BC$9),COUNTIF('1.연간시수표'!AD29,$BC$7)),$BC$6,IF(OR(COUNTIF('1.연간시수표'!AD29,$BF$9),COUNTIF('1.연간시수표'!AD29,$BF$7),COUNTIF('1.연간시수표'!AD29,$BG$9),COUNTIF('1.연간시수표'!AD29,$BG$7),COUNTIF('1.연간시수표'!AD29,$BH$9),COUNTIF('1.연간시수표'!AD29,$BH$7),COUNTIF('1.연간시수표'!AD29,$BI$9),COUNTIF('1.연간시수표'!AD29,$BI$7),COUNTIF('1.연간시수표'!AD29,$BJ$9),COUNTIF('1.연간시수표'!AD29,$BJ$7),COUNTIF('1.연간시수표'!AD29,$BK$9),COUNTIF('1.연간시수표'!AD29,$BK$7),COUNTIF('1.연간시수표'!AD29,$BL$9),COUNTIF('1.연간시수표'!AD29,$BL$7),COUNTIF('1.연간시수표'!AD29,$BM$9),COUNTIF('1.연간시수표'!AD29,$BM$7)),$BF$6,IF(OR(COUNTIF('1.연간시수표'!AD29,$BO$9),COUNTIF('1.연간시수표'!AD29,$BO$7)),$BO$6,IF(OR(COUNTIF('1.연간시수표'!AD29,$BP$9),COUNTIF('1.연간시수표'!AD29,$BP$7)),$BP$6,IF(OR(COUNTIF('1.연간시수표'!AD29,$BQ$9),COUNTIF('1.연간시수표'!AD29,$BQ$7)),$BQ$6,IF(OR(COUNTIF('1.연간시수표'!AD29,$BR$9),COUNTIF('1.연간시수표'!AD29,$BR$7)),$BR$6,"_")))))))))))))))</f>
        <v>수학</v>
      </c>
      <c r="AE29" s="148" t="str">
        <f>IF(OR(COUNTIF('1.연간시수표'!AE29,$AT$9),COUNTIF('1.연간시수표'!AE29,$AT$7)),$AT$6,IF(OR(COUNTIF('1.연간시수표'!AE29,$AU$9),COUNTIF('1.연간시수표'!AE29,$AU$7)),$AU$6,IF(OR(COUNTIF('1.연간시수표'!AE29,$AV$9),COUNTIF('1.연간시수표'!AE29,$AV$7)),$AV$6,IF(OR(COUNTIF('1.연간시수표'!AE29,$AW$9),COUNTIF('1.연간시수표'!AE29,$AW$7)),$AW$6,IF(OR(COUNTIF('1.연간시수표'!AE29,$AX$9),COUNTIF('1.연간시수표'!AE29,$AX$7)),$AX$6,IF(OR(COUNTIF('1.연간시수표'!AE29,$AY$9),COUNTIF('1.연간시수표'!AE29,$AY$7)),$AY$6,IF(OR(COUNTIF('1.연간시수표'!AE29,$AZ$9),COUNTIF('1.연간시수표'!AE29,$AZ$7)),$AZ$6,IF(OR(COUNTIF('1.연간시수표'!AE29,$BA$9),COUNTIF('1.연간시수표'!AE29,$BA$7)),$BA$6,IF(OR(COUNTIF('1.연간시수표'!AE29,$BB$9),COUNTIF('1.연간시수표'!AE29,$BB$7)),$BB$6,IF(OR(COUNTIF('1.연간시수표'!AE29,$BC$9),COUNTIF('1.연간시수표'!AE29,$BC$7)),$BC$6,IF(OR(COUNTIF('1.연간시수표'!AE29,$BF$9),COUNTIF('1.연간시수표'!AE29,$BF$7),COUNTIF('1.연간시수표'!AE29,$BG$9),COUNTIF('1.연간시수표'!AE29,$BG$7),COUNTIF('1.연간시수표'!AE29,$BH$9),COUNTIF('1.연간시수표'!AE29,$BH$7),COUNTIF('1.연간시수표'!AE29,$BI$9),COUNTIF('1.연간시수표'!AE29,$BI$7),COUNTIF('1.연간시수표'!AE29,$BJ$9),COUNTIF('1.연간시수표'!AE29,$BJ$7),COUNTIF('1.연간시수표'!AE29,$BK$9),COUNTIF('1.연간시수표'!AE29,$BK$7),COUNTIF('1.연간시수표'!AE29,$BL$9),COUNTIF('1.연간시수표'!AE29,$BL$7),COUNTIF('1.연간시수표'!AE29,$BM$9),COUNTIF('1.연간시수표'!AE29,$BM$7)),$BF$6,IF(OR(COUNTIF('1.연간시수표'!AE29,$BO$9),COUNTIF('1.연간시수표'!AE29,$BO$7)),$BO$6,IF(OR(COUNTIF('1.연간시수표'!AE29,$BP$9),COUNTIF('1.연간시수표'!AE29,$BP$7)),$BP$6,IF(OR(COUNTIF('1.연간시수표'!AE29,$BQ$9),COUNTIF('1.연간시수표'!AE29,$BQ$7)),$BQ$6,IF(OR(COUNTIF('1.연간시수표'!AE29,$BR$9),COUNTIF('1.연간시수표'!AE29,$BR$7)),$BR$6,"_")))))))))))))))</f>
        <v>동아리활동</v>
      </c>
      <c r="AF29" s="148" t="str">
        <f>IF(OR(COUNTIF('1.연간시수표'!AF29,$AT$9),COUNTIF('1.연간시수표'!AF29,$AT$7)),$AT$6,IF(OR(COUNTIF('1.연간시수표'!AF29,$AU$9),COUNTIF('1.연간시수표'!AF29,$AU$7)),$AU$6,IF(OR(COUNTIF('1.연간시수표'!AF29,$AV$9),COUNTIF('1.연간시수표'!AF29,$AV$7)),$AV$6,IF(OR(COUNTIF('1.연간시수표'!AF29,$AW$9),COUNTIF('1.연간시수표'!AF29,$AW$7)),$AW$6,IF(OR(COUNTIF('1.연간시수표'!AF29,$AX$9),COUNTIF('1.연간시수표'!AF29,$AX$7)),$AX$6,IF(OR(COUNTIF('1.연간시수표'!AF29,$AY$9),COUNTIF('1.연간시수표'!AF29,$AY$7)),$AY$6,IF(OR(COUNTIF('1.연간시수표'!AF29,$AZ$9),COUNTIF('1.연간시수표'!AF29,$AZ$7)),$AZ$6,IF(OR(COUNTIF('1.연간시수표'!AF29,$BA$9),COUNTIF('1.연간시수표'!AF29,$BA$7)),$BA$6,IF(OR(COUNTIF('1.연간시수표'!AF29,$BB$9),COUNTIF('1.연간시수표'!AF29,$BB$7)),$BB$6,IF(OR(COUNTIF('1.연간시수표'!AF29,$BC$9),COUNTIF('1.연간시수표'!AF29,$BC$7)),$BC$6,IF(OR(COUNTIF('1.연간시수표'!AF29,$BF$9),COUNTIF('1.연간시수표'!AF29,$BF$7),COUNTIF('1.연간시수표'!AF29,$BG$9),COUNTIF('1.연간시수표'!AF29,$BG$7),COUNTIF('1.연간시수표'!AF29,$BH$9),COUNTIF('1.연간시수표'!AF29,$BH$7),COUNTIF('1.연간시수표'!AF29,$BI$9),COUNTIF('1.연간시수표'!AF29,$BI$7),COUNTIF('1.연간시수표'!AF29,$BJ$9),COUNTIF('1.연간시수표'!AF29,$BJ$7),COUNTIF('1.연간시수표'!AF29,$BK$9),COUNTIF('1.연간시수표'!AF29,$BK$7),COUNTIF('1.연간시수표'!AF29,$BL$9),COUNTIF('1.연간시수표'!AF29,$BL$7),COUNTIF('1.연간시수표'!AF29,$BM$9),COUNTIF('1.연간시수표'!AF29,$BM$7)),$BF$6,IF(OR(COUNTIF('1.연간시수표'!AF29,$BO$9),COUNTIF('1.연간시수표'!AF29,$BO$7)),$BO$6,IF(OR(COUNTIF('1.연간시수표'!AF29,$BP$9),COUNTIF('1.연간시수표'!AF29,$BP$7)),$BP$6,IF(OR(COUNTIF('1.연간시수표'!AF29,$BQ$9),COUNTIF('1.연간시수표'!AF29,$BQ$7)),$BQ$6,IF(OR(COUNTIF('1.연간시수표'!AF29,$BR$9),COUNTIF('1.연간시수표'!AF29,$BR$7)),$BR$6,"_")))))))))))))))</f>
        <v>동아리활동</v>
      </c>
      <c r="AG29" s="148" t="str">
        <f>IF(OR(COUNTIF('1.연간시수표'!AG29,$AT$9),COUNTIF('1.연간시수표'!AG29,$AT$7)),$AT$6,IF(OR(COUNTIF('1.연간시수표'!AG29,$AU$9),COUNTIF('1.연간시수표'!AG29,$AU$7)),$AU$6,IF(OR(COUNTIF('1.연간시수표'!AG29,$AV$9),COUNTIF('1.연간시수표'!AG29,$AV$7)),$AV$6,IF(OR(COUNTIF('1.연간시수표'!AG29,$AW$9),COUNTIF('1.연간시수표'!AG29,$AW$7)),$AW$6,IF(OR(COUNTIF('1.연간시수표'!AG29,$AX$9),COUNTIF('1.연간시수표'!AG29,$AX$7)),$AX$6,IF(OR(COUNTIF('1.연간시수표'!AG29,$AY$9),COUNTIF('1.연간시수표'!AG29,$AY$7)),$AY$6,IF(OR(COUNTIF('1.연간시수표'!AG29,$AZ$9),COUNTIF('1.연간시수표'!AG29,$AZ$7)),$AZ$6,IF(OR(COUNTIF('1.연간시수표'!AG29,$BA$9),COUNTIF('1.연간시수표'!AG29,$BA$7)),$BA$6,IF(OR(COUNTIF('1.연간시수표'!AG29,$BB$9),COUNTIF('1.연간시수표'!AG29,$BB$7)),$BB$6,IF(OR(COUNTIF('1.연간시수표'!AG29,$BC$9),COUNTIF('1.연간시수표'!AG29,$BC$7)),$BC$6,IF(OR(COUNTIF('1.연간시수표'!AG29,$BF$9),COUNTIF('1.연간시수표'!AG29,$BF$7),COUNTIF('1.연간시수표'!AG29,$BG$9),COUNTIF('1.연간시수표'!AG29,$BG$7),COUNTIF('1.연간시수표'!AG29,$BH$9),COUNTIF('1.연간시수표'!AG29,$BH$7),COUNTIF('1.연간시수표'!AG29,$BI$9),COUNTIF('1.연간시수표'!AG29,$BI$7),COUNTIF('1.연간시수표'!AG29,$BJ$9),COUNTIF('1.연간시수표'!AG29,$BJ$7),COUNTIF('1.연간시수표'!AG29,$BK$9),COUNTIF('1.연간시수표'!AG29,$BK$7),COUNTIF('1.연간시수표'!AG29,$BL$9),COUNTIF('1.연간시수표'!AG29,$BL$7),COUNTIF('1.연간시수표'!AG29,$BM$9),COUNTIF('1.연간시수표'!AG29,$BM$7)),$BF$6,IF(OR(COUNTIF('1.연간시수표'!AG29,$BO$9),COUNTIF('1.연간시수표'!AG29,$BO$7)),$BO$6,IF(OR(COUNTIF('1.연간시수표'!AG29,$BP$9),COUNTIF('1.연간시수표'!AG29,$BP$7)),$BP$6,IF(OR(COUNTIF('1.연간시수표'!AG29,$BQ$9),COUNTIF('1.연간시수표'!AG29,$BQ$7)),$BQ$6,IF(OR(COUNTIF('1.연간시수표'!AG29,$BR$9),COUNTIF('1.연간시수표'!AG29,$BR$7)),$BR$6,"_")))))))))))))))</f>
        <v>동아리활동</v>
      </c>
      <c r="AH29" s="148" t="str">
        <f>IF(OR(COUNTIF('1.연간시수표'!AH29,$AT$9),COUNTIF('1.연간시수표'!AH29,$AT$7)),$AT$6,IF(OR(COUNTIF('1.연간시수표'!AH29,$AU$9),COUNTIF('1.연간시수표'!AH29,$AU$7)),$AU$6,IF(OR(COUNTIF('1.연간시수표'!AH29,$AV$9),COUNTIF('1.연간시수표'!AH29,$AV$7)),$AV$6,IF(OR(COUNTIF('1.연간시수표'!AH29,$AW$9),COUNTIF('1.연간시수표'!AH29,$AW$7)),$AW$6,IF(OR(COUNTIF('1.연간시수표'!AH29,$AX$9),COUNTIF('1.연간시수표'!AH29,$AX$7)),$AX$6,IF(OR(COUNTIF('1.연간시수표'!AH29,$AY$9),COUNTIF('1.연간시수표'!AH29,$AY$7)),$AY$6,IF(OR(COUNTIF('1.연간시수표'!AH29,$AZ$9),COUNTIF('1.연간시수표'!AH29,$AZ$7)),$AZ$6,IF(OR(COUNTIF('1.연간시수표'!AH29,$BA$9),COUNTIF('1.연간시수표'!AH29,$BA$7)),$BA$6,IF(OR(COUNTIF('1.연간시수표'!AH29,$BB$9),COUNTIF('1.연간시수표'!AH29,$BB$7)),$BB$6,IF(OR(COUNTIF('1.연간시수표'!AH29,$BC$9),COUNTIF('1.연간시수표'!AH29,$BC$7)),$BC$6,IF(OR(COUNTIF('1.연간시수표'!AH29,$BF$9),COUNTIF('1.연간시수표'!AH29,$BF$7),COUNTIF('1.연간시수표'!AH29,$BG$9),COUNTIF('1.연간시수표'!AH29,$BG$7),COUNTIF('1.연간시수표'!AH29,$BH$9),COUNTIF('1.연간시수표'!AH29,$BH$7),COUNTIF('1.연간시수표'!AH29,$BI$9),COUNTIF('1.연간시수표'!AH29,$BI$7),COUNTIF('1.연간시수표'!AH29,$BJ$9),COUNTIF('1.연간시수표'!AH29,$BJ$7),COUNTIF('1.연간시수표'!AH29,$BK$9),COUNTIF('1.연간시수표'!AH29,$BK$7),COUNTIF('1.연간시수표'!AH29,$BL$9),COUNTIF('1.연간시수표'!AH29,$BL$7),COUNTIF('1.연간시수표'!AH29,$BM$9),COUNTIF('1.연간시수표'!AH29,$BM$7)),$BF$6,IF(OR(COUNTIF('1.연간시수표'!AH29,$BO$9),COUNTIF('1.연간시수표'!AH29,$BO$7)),$BO$6,IF(OR(COUNTIF('1.연간시수표'!AH29,$BP$9),COUNTIF('1.연간시수표'!AH29,$BP$7)),$BP$6,IF(OR(COUNTIF('1.연간시수표'!AH29,$BQ$9),COUNTIF('1.연간시수표'!AH29,$BQ$7)),$BQ$6,IF(OR(COUNTIF('1.연간시수표'!AH29,$BR$9),COUNTIF('1.연간시수표'!AH29,$BR$7)),$BR$6,"_")))))))))))))))</f>
        <v>_</v>
      </c>
      <c r="AI29" s="148" t="str">
        <f>IF(OR(COUNTIF('1.연간시수표'!AI29,$AT$9),COUNTIF('1.연간시수표'!AI29,$AT$7)),$AT$6,IF(OR(COUNTIF('1.연간시수표'!AI29,$AU$9),COUNTIF('1.연간시수표'!AI29,$AU$7)),$AU$6,IF(OR(COUNTIF('1.연간시수표'!AI29,$AV$9),COUNTIF('1.연간시수표'!AI29,$AV$7)),$AV$6,IF(OR(COUNTIF('1.연간시수표'!AI29,$AW$9),COUNTIF('1.연간시수표'!AI29,$AW$7)),$AW$6,IF(OR(COUNTIF('1.연간시수표'!AI29,$AX$9),COUNTIF('1.연간시수표'!AI29,$AX$7)),$AX$6,IF(OR(COUNTIF('1.연간시수표'!AI29,$AY$9),COUNTIF('1.연간시수표'!AI29,$AY$7)),$AY$6,IF(OR(COUNTIF('1.연간시수표'!AI29,$AZ$9),COUNTIF('1.연간시수표'!AI29,$AZ$7)),$AZ$6,IF(OR(COUNTIF('1.연간시수표'!AI29,$BA$9),COUNTIF('1.연간시수표'!AI29,$BA$7)),$BA$6,IF(OR(COUNTIF('1.연간시수표'!AI29,$BB$9),COUNTIF('1.연간시수표'!AI29,$BB$7)),$BB$6,IF(OR(COUNTIF('1.연간시수표'!AI29,$BC$9),COUNTIF('1.연간시수표'!AI29,$BC$7)),$BC$6,IF(OR(COUNTIF('1.연간시수표'!AI29,$BF$9),COUNTIF('1.연간시수표'!AI29,$BF$7),COUNTIF('1.연간시수표'!AI29,$BG$9),COUNTIF('1.연간시수표'!AI29,$BG$7),COUNTIF('1.연간시수표'!AI29,$BH$9),COUNTIF('1.연간시수표'!AI29,$BH$7),COUNTIF('1.연간시수표'!AI29,$BI$9),COUNTIF('1.연간시수표'!AI29,$BI$7),COUNTIF('1.연간시수표'!AI29,$BJ$9),COUNTIF('1.연간시수표'!AI29,$BJ$7),COUNTIF('1.연간시수표'!AI29,$BK$9),COUNTIF('1.연간시수표'!AI29,$BK$7),COUNTIF('1.연간시수표'!AI29,$BL$9),COUNTIF('1.연간시수표'!AI29,$BL$7),COUNTIF('1.연간시수표'!AI29,$BM$9),COUNTIF('1.연간시수표'!AI29,$BM$7)),$BF$6,IF(OR(COUNTIF('1.연간시수표'!AI29,$BO$9),COUNTIF('1.연간시수표'!AI29,$BO$7)),$BO$6,IF(OR(COUNTIF('1.연간시수표'!AI29,$BP$9),COUNTIF('1.연간시수표'!AI29,$BP$7)),$BP$6,IF(OR(COUNTIF('1.연간시수표'!AI29,$BQ$9),COUNTIF('1.연간시수표'!AI29,$BQ$7)),$BQ$6,IF(OR(COUNTIF('1.연간시수표'!AI29,$BR$9),COUNTIF('1.연간시수표'!AI29,$BR$7)),$BR$6,"_")))))))))))))))</f>
        <v>_</v>
      </c>
      <c r="AJ29" s="148" t="str">
        <f>IF(OR(COUNTIF('1.연간시수표'!AJ29,$AT$9),COUNTIF('1.연간시수표'!AJ29,$AT$7)),$AT$6,IF(OR(COUNTIF('1.연간시수표'!AJ29,$AU$9),COUNTIF('1.연간시수표'!AJ29,$AU$7)),$AU$6,IF(OR(COUNTIF('1.연간시수표'!AJ29,$AV$9),COUNTIF('1.연간시수표'!AJ29,$AV$7)),$AV$6,IF(OR(COUNTIF('1.연간시수표'!AJ29,$AW$9),COUNTIF('1.연간시수표'!AJ29,$AW$7)),$AW$6,IF(OR(COUNTIF('1.연간시수표'!AJ29,$AX$9),COUNTIF('1.연간시수표'!AJ29,$AX$7)),$AX$6,IF(OR(COUNTIF('1.연간시수표'!AJ29,$AY$9),COUNTIF('1.연간시수표'!AJ29,$AY$7)),$AY$6,IF(OR(COUNTIF('1.연간시수표'!AJ29,$AZ$9),COUNTIF('1.연간시수표'!AJ29,$AZ$7)),$AZ$6,IF(OR(COUNTIF('1.연간시수표'!AJ29,$BA$9),COUNTIF('1.연간시수표'!AJ29,$BA$7)),$BA$6,IF(OR(COUNTIF('1.연간시수표'!AJ29,$BB$9),COUNTIF('1.연간시수표'!AJ29,$BB$7)),$BB$6,IF(OR(COUNTIF('1.연간시수표'!AJ29,$BC$9),COUNTIF('1.연간시수표'!AJ29,$BC$7)),$BC$6,IF(OR(COUNTIF('1.연간시수표'!AJ29,$BF$9),COUNTIF('1.연간시수표'!AJ29,$BF$7),COUNTIF('1.연간시수표'!AJ29,$BG$9),COUNTIF('1.연간시수표'!AJ29,$BG$7),COUNTIF('1.연간시수표'!AJ29,$BH$9),COUNTIF('1.연간시수표'!AJ29,$BH$7),COUNTIF('1.연간시수표'!AJ29,$BI$9),COUNTIF('1.연간시수표'!AJ29,$BI$7),COUNTIF('1.연간시수표'!AJ29,$BJ$9),COUNTIF('1.연간시수표'!AJ29,$BJ$7),COUNTIF('1.연간시수표'!AJ29,$BK$9),COUNTIF('1.연간시수표'!AJ29,$BK$7),COUNTIF('1.연간시수표'!AJ29,$BL$9),COUNTIF('1.연간시수표'!AJ29,$BL$7),COUNTIF('1.연간시수표'!AJ29,$BM$9),COUNTIF('1.연간시수표'!AJ29,$BM$7)),$BF$6,IF(OR(COUNTIF('1.연간시수표'!AJ29,$BO$9),COUNTIF('1.연간시수표'!AJ29,$BO$7)),$BO$6,IF(OR(COUNTIF('1.연간시수표'!AJ29,$BP$9),COUNTIF('1.연간시수표'!AJ29,$BP$7)),$BP$6,IF(OR(COUNTIF('1.연간시수표'!AJ29,$BQ$9),COUNTIF('1.연간시수표'!AJ29,$BQ$7)),$BQ$6,IF(OR(COUNTIF('1.연간시수표'!AJ29,$BR$9),COUNTIF('1.연간시수표'!AJ29,$BR$7)),$BR$6,"_")))))))))))))))</f>
        <v>_</v>
      </c>
      <c r="AK29" s="148" t="str">
        <f>IF(OR(COUNTIF('1.연간시수표'!AK29,$AT$9),COUNTIF('1.연간시수표'!AK29,$AT$7)),$AT$6,IF(OR(COUNTIF('1.연간시수표'!AK29,$AU$9),COUNTIF('1.연간시수표'!AK29,$AU$7)),$AU$6,IF(OR(COUNTIF('1.연간시수표'!AK29,$AV$9),COUNTIF('1.연간시수표'!AK29,$AV$7)),$AV$6,IF(OR(COUNTIF('1.연간시수표'!AK29,$AW$9),COUNTIF('1.연간시수표'!AK29,$AW$7)),$AW$6,IF(OR(COUNTIF('1.연간시수표'!AK29,$AX$9),COUNTIF('1.연간시수표'!AK29,$AX$7)),$AX$6,IF(OR(COUNTIF('1.연간시수표'!AK29,$AY$9),COUNTIF('1.연간시수표'!AK29,$AY$7)),$AY$6,IF(OR(COUNTIF('1.연간시수표'!AK29,$AZ$9),COUNTIF('1.연간시수표'!AK29,$AZ$7)),$AZ$6,IF(OR(COUNTIF('1.연간시수표'!AK29,$BA$9),COUNTIF('1.연간시수표'!AK29,$BA$7)),$BA$6,IF(OR(COUNTIF('1.연간시수표'!AK29,$BB$9),COUNTIF('1.연간시수표'!AK29,$BB$7)),$BB$6,IF(OR(COUNTIF('1.연간시수표'!AK29,$BC$9),COUNTIF('1.연간시수표'!AK29,$BC$7)),$BC$6,IF(OR(COUNTIF('1.연간시수표'!AK29,$BF$9),COUNTIF('1.연간시수표'!AK29,$BF$7),COUNTIF('1.연간시수표'!AK29,$BG$9),COUNTIF('1.연간시수표'!AK29,$BG$7),COUNTIF('1.연간시수표'!AK29,$BH$9),COUNTIF('1.연간시수표'!AK29,$BH$7),COUNTIF('1.연간시수표'!AK29,$BI$9),COUNTIF('1.연간시수표'!AK29,$BI$7),COUNTIF('1.연간시수표'!AK29,$BJ$9),COUNTIF('1.연간시수표'!AK29,$BJ$7),COUNTIF('1.연간시수표'!AK29,$BK$9),COUNTIF('1.연간시수표'!AK29,$BK$7),COUNTIF('1.연간시수표'!AK29,$BL$9),COUNTIF('1.연간시수표'!AK29,$BL$7),COUNTIF('1.연간시수표'!AK29,$BM$9),COUNTIF('1.연간시수표'!AK29,$BM$7)),$BF$6,IF(OR(COUNTIF('1.연간시수표'!AK29,$BO$9),COUNTIF('1.연간시수표'!AK29,$BO$7)),$BO$6,IF(OR(COUNTIF('1.연간시수표'!AK29,$BP$9),COUNTIF('1.연간시수표'!AK29,$BP$7)),$BP$6,IF(OR(COUNTIF('1.연간시수표'!AK29,$BQ$9),COUNTIF('1.연간시수표'!AK29,$BQ$7)),$BQ$6,IF(OR(COUNTIF('1.연간시수표'!AK29,$BR$9),COUNTIF('1.연간시수표'!AK29,$BR$7)),$BR$6,"_")))))))))))))))</f>
        <v>국어</v>
      </c>
      <c r="AL29" s="148" t="str">
        <f>IF(OR(COUNTIF('1.연간시수표'!AL29,$AT$9),COUNTIF('1.연간시수표'!AL29,$AT$7)),$AT$6,IF(OR(COUNTIF('1.연간시수표'!AL29,$AU$9),COUNTIF('1.연간시수표'!AL29,$AU$7)),$AU$6,IF(OR(COUNTIF('1.연간시수표'!AL29,$AV$9),COUNTIF('1.연간시수표'!AL29,$AV$7)),$AV$6,IF(OR(COUNTIF('1.연간시수표'!AL29,$AW$9),COUNTIF('1.연간시수표'!AL29,$AW$7)),$AW$6,IF(OR(COUNTIF('1.연간시수표'!AL29,$AX$9),COUNTIF('1.연간시수표'!AL29,$AX$7)),$AX$6,IF(OR(COUNTIF('1.연간시수표'!AL29,$AY$9),COUNTIF('1.연간시수표'!AL29,$AY$7)),$AY$6,IF(OR(COUNTIF('1.연간시수표'!AL29,$AZ$9),COUNTIF('1.연간시수표'!AL29,$AZ$7)),$AZ$6,IF(OR(COUNTIF('1.연간시수표'!AL29,$BA$9),COUNTIF('1.연간시수표'!AL29,$BA$7)),$BA$6,IF(OR(COUNTIF('1.연간시수표'!AL29,$BB$9),COUNTIF('1.연간시수표'!AL29,$BB$7)),$BB$6,IF(OR(COUNTIF('1.연간시수표'!AL29,$BC$9),COUNTIF('1.연간시수표'!AL29,$BC$7)),$BC$6,IF(OR(COUNTIF('1.연간시수표'!AL29,$BF$9),COUNTIF('1.연간시수표'!AL29,$BF$7),COUNTIF('1.연간시수표'!AL29,$BG$9),COUNTIF('1.연간시수표'!AL29,$BG$7),COUNTIF('1.연간시수표'!AL29,$BH$9),COUNTIF('1.연간시수표'!AL29,$BH$7),COUNTIF('1.연간시수표'!AL29,$BI$9),COUNTIF('1.연간시수표'!AL29,$BI$7),COUNTIF('1.연간시수표'!AL29,$BJ$9),COUNTIF('1.연간시수표'!AL29,$BJ$7),COUNTIF('1.연간시수표'!AL29,$BK$9),COUNTIF('1.연간시수표'!AL29,$BK$7),COUNTIF('1.연간시수표'!AL29,$BL$9),COUNTIF('1.연간시수표'!AL29,$BL$7),COUNTIF('1.연간시수표'!AL29,$BM$9),COUNTIF('1.연간시수표'!AL29,$BM$7)),$BF$6,IF(OR(COUNTIF('1.연간시수표'!AL29,$BO$9),COUNTIF('1.연간시수표'!AL29,$BO$7)),$BO$6,IF(OR(COUNTIF('1.연간시수표'!AL29,$BP$9),COUNTIF('1.연간시수표'!AL29,$BP$7)),$BP$6,IF(OR(COUNTIF('1.연간시수표'!AL29,$BQ$9),COUNTIF('1.연간시수표'!AL29,$BQ$7)),$BQ$6,IF(OR(COUNTIF('1.연간시수표'!AL29,$BR$9),COUNTIF('1.연간시수표'!AL29,$BR$7)),$BR$6,"_")))))))))))))))</f>
        <v>체육</v>
      </c>
      <c r="AM29" s="148" t="str">
        <f>IF(OR(COUNTIF('1.연간시수표'!AM29,$AT$9),COUNTIF('1.연간시수표'!AM29,$AT$7)),$AT$6,IF(OR(COUNTIF('1.연간시수표'!AM29,$AU$9),COUNTIF('1.연간시수표'!AM29,$AU$7)),$AU$6,IF(OR(COUNTIF('1.연간시수표'!AM29,$AV$9),COUNTIF('1.연간시수표'!AM29,$AV$7)),$AV$6,IF(OR(COUNTIF('1.연간시수표'!AM29,$AW$9),COUNTIF('1.연간시수표'!AM29,$AW$7)),$AW$6,IF(OR(COUNTIF('1.연간시수표'!AM29,$AX$9),COUNTIF('1.연간시수표'!AM29,$AX$7)),$AX$6,IF(OR(COUNTIF('1.연간시수표'!AM29,$AY$9),COUNTIF('1.연간시수표'!AM29,$AY$7)),$AY$6,IF(OR(COUNTIF('1.연간시수표'!AM29,$AZ$9),COUNTIF('1.연간시수표'!AM29,$AZ$7)),$AZ$6,IF(OR(COUNTIF('1.연간시수표'!AM29,$BA$9),COUNTIF('1.연간시수표'!AM29,$BA$7)),$BA$6,IF(OR(COUNTIF('1.연간시수표'!AM29,$BB$9),COUNTIF('1.연간시수표'!AM29,$BB$7)),$BB$6,IF(OR(COUNTIF('1.연간시수표'!AM29,$BC$9),COUNTIF('1.연간시수표'!AM29,$BC$7)),$BC$6,IF(OR(COUNTIF('1.연간시수표'!AM29,$BF$9),COUNTIF('1.연간시수표'!AM29,$BF$7),COUNTIF('1.연간시수표'!AM29,$BG$9),COUNTIF('1.연간시수표'!AM29,$BG$7),COUNTIF('1.연간시수표'!AM29,$BH$9),COUNTIF('1.연간시수표'!AM29,$BH$7),COUNTIF('1.연간시수표'!AM29,$BI$9),COUNTIF('1.연간시수표'!AM29,$BI$7),COUNTIF('1.연간시수표'!AM29,$BJ$9),COUNTIF('1.연간시수표'!AM29,$BJ$7),COUNTIF('1.연간시수표'!AM29,$BK$9),COUNTIF('1.연간시수표'!AM29,$BK$7),COUNTIF('1.연간시수표'!AM29,$BL$9),COUNTIF('1.연간시수표'!AM29,$BL$7),COUNTIF('1.연간시수표'!AM29,$BM$9),COUNTIF('1.연간시수표'!AM29,$BM$7)),$BF$6,IF(OR(COUNTIF('1.연간시수표'!AM29,$BO$9),COUNTIF('1.연간시수표'!AM29,$BO$7)),$BO$6,IF(OR(COUNTIF('1.연간시수표'!AM29,$BP$9),COUNTIF('1.연간시수표'!AM29,$BP$7)),$BP$6,IF(OR(COUNTIF('1.연간시수표'!AM29,$BQ$9),COUNTIF('1.연간시수표'!AM29,$BQ$7)),$BQ$6,IF(OR(COUNTIF('1.연간시수표'!AM29,$BR$9),COUNTIF('1.연간시수표'!AM29,$BR$7)),$BR$6,"_")))))))))))))))</f>
        <v>체육</v>
      </c>
      <c r="AN29" s="148" t="str">
        <f>IF(OR(COUNTIF('1.연간시수표'!AN29,$AT$9),COUNTIF('1.연간시수표'!AN29,$AT$7)),$AT$6,IF(OR(COUNTIF('1.연간시수표'!AN29,$AU$9),COUNTIF('1.연간시수표'!AN29,$AU$7)),$AU$6,IF(OR(COUNTIF('1.연간시수표'!AN29,$AV$9),COUNTIF('1.연간시수표'!AN29,$AV$7)),$AV$6,IF(OR(COUNTIF('1.연간시수표'!AN29,$AW$9),COUNTIF('1.연간시수표'!AN29,$AW$7)),$AW$6,IF(OR(COUNTIF('1.연간시수표'!AN29,$AX$9),COUNTIF('1.연간시수표'!AN29,$AX$7)),$AX$6,IF(OR(COUNTIF('1.연간시수표'!AN29,$AY$9),COUNTIF('1.연간시수표'!AN29,$AY$7)),$AY$6,IF(OR(COUNTIF('1.연간시수표'!AN29,$AZ$9),COUNTIF('1.연간시수표'!AN29,$AZ$7)),$AZ$6,IF(OR(COUNTIF('1.연간시수표'!AN29,$BA$9),COUNTIF('1.연간시수표'!AN29,$BA$7)),$BA$6,IF(OR(COUNTIF('1.연간시수표'!AN29,$BB$9),COUNTIF('1.연간시수표'!AN29,$BB$7)),$BB$6,IF(OR(COUNTIF('1.연간시수표'!AN29,$BC$9),COUNTIF('1.연간시수표'!AN29,$BC$7)),$BC$6,IF(OR(COUNTIF('1.연간시수표'!AN29,$BF$9),COUNTIF('1.연간시수표'!AN29,$BF$7),COUNTIF('1.연간시수표'!AN29,$BG$9),COUNTIF('1.연간시수표'!AN29,$BG$7),COUNTIF('1.연간시수표'!AN29,$BH$9),COUNTIF('1.연간시수표'!AN29,$BH$7),COUNTIF('1.연간시수표'!AN29,$BI$9),COUNTIF('1.연간시수표'!AN29,$BI$7),COUNTIF('1.연간시수표'!AN29,$BJ$9),COUNTIF('1.연간시수표'!AN29,$BJ$7),COUNTIF('1.연간시수표'!AN29,$BK$9),COUNTIF('1.연간시수표'!AN29,$BK$7),COUNTIF('1.연간시수표'!AN29,$BL$9),COUNTIF('1.연간시수표'!AN29,$BL$7),COUNTIF('1.연간시수표'!AN29,$BM$9),COUNTIF('1.연간시수표'!AN29,$BM$7)),$BF$6,IF(OR(COUNTIF('1.연간시수표'!AN29,$BO$9),COUNTIF('1.연간시수표'!AN29,$BO$7)),$BO$6,IF(OR(COUNTIF('1.연간시수표'!AN29,$BP$9),COUNTIF('1.연간시수표'!AN29,$BP$7)),$BP$6,IF(OR(COUNTIF('1.연간시수표'!AN29,$BQ$9),COUNTIF('1.연간시수표'!AN29,$BQ$7)),$BQ$6,IF(OR(COUNTIF('1.연간시수표'!AN29,$BR$9),COUNTIF('1.연간시수표'!AN29,$BR$7)),$BR$6,"_")))))))))))))))</f>
        <v>자율활동</v>
      </c>
      <c r="AO29" s="148" t="str">
        <f>IF(OR(COUNTIF('1.연간시수표'!AO29,$AT$9),COUNTIF('1.연간시수표'!AO29,$AT$7)),$AT$6,IF(OR(COUNTIF('1.연간시수표'!AO29,$AU$9),COUNTIF('1.연간시수표'!AO29,$AU$7)),$AU$6,IF(OR(COUNTIF('1.연간시수표'!AO29,$AV$9),COUNTIF('1.연간시수표'!AO29,$AV$7)),$AV$6,IF(OR(COUNTIF('1.연간시수표'!AO29,$AW$9),COUNTIF('1.연간시수표'!AO29,$AW$7)),$AW$6,IF(OR(COUNTIF('1.연간시수표'!AO29,$AX$9),COUNTIF('1.연간시수표'!AO29,$AX$7)),$AX$6,IF(OR(COUNTIF('1.연간시수표'!AO29,$AY$9),COUNTIF('1.연간시수표'!AO29,$AY$7)),$AY$6,IF(OR(COUNTIF('1.연간시수표'!AO29,$AZ$9),COUNTIF('1.연간시수표'!AO29,$AZ$7)),$AZ$6,IF(OR(COUNTIF('1.연간시수표'!AO29,$BA$9),COUNTIF('1.연간시수표'!AO29,$BA$7)),$BA$6,IF(OR(COUNTIF('1.연간시수표'!AO29,$BB$9),COUNTIF('1.연간시수표'!AO29,$BB$7)),$BB$6,IF(OR(COUNTIF('1.연간시수표'!AO29,$BC$9),COUNTIF('1.연간시수표'!AO29,$BC$7)),$BC$6,IF(OR(COUNTIF('1.연간시수표'!AO29,$BF$9),COUNTIF('1.연간시수표'!AO29,$BF$7),COUNTIF('1.연간시수표'!AO29,$BG$9),COUNTIF('1.연간시수표'!AO29,$BG$7),COUNTIF('1.연간시수표'!AO29,$BH$9),COUNTIF('1.연간시수표'!AO29,$BH$7),COUNTIF('1.연간시수표'!AO29,$BI$9),COUNTIF('1.연간시수표'!AO29,$BI$7),COUNTIF('1.연간시수표'!AO29,$BJ$9),COUNTIF('1.연간시수표'!AO29,$BJ$7),COUNTIF('1.연간시수표'!AO29,$BK$9),COUNTIF('1.연간시수표'!AO29,$BK$7),COUNTIF('1.연간시수표'!AO29,$BL$9),COUNTIF('1.연간시수표'!AO29,$BL$7),COUNTIF('1.연간시수표'!AO29,$BM$9),COUNTIF('1.연간시수표'!AO29,$BM$7)),$BF$6,IF(OR(COUNTIF('1.연간시수표'!AO29,$BO$9),COUNTIF('1.연간시수표'!AO29,$BO$7)),$BO$6,IF(OR(COUNTIF('1.연간시수표'!AO29,$BP$9),COUNTIF('1.연간시수표'!AO29,$BP$7)),$BP$6,IF(OR(COUNTIF('1.연간시수표'!AO29,$BQ$9),COUNTIF('1.연간시수표'!AO29,$BQ$7)),$BQ$6,IF(OR(COUNTIF('1.연간시수표'!AO29,$BR$9),COUNTIF('1.연간시수표'!AO29,$BR$7)),$BR$6,"_")))))))))))))))</f>
        <v>봉사활동</v>
      </c>
      <c r="AP29" s="148" t="str">
        <f>IF(OR(COUNTIF('1.연간시수표'!AP29,$AT$9),COUNTIF('1.연간시수표'!AP29,$AT$7)),$AT$6,IF(OR(COUNTIF('1.연간시수표'!AP29,$AU$9),COUNTIF('1.연간시수표'!AP29,$AU$7)),$AU$6,IF(OR(COUNTIF('1.연간시수표'!AP29,$AV$9),COUNTIF('1.연간시수표'!AP29,$AV$7)),$AV$6,IF(OR(COUNTIF('1.연간시수표'!AP29,$AW$9),COUNTIF('1.연간시수표'!AP29,$AW$7)),$AW$6,IF(OR(COUNTIF('1.연간시수표'!AP29,$AX$9),COUNTIF('1.연간시수표'!AP29,$AX$7)),$AX$6,IF(OR(COUNTIF('1.연간시수표'!AP29,$AY$9),COUNTIF('1.연간시수표'!AP29,$AY$7)),$AY$6,IF(OR(COUNTIF('1.연간시수표'!AP29,$AZ$9),COUNTIF('1.연간시수표'!AP29,$AZ$7)),$AZ$6,IF(OR(COUNTIF('1.연간시수표'!AP29,$BA$9),COUNTIF('1.연간시수표'!AP29,$BA$7)),$BA$6,IF(OR(COUNTIF('1.연간시수표'!AP29,$BB$9),COUNTIF('1.연간시수표'!AP29,$BB$7)),$BB$6,IF(OR(COUNTIF('1.연간시수표'!AP29,$BC$9),COUNTIF('1.연간시수표'!AP29,$BC$7)),$BC$6,IF(OR(COUNTIF('1.연간시수표'!AP29,$BF$9),COUNTIF('1.연간시수표'!AP29,$BF$7),COUNTIF('1.연간시수표'!AP29,$BG$9),COUNTIF('1.연간시수표'!AP29,$BG$7),COUNTIF('1.연간시수표'!AP29,$BH$9),COUNTIF('1.연간시수표'!AP29,$BH$7),COUNTIF('1.연간시수표'!AP29,$BI$9),COUNTIF('1.연간시수표'!AP29,$BI$7),COUNTIF('1.연간시수표'!AP29,$BJ$9),COUNTIF('1.연간시수표'!AP29,$BJ$7),COUNTIF('1.연간시수표'!AP29,$BK$9),COUNTIF('1.연간시수표'!AP29,$BK$7),COUNTIF('1.연간시수표'!AP29,$BL$9),COUNTIF('1.연간시수표'!AP29,$BL$7),COUNTIF('1.연간시수표'!AP29,$BM$9),COUNTIF('1.연간시수표'!AP29,$BM$7)),$BF$6,IF(OR(COUNTIF('1.연간시수표'!AP29,$BO$9),COUNTIF('1.연간시수표'!AP29,$BO$7)),$BO$6,IF(OR(COUNTIF('1.연간시수표'!AP29,$BP$9),COUNTIF('1.연간시수표'!AP29,$BP$7)),$BP$6,IF(OR(COUNTIF('1.연간시수표'!AP29,$BQ$9),COUNTIF('1.연간시수표'!AP29,$BQ$7)),$BQ$6,IF(OR(COUNTIF('1.연간시수표'!AP29,$BR$9),COUNTIF('1.연간시수표'!AP29,$BR$7)),$BR$6,"_")))))))))))))))</f>
        <v>_</v>
      </c>
      <c r="AQ29" s="148" t="str">
        <f>IF(OR(COUNTIF('1.연간시수표'!AQ29,$AT$9),COUNTIF('1.연간시수표'!AQ29,$AT$7)),$AT$6,IF(OR(COUNTIF('1.연간시수표'!AQ29,$AU$9),COUNTIF('1.연간시수표'!AQ29,$AU$7)),$AU$6,IF(OR(COUNTIF('1.연간시수표'!AQ29,$AV$9),COUNTIF('1.연간시수표'!AQ29,$AV$7)),$AV$6,IF(OR(COUNTIF('1.연간시수표'!AQ29,$AW$9),COUNTIF('1.연간시수표'!AQ29,$AW$7)),$AW$6,IF(OR(COUNTIF('1.연간시수표'!AQ29,$AX$9),COUNTIF('1.연간시수표'!AQ29,$AX$7)),$AX$6,IF(OR(COUNTIF('1.연간시수표'!AQ29,$AY$9),COUNTIF('1.연간시수표'!AQ29,$AY$7)),$AY$6,IF(OR(COUNTIF('1.연간시수표'!AQ29,$AZ$9),COUNTIF('1.연간시수표'!AQ29,$AZ$7)),$AZ$6,IF(OR(COUNTIF('1.연간시수표'!AQ29,$BA$9),COUNTIF('1.연간시수표'!AQ29,$BA$7)),$BA$6,IF(OR(COUNTIF('1.연간시수표'!AQ29,$BB$9),COUNTIF('1.연간시수표'!AQ29,$BB$7)),$BB$6,IF(OR(COUNTIF('1.연간시수표'!AQ29,$BC$9),COUNTIF('1.연간시수표'!AQ29,$BC$7)),$BC$6,IF(OR(COUNTIF('1.연간시수표'!AQ29,$BF$9),COUNTIF('1.연간시수표'!AQ29,$BF$7),COUNTIF('1.연간시수표'!AQ29,$BG$9),COUNTIF('1.연간시수표'!AQ29,$BG$7),COUNTIF('1.연간시수표'!AQ29,$BH$9),COUNTIF('1.연간시수표'!AQ29,$BH$7),COUNTIF('1.연간시수표'!AQ29,$BI$9),COUNTIF('1.연간시수표'!AQ29,$BI$7),COUNTIF('1.연간시수표'!AQ29,$BJ$9),COUNTIF('1.연간시수표'!AQ29,$BJ$7),COUNTIF('1.연간시수표'!AQ29,$BK$9),COUNTIF('1.연간시수표'!AQ29,$BK$7),COUNTIF('1.연간시수표'!AQ29,$BL$9),COUNTIF('1.연간시수표'!AQ29,$BL$7),COUNTIF('1.연간시수표'!AQ29,$BM$9),COUNTIF('1.연간시수표'!AQ29,$BM$7)),$BF$6,IF(OR(COUNTIF('1.연간시수표'!AQ29,$BO$9),COUNTIF('1.연간시수표'!AQ29,$BO$7)),$BO$6,IF(OR(COUNTIF('1.연간시수표'!AQ29,$BP$9),COUNTIF('1.연간시수표'!AQ29,$BP$7)),$BP$6,IF(OR(COUNTIF('1.연간시수표'!AQ29,$BQ$9),COUNTIF('1.연간시수표'!AQ29,$BQ$7)),$BQ$6,IF(OR(COUNTIF('1.연간시수표'!AQ29,$BR$9),COUNTIF('1.연간시수표'!AQ29,$BR$7)),$BR$6,"_")))))))))))))))</f>
        <v>_</v>
      </c>
      <c r="AR29" s="148" t="str">
        <f>IF(OR(COUNTIF('1.연간시수표'!AR29,$AT$9),COUNTIF('1.연간시수표'!AR29,$AT$7)),$AT$6,IF(OR(COUNTIF('1.연간시수표'!AR29,$AU$9),COUNTIF('1.연간시수표'!AR29,$AU$7)),$AU$6,IF(OR(COUNTIF('1.연간시수표'!AR29,$AV$9),COUNTIF('1.연간시수표'!AR29,$AV$7)),$AV$6,IF(OR(COUNTIF('1.연간시수표'!AR29,$AW$9),COUNTIF('1.연간시수표'!AR29,$AW$7)),$AW$6,IF(OR(COUNTIF('1.연간시수표'!AR29,$AX$9),COUNTIF('1.연간시수표'!AR29,$AX$7)),$AX$6,IF(OR(COUNTIF('1.연간시수표'!AR29,$AY$9),COUNTIF('1.연간시수표'!AR29,$AY$7)),$AY$6,IF(OR(COUNTIF('1.연간시수표'!AR29,$AZ$9),COUNTIF('1.연간시수표'!AR29,$AZ$7)),$AZ$6,IF(OR(COUNTIF('1.연간시수표'!AR29,$BA$9),COUNTIF('1.연간시수표'!AR29,$BA$7)),$BA$6,IF(OR(COUNTIF('1.연간시수표'!AR29,$BB$9),COUNTIF('1.연간시수표'!AR29,$BB$7)),$BB$6,IF(OR(COUNTIF('1.연간시수표'!AR29,$BC$9),COUNTIF('1.연간시수표'!AR29,$BC$7)),$BC$6,IF(OR(COUNTIF('1.연간시수표'!AR29,$BF$9),COUNTIF('1.연간시수표'!AR29,$BF$7),COUNTIF('1.연간시수표'!AR29,$BG$9),COUNTIF('1.연간시수표'!AR29,$BG$7),COUNTIF('1.연간시수표'!AR29,$BH$9),COUNTIF('1.연간시수표'!AR29,$BH$7),COUNTIF('1.연간시수표'!AR29,$BI$9),COUNTIF('1.연간시수표'!AR29,$BI$7),COUNTIF('1.연간시수표'!AR29,$BJ$9),COUNTIF('1.연간시수표'!AR29,$BJ$7),COUNTIF('1.연간시수표'!AR29,$BK$9),COUNTIF('1.연간시수표'!AR29,$BK$7),COUNTIF('1.연간시수표'!AR29,$BL$9),COUNTIF('1.연간시수표'!AR29,$BL$7),COUNTIF('1.연간시수표'!AR29,$BM$9),COUNTIF('1.연간시수표'!AR29,$BM$7)),$BF$6,IF(OR(COUNTIF('1.연간시수표'!AR29,$BO$9),COUNTIF('1.연간시수표'!AR29,$BO$7)),$BO$6,IF(OR(COUNTIF('1.연간시수표'!AR29,$BP$9),COUNTIF('1.연간시수표'!AR29,$BP$7)),$BP$6,IF(OR(COUNTIF('1.연간시수표'!AR29,$BQ$9),COUNTIF('1.연간시수표'!AR29,$BQ$7)),$BQ$6,IF(OR(COUNTIF('1.연간시수표'!AR29,$BR$9),COUNTIF('1.연간시수표'!AR29,$BR$7)),$BR$6,"_")))))))))))))))</f>
        <v>_</v>
      </c>
      <c r="BU29" s="34"/>
      <c r="BV29" s="34"/>
    </row>
    <row r="30" spans="2:74">
      <c r="B30" s="6"/>
      <c r="C30" s="79">
        <f>'1.연간시수표'!C30</f>
        <v>21</v>
      </c>
      <c r="D30" s="3"/>
      <c r="E30" s="148" t="str">
        <f>IF(OR(COUNTIF('1.연간시수표'!E30,$AT$9),COUNTIF('1.연간시수표'!E30,$AT$7)),$AT$6,IF(OR(COUNTIF('1.연간시수표'!E30,$AU$9),COUNTIF('1.연간시수표'!E30,$AU$7)),$AU$6,IF(OR(COUNTIF('1.연간시수표'!E30,$AV$9),COUNTIF('1.연간시수표'!E30,$AV$7)),$AV$6,IF(OR(COUNTIF('1.연간시수표'!E30,$AW$9),COUNTIF('1.연간시수표'!E30,$AW$7)),$AW$6,IF(OR(COUNTIF('1.연간시수표'!E30,$AX$9),COUNTIF('1.연간시수표'!E30,$AX$7)),$AX$6,IF(OR(COUNTIF('1.연간시수표'!E30,$AY$9),COUNTIF('1.연간시수표'!E30,$AY$7)),$AY$6,IF(OR(COUNTIF('1.연간시수표'!E30,$AZ$9),COUNTIF('1.연간시수표'!E30,$AZ$7)),$AZ$6,IF(OR(COUNTIF('1.연간시수표'!E30,$BA$9),COUNTIF('1.연간시수표'!E30,$BA$7)),$BA$6,IF(OR(COUNTIF('1.연간시수표'!E30,$BB$9),COUNTIF('1.연간시수표'!E30,$BB$7)),$BB$6,IF(OR(COUNTIF('1.연간시수표'!E30,$BC$9),COUNTIF('1.연간시수표'!E30,$BC$7)),$BC$6,IF(OR(COUNTIF('1.연간시수표'!E30,$BF$9),COUNTIF('1.연간시수표'!E30,$BF$7),COUNTIF('1.연간시수표'!E30,$BG$9),COUNTIF('1.연간시수표'!E30,$BG$7),COUNTIF('1.연간시수표'!E30,$BH$9),COUNTIF('1.연간시수표'!E30,$BH$7),COUNTIF('1.연간시수표'!E30,$BI$9),COUNTIF('1.연간시수표'!E30,$BI$7),COUNTIF('1.연간시수표'!E30,$BJ$9),COUNTIF('1.연간시수표'!E30,$BJ$7),COUNTIF('1.연간시수표'!E30,$BK$9),COUNTIF('1.연간시수표'!E30,$BK$7),COUNTIF('1.연간시수표'!E30,$BL$9),COUNTIF('1.연간시수표'!E30,$BL$7),COUNTIF('1.연간시수표'!E30,$BM$9),COUNTIF('1.연간시수표'!E30,$BM$7)),$BF$6,IF(OR(COUNTIF('1.연간시수표'!E30,$BO$9),COUNTIF('1.연간시수표'!E30,$BO$7)),$BO$6,IF(OR(COUNTIF('1.연간시수표'!E30,$BP$9),COUNTIF('1.연간시수표'!E30,$BP$7)),$BP$6,IF(OR(COUNTIF('1.연간시수표'!E30,$BQ$9),COUNTIF('1.연간시수표'!E30,$BQ$7)),$BQ$6,IF(OR(COUNTIF('1.연간시수표'!E30,$BR$9),COUNTIF('1.연간시수표'!E30,$BR$7)),$BR$6,"_")))))))))))))))</f>
        <v>_</v>
      </c>
      <c r="F30" s="148" t="str">
        <f>IF(OR(COUNTIF('1.연간시수표'!F30,$AT$9),COUNTIF('1.연간시수표'!F30,$AT$7)),$AT$6,IF(OR(COUNTIF('1.연간시수표'!F30,$AU$9),COUNTIF('1.연간시수표'!F30,$AU$7)),$AU$6,IF(OR(COUNTIF('1.연간시수표'!F30,$AV$9),COUNTIF('1.연간시수표'!F30,$AV$7)),$AV$6,IF(OR(COUNTIF('1.연간시수표'!F30,$AW$9),COUNTIF('1.연간시수표'!F30,$AW$7)),$AW$6,IF(OR(COUNTIF('1.연간시수표'!F30,$AX$9),COUNTIF('1.연간시수표'!F30,$AX$7)),$AX$6,IF(OR(COUNTIF('1.연간시수표'!F30,$AY$9),COUNTIF('1.연간시수표'!F30,$AY$7)),$AY$6,IF(OR(COUNTIF('1.연간시수표'!F30,$AZ$9),COUNTIF('1.연간시수표'!F30,$AZ$7)),$AZ$6,IF(OR(COUNTIF('1.연간시수표'!F30,$BA$9),COUNTIF('1.연간시수표'!F30,$BA$7)),$BA$6,IF(OR(COUNTIF('1.연간시수표'!F30,$BB$9),COUNTIF('1.연간시수표'!F30,$BB$7)),$BB$6,IF(OR(COUNTIF('1.연간시수표'!F30,$BC$9),COUNTIF('1.연간시수표'!F30,$BC$7)),$BC$6,IF(OR(COUNTIF('1.연간시수표'!F30,$BF$9),COUNTIF('1.연간시수표'!F30,$BF$7),COUNTIF('1.연간시수표'!F30,$BG$9),COUNTIF('1.연간시수표'!F30,$BG$7),COUNTIF('1.연간시수표'!F30,$BH$9),COUNTIF('1.연간시수표'!F30,$BH$7),COUNTIF('1.연간시수표'!F30,$BI$9),COUNTIF('1.연간시수표'!F30,$BI$7),COUNTIF('1.연간시수표'!F30,$BJ$9),COUNTIF('1.연간시수표'!F30,$BJ$7),COUNTIF('1.연간시수표'!F30,$BK$9),COUNTIF('1.연간시수표'!F30,$BK$7),COUNTIF('1.연간시수표'!F30,$BL$9),COUNTIF('1.연간시수표'!F30,$BL$7),COUNTIF('1.연간시수표'!F30,$BM$9),COUNTIF('1.연간시수표'!F30,$BM$7)),$BF$6,IF(OR(COUNTIF('1.연간시수표'!F30,$BO$9),COUNTIF('1.연간시수표'!F30,$BO$7)),$BO$6,IF(OR(COUNTIF('1.연간시수표'!F30,$BP$9),COUNTIF('1.연간시수표'!F30,$BP$7)),$BP$6,IF(OR(COUNTIF('1.연간시수표'!F30,$BQ$9),COUNTIF('1.연간시수표'!F30,$BQ$7)),$BQ$6,IF(OR(COUNTIF('1.연간시수표'!F30,$BR$9),COUNTIF('1.연간시수표'!F30,$BR$7)),$BR$6,"_")))))))))))))))</f>
        <v>_</v>
      </c>
      <c r="G30" s="148" t="str">
        <f>IF(OR(COUNTIF('1.연간시수표'!G30,$AT$9),COUNTIF('1.연간시수표'!G30,$AT$7)),$AT$6,IF(OR(COUNTIF('1.연간시수표'!G30,$AU$9),COUNTIF('1.연간시수표'!G30,$AU$7)),$AU$6,IF(OR(COUNTIF('1.연간시수표'!G30,$AV$9),COUNTIF('1.연간시수표'!G30,$AV$7)),$AV$6,IF(OR(COUNTIF('1.연간시수표'!G30,$AW$9),COUNTIF('1.연간시수표'!G30,$AW$7)),$AW$6,IF(OR(COUNTIF('1.연간시수표'!G30,$AX$9),COUNTIF('1.연간시수표'!G30,$AX$7)),$AX$6,IF(OR(COUNTIF('1.연간시수표'!G30,$AY$9),COUNTIF('1.연간시수표'!G30,$AY$7)),$AY$6,IF(OR(COUNTIF('1.연간시수표'!G30,$AZ$9),COUNTIF('1.연간시수표'!G30,$AZ$7)),$AZ$6,IF(OR(COUNTIF('1.연간시수표'!G30,$BA$9),COUNTIF('1.연간시수표'!G30,$BA$7)),$BA$6,IF(OR(COUNTIF('1.연간시수표'!G30,$BB$9),COUNTIF('1.연간시수표'!G30,$BB$7)),$BB$6,IF(OR(COUNTIF('1.연간시수표'!G30,$BC$9),COUNTIF('1.연간시수표'!G30,$BC$7)),$BC$6,IF(OR(COUNTIF('1.연간시수표'!G30,$BF$9),COUNTIF('1.연간시수표'!G30,$BF$7),COUNTIF('1.연간시수표'!G30,$BG$9),COUNTIF('1.연간시수표'!G30,$BG$7),COUNTIF('1.연간시수표'!G30,$BH$9),COUNTIF('1.연간시수표'!G30,$BH$7),COUNTIF('1.연간시수표'!G30,$BI$9),COUNTIF('1.연간시수표'!G30,$BI$7),COUNTIF('1.연간시수표'!G30,$BJ$9),COUNTIF('1.연간시수표'!G30,$BJ$7),COUNTIF('1.연간시수표'!G30,$BK$9),COUNTIF('1.연간시수표'!G30,$BK$7),COUNTIF('1.연간시수표'!G30,$BL$9),COUNTIF('1.연간시수표'!G30,$BL$7),COUNTIF('1.연간시수표'!G30,$BM$9),COUNTIF('1.연간시수표'!G30,$BM$7)),$BF$6,IF(OR(COUNTIF('1.연간시수표'!G30,$BO$9),COUNTIF('1.연간시수표'!G30,$BO$7)),$BO$6,IF(OR(COUNTIF('1.연간시수표'!G30,$BP$9),COUNTIF('1.연간시수표'!G30,$BP$7)),$BP$6,IF(OR(COUNTIF('1.연간시수표'!G30,$BQ$9),COUNTIF('1.연간시수표'!G30,$BQ$7)),$BQ$6,IF(OR(COUNTIF('1.연간시수표'!G30,$BR$9),COUNTIF('1.연간시수표'!G30,$BR$7)),$BR$6,"_")))))))))))))))</f>
        <v>_</v>
      </c>
      <c r="H30" s="148" t="str">
        <f>IF(OR(COUNTIF('1.연간시수표'!H30,$AT$9),COUNTIF('1.연간시수표'!H30,$AT$7)),$AT$6,IF(OR(COUNTIF('1.연간시수표'!H30,$AU$9),COUNTIF('1.연간시수표'!H30,$AU$7)),$AU$6,IF(OR(COUNTIF('1.연간시수표'!H30,$AV$9),COUNTIF('1.연간시수표'!H30,$AV$7)),$AV$6,IF(OR(COUNTIF('1.연간시수표'!H30,$AW$9),COUNTIF('1.연간시수표'!H30,$AW$7)),$AW$6,IF(OR(COUNTIF('1.연간시수표'!H30,$AX$9),COUNTIF('1.연간시수표'!H30,$AX$7)),$AX$6,IF(OR(COUNTIF('1.연간시수표'!H30,$AY$9),COUNTIF('1.연간시수표'!H30,$AY$7)),$AY$6,IF(OR(COUNTIF('1.연간시수표'!H30,$AZ$9),COUNTIF('1.연간시수표'!H30,$AZ$7)),$AZ$6,IF(OR(COUNTIF('1.연간시수표'!H30,$BA$9),COUNTIF('1.연간시수표'!H30,$BA$7)),$BA$6,IF(OR(COUNTIF('1.연간시수표'!H30,$BB$9),COUNTIF('1.연간시수표'!H30,$BB$7)),$BB$6,IF(OR(COUNTIF('1.연간시수표'!H30,$BC$9),COUNTIF('1.연간시수표'!H30,$BC$7)),$BC$6,IF(OR(COUNTIF('1.연간시수표'!H30,$BF$9),COUNTIF('1.연간시수표'!H30,$BF$7),COUNTIF('1.연간시수표'!H30,$BG$9),COUNTIF('1.연간시수표'!H30,$BG$7),COUNTIF('1.연간시수표'!H30,$BH$9),COUNTIF('1.연간시수표'!H30,$BH$7),COUNTIF('1.연간시수표'!H30,$BI$9),COUNTIF('1.연간시수표'!H30,$BI$7),COUNTIF('1.연간시수표'!H30,$BJ$9),COUNTIF('1.연간시수표'!H30,$BJ$7),COUNTIF('1.연간시수표'!H30,$BK$9),COUNTIF('1.연간시수표'!H30,$BK$7),COUNTIF('1.연간시수표'!H30,$BL$9),COUNTIF('1.연간시수표'!H30,$BL$7),COUNTIF('1.연간시수표'!H30,$BM$9),COUNTIF('1.연간시수표'!H30,$BM$7)),$BF$6,IF(OR(COUNTIF('1.연간시수표'!H30,$BO$9),COUNTIF('1.연간시수표'!H30,$BO$7)),$BO$6,IF(OR(COUNTIF('1.연간시수표'!H30,$BP$9),COUNTIF('1.연간시수표'!H30,$BP$7)),$BP$6,IF(OR(COUNTIF('1.연간시수표'!H30,$BQ$9),COUNTIF('1.연간시수표'!H30,$BQ$7)),$BQ$6,IF(OR(COUNTIF('1.연간시수표'!H30,$BR$9),COUNTIF('1.연간시수표'!H30,$BR$7)),$BR$6,"_")))))))))))))))</f>
        <v>_</v>
      </c>
      <c r="I30" s="148" t="str">
        <f>IF(OR(COUNTIF('1.연간시수표'!I30,$AT$9),COUNTIF('1.연간시수표'!I30,$AT$7)),$AT$6,IF(OR(COUNTIF('1.연간시수표'!I30,$AU$9),COUNTIF('1.연간시수표'!I30,$AU$7)),$AU$6,IF(OR(COUNTIF('1.연간시수표'!I30,$AV$9),COUNTIF('1.연간시수표'!I30,$AV$7)),$AV$6,IF(OR(COUNTIF('1.연간시수표'!I30,$AW$9),COUNTIF('1.연간시수표'!I30,$AW$7)),$AW$6,IF(OR(COUNTIF('1.연간시수표'!I30,$AX$9),COUNTIF('1.연간시수표'!I30,$AX$7)),$AX$6,IF(OR(COUNTIF('1.연간시수표'!I30,$AY$9),COUNTIF('1.연간시수표'!I30,$AY$7)),$AY$6,IF(OR(COUNTIF('1.연간시수표'!I30,$AZ$9),COUNTIF('1.연간시수표'!I30,$AZ$7)),$AZ$6,IF(OR(COUNTIF('1.연간시수표'!I30,$BA$9),COUNTIF('1.연간시수표'!I30,$BA$7)),$BA$6,IF(OR(COUNTIF('1.연간시수표'!I30,$BB$9),COUNTIF('1.연간시수표'!I30,$BB$7)),$BB$6,IF(OR(COUNTIF('1.연간시수표'!I30,$BC$9),COUNTIF('1.연간시수표'!I30,$BC$7)),$BC$6,IF(OR(COUNTIF('1.연간시수표'!I30,$BF$9),COUNTIF('1.연간시수표'!I30,$BF$7),COUNTIF('1.연간시수표'!I30,$BG$9),COUNTIF('1.연간시수표'!I30,$BG$7),COUNTIF('1.연간시수표'!I30,$BH$9),COUNTIF('1.연간시수표'!I30,$BH$7),COUNTIF('1.연간시수표'!I30,$BI$9),COUNTIF('1.연간시수표'!I30,$BI$7),COUNTIF('1.연간시수표'!I30,$BJ$9),COUNTIF('1.연간시수표'!I30,$BJ$7),COUNTIF('1.연간시수표'!I30,$BK$9),COUNTIF('1.연간시수표'!I30,$BK$7),COUNTIF('1.연간시수표'!I30,$BL$9),COUNTIF('1.연간시수표'!I30,$BL$7),COUNTIF('1.연간시수표'!I30,$BM$9),COUNTIF('1.연간시수표'!I30,$BM$7)),$BF$6,IF(OR(COUNTIF('1.연간시수표'!I30,$BO$9),COUNTIF('1.연간시수표'!I30,$BO$7)),$BO$6,IF(OR(COUNTIF('1.연간시수표'!I30,$BP$9),COUNTIF('1.연간시수표'!I30,$BP$7)),$BP$6,IF(OR(COUNTIF('1.연간시수표'!I30,$BQ$9),COUNTIF('1.연간시수표'!I30,$BQ$7)),$BQ$6,IF(OR(COUNTIF('1.연간시수표'!I30,$BR$9),COUNTIF('1.연간시수표'!I30,$BR$7)),$BR$6,"_")))))))))))))))</f>
        <v>_</v>
      </c>
      <c r="J30" s="148" t="str">
        <f>IF(OR(COUNTIF('1.연간시수표'!J30,$AT$9),COUNTIF('1.연간시수표'!J30,$AT$7)),$AT$6,IF(OR(COUNTIF('1.연간시수표'!J30,$AU$9),COUNTIF('1.연간시수표'!J30,$AU$7)),$AU$6,IF(OR(COUNTIF('1.연간시수표'!J30,$AV$9),COUNTIF('1.연간시수표'!J30,$AV$7)),$AV$6,IF(OR(COUNTIF('1.연간시수표'!J30,$AW$9),COUNTIF('1.연간시수표'!J30,$AW$7)),$AW$6,IF(OR(COUNTIF('1.연간시수표'!J30,$AX$9),COUNTIF('1.연간시수표'!J30,$AX$7)),$AX$6,IF(OR(COUNTIF('1.연간시수표'!J30,$AY$9),COUNTIF('1.연간시수표'!J30,$AY$7)),$AY$6,IF(OR(COUNTIF('1.연간시수표'!J30,$AZ$9),COUNTIF('1.연간시수표'!J30,$AZ$7)),$AZ$6,IF(OR(COUNTIF('1.연간시수표'!J30,$BA$9),COUNTIF('1.연간시수표'!J30,$BA$7)),$BA$6,IF(OR(COUNTIF('1.연간시수표'!J30,$BB$9),COUNTIF('1.연간시수표'!J30,$BB$7)),$BB$6,IF(OR(COUNTIF('1.연간시수표'!J30,$BC$9),COUNTIF('1.연간시수표'!J30,$BC$7)),$BC$6,IF(OR(COUNTIF('1.연간시수표'!J30,$BF$9),COUNTIF('1.연간시수표'!J30,$BF$7),COUNTIF('1.연간시수표'!J30,$BG$9),COUNTIF('1.연간시수표'!J30,$BG$7),COUNTIF('1.연간시수표'!J30,$BH$9),COUNTIF('1.연간시수표'!J30,$BH$7),COUNTIF('1.연간시수표'!J30,$BI$9),COUNTIF('1.연간시수표'!J30,$BI$7),COUNTIF('1.연간시수표'!J30,$BJ$9),COUNTIF('1.연간시수표'!J30,$BJ$7),COUNTIF('1.연간시수표'!J30,$BK$9),COUNTIF('1.연간시수표'!J30,$BK$7),COUNTIF('1.연간시수표'!J30,$BL$9),COUNTIF('1.연간시수표'!J30,$BL$7),COUNTIF('1.연간시수표'!J30,$BM$9),COUNTIF('1.연간시수표'!J30,$BM$7)),$BF$6,IF(OR(COUNTIF('1.연간시수표'!J30,$BO$9),COUNTIF('1.연간시수표'!J30,$BO$7)),$BO$6,IF(OR(COUNTIF('1.연간시수표'!J30,$BP$9),COUNTIF('1.연간시수표'!J30,$BP$7)),$BP$6,IF(OR(COUNTIF('1.연간시수표'!J30,$BQ$9),COUNTIF('1.연간시수표'!J30,$BQ$7)),$BQ$6,IF(OR(COUNTIF('1.연간시수표'!J30,$BR$9),COUNTIF('1.연간시수표'!J30,$BR$7)),$BR$6,"_")))))))))))))))</f>
        <v>_</v>
      </c>
      <c r="K30" s="148" t="str">
        <f>IF(OR(COUNTIF('1.연간시수표'!K30,$AT$9),COUNTIF('1.연간시수표'!K30,$AT$7)),$AT$6,IF(OR(COUNTIF('1.연간시수표'!K30,$AU$9),COUNTIF('1.연간시수표'!K30,$AU$7)),$AU$6,IF(OR(COUNTIF('1.연간시수표'!K30,$AV$9),COUNTIF('1.연간시수표'!K30,$AV$7)),$AV$6,IF(OR(COUNTIF('1.연간시수표'!K30,$AW$9),COUNTIF('1.연간시수표'!K30,$AW$7)),$AW$6,IF(OR(COUNTIF('1.연간시수표'!K30,$AX$9),COUNTIF('1.연간시수표'!K30,$AX$7)),$AX$6,IF(OR(COUNTIF('1.연간시수표'!K30,$AY$9),COUNTIF('1.연간시수표'!K30,$AY$7)),$AY$6,IF(OR(COUNTIF('1.연간시수표'!K30,$AZ$9),COUNTIF('1.연간시수표'!K30,$AZ$7)),$AZ$6,IF(OR(COUNTIF('1.연간시수표'!K30,$BA$9),COUNTIF('1.연간시수표'!K30,$BA$7)),$BA$6,IF(OR(COUNTIF('1.연간시수표'!K30,$BB$9),COUNTIF('1.연간시수표'!K30,$BB$7)),$BB$6,IF(OR(COUNTIF('1.연간시수표'!K30,$BC$9),COUNTIF('1.연간시수표'!K30,$BC$7)),$BC$6,IF(OR(COUNTIF('1.연간시수표'!K30,$BF$9),COUNTIF('1.연간시수표'!K30,$BF$7),COUNTIF('1.연간시수표'!K30,$BG$9),COUNTIF('1.연간시수표'!K30,$BG$7),COUNTIF('1.연간시수표'!K30,$BH$9),COUNTIF('1.연간시수표'!K30,$BH$7),COUNTIF('1.연간시수표'!K30,$BI$9),COUNTIF('1.연간시수표'!K30,$BI$7),COUNTIF('1.연간시수표'!K30,$BJ$9),COUNTIF('1.연간시수표'!K30,$BJ$7),COUNTIF('1.연간시수표'!K30,$BK$9),COUNTIF('1.연간시수표'!K30,$BK$7),COUNTIF('1.연간시수표'!K30,$BL$9),COUNTIF('1.연간시수표'!K30,$BL$7),COUNTIF('1.연간시수표'!K30,$BM$9),COUNTIF('1.연간시수표'!K30,$BM$7)),$BF$6,IF(OR(COUNTIF('1.연간시수표'!K30,$BO$9),COUNTIF('1.연간시수표'!K30,$BO$7)),$BO$6,IF(OR(COUNTIF('1.연간시수표'!K30,$BP$9),COUNTIF('1.연간시수표'!K30,$BP$7)),$BP$6,IF(OR(COUNTIF('1.연간시수표'!K30,$BQ$9),COUNTIF('1.연간시수표'!K30,$BQ$7)),$BQ$6,IF(OR(COUNTIF('1.연간시수표'!K30,$BR$9),COUNTIF('1.연간시수표'!K30,$BR$7)),$BR$6,"_")))))))))))))))</f>
        <v>_</v>
      </c>
      <c r="L30" s="148" t="str">
        <f>IF(OR(COUNTIF('1.연간시수표'!L30,$AT$9),COUNTIF('1.연간시수표'!L30,$AT$7)),$AT$6,IF(OR(COUNTIF('1.연간시수표'!L30,$AU$9),COUNTIF('1.연간시수표'!L30,$AU$7)),$AU$6,IF(OR(COUNTIF('1.연간시수표'!L30,$AV$9),COUNTIF('1.연간시수표'!L30,$AV$7)),$AV$6,IF(OR(COUNTIF('1.연간시수표'!L30,$AW$9),COUNTIF('1.연간시수표'!L30,$AW$7)),$AW$6,IF(OR(COUNTIF('1.연간시수표'!L30,$AX$9),COUNTIF('1.연간시수표'!L30,$AX$7)),$AX$6,IF(OR(COUNTIF('1.연간시수표'!L30,$AY$9),COUNTIF('1.연간시수표'!L30,$AY$7)),$AY$6,IF(OR(COUNTIF('1.연간시수표'!L30,$AZ$9),COUNTIF('1.연간시수표'!L30,$AZ$7)),$AZ$6,IF(OR(COUNTIF('1.연간시수표'!L30,$BA$9),COUNTIF('1.연간시수표'!L30,$BA$7)),$BA$6,IF(OR(COUNTIF('1.연간시수표'!L30,$BB$9),COUNTIF('1.연간시수표'!L30,$BB$7)),$BB$6,IF(OR(COUNTIF('1.연간시수표'!L30,$BC$9),COUNTIF('1.연간시수표'!L30,$BC$7)),$BC$6,IF(OR(COUNTIF('1.연간시수표'!L30,$BF$9),COUNTIF('1.연간시수표'!L30,$BF$7),COUNTIF('1.연간시수표'!L30,$BG$9),COUNTIF('1.연간시수표'!L30,$BG$7),COUNTIF('1.연간시수표'!L30,$BH$9),COUNTIF('1.연간시수표'!L30,$BH$7),COUNTIF('1.연간시수표'!L30,$BI$9),COUNTIF('1.연간시수표'!L30,$BI$7),COUNTIF('1.연간시수표'!L30,$BJ$9),COUNTIF('1.연간시수표'!L30,$BJ$7),COUNTIF('1.연간시수표'!L30,$BK$9),COUNTIF('1.연간시수표'!L30,$BK$7),COUNTIF('1.연간시수표'!L30,$BL$9),COUNTIF('1.연간시수표'!L30,$BL$7),COUNTIF('1.연간시수표'!L30,$BM$9),COUNTIF('1.연간시수표'!L30,$BM$7)),$BF$6,IF(OR(COUNTIF('1.연간시수표'!L30,$BO$9),COUNTIF('1.연간시수표'!L30,$BO$7)),$BO$6,IF(OR(COUNTIF('1.연간시수표'!L30,$BP$9),COUNTIF('1.연간시수표'!L30,$BP$7)),$BP$6,IF(OR(COUNTIF('1.연간시수표'!L30,$BQ$9),COUNTIF('1.연간시수표'!L30,$BQ$7)),$BQ$6,IF(OR(COUNTIF('1.연간시수표'!L30,$BR$9),COUNTIF('1.연간시수표'!L30,$BR$7)),$BR$6,"_")))))))))))))))</f>
        <v>_</v>
      </c>
      <c r="M30" s="148" t="str">
        <f>IF(OR(COUNTIF('1.연간시수표'!M30,$AT$9),COUNTIF('1.연간시수표'!M30,$AT$7)),$AT$6,IF(OR(COUNTIF('1.연간시수표'!M30,$AU$9),COUNTIF('1.연간시수표'!M30,$AU$7)),$AU$6,IF(OR(COUNTIF('1.연간시수표'!M30,$AV$9),COUNTIF('1.연간시수표'!M30,$AV$7)),$AV$6,IF(OR(COUNTIF('1.연간시수표'!M30,$AW$9),COUNTIF('1.연간시수표'!M30,$AW$7)),$AW$6,IF(OR(COUNTIF('1.연간시수표'!M30,$AX$9),COUNTIF('1.연간시수표'!M30,$AX$7)),$AX$6,IF(OR(COUNTIF('1.연간시수표'!M30,$AY$9),COUNTIF('1.연간시수표'!M30,$AY$7)),$AY$6,IF(OR(COUNTIF('1.연간시수표'!M30,$AZ$9),COUNTIF('1.연간시수표'!M30,$AZ$7)),$AZ$6,IF(OR(COUNTIF('1.연간시수표'!M30,$BA$9),COUNTIF('1.연간시수표'!M30,$BA$7)),$BA$6,IF(OR(COUNTIF('1.연간시수표'!M30,$BB$9),COUNTIF('1.연간시수표'!M30,$BB$7)),$BB$6,IF(OR(COUNTIF('1.연간시수표'!M30,$BC$9),COUNTIF('1.연간시수표'!M30,$BC$7)),$BC$6,IF(OR(COUNTIF('1.연간시수표'!M30,$BF$9),COUNTIF('1.연간시수표'!M30,$BF$7),COUNTIF('1.연간시수표'!M30,$BG$9),COUNTIF('1.연간시수표'!M30,$BG$7),COUNTIF('1.연간시수표'!M30,$BH$9),COUNTIF('1.연간시수표'!M30,$BH$7),COUNTIF('1.연간시수표'!M30,$BI$9),COUNTIF('1.연간시수표'!M30,$BI$7),COUNTIF('1.연간시수표'!M30,$BJ$9),COUNTIF('1.연간시수표'!M30,$BJ$7),COUNTIF('1.연간시수표'!M30,$BK$9),COUNTIF('1.연간시수표'!M30,$BK$7),COUNTIF('1.연간시수표'!M30,$BL$9),COUNTIF('1.연간시수표'!M30,$BL$7),COUNTIF('1.연간시수표'!M30,$BM$9),COUNTIF('1.연간시수표'!M30,$BM$7)),$BF$6,IF(OR(COUNTIF('1.연간시수표'!M30,$BO$9),COUNTIF('1.연간시수표'!M30,$BO$7)),$BO$6,IF(OR(COUNTIF('1.연간시수표'!M30,$BP$9),COUNTIF('1.연간시수표'!M30,$BP$7)),$BP$6,IF(OR(COUNTIF('1.연간시수표'!M30,$BQ$9),COUNTIF('1.연간시수표'!M30,$BQ$7)),$BQ$6,IF(OR(COUNTIF('1.연간시수표'!M30,$BR$9),COUNTIF('1.연간시수표'!M30,$BR$7)),$BR$6,"_")))))))))))))))</f>
        <v>_</v>
      </c>
      <c r="N30" s="148" t="str">
        <f>IF(OR(COUNTIF('1.연간시수표'!N30,$AT$9),COUNTIF('1.연간시수표'!N30,$AT$7)),$AT$6,IF(OR(COUNTIF('1.연간시수표'!N30,$AU$9),COUNTIF('1.연간시수표'!N30,$AU$7)),$AU$6,IF(OR(COUNTIF('1.연간시수표'!N30,$AV$9),COUNTIF('1.연간시수표'!N30,$AV$7)),$AV$6,IF(OR(COUNTIF('1.연간시수표'!N30,$AW$9),COUNTIF('1.연간시수표'!N30,$AW$7)),$AW$6,IF(OR(COUNTIF('1.연간시수표'!N30,$AX$9),COUNTIF('1.연간시수표'!N30,$AX$7)),$AX$6,IF(OR(COUNTIF('1.연간시수표'!N30,$AY$9),COUNTIF('1.연간시수표'!N30,$AY$7)),$AY$6,IF(OR(COUNTIF('1.연간시수표'!N30,$AZ$9),COUNTIF('1.연간시수표'!N30,$AZ$7)),$AZ$6,IF(OR(COUNTIF('1.연간시수표'!N30,$BA$9),COUNTIF('1.연간시수표'!N30,$BA$7)),$BA$6,IF(OR(COUNTIF('1.연간시수표'!N30,$BB$9),COUNTIF('1.연간시수표'!N30,$BB$7)),$BB$6,IF(OR(COUNTIF('1.연간시수표'!N30,$BC$9),COUNTIF('1.연간시수표'!N30,$BC$7)),$BC$6,IF(OR(COUNTIF('1.연간시수표'!N30,$BF$9),COUNTIF('1.연간시수표'!N30,$BF$7),COUNTIF('1.연간시수표'!N30,$BG$9),COUNTIF('1.연간시수표'!N30,$BG$7),COUNTIF('1.연간시수표'!N30,$BH$9),COUNTIF('1.연간시수표'!N30,$BH$7),COUNTIF('1.연간시수표'!N30,$BI$9),COUNTIF('1.연간시수표'!N30,$BI$7),COUNTIF('1.연간시수표'!N30,$BJ$9),COUNTIF('1.연간시수표'!N30,$BJ$7),COUNTIF('1.연간시수표'!N30,$BK$9),COUNTIF('1.연간시수표'!N30,$BK$7),COUNTIF('1.연간시수표'!N30,$BL$9),COUNTIF('1.연간시수표'!N30,$BL$7),COUNTIF('1.연간시수표'!N30,$BM$9),COUNTIF('1.연간시수표'!N30,$BM$7)),$BF$6,IF(OR(COUNTIF('1.연간시수표'!N30,$BO$9),COUNTIF('1.연간시수표'!N30,$BO$7)),$BO$6,IF(OR(COUNTIF('1.연간시수표'!N30,$BP$9),COUNTIF('1.연간시수표'!N30,$BP$7)),$BP$6,IF(OR(COUNTIF('1.연간시수표'!N30,$BQ$9),COUNTIF('1.연간시수표'!N30,$BQ$7)),$BQ$6,IF(OR(COUNTIF('1.연간시수표'!N30,$BR$9),COUNTIF('1.연간시수표'!N30,$BR$7)),$BR$6,"_")))))))))))))))</f>
        <v>_</v>
      </c>
      <c r="O30" s="148" t="str">
        <f>IF(OR(COUNTIF('1.연간시수표'!O30,$AT$9),COUNTIF('1.연간시수표'!O30,$AT$7)),$AT$6,IF(OR(COUNTIF('1.연간시수표'!O30,$AU$9),COUNTIF('1.연간시수표'!O30,$AU$7)),$AU$6,IF(OR(COUNTIF('1.연간시수표'!O30,$AV$9),COUNTIF('1.연간시수표'!O30,$AV$7)),$AV$6,IF(OR(COUNTIF('1.연간시수표'!O30,$AW$9),COUNTIF('1.연간시수표'!O30,$AW$7)),$AW$6,IF(OR(COUNTIF('1.연간시수표'!O30,$AX$9),COUNTIF('1.연간시수표'!O30,$AX$7)),$AX$6,IF(OR(COUNTIF('1.연간시수표'!O30,$AY$9),COUNTIF('1.연간시수표'!O30,$AY$7)),$AY$6,IF(OR(COUNTIF('1.연간시수표'!O30,$AZ$9),COUNTIF('1.연간시수표'!O30,$AZ$7)),$AZ$6,IF(OR(COUNTIF('1.연간시수표'!O30,$BA$9),COUNTIF('1.연간시수표'!O30,$BA$7)),$BA$6,IF(OR(COUNTIF('1.연간시수표'!O30,$BB$9),COUNTIF('1.연간시수표'!O30,$BB$7)),$BB$6,IF(OR(COUNTIF('1.연간시수표'!O30,$BC$9),COUNTIF('1.연간시수표'!O30,$BC$7)),$BC$6,IF(OR(COUNTIF('1.연간시수표'!O30,$BF$9),COUNTIF('1.연간시수표'!O30,$BF$7),COUNTIF('1.연간시수표'!O30,$BG$9),COUNTIF('1.연간시수표'!O30,$BG$7),COUNTIF('1.연간시수표'!O30,$BH$9),COUNTIF('1.연간시수표'!O30,$BH$7),COUNTIF('1.연간시수표'!O30,$BI$9),COUNTIF('1.연간시수표'!O30,$BI$7),COUNTIF('1.연간시수표'!O30,$BJ$9),COUNTIF('1.연간시수표'!O30,$BJ$7),COUNTIF('1.연간시수표'!O30,$BK$9),COUNTIF('1.연간시수표'!O30,$BK$7),COUNTIF('1.연간시수표'!O30,$BL$9),COUNTIF('1.연간시수표'!O30,$BL$7),COUNTIF('1.연간시수표'!O30,$BM$9),COUNTIF('1.연간시수표'!O30,$BM$7)),$BF$6,IF(OR(COUNTIF('1.연간시수표'!O30,$BO$9),COUNTIF('1.연간시수표'!O30,$BO$7)),$BO$6,IF(OR(COUNTIF('1.연간시수표'!O30,$BP$9),COUNTIF('1.연간시수표'!O30,$BP$7)),$BP$6,IF(OR(COUNTIF('1.연간시수표'!O30,$BQ$9),COUNTIF('1.연간시수표'!O30,$BQ$7)),$BQ$6,IF(OR(COUNTIF('1.연간시수표'!O30,$BR$9),COUNTIF('1.연간시수표'!O30,$BR$7)),$BR$6,"_")))))))))))))))</f>
        <v>_</v>
      </c>
      <c r="P30" s="148" t="str">
        <f>IF(OR(COUNTIF('1.연간시수표'!P30,$AT$9),COUNTIF('1.연간시수표'!P30,$AT$7)),$AT$6,IF(OR(COUNTIF('1.연간시수표'!P30,$AU$9),COUNTIF('1.연간시수표'!P30,$AU$7)),$AU$6,IF(OR(COUNTIF('1.연간시수표'!P30,$AV$9),COUNTIF('1.연간시수표'!P30,$AV$7)),$AV$6,IF(OR(COUNTIF('1.연간시수표'!P30,$AW$9),COUNTIF('1.연간시수표'!P30,$AW$7)),$AW$6,IF(OR(COUNTIF('1.연간시수표'!P30,$AX$9),COUNTIF('1.연간시수표'!P30,$AX$7)),$AX$6,IF(OR(COUNTIF('1.연간시수표'!P30,$AY$9),COUNTIF('1.연간시수표'!P30,$AY$7)),$AY$6,IF(OR(COUNTIF('1.연간시수표'!P30,$AZ$9),COUNTIF('1.연간시수표'!P30,$AZ$7)),$AZ$6,IF(OR(COUNTIF('1.연간시수표'!P30,$BA$9),COUNTIF('1.연간시수표'!P30,$BA$7)),$BA$6,IF(OR(COUNTIF('1.연간시수표'!P30,$BB$9),COUNTIF('1.연간시수표'!P30,$BB$7)),$BB$6,IF(OR(COUNTIF('1.연간시수표'!P30,$BC$9),COUNTIF('1.연간시수표'!P30,$BC$7)),$BC$6,IF(OR(COUNTIF('1.연간시수표'!P30,$BF$9),COUNTIF('1.연간시수표'!P30,$BF$7),COUNTIF('1.연간시수표'!P30,$BG$9),COUNTIF('1.연간시수표'!P30,$BG$7),COUNTIF('1.연간시수표'!P30,$BH$9),COUNTIF('1.연간시수표'!P30,$BH$7),COUNTIF('1.연간시수표'!P30,$BI$9),COUNTIF('1.연간시수표'!P30,$BI$7),COUNTIF('1.연간시수표'!P30,$BJ$9),COUNTIF('1.연간시수표'!P30,$BJ$7),COUNTIF('1.연간시수표'!P30,$BK$9),COUNTIF('1.연간시수표'!P30,$BK$7),COUNTIF('1.연간시수표'!P30,$BL$9),COUNTIF('1.연간시수표'!P30,$BL$7),COUNTIF('1.연간시수표'!P30,$BM$9),COUNTIF('1.연간시수표'!P30,$BM$7)),$BF$6,IF(OR(COUNTIF('1.연간시수표'!P30,$BO$9),COUNTIF('1.연간시수표'!P30,$BO$7)),$BO$6,IF(OR(COUNTIF('1.연간시수표'!P30,$BP$9),COUNTIF('1.연간시수표'!P30,$BP$7)),$BP$6,IF(OR(COUNTIF('1.연간시수표'!P30,$BQ$9),COUNTIF('1.연간시수표'!P30,$BQ$7)),$BQ$6,IF(OR(COUNTIF('1.연간시수표'!P30,$BR$9),COUNTIF('1.연간시수표'!P30,$BR$7)),$BR$6,"_")))))))))))))))</f>
        <v>_</v>
      </c>
      <c r="Q30" s="148" t="str">
        <f>IF(OR(COUNTIF('1.연간시수표'!Q30,$AT$9),COUNTIF('1.연간시수표'!Q30,$AT$7)),$AT$6,IF(OR(COUNTIF('1.연간시수표'!Q30,$AU$9),COUNTIF('1.연간시수표'!Q30,$AU$7)),$AU$6,IF(OR(COUNTIF('1.연간시수표'!Q30,$AV$9),COUNTIF('1.연간시수표'!Q30,$AV$7)),$AV$6,IF(OR(COUNTIF('1.연간시수표'!Q30,$AW$9),COUNTIF('1.연간시수표'!Q30,$AW$7)),$AW$6,IF(OR(COUNTIF('1.연간시수표'!Q30,$AX$9),COUNTIF('1.연간시수표'!Q30,$AX$7)),$AX$6,IF(OR(COUNTIF('1.연간시수표'!Q30,$AY$9),COUNTIF('1.연간시수표'!Q30,$AY$7)),$AY$6,IF(OR(COUNTIF('1.연간시수표'!Q30,$AZ$9),COUNTIF('1.연간시수표'!Q30,$AZ$7)),$AZ$6,IF(OR(COUNTIF('1.연간시수표'!Q30,$BA$9),COUNTIF('1.연간시수표'!Q30,$BA$7)),$BA$6,IF(OR(COUNTIF('1.연간시수표'!Q30,$BB$9),COUNTIF('1.연간시수표'!Q30,$BB$7)),$BB$6,IF(OR(COUNTIF('1.연간시수표'!Q30,$BC$9),COUNTIF('1.연간시수표'!Q30,$BC$7)),$BC$6,IF(OR(COUNTIF('1.연간시수표'!Q30,$BF$9),COUNTIF('1.연간시수표'!Q30,$BF$7),COUNTIF('1.연간시수표'!Q30,$BG$9),COUNTIF('1.연간시수표'!Q30,$BG$7),COUNTIF('1.연간시수표'!Q30,$BH$9),COUNTIF('1.연간시수표'!Q30,$BH$7),COUNTIF('1.연간시수표'!Q30,$BI$9),COUNTIF('1.연간시수표'!Q30,$BI$7),COUNTIF('1.연간시수표'!Q30,$BJ$9),COUNTIF('1.연간시수표'!Q30,$BJ$7),COUNTIF('1.연간시수표'!Q30,$BK$9),COUNTIF('1.연간시수표'!Q30,$BK$7),COUNTIF('1.연간시수표'!Q30,$BL$9),COUNTIF('1.연간시수표'!Q30,$BL$7),COUNTIF('1.연간시수표'!Q30,$BM$9),COUNTIF('1.연간시수표'!Q30,$BM$7)),$BF$6,IF(OR(COUNTIF('1.연간시수표'!Q30,$BO$9),COUNTIF('1.연간시수표'!Q30,$BO$7)),$BO$6,IF(OR(COUNTIF('1.연간시수표'!Q30,$BP$9),COUNTIF('1.연간시수표'!Q30,$BP$7)),$BP$6,IF(OR(COUNTIF('1.연간시수표'!Q30,$BQ$9),COUNTIF('1.연간시수표'!Q30,$BQ$7)),$BQ$6,IF(OR(COUNTIF('1.연간시수표'!Q30,$BR$9),COUNTIF('1.연간시수표'!Q30,$BR$7)),$BR$6,"_")))))))))))))))</f>
        <v>_</v>
      </c>
      <c r="R30" s="148" t="str">
        <f>IF(OR(COUNTIF('1.연간시수표'!R30,$AT$9),COUNTIF('1.연간시수표'!R30,$AT$7)),$AT$6,IF(OR(COUNTIF('1.연간시수표'!R30,$AU$9),COUNTIF('1.연간시수표'!R30,$AU$7)),$AU$6,IF(OR(COUNTIF('1.연간시수표'!R30,$AV$9),COUNTIF('1.연간시수표'!R30,$AV$7)),$AV$6,IF(OR(COUNTIF('1.연간시수표'!R30,$AW$9),COUNTIF('1.연간시수표'!R30,$AW$7)),$AW$6,IF(OR(COUNTIF('1.연간시수표'!R30,$AX$9),COUNTIF('1.연간시수표'!R30,$AX$7)),$AX$6,IF(OR(COUNTIF('1.연간시수표'!R30,$AY$9),COUNTIF('1.연간시수표'!R30,$AY$7)),$AY$6,IF(OR(COUNTIF('1.연간시수표'!R30,$AZ$9),COUNTIF('1.연간시수표'!R30,$AZ$7)),$AZ$6,IF(OR(COUNTIF('1.연간시수표'!R30,$BA$9),COUNTIF('1.연간시수표'!R30,$BA$7)),$BA$6,IF(OR(COUNTIF('1.연간시수표'!R30,$BB$9),COUNTIF('1.연간시수표'!R30,$BB$7)),$BB$6,IF(OR(COUNTIF('1.연간시수표'!R30,$BC$9),COUNTIF('1.연간시수표'!R30,$BC$7)),$BC$6,IF(OR(COUNTIF('1.연간시수표'!R30,$BF$9),COUNTIF('1.연간시수표'!R30,$BF$7),COUNTIF('1.연간시수표'!R30,$BG$9),COUNTIF('1.연간시수표'!R30,$BG$7),COUNTIF('1.연간시수표'!R30,$BH$9),COUNTIF('1.연간시수표'!R30,$BH$7),COUNTIF('1.연간시수표'!R30,$BI$9),COUNTIF('1.연간시수표'!R30,$BI$7),COUNTIF('1.연간시수표'!R30,$BJ$9),COUNTIF('1.연간시수표'!R30,$BJ$7),COUNTIF('1.연간시수표'!R30,$BK$9),COUNTIF('1.연간시수표'!R30,$BK$7),COUNTIF('1.연간시수표'!R30,$BL$9),COUNTIF('1.연간시수표'!R30,$BL$7),COUNTIF('1.연간시수표'!R30,$BM$9),COUNTIF('1.연간시수표'!R30,$BM$7)),$BF$6,IF(OR(COUNTIF('1.연간시수표'!R30,$BO$9),COUNTIF('1.연간시수표'!R30,$BO$7)),$BO$6,IF(OR(COUNTIF('1.연간시수표'!R30,$BP$9),COUNTIF('1.연간시수표'!R30,$BP$7)),$BP$6,IF(OR(COUNTIF('1.연간시수표'!R30,$BQ$9),COUNTIF('1.연간시수표'!R30,$BQ$7)),$BQ$6,IF(OR(COUNTIF('1.연간시수표'!R30,$BR$9),COUNTIF('1.연간시수표'!R30,$BR$7)),$BR$6,"_")))))))))))))))</f>
        <v>_</v>
      </c>
      <c r="S30" s="148" t="str">
        <f>IF(OR(COUNTIF('1.연간시수표'!S30,$AT$9),COUNTIF('1.연간시수표'!S30,$AT$7)),$AT$6,IF(OR(COUNTIF('1.연간시수표'!S30,$AU$9),COUNTIF('1.연간시수표'!S30,$AU$7)),$AU$6,IF(OR(COUNTIF('1.연간시수표'!S30,$AV$9),COUNTIF('1.연간시수표'!S30,$AV$7)),$AV$6,IF(OR(COUNTIF('1.연간시수표'!S30,$AW$9),COUNTIF('1.연간시수표'!S30,$AW$7)),$AW$6,IF(OR(COUNTIF('1.연간시수표'!S30,$AX$9),COUNTIF('1.연간시수표'!S30,$AX$7)),$AX$6,IF(OR(COUNTIF('1.연간시수표'!S30,$AY$9),COUNTIF('1.연간시수표'!S30,$AY$7)),$AY$6,IF(OR(COUNTIF('1.연간시수표'!S30,$AZ$9),COUNTIF('1.연간시수표'!S30,$AZ$7)),$AZ$6,IF(OR(COUNTIF('1.연간시수표'!S30,$BA$9),COUNTIF('1.연간시수표'!S30,$BA$7)),$BA$6,IF(OR(COUNTIF('1.연간시수표'!S30,$BB$9),COUNTIF('1.연간시수표'!S30,$BB$7)),$BB$6,IF(OR(COUNTIF('1.연간시수표'!S30,$BC$9),COUNTIF('1.연간시수표'!S30,$BC$7)),$BC$6,IF(OR(COUNTIF('1.연간시수표'!S30,$BF$9),COUNTIF('1.연간시수표'!S30,$BF$7),COUNTIF('1.연간시수표'!S30,$BG$9),COUNTIF('1.연간시수표'!S30,$BG$7),COUNTIF('1.연간시수표'!S30,$BH$9),COUNTIF('1.연간시수표'!S30,$BH$7),COUNTIF('1.연간시수표'!S30,$BI$9),COUNTIF('1.연간시수표'!S30,$BI$7),COUNTIF('1.연간시수표'!S30,$BJ$9),COUNTIF('1.연간시수표'!S30,$BJ$7),COUNTIF('1.연간시수표'!S30,$BK$9),COUNTIF('1.연간시수표'!S30,$BK$7),COUNTIF('1.연간시수표'!S30,$BL$9),COUNTIF('1.연간시수표'!S30,$BL$7),COUNTIF('1.연간시수표'!S30,$BM$9),COUNTIF('1.연간시수표'!S30,$BM$7)),$BF$6,IF(OR(COUNTIF('1.연간시수표'!S30,$BO$9),COUNTIF('1.연간시수표'!S30,$BO$7)),$BO$6,IF(OR(COUNTIF('1.연간시수표'!S30,$BP$9),COUNTIF('1.연간시수표'!S30,$BP$7)),$BP$6,IF(OR(COUNTIF('1.연간시수표'!S30,$BQ$9),COUNTIF('1.연간시수표'!S30,$BQ$7)),$BQ$6,IF(OR(COUNTIF('1.연간시수표'!S30,$BR$9),COUNTIF('1.연간시수표'!S30,$BR$7)),$BR$6,"_")))))))))))))))</f>
        <v>_</v>
      </c>
      <c r="T30" s="148" t="str">
        <f>IF(OR(COUNTIF('1.연간시수표'!T30,$AT$9),COUNTIF('1.연간시수표'!T30,$AT$7)),$AT$6,IF(OR(COUNTIF('1.연간시수표'!T30,$AU$9),COUNTIF('1.연간시수표'!T30,$AU$7)),$AU$6,IF(OR(COUNTIF('1.연간시수표'!T30,$AV$9),COUNTIF('1.연간시수표'!T30,$AV$7)),$AV$6,IF(OR(COUNTIF('1.연간시수표'!T30,$AW$9),COUNTIF('1.연간시수표'!T30,$AW$7)),$AW$6,IF(OR(COUNTIF('1.연간시수표'!T30,$AX$9),COUNTIF('1.연간시수표'!T30,$AX$7)),$AX$6,IF(OR(COUNTIF('1.연간시수표'!T30,$AY$9),COUNTIF('1.연간시수표'!T30,$AY$7)),$AY$6,IF(OR(COUNTIF('1.연간시수표'!T30,$AZ$9),COUNTIF('1.연간시수표'!T30,$AZ$7)),$AZ$6,IF(OR(COUNTIF('1.연간시수표'!T30,$BA$9),COUNTIF('1.연간시수표'!T30,$BA$7)),$BA$6,IF(OR(COUNTIF('1.연간시수표'!T30,$BB$9),COUNTIF('1.연간시수표'!T30,$BB$7)),$BB$6,IF(OR(COUNTIF('1.연간시수표'!T30,$BC$9),COUNTIF('1.연간시수표'!T30,$BC$7)),$BC$6,IF(OR(COUNTIF('1.연간시수표'!T30,$BF$9),COUNTIF('1.연간시수표'!T30,$BF$7),COUNTIF('1.연간시수표'!T30,$BG$9),COUNTIF('1.연간시수표'!T30,$BG$7),COUNTIF('1.연간시수표'!T30,$BH$9),COUNTIF('1.연간시수표'!T30,$BH$7),COUNTIF('1.연간시수표'!T30,$BI$9),COUNTIF('1.연간시수표'!T30,$BI$7),COUNTIF('1.연간시수표'!T30,$BJ$9),COUNTIF('1.연간시수표'!T30,$BJ$7),COUNTIF('1.연간시수표'!T30,$BK$9),COUNTIF('1.연간시수표'!T30,$BK$7),COUNTIF('1.연간시수표'!T30,$BL$9),COUNTIF('1.연간시수표'!T30,$BL$7),COUNTIF('1.연간시수표'!T30,$BM$9),COUNTIF('1.연간시수표'!T30,$BM$7)),$BF$6,IF(OR(COUNTIF('1.연간시수표'!T30,$BO$9),COUNTIF('1.연간시수표'!T30,$BO$7)),$BO$6,IF(OR(COUNTIF('1.연간시수표'!T30,$BP$9),COUNTIF('1.연간시수표'!T30,$BP$7)),$BP$6,IF(OR(COUNTIF('1.연간시수표'!T30,$BQ$9),COUNTIF('1.연간시수표'!T30,$BQ$7)),$BQ$6,IF(OR(COUNTIF('1.연간시수표'!T30,$BR$9),COUNTIF('1.연간시수표'!T30,$BR$7)),$BR$6,"_")))))))))))))))</f>
        <v>_</v>
      </c>
      <c r="U30" s="148" t="str">
        <f>IF(OR(COUNTIF('1.연간시수표'!U30,$AT$9),COUNTIF('1.연간시수표'!U30,$AT$7)),$AT$6,IF(OR(COUNTIF('1.연간시수표'!U30,$AU$9),COUNTIF('1.연간시수표'!U30,$AU$7)),$AU$6,IF(OR(COUNTIF('1.연간시수표'!U30,$AV$9),COUNTIF('1.연간시수표'!U30,$AV$7)),$AV$6,IF(OR(COUNTIF('1.연간시수표'!U30,$AW$9),COUNTIF('1.연간시수표'!U30,$AW$7)),$AW$6,IF(OR(COUNTIF('1.연간시수표'!U30,$AX$9),COUNTIF('1.연간시수표'!U30,$AX$7)),$AX$6,IF(OR(COUNTIF('1.연간시수표'!U30,$AY$9),COUNTIF('1.연간시수표'!U30,$AY$7)),$AY$6,IF(OR(COUNTIF('1.연간시수표'!U30,$AZ$9),COUNTIF('1.연간시수표'!U30,$AZ$7)),$AZ$6,IF(OR(COUNTIF('1.연간시수표'!U30,$BA$9),COUNTIF('1.연간시수표'!U30,$BA$7)),$BA$6,IF(OR(COUNTIF('1.연간시수표'!U30,$BB$9),COUNTIF('1.연간시수표'!U30,$BB$7)),$BB$6,IF(OR(COUNTIF('1.연간시수표'!U30,$BC$9),COUNTIF('1.연간시수표'!U30,$BC$7)),$BC$6,IF(OR(COUNTIF('1.연간시수표'!U30,$BF$9),COUNTIF('1.연간시수표'!U30,$BF$7),COUNTIF('1.연간시수표'!U30,$BG$9),COUNTIF('1.연간시수표'!U30,$BG$7),COUNTIF('1.연간시수표'!U30,$BH$9),COUNTIF('1.연간시수표'!U30,$BH$7),COUNTIF('1.연간시수표'!U30,$BI$9),COUNTIF('1.연간시수표'!U30,$BI$7),COUNTIF('1.연간시수표'!U30,$BJ$9),COUNTIF('1.연간시수표'!U30,$BJ$7),COUNTIF('1.연간시수표'!U30,$BK$9),COUNTIF('1.연간시수표'!U30,$BK$7),COUNTIF('1.연간시수표'!U30,$BL$9),COUNTIF('1.연간시수표'!U30,$BL$7),COUNTIF('1.연간시수표'!U30,$BM$9),COUNTIF('1.연간시수표'!U30,$BM$7)),$BF$6,IF(OR(COUNTIF('1.연간시수표'!U30,$BO$9),COUNTIF('1.연간시수표'!U30,$BO$7)),$BO$6,IF(OR(COUNTIF('1.연간시수표'!U30,$BP$9),COUNTIF('1.연간시수표'!U30,$BP$7)),$BP$6,IF(OR(COUNTIF('1.연간시수표'!U30,$BQ$9),COUNTIF('1.연간시수표'!U30,$BQ$7)),$BQ$6,IF(OR(COUNTIF('1.연간시수표'!U30,$BR$9),COUNTIF('1.연간시수표'!U30,$BR$7)),$BR$6,"_")))))))))))))))</f>
        <v>_</v>
      </c>
      <c r="V30" s="148" t="str">
        <f>IF(OR(COUNTIF('1.연간시수표'!V30,$AT$9),COUNTIF('1.연간시수표'!V30,$AT$7)),$AT$6,IF(OR(COUNTIF('1.연간시수표'!V30,$AU$9),COUNTIF('1.연간시수표'!V30,$AU$7)),$AU$6,IF(OR(COUNTIF('1.연간시수표'!V30,$AV$9),COUNTIF('1.연간시수표'!V30,$AV$7)),$AV$6,IF(OR(COUNTIF('1.연간시수표'!V30,$AW$9),COUNTIF('1.연간시수표'!V30,$AW$7)),$AW$6,IF(OR(COUNTIF('1.연간시수표'!V30,$AX$9),COUNTIF('1.연간시수표'!V30,$AX$7)),$AX$6,IF(OR(COUNTIF('1.연간시수표'!V30,$AY$9),COUNTIF('1.연간시수표'!V30,$AY$7)),$AY$6,IF(OR(COUNTIF('1.연간시수표'!V30,$AZ$9),COUNTIF('1.연간시수표'!V30,$AZ$7)),$AZ$6,IF(OR(COUNTIF('1.연간시수표'!V30,$BA$9),COUNTIF('1.연간시수표'!V30,$BA$7)),$BA$6,IF(OR(COUNTIF('1.연간시수표'!V30,$BB$9),COUNTIF('1.연간시수표'!V30,$BB$7)),$BB$6,IF(OR(COUNTIF('1.연간시수표'!V30,$BC$9),COUNTIF('1.연간시수표'!V30,$BC$7)),$BC$6,IF(OR(COUNTIF('1.연간시수표'!V30,$BF$9),COUNTIF('1.연간시수표'!V30,$BF$7),COUNTIF('1.연간시수표'!V30,$BG$9),COUNTIF('1.연간시수표'!V30,$BG$7),COUNTIF('1.연간시수표'!V30,$BH$9),COUNTIF('1.연간시수표'!V30,$BH$7),COUNTIF('1.연간시수표'!V30,$BI$9),COUNTIF('1.연간시수표'!V30,$BI$7),COUNTIF('1.연간시수표'!V30,$BJ$9),COUNTIF('1.연간시수표'!V30,$BJ$7),COUNTIF('1.연간시수표'!V30,$BK$9),COUNTIF('1.연간시수표'!V30,$BK$7),COUNTIF('1.연간시수표'!V30,$BL$9),COUNTIF('1.연간시수표'!V30,$BL$7),COUNTIF('1.연간시수표'!V30,$BM$9),COUNTIF('1.연간시수표'!V30,$BM$7)),$BF$6,IF(OR(COUNTIF('1.연간시수표'!V30,$BO$9),COUNTIF('1.연간시수표'!V30,$BO$7)),$BO$6,IF(OR(COUNTIF('1.연간시수표'!V30,$BP$9),COUNTIF('1.연간시수표'!V30,$BP$7)),$BP$6,IF(OR(COUNTIF('1.연간시수표'!V30,$BQ$9),COUNTIF('1.연간시수표'!V30,$BQ$7)),$BQ$6,IF(OR(COUNTIF('1.연간시수표'!V30,$BR$9),COUNTIF('1.연간시수표'!V30,$BR$7)),$BR$6,"_")))))))))))))))</f>
        <v>_</v>
      </c>
      <c r="W30" s="148" t="str">
        <f>IF(OR(COUNTIF('1.연간시수표'!W30,$AT$9),COUNTIF('1.연간시수표'!W30,$AT$7)),$AT$6,IF(OR(COUNTIF('1.연간시수표'!W30,$AU$9),COUNTIF('1.연간시수표'!W30,$AU$7)),$AU$6,IF(OR(COUNTIF('1.연간시수표'!W30,$AV$9),COUNTIF('1.연간시수표'!W30,$AV$7)),$AV$6,IF(OR(COUNTIF('1.연간시수표'!W30,$AW$9),COUNTIF('1.연간시수표'!W30,$AW$7)),$AW$6,IF(OR(COUNTIF('1.연간시수표'!W30,$AX$9),COUNTIF('1.연간시수표'!W30,$AX$7)),$AX$6,IF(OR(COUNTIF('1.연간시수표'!W30,$AY$9),COUNTIF('1.연간시수표'!W30,$AY$7)),$AY$6,IF(OR(COUNTIF('1.연간시수표'!W30,$AZ$9),COUNTIF('1.연간시수표'!W30,$AZ$7)),$AZ$6,IF(OR(COUNTIF('1.연간시수표'!W30,$BA$9),COUNTIF('1.연간시수표'!W30,$BA$7)),$BA$6,IF(OR(COUNTIF('1.연간시수표'!W30,$BB$9),COUNTIF('1.연간시수표'!W30,$BB$7)),$BB$6,IF(OR(COUNTIF('1.연간시수표'!W30,$BC$9),COUNTIF('1.연간시수표'!W30,$BC$7)),$BC$6,IF(OR(COUNTIF('1.연간시수표'!W30,$BF$9),COUNTIF('1.연간시수표'!W30,$BF$7),COUNTIF('1.연간시수표'!W30,$BG$9),COUNTIF('1.연간시수표'!W30,$BG$7),COUNTIF('1.연간시수표'!W30,$BH$9),COUNTIF('1.연간시수표'!W30,$BH$7),COUNTIF('1.연간시수표'!W30,$BI$9),COUNTIF('1.연간시수표'!W30,$BI$7),COUNTIF('1.연간시수표'!W30,$BJ$9),COUNTIF('1.연간시수표'!W30,$BJ$7),COUNTIF('1.연간시수표'!W30,$BK$9),COUNTIF('1.연간시수표'!W30,$BK$7),COUNTIF('1.연간시수표'!W30,$BL$9),COUNTIF('1.연간시수표'!W30,$BL$7),COUNTIF('1.연간시수표'!W30,$BM$9),COUNTIF('1.연간시수표'!W30,$BM$7)),$BF$6,IF(OR(COUNTIF('1.연간시수표'!W30,$BO$9),COUNTIF('1.연간시수표'!W30,$BO$7)),$BO$6,IF(OR(COUNTIF('1.연간시수표'!W30,$BP$9),COUNTIF('1.연간시수표'!W30,$BP$7)),$BP$6,IF(OR(COUNTIF('1.연간시수표'!W30,$BQ$9),COUNTIF('1.연간시수표'!W30,$BQ$7)),$BQ$6,IF(OR(COUNTIF('1.연간시수표'!W30,$BR$9),COUNTIF('1.연간시수표'!W30,$BR$7)),$BR$6,"_")))))))))))))))</f>
        <v>_</v>
      </c>
      <c r="X30" s="148" t="str">
        <f>IF(OR(COUNTIF('1.연간시수표'!X30,$AT$9),COUNTIF('1.연간시수표'!X30,$AT$7)),$AT$6,IF(OR(COUNTIF('1.연간시수표'!X30,$AU$9),COUNTIF('1.연간시수표'!X30,$AU$7)),$AU$6,IF(OR(COUNTIF('1.연간시수표'!X30,$AV$9),COUNTIF('1.연간시수표'!X30,$AV$7)),$AV$6,IF(OR(COUNTIF('1.연간시수표'!X30,$AW$9),COUNTIF('1.연간시수표'!X30,$AW$7)),$AW$6,IF(OR(COUNTIF('1.연간시수표'!X30,$AX$9),COUNTIF('1.연간시수표'!X30,$AX$7)),$AX$6,IF(OR(COUNTIF('1.연간시수표'!X30,$AY$9),COUNTIF('1.연간시수표'!X30,$AY$7)),$AY$6,IF(OR(COUNTIF('1.연간시수표'!X30,$AZ$9),COUNTIF('1.연간시수표'!X30,$AZ$7)),$AZ$6,IF(OR(COUNTIF('1.연간시수표'!X30,$BA$9),COUNTIF('1.연간시수표'!X30,$BA$7)),$BA$6,IF(OR(COUNTIF('1.연간시수표'!X30,$BB$9),COUNTIF('1.연간시수표'!X30,$BB$7)),$BB$6,IF(OR(COUNTIF('1.연간시수표'!X30,$BC$9),COUNTIF('1.연간시수표'!X30,$BC$7)),$BC$6,IF(OR(COUNTIF('1.연간시수표'!X30,$BF$9),COUNTIF('1.연간시수표'!X30,$BF$7),COUNTIF('1.연간시수표'!X30,$BG$9),COUNTIF('1.연간시수표'!X30,$BG$7),COUNTIF('1.연간시수표'!X30,$BH$9),COUNTIF('1.연간시수표'!X30,$BH$7),COUNTIF('1.연간시수표'!X30,$BI$9),COUNTIF('1.연간시수표'!X30,$BI$7),COUNTIF('1.연간시수표'!X30,$BJ$9),COUNTIF('1.연간시수표'!X30,$BJ$7),COUNTIF('1.연간시수표'!X30,$BK$9),COUNTIF('1.연간시수표'!X30,$BK$7),COUNTIF('1.연간시수표'!X30,$BL$9),COUNTIF('1.연간시수표'!X30,$BL$7),COUNTIF('1.연간시수표'!X30,$BM$9),COUNTIF('1.연간시수표'!X30,$BM$7)),$BF$6,IF(OR(COUNTIF('1.연간시수표'!X30,$BO$9),COUNTIF('1.연간시수표'!X30,$BO$7)),$BO$6,IF(OR(COUNTIF('1.연간시수표'!X30,$BP$9),COUNTIF('1.연간시수표'!X30,$BP$7)),$BP$6,IF(OR(COUNTIF('1.연간시수표'!X30,$BQ$9),COUNTIF('1.연간시수표'!X30,$BQ$7)),$BQ$6,IF(OR(COUNTIF('1.연간시수표'!X30,$BR$9),COUNTIF('1.연간시수표'!X30,$BR$7)),$BR$6,"_")))))))))))))))</f>
        <v>_</v>
      </c>
      <c r="Y30" s="148" t="str">
        <f>IF(OR(COUNTIF('1.연간시수표'!Y30,$AT$9),COUNTIF('1.연간시수표'!Y30,$AT$7)),$AT$6,IF(OR(COUNTIF('1.연간시수표'!Y30,$AU$9),COUNTIF('1.연간시수표'!Y30,$AU$7)),$AU$6,IF(OR(COUNTIF('1.연간시수표'!Y30,$AV$9),COUNTIF('1.연간시수표'!Y30,$AV$7)),$AV$6,IF(OR(COUNTIF('1.연간시수표'!Y30,$AW$9),COUNTIF('1.연간시수표'!Y30,$AW$7)),$AW$6,IF(OR(COUNTIF('1.연간시수표'!Y30,$AX$9),COUNTIF('1.연간시수표'!Y30,$AX$7)),$AX$6,IF(OR(COUNTIF('1.연간시수표'!Y30,$AY$9),COUNTIF('1.연간시수표'!Y30,$AY$7)),$AY$6,IF(OR(COUNTIF('1.연간시수표'!Y30,$AZ$9),COUNTIF('1.연간시수표'!Y30,$AZ$7)),$AZ$6,IF(OR(COUNTIF('1.연간시수표'!Y30,$BA$9),COUNTIF('1.연간시수표'!Y30,$BA$7)),$BA$6,IF(OR(COUNTIF('1.연간시수표'!Y30,$BB$9),COUNTIF('1.연간시수표'!Y30,$BB$7)),$BB$6,IF(OR(COUNTIF('1.연간시수표'!Y30,$BC$9),COUNTIF('1.연간시수표'!Y30,$BC$7)),$BC$6,IF(OR(COUNTIF('1.연간시수표'!Y30,$BF$9),COUNTIF('1.연간시수표'!Y30,$BF$7),COUNTIF('1.연간시수표'!Y30,$BG$9),COUNTIF('1.연간시수표'!Y30,$BG$7),COUNTIF('1.연간시수표'!Y30,$BH$9),COUNTIF('1.연간시수표'!Y30,$BH$7),COUNTIF('1.연간시수표'!Y30,$BI$9),COUNTIF('1.연간시수표'!Y30,$BI$7),COUNTIF('1.연간시수표'!Y30,$BJ$9),COUNTIF('1.연간시수표'!Y30,$BJ$7),COUNTIF('1.연간시수표'!Y30,$BK$9),COUNTIF('1.연간시수표'!Y30,$BK$7),COUNTIF('1.연간시수표'!Y30,$BL$9),COUNTIF('1.연간시수표'!Y30,$BL$7),COUNTIF('1.연간시수표'!Y30,$BM$9),COUNTIF('1.연간시수표'!Y30,$BM$7)),$BF$6,IF(OR(COUNTIF('1.연간시수표'!Y30,$BO$9),COUNTIF('1.연간시수표'!Y30,$BO$7)),$BO$6,IF(OR(COUNTIF('1.연간시수표'!Y30,$BP$9),COUNTIF('1.연간시수표'!Y30,$BP$7)),$BP$6,IF(OR(COUNTIF('1.연간시수표'!Y30,$BQ$9),COUNTIF('1.연간시수표'!Y30,$BQ$7)),$BQ$6,IF(OR(COUNTIF('1.연간시수표'!Y30,$BR$9),COUNTIF('1.연간시수표'!Y30,$BR$7)),$BR$6,"_")))))))))))))))</f>
        <v>_</v>
      </c>
      <c r="Z30" s="148" t="str">
        <f>IF(OR(COUNTIF('1.연간시수표'!Z30,$AT$9),COUNTIF('1.연간시수표'!Z30,$AT$7)),$AT$6,IF(OR(COUNTIF('1.연간시수표'!Z30,$AU$9),COUNTIF('1.연간시수표'!Z30,$AU$7)),$AU$6,IF(OR(COUNTIF('1.연간시수표'!Z30,$AV$9),COUNTIF('1.연간시수표'!Z30,$AV$7)),$AV$6,IF(OR(COUNTIF('1.연간시수표'!Z30,$AW$9),COUNTIF('1.연간시수표'!Z30,$AW$7)),$AW$6,IF(OR(COUNTIF('1.연간시수표'!Z30,$AX$9),COUNTIF('1.연간시수표'!Z30,$AX$7)),$AX$6,IF(OR(COUNTIF('1.연간시수표'!Z30,$AY$9),COUNTIF('1.연간시수표'!Z30,$AY$7)),$AY$6,IF(OR(COUNTIF('1.연간시수표'!Z30,$AZ$9),COUNTIF('1.연간시수표'!Z30,$AZ$7)),$AZ$6,IF(OR(COUNTIF('1.연간시수표'!Z30,$BA$9),COUNTIF('1.연간시수표'!Z30,$BA$7)),$BA$6,IF(OR(COUNTIF('1.연간시수표'!Z30,$BB$9),COUNTIF('1.연간시수표'!Z30,$BB$7)),$BB$6,IF(OR(COUNTIF('1.연간시수표'!Z30,$BC$9),COUNTIF('1.연간시수표'!Z30,$BC$7)),$BC$6,IF(OR(COUNTIF('1.연간시수표'!Z30,$BF$9),COUNTIF('1.연간시수표'!Z30,$BF$7),COUNTIF('1.연간시수표'!Z30,$BG$9),COUNTIF('1.연간시수표'!Z30,$BG$7),COUNTIF('1.연간시수표'!Z30,$BH$9),COUNTIF('1.연간시수표'!Z30,$BH$7),COUNTIF('1.연간시수표'!Z30,$BI$9),COUNTIF('1.연간시수표'!Z30,$BI$7),COUNTIF('1.연간시수표'!Z30,$BJ$9),COUNTIF('1.연간시수표'!Z30,$BJ$7),COUNTIF('1.연간시수표'!Z30,$BK$9),COUNTIF('1.연간시수표'!Z30,$BK$7),COUNTIF('1.연간시수표'!Z30,$BL$9),COUNTIF('1.연간시수표'!Z30,$BL$7),COUNTIF('1.연간시수표'!Z30,$BM$9),COUNTIF('1.연간시수표'!Z30,$BM$7)),$BF$6,IF(OR(COUNTIF('1.연간시수표'!Z30,$BO$9),COUNTIF('1.연간시수표'!Z30,$BO$7)),$BO$6,IF(OR(COUNTIF('1.연간시수표'!Z30,$BP$9),COUNTIF('1.연간시수표'!Z30,$BP$7)),$BP$6,IF(OR(COUNTIF('1.연간시수표'!Z30,$BQ$9),COUNTIF('1.연간시수표'!Z30,$BQ$7)),$BQ$6,IF(OR(COUNTIF('1.연간시수표'!Z30,$BR$9),COUNTIF('1.연간시수표'!Z30,$BR$7)),$BR$6,"_")))))))))))))))</f>
        <v>_</v>
      </c>
      <c r="AA30" s="148" t="str">
        <f>IF(OR(COUNTIF('1.연간시수표'!AA30,$AT$9),COUNTIF('1.연간시수표'!AA30,$AT$7)),$AT$6,IF(OR(COUNTIF('1.연간시수표'!AA30,$AU$9),COUNTIF('1.연간시수표'!AA30,$AU$7)),$AU$6,IF(OR(COUNTIF('1.연간시수표'!AA30,$AV$9),COUNTIF('1.연간시수표'!AA30,$AV$7)),$AV$6,IF(OR(COUNTIF('1.연간시수표'!AA30,$AW$9),COUNTIF('1.연간시수표'!AA30,$AW$7)),$AW$6,IF(OR(COUNTIF('1.연간시수표'!AA30,$AX$9),COUNTIF('1.연간시수표'!AA30,$AX$7)),$AX$6,IF(OR(COUNTIF('1.연간시수표'!AA30,$AY$9),COUNTIF('1.연간시수표'!AA30,$AY$7)),$AY$6,IF(OR(COUNTIF('1.연간시수표'!AA30,$AZ$9),COUNTIF('1.연간시수표'!AA30,$AZ$7)),$AZ$6,IF(OR(COUNTIF('1.연간시수표'!AA30,$BA$9),COUNTIF('1.연간시수표'!AA30,$BA$7)),$BA$6,IF(OR(COUNTIF('1.연간시수표'!AA30,$BB$9),COUNTIF('1.연간시수표'!AA30,$BB$7)),$BB$6,IF(OR(COUNTIF('1.연간시수표'!AA30,$BC$9),COUNTIF('1.연간시수표'!AA30,$BC$7)),$BC$6,IF(OR(COUNTIF('1.연간시수표'!AA30,$BF$9),COUNTIF('1.연간시수표'!AA30,$BF$7),COUNTIF('1.연간시수표'!AA30,$BG$9),COUNTIF('1.연간시수표'!AA30,$BG$7),COUNTIF('1.연간시수표'!AA30,$BH$9),COUNTIF('1.연간시수표'!AA30,$BH$7),COUNTIF('1.연간시수표'!AA30,$BI$9),COUNTIF('1.연간시수표'!AA30,$BI$7),COUNTIF('1.연간시수표'!AA30,$BJ$9),COUNTIF('1.연간시수표'!AA30,$BJ$7),COUNTIF('1.연간시수표'!AA30,$BK$9),COUNTIF('1.연간시수표'!AA30,$BK$7),COUNTIF('1.연간시수표'!AA30,$BL$9),COUNTIF('1.연간시수표'!AA30,$BL$7),COUNTIF('1.연간시수표'!AA30,$BM$9),COUNTIF('1.연간시수표'!AA30,$BM$7)),$BF$6,IF(OR(COUNTIF('1.연간시수표'!AA30,$BO$9),COUNTIF('1.연간시수표'!AA30,$BO$7)),$BO$6,IF(OR(COUNTIF('1.연간시수표'!AA30,$BP$9),COUNTIF('1.연간시수표'!AA30,$BP$7)),$BP$6,IF(OR(COUNTIF('1.연간시수표'!AA30,$BQ$9),COUNTIF('1.연간시수표'!AA30,$BQ$7)),$BQ$6,IF(OR(COUNTIF('1.연간시수표'!AA30,$BR$9),COUNTIF('1.연간시수표'!AA30,$BR$7)),$BR$6,"_")))))))))))))))</f>
        <v>_</v>
      </c>
      <c r="AB30" s="148" t="str">
        <f>IF(OR(COUNTIF('1.연간시수표'!AB30,$AT$9),COUNTIF('1.연간시수표'!AB30,$AT$7)),$AT$6,IF(OR(COUNTIF('1.연간시수표'!AB30,$AU$9),COUNTIF('1.연간시수표'!AB30,$AU$7)),$AU$6,IF(OR(COUNTIF('1.연간시수표'!AB30,$AV$9),COUNTIF('1.연간시수표'!AB30,$AV$7)),$AV$6,IF(OR(COUNTIF('1.연간시수표'!AB30,$AW$9),COUNTIF('1.연간시수표'!AB30,$AW$7)),$AW$6,IF(OR(COUNTIF('1.연간시수표'!AB30,$AX$9),COUNTIF('1.연간시수표'!AB30,$AX$7)),$AX$6,IF(OR(COUNTIF('1.연간시수표'!AB30,$AY$9),COUNTIF('1.연간시수표'!AB30,$AY$7)),$AY$6,IF(OR(COUNTIF('1.연간시수표'!AB30,$AZ$9),COUNTIF('1.연간시수표'!AB30,$AZ$7)),$AZ$6,IF(OR(COUNTIF('1.연간시수표'!AB30,$BA$9),COUNTIF('1.연간시수표'!AB30,$BA$7)),$BA$6,IF(OR(COUNTIF('1.연간시수표'!AB30,$BB$9),COUNTIF('1.연간시수표'!AB30,$BB$7)),$BB$6,IF(OR(COUNTIF('1.연간시수표'!AB30,$BC$9),COUNTIF('1.연간시수표'!AB30,$BC$7)),$BC$6,IF(OR(COUNTIF('1.연간시수표'!AB30,$BF$9),COUNTIF('1.연간시수표'!AB30,$BF$7),COUNTIF('1.연간시수표'!AB30,$BG$9),COUNTIF('1.연간시수표'!AB30,$BG$7),COUNTIF('1.연간시수표'!AB30,$BH$9),COUNTIF('1.연간시수표'!AB30,$BH$7),COUNTIF('1.연간시수표'!AB30,$BI$9),COUNTIF('1.연간시수표'!AB30,$BI$7),COUNTIF('1.연간시수표'!AB30,$BJ$9),COUNTIF('1.연간시수표'!AB30,$BJ$7),COUNTIF('1.연간시수표'!AB30,$BK$9),COUNTIF('1.연간시수표'!AB30,$BK$7),COUNTIF('1.연간시수표'!AB30,$BL$9),COUNTIF('1.연간시수표'!AB30,$BL$7),COUNTIF('1.연간시수표'!AB30,$BM$9),COUNTIF('1.연간시수표'!AB30,$BM$7)),$BF$6,IF(OR(COUNTIF('1.연간시수표'!AB30,$BO$9),COUNTIF('1.연간시수표'!AB30,$BO$7)),$BO$6,IF(OR(COUNTIF('1.연간시수표'!AB30,$BP$9),COUNTIF('1.연간시수표'!AB30,$BP$7)),$BP$6,IF(OR(COUNTIF('1.연간시수표'!AB30,$BQ$9),COUNTIF('1.연간시수표'!AB30,$BQ$7)),$BQ$6,IF(OR(COUNTIF('1.연간시수표'!AB30,$BR$9),COUNTIF('1.연간시수표'!AB30,$BR$7)),$BR$6,"_")))))))))))))))</f>
        <v>_</v>
      </c>
      <c r="AC30" s="148" t="str">
        <f>IF(OR(COUNTIF('1.연간시수표'!AC30,$AT$9),COUNTIF('1.연간시수표'!AC30,$AT$7)),$AT$6,IF(OR(COUNTIF('1.연간시수표'!AC30,$AU$9),COUNTIF('1.연간시수표'!AC30,$AU$7)),$AU$6,IF(OR(COUNTIF('1.연간시수표'!AC30,$AV$9),COUNTIF('1.연간시수표'!AC30,$AV$7)),$AV$6,IF(OR(COUNTIF('1.연간시수표'!AC30,$AW$9),COUNTIF('1.연간시수표'!AC30,$AW$7)),$AW$6,IF(OR(COUNTIF('1.연간시수표'!AC30,$AX$9),COUNTIF('1.연간시수표'!AC30,$AX$7)),$AX$6,IF(OR(COUNTIF('1.연간시수표'!AC30,$AY$9),COUNTIF('1.연간시수표'!AC30,$AY$7)),$AY$6,IF(OR(COUNTIF('1.연간시수표'!AC30,$AZ$9),COUNTIF('1.연간시수표'!AC30,$AZ$7)),$AZ$6,IF(OR(COUNTIF('1.연간시수표'!AC30,$BA$9),COUNTIF('1.연간시수표'!AC30,$BA$7)),$BA$6,IF(OR(COUNTIF('1.연간시수표'!AC30,$BB$9),COUNTIF('1.연간시수표'!AC30,$BB$7)),$BB$6,IF(OR(COUNTIF('1.연간시수표'!AC30,$BC$9),COUNTIF('1.연간시수표'!AC30,$BC$7)),$BC$6,IF(OR(COUNTIF('1.연간시수표'!AC30,$BF$9),COUNTIF('1.연간시수표'!AC30,$BF$7),COUNTIF('1.연간시수표'!AC30,$BG$9),COUNTIF('1.연간시수표'!AC30,$BG$7),COUNTIF('1.연간시수표'!AC30,$BH$9),COUNTIF('1.연간시수표'!AC30,$BH$7),COUNTIF('1.연간시수표'!AC30,$BI$9),COUNTIF('1.연간시수표'!AC30,$BI$7),COUNTIF('1.연간시수표'!AC30,$BJ$9),COUNTIF('1.연간시수표'!AC30,$BJ$7),COUNTIF('1.연간시수표'!AC30,$BK$9),COUNTIF('1.연간시수표'!AC30,$BK$7),COUNTIF('1.연간시수표'!AC30,$BL$9),COUNTIF('1.연간시수표'!AC30,$BL$7),COUNTIF('1.연간시수표'!AC30,$BM$9),COUNTIF('1.연간시수표'!AC30,$BM$7)),$BF$6,IF(OR(COUNTIF('1.연간시수표'!AC30,$BO$9),COUNTIF('1.연간시수표'!AC30,$BO$7)),$BO$6,IF(OR(COUNTIF('1.연간시수표'!AC30,$BP$9),COUNTIF('1.연간시수표'!AC30,$BP$7)),$BP$6,IF(OR(COUNTIF('1.연간시수표'!AC30,$BQ$9),COUNTIF('1.연간시수표'!AC30,$BQ$7)),$BQ$6,IF(OR(COUNTIF('1.연간시수표'!AC30,$BR$9),COUNTIF('1.연간시수표'!AC30,$BR$7)),$BR$6,"_")))))))))))))))</f>
        <v>_</v>
      </c>
      <c r="AD30" s="148" t="str">
        <f>IF(OR(COUNTIF('1.연간시수표'!AD30,$AT$9),COUNTIF('1.연간시수표'!AD30,$AT$7)),$AT$6,IF(OR(COUNTIF('1.연간시수표'!AD30,$AU$9),COUNTIF('1.연간시수표'!AD30,$AU$7)),$AU$6,IF(OR(COUNTIF('1.연간시수표'!AD30,$AV$9),COUNTIF('1.연간시수표'!AD30,$AV$7)),$AV$6,IF(OR(COUNTIF('1.연간시수표'!AD30,$AW$9),COUNTIF('1.연간시수표'!AD30,$AW$7)),$AW$6,IF(OR(COUNTIF('1.연간시수표'!AD30,$AX$9),COUNTIF('1.연간시수표'!AD30,$AX$7)),$AX$6,IF(OR(COUNTIF('1.연간시수표'!AD30,$AY$9),COUNTIF('1.연간시수표'!AD30,$AY$7)),$AY$6,IF(OR(COUNTIF('1.연간시수표'!AD30,$AZ$9),COUNTIF('1.연간시수표'!AD30,$AZ$7)),$AZ$6,IF(OR(COUNTIF('1.연간시수표'!AD30,$BA$9),COUNTIF('1.연간시수표'!AD30,$BA$7)),$BA$6,IF(OR(COUNTIF('1.연간시수표'!AD30,$BB$9),COUNTIF('1.연간시수표'!AD30,$BB$7)),$BB$6,IF(OR(COUNTIF('1.연간시수표'!AD30,$BC$9),COUNTIF('1.연간시수표'!AD30,$BC$7)),$BC$6,IF(OR(COUNTIF('1.연간시수표'!AD30,$BF$9),COUNTIF('1.연간시수표'!AD30,$BF$7),COUNTIF('1.연간시수표'!AD30,$BG$9),COUNTIF('1.연간시수표'!AD30,$BG$7),COUNTIF('1.연간시수표'!AD30,$BH$9),COUNTIF('1.연간시수표'!AD30,$BH$7),COUNTIF('1.연간시수표'!AD30,$BI$9),COUNTIF('1.연간시수표'!AD30,$BI$7),COUNTIF('1.연간시수표'!AD30,$BJ$9),COUNTIF('1.연간시수표'!AD30,$BJ$7),COUNTIF('1.연간시수표'!AD30,$BK$9),COUNTIF('1.연간시수표'!AD30,$BK$7),COUNTIF('1.연간시수표'!AD30,$BL$9),COUNTIF('1.연간시수표'!AD30,$BL$7),COUNTIF('1.연간시수표'!AD30,$BM$9),COUNTIF('1.연간시수표'!AD30,$BM$7)),$BF$6,IF(OR(COUNTIF('1.연간시수표'!AD30,$BO$9),COUNTIF('1.연간시수표'!AD30,$BO$7)),$BO$6,IF(OR(COUNTIF('1.연간시수표'!AD30,$BP$9),COUNTIF('1.연간시수표'!AD30,$BP$7)),$BP$6,IF(OR(COUNTIF('1.연간시수표'!AD30,$BQ$9),COUNTIF('1.연간시수표'!AD30,$BQ$7)),$BQ$6,IF(OR(COUNTIF('1.연간시수표'!AD30,$BR$9),COUNTIF('1.연간시수표'!AD30,$BR$7)),$BR$6,"_")))))))))))))))</f>
        <v>_</v>
      </c>
      <c r="AE30" s="148" t="str">
        <f>IF(OR(COUNTIF('1.연간시수표'!AE30,$AT$9),COUNTIF('1.연간시수표'!AE30,$AT$7)),$AT$6,IF(OR(COUNTIF('1.연간시수표'!AE30,$AU$9),COUNTIF('1.연간시수표'!AE30,$AU$7)),$AU$6,IF(OR(COUNTIF('1.연간시수표'!AE30,$AV$9),COUNTIF('1.연간시수표'!AE30,$AV$7)),$AV$6,IF(OR(COUNTIF('1.연간시수표'!AE30,$AW$9),COUNTIF('1.연간시수표'!AE30,$AW$7)),$AW$6,IF(OR(COUNTIF('1.연간시수표'!AE30,$AX$9),COUNTIF('1.연간시수표'!AE30,$AX$7)),$AX$6,IF(OR(COUNTIF('1.연간시수표'!AE30,$AY$9),COUNTIF('1.연간시수표'!AE30,$AY$7)),$AY$6,IF(OR(COUNTIF('1.연간시수표'!AE30,$AZ$9),COUNTIF('1.연간시수표'!AE30,$AZ$7)),$AZ$6,IF(OR(COUNTIF('1.연간시수표'!AE30,$BA$9),COUNTIF('1.연간시수표'!AE30,$BA$7)),$BA$6,IF(OR(COUNTIF('1.연간시수표'!AE30,$BB$9),COUNTIF('1.연간시수표'!AE30,$BB$7)),$BB$6,IF(OR(COUNTIF('1.연간시수표'!AE30,$BC$9),COUNTIF('1.연간시수표'!AE30,$BC$7)),$BC$6,IF(OR(COUNTIF('1.연간시수표'!AE30,$BF$9),COUNTIF('1.연간시수표'!AE30,$BF$7),COUNTIF('1.연간시수표'!AE30,$BG$9),COUNTIF('1.연간시수표'!AE30,$BG$7),COUNTIF('1.연간시수표'!AE30,$BH$9),COUNTIF('1.연간시수표'!AE30,$BH$7),COUNTIF('1.연간시수표'!AE30,$BI$9),COUNTIF('1.연간시수표'!AE30,$BI$7),COUNTIF('1.연간시수표'!AE30,$BJ$9),COUNTIF('1.연간시수표'!AE30,$BJ$7),COUNTIF('1.연간시수표'!AE30,$BK$9),COUNTIF('1.연간시수표'!AE30,$BK$7),COUNTIF('1.연간시수표'!AE30,$BL$9),COUNTIF('1.연간시수표'!AE30,$BL$7),COUNTIF('1.연간시수표'!AE30,$BM$9),COUNTIF('1.연간시수표'!AE30,$BM$7)),$BF$6,IF(OR(COUNTIF('1.연간시수표'!AE30,$BO$9),COUNTIF('1.연간시수표'!AE30,$BO$7)),$BO$6,IF(OR(COUNTIF('1.연간시수표'!AE30,$BP$9),COUNTIF('1.연간시수표'!AE30,$BP$7)),$BP$6,IF(OR(COUNTIF('1.연간시수표'!AE30,$BQ$9),COUNTIF('1.연간시수표'!AE30,$BQ$7)),$BQ$6,IF(OR(COUNTIF('1.연간시수표'!AE30,$BR$9),COUNTIF('1.연간시수표'!AE30,$BR$7)),$BR$6,"_")))))))))))))))</f>
        <v>_</v>
      </c>
      <c r="AF30" s="148" t="str">
        <f>IF(OR(COUNTIF('1.연간시수표'!AF30,$AT$9),COUNTIF('1.연간시수표'!AF30,$AT$7)),$AT$6,IF(OR(COUNTIF('1.연간시수표'!AF30,$AU$9),COUNTIF('1.연간시수표'!AF30,$AU$7)),$AU$6,IF(OR(COUNTIF('1.연간시수표'!AF30,$AV$9),COUNTIF('1.연간시수표'!AF30,$AV$7)),$AV$6,IF(OR(COUNTIF('1.연간시수표'!AF30,$AW$9),COUNTIF('1.연간시수표'!AF30,$AW$7)),$AW$6,IF(OR(COUNTIF('1.연간시수표'!AF30,$AX$9),COUNTIF('1.연간시수표'!AF30,$AX$7)),$AX$6,IF(OR(COUNTIF('1.연간시수표'!AF30,$AY$9),COUNTIF('1.연간시수표'!AF30,$AY$7)),$AY$6,IF(OR(COUNTIF('1.연간시수표'!AF30,$AZ$9),COUNTIF('1.연간시수표'!AF30,$AZ$7)),$AZ$6,IF(OR(COUNTIF('1.연간시수표'!AF30,$BA$9),COUNTIF('1.연간시수표'!AF30,$BA$7)),$BA$6,IF(OR(COUNTIF('1.연간시수표'!AF30,$BB$9),COUNTIF('1.연간시수표'!AF30,$BB$7)),$BB$6,IF(OR(COUNTIF('1.연간시수표'!AF30,$BC$9),COUNTIF('1.연간시수표'!AF30,$BC$7)),$BC$6,IF(OR(COUNTIF('1.연간시수표'!AF30,$BF$9),COUNTIF('1.연간시수표'!AF30,$BF$7),COUNTIF('1.연간시수표'!AF30,$BG$9),COUNTIF('1.연간시수표'!AF30,$BG$7),COUNTIF('1.연간시수표'!AF30,$BH$9),COUNTIF('1.연간시수표'!AF30,$BH$7),COUNTIF('1.연간시수표'!AF30,$BI$9),COUNTIF('1.연간시수표'!AF30,$BI$7),COUNTIF('1.연간시수표'!AF30,$BJ$9),COUNTIF('1.연간시수표'!AF30,$BJ$7),COUNTIF('1.연간시수표'!AF30,$BK$9),COUNTIF('1.연간시수표'!AF30,$BK$7),COUNTIF('1.연간시수표'!AF30,$BL$9),COUNTIF('1.연간시수표'!AF30,$BL$7),COUNTIF('1.연간시수표'!AF30,$BM$9),COUNTIF('1.연간시수표'!AF30,$BM$7)),$BF$6,IF(OR(COUNTIF('1.연간시수표'!AF30,$BO$9),COUNTIF('1.연간시수표'!AF30,$BO$7)),$BO$6,IF(OR(COUNTIF('1.연간시수표'!AF30,$BP$9),COUNTIF('1.연간시수표'!AF30,$BP$7)),$BP$6,IF(OR(COUNTIF('1.연간시수표'!AF30,$BQ$9),COUNTIF('1.연간시수표'!AF30,$BQ$7)),$BQ$6,IF(OR(COUNTIF('1.연간시수표'!AF30,$BR$9),COUNTIF('1.연간시수표'!AF30,$BR$7)),$BR$6,"_")))))))))))))))</f>
        <v>_</v>
      </c>
      <c r="AG30" s="148" t="str">
        <f>IF(OR(COUNTIF('1.연간시수표'!AG30,$AT$9),COUNTIF('1.연간시수표'!AG30,$AT$7)),$AT$6,IF(OR(COUNTIF('1.연간시수표'!AG30,$AU$9),COUNTIF('1.연간시수표'!AG30,$AU$7)),$AU$6,IF(OR(COUNTIF('1.연간시수표'!AG30,$AV$9),COUNTIF('1.연간시수표'!AG30,$AV$7)),$AV$6,IF(OR(COUNTIF('1.연간시수표'!AG30,$AW$9),COUNTIF('1.연간시수표'!AG30,$AW$7)),$AW$6,IF(OR(COUNTIF('1.연간시수표'!AG30,$AX$9),COUNTIF('1.연간시수표'!AG30,$AX$7)),$AX$6,IF(OR(COUNTIF('1.연간시수표'!AG30,$AY$9),COUNTIF('1.연간시수표'!AG30,$AY$7)),$AY$6,IF(OR(COUNTIF('1.연간시수표'!AG30,$AZ$9),COUNTIF('1.연간시수표'!AG30,$AZ$7)),$AZ$6,IF(OR(COUNTIF('1.연간시수표'!AG30,$BA$9),COUNTIF('1.연간시수표'!AG30,$BA$7)),$BA$6,IF(OR(COUNTIF('1.연간시수표'!AG30,$BB$9),COUNTIF('1.연간시수표'!AG30,$BB$7)),$BB$6,IF(OR(COUNTIF('1.연간시수표'!AG30,$BC$9),COUNTIF('1.연간시수표'!AG30,$BC$7)),$BC$6,IF(OR(COUNTIF('1.연간시수표'!AG30,$BF$9),COUNTIF('1.연간시수표'!AG30,$BF$7),COUNTIF('1.연간시수표'!AG30,$BG$9),COUNTIF('1.연간시수표'!AG30,$BG$7),COUNTIF('1.연간시수표'!AG30,$BH$9),COUNTIF('1.연간시수표'!AG30,$BH$7),COUNTIF('1.연간시수표'!AG30,$BI$9),COUNTIF('1.연간시수표'!AG30,$BI$7),COUNTIF('1.연간시수표'!AG30,$BJ$9),COUNTIF('1.연간시수표'!AG30,$BJ$7),COUNTIF('1.연간시수표'!AG30,$BK$9),COUNTIF('1.연간시수표'!AG30,$BK$7),COUNTIF('1.연간시수표'!AG30,$BL$9),COUNTIF('1.연간시수표'!AG30,$BL$7),COUNTIF('1.연간시수표'!AG30,$BM$9),COUNTIF('1.연간시수표'!AG30,$BM$7)),$BF$6,IF(OR(COUNTIF('1.연간시수표'!AG30,$BO$9),COUNTIF('1.연간시수표'!AG30,$BO$7)),$BO$6,IF(OR(COUNTIF('1.연간시수표'!AG30,$BP$9),COUNTIF('1.연간시수표'!AG30,$BP$7)),$BP$6,IF(OR(COUNTIF('1.연간시수표'!AG30,$BQ$9),COUNTIF('1.연간시수표'!AG30,$BQ$7)),$BQ$6,IF(OR(COUNTIF('1.연간시수표'!AG30,$BR$9),COUNTIF('1.연간시수표'!AG30,$BR$7)),$BR$6,"_")))))))))))))))</f>
        <v>_</v>
      </c>
      <c r="AH30" s="148" t="str">
        <f>IF(OR(COUNTIF('1.연간시수표'!AH30,$AT$9),COUNTIF('1.연간시수표'!AH30,$AT$7)),$AT$6,IF(OR(COUNTIF('1.연간시수표'!AH30,$AU$9),COUNTIF('1.연간시수표'!AH30,$AU$7)),$AU$6,IF(OR(COUNTIF('1.연간시수표'!AH30,$AV$9),COUNTIF('1.연간시수표'!AH30,$AV$7)),$AV$6,IF(OR(COUNTIF('1.연간시수표'!AH30,$AW$9),COUNTIF('1.연간시수표'!AH30,$AW$7)),$AW$6,IF(OR(COUNTIF('1.연간시수표'!AH30,$AX$9),COUNTIF('1.연간시수표'!AH30,$AX$7)),$AX$6,IF(OR(COUNTIF('1.연간시수표'!AH30,$AY$9),COUNTIF('1.연간시수표'!AH30,$AY$7)),$AY$6,IF(OR(COUNTIF('1.연간시수표'!AH30,$AZ$9),COUNTIF('1.연간시수표'!AH30,$AZ$7)),$AZ$6,IF(OR(COUNTIF('1.연간시수표'!AH30,$BA$9),COUNTIF('1.연간시수표'!AH30,$BA$7)),$BA$6,IF(OR(COUNTIF('1.연간시수표'!AH30,$BB$9),COUNTIF('1.연간시수표'!AH30,$BB$7)),$BB$6,IF(OR(COUNTIF('1.연간시수표'!AH30,$BC$9),COUNTIF('1.연간시수표'!AH30,$BC$7)),$BC$6,IF(OR(COUNTIF('1.연간시수표'!AH30,$BF$9),COUNTIF('1.연간시수표'!AH30,$BF$7),COUNTIF('1.연간시수표'!AH30,$BG$9),COUNTIF('1.연간시수표'!AH30,$BG$7),COUNTIF('1.연간시수표'!AH30,$BH$9),COUNTIF('1.연간시수표'!AH30,$BH$7),COUNTIF('1.연간시수표'!AH30,$BI$9),COUNTIF('1.연간시수표'!AH30,$BI$7),COUNTIF('1.연간시수표'!AH30,$BJ$9),COUNTIF('1.연간시수표'!AH30,$BJ$7),COUNTIF('1.연간시수표'!AH30,$BK$9),COUNTIF('1.연간시수표'!AH30,$BK$7),COUNTIF('1.연간시수표'!AH30,$BL$9),COUNTIF('1.연간시수표'!AH30,$BL$7),COUNTIF('1.연간시수표'!AH30,$BM$9),COUNTIF('1.연간시수표'!AH30,$BM$7)),$BF$6,IF(OR(COUNTIF('1.연간시수표'!AH30,$BO$9),COUNTIF('1.연간시수표'!AH30,$BO$7)),$BO$6,IF(OR(COUNTIF('1.연간시수표'!AH30,$BP$9),COUNTIF('1.연간시수표'!AH30,$BP$7)),$BP$6,IF(OR(COUNTIF('1.연간시수표'!AH30,$BQ$9),COUNTIF('1.연간시수표'!AH30,$BQ$7)),$BQ$6,IF(OR(COUNTIF('1.연간시수표'!AH30,$BR$9),COUNTIF('1.연간시수표'!AH30,$BR$7)),$BR$6,"_")))))))))))))))</f>
        <v>_</v>
      </c>
      <c r="AI30" s="148" t="str">
        <f>IF(OR(COUNTIF('1.연간시수표'!AI30,$AT$9),COUNTIF('1.연간시수표'!AI30,$AT$7)),$AT$6,IF(OR(COUNTIF('1.연간시수표'!AI30,$AU$9),COUNTIF('1.연간시수표'!AI30,$AU$7)),$AU$6,IF(OR(COUNTIF('1.연간시수표'!AI30,$AV$9),COUNTIF('1.연간시수표'!AI30,$AV$7)),$AV$6,IF(OR(COUNTIF('1.연간시수표'!AI30,$AW$9),COUNTIF('1.연간시수표'!AI30,$AW$7)),$AW$6,IF(OR(COUNTIF('1.연간시수표'!AI30,$AX$9),COUNTIF('1.연간시수표'!AI30,$AX$7)),$AX$6,IF(OR(COUNTIF('1.연간시수표'!AI30,$AY$9),COUNTIF('1.연간시수표'!AI30,$AY$7)),$AY$6,IF(OR(COUNTIF('1.연간시수표'!AI30,$AZ$9),COUNTIF('1.연간시수표'!AI30,$AZ$7)),$AZ$6,IF(OR(COUNTIF('1.연간시수표'!AI30,$BA$9),COUNTIF('1.연간시수표'!AI30,$BA$7)),$BA$6,IF(OR(COUNTIF('1.연간시수표'!AI30,$BB$9),COUNTIF('1.연간시수표'!AI30,$BB$7)),$BB$6,IF(OR(COUNTIF('1.연간시수표'!AI30,$BC$9),COUNTIF('1.연간시수표'!AI30,$BC$7)),$BC$6,IF(OR(COUNTIF('1.연간시수표'!AI30,$BF$9),COUNTIF('1.연간시수표'!AI30,$BF$7),COUNTIF('1.연간시수표'!AI30,$BG$9),COUNTIF('1.연간시수표'!AI30,$BG$7),COUNTIF('1.연간시수표'!AI30,$BH$9),COUNTIF('1.연간시수표'!AI30,$BH$7),COUNTIF('1.연간시수표'!AI30,$BI$9),COUNTIF('1.연간시수표'!AI30,$BI$7),COUNTIF('1.연간시수표'!AI30,$BJ$9),COUNTIF('1.연간시수표'!AI30,$BJ$7),COUNTIF('1.연간시수표'!AI30,$BK$9),COUNTIF('1.연간시수표'!AI30,$BK$7),COUNTIF('1.연간시수표'!AI30,$BL$9),COUNTIF('1.연간시수표'!AI30,$BL$7),COUNTIF('1.연간시수표'!AI30,$BM$9),COUNTIF('1.연간시수표'!AI30,$BM$7)),$BF$6,IF(OR(COUNTIF('1.연간시수표'!AI30,$BO$9),COUNTIF('1.연간시수표'!AI30,$BO$7)),$BO$6,IF(OR(COUNTIF('1.연간시수표'!AI30,$BP$9),COUNTIF('1.연간시수표'!AI30,$BP$7)),$BP$6,IF(OR(COUNTIF('1.연간시수표'!AI30,$BQ$9),COUNTIF('1.연간시수표'!AI30,$BQ$7)),$BQ$6,IF(OR(COUNTIF('1.연간시수표'!AI30,$BR$9),COUNTIF('1.연간시수표'!AI30,$BR$7)),$BR$6,"_")))))))))))))))</f>
        <v>_</v>
      </c>
      <c r="AJ30" s="148" t="str">
        <f>IF(OR(COUNTIF('1.연간시수표'!AJ30,$AT$9),COUNTIF('1.연간시수표'!AJ30,$AT$7)),$AT$6,IF(OR(COUNTIF('1.연간시수표'!AJ30,$AU$9),COUNTIF('1.연간시수표'!AJ30,$AU$7)),$AU$6,IF(OR(COUNTIF('1.연간시수표'!AJ30,$AV$9),COUNTIF('1.연간시수표'!AJ30,$AV$7)),$AV$6,IF(OR(COUNTIF('1.연간시수표'!AJ30,$AW$9),COUNTIF('1.연간시수표'!AJ30,$AW$7)),$AW$6,IF(OR(COUNTIF('1.연간시수표'!AJ30,$AX$9),COUNTIF('1.연간시수표'!AJ30,$AX$7)),$AX$6,IF(OR(COUNTIF('1.연간시수표'!AJ30,$AY$9),COUNTIF('1.연간시수표'!AJ30,$AY$7)),$AY$6,IF(OR(COUNTIF('1.연간시수표'!AJ30,$AZ$9),COUNTIF('1.연간시수표'!AJ30,$AZ$7)),$AZ$6,IF(OR(COUNTIF('1.연간시수표'!AJ30,$BA$9),COUNTIF('1.연간시수표'!AJ30,$BA$7)),$BA$6,IF(OR(COUNTIF('1.연간시수표'!AJ30,$BB$9),COUNTIF('1.연간시수표'!AJ30,$BB$7)),$BB$6,IF(OR(COUNTIF('1.연간시수표'!AJ30,$BC$9),COUNTIF('1.연간시수표'!AJ30,$BC$7)),$BC$6,IF(OR(COUNTIF('1.연간시수표'!AJ30,$BF$9),COUNTIF('1.연간시수표'!AJ30,$BF$7),COUNTIF('1.연간시수표'!AJ30,$BG$9),COUNTIF('1.연간시수표'!AJ30,$BG$7),COUNTIF('1.연간시수표'!AJ30,$BH$9),COUNTIF('1.연간시수표'!AJ30,$BH$7),COUNTIF('1.연간시수표'!AJ30,$BI$9),COUNTIF('1.연간시수표'!AJ30,$BI$7),COUNTIF('1.연간시수표'!AJ30,$BJ$9),COUNTIF('1.연간시수표'!AJ30,$BJ$7),COUNTIF('1.연간시수표'!AJ30,$BK$9),COUNTIF('1.연간시수표'!AJ30,$BK$7),COUNTIF('1.연간시수표'!AJ30,$BL$9),COUNTIF('1.연간시수표'!AJ30,$BL$7),COUNTIF('1.연간시수표'!AJ30,$BM$9),COUNTIF('1.연간시수표'!AJ30,$BM$7)),$BF$6,IF(OR(COUNTIF('1.연간시수표'!AJ30,$BO$9),COUNTIF('1.연간시수표'!AJ30,$BO$7)),$BO$6,IF(OR(COUNTIF('1.연간시수표'!AJ30,$BP$9),COUNTIF('1.연간시수표'!AJ30,$BP$7)),$BP$6,IF(OR(COUNTIF('1.연간시수표'!AJ30,$BQ$9),COUNTIF('1.연간시수표'!AJ30,$BQ$7)),$BQ$6,IF(OR(COUNTIF('1.연간시수표'!AJ30,$BR$9),COUNTIF('1.연간시수표'!AJ30,$BR$7)),$BR$6,"_")))))))))))))))</f>
        <v>_</v>
      </c>
      <c r="AK30" s="148" t="str">
        <f>IF(OR(COUNTIF('1.연간시수표'!AK30,$AT$9),COUNTIF('1.연간시수표'!AK30,$AT$7)),$AT$6,IF(OR(COUNTIF('1.연간시수표'!AK30,$AU$9),COUNTIF('1.연간시수표'!AK30,$AU$7)),$AU$6,IF(OR(COUNTIF('1.연간시수표'!AK30,$AV$9),COUNTIF('1.연간시수표'!AK30,$AV$7)),$AV$6,IF(OR(COUNTIF('1.연간시수표'!AK30,$AW$9),COUNTIF('1.연간시수표'!AK30,$AW$7)),$AW$6,IF(OR(COUNTIF('1.연간시수표'!AK30,$AX$9),COUNTIF('1.연간시수표'!AK30,$AX$7)),$AX$6,IF(OR(COUNTIF('1.연간시수표'!AK30,$AY$9),COUNTIF('1.연간시수표'!AK30,$AY$7)),$AY$6,IF(OR(COUNTIF('1.연간시수표'!AK30,$AZ$9),COUNTIF('1.연간시수표'!AK30,$AZ$7)),$AZ$6,IF(OR(COUNTIF('1.연간시수표'!AK30,$BA$9),COUNTIF('1.연간시수표'!AK30,$BA$7)),$BA$6,IF(OR(COUNTIF('1.연간시수표'!AK30,$BB$9),COUNTIF('1.연간시수표'!AK30,$BB$7)),$BB$6,IF(OR(COUNTIF('1.연간시수표'!AK30,$BC$9),COUNTIF('1.연간시수표'!AK30,$BC$7)),$BC$6,IF(OR(COUNTIF('1.연간시수표'!AK30,$BF$9),COUNTIF('1.연간시수표'!AK30,$BF$7),COUNTIF('1.연간시수표'!AK30,$BG$9),COUNTIF('1.연간시수표'!AK30,$BG$7),COUNTIF('1.연간시수표'!AK30,$BH$9),COUNTIF('1.연간시수표'!AK30,$BH$7),COUNTIF('1.연간시수표'!AK30,$BI$9),COUNTIF('1.연간시수표'!AK30,$BI$7),COUNTIF('1.연간시수표'!AK30,$BJ$9),COUNTIF('1.연간시수표'!AK30,$BJ$7),COUNTIF('1.연간시수표'!AK30,$BK$9),COUNTIF('1.연간시수표'!AK30,$BK$7),COUNTIF('1.연간시수표'!AK30,$BL$9),COUNTIF('1.연간시수표'!AK30,$BL$7),COUNTIF('1.연간시수표'!AK30,$BM$9),COUNTIF('1.연간시수표'!AK30,$BM$7)),$BF$6,IF(OR(COUNTIF('1.연간시수표'!AK30,$BO$9),COUNTIF('1.연간시수표'!AK30,$BO$7)),$BO$6,IF(OR(COUNTIF('1.연간시수표'!AK30,$BP$9),COUNTIF('1.연간시수표'!AK30,$BP$7)),$BP$6,IF(OR(COUNTIF('1.연간시수표'!AK30,$BQ$9),COUNTIF('1.연간시수표'!AK30,$BQ$7)),$BQ$6,IF(OR(COUNTIF('1.연간시수표'!AK30,$BR$9),COUNTIF('1.연간시수표'!AK30,$BR$7)),$BR$6,"_")))))))))))))))</f>
        <v>_</v>
      </c>
      <c r="AL30" s="148" t="str">
        <f>IF(OR(COUNTIF('1.연간시수표'!AL30,$AT$9),COUNTIF('1.연간시수표'!AL30,$AT$7)),$AT$6,IF(OR(COUNTIF('1.연간시수표'!AL30,$AU$9),COUNTIF('1.연간시수표'!AL30,$AU$7)),$AU$6,IF(OR(COUNTIF('1.연간시수표'!AL30,$AV$9),COUNTIF('1.연간시수표'!AL30,$AV$7)),$AV$6,IF(OR(COUNTIF('1.연간시수표'!AL30,$AW$9),COUNTIF('1.연간시수표'!AL30,$AW$7)),$AW$6,IF(OR(COUNTIF('1.연간시수표'!AL30,$AX$9),COUNTIF('1.연간시수표'!AL30,$AX$7)),$AX$6,IF(OR(COUNTIF('1.연간시수표'!AL30,$AY$9),COUNTIF('1.연간시수표'!AL30,$AY$7)),$AY$6,IF(OR(COUNTIF('1.연간시수표'!AL30,$AZ$9),COUNTIF('1.연간시수표'!AL30,$AZ$7)),$AZ$6,IF(OR(COUNTIF('1.연간시수표'!AL30,$BA$9),COUNTIF('1.연간시수표'!AL30,$BA$7)),$BA$6,IF(OR(COUNTIF('1.연간시수표'!AL30,$BB$9),COUNTIF('1.연간시수표'!AL30,$BB$7)),$BB$6,IF(OR(COUNTIF('1.연간시수표'!AL30,$BC$9),COUNTIF('1.연간시수표'!AL30,$BC$7)),$BC$6,IF(OR(COUNTIF('1.연간시수표'!AL30,$BF$9),COUNTIF('1.연간시수표'!AL30,$BF$7),COUNTIF('1.연간시수표'!AL30,$BG$9),COUNTIF('1.연간시수표'!AL30,$BG$7),COUNTIF('1.연간시수표'!AL30,$BH$9),COUNTIF('1.연간시수표'!AL30,$BH$7),COUNTIF('1.연간시수표'!AL30,$BI$9),COUNTIF('1.연간시수표'!AL30,$BI$7),COUNTIF('1.연간시수표'!AL30,$BJ$9),COUNTIF('1.연간시수표'!AL30,$BJ$7),COUNTIF('1.연간시수표'!AL30,$BK$9),COUNTIF('1.연간시수표'!AL30,$BK$7),COUNTIF('1.연간시수표'!AL30,$BL$9),COUNTIF('1.연간시수표'!AL30,$BL$7),COUNTIF('1.연간시수표'!AL30,$BM$9),COUNTIF('1.연간시수표'!AL30,$BM$7)),$BF$6,IF(OR(COUNTIF('1.연간시수표'!AL30,$BO$9),COUNTIF('1.연간시수표'!AL30,$BO$7)),$BO$6,IF(OR(COUNTIF('1.연간시수표'!AL30,$BP$9),COUNTIF('1.연간시수표'!AL30,$BP$7)),$BP$6,IF(OR(COUNTIF('1.연간시수표'!AL30,$BQ$9),COUNTIF('1.연간시수표'!AL30,$BQ$7)),$BQ$6,IF(OR(COUNTIF('1.연간시수표'!AL30,$BR$9),COUNTIF('1.연간시수표'!AL30,$BR$7)),$BR$6,"_")))))))))))))))</f>
        <v>_</v>
      </c>
      <c r="AM30" s="148" t="str">
        <f>IF(OR(COUNTIF('1.연간시수표'!AM30,$AT$9),COUNTIF('1.연간시수표'!AM30,$AT$7)),$AT$6,IF(OR(COUNTIF('1.연간시수표'!AM30,$AU$9),COUNTIF('1.연간시수표'!AM30,$AU$7)),$AU$6,IF(OR(COUNTIF('1.연간시수표'!AM30,$AV$9),COUNTIF('1.연간시수표'!AM30,$AV$7)),$AV$6,IF(OR(COUNTIF('1.연간시수표'!AM30,$AW$9),COUNTIF('1.연간시수표'!AM30,$AW$7)),$AW$6,IF(OR(COUNTIF('1.연간시수표'!AM30,$AX$9),COUNTIF('1.연간시수표'!AM30,$AX$7)),$AX$6,IF(OR(COUNTIF('1.연간시수표'!AM30,$AY$9),COUNTIF('1.연간시수표'!AM30,$AY$7)),$AY$6,IF(OR(COUNTIF('1.연간시수표'!AM30,$AZ$9),COUNTIF('1.연간시수표'!AM30,$AZ$7)),$AZ$6,IF(OR(COUNTIF('1.연간시수표'!AM30,$BA$9),COUNTIF('1.연간시수표'!AM30,$BA$7)),$BA$6,IF(OR(COUNTIF('1.연간시수표'!AM30,$BB$9),COUNTIF('1.연간시수표'!AM30,$BB$7)),$BB$6,IF(OR(COUNTIF('1.연간시수표'!AM30,$BC$9),COUNTIF('1.연간시수표'!AM30,$BC$7)),$BC$6,IF(OR(COUNTIF('1.연간시수표'!AM30,$BF$9),COUNTIF('1.연간시수표'!AM30,$BF$7),COUNTIF('1.연간시수표'!AM30,$BG$9),COUNTIF('1.연간시수표'!AM30,$BG$7),COUNTIF('1.연간시수표'!AM30,$BH$9),COUNTIF('1.연간시수표'!AM30,$BH$7),COUNTIF('1.연간시수표'!AM30,$BI$9),COUNTIF('1.연간시수표'!AM30,$BI$7),COUNTIF('1.연간시수표'!AM30,$BJ$9),COUNTIF('1.연간시수표'!AM30,$BJ$7),COUNTIF('1.연간시수표'!AM30,$BK$9),COUNTIF('1.연간시수표'!AM30,$BK$7),COUNTIF('1.연간시수표'!AM30,$BL$9),COUNTIF('1.연간시수표'!AM30,$BL$7),COUNTIF('1.연간시수표'!AM30,$BM$9),COUNTIF('1.연간시수표'!AM30,$BM$7)),$BF$6,IF(OR(COUNTIF('1.연간시수표'!AM30,$BO$9),COUNTIF('1.연간시수표'!AM30,$BO$7)),$BO$6,IF(OR(COUNTIF('1.연간시수표'!AM30,$BP$9),COUNTIF('1.연간시수표'!AM30,$BP$7)),$BP$6,IF(OR(COUNTIF('1.연간시수표'!AM30,$BQ$9),COUNTIF('1.연간시수표'!AM30,$BQ$7)),$BQ$6,IF(OR(COUNTIF('1.연간시수표'!AM30,$BR$9),COUNTIF('1.연간시수표'!AM30,$BR$7)),$BR$6,"_")))))))))))))))</f>
        <v>_</v>
      </c>
      <c r="AN30" s="148" t="str">
        <f>IF(OR(COUNTIF('1.연간시수표'!AN30,$AT$9),COUNTIF('1.연간시수표'!AN30,$AT$7)),$AT$6,IF(OR(COUNTIF('1.연간시수표'!AN30,$AU$9),COUNTIF('1.연간시수표'!AN30,$AU$7)),$AU$6,IF(OR(COUNTIF('1.연간시수표'!AN30,$AV$9),COUNTIF('1.연간시수표'!AN30,$AV$7)),$AV$6,IF(OR(COUNTIF('1.연간시수표'!AN30,$AW$9),COUNTIF('1.연간시수표'!AN30,$AW$7)),$AW$6,IF(OR(COUNTIF('1.연간시수표'!AN30,$AX$9),COUNTIF('1.연간시수표'!AN30,$AX$7)),$AX$6,IF(OR(COUNTIF('1.연간시수표'!AN30,$AY$9),COUNTIF('1.연간시수표'!AN30,$AY$7)),$AY$6,IF(OR(COUNTIF('1.연간시수표'!AN30,$AZ$9),COUNTIF('1.연간시수표'!AN30,$AZ$7)),$AZ$6,IF(OR(COUNTIF('1.연간시수표'!AN30,$BA$9),COUNTIF('1.연간시수표'!AN30,$BA$7)),$BA$6,IF(OR(COUNTIF('1.연간시수표'!AN30,$BB$9),COUNTIF('1.연간시수표'!AN30,$BB$7)),$BB$6,IF(OR(COUNTIF('1.연간시수표'!AN30,$BC$9),COUNTIF('1.연간시수표'!AN30,$BC$7)),$BC$6,IF(OR(COUNTIF('1.연간시수표'!AN30,$BF$9),COUNTIF('1.연간시수표'!AN30,$BF$7),COUNTIF('1.연간시수표'!AN30,$BG$9),COUNTIF('1.연간시수표'!AN30,$BG$7),COUNTIF('1.연간시수표'!AN30,$BH$9),COUNTIF('1.연간시수표'!AN30,$BH$7),COUNTIF('1.연간시수표'!AN30,$BI$9),COUNTIF('1.연간시수표'!AN30,$BI$7),COUNTIF('1.연간시수표'!AN30,$BJ$9),COUNTIF('1.연간시수표'!AN30,$BJ$7),COUNTIF('1.연간시수표'!AN30,$BK$9),COUNTIF('1.연간시수표'!AN30,$BK$7),COUNTIF('1.연간시수표'!AN30,$BL$9),COUNTIF('1.연간시수표'!AN30,$BL$7),COUNTIF('1.연간시수표'!AN30,$BM$9),COUNTIF('1.연간시수표'!AN30,$BM$7)),$BF$6,IF(OR(COUNTIF('1.연간시수표'!AN30,$BO$9),COUNTIF('1.연간시수표'!AN30,$BO$7)),$BO$6,IF(OR(COUNTIF('1.연간시수표'!AN30,$BP$9),COUNTIF('1.연간시수표'!AN30,$BP$7)),$BP$6,IF(OR(COUNTIF('1.연간시수표'!AN30,$BQ$9),COUNTIF('1.연간시수표'!AN30,$BQ$7)),$BQ$6,IF(OR(COUNTIF('1.연간시수표'!AN30,$BR$9),COUNTIF('1.연간시수표'!AN30,$BR$7)),$BR$6,"_")))))))))))))))</f>
        <v>_</v>
      </c>
      <c r="AO30" s="148" t="str">
        <f>IF(OR(COUNTIF('1.연간시수표'!AO30,$AT$9),COUNTIF('1.연간시수표'!AO30,$AT$7)),$AT$6,IF(OR(COUNTIF('1.연간시수표'!AO30,$AU$9),COUNTIF('1.연간시수표'!AO30,$AU$7)),$AU$6,IF(OR(COUNTIF('1.연간시수표'!AO30,$AV$9),COUNTIF('1.연간시수표'!AO30,$AV$7)),$AV$6,IF(OR(COUNTIF('1.연간시수표'!AO30,$AW$9),COUNTIF('1.연간시수표'!AO30,$AW$7)),$AW$6,IF(OR(COUNTIF('1.연간시수표'!AO30,$AX$9),COUNTIF('1.연간시수표'!AO30,$AX$7)),$AX$6,IF(OR(COUNTIF('1.연간시수표'!AO30,$AY$9),COUNTIF('1.연간시수표'!AO30,$AY$7)),$AY$6,IF(OR(COUNTIF('1.연간시수표'!AO30,$AZ$9),COUNTIF('1.연간시수표'!AO30,$AZ$7)),$AZ$6,IF(OR(COUNTIF('1.연간시수표'!AO30,$BA$9),COUNTIF('1.연간시수표'!AO30,$BA$7)),$BA$6,IF(OR(COUNTIF('1.연간시수표'!AO30,$BB$9),COUNTIF('1.연간시수표'!AO30,$BB$7)),$BB$6,IF(OR(COUNTIF('1.연간시수표'!AO30,$BC$9),COUNTIF('1.연간시수표'!AO30,$BC$7)),$BC$6,IF(OR(COUNTIF('1.연간시수표'!AO30,$BF$9),COUNTIF('1.연간시수표'!AO30,$BF$7),COUNTIF('1.연간시수표'!AO30,$BG$9),COUNTIF('1.연간시수표'!AO30,$BG$7),COUNTIF('1.연간시수표'!AO30,$BH$9),COUNTIF('1.연간시수표'!AO30,$BH$7),COUNTIF('1.연간시수표'!AO30,$BI$9),COUNTIF('1.연간시수표'!AO30,$BI$7),COUNTIF('1.연간시수표'!AO30,$BJ$9),COUNTIF('1.연간시수표'!AO30,$BJ$7),COUNTIF('1.연간시수표'!AO30,$BK$9),COUNTIF('1.연간시수표'!AO30,$BK$7),COUNTIF('1.연간시수표'!AO30,$BL$9),COUNTIF('1.연간시수표'!AO30,$BL$7),COUNTIF('1.연간시수표'!AO30,$BM$9),COUNTIF('1.연간시수표'!AO30,$BM$7)),$BF$6,IF(OR(COUNTIF('1.연간시수표'!AO30,$BO$9),COUNTIF('1.연간시수표'!AO30,$BO$7)),$BO$6,IF(OR(COUNTIF('1.연간시수표'!AO30,$BP$9),COUNTIF('1.연간시수표'!AO30,$BP$7)),$BP$6,IF(OR(COUNTIF('1.연간시수표'!AO30,$BQ$9),COUNTIF('1.연간시수표'!AO30,$BQ$7)),$BQ$6,IF(OR(COUNTIF('1.연간시수표'!AO30,$BR$9),COUNTIF('1.연간시수표'!AO30,$BR$7)),$BR$6,"_")))))))))))))))</f>
        <v>_</v>
      </c>
      <c r="AP30" s="148" t="str">
        <f>IF(OR(COUNTIF('1.연간시수표'!AP30,$AT$9),COUNTIF('1.연간시수표'!AP30,$AT$7)),$AT$6,IF(OR(COUNTIF('1.연간시수표'!AP30,$AU$9),COUNTIF('1.연간시수표'!AP30,$AU$7)),$AU$6,IF(OR(COUNTIF('1.연간시수표'!AP30,$AV$9),COUNTIF('1.연간시수표'!AP30,$AV$7)),$AV$6,IF(OR(COUNTIF('1.연간시수표'!AP30,$AW$9),COUNTIF('1.연간시수표'!AP30,$AW$7)),$AW$6,IF(OR(COUNTIF('1.연간시수표'!AP30,$AX$9),COUNTIF('1.연간시수표'!AP30,$AX$7)),$AX$6,IF(OR(COUNTIF('1.연간시수표'!AP30,$AY$9),COUNTIF('1.연간시수표'!AP30,$AY$7)),$AY$6,IF(OR(COUNTIF('1.연간시수표'!AP30,$AZ$9),COUNTIF('1.연간시수표'!AP30,$AZ$7)),$AZ$6,IF(OR(COUNTIF('1.연간시수표'!AP30,$BA$9),COUNTIF('1.연간시수표'!AP30,$BA$7)),$BA$6,IF(OR(COUNTIF('1.연간시수표'!AP30,$BB$9),COUNTIF('1.연간시수표'!AP30,$BB$7)),$BB$6,IF(OR(COUNTIF('1.연간시수표'!AP30,$BC$9),COUNTIF('1.연간시수표'!AP30,$BC$7)),$BC$6,IF(OR(COUNTIF('1.연간시수표'!AP30,$BF$9),COUNTIF('1.연간시수표'!AP30,$BF$7),COUNTIF('1.연간시수표'!AP30,$BG$9),COUNTIF('1.연간시수표'!AP30,$BG$7),COUNTIF('1.연간시수표'!AP30,$BH$9),COUNTIF('1.연간시수표'!AP30,$BH$7),COUNTIF('1.연간시수표'!AP30,$BI$9),COUNTIF('1.연간시수표'!AP30,$BI$7),COUNTIF('1.연간시수표'!AP30,$BJ$9),COUNTIF('1.연간시수표'!AP30,$BJ$7),COUNTIF('1.연간시수표'!AP30,$BK$9),COUNTIF('1.연간시수표'!AP30,$BK$7),COUNTIF('1.연간시수표'!AP30,$BL$9),COUNTIF('1.연간시수표'!AP30,$BL$7),COUNTIF('1.연간시수표'!AP30,$BM$9),COUNTIF('1.연간시수표'!AP30,$BM$7)),$BF$6,IF(OR(COUNTIF('1.연간시수표'!AP30,$BO$9),COUNTIF('1.연간시수표'!AP30,$BO$7)),$BO$6,IF(OR(COUNTIF('1.연간시수표'!AP30,$BP$9),COUNTIF('1.연간시수표'!AP30,$BP$7)),$BP$6,IF(OR(COUNTIF('1.연간시수표'!AP30,$BQ$9),COUNTIF('1.연간시수표'!AP30,$BQ$7)),$BQ$6,IF(OR(COUNTIF('1.연간시수표'!AP30,$BR$9),COUNTIF('1.연간시수표'!AP30,$BR$7)),$BR$6,"_")))))))))))))))</f>
        <v>_</v>
      </c>
      <c r="AQ30" s="148" t="str">
        <f>IF(OR(COUNTIF('1.연간시수표'!AQ30,$AT$9),COUNTIF('1.연간시수표'!AQ30,$AT$7)),$AT$6,IF(OR(COUNTIF('1.연간시수표'!AQ30,$AU$9),COUNTIF('1.연간시수표'!AQ30,$AU$7)),$AU$6,IF(OR(COUNTIF('1.연간시수표'!AQ30,$AV$9),COUNTIF('1.연간시수표'!AQ30,$AV$7)),$AV$6,IF(OR(COUNTIF('1.연간시수표'!AQ30,$AW$9),COUNTIF('1.연간시수표'!AQ30,$AW$7)),$AW$6,IF(OR(COUNTIF('1.연간시수표'!AQ30,$AX$9),COUNTIF('1.연간시수표'!AQ30,$AX$7)),$AX$6,IF(OR(COUNTIF('1.연간시수표'!AQ30,$AY$9),COUNTIF('1.연간시수표'!AQ30,$AY$7)),$AY$6,IF(OR(COUNTIF('1.연간시수표'!AQ30,$AZ$9),COUNTIF('1.연간시수표'!AQ30,$AZ$7)),$AZ$6,IF(OR(COUNTIF('1.연간시수표'!AQ30,$BA$9),COUNTIF('1.연간시수표'!AQ30,$BA$7)),$BA$6,IF(OR(COUNTIF('1.연간시수표'!AQ30,$BB$9),COUNTIF('1.연간시수표'!AQ30,$BB$7)),$BB$6,IF(OR(COUNTIF('1.연간시수표'!AQ30,$BC$9),COUNTIF('1.연간시수표'!AQ30,$BC$7)),$BC$6,IF(OR(COUNTIF('1.연간시수표'!AQ30,$BF$9),COUNTIF('1.연간시수표'!AQ30,$BF$7),COUNTIF('1.연간시수표'!AQ30,$BG$9),COUNTIF('1.연간시수표'!AQ30,$BG$7),COUNTIF('1.연간시수표'!AQ30,$BH$9),COUNTIF('1.연간시수표'!AQ30,$BH$7),COUNTIF('1.연간시수표'!AQ30,$BI$9),COUNTIF('1.연간시수표'!AQ30,$BI$7),COUNTIF('1.연간시수표'!AQ30,$BJ$9),COUNTIF('1.연간시수표'!AQ30,$BJ$7),COUNTIF('1.연간시수표'!AQ30,$BK$9),COUNTIF('1.연간시수표'!AQ30,$BK$7),COUNTIF('1.연간시수표'!AQ30,$BL$9),COUNTIF('1.연간시수표'!AQ30,$BL$7),COUNTIF('1.연간시수표'!AQ30,$BM$9),COUNTIF('1.연간시수표'!AQ30,$BM$7)),$BF$6,IF(OR(COUNTIF('1.연간시수표'!AQ30,$BO$9),COUNTIF('1.연간시수표'!AQ30,$BO$7)),$BO$6,IF(OR(COUNTIF('1.연간시수표'!AQ30,$BP$9),COUNTIF('1.연간시수표'!AQ30,$BP$7)),$BP$6,IF(OR(COUNTIF('1.연간시수표'!AQ30,$BQ$9),COUNTIF('1.연간시수표'!AQ30,$BQ$7)),$BQ$6,IF(OR(COUNTIF('1.연간시수표'!AQ30,$BR$9),COUNTIF('1.연간시수표'!AQ30,$BR$7)),$BR$6,"_")))))))))))))))</f>
        <v>_</v>
      </c>
      <c r="AR30" s="148" t="str">
        <f>IF(OR(COUNTIF('1.연간시수표'!AR30,$AT$9),COUNTIF('1.연간시수표'!AR30,$AT$7)),$AT$6,IF(OR(COUNTIF('1.연간시수표'!AR30,$AU$9),COUNTIF('1.연간시수표'!AR30,$AU$7)),$AU$6,IF(OR(COUNTIF('1.연간시수표'!AR30,$AV$9),COUNTIF('1.연간시수표'!AR30,$AV$7)),$AV$6,IF(OR(COUNTIF('1.연간시수표'!AR30,$AW$9),COUNTIF('1.연간시수표'!AR30,$AW$7)),$AW$6,IF(OR(COUNTIF('1.연간시수표'!AR30,$AX$9),COUNTIF('1.연간시수표'!AR30,$AX$7)),$AX$6,IF(OR(COUNTIF('1.연간시수표'!AR30,$AY$9),COUNTIF('1.연간시수표'!AR30,$AY$7)),$AY$6,IF(OR(COUNTIF('1.연간시수표'!AR30,$AZ$9),COUNTIF('1.연간시수표'!AR30,$AZ$7)),$AZ$6,IF(OR(COUNTIF('1.연간시수표'!AR30,$BA$9),COUNTIF('1.연간시수표'!AR30,$BA$7)),$BA$6,IF(OR(COUNTIF('1.연간시수표'!AR30,$BB$9),COUNTIF('1.연간시수표'!AR30,$BB$7)),$BB$6,IF(OR(COUNTIF('1.연간시수표'!AR30,$BC$9),COUNTIF('1.연간시수표'!AR30,$BC$7)),$BC$6,IF(OR(COUNTIF('1.연간시수표'!AR30,$BF$9),COUNTIF('1.연간시수표'!AR30,$BF$7),COUNTIF('1.연간시수표'!AR30,$BG$9),COUNTIF('1.연간시수표'!AR30,$BG$7),COUNTIF('1.연간시수표'!AR30,$BH$9),COUNTIF('1.연간시수표'!AR30,$BH$7),COUNTIF('1.연간시수표'!AR30,$BI$9),COUNTIF('1.연간시수표'!AR30,$BI$7),COUNTIF('1.연간시수표'!AR30,$BJ$9),COUNTIF('1.연간시수표'!AR30,$BJ$7),COUNTIF('1.연간시수표'!AR30,$BK$9),COUNTIF('1.연간시수표'!AR30,$BK$7),COUNTIF('1.연간시수표'!AR30,$BL$9),COUNTIF('1.연간시수표'!AR30,$BL$7),COUNTIF('1.연간시수표'!AR30,$BM$9),COUNTIF('1.연간시수표'!AR30,$BM$7)),$BF$6,IF(OR(COUNTIF('1.연간시수표'!AR30,$BO$9),COUNTIF('1.연간시수표'!AR30,$BO$7)),$BO$6,IF(OR(COUNTIF('1.연간시수표'!AR30,$BP$9),COUNTIF('1.연간시수표'!AR30,$BP$7)),$BP$6,IF(OR(COUNTIF('1.연간시수표'!AR30,$BQ$9),COUNTIF('1.연간시수표'!AR30,$BQ$7)),$BQ$6,IF(OR(COUNTIF('1.연간시수표'!AR30,$BR$9),COUNTIF('1.연간시수표'!AR30,$BR$7)),$BR$6,"_")))))))))))))))</f>
        <v>_</v>
      </c>
      <c r="BU30" s="34"/>
      <c r="BV30" s="34"/>
    </row>
    <row r="31" spans="2:74">
      <c r="B31" s="6"/>
      <c r="C31" s="79">
        <f>'1.연간시수표'!C31</f>
        <v>22</v>
      </c>
      <c r="D31" s="3"/>
      <c r="E31" s="148" t="str">
        <f>IF(OR(COUNTIF('1.연간시수표'!E31,$AT$9),COUNTIF('1.연간시수표'!E31,$AT$7)),$AT$6,IF(OR(COUNTIF('1.연간시수표'!E31,$AU$9),COUNTIF('1.연간시수표'!E31,$AU$7)),$AU$6,IF(OR(COUNTIF('1.연간시수표'!E31,$AV$9),COUNTIF('1.연간시수표'!E31,$AV$7)),$AV$6,IF(OR(COUNTIF('1.연간시수표'!E31,$AW$9),COUNTIF('1.연간시수표'!E31,$AW$7)),$AW$6,IF(OR(COUNTIF('1.연간시수표'!E31,$AX$9),COUNTIF('1.연간시수표'!E31,$AX$7)),$AX$6,IF(OR(COUNTIF('1.연간시수표'!E31,$AY$9),COUNTIF('1.연간시수표'!E31,$AY$7)),$AY$6,IF(OR(COUNTIF('1.연간시수표'!E31,$AZ$9),COUNTIF('1.연간시수표'!E31,$AZ$7)),$AZ$6,IF(OR(COUNTIF('1.연간시수표'!E31,$BA$9),COUNTIF('1.연간시수표'!E31,$BA$7)),$BA$6,IF(OR(COUNTIF('1.연간시수표'!E31,$BB$9),COUNTIF('1.연간시수표'!E31,$BB$7)),$BB$6,IF(OR(COUNTIF('1.연간시수표'!E31,$BC$9),COUNTIF('1.연간시수표'!E31,$BC$7)),$BC$6,IF(OR(COUNTIF('1.연간시수표'!E31,$BF$9),COUNTIF('1.연간시수표'!E31,$BF$7),COUNTIF('1.연간시수표'!E31,$BG$9),COUNTIF('1.연간시수표'!E31,$BG$7),COUNTIF('1.연간시수표'!E31,$BH$9),COUNTIF('1.연간시수표'!E31,$BH$7),COUNTIF('1.연간시수표'!E31,$BI$9),COUNTIF('1.연간시수표'!E31,$BI$7),COUNTIF('1.연간시수표'!E31,$BJ$9),COUNTIF('1.연간시수표'!E31,$BJ$7),COUNTIF('1.연간시수표'!E31,$BK$9),COUNTIF('1.연간시수표'!E31,$BK$7),COUNTIF('1.연간시수표'!E31,$BL$9),COUNTIF('1.연간시수표'!E31,$BL$7),COUNTIF('1.연간시수표'!E31,$BM$9),COUNTIF('1.연간시수표'!E31,$BM$7)),$BF$6,IF(OR(COUNTIF('1.연간시수표'!E31,$BO$9),COUNTIF('1.연간시수표'!E31,$BO$7)),$BO$6,IF(OR(COUNTIF('1.연간시수표'!E31,$BP$9),COUNTIF('1.연간시수표'!E31,$BP$7)),$BP$6,IF(OR(COUNTIF('1.연간시수표'!E31,$BQ$9),COUNTIF('1.연간시수표'!E31,$BQ$7)),$BQ$6,IF(OR(COUNTIF('1.연간시수표'!E31,$BR$9),COUNTIF('1.연간시수표'!E31,$BR$7)),$BR$6,"_")))))))))))))))</f>
        <v>_</v>
      </c>
      <c r="F31" s="148" t="str">
        <f>IF(OR(COUNTIF('1.연간시수표'!F31,$AT$9),COUNTIF('1.연간시수표'!F31,$AT$7)),$AT$6,IF(OR(COUNTIF('1.연간시수표'!F31,$AU$9),COUNTIF('1.연간시수표'!F31,$AU$7)),$AU$6,IF(OR(COUNTIF('1.연간시수표'!F31,$AV$9),COUNTIF('1.연간시수표'!F31,$AV$7)),$AV$6,IF(OR(COUNTIF('1.연간시수표'!F31,$AW$9),COUNTIF('1.연간시수표'!F31,$AW$7)),$AW$6,IF(OR(COUNTIF('1.연간시수표'!F31,$AX$9),COUNTIF('1.연간시수표'!F31,$AX$7)),$AX$6,IF(OR(COUNTIF('1.연간시수표'!F31,$AY$9),COUNTIF('1.연간시수표'!F31,$AY$7)),$AY$6,IF(OR(COUNTIF('1.연간시수표'!F31,$AZ$9),COUNTIF('1.연간시수표'!F31,$AZ$7)),$AZ$6,IF(OR(COUNTIF('1.연간시수표'!F31,$BA$9),COUNTIF('1.연간시수표'!F31,$BA$7)),$BA$6,IF(OR(COUNTIF('1.연간시수표'!F31,$BB$9),COUNTIF('1.연간시수표'!F31,$BB$7)),$BB$6,IF(OR(COUNTIF('1.연간시수표'!F31,$BC$9),COUNTIF('1.연간시수표'!F31,$BC$7)),$BC$6,IF(OR(COUNTIF('1.연간시수표'!F31,$BF$9),COUNTIF('1.연간시수표'!F31,$BF$7),COUNTIF('1.연간시수표'!F31,$BG$9),COUNTIF('1.연간시수표'!F31,$BG$7),COUNTIF('1.연간시수표'!F31,$BH$9),COUNTIF('1.연간시수표'!F31,$BH$7),COUNTIF('1.연간시수표'!F31,$BI$9),COUNTIF('1.연간시수표'!F31,$BI$7),COUNTIF('1.연간시수표'!F31,$BJ$9),COUNTIF('1.연간시수표'!F31,$BJ$7),COUNTIF('1.연간시수표'!F31,$BK$9),COUNTIF('1.연간시수표'!F31,$BK$7),COUNTIF('1.연간시수표'!F31,$BL$9),COUNTIF('1.연간시수표'!F31,$BL$7),COUNTIF('1.연간시수표'!F31,$BM$9),COUNTIF('1.연간시수표'!F31,$BM$7)),$BF$6,IF(OR(COUNTIF('1.연간시수표'!F31,$BO$9),COUNTIF('1.연간시수표'!F31,$BO$7)),$BO$6,IF(OR(COUNTIF('1.연간시수표'!F31,$BP$9),COUNTIF('1.연간시수표'!F31,$BP$7)),$BP$6,IF(OR(COUNTIF('1.연간시수표'!F31,$BQ$9),COUNTIF('1.연간시수표'!F31,$BQ$7)),$BQ$6,IF(OR(COUNTIF('1.연간시수표'!F31,$BR$9),COUNTIF('1.연간시수표'!F31,$BR$7)),$BR$6,"_")))))))))))))))</f>
        <v>_</v>
      </c>
      <c r="G31" s="148" t="str">
        <f>IF(OR(COUNTIF('1.연간시수표'!G31,$AT$9),COUNTIF('1.연간시수표'!G31,$AT$7)),$AT$6,IF(OR(COUNTIF('1.연간시수표'!G31,$AU$9),COUNTIF('1.연간시수표'!G31,$AU$7)),$AU$6,IF(OR(COUNTIF('1.연간시수표'!G31,$AV$9),COUNTIF('1.연간시수표'!G31,$AV$7)),$AV$6,IF(OR(COUNTIF('1.연간시수표'!G31,$AW$9),COUNTIF('1.연간시수표'!G31,$AW$7)),$AW$6,IF(OR(COUNTIF('1.연간시수표'!G31,$AX$9),COUNTIF('1.연간시수표'!G31,$AX$7)),$AX$6,IF(OR(COUNTIF('1.연간시수표'!G31,$AY$9),COUNTIF('1.연간시수표'!G31,$AY$7)),$AY$6,IF(OR(COUNTIF('1.연간시수표'!G31,$AZ$9),COUNTIF('1.연간시수표'!G31,$AZ$7)),$AZ$6,IF(OR(COUNTIF('1.연간시수표'!G31,$BA$9),COUNTIF('1.연간시수표'!G31,$BA$7)),$BA$6,IF(OR(COUNTIF('1.연간시수표'!G31,$BB$9),COUNTIF('1.연간시수표'!G31,$BB$7)),$BB$6,IF(OR(COUNTIF('1.연간시수표'!G31,$BC$9),COUNTIF('1.연간시수표'!G31,$BC$7)),$BC$6,IF(OR(COUNTIF('1.연간시수표'!G31,$BF$9),COUNTIF('1.연간시수표'!G31,$BF$7),COUNTIF('1.연간시수표'!G31,$BG$9),COUNTIF('1.연간시수표'!G31,$BG$7),COUNTIF('1.연간시수표'!G31,$BH$9),COUNTIF('1.연간시수표'!G31,$BH$7),COUNTIF('1.연간시수표'!G31,$BI$9),COUNTIF('1.연간시수표'!G31,$BI$7),COUNTIF('1.연간시수표'!G31,$BJ$9),COUNTIF('1.연간시수표'!G31,$BJ$7),COUNTIF('1.연간시수표'!G31,$BK$9),COUNTIF('1.연간시수표'!G31,$BK$7),COUNTIF('1.연간시수표'!G31,$BL$9),COUNTIF('1.연간시수표'!G31,$BL$7),COUNTIF('1.연간시수표'!G31,$BM$9),COUNTIF('1.연간시수표'!G31,$BM$7)),$BF$6,IF(OR(COUNTIF('1.연간시수표'!G31,$BO$9),COUNTIF('1.연간시수표'!G31,$BO$7)),$BO$6,IF(OR(COUNTIF('1.연간시수표'!G31,$BP$9),COUNTIF('1.연간시수표'!G31,$BP$7)),$BP$6,IF(OR(COUNTIF('1.연간시수표'!G31,$BQ$9),COUNTIF('1.연간시수표'!G31,$BQ$7)),$BQ$6,IF(OR(COUNTIF('1.연간시수표'!G31,$BR$9),COUNTIF('1.연간시수표'!G31,$BR$7)),$BR$6,"_")))))))))))))))</f>
        <v>_</v>
      </c>
      <c r="H31" s="148" t="str">
        <f>IF(OR(COUNTIF('1.연간시수표'!H31,$AT$9),COUNTIF('1.연간시수표'!H31,$AT$7)),$AT$6,IF(OR(COUNTIF('1.연간시수표'!H31,$AU$9),COUNTIF('1.연간시수표'!H31,$AU$7)),$AU$6,IF(OR(COUNTIF('1.연간시수표'!H31,$AV$9),COUNTIF('1.연간시수표'!H31,$AV$7)),$AV$6,IF(OR(COUNTIF('1.연간시수표'!H31,$AW$9),COUNTIF('1.연간시수표'!H31,$AW$7)),$AW$6,IF(OR(COUNTIF('1.연간시수표'!H31,$AX$9),COUNTIF('1.연간시수표'!H31,$AX$7)),$AX$6,IF(OR(COUNTIF('1.연간시수표'!H31,$AY$9),COUNTIF('1.연간시수표'!H31,$AY$7)),$AY$6,IF(OR(COUNTIF('1.연간시수표'!H31,$AZ$9),COUNTIF('1.연간시수표'!H31,$AZ$7)),$AZ$6,IF(OR(COUNTIF('1.연간시수표'!H31,$BA$9),COUNTIF('1.연간시수표'!H31,$BA$7)),$BA$6,IF(OR(COUNTIF('1.연간시수표'!H31,$BB$9),COUNTIF('1.연간시수표'!H31,$BB$7)),$BB$6,IF(OR(COUNTIF('1.연간시수표'!H31,$BC$9),COUNTIF('1.연간시수표'!H31,$BC$7)),$BC$6,IF(OR(COUNTIF('1.연간시수표'!H31,$BF$9),COUNTIF('1.연간시수표'!H31,$BF$7),COUNTIF('1.연간시수표'!H31,$BG$9),COUNTIF('1.연간시수표'!H31,$BG$7),COUNTIF('1.연간시수표'!H31,$BH$9),COUNTIF('1.연간시수표'!H31,$BH$7),COUNTIF('1.연간시수표'!H31,$BI$9),COUNTIF('1.연간시수표'!H31,$BI$7),COUNTIF('1.연간시수표'!H31,$BJ$9),COUNTIF('1.연간시수표'!H31,$BJ$7),COUNTIF('1.연간시수표'!H31,$BK$9),COUNTIF('1.연간시수표'!H31,$BK$7),COUNTIF('1.연간시수표'!H31,$BL$9),COUNTIF('1.연간시수표'!H31,$BL$7),COUNTIF('1.연간시수표'!H31,$BM$9),COUNTIF('1.연간시수표'!H31,$BM$7)),$BF$6,IF(OR(COUNTIF('1.연간시수표'!H31,$BO$9),COUNTIF('1.연간시수표'!H31,$BO$7)),$BO$6,IF(OR(COUNTIF('1.연간시수표'!H31,$BP$9),COUNTIF('1.연간시수표'!H31,$BP$7)),$BP$6,IF(OR(COUNTIF('1.연간시수표'!H31,$BQ$9),COUNTIF('1.연간시수표'!H31,$BQ$7)),$BQ$6,IF(OR(COUNTIF('1.연간시수표'!H31,$BR$9),COUNTIF('1.연간시수표'!H31,$BR$7)),$BR$6,"_")))))))))))))))</f>
        <v>_</v>
      </c>
      <c r="I31" s="148" t="str">
        <f>IF(OR(COUNTIF('1.연간시수표'!I31,$AT$9),COUNTIF('1.연간시수표'!I31,$AT$7)),$AT$6,IF(OR(COUNTIF('1.연간시수표'!I31,$AU$9),COUNTIF('1.연간시수표'!I31,$AU$7)),$AU$6,IF(OR(COUNTIF('1.연간시수표'!I31,$AV$9),COUNTIF('1.연간시수표'!I31,$AV$7)),$AV$6,IF(OR(COUNTIF('1.연간시수표'!I31,$AW$9),COUNTIF('1.연간시수표'!I31,$AW$7)),$AW$6,IF(OR(COUNTIF('1.연간시수표'!I31,$AX$9),COUNTIF('1.연간시수표'!I31,$AX$7)),$AX$6,IF(OR(COUNTIF('1.연간시수표'!I31,$AY$9),COUNTIF('1.연간시수표'!I31,$AY$7)),$AY$6,IF(OR(COUNTIF('1.연간시수표'!I31,$AZ$9),COUNTIF('1.연간시수표'!I31,$AZ$7)),$AZ$6,IF(OR(COUNTIF('1.연간시수표'!I31,$BA$9),COUNTIF('1.연간시수표'!I31,$BA$7)),$BA$6,IF(OR(COUNTIF('1.연간시수표'!I31,$BB$9),COUNTIF('1.연간시수표'!I31,$BB$7)),$BB$6,IF(OR(COUNTIF('1.연간시수표'!I31,$BC$9),COUNTIF('1.연간시수표'!I31,$BC$7)),$BC$6,IF(OR(COUNTIF('1.연간시수표'!I31,$BF$9),COUNTIF('1.연간시수표'!I31,$BF$7),COUNTIF('1.연간시수표'!I31,$BG$9),COUNTIF('1.연간시수표'!I31,$BG$7),COUNTIF('1.연간시수표'!I31,$BH$9),COUNTIF('1.연간시수표'!I31,$BH$7),COUNTIF('1.연간시수표'!I31,$BI$9),COUNTIF('1.연간시수표'!I31,$BI$7),COUNTIF('1.연간시수표'!I31,$BJ$9),COUNTIF('1.연간시수표'!I31,$BJ$7),COUNTIF('1.연간시수표'!I31,$BK$9),COUNTIF('1.연간시수표'!I31,$BK$7),COUNTIF('1.연간시수표'!I31,$BL$9),COUNTIF('1.연간시수표'!I31,$BL$7),COUNTIF('1.연간시수표'!I31,$BM$9),COUNTIF('1.연간시수표'!I31,$BM$7)),$BF$6,IF(OR(COUNTIF('1.연간시수표'!I31,$BO$9),COUNTIF('1.연간시수표'!I31,$BO$7)),$BO$6,IF(OR(COUNTIF('1.연간시수표'!I31,$BP$9),COUNTIF('1.연간시수표'!I31,$BP$7)),$BP$6,IF(OR(COUNTIF('1.연간시수표'!I31,$BQ$9),COUNTIF('1.연간시수표'!I31,$BQ$7)),$BQ$6,IF(OR(COUNTIF('1.연간시수표'!I31,$BR$9),COUNTIF('1.연간시수표'!I31,$BR$7)),$BR$6,"_")))))))))))))))</f>
        <v>_</v>
      </c>
      <c r="J31" s="148" t="str">
        <f>IF(OR(COUNTIF('1.연간시수표'!J31,$AT$9),COUNTIF('1.연간시수표'!J31,$AT$7)),$AT$6,IF(OR(COUNTIF('1.연간시수표'!J31,$AU$9),COUNTIF('1.연간시수표'!J31,$AU$7)),$AU$6,IF(OR(COUNTIF('1.연간시수표'!J31,$AV$9),COUNTIF('1.연간시수표'!J31,$AV$7)),$AV$6,IF(OR(COUNTIF('1.연간시수표'!J31,$AW$9),COUNTIF('1.연간시수표'!J31,$AW$7)),$AW$6,IF(OR(COUNTIF('1.연간시수표'!J31,$AX$9),COUNTIF('1.연간시수표'!J31,$AX$7)),$AX$6,IF(OR(COUNTIF('1.연간시수표'!J31,$AY$9),COUNTIF('1.연간시수표'!J31,$AY$7)),$AY$6,IF(OR(COUNTIF('1.연간시수표'!J31,$AZ$9),COUNTIF('1.연간시수표'!J31,$AZ$7)),$AZ$6,IF(OR(COUNTIF('1.연간시수표'!J31,$BA$9),COUNTIF('1.연간시수표'!J31,$BA$7)),$BA$6,IF(OR(COUNTIF('1.연간시수표'!J31,$BB$9),COUNTIF('1.연간시수표'!J31,$BB$7)),$BB$6,IF(OR(COUNTIF('1.연간시수표'!J31,$BC$9),COUNTIF('1.연간시수표'!J31,$BC$7)),$BC$6,IF(OR(COUNTIF('1.연간시수표'!J31,$BF$9),COUNTIF('1.연간시수표'!J31,$BF$7),COUNTIF('1.연간시수표'!J31,$BG$9),COUNTIF('1.연간시수표'!J31,$BG$7),COUNTIF('1.연간시수표'!J31,$BH$9),COUNTIF('1.연간시수표'!J31,$BH$7),COUNTIF('1.연간시수표'!J31,$BI$9),COUNTIF('1.연간시수표'!J31,$BI$7),COUNTIF('1.연간시수표'!J31,$BJ$9),COUNTIF('1.연간시수표'!J31,$BJ$7),COUNTIF('1.연간시수표'!J31,$BK$9),COUNTIF('1.연간시수표'!J31,$BK$7),COUNTIF('1.연간시수표'!J31,$BL$9),COUNTIF('1.연간시수표'!J31,$BL$7),COUNTIF('1.연간시수표'!J31,$BM$9),COUNTIF('1.연간시수표'!J31,$BM$7)),$BF$6,IF(OR(COUNTIF('1.연간시수표'!J31,$BO$9),COUNTIF('1.연간시수표'!J31,$BO$7)),$BO$6,IF(OR(COUNTIF('1.연간시수표'!J31,$BP$9),COUNTIF('1.연간시수표'!J31,$BP$7)),$BP$6,IF(OR(COUNTIF('1.연간시수표'!J31,$BQ$9),COUNTIF('1.연간시수표'!J31,$BQ$7)),$BQ$6,IF(OR(COUNTIF('1.연간시수표'!J31,$BR$9),COUNTIF('1.연간시수표'!J31,$BR$7)),$BR$6,"_")))))))))))))))</f>
        <v>_</v>
      </c>
      <c r="K31" s="148" t="str">
        <f>IF(OR(COUNTIF('1.연간시수표'!K31,$AT$9),COUNTIF('1.연간시수표'!K31,$AT$7)),$AT$6,IF(OR(COUNTIF('1.연간시수표'!K31,$AU$9),COUNTIF('1.연간시수표'!K31,$AU$7)),$AU$6,IF(OR(COUNTIF('1.연간시수표'!K31,$AV$9),COUNTIF('1.연간시수표'!K31,$AV$7)),$AV$6,IF(OR(COUNTIF('1.연간시수표'!K31,$AW$9),COUNTIF('1.연간시수표'!K31,$AW$7)),$AW$6,IF(OR(COUNTIF('1.연간시수표'!K31,$AX$9),COUNTIF('1.연간시수표'!K31,$AX$7)),$AX$6,IF(OR(COUNTIF('1.연간시수표'!K31,$AY$9),COUNTIF('1.연간시수표'!K31,$AY$7)),$AY$6,IF(OR(COUNTIF('1.연간시수표'!K31,$AZ$9),COUNTIF('1.연간시수표'!K31,$AZ$7)),$AZ$6,IF(OR(COUNTIF('1.연간시수표'!K31,$BA$9),COUNTIF('1.연간시수표'!K31,$BA$7)),$BA$6,IF(OR(COUNTIF('1.연간시수표'!K31,$BB$9),COUNTIF('1.연간시수표'!K31,$BB$7)),$BB$6,IF(OR(COUNTIF('1.연간시수표'!K31,$BC$9),COUNTIF('1.연간시수표'!K31,$BC$7)),$BC$6,IF(OR(COUNTIF('1.연간시수표'!K31,$BF$9),COUNTIF('1.연간시수표'!K31,$BF$7),COUNTIF('1.연간시수표'!K31,$BG$9),COUNTIF('1.연간시수표'!K31,$BG$7),COUNTIF('1.연간시수표'!K31,$BH$9),COUNTIF('1.연간시수표'!K31,$BH$7),COUNTIF('1.연간시수표'!K31,$BI$9),COUNTIF('1.연간시수표'!K31,$BI$7),COUNTIF('1.연간시수표'!K31,$BJ$9),COUNTIF('1.연간시수표'!K31,$BJ$7),COUNTIF('1.연간시수표'!K31,$BK$9),COUNTIF('1.연간시수표'!K31,$BK$7),COUNTIF('1.연간시수표'!K31,$BL$9),COUNTIF('1.연간시수표'!K31,$BL$7),COUNTIF('1.연간시수표'!K31,$BM$9),COUNTIF('1.연간시수표'!K31,$BM$7)),$BF$6,IF(OR(COUNTIF('1.연간시수표'!K31,$BO$9),COUNTIF('1.연간시수표'!K31,$BO$7)),$BO$6,IF(OR(COUNTIF('1.연간시수표'!K31,$BP$9),COUNTIF('1.연간시수표'!K31,$BP$7)),$BP$6,IF(OR(COUNTIF('1.연간시수표'!K31,$BQ$9),COUNTIF('1.연간시수표'!K31,$BQ$7)),$BQ$6,IF(OR(COUNTIF('1.연간시수표'!K31,$BR$9),COUNTIF('1.연간시수표'!K31,$BR$7)),$BR$6,"_")))))))))))))))</f>
        <v>_</v>
      </c>
      <c r="L31" s="148" t="str">
        <f>IF(OR(COUNTIF('1.연간시수표'!L31,$AT$9),COUNTIF('1.연간시수표'!L31,$AT$7)),$AT$6,IF(OR(COUNTIF('1.연간시수표'!L31,$AU$9),COUNTIF('1.연간시수표'!L31,$AU$7)),$AU$6,IF(OR(COUNTIF('1.연간시수표'!L31,$AV$9),COUNTIF('1.연간시수표'!L31,$AV$7)),$AV$6,IF(OR(COUNTIF('1.연간시수표'!L31,$AW$9),COUNTIF('1.연간시수표'!L31,$AW$7)),$AW$6,IF(OR(COUNTIF('1.연간시수표'!L31,$AX$9),COUNTIF('1.연간시수표'!L31,$AX$7)),$AX$6,IF(OR(COUNTIF('1.연간시수표'!L31,$AY$9),COUNTIF('1.연간시수표'!L31,$AY$7)),$AY$6,IF(OR(COUNTIF('1.연간시수표'!L31,$AZ$9),COUNTIF('1.연간시수표'!L31,$AZ$7)),$AZ$6,IF(OR(COUNTIF('1.연간시수표'!L31,$BA$9),COUNTIF('1.연간시수표'!L31,$BA$7)),$BA$6,IF(OR(COUNTIF('1.연간시수표'!L31,$BB$9),COUNTIF('1.연간시수표'!L31,$BB$7)),$BB$6,IF(OR(COUNTIF('1.연간시수표'!L31,$BC$9),COUNTIF('1.연간시수표'!L31,$BC$7)),$BC$6,IF(OR(COUNTIF('1.연간시수표'!L31,$BF$9),COUNTIF('1.연간시수표'!L31,$BF$7),COUNTIF('1.연간시수표'!L31,$BG$9),COUNTIF('1.연간시수표'!L31,$BG$7),COUNTIF('1.연간시수표'!L31,$BH$9),COUNTIF('1.연간시수표'!L31,$BH$7),COUNTIF('1.연간시수표'!L31,$BI$9),COUNTIF('1.연간시수표'!L31,$BI$7),COUNTIF('1.연간시수표'!L31,$BJ$9),COUNTIF('1.연간시수표'!L31,$BJ$7),COUNTIF('1.연간시수표'!L31,$BK$9),COUNTIF('1.연간시수표'!L31,$BK$7),COUNTIF('1.연간시수표'!L31,$BL$9),COUNTIF('1.연간시수표'!L31,$BL$7),COUNTIF('1.연간시수표'!L31,$BM$9),COUNTIF('1.연간시수표'!L31,$BM$7)),$BF$6,IF(OR(COUNTIF('1.연간시수표'!L31,$BO$9),COUNTIF('1.연간시수표'!L31,$BO$7)),$BO$6,IF(OR(COUNTIF('1.연간시수표'!L31,$BP$9),COUNTIF('1.연간시수표'!L31,$BP$7)),$BP$6,IF(OR(COUNTIF('1.연간시수표'!L31,$BQ$9),COUNTIF('1.연간시수표'!L31,$BQ$7)),$BQ$6,IF(OR(COUNTIF('1.연간시수표'!L31,$BR$9),COUNTIF('1.연간시수표'!L31,$BR$7)),$BR$6,"_")))))))))))))))</f>
        <v>_</v>
      </c>
      <c r="M31" s="148" t="str">
        <f>IF(OR(COUNTIF('1.연간시수표'!M31,$AT$9),COUNTIF('1.연간시수표'!M31,$AT$7)),$AT$6,IF(OR(COUNTIF('1.연간시수표'!M31,$AU$9),COUNTIF('1.연간시수표'!M31,$AU$7)),$AU$6,IF(OR(COUNTIF('1.연간시수표'!M31,$AV$9),COUNTIF('1.연간시수표'!M31,$AV$7)),$AV$6,IF(OR(COUNTIF('1.연간시수표'!M31,$AW$9),COUNTIF('1.연간시수표'!M31,$AW$7)),$AW$6,IF(OR(COUNTIF('1.연간시수표'!M31,$AX$9),COUNTIF('1.연간시수표'!M31,$AX$7)),$AX$6,IF(OR(COUNTIF('1.연간시수표'!M31,$AY$9),COUNTIF('1.연간시수표'!M31,$AY$7)),$AY$6,IF(OR(COUNTIF('1.연간시수표'!M31,$AZ$9),COUNTIF('1.연간시수표'!M31,$AZ$7)),$AZ$6,IF(OR(COUNTIF('1.연간시수표'!M31,$BA$9),COUNTIF('1.연간시수표'!M31,$BA$7)),$BA$6,IF(OR(COUNTIF('1.연간시수표'!M31,$BB$9),COUNTIF('1.연간시수표'!M31,$BB$7)),$BB$6,IF(OR(COUNTIF('1.연간시수표'!M31,$BC$9),COUNTIF('1.연간시수표'!M31,$BC$7)),$BC$6,IF(OR(COUNTIF('1.연간시수표'!M31,$BF$9),COUNTIF('1.연간시수표'!M31,$BF$7),COUNTIF('1.연간시수표'!M31,$BG$9),COUNTIF('1.연간시수표'!M31,$BG$7),COUNTIF('1.연간시수표'!M31,$BH$9),COUNTIF('1.연간시수표'!M31,$BH$7),COUNTIF('1.연간시수표'!M31,$BI$9),COUNTIF('1.연간시수표'!M31,$BI$7),COUNTIF('1.연간시수표'!M31,$BJ$9),COUNTIF('1.연간시수표'!M31,$BJ$7),COUNTIF('1.연간시수표'!M31,$BK$9),COUNTIF('1.연간시수표'!M31,$BK$7),COUNTIF('1.연간시수표'!M31,$BL$9),COUNTIF('1.연간시수표'!M31,$BL$7),COUNTIF('1.연간시수표'!M31,$BM$9),COUNTIF('1.연간시수표'!M31,$BM$7)),$BF$6,IF(OR(COUNTIF('1.연간시수표'!M31,$BO$9),COUNTIF('1.연간시수표'!M31,$BO$7)),$BO$6,IF(OR(COUNTIF('1.연간시수표'!M31,$BP$9),COUNTIF('1.연간시수표'!M31,$BP$7)),$BP$6,IF(OR(COUNTIF('1.연간시수표'!M31,$BQ$9),COUNTIF('1.연간시수표'!M31,$BQ$7)),$BQ$6,IF(OR(COUNTIF('1.연간시수표'!M31,$BR$9),COUNTIF('1.연간시수표'!M31,$BR$7)),$BR$6,"_")))))))))))))))</f>
        <v>_</v>
      </c>
      <c r="N31" s="148" t="str">
        <f>IF(OR(COUNTIF('1.연간시수표'!N31,$AT$9),COUNTIF('1.연간시수표'!N31,$AT$7)),$AT$6,IF(OR(COUNTIF('1.연간시수표'!N31,$AU$9),COUNTIF('1.연간시수표'!N31,$AU$7)),$AU$6,IF(OR(COUNTIF('1.연간시수표'!N31,$AV$9),COUNTIF('1.연간시수표'!N31,$AV$7)),$AV$6,IF(OR(COUNTIF('1.연간시수표'!N31,$AW$9),COUNTIF('1.연간시수표'!N31,$AW$7)),$AW$6,IF(OR(COUNTIF('1.연간시수표'!N31,$AX$9),COUNTIF('1.연간시수표'!N31,$AX$7)),$AX$6,IF(OR(COUNTIF('1.연간시수표'!N31,$AY$9),COUNTIF('1.연간시수표'!N31,$AY$7)),$AY$6,IF(OR(COUNTIF('1.연간시수표'!N31,$AZ$9),COUNTIF('1.연간시수표'!N31,$AZ$7)),$AZ$6,IF(OR(COUNTIF('1.연간시수표'!N31,$BA$9),COUNTIF('1.연간시수표'!N31,$BA$7)),$BA$6,IF(OR(COUNTIF('1.연간시수표'!N31,$BB$9),COUNTIF('1.연간시수표'!N31,$BB$7)),$BB$6,IF(OR(COUNTIF('1.연간시수표'!N31,$BC$9),COUNTIF('1.연간시수표'!N31,$BC$7)),$BC$6,IF(OR(COUNTIF('1.연간시수표'!N31,$BF$9),COUNTIF('1.연간시수표'!N31,$BF$7),COUNTIF('1.연간시수표'!N31,$BG$9),COUNTIF('1.연간시수표'!N31,$BG$7),COUNTIF('1.연간시수표'!N31,$BH$9),COUNTIF('1.연간시수표'!N31,$BH$7),COUNTIF('1.연간시수표'!N31,$BI$9),COUNTIF('1.연간시수표'!N31,$BI$7),COUNTIF('1.연간시수표'!N31,$BJ$9),COUNTIF('1.연간시수표'!N31,$BJ$7),COUNTIF('1.연간시수표'!N31,$BK$9),COUNTIF('1.연간시수표'!N31,$BK$7),COUNTIF('1.연간시수표'!N31,$BL$9),COUNTIF('1.연간시수표'!N31,$BL$7),COUNTIF('1.연간시수표'!N31,$BM$9),COUNTIF('1.연간시수표'!N31,$BM$7)),$BF$6,IF(OR(COUNTIF('1.연간시수표'!N31,$BO$9),COUNTIF('1.연간시수표'!N31,$BO$7)),$BO$6,IF(OR(COUNTIF('1.연간시수표'!N31,$BP$9),COUNTIF('1.연간시수표'!N31,$BP$7)),$BP$6,IF(OR(COUNTIF('1.연간시수표'!N31,$BQ$9),COUNTIF('1.연간시수표'!N31,$BQ$7)),$BQ$6,IF(OR(COUNTIF('1.연간시수표'!N31,$BR$9),COUNTIF('1.연간시수표'!N31,$BR$7)),$BR$6,"_")))))))))))))))</f>
        <v>_</v>
      </c>
      <c r="O31" s="148" t="str">
        <f>IF(OR(COUNTIF('1.연간시수표'!O31,$AT$9),COUNTIF('1.연간시수표'!O31,$AT$7)),$AT$6,IF(OR(COUNTIF('1.연간시수표'!O31,$AU$9),COUNTIF('1.연간시수표'!O31,$AU$7)),$AU$6,IF(OR(COUNTIF('1.연간시수표'!O31,$AV$9),COUNTIF('1.연간시수표'!O31,$AV$7)),$AV$6,IF(OR(COUNTIF('1.연간시수표'!O31,$AW$9),COUNTIF('1.연간시수표'!O31,$AW$7)),$AW$6,IF(OR(COUNTIF('1.연간시수표'!O31,$AX$9),COUNTIF('1.연간시수표'!O31,$AX$7)),$AX$6,IF(OR(COUNTIF('1.연간시수표'!O31,$AY$9),COUNTIF('1.연간시수표'!O31,$AY$7)),$AY$6,IF(OR(COUNTIF('1.연간시수표'!O31,$AZ$9),COUNTIF('1.연간시수표'!O31,$AZ$7)),$AZ$6,IF(OR(COUNTIF('1.연간시수표'!O31,$BA$9),COUNTIF('1.연간시수표'!O31,$BA$7)),$BA$6,IF(OR(COUNTIF('1.연간시수표'!O31,$BB$9),COUNTIF('1.연간시수표'!O31,$BB$7)),$BB$6,IF(OR(COUNTIF('1.연간시수표'!O31,$BC$9),COUNTIF('1.연간시수표'!O31,$BC$7)),$BC$6,IF(OR(COUNTIF('1.연간시수표'!O31,$BF$9),COUNTIF('1.연간시수표'!O31,$BF$7),COUNTIF('1.연간시수표'!O31,$BG$9),COUNTIF('1.연간시수표'!O31,$BG$7),COUNTIF('1.연간시수표'!O31,$BH$9),COUNTIF('1.연간시수표'!O31,$BH$7),COUNTIF('1.연간시수표'!O31,$BI$9),COUNTIF('1.연간시수표'!O31,$BI$7),COUNTIF('1.연간시수표'!O31,$BJ$9),COUNTIF('1.연간시수표'!O31,$BJ$7),COUNTIF('1.연간시수표'!O31,$BK$9),COUNTIF('1.연간시수표'!O31,$BK$7),COUNTIF('1.연간시수표'!O31,$BL$9),COUNTIF('1.연간시수표'!O31,$BL$7),COUNTIF('1.연간시수표'!O31,$BM$9),COUNTIF('1.연간시수표'!O31,$BM$7)),$BF$6,IF(OR(COUNTIF('1.연간시수표'!O31,$BO$9),COUNTIF('1.연간시수표'!O31,$BO$7)),$BO$6,IF(OR(COUNTIF('1.연간시수표'!O31,$BP$9),COUNTIF('1.연간시수표'!O31,$BP$7)),$BP$6,IF(OR(COUNTIF('1.연간시수표'!O31,$BQ$9),COUNTIF('1.연간시수표'!O31,$BQ$7)),$BQ$6,IF(OR(COUNTIF('1.연간시수표'!O31,$BR$9),COUNTIF('1.연간시수표'!O31,$BR$7)),$BR$6,"_")))))))))))))))</f>
        <v>_</v>
      </c>
      <c r="P31" s="148" t="str">
        <f>IF(OR(COUNTIF('1.연간시수표'!P31,$AT$9),COUNTIF('1.연간시수표'!P31,$AT$7)),$AT$6,IF(OR(COUNTIF('1.연간시수표'!P31,$AU$9),COUNTIF('1.연간시수표'!P31,$AU$7)),$AU$6,IF(OR(COUNTIF('1.연간시수표'!P31,$AV$9),COUNTIF('1.연간시수표'!P31,$AV$7)),$AV$6,IF(OR(COUNTIF('1.연간시수표'!P31,$AW$9),COUNTIF('1.연간시수표'!P31,$AW$7)),$AW$6,IF(OR(COUNTIF('1.연간시수표'!P31,$AX$9),COUNTIF('1.연간시수표'!P31,$AX$7)),$AX$6,IF(OR(COUNTIF('1.연간시수표'!P31,$AY$9),COUNTIF('1.연간시수표'!P31,$AY$7)),$AY$6,IF(OR(COUNTIF('1.연간시수표'!P31,$AZ$9),COUNTIF('1.연간시수표'!P31,$AZ$7)),$AZ$6,IF(OR(COUNTIF('1.연간시수표'!P31,$BA$9),COUNTIF('1.연간시수표'!P31,$BA$7)),$BA$6,IF(OR(COUNTIF('1.연간시수표'!P31,$BB$9),COUNTIF('1.연간시수표'!P31,$BB$7)),$BB$6,IF(OR(COUNTIF('1.연간시수표'!P31,$BC$9),COUNTIF('1.연간시수표'!P31,$BC$7)),$BC$6,IF(OR(COUNTIF('1.연간시수표'!P31,$BF$9),COUNTIF('1.연간시수표'!P31,$BF$7),COUNTIF('1.연간시수표'!P31,$BG$9),COUNTIF('1.연간시수표'!P31,$BG$7),COUNTIF('1.연간시수표'!P31,$BH$9),COUNTIF('1.연간시수표'!P31,$BH$7),COUNTIF('1.연간시수표'!P31,$BI$9),COUNTIF('1.연간시수표'!P31,$BI$7),COUNTIF('1.연간시수표'!P31,$BJ$9),COUNTIF('1.연간시수표'!P31,$BJ$7),COUNTIF('1.연간시수표'!P31,$BK$9),COUNTIF('1.연간시수표'!P31,$BK$7),COUNTIF('1.연간시수표'!P31,$BL$9),COUNTIF('1.연간시수표'!P31,$BL$7),COUNTIF('1.연간시수표'!P31,$BM$9),COUNTIF('1.연간시수표'!P31,$BM$7)),$BF$6,IF(OR(COUNTIF('1.연간시수표'!P31,$BO$9),COUNTIF('1.연간시수표'!P31,$BO$7)),$BO$6,IF(OR(COUNTIF('1.연간시수표'!P31,$BP$9),COUNTIF('1.연간시수표'!P31,$BP$7)),$BP$6,IF(OR(COUNTIF('1.연간시수표'!P31,$BQ$9),COUNTIF('1.연간시수표'!P31,$BQ$7)),$BQ$6,IF(OR(COUNTIF('1.연간시수표'!P31,$BR$9),COUNTIF('1.연간시수표'!P31,$BR$7)),$BR$6,"_")))))))))))))))</f>
        <v>_</v>
      </c>
      <c r="Q31" s="148" t="str">
        <f>IF(OR(COUNTIF('1.연간시수표'!Q31,$AT$9),COUNTIF('1.연간시수표'!Q31,$AT$7)),$AT$6,IF(OR(COUNTIF('1.연간시수표'!Q31,$AU$9),COUNTIF('1.연간시수표'!Q31,$AU$7)),$AU$6,IF(OR(COUNTIF('1.연간시수표'!Q31,$AV$9),COUNTIF('1.연간시수표'!Q31,$AV$7)),$AV$6,IF(OR(COUNTIF('1.연간시수표'!Q31,$AW$9),COUNTIF('1.연간시수표'!Q31,$AW$7)),$AW$6,IF(OR(COUNTIF('1.연간시수표'!Q31,$AX$9),COUNTIF('1.연간시수표'!Q31,$AX$7)),$AX$6,IF(OR(COUNTIF('1.연간시수표'!Q31,$AY$9),COUNTIF('1.연간시수표'!Q31,$AY$7)),$AY$6,IF(OR(COUNTIF('1.연간시수표'!Q31,$AZ$9),COUNTIF('1.연간시수표'!Q31,$AZ$7)),$AZ$6,IF(OR(COUNTIF('1.연간시수표'!Q31,$BA$9),COUNTIF('1.연간시수표'!Q31,$BA$7)),$BA$6,IF(OR(COUNTIF('1.연간시수표'!Q31,$BB$9),COUNTIF('1.연간시수표'!Q31,$BB$7)),$BB$6,IF(OR(COUNTIF('1.연간시수표'!Q31,$BC$9),COUNTIF('1.연간시수표'!Q31,$BC$7)),$BC$6,IF(OR(COUNTIF('1.연간시수표'!Q31,$BF$9),COUNTIF('1.연간시수표'!Q31,$BF$7),COUNTIF('1.연간시수표'!Q31,$BG$9),COUNTIF('1.연간시수표'!Q31,$BG$7),COUNTIF('1.연간시수표'!Q31,$BH$9),COUNTIF('1.연간시수표'!Q31,$BH$7),COUNTIF('1.연간시수표'!Q31,$BI$9),COUNTIF('1.연간시수표'!Q31,$BI$7),COUNTIF('1.연간시수표'!Q31,$BJ$9),COUNTIF('1.연간시수표'!Q31,$BJ$7),COUNTIF('1.연간시수표'!Q31,$BK$9),COUNTIF('1.연간시수표'!Q31,$BK$7),COUNTIF('1.연간시수표'!Q31,$BL$9),COUNTIF('1.연간시수표'!Q31,$BL$7),COUNTIF('1.연간시수표'!Q31,$BM$9),COUNTIF('1.연간시수표'!Q31,$BM$7)),$BF$6,IF(OR(COUNTIF('1.연간시수표'!Q31,$BO$9),COUNTIF('1.연간시수표'!Q31,$BO$7)),$BO$6,IF(OR(COUNTIF('1.연간시수표'!Q31,$BP$9),COUNTIF('1.연간시수표'!Q31,$BP$7)),$BP$6,IF(OR(COUNTIF('1.연간시수표'!Q31,$BQ$9),COUNTIF('1.연간시수표'!Q31,$BQ$7)),$BQ$6,IF(OR(COUNTIF('1.연간시수표'!Q31,$BR$9),COUNTIF('1.연간시수표'!Q31,$BR$7)),$BR$6,"_")))))))))))))))</f>
        <v>_</v>
      </c>
      <c r="R31" s="148" t="str">
        <f>IF(OR(COUNTIF('1.연간시수표'!R31,$AT$9),COUNTIF('1.연간시수표'!R31,$AT$7)),$AT$6,IF(OR(COUNTIF('1.연간시수표'!R31,$AU$9),COUNTIF('1.연간시수표'!R31,$AU$7)),$AU$6,IF(OR(COUNTIF('1.연간시수표'!R31,$AV$9),COUNTIF('1.연간시수표'!R31,$AV$7)),$AV$6,IF(OR(COUNTIF('1.연간시수표'!R31,$AW$9),COUNTIF('1.연간시수표'!R31,$AW$7)),$AW$6,IF(OR(COUNTIF('1.연간시수표'!R31,$AX$9),COUNTIF('1.연간시수표'!R31,$AX$7)),$AX$6,IF(OR(COUNTIF('1.연간시수표'!R31,$AY$9),COUNTIF('1.연간시수표'!R31,$AY$7)),$AY$6,IF(OR(COUNTIF('1.연간시수표'!R31,$AZ$9),COUNTIF('1.연간시수표'!R31,$AZ$7)),$AZ$6,IF(OR(COUNTIF('1.연간시수표'!R31,$BA$9),COUNTIF('1.연간시수표'!R31,$BA$7)),$BA$6,IF(OR(COUNTIF('1.연간시수표'!R31,$BB$9),COUNTIF('1.연간시수표'!R31,$BB$7)),$BB$6,IF(OR(COUNTIF('1.연간시수표'!R31,$BC$9),COUNTIF('1.연간시수표'!R31,$BC$7)),$BC$6,IF(OR(COUNTIF('1.연간시수표'!R31,$BF$9),COUNTIF('1.연간시수표'!R31,$BF$7),COUNTIF('1.연간시수표'!R31,$BG$9),COUNTIF('1.연간시수표'!R31,$BG$7),COUNTIF('1.연간시수표'!R31,$BH$9),COUNTIF('1.연간시수표'!R31,$BH$7),COUNTIF('1.연간시수표'!R31,$BI$9),COUNTIF('1.연간시수표'!R31,$BI$7),COUNTIF('1.연간시수표'!R31,$BJ$9),COUNTIF('1.연간시수표'!R31,$BJ$7),COUNTIF('1.연간시수표'!R31,$BK$9),COUNTIF('1.연간시수표'!R31,$BK$7),COUNTIF('1.연간시수표'!R31,$BL$9),COUNTIF('1.연간시수표'!R31,$BL$7),COUNTIF('1.연간시수표'!R31,$BM$9),COUNTIF('1.연간시수표'!R31,$BM$7)),$BF$6,IF(OR(COUNTIF('1.연간시수표'!R31,$BO$9),COUNTIF('1.연간시수표'!R31,$BO$7)),$BO$6,IF(OR(COUNTIF('1.연간시수표'!R31,$BP$9),COUNTIF('1.연간시수표'!R31,$BP$7)),$BP$6,IF(OR(COUNTIF('1.연간시수표'!R31,$BQ$9),COUNTIF('1.연간시수표'!R31,$BQ$7)),$BQ$6,IF(OR(COUNTIF('1.연간시수표'!R31,$BR$9),COUNTIF('1.연간시수표'!R31,$BR$7)),$BR$6,"_")))))))))))))))</f>
        <v>_</v>
      </c>
      <c r="S31" s="148" t="str">
        <f>IF(OR(COUNTIF('1.연간시수표'!S31,$AT$9),COUNTIF('1.연간시수표'!S31,$AT$7)),$AT$6,IF(OR(COUNTIF('1.연간시수표'!S31,$AU$9),COUNTIF('1.연간시수표'!S31,$AU$7)),$AU$6,IF(OR(COUNTIF('1.연간시수표'!S31,$AV$9),COUNTIF('1.연간시수표'!S31,$AV$7)),$AV$6,IF(OR(COUNTIF('1.연간시수표'!S31,$AW$9),COUNTIF('1.연간시수표'!S31,$AW$7)),$AW$6,IF(OR(COUNTIF('1.연간시수표'!S31,$AX$9),COUNTIF('1.연간시수표'!S31,$AX$7)),$AX$6,IF(OR(COUNTIF('1.연간시수표'!S31,$AY$9),COUNTIF('1.연간시수표'!S31,$AY$7)),$AY$6,IF(OR(COUNTIF('1.연간시수표'!S31,$AZ$9),COUNTIF('1.연간시수표'!S31,$AZ$7)),$AZ$6,IF(OR(COUNTIF('1.연간시수표'!S31,$BA$9),COUNTIF('1.연간시수표'!S31,$BA$7)),$BA$6,IF(OR(COUNTIF('1.연간시수표'!S31,$BB$9),COUNTIF('1.연간시수표'!S31,$BB$7)),$BB$6,IF(OR(COUNTIF('1.연간시수표'!S31,$BC$9),COUNTIF('1.연간시수표'!S31,$BC$7)),$BC$6,IF(OR(COUNTIF('1.연간시수표'!S31,$BF$9),COUNTIF('1.연간시수표'!S31,$BF$7),COUNTIF('1.연간시수표'!S31,$BG$9),COUNTIF('1.연간시수표'!S31,$BG$7),COUNTIF('1.연간시수표'!S31,$BH$9),COUNTIF('1.연간시수표'!S31,$BH$7),COUNTIF('1.연간시수표'!S31,$BI$9),COUNTIF('1.연간시수표'!S31,$BI$7),COUNTIF('1.연간시수표'!S31,$BJ$9),COUNTIF('1.연간시수표'!S31,$BJ$7),COUNTIF('1.연간시수표'!S31,$BK$9),COUNTIF('1.연간시수표'!S31,$BK$7),COUNTIF('1.연간시수표'!S31,$BL$9),COUNTIF('1.연간시수표'!S31,$BL$7),COUNTIF('1.연간시수표'!S31,$BM$9),COUNTIF('1.연간시수표'!S31,$BM$7)),$BF$6,IF(OR(COUNTIF('1.연간시수표'!S31,$BO$9),COUNTIF('1.연간시수표'!S31,$BO$7)),$BO$6,IF(OR(COUNTIF('1.연간시수표'!S31,$BP$9),COUNTIF('1.연간시수표'!S31,$BP$7)),$BP$6,IF(OR(COUNTIF('1.연간시수표'!S31,$BQ$9),COUNTIF('1.연간시수표'!S31,$BQ$7)),$BQ$6,IF(OR(COUNTIF('1.연간시수표'!S31,$BR$9),COUNTIF('1.연간시수표'!S31,$BR$7)),$BR$6,"_")))))))))))))))</f>
        <v>_</v>
      </c>
      <c r="T31" s="148" t="str">
        <f>IF(OR(COUNTIF('1.연간시수표'!T31,$AT$9),COUNTIF('1.연간시수표'!T31,$AT$7)),$AT$6,IF(OR(COUNTIF('1.연간시수표'!T31,$AU$9),COUNTIF('1.연간시수표'!T31,$AU$7)),$AU$6,IF(OR(COUNTIF('1.연간시수표'!T31,$AV$9),COUNTIF('1.연간시수표'!T31,$AV$7)),$AV$6,IF(OR(COUNTIF('1.연간시수표'!T31,$AW$9),COUNTIF('1.연간시수표'!T31,$AW$7)),$AW$6,IF(OR(COUNTIF('1.연간시수표'!T31,$AX$9),COUNTIF('1.연간시수표'!T31,$AX$7)),$AX$6,IF(OR(COUNTIF('1.연간시수표'!T31,$AY$9),COUNTIF('1.연간시수표'!T31,$AY$7)),$AY$6,IF(OR(COUNTIF('1.연간시수표'!T31,$AZ$9),COUNTIF('1.연간시수표'!T31,$AZ$7)),$AZ$6,IF(OR(COUNTIF('1.연간시수표'!T31,$BA$9),COUNTIF('1.연간시수표'!T31,$BA$7)),$BA$6,IF(OR(COUNTIF('1.연간시수표'!T31,$BB$9),COUNTIF('1.연간시수표'!T31,$BB$7)),$BB$6,IF(OR(COUNTIF('1.연간시수표'!T31,$BC$9),COUNTIF('1.연간시수표'!T31,$BC$7)),$BC$6,IF(OR(COUNTIF('1.연간시수표'!T31,$BF$9),COUNTIF('1.연간시수표'!T31,$BF$7),COUNTIF('1.연간시수표'!T31,$BG$9),COUNTIF('1.연간시수표'!T31,$BG$7),COUNTIF('1.연간시수표'!T31,$BH$9),COUNTIF('1.연간시수표'!T31,$BH$7),COUNTIF('1.연간시수표'!T31,$BI$9),COUNTIF('1.연간시수표'!T31,$BI$7),COUNTIF('1.연간시수표'!T31,$BJ$9),COUNTIF('1.연간시수표'!T31,$BJ$7),COUNTIF('1.연간시수표'!T31,$BK$9),COUNTIF('1.연간시수표'!T31,$BK$7),COUNTIF('1.연간시수표'!T31,$BL$9),COUNTIF('1.연간시수표'!T31,$BL$7),COUNTIF('1.연간시수표'!T31,$BM$9),COUNTIF('1.연간시수표'!T31,$BM$7)),$BF$6,IF(OR(COUNTIF('1.연간시수표'!T31,$BO$9),COUNTIF('1.연간시수표'!T31,$BO$7)),$BO$6,IF(OR(COUNTIF('1.연간시수표'!T31,$BP$9),COUNTIF('1.연간시수표'!T31,$BP$7)),$BP$6,IF(OR(COUNTIF('1.연간시수표'!T31,$BQ$9),COUNTIF('1.연간시수표'!T31,$BQ$7)),$BQ$6,IF(OR(COUNTIF('1.연간시수표'!T31,$BR$9),COUNTIF('1.연간시수표'!T31,$BR$7)),$BR$6,"_")))))))))))))))</f>
        <v>_</v>
      </c>
      <c r="U31" s="148" t="str">
        <f>IF(OR(COUNTIF('1.연간시수표'!U31,$AT$9),COUNTIF('1.연간시수표'!U31,$AT$7)),$AT$6,IF(OR(COUNTIF('1.연간시수표'!U31,$AU$9),COUNTIF('1.연간시수표'!U31,$AU$7)),$AU$6,IF(OR(COUNTIF('1.연간시수표'!U31,$AV$9),COUNTIF('1.연간시수표'!U31,$AV$7)),$AV$6,IF(OR(COUNTIF('1.연간시수표'!U31,$AW$9),COUNTIF('1.연간시수표'!U31,$AW$7)),$AW$6,IF(OR(COUNTIF('1.연간시수표'!U31,$AX$9),COUNTIF('1.연간시수표'!U31,$AX$7)),$AX$6,IF(OR(COUNTIF('1.연간시수표'!U31,$AY$9),COUNTIF('1.연간시수표'!U31,$AY$7)),$AY$6,IF(OR(COUNTIF('1.연간시수표'!U31,$AZ$9),COUNTIF('1.연간시수표'!U31,$AZ$7)),$AZ$6,IF(OR(COUNTIF('1.연간시수표'!U31,$BA$9),COUNTIF('1.연간시수표'!U31,$BA$7)),$BA$6,IF(OR(COUNTIF('1.연간시수표'!U31,$BB$9),COUNTIF('1.연간시수표'!U31,$BB$7)),$BB$6,IF(OR(COUNTIF('1.연간시수표'!U31,$BC$9),COUNTIF('1.연간시수표'!U31,$BC$7)),$BC$6,IF(OR(COUNTIF('1.연간시수표'!U31,$BF$9),COUNTIF('1.연간시수표'!U31,$BF$7),COUNTIF('1.연간시수표'!U31,$BG$9),COUNTIF('1.연간시수표'!U31,$BG$7),COUNTIF('1.연간시수표'!U31,$BH$9),COUNTIF('1.연간시수표'!U31,$BH$7),COUNTIF('1.연간시수표'!U31,$BI$9),COUNTIF('1.연간시수표'!U31,$BI$7),COUNTIF('1.연간시수표'!U31,$BJ$9),COUNTIF('1.연간시수표'!U31,$BJ$7),COUNTIF('1.연간시수표'!U31,$BK$9),COUNTIF('1.연간시수표'!U31,$BK$7),COUNTIF('1.연간시수표'!U31,$BL$9),COUNTIF('1.연간시수표'!U31,$BL$7),COUNTIF('1.연간시수표'!U31,$BM$9),COUNTIF('1.연간시수표'!U31,$BM$7)),$BF$6,IF(OR(COUNTIF('1.연간시수표'!U31,$BO$9),COUNTIF('1.연간시수표'!U31,$BO$7)),$BO$6,IF(OR(COUNTIF('1.연간시수표'!U31,$BP$9),COUNTIF('1.연간시수표'!U31,$BP$7)),$BP$6,IF(OR(COUNTIF('1.연간시수표'!U31,$BQ$9),COUNTIF('1.연간시수표'!U31,$BQ$7)),$BQ$6,IF(OR(COUNTIF('1.연간시수표'!U31,$BR$9),COUNTIF('1.연간시수표'!U31,$BR$7)),$BR$6,"_")))))))))))))))</f>
        <v>_</v>
      </c>
      <c r="V31" s="148" t="str">
        <f>IF(OR(COUNTIF('1.연간시수표'!V31,$AT$9),COUNTIF('1.연간시수표'!V31,$AT$7)),$AT$6,IF(OR(COUNTIF('1.연간시수표'!V31,$AU$9),COUNTIF('1.연간시수표'!V31,$AU$7)),$AU$6,IF(OR(COUNTIF('1.연간시수표'!V31,$AV$9),COUNTIF('1.연간시수표'!V31,$AV$7)),$AV$6,IF(OR(COUNTIF('1.연간시수표'!V31,$AW$9),COUNTIF('1.연간시수표'!V31,$AW$7)),$AW$6,IF(OR(COUNTIF('1.연간시수표'!V31,$AX$9),COUNTIF('1.연간시수표'!V31,$AX$7)),$AX$6,IF(OR(COUNTIF('1.연간시수표'!V31,$AY$9),COUNTIF('1.연간시수표'!V31,$AY$7)),$AY$6,IF(OR(COUNTIF('1.연간시수표'!V31,$AZ$9),COUNTIF('1.연간시수표'!V31,$AZ$7)),$AZ$6,IF(OR(COUNTIF('1.연간시수표'!V31,$BA$9),COUNTIF('1.연간시수표'!V31,$BA$7)),$BA$6,IF(OR(COUNTIF('1.연간시수표'!V31,$BB$9),COUNTIF('1.연간시수표'!V31,$BB$7)),$BB$6,IF(OR(COUNTIF('1.연간시수표'!V31,$BC$9),COUNTIF('1.연간시수표'!V31,$BC$7)),$BC$6,IF(OR(COUNTIF('1.연간시수표'!V31,$BF$9),COUNTIF('1.연간시수표'!V31,$BF$7),COUNTIF('1.연간시수표'!V31,$BG$9),COUNTIF('1.연간시수표'!V31,$BG$7),COUNTIF('1.연간시수표'!V31,$BH$9),COUNTIF('1.연간시수표'!V31,$BH$7),COUNTIF('1.연간시수표'!V31,$BI$9),COUNTIF('1.연간시수표'!V31,$BI$7),COUNTIF('1.연간시수표'!V31,$BJ$9),COUNTIF('1.연간시수표'!V31,$BJ$7),COUNTIF('1.연간시수표'!V31,$BK$9),COUNTIF('1.연간시수표'!V31,$BK$7),COUNTIF('1.연간시수표'!V31,$BL$9),COUNTIF('1.연간시수표'!V31,$BL$7),COUNTIF('1.연간시수표'!V31,$BM$9),COUNTIF('1.연간시수표'!V31,$BM$7)),$BF$6,IF(OR(COUNTIF('1.연간시수표'!V31,$BO$9),COUNTIF('1.연간시수표'!V31,$BO$7)),$BO$6,IF(OR(COUNTIF('1.연간시수표'!V31,$BP$9),COUNTIF('1.연간시수표'!V31,$BP$7)),$BP$6,IF(OR(COUNTIF('1.연간시수표'!V31,$BQ$9),COUNTIF('1.연간시수표'!V31,$BQ$7)),$BQ$6,IF(OR(COUNTIF('1.연간시수표'!V31,$BR$9),COUNTIF('1.연간시수표'!V31,$BR$7)),$BR$6,"_")))))))))))))))</f>
        <v>_</v>
      </c>
      <c r="W31" s="148" t="str">
        <f>IF(OR(COUNTIF('1.연간시수표'!W31,$AT$9),COUNTIF('1.연간시수표'!W31,$AT$7)),$AT$6,IF(OR(COUNTIF('1.연간시수표'!W31,$AU$9),COUNTIF('1.연간시수표'!W31,$AU$7)),$AU$6,IF(OR(COUNTIF('1.연간시수표'!W31,$AV$9),COUNTIF('1.연간시수표'!W31,$AV$7)),$AV$6,IF(OR(COUNTIF('1.연간시수표'!W31,$AW$9),COUNTIF('1.연간시수표'!W31,$AW$7)),$AW$6,IF(OR(COUNTIF('1.연간시수표'!W31,$AX$9),COUNTIF('1.연간시수표'!W31,$AX$7)),$AX$6,IF(OR(COUNTIF('1.연간시수표'!W31,$AY$9),COUNTIF('1.연간시수표'!W31,$AY$7)),$AY$6,IF(OR(COUNTIF('1.연간시수표'!W31,$AZ$9),COUNTIF('1.연간시수표'!W31,$AZ$7)),$AZ$6,IF(OR(COUNTIF('1.연간시수표'!W31,$BA$9),COUNTIF('1.연간시수표'!W31,$BA$7)),$BA$6,IF(OR(COUNTIF('1.연간시수표'!W31,$BB$9),COUNTIF('1.연간시수표'!W31,$BB$7)),$BB$6,IF(OR(COUNTIF('1.연간시수표'!W31,$BC$9),COUNTIF('1.연간시수표'!W31,$BC$7)),$BC$6,IF(OR(COUNTIF('1.연간시수표'!W31,$BF$9),COUNTIF('1.연간시수표'!W31,$BF$7),COUNTIF('1.연간시수표'!W31,$BG$9),COUNTIF('1.연간시수표'!W31,$BG$7),COUNTIF('1.연간시수표'!W31,$BH$9),COUNTIF('1.연간시수표'!W31,$BH$7),COUNTIF('1.연간시수표'!W31,$BI$9),COUNTIF('1.연간시수표'!W31,$BI$7),COUNTIF('1.연간시수표'!W31,$BJ$9),COUNTIF('1.연간시수표'!W31,$BJ$7),COUNTIF('1.연간시수표'!W31,$BK$9),COUNTIF('1.연간시수표'!W31,$BK$7),COUNTIF('1.연간시수표'!W31,$BL$9),COUNTIF('1.연간시수표'!W31,$BL$7),COUNTIF('1.연간시수표'!W31,$BM$9),COUNTIF('1.연간시수표'!W31,$BM$7)),$BF$6,IF(OR(COUNTIF('1.연간시수표'!W31,$BO$9),COUNTIF('1.연간시수표'!W31,$BO$7)),$BO$6,IF(OR(COUNTIF('1.연간시수표'!W31,$BP$9),COUNTIF('1.연간시수표'!W31,$BP$7)),$BP$6,IF(OR(COUNTIF('1.연간시수표'!W31,$BQ$9),COUNTIF('1.연간시수표'!W31,$BQ$7)),$BQ$6,IF(OR(COUNTIF('1.연간시수표'!W31,$BR$9),COUNTIF('1.연간시수표'!W31,$BR$7)),$BR$6,"_")))))))))))))))</f>
        <v>_</v>
      </c>
      <c r="X31" s="148" t="str">
        <f>IF(OR(COUNTIF('1.연간시수표'!X31,$AT$9),COUNTIF('1.연간시수표'!X31,$AT$7)),$AT$6,IF(OR(COUNTIF('1.연간시수표'!X31,$AU$9),COUNTIF('1.연간시수표'!X31,$AU$7)),$AU$6,IF(OR(COUNTIF('1.연간시수표'!X31,$AV$9),COUNTIF('1.연간시수표'!X31,$AV$7)),$AV$6,IF(OR(COUNTIF('1.연간시수표'!X31,$AW$9),COUNTIF('1.연간시수표'!X31,$AW$7)),$AW$6,IF(OR(COUNTIF('1.연간시수표'!X31,$AX$9),COUNTIF('1.연간시수표'!X31,$AX$7)),$AX$6,IF(OR(COUNTIF('1.연간시수표'!X31,$AY$9),COUNTIF('1.연간시수표'!X31,$AY$7)),$AY$6,IF(OR(COUNTIF('1.연간시수표'!X31,$AZ$9),COUNTIF('1.연간시수표'!X31,$AZ$7)),$AZ$6,IF(OR(COUNTIF('1.연간시수표'!X31,$BA$9),COUNTIF('1.연간시수표'!X31,$BA$7)),$BA$6,IF(OR(COUNTIF('1.연간시수표'!X31,$BB$9),COUNTIF('1.연간시수표'!X31,$BB$7)),$BB$6,IF(OR(COUNTIF('1.연간시수표'!X31,$BC$9),COUNTIF('1.연간시수표'!X31,$BC$7)),$BC$6,IF(OR(COUNTIF('1.연간시수표'!X31,$BF$9),COUNTIF('1.연간시수표'!X31,$BF$7),COUNTIF('1.연간시수표'!X31,$BG$9),COUNTIF('1.연간시수표'!X31,$BG$7),COUNTIF('1.연간시수표'!X31,$BH$9),COUNTIF('1.연간시수표'!X31,$BH$7),COUNTIF('1.연간시수표'!X31,$BI$9),COUNTIF('1.연간시수표'!X31,$BI$7),COUNTIF('1.연간시수표'!X31,$BJ$9),COUNTIF('1.연간시수표'!X31,$BJ$7),COUNTIF('1.연간시수표'!X31,$BK$9),COUNTIF('1.연간시수표'!X31,$BK$7),COUNTIF('1.연간시수표'!X31,$BL$9),COUNTIF('1.연간시수표'!X31,$BL$7),COUNTIF('1.연간시수표'!X31,$BM$9),COUNTIF('1.연간시수표'!X31,$BM$7)),$BF$6,IF(OR(COUNTIF('1.연간시수표'!X31,$BO$9),COUNTIF('1.연간시수표'!X31,$BO$7)),$BO$6,IF(OR(COUNTIF('1.연간시수표'!X31,$BP$9),COUNTIF('1.연간시수표'!X31,$BP$7)),$BP$6,IF(OR(COUNTIF('1.연간시수표'!X31,$BQ$9),COUNTIF('1.연간시수표'!X31,$BQ$7)),$BQ$6,IF(OR(COUNTIF('1.연간시수표'!X31,$BR$9),COUNTIF('1.연간시수표'!X31,$BR$7)),$BR$6,"_")))))))))))))))</f>
        <v>_</v>
      </c>
      <c r="Y31" s="148" t="str">
        <f>IF(OR(COUNTIF('1.연간시수표'!Y31,$AT$9),COUNTIF('1.연간시수표'!Y31,$AT$7)),$AT$6,IF(OR(COUNTIF('1.연간시수표'!Y31,$AU$9),COUNTIF('1.연간시수표'!Y31,$AU$7)),$AU$6,IF(OR(COUNTIF('1.연간시수표'!Y31,$AV$9),COUNTIF('1.연간시수표'!Y31,$AV$7)),$AV$6,IF(OR(COUNTIF('1.연간시수표'!Y31,$AW$9),COUNTIF('1.연간시수표'!Y31,$AW$7)),$AW$6,IF(OR(COUNTIF('1.연간시수표'!Y31,$AX$9),COUNTIF('1.연간시수표'!Y31,$AX$7)),$AX$6,IF(OR(COUNTIF('1.연간시수표'!Y31,$AY$9),COUNTIF('1.연간시수표'!Y31,$AY$7)),$AY$6,IF(OR(COUNTIF('1.연간시수표'!Y31,$AZ$9),COUNTIF('1.연간시수표'!Y31,$AZ$7)),$AZ$6,IF(OR(COUNTIF('1.연간시수표'!Y31,$BA$9),COUNTIF('1.연간시수표'!Y31,$BA$7)),$BA$6,IF(OR(COUNTIF('1.연간시수표'!Y31,$BB$9),COUNTIF('1.연간시수표'!Y31,$BB$7)),$BB$6,IF(OR(COUNTIF('1.연간시수표'!Y31,$BC$9),COUNTIF('1.연간시수표'!Y31,$BC$7)),$BC$6,IF(OR(COUNTIF('1.연간시수표'!Y31,$BF$9),COUNTIF('1.연간시수표'!Y31,$BF$7),COUNTIF('1.연간시수표'!Y31,$BG$9),COUNTIF('1.연간시수표'!Y31,$BG$7),COUNTIF('1.연간시수표'!Y31,$BH$9),COUNTIF('1.연간시수표'!Y31,$BH$7),COUNTIF('1.연간시수표'!Y31,$BI$9),COUNTIF('1.연간시수표'!Y31,$BI$7),COUNTIF('1.연간시수표'!Y31,$BJ$9),COUNTIF('1.연간시수표'!Y31,$BJ$7),COUNTIF('1.연간시수표'!Y31,$BK$9),COUNTIF('1.연간시수표'!Y31,$BK$7),COUNTIF('1.연간시수표'!Y31,$BL$9),COUNTIF('1.연간시수표'!Y31,$BL$7),COUNTIF('1.연간시수표'!Y31,$BM$9),COUNTIF('1.연간시수표'!Y31,$BM$7)),$BF$6,IF(OR(COUNTIF('1.연간시수표'!Y31,$BO$9),COUNTIF('1.연간시수표'!Y31,$BO$7)),$BO$6,IF(OR(COUNTIF('1.연간시수표'!Y31,$BP$9),COUNTIF('1.연간시수표'!Y31,$BP$7)),$BP$6,IF(OR(COUNTIF('1.연간시수표'!Y31,$BQ$9),COUNTIF('1.연간시수표'!Y31,$BQ$7)),$BQ$6,IF(OR(COUNTIF('1.연간시수표'!Y31,$BR$9),COUNTIF('1.연간시수표'!Y31,$BR$7)),$BR$6,"_")))))))))))))))</f>
        <v>_</v>
      </c>
      <c r="Z31" s="148" t="str">
        <f>IF(OR(COUNTIF('1.연간시수표'!Z31,$AT$9),COUNTIF('1.연간시수표'!Z31,$AT$7)),$AT$6,IF(OR(COUNTIF('1.연간시수표'!Z31,$AU$9),COUNTIF('1.연간시수표'!Z31,$AU$7)),$AU$6,IF(OR(COUNTIF('1.연간시수표'!Z31,$AV$9),COUNTIF('1.연간시수표'!Z31,$AV$7)),$AV$6,IF(OR(COUNTIF('1.연간시수표'!Z31,$AW$9),COUNTIF('1.연간시수표'!Z31,$AW$7)),$AW$6,IF(OR(COUNTIF('1.연간시수표'!Z31,$AX$9),COUNTIF('1.연간시수표'!Z31,$AX$7)),$AX$6,IF(OR(COUNTIF('1.연간시수표'!Z31,$AY$9),COUNTIF('1.연간시수표'!Z31,$AY$7)),$AY$6,IF(OR(COUNTIF('1.연간시수표'!Z31,$AZ$9),COUNTIF('1.연간시수표'!Z31,$AZ$7)),$AZ$6,IF(OR(COUNTIF('1.연간시수표'!Z31,$BA$9),COUNTIF('1.연간시수표'!Z31,$BA$7)),$BA$6,IF(OR(COUNTIF('1.연간시수표'!Z31,$BB$9),COUNTIF('1.연간시수표'!Z31,$BB$7)),$BB$6,IF(OR(COUNTIF('1.연간시수표'!Z31,$BC$9),COUNTIF('1.연간시수표'!Z31,$BC$7)),$BC$6,IF(OR(COUNTIF('1.연간시수표'!Z31,$BF$9),COUNTIF('1.연간시수표'!Z31,$BF$7),COUNTIF('1.연간시수표'!Z31,$BG$9),COUNTIF('1.연간시수표'!Z31,$BG$7),COUNTIF('1.연간시수표'!Z31,$BH$9),COUNTIF('1.연간시수표'!Z31,$BH$7),COUNTIF('1.연간시수표'!Z31,$BI$9),COUNTIF('1.연간시수표'!Z31,$BI$7),COUNTIF('1.연간시수표'!Z31,$BJ$9),COUNTIF('1.연간시수표'!Z31,$BJ$7),COUNTIF('1.연간시수표'!Z31,$BK$9),COUNTIF('1.연간시수표'!Z31,$BK$7),COUNTIF('1.연간시수표'!Z31,$BL$9),COUNTIF('1.연간시수표'!Z31,$BL$7),COUNTIF('1.연간시수표'!Z31,$BM$9),COUNTIF('1.연간시수표'!Z31,$BM$7)),$BF$6,IF(OR(COUNTIF('1.연간시수표'!Z31,$BO$9),COUNTIF('1.연간시수표'!Z31,$BO$7)),$BO$6,IF(OR(COUNTIF('1.연간시수표'!Z31,$BP$9),COUNTIF('1.연간시수표'!Z31,$BP$7)),$BP$6,IF(OR(COUNTIF('1.연간시수표'!Z31,$BQ$9),COUNTIF('1.연간시수표'!Z31,$BQ$7)),$BQ$6,IF(OR(COUNTIF('1.연간시수표'!Z31,$BR$9),COUNTIF('1.연간시수표'!Z31,$BR$7)),$BR$6,"_")))))))))))))))</f>
        <v>_</v>
      </c>
      <c r="AA31" s="148" t="str">
        <f>IF(OR(COUNTIF('1.연간시수표'!AA31,$AT$9),COUNTIF('1.연간시수표'!AA31,$AT$7)),$AT$6,IF(OR(COUNTIF('1.연간시수표'!AA31,$AU$9),COUNTIF('1.연간시수표'!AA31,$AU$7)),$AU$6,IF(OR(COUNTIF('1.연간시수표'!AA31,$AV$9),COUNTIF('1.연간시수표'!AA31,$AV$7)),$AV$6,IF(OR(COUNTIF('1.연간시수표'!AA31,$AW$9),COUNTIF('1.연간시수표'!AA31,$AW$7)),$AW$6,IF(OR(COUNTIF('1.연간시수표'!AA31,$AX$9),COUNTIF('1.연간시수표'!AA31,$AX$7)),$AX$6,IF(OR(COUNTIF('1.연간시수표'!AA31,$AY$9),COUNTIF('1.연간시수표'!AA31,$AY$7)),$AY$6,IF(OR(COUNTIF('1.연간시수표'!AA31,$AZ$9),COUNTIF('1.연간시수표'!AA31,$AZ$7)),$AZ$6,IF(OR(COUNTIF('1.연간시수표'!AA31,$BA$9),COUNTIF('1.연간시수표'!AA31,$BA$7)),$BA$6,IF(OR(COUNTIF('1.연간시수표'!AA31,$BB$9),COUNTIF('1.연간시수표'!AA31,$BB$7)),$BB$6,IF(OR(COUNTIF('1.연간시수표'!AA31,$BC$9),COUNTIF('1.연간시수표'!AA31,$BC$7)),$BC$6,IF(OR(COUNTIF('1.연간시수표'!AA31,$BF$9),COUNTIF('1.연간시수표'!AA31,$BF$7),COUNTIF('1.연간시수표'!AA31,$BG$9),COUNTIF('1.연간시수표'!AA31,$BG$7),COUNTIF('1.연간시수표'!AA31,$BH$9),COUNTIF('1.연간시수표'!AA31,$BH$7),COUNTIF('1.연간시수표'!AA31,$BI$9),COUNTIF('1.연간시수표'!AA31,$BI$7),COUNTIF('1.연간시수표'!AA31,$BJ$9),COUNTIF('1.연간시수표'!AA31,$BJ$7),COUNTIF('1.연간시수표'!AA31,$BK$9),COUNTIF('1.연간시수표'!AA31,$BK$7),COUNTIF('1.연간시수표'!AA31,$BL$9),COUNTIF('1.연간시수표'!AA31,$BL$7),COUNTIF('1.연간시수표'!AA31,$BM$9),COUNTIF('1.연간시수표'!AA31,$BM$7)),$BF$6,IF(OR(COUNTIF('1.연간시수표'!AA31,$BO$9),COUNTIF('1.연간시수표'!AA31,$BO$7)),$BO$6,IF(OR(COUNTIF('1.연간시수표'!AA31,$BP$9),COUNTIF('1.연간시수표'!AA31,$BP$7)),$BP$6,IF(OR(COUNTIF('1.연간시수표'!AA31,$BQ$9),COUNTIF('1.연간시수표'!AA31,$BQ$7)),$BQ$6,IF(OR(COUNTIF('1.연간시수표'!AA31,$BR$9),COUNTIF('1.연간시수표'!AA31,$BR$7)),$BR$6,"_")))))))))))))))</f>
        <v>_</v>
      </c>
      <c r="AB31" s="148" t="str">
        <f>IF(OR(COUNTIF('1.연간시수표'!AB31,$AT$9),COUNTIF('1.연간시수표'!AB31,$AT$7)),$AT$6,IF(OR(COUNTIF('1.연간시수표'!AB31,$AU$9),COUNTIF('1.연간시수표'!AB31,$AU$7)),$AU$6,IF(OR(COUNTIF('1.연간시수표'!AB31,$AV$9),COUNTIF('1.연간시수표'!AB31,$AV$7)),$AV$6,IF(OR(COUNTIF('1.연간시수표'!AB31,$AW$9),COUNTIF('1.연간시수표'!AB31,$AW$7)),$AW$6,IF(OR(COUNTIF('1.연간시수표'!AB31,$AX$9),COUNTIF('1.연간시수표'!AB31,$AX$7)),$AX$6,IF(OR(COUNTIF('1.연간시수표'!AB31,$AY$9),COUNTIF('1.연간시수표'!AB31,$AY$7)),$AY$6,IF(OR(COUNTIF('1.연간시수표'!AB31,$AZ$9),COUNTIF('1.연간시수표'!AB31,$AZ$7)),$AZ$6,IF(OR(COUNTIF('1.연간시수표'!AB31,$BA$9),COUNTIF('1.연간시수표'!AB31,$BA$7)),$BA$6,IF(OR(COUNTIF('1.연간시수표'!AB31,$BB$9),COUNTIF('1.연간시수표'!AB31,$BB$7)),$BB$6,IF(OR(COUNTIF('1.연간시수표'!AB31,$BC$9),COUNTIF('1.연간시수표'!AB31,$BC$7)),$BC$6,IF(OR(COUNTIF('1.연간시수표'!AB31,$BF$9),COUNTIF('1.연간시수표'!AB31,$BF$7),COUNTIF('1.연간시수표'!AB31,$BG$9),COUNTIF('1.연간시수표'!AB31,$BG$7),COUNTIF('1.연간시수표'!AB31,$BH$9),COUNTIF('1.연간시수표'!AB31,$BH$7),COUNTIF('1.연간시수표'!AB31,$BI$9),COUNTIF('1.연간시수표'!AB31,$BI$7),COUNTIF('1.연간시수표'!AB31,$BJ$9),COUNTIF('1.연간시수표'!AB31,$BJ$7),COUNTIF('1.연간시수표'!AB31,$BK$9),COUNTIF('1.연간시수표'!AB31,$BK$7),COUNTIF('1.연간시수표'!AB31,$BL$9),COUNTIF('1.연간시수표'!AB31,$BL$7),COUNTIF('1.연간시수표'!AB31,$BM$9),COUNTIF('1.연간시수표'!AB31,$BM$7)),$BF$6,IF(OR(COUNTIF('1.연간시수표'!AB31,$BO$9),COUNTIF('1.연간시수표'!AB31,$BO$7)),$BO$6,IF(OR(COUNTIF('1.연간시수표'!AB31,$BP$9),COUNTIF('1.연간시수표'!AB31,$BP$7)),$BP$6,IF(OR(COUNTIF('1.연간시수표'!AB31,$BQ$9),COUNTIF('1.연간시수표'!AB31,$BQ$7)),$BQ$6,IF(OR(COUNTIF('1.연간시수표'!AB31,$BR$9),COUNTIF('1.연간시수표'!AB31,$BR$7)),$BR$6,"_")))))))))))))))</f>
        <v>_</v>
      </c>
      <c r="AC31" s="148" t="str">
        <f>IF(OR(COUNTIF('1.연간시수표'!AC31,$AT$9),COUNTIF('1.연간시수표'!AC31,$AT$7)),$AT$6,IF(OR(COUNTIF('1.연간시수표'!AC31,$AU$9),COUNTIF('1.연간시수표'!AC31,$AU$7)),$AU$6,IF(OR(COUNTIF('1.연간시수표'!AC31,$AV$9),COUNTIF('1.연간시수표'!AC31,$AV$7)),$AV$6,IF(OR(COUNTIF('1.연간시수표'!AC31,$AW$9),COUNTIF('1.연간시수표'!AC31,$AW$7)),$AW$6,IF(OR(COUNTIF('1.연간시수표'!AC31,$AX$9),COUNTIF('1.연간시수표'!AC31,$AX$7)),$AX$6,IF(OR(COUNTIF('1.연간시수표'!AC31,$AY$9),COUNTIF('1.연간시수표'!AC31,$AY$7)),$AY$6,IF(OR(COUNTIF('1.연간시수표'!AC31,$AZ$9),COUNTIF('1.연간시수표'!AC31,$AZ$7)),$AZ$6,IF(OR(COUNTIF('1.연간시수표'!AC31,$BA$9),COUNTIF('1.연간시수표'!AC31,$BA$7)),$BA$6,IF(OR(COUNTIF('1.연간시수표'!AC31,$BB$9),COUNTIF('1.연간시수표'!AC31,$BB$7)),$BB$6,IF(OR(COUNTIF('1.연간시수표'!AC31,$BC$9),COUNTIF('1.연간시수표'!AC31,$BC$7)),$BC$6,IF(OR(COUNTIF('1.연간시수표'!AC31,$BF$9),COUNTIF('1.연간시수표'!AC31,$BF$7),COUNTIF('1.연간시수표'!AC31,$BG$9),COUNTIF('1.연간시수표'!AC31,$BG$7),COUNTIF('1.연간시수표'!AC31,$BH$9),COUNTIF('1.연간시수표'!AC31,$BH$7),COUNTIF('1.연간시수표'!AC31,$BI$9),COUNTIF('1.연간시수표'!AC31,$BI$7),COUNTIF('1.연간시수표'!AC31,$BJ$9),COUNTIF('1.연간시수표'!AC31,$BJ$7),COUNTIF('1.연간시수표'!AC31,$BK$9),COUNTIF('1.연간시수표'!AC31,$BK$7),COUNTIF('1.연간시수표'!AC31,$BL$9),COUNTIF('1.연간시수표'!AC31,$BL$7),COUNTIF('1.연간시수표'!AC31,$BM$9),COUNTIF('1.연간시수표'!AC31,$BM$7)),$BF$6,IF(OR(COUNTIF('1.연간시수표'!AC31,$BO$9),COUNTIF('1.연간시수표'!AC31,$BO$7)),$BO$6,IF(OR(COUNTIF('1.연간시수표'!AC31,$BP$9),COUNTIF('1.연간시수표'!AC31,$BP$7)),$BP$6,IF(OR(COUNTIF('1.연간시수표'!AC31,$BQ$9),COUNTIF('1.연간시수표'!AC31,$BQ$7)),$BQ$6,IF(OR(COUNTIF('1.연간시수표'!AC31,$BR$9),COUNTIF('1.연간시수표'!AC31,$BR$7)),$BR$6,"_")))))))))))))))</f>
        <v>_</v>
      </c>
      <c r="AD31" s="148" t="str">
        <f>IF(OR(COUNTIF('1.연간시수표'!AD31,$AT$9),COUNTIF('1.연간시수표'!AD31,$AT$7)),$AT$6,IF(OR(COUNTIF('1.연간시수표'!AD31,$AU$9),COUNTIF('1.연간시수표'!AD31,$AU$7)),$AU$6,IF(OR(COUNTIF('1.연간시수표'!AD31,$AV$9),COUNTIF('1.연간시수표'!AD31,$AV$7)),$AV$6,IF(OR(COUNTIF('1.연간시수표'!AD31,$AW$9),COUNTIF('1.연간시수표'!AD31,$AW$7)),$AW$6,IF(OR(COUNTIF('1.연간시수표'!AD31,$AX$9),COUNTIF('1.연간시수표'!AD31,$AX$7)),$AX$6,IF(OR(COUNTIF('1.연간시수표'!AD31,$AY$9),COUNTIF('1.연간시수표'!AD31,$AY$7)),$AY$6,IF(OR(COUNTIF('1.연간시수표'!AD31,$AZ$9),COUNTIF('1.연간시수표'!AD31,$AZ$7)),$AZ$6,IF(OR(COUNTIF('1.연간시수표'!AD31,$BA$9),COUNTIF('1.연간시수표'!AD31,$BA$7)),$BA$6,IF(OR(COUNTIF('1.연간시수표'!AD31,$BB$9),COUNTIF('1.연간시수표'!AD31,$BB$7)),$BB$6,IF(OR(COUNTIF('1.연간시수표'!AD31,$BC$9),COUNTIF('1.연간시수표'!AD31,$BC$7)),$BC$6,IF(OR(COUNTIF('1.연간시수표'!AD31,$BF$9),COUNTIF('1.연간시수표'!AD31,$BF$7),COUNTIF('1.연간시수표'!AD31,$BG$9),COUNTIF('1.연간시수표'!AD31,$BG$7),COUNTIF('1.연간시수표'!AD31,$BH$9),COUNTIF('1.연간시수표'!AD31,$BH$7),COUNTIF('1.연간시수표'!AD31,$BI$9),COUNTIF('1.연간시수표'!AD31,$BI$7),COUNTIF('1.연간시수표'!AD31,$BJ$9),COUNTIF('1.연간시수표'!AD31,$BJ$7),COUNTIF('1.연간시수표'!AD31,$BK$9),COUNTIF('1.연간시수표'!AD31,$BK$7),COUNTIF('1.연간시수표'!AD31,$BL$9),COUNTIF('1.연간시수표'!AD31,$BL$7),COUNTIF('1.연간시수표'!AD31,$BM$9),COUNTIF('1.연간시수표'!AD31,$BM$7)),$BF$6,IF(OR(COUNTIF('1.연간시수표'!AD31,$BO$9),COUNTIF('1.연간시수표'!AD31,$BO$7)),$BO$6,IF(OR(COUNTIF('1.연간시수표'!AD31,$BP$9),COUNTIF('1.연간시수표'!AD31,$BP$7)),$BP$6,IF(OR(COUNTIF('1.연간시수표'!AD31,$BQ$9),COUNTIF('1.연간시수표'!AD31,$BQ$7)),$BQ$6,IF(OR(COUNTIF('1.연간시수표'!AD31,$BR$9),COUNTIF('1.연간시수표'!AD31,$BR$7)),$BR$6,"_")))))))))))))))</f>
        <v>_</v>
      </c>
      <c r="AE31" s="148" t="str">
        <f>IF(OR(COUNTIF('1.연간시수표'!AE31,$AT$9),COUNTIF('1.연간시수표'!AE31,$AT$7)),$AT$6,IF(OR(COUNTIF('1.연간시수표'!AE31,$AU$9),COUNTIF('1.연간시수표'!AE31,$AU$7)),$AU$6,IF(OR(COUNTIF('1.연간시수표'!AE31,$AV$9),COUNTIF('1.연간시수표'!AE31,$AV$7)),$AV$6,IF(OR(COUNTIF('1.연간시수표'!AE31,$AW$9),COUNTIF('1.연간시수표'!AE31,$AW$7)),$AW$6,IF(OR(COUNTIF('1.연간시수표'!AE31,$AX$9),COUNTIF('1.연간시수표'!AE31,$AX$7)),$AX$6,IF(OR(COUNTIF('1.연간시수표'!AE31,$AY$9),COUNTIF('1.연간시수표'!AE31,$AY$7)),$AY$6,IF(OR(COUNTIF('1.연간시수표'!AE31,$AZ$9),COUNTIF('1.연간시수표'!AE31,$AZ$7)),$AZ$6,IF(OR(COUNTIF('1.연간시수표'!AE31,$BA$9),COUNTIF('1.연간시수표'!AE31,$BA$7)),$BA$6,IF(OR(COUNTIF('1.연간시수표'!AE31,$BB$9),COUNTIF('1.연간시수표'!AE31,$BB$7)),$BB$6,IF(OR(COUNTIF('1.연간시수표'!AE31,$BC$9),COUNTIF('1.연간시수표'!AE31,$BC$7)),$BC$6,IF(OR(COUNTIF('1.연간시수표'!AE31,$BF$9),COUNTIF('1.연간시수표'!AE31,$BF$7),COUNTIF('1.연간시수표'!AE31,$BG$9),COUNTIF('1.연간시수표'!AE31,$BG$7),COUNTIF('1.연간시수표'!AE31,$BH$9),COUNTIF('1.연간시수표'!AE31,$BH$7),COUNTIF('1.연간시수표'!AE31,$BI$9),COUNTIF('1.연간시수표'!AE31,$BI$7),COUNTIF('1.연간시수표'!AE31,$BJ$9),COUNTIF('1.연간시수표'!AE31,$BJ$7),COUNTIF('1.연간시수표'!AE31,$BK$9),COUNTIF('1.연간시수표'!AE31,$BK$7),COUNTIF('1.연간시수표'!AE31,$BL$9),COUNTIF('1.연간시수표'!AE31,$BL$7),COUNTIF('1.연간시수표'!AE31,$BM$9),COUNTIF('1.연간시수표'!AE31,$BM$7)),$BF$6,IF(OR(COUNTIF('1.연간시수표'!AE31,$BO$9),COUNTIF('1.연간시수표'!AE31,$BO$7)),$BO$6,IF(OR(COUNTIF('1.연간시수표'!AE31,$BP$9),COUNTIF('1.연간시수표'!AE31,$BP$7)),$BP$6,IF(OR(COUNTIF('1.연간시수표'!AE31,$BQ$9),COUNTIF('1.연간시수표'!AE31,$BQ$7)),$BQ$6,IF(OR(COUNTIF('1.연간시수표'!AE31,$BR$9),COUNTIF('1.연간시수표'!AE31,$BR$7)),$BR$6,"_")))))))))))))))</f>
        <v>_</v>
      </c>
      <c r="AF31" s="148" t="str">
        <f>IF(OR(COUNTIF('1.연간시수표'!AF31,$AT$9),COUNTIF('1.연간시수표'!AF31,$AT$7)),$AT$6,IF(OR(COUNTIF('1.연간시수표'!AF31,$AU$9),COUNTIF('1.연간시수표'!AF31,$AU$7)),$AU$6,IF(OR(COUNTIF('1.연간시수표'!AF31,$AV$9),COUNTIF('1.연간시수표'!AF31,$AV$7)),$AV$6,IF(OR(COUNTIF('1.연간시수표'!AF31,$AW$9),COUNTIF('1.연간시수표'!AF31,$AW$7)),$AW$6,IF(OR(COUNTIF('1.연간시수표'!AF31,$AX$9),COUNTIF('1.연간시수표'!AF31,$AX$7)),$AX$6,IF(OR(COUNTIF('1.연간시수표'!AF31,$AY$9),COUNTIF('1.연간시수표'!AF31,$AY$7)),$AY$6,IF(OR(COUNTIF('1.연간시수표'!AF31,$AZ$9),COUNTIF('1.연간시수표'!AF31,$AZ$7)),$AZ$6,IF(OR(COUNTIF('1.연간시수표'!AF31,$BA$9),COUNTIF('1.연간시수표'!AF31,$BA$7)),$BA$6,IF(OR(COUNTIF('1.연간시수표'!AF31,$BB$9),COUNTIF('1.연간시수표'!AF31,$BB$7)),$BB$6,IF(OR(COUNTIF('1.연간시수표'!AF31,$BC$9),COUNTIF('1.연간시수표'!AF31,$BC$7)),$BC$6,IF(OR(COUNTIF('1.연간시수표'!AF31,$BF$9),COUNTIF('1.연간시수표'!AF31,$BF$7),COUNTIF('1.연간시수표'!AF31,$BG$9),COUNTIF('1.연간시수표'!AF31,$BG$7),COUNTIF('1.연간시수표'!AF31,$BH$9),COUNTIF('1.연간시수표'!AF31,$BH$7),COUNTIF('1.연간시수표'!AF31,$BI$9),COUNTIF('1.연간시수표'!AF31,$BI$7),COUNTIF('1.연간시수표'!AF31,$BJ$9),COUNTIF('1.연간시수표'!AF31,$BJ$7),COUNTIF('1.연간시수표'!AF31,$BK$9),COUNTIF('1.연간시수표'!AF31,$BK$7),COUNTIF('1.연간시수표'!AF31,$BL$9),COUNTIF('1.연간시수표'!AF31,$BL$7),COUNTIF('1.연간시수표'!AF31,$BM$9),COUNTIF('1.연간시수표'!AF31,$BM$7)),$BF$6,IF(OR(COUNTIF('1.연간시수표'!AF31,$BO$9),COUNTIF('1.연간시수표'!AF31,$BO$7)),$BO$6,IF(OR(COUNTIF('1.연간시수표'!AF31,$BP$9),COUNTIF('1.연간시수표'!AF31,$BP$7)),$BP$6,IF(OR(COUNTIF('1.연간시수표'!AF31,$BQ$9),COUNTIF('1.연간시수표'!AF31,$BQ$7)),$BQ$6,IF(OR(COUNTIF('1.연간시수표'!AF31,$BR$9),COUNTIF('1.연간시수표'!AF31,$BR$7)),$BR$6,"_")))))))))))))))</f>
        <v>_</v>
      </c>
      <c r="AG31" s="148" t="str">
        <f>IF(OR(COUNTIF('1.연간시수표'!AG31,$AT$9),COUNTIF('1.연간시수표'!AG31,$AT$7)),$AT$6,IF(OR(COUNTIF('1.연간시수표'!AG31,$AU$9),COUNTIF('1.연간시수표'!AG31,$AU$7)),$AU$6,IF(OR(COUNTIF('1.연간시수표'!AG31,$AV$9),COUNTIF('1.연간시수표'!AG31,$AV$7)),$AV$6,IF(OR(COUNTIF('1.연간시수표'!AG31,$AW$9),COUNTIF('1.연간시수표'!AG31,$AW$7)),$AW$6,IF(OR(COUNTIF('1.연간시수표'!AG31,$AX$9),COUNTIF('1.연간시수표'!AG31,$AX$7)),$AX$6,IF(OR(COUNTIF('1.연간시수표'!AG31,$AY$9),COUNTIF('1.연간시수표'!AG31,$AY$7)),$AY$6,IF(OR(COUNTIF('1.연간시수표'!AG31,$AZ$9),COUNTIF('1.연간시수표'!AG31,$AZ$7)),$AZ$6,IF(OR(COUNTIF('1.연간시수표'!AG31,$BA$9),COUNTIF('1.연간시수표'!AG31,$BA$7)),$BA$6,IF(OR(COUNTIF('1.연간시수표'!AG31,$BB$9),COUNTIF('1.연간시수표'!AG31,$BB$7)),$BB$6,IF(OR(COUNTIF('1.연간시수표'!AG31,$BC$9),COUNTIF('1.연간시수표'!AG31,$BC$7)),$BC$6,IF(OR(COUNTIF('1.연간시수표'!AG31,$BF$9),COUNTIF('1.연간시수표'!AG31,$BF$7),COUNTIF('1.연간시수표'!AG31,$BG$9),COUNTIF('1.연간시수표'!AG31,$BG$7),COUNTIF('1.연간시수표'!AG31,$BH$9),COUNTIF('1.연간시수표'!AG31,$BH$7),COUNTIF('1.연간시수표'!AG31,$BI$9),COUNTIF('1.연간시수표'!AG31,$BI$7),COUNTIF('1.연간시수표'!AG31,$BJ$9),COUNTIF('1.연간시수표'!AG31,$BJ$7),COUNTIF('1.연간시수표'!AG31,$BK$9),COUNTIF('1.연간시수표'!AG31,$BK$7),COUNTIF('1.연간시수표'!AG31,$BL$9),COUNTIF('1.연간시수표'!AG31,$BL$7),COUNTIF('1.연간시수표'!AG31,$BM$9),COUNTIF('1.연간시수표'!AG31,$BM$7)),$BF$6,IF(OR(COUNTIF('1.연간시수표'!AG31,$BO$9),COUNTIF('1.연간시수표'!AG31,$BO$7)),$BO$6,IF(OR(COUNTIF('1.연간시수표'!AG31,$BP$9),COUNTIF('1.연간시수표'!AG31,$BP$7)),$BP$6,IF(OR(COUNTIF('1.연간시수표'!AG31,$BQ$9),COUNTIF('1.연간시수표'!AG31,$BQ$7)),$BQ$6,IF(OR(COUNTIF('1.연간시수표'!AG31,$BR$9),COUNTIF('1.연간시수표'!AG31,$BR$7)),$BR$6,"_")))))))))))))))</f>
        <v>_</v>
      </c>
      <c r="AH31" s="148" t="str">
        <f>IF(OR(COUNTIF('1.연간시수표'!AH31,$AT$9),COUNTIF('1.연간시수표'!AH31,$AT$7)),$AT$6,IF(OR(COUNTIF('1.연간시수표'!AH31,$AU$9),COUNTIF('1.연간시수표'!AH31,$AU$7)),$AU$6,IF(OR(COUNTIF('1.연간시수표'!AH31,$AV$9),COUNTIF('1.연간시수표'!AH31,$AV$7)),$AV$6,IF(OR(COUNTIF('1.연간시수표'!AH31,$AW$9),COUNTIF('1.연간시수표'!AH31,$AW$7)),$AW$6,IF(OR(COUNTIF('1.연간시수표'!AH31,$AX$9),COUNTIF('1.연간시수표'!AH31,$AX$7)),$AX$6,IF(OR(COUNTIF('1.연간시수표'!AH31,$AY$9),COUNTIF('1.연간시수표'!AH31,$AY$7)),$AY$6,IF(OR(COUNTIF('1.연간시수표'!AH31,$AZ$9),COUNTIF('1.연간시수표'!AH31,$AZ$7)),$AZ$6,IF(OR(COUNTIF('1.연간시수표'!AH31,$BA$9),COUNTIF('1.연간시수표'!AH31,$BA$7)),$BA$6,IF(OR(COUNTIF('1.연간시수표'!AH31,$BB$9),COUNTIF('1.연간시수표'!AH31,$BB$7)),$BB$6,IF(OR(COUNTIF('1.연간시수표'!AH31,$BC$9),COUNTIF('1.연간시수표'!AH31,$BC$7)),$BC$6,IF(OR(COUNTIF('1.연간시수표'!AH31,$BF$9),COUNTIF('1.연간시수표'!AH31,$BF$7),COUNTIF('1.연간시수표'!AH31,$BG$9),COUNTIF('1.연간시수표'!AH31,$BG$7),COUNTIF('1.연간시수표'!AH31,$BH$9),COUNTIF('1.연간시수표'!AH31,$BH$7),COUNTIF('1.연간시수표'!AH31,$BI$9),COUNTIF('1.연간시수표'!AH31,$BI$7),COUNTIF('1.연간시수표'!AH31,$BJ$9),COUNTIF('1.연간시수표'!AH31,$BJ$7),COUNTIF('1.연간시수표'!AH31,$BK$9),COUNTIF('1.연간시수표'!AH31,$BK$7),COUNTIF('1.연간시수표'!AH31,$BL$9),COUNTIF('1.연간시수표'!AH31,$BL$7),COUNTIF('1.연간시수표'!AH31,$BM$9),COUNTIF('1.연간시수표'!AH31,$BM$7)),$BF$6,IF(OR(COUNTIF('1.연간시수표'!AH31,$BO$9),COUNTIF('1.연간시수표'!AH31,$BO$7)),$BO$6,IF(OR(COUNTIF('1.연간시수표'!AH31,$BP$9),COUNTIF('1.연간시수표'!AH31,$BP$7)),$BP$6,IF(OR(COUNTIF('1.연간시수표'!AH31,$BQ$9),COUNTIF('1.연간시수표'!AH31,$BQ$7)),$BQ$6,IF(OR(COUNTIF('1.연간시수표'!AH31,$BR$9),COUNTIF('1.연간시수표'!AH31,$BR$7)),$BR$6,"_")))))))))))))))</f>
        <v>_</v>
      </c>
      <c r="AI31" s="148" t="str">
        <f>IF(OR(COUNTIF('1.연간시수표'!AI31,$AT$9),COUNTIF('1.연간시수표'!AI31,$AT$7)),$AT$6,IF(OR(COUNTIF('1.연간시수표'!AI31,$AU$9),COUNTIF('1.연간시수표'!AI31,$AU$7)),$AU$6,IF(OR(COUNTIF('1.연간시수표'!AI31,$AV$9),COUNTIF('1.연간시수표'!AI31,$AV$7)),$AV$6,IF(OR(COUNTIF('1.연간시수표'!AI31,$AW$9),COUNTIF('1.연간시수표'!AI31,$AW$7)),$AW$6,IF(OR(COUNTIF('1.연간시수표'!AI31,$AX$9),COUNTIF('1.연간시수표'!AI31,$AX$7)),$AX$6,IF(OR(COUNTIF('1.연간시수표'!AI31,$AY$9),COUNTIF('1.연간시수표'!AI31,$AY$7)),$AY$6,IF(OR(COUNTIF('1.연간시수표'!AI31,$AZ$9),COUNTIF('1.연간시수표'!AI31,$AZ$7)),$AZ$6,IF(OR(COUNTIF('1.연간시수표'!AI31,$BA$9),COUNTIF('1.연간시수표'!AI31,$BA$7)),$BA$6,IF(OR(COUNTIF('1.연간시수표'!AI31,$BB$9),COUNTIF('1.연간시수표'!AI31,$BB$7)),$BB$6,IF(OR(COUNTIF('1.연간시수표'!AI31,$BC$9),COUNTIF('1.연간시수표'!AI31,$BC$7)),$BC$6,IF(OR(COUNTIF('1.연간시수표'!AI31,$BF$9),COUNTIF('1.연간시수표'!AI31,$BF$7),COUNTIF('1.연간시수표'!AI31,$BG$9),COUNTIF('1.연간시수표'!AI31,$BG$7),COUNTIF('1.연간시수표'!AI31,$BH$9),COUNTIF('1.연간시수표'!AI31,$BH$7),COUNTIF('1.연간시수표'!AI31,$BI$9),COUNTIF('1.연간시수표'!AI31,$BI$7),COUNTIF('1.연간시수표'!AI31,$BJ$9),COUNTIF('1.연간시수표'!AI31,$BJ$7),COUNTIF('1.연간시수표'!AI31,$BK$9),COUNTIF('1.연간시수표'!AI31,$BK$7),COUNTIF('1.연간시수표'!AI31,$BL$9),COUNTIF('1.연간시수표'!AI31,$BL$7),COUNTIF('1.연간시수표'!AI31,$BM$9),COUNTIF('1.연간시수표'!AI31,$BM$7)),$BF$6,IF(OR(COUNTIF('1.연간시수표'!AI31,$BO$9),COUNTIF('1.연간시수표'!AI31,$BO$7)),$BO$6,IF(OR(COUNTIF('1.연간시수표'!AI31,$BP$9),COUNTIF('1.연간시수표'!AI31,$BP$7)),$BP$6,IF(OR(COUNTIF('1.연간시수표'!AI31,$BQ$9),COUNTIF('1.연간시수표'!AI31,$BQ$7)),$BQ$6,IF(OR(COUNTIF('1.연간시수표'!AI31,$BR$9),COUNTIF('1.연간시수표'!AI31,$BR$7)),$BR$6,"_")))))))))))))))</f>
        <v>_</v>
      </c>
      <c r="AJ31" s="148" t="str">
        <f>IF(OR(COUNTIF('1.연간시수표'!AJ31,$AT$9),COUNTIF('1.연간시수표'!AJ31,$AT$7)),$AT$6,IF(OR(COUNTIF('1.연간시수표'!AJ31,$AU$9),COUNTIF('1.연간시수표'!AJ31,$AU$7)),$AU$6,IF(OR(COUNTIF('1.연간시수표'!AJ31,$AV$9),COUNTIF('1.연간시수표'!AJ31,$AV$7)),$AV$6,IF(OR(COUNTIF('1.연간시수표'!AJ31,$AW$9),COUNTIF('1.연간시수표'!AJ31,$AW$7)),$AW$6,IF(OR(COUNTIF('1.연간시수표'!AJ31,$AX$9),COUNTIF('1.연간시수표'!AJ31,$AX$7)),$AX$6,IF(OR(COUNTIF('1.연간시수표'!AJ31,$AY$9),COUNTIF('1.연간시수표'!AJ31,$AY$7)),$AY$6,IF(OR(COUNTIF('1.연간시수표'!AJ31,$AZ$9),COUNTIF('1.연간시수표'!AJ31,$AZ$7)),$AZ$6,IF(OR(COUNTIF('1.연간시수표'!AJ31,$BA$9),COUNTIF('1.연간시수표'!AJ31,$BA$7)),$BA$6,IF(OR(COUNTIF('1.연간시수표'!AJ31,$BB$9),COUNTIF('1.연간시수표'!AJ31,$BB$7)),$BB$6,IF(OR(COUNTIF('1.연간시수표'!AJ31,$BC$9),COUNTIF('1.연간시수표'!AJ31,$BC$7)),$BC$6,IF(OR(COUNTIF('1.연간시수표'!AJ31,$BF$9),COUNTIF('1.연간시수표'!AJ31,$BF$7),COUNTIF('1.연간시수표'!AJ31,$BG$9),COUNTIF('1.연간시수표'!AJ31,$BG$7),COUNTIF('1.연간시수표'!AJ31,$BH$9),COUNTIF('1.연간시수표'!AJ31,$BH$7),COUNTIF('1.연간시수표'!AJ31,$BI$9),COUNTIF('1.연간시수표'!AJ31,$BI$7),COUNTIF('1.연간시수표'!AJ31,$BJ$9),COUNTIF('1.연간시수표'!AJ31,$BJ$7),COUNTIF('1.연간시수표'!AJ31,$BK$9),COUNTIF('1.연간시수표'!AJ31,$BK$7),COUNTIF('1.연간시수표'!AJ31,$BL$9),COUNTIF('1.연간시수표'!AJ31,$BL$7),COUNTIF('1.연간시수표'!AJ31,$BM$9),COUNTIF('1.연간시수표'!AJ31,$BM$7)),$BF$6,IF(OR(COUNTIF('1.연간시수표'!AJ31,$BO$9),COUNTIF('1.연간시수표'!AJ31,$BO$7)),$BO$6,IF(OR(COUNTIF('1.연간시수표'!AJ31,$BP$9),COUNTIF('1.연간시수표'!AJ31,$BP$7)),$BP$6,IF(OR(COUNTIF('1.연간시수표'!AJ31,$BQ$9),COUNTIF('1.연간시수표'!AJ31,$BQ$7)),$BQ$6,IF(OR(COUNTIF('1.연간시수표'!AJ31,$BR$9),COUNTIF('1.연간시수표'!AJ31,$BR$7)),$BR$6,"_")))))))))))))))</f>
        <v>_</v>
      </c>
      <c r="AK31" s="148" t="str">
        <f>IF(OR(COUNTIF('1.연간시수표'!AK31,$AT$9),COUNTIF('1.연간시수표'!AK31,$AT$7)),$AT$6,IF(OR(COUNTIF('1.연간시수표'!AK31,$AU$9),COUNTIF('1.연간시수표'!AK31,$AU$7)),$AU$6,IF(OR(COUNTIF('1.연간시수표'!AK31,$AV$9),COUNTIF('1.연간시수표'!AK31,$AV$7)),$AV$6,IF(OR(COUNTIF('1.연간시수표'!AK31,$AW$9),COUNTIF('1.연간시수표'!AK31,$AW$7)),$AW$6,IF(OR(COUNTIF('1.연간시수표'!AK31,$AX$9),COUNTIF('1.연간시수표'!AK31,$AX$7)),$AX$6,IF(OR(COUNTIF('1.연간시수표'!AK31,$AY$9),COUNTIF('1.연간시수표'!AK31,$AY$7)),$AY$6,IF(OR(COUNTIF('1.연간시수표'!AK31,$AZ$9),COUNTIF('1.연간시수표'!AK31,$AZ$7)),$AZ$6,IF(OR(COUNTIF('1.연간시수표'!AK31,$BA$9),COUNTIF('1.연간시수표'!AK31,$BA$7)),$BA$6,IF(OR(COUNTIF('1.연간시수표'!AK31,$BB$9),COUNTIF('1.연간시수표'!AK31,$BB$7)),$BB$6,IF(OR(COUNTIF('1.연간시수표'!AK31,$BC$9),COUNTIF('1.연간시수표'!AK31,$BC$7)),$BC$6,IF(OR(COUNTIF('1.연간시수표'!AK31,$BF$9),COUNTIF('1.연간시수표'!AK31,$BF$7),COUNTIF('1.연간시수표'!AK31,$BG$9),COUNTIF('1.연간시수표'!AK31,$BG$7),COUNTIF('1.연간시수표'!AK31,$BH$9),COUNTIF('1.연간시수표'!AK31,$BH$7),COUNTIF('1.연간시수표'!AK31,$BI$9),COUNTIF('1.연간시수표'!AK31,$BI$7),COUNTIF('1.연간시수표'!AK31,$BJ$9),COUNTIF('1.연간시수표'!AK31,$BJ$7),COUNTIF('1.연간시수표'!AK31,$BK$9),COUNTIF('1.연간시수표'!AK31,$BK$7),COUNTIF('1.연간시수표'!AK31,$BL$9),COUNTIF('1.연간시수표'!AK31,$BL$7),COUNTIF('1.연간시수표'!AK31,$BM$9),COUNTIF('1.연간시수표'!AK31,$BM$7)),$BF$6,IF(OR(COUNTIF('1.연간시수표'!AK31,$BO$9),COUNTIF('1.연간시수표'!AK31,$BO$7)),$BO$6,IF(OR(COUNTIF('1.연간시수표'!AK31,$BP$9),COUNTIF('1.연간시수표'!AK31,$BP$7)),$BP$6,IF(OR(COUNTIF('1.연간시수표'!AK31,$BQ$9),COUNTIF('1.연간시수표'!AK31,$BQ$7)),$BQ$6,IF(OR(COUNTIF('1.연간시수표'!AK31,$BR$9),COUNTIF('1.연간시수표'!AK31,$BR$7)),$BR$6,"_")))))))))))))))</f>
        <v>_</v>
      </c>
      <c r="AL31" s="148" t="str">
        <f>IF(OR(COUNTIF('1.연간시수표'!AL31,$AT$9),COUNTIF('1.연간시수표'!AL31,$AT$7)),$AT$6,IF(OR(COUNTIF('1.연간시수표'!AL31,$AU$9),COUNTIF('1.연간시수표'!AL31,$AU$7)),$AU$6,IF(OR(COUNTIF('1.연간시수표'!AL31,$AV$9),COUNTIF('1.연간시수표'!AL31,$AV$7)),$AV$6,IF(OR(COUNTIF('1.연간시수표'!AL31,$AW$9),COUNTIF('1.연간시수표'!AL31,$AW$7)),$AW$6,IF(OR(COUNTIF('1.연간시수표'!AL31,$AX$9),COUNTIF('1.연간시수표'!AL31,$AX$7)),$AX$6,IF(OR(COUNTIF('1.연간시수표'!AL31,$AY$9),COUNTIF('1.연간시수표'!AL31,$AY$7)),$AY$6,IF(OR(COUNTIF('1.연간시수표'!AL31,$AZ$9),COUNTIF('1.연간시수표'!AL31,$AZ$7)),$AZ$6,IF(OR(COUNTIF('1.연간시수표'!AL31,$BA$9),COUNTIF('1.연간시수표'!AL31,$BA$7)),$BA$6,IF(OR(COUNTIF('1.연간시수표'!AL31,$BB$9),COUNTIF('1.연간시수표'!AL31,$BB$7)),$BB$6,IF(OR(COUNTIF('1.연간시수표'!AL31,$BC$9),COUNTIF('1.연간시수표'!AL31,$BC$7)),$BC$6,IF(OR(COUNTIF('1.연간시수표'!AL31,$BF$9),COUNTIF('1.연간시수표'!AL31,$BF$7),COUNTIF('1.연간시수표'!AL31,$BG$9),COUNTIF('1.연간시수표'!AL31,$BG$7),COUNTIF('1.연간시수표'!AL31,$BH$9),COUNTIF('1.연간시수표'!AL31,$BH$7),COUNTIF('1.연간시수표'!AL31,$BI$9),COUNTIF('1.연간시수표'!AL31,$BI$7),COUNTIF('1.연간시수표'!AL31,$BJ$9),COUNTIF('1.연간시수표'!AL31,$BJ$7),COUNTIF('1.연간시수표'!AL31,$BK$9),COUNTIF('1.연간시수표'!AL31,$BK$7),COUNTIF('1.연간시수표'!AL31,$BL$9),COUNTIF('1.연간시수표'!AL31,$BL$7),COUNTIF('1.연간시수표'!AL31,$BM$9),COUNTIF('1.연간시수표'!AL31,$BM$7)),$BF$6,IF(OR(COUNTIF('1.연간시수표'!AL31,$BO$9),COUNTIF('1.연간시수표'!AL31,$BO$7)),$BO$6,IF(OR(COUNTIF('1.연간시수표'!AL31,$BP$9),COUNTIF('1.연간시수표'!AL31,$BP$7)),$BP$6,IF(OR(COUNTIF('1.연간시수표'!AL31,$BQ$9),COUNTIF('1.연간시수표'!AL31,$BQ$7)),$BQ$6,IF(OR(COUNTIF('1.연간시수표'!AL31,$BR$9),COUNTIF('1.연간시수표'!AL31,$BR$7)),$BR$6,"_")))))))))))))))</f>
        <v>_</v>
      </c>
      <c r="AM31" s="148" t="str">
        <f>IF(OR(COUNTIF('1.연간시수표'!AM31,$AT$9),COUNTIF('1.연간시수표'!AM31,$AT$7)),$AT$6,IF(OR(COUNTIF('1.연간시수표'!AM31,$AU$9),COUNTIF('1.연간시수표'!AM31,$AU$7)),$AU$6,IF(OR(COUNTIF('1.연간시수표'!AM31,$AV$9),COUNTIF('1.연간시수표'!AM31,$AV$7)),$AV$6,IF(OR(COUNTIF('1.연간시수표'!AM31,$AW$9),COUNTIF('1.연간시수표'!AM31,$AW$7)),$AW$6,IF(OR(COUNTIF('1.연간시수표'!AM31,$AX$9),COUNTIF('1.연간시수표'!AM31,$AX$7)),$AX$6,IF(OR(COUNTIF('1.연간시수표'!AM31,$AY$9),COUNTIF('1.연간시수표'!AM31,$AY$7)),$AY$6,IF(OR(COUNTIF('1.연간시수표'!AM31,$AZ$9),COUNTIF('1.연간시수표'!AM31,$AZ$7)),$AZ$6,IF(OR(COUNTIF('1.연간시수표'!AM31,$BA$9),COUNTIF('1.연간시수표'!AM31,$BA$7)),$BA$6,IF(OR(COUNTIF('1.연간시수표'!AM31,$BB$9),COUNTIF('1.연간시수표'!AM31,$BB$7)),$BB$6,IF(OR(COUNTIF('1.연간시수표'!AM31,$BC$9),COUNTIF('1.연간시수표'!AM31,$BC$7)),$BC$6,IF(OR(COUNTIF('1.연간시수표'!AM31,$BF$9),COUNTIF('1.연간시수표'!AM31,$BF$7),COUNTIF('1.연간시수표'!AM31,$BG$9),COUNTIF('1.연간시수표'!AM31,$BG$7),COUNTIF('1.연간시수표'!AM31,$BH$9),COUNTIF('1.연간시수표'!AM31,$BH$7),COUNTIF('1.연간시수표'!AM31,$BI$9),COUNTIF('1.연간시수표'!AM31,$BI$7),COUNTIF('1.연간시수표'!AM31,$BJ$9),COUNTIF('1.연간시수표'!AM31,$BJ$7),COUNTIF('1.연간시수표'!AM31,$BK$9),COUNTIF('1.연간시수표'!AM31,$BK$7),COUNTIF('1.연간시수표'!AM31,$BL$9),COUNTIF('1.연간시수표'!AM31,$BL$7),COUNTIF('1.연간시수표'!AM31,$BM$9),COUNTIF('1.연간시수표'!AM31,$BM$7)),$BF$6,IF(OR(COUNTIF('1.연간시수표'!AM31,$BO$9),COUNTIF('1.연간시수표'!AM31,$BO$7)),$BO$6,IF(OR(COUNTIF('1.연간시수표'!AM31,$BP$9),COUNTIF('1.연간시수표'!AM31,$BP$7)),$BP$6,IF(OR(COUNTIF('1.연간시수표'!AM31,$BQ$9),COUNTIF('1.연간시수표'!AM31,$BQ$7)),$BQ$6,IF(OR(COUNTIF('1.연간시수표'!AM31,$BR$9),COUNTIF('1.연간시수표'!AM31,$BR$7)),$BR$6,"_")))))))))))))))</f>
        <v>_</v>
      </c>
      <c r="AN31" s="148" t="str">
        <f>IF(OR(COUNTIF('1.연간시수표'!AN31,$AT$9),COUNTIF('1.연간시수표'!AN31,$AT$7)),$AT$6,IF(OR(COUNTIF('1.연간시수표'!AN31,$AU$9),COUNTIF('1.연간시수표'!AN31,$AU$7)),$AU$6,IF(OR(COUNTIF('1.연간시수표'!AN31,$AV$9),COUNTIF('1.연간시수표'!AN31,$AV$7)),$AV$6,IF(OR(COUNTIF('1.연간시수표'!AN31,$AW$9),COUNTIF('1.연간시수표'!AN31,$AW$7)),$AW$6,IF(OR(COUNTIF('1.연간시수표'!AN31,$AX$9),COUNTIF('1.연간시수표'!AN31,$AX$7)),$AX$6,IF(OR(COUNTIF('1.연간시수표'!AN31,$AY$9),COUNTIF('1.연간시수표'!AN31,$AY$7)),$AY$6,IF(OR(COUNTIF('1.연간시수표'!AN31,$AZ$9),COUNTIF('1.연간시수표'!AN31,$AZ$7)),$AZ$6,IF(OR(COUNTIF('1.연간시수표'!AN31,$BA$9),COUNTIF('1.연간시수표'!AN31,$BA$7)),$BA$6,IF(OR(COUNTIF('1.연간시수표'!AN31,$BB$9),COUNTIF('1.연간시수표'!AN31,$BB$7)),$BB$6,IF(OR(COUNTIF('1.연간시수표'!AN31,$BC$9),COUNTIF('1.연간시수표'!AN31,$BC$7)),$BC$6,IF(OR(COUNTIF('1.연간시수표'!AN31,$BF$9),COUNTIF('1.연간시수표'!AN31,$BF$7),COUNTIF('1.연간시수표'!AN31,$BG$9),COUNTIF('1.연간시수표'!AN31,$BG$7),COUNTIF('1.연간시수표'!AN31,$BH$9),COUNTIF('1.연간시수표'!AN31,$BH$7),COUNTIF('1.연간시수표'!AN31,$BI$9),COUNTIF('1.연간시수표'!AN31,$BI$7),COUNTIF('1.연간시수표'!AN31,$BJ$9),COUNTIF('1.연간시수표'!AN31,$BJ$7),COUNTIF('1.연간시수표'!AN31,$BK$9),COUNTIF('1.연간시수표'!AN31,$BK$7),COUNTIF('1.연간시수표'!AN31,$BL$9),COUNTIF('1.연간시수표'!AN31,$BL$7),COUNTIF('1.연간시수표'!AN31,$BM$9),COUNTIF('1.연간시수표'!AN31,$BM$7)),$BF$6,IF(OR(COUNTIF('1.연간시수표'!AN31,$BO$9),COUNTIF('1.연간시수표'!AN31,$BO$7)),$BO$6,IF(OR(COUNTIF('1.연간시수표'!AN31,$BP$9),COUNTIF('1.연간시수표'!AN31,$BP$7)),$BP$6,IF(OR(COUNTIF('1.연간시수표'!AN31,$BQ$9),COUNTIF('1.연간시수표'!AN31,$BQ$7)),$BQ$6,IF(OR(COUNTIF('1.연간시수표'!AN31,$BR$9),COUNTIF('1.연간시수표'!AN31,$BR$7)),$BR$6,"_")))))))))))))))</f>
        <v>_</v>
      </c>
      <c r="AO31" s="148" t="str">
        <f>IF(OR(COUNTIF('1.연간시수표'!AO31,$AT$9),COUNTIF('1.연간시수표'!AO31,$AT$7)),$AT$6,IF(OR(COUNTIF('1.연간시수표'!AO31,$AU$9),COUNTIF('1.연간시수표'!AO31,$AU$7)),$AU$6,IF(OR(COUNTIF('1.연간시수표'!AO31,$AV$9),COUNTIF('1.연간시수표'!AO31,$AV$7)),$AV$6,IF(OR(COUNTIF('1.연간시수표'!AO31,$AW$9),COUNTIF('1.연간시수표'!AO31,$AW$7)),$AW$6,IF(OR(COUNTIF('1.연간시수표'!AO31,$AX$9),COUNTIF('1.연간시수표'!AO31,$AX$7)),$AX$6,IF(OR(COUNTIF('1.연간시수표'!AO31,$AY$9),COUNTIF('1.연간시수표'!AO31,$AY$7)),$AY$6,IF(OR(COUNTIF('1.연간시수표'!AO31,$AZ$9),COUNTIF('1.연간시수표'!AO31,$AZ$7)),$AZ$6,IF(OR(COUNTIF('1.연간시수표'!AO31,$BA$9),COUNTIF('1.연간시수표'!AO31,$BA$7)),$BA$6,IF(OR(COUNTIF('1.연간시수표'!AO31,$BB$9),COUNTIF('1.연간시수표'!AO31,$BB$7)),$BB$6,IF(OR(COUNTIF('1.연간시수표'!AO31,$BC$9),COUNTIF('1.연간시수표'!AO31,$BC$7)),$BC$6,IF(OR(COUNTIF('1.연간시수표'!AO31,$BF$9),COUNTIF('1.연간시수표'!AO31,$BF$7),COUNTIF('1.연간시수표'!AO31,$BG$9),COUNTIF('1.연간시수표'!AO31,$BG$7),COUNTIF('1.연간시수표'!AO31,$BH$9),COUNTIF('1.연간시수표'!AO31,$BH$7),COUNTIF('1.연간시수표'!AO31,$BI$9),COUNTIF('1.연간시수표'!AO31,$BI$7),COUNTIF('1.연간시수표'!AO31,$BJ$9),COUNTIF('1.연간시수표'!AO31,$BJ$7),COUNTIF('1.연간시수표'!AO31,$BK$9),COUNTIF('1.연간시수표'!AO31,$BK$7),COUNTIF('1.연간시수표'!AO31,$BL$9),COUNTIF('1.연간시수표'!AO31,$BL$7),COUNTIF('1.연간시수표'!AO31,$BM$9),COUNTIF('1.연간시수표'!AO31,$BM$7)),$BF$6,IF(OR(COUNTIF('1.연간시수표'!AO31,$BO$9),COUNTIF('1.연간시수표'!AO31,$BO$7)),$BO$6,IF(OR(COUNTIF('1.연간시수표'!AO31,$BP$9),COUNTIF('1.연간시수표'!AO31,$BP$7)),$BP$6,IF(OR(COUNTIF('1.연간시수표'!AO31,$BQ$9),COUNTIF('1.연간시수표'!AO31,$BQ$7)),$BQ$6,IF(OR(COUNTIF('1.연간시수표'!AO31,$BR$9),COUNTIF('1.연간시수표'!AO31,$BR$7)),$BR$6,"_")))))))))))))))</f>
        <v>_</v>
      </c>
      <c r="AP31" s="148" t="str">
        <f>IF(OR(COUNTIF('1.연간시수표'!AP31,$AT$9),COUNTIF('1.연간시수표'!AP31,$AT$7)),$AT$6,IF(OR(COUNTIF('1.연간시수표'!AP31,$AU$9),COUNTIF('1.연간시수표'!AP31,$AU$7)),$AU$6,IF(OR(COUNTIF('1.연간시수표'!AP31,$AV$9),COUNTIF('1.연간시수표'!AP31,$AV$7)),$AV$6,IF(OR(COUNTIF('1.연간시수표'!AP31,$AW$9),COUNTIF('1.연간시수표'!AP31,$AW$7)),$AW$6,IF(OR(COUNTIF('1.연간시수표'!AP31,$AX$9),COUNTIF('1.연간시수표'!AP31,$AX$7)),$AX$6,IF(OR(COUNTIF('1.연간시수표'!AP31,$AY$9),COUNTIF('1.연간시수표'!AP31,$AY$7)),$AY$6,IF(OR(COUNTIF('1.연간시수표'!AP31,$AZ$9),COUNTIF('1.연간시수표'!AP31,$AZ$7)),$AZ$6,IF(OR(COUNTIF('1.연간시수표'!AP31,$BA$9),COUNTIF('1.연간시수표'!AP31,$BA$7)),$BA$6,IF(OR(COUNTIF('1.연간시수표'!AP31,$BB$9),COUNTIF('1.연간시수표'!AP31,$BB$7)),$BB$6,IF(OR(COUNTIF('1.연간시수표'!AP31,$BC$9),COUNTIF('1.연간시수표'!AP31,$BC$7)),$BC$6,IF(OR(COUNTIF('1.연간시수표'!AP31,$BF$9),COUNTIF('1.연간시수표'!AP31,$BF$7),COUNTIF('1.연간시수표'!AP31,$BG$9),COUNTIF('1.연간시수표'!AP31,$BG$7),COUNTIF('1.연간시수표'!AP31,$BH$9),COUNTIF('1.연간시수표'!AP31,$BH$7),COUNTIF('1.연간시수표'!AP31,$BI$9),COUNTIF('1.연간시수표'!AP31,$BI$7),COUNTIF('1.연간시수표'!AP31,$BJ$9),COUNTIF('1.연간시수표'!AP31,$BJ$7),COUNTIF('1.연간시수표'!AP31,$BK$9),COUNTIF('1.연간시수표'!AP31,$BK$7),COUNTIF('1.연간시수표'!AP31,$BL$9),COUNTIF('1.연간시수표'!AP31,$BL$7),COUNTIF('1.연간시수표'!AP31,$BM$9),COUNTIF('1.연간시수표'!AP31,$BM$7)),$BF$6,IF(OR(COUNTIF('1.연간시수표'!AP31,$BO$9),COUNTIF('1.연간시수표'!AP31,$BO$7)),$BO$6,IF(OR(COUNTIF('1.연간시수표'!AP31,$BP$9),COUNTIF('1.연간시수표'!AP31,$BP$7)),$BP$6,IF(OR(COUNTIF('1.연간시수표'!AP31,$BQ$9),COUNTIF('1.연간시수표'!AP31,$BQ$7)),$BQ$6,IF(OR(COUNTIF('1.연간시수표'!AP31,$BR$9),COUNTIF('1.연간시수표'!AP31,$BR$7)),$BR$6,"_")))))))))))))))</f>
        <v>_</v>
      </c>
      <c r="AQ31" s="148" t="str">
        <f>IF(OR(COUNTIF('1.연간시수표'!AQ31,$AT$9),COUNTIF('1.연간시수표'!AQ31,$AT$7)),$AT$6,IF(OR(COUNTIF('1.연간시수표'!AQ31,$AU$9),COUNTIF('1.연간시수표'!AQ31,$AU$7)),$AU$6,IF(OR(COUNTIF('1.연간시수표'!AQ31,$AV$9),COUNTIF('1.연간시수표'!AQ31,$AV$7)),$AV$6,IF(OR(COUNTIF('1.연간시수표'!AQ31,$AW$9),COUNTIF('1.연간시수표'!AQ31,$AW$7)),$AW$6,IF(OR(COUNTIF('1.연간시수표'!AQ31,$AX$9),COUNTIF('1.연간시수표'!AQ31,$AX$7)),$AX$6,IF(OR(COUNTIF('1.연간시수표'!AQ31,$AY$9),COUNTIF('1.연간시수표'!AQ31,$AY$7)),$AY$6,IF(OR(COUNTIF('1.연간시수표'!AQ31,$AZ$9),COUNTIF('1.연간시수표'!AQ31,$AZ$7)),$AZ$6,IF(OR(COUNTIF('1.연간시수표'!AQ31,$BA$9),COUNTIF('1.연간시수표'!AQ31,$BA$7)),$BA$6,IF(OR(COUNTIF('1.연간시수표'!AQ31,$BB$9),COUNTIF('1.연간시수표'!AQ31,$BB$7)),$BB$6,IF(OR(COUNTIF('1.연간시수표'!AQ31,$BC$9),COUNTIF('1.연간시수표'!AQ31,$BC$7)),$BC$6,IF(OR(COUNTIF('1.연간시수표'!AQ31,$BF$9),COUNTIF('1.연간시수표'!AQ31,$BF$7),COUNTIF('1.연간시수표'!AQ31,$BG$9),COUNTIF('1.연간시수표'!AQ31,$BG$7),COUNTIF('1.연간시수표'!AQ31,$BH$9),COUNTIF('1.연간시수표'!AQ31,$BH$7),COUNTIF('1.연간시수표'!AQ31,$BI$9),COUNTIF('1.연간시수표'!AQ31,$BI$7),COUNTIF('1.연간시수표'!AQ31,$BJ$9),COUNTIF('1.연간시수표'!AQ31,$BJ$7),COUNTIF('1.연간시수표'!AQ31,$BK$9),COUNTIF('1.연간시수표'!AQ31,$BK$7),COUNTIF('1.연간시수표'!AQ31,$BL$9),COUNTIF('1.연간시수표'!AQ31,$BL$7),COUNTIF('1.연간시수표'!AQ31,$BM$9),COUNTIF('1.연간시수표'!AQ31,$BM$7)),$BF$6,IF(OR(COUNTIF('1.연간시수표'!AQ31,$BO$9),COUNTIF('1.연간시수표'!AQ31,$BO$7)),$BO$6,IF(OR(COUNTIF('1.연간시수표'!AQ31,$BP$9),COUNTIF('1.연간시수표'!AQ31,$BP$7)),$BP$6,IF(OR(COUNTIF('1.연간시수표'!AQ31,$BQ$9),COUNTIF('1.연간시수표'!AQ31,$BQ$7)),$BQ$6,IF(OR(COUNTIF('1.연간시수표'!AQ31,$BR$9),COUNTIF('1.연간시수표'!AQ31,$BR$7)),$BR$6,"_")))))))))))))))</f>
        <v>_</v>
      </c>
      <c r="AR31" s="148" t="str">
        <f>IF(OR(COUNTIF('1.연간시수표'!AR31,$AT$9),COUNTIF('1.연간시수표'!AR31,$AT$7)),$AT$6,IF(OR(COUNTIF('1.연간시수표'!AR31,$AU$9),COUNTIF('1.연간시수표'!AR31,$AU$7)),$AU$6,IF(OR(COUNTIF('1.연간시수표'!AR31,$AV$9),COUNTIF('1.연간시수표'!AR31,$AV$7)),$AV$6,IF(OR(COUNTIF('1.연간시수표'!AR31,$AW$9),COUNTIF('1.연간시수표'!AR31,$AW$7)),$AW$6,IF(OR(COUNTIF('1.연간시수표'!AR31,$AX$9),COUNTIF('1.연간시수표'!AR31,$AX$7)),$AX$6,IF(OR(COUNTIF('1.연간시수표'!AR31,$AY$9),COUNTIF('1.연간시수표'!AR31,$AY$7)),$AY$6,IF(OR(COUNTIF('1.연간시수표'!AR31,$AZ$9),COUNTIF('1.연간시수표'!AR31,$AZ$7)),$AZ$6,IF(OR(COUNTIF('1.연간시수표'!AR31,$BA$9),COUNTIF('1.연간시수표'!AR31,$BA$7)),$BA$6,IF(OR(COUNTIF('1.연간시수표'!AR31,$BB$9),COUNTIF('1.연간시수표'!AR31,$BB$7)),$BB$6,IF(OR(COUNTIF('1.연간시수표'!AR31,$BC$9),COUNTIF('1.연간시수표'!AR31,$BC$7)),$BC$6,IF(OR(COUNTIF('1.연간시수표'!AR31,$BF$9),COUNTIF('1.연간시수표'!AR31,$BF$7),COUNTIF('1.연간시수표'!AR31,$BG$9),COUNTIF('1.연간시수표'!AR31,$BG$7),COUNTIF('1.연간시수표'!AR31,$BH$9),COUNTIF('1.연간시수표'!AR31,$BH$7),COUNTIF('1.연간시수표'!AR31,$BI$9),COUNTIF('1.연간시수표'!AR31,$BI$7),COUNTIF('1.연간시수표'!AR31,$BJ$9),COUNTIF('1.연간시수표'!AR31,$BJ$7),COUNTIF('1.연간시수표'!AR31,$BK$9),COUNTIF('1.연간시수표'!AR31,$BK$7),COUNTIF('1.연간시수표'!AR31,$BL$9),COUNTIF('1.연간시수표'!AR31,$BL$7),COUNTIF('1.연간시수표'!AR31,$BM$9),COUNTIF('1.연간시수표'!AR31,$BM$7)),$BF$6,IF(OR(COUNTIF('1.연간시수표'!AR31,$BO$9),COUNTIF('1.연간시수표'!AR31,$BO$7)),$BO$6,IF(OR(COUNTIF('1.연간시수표'!AR31,$BP$9),COUNTIF('1.연간시수표'!AR31,$BP$7)),$BP$6,IF(OR(COUNTIF('1.연간시수표'!AR31,$BQ$9),COUNTIF('1.연간시수표'!AR31,$BQ$7)),$BQ$6,IF(OR(COUNTIF('1.연간시수표'!AR31,$BR$9),COUNTIF('1.연간시수표'!AR31,$BR$7)),$BR$6,"_")))))))))))))))</f>
        <v>_</v>
      </c>
      <c r="BU31" s="34"/>
      <c r="BV31" s="34"/>
    </row>
    <row r="32" spans="2:74">
      <c r="B32" s="6"/>
      <c r="C32" s="79">
        <f>'1.연간시수표'!C32</f>
        <v>23</v>
      </c>
      <c r="D32" s="3"/>
      <c r="E32" s="148" t="str">
        <f>IF(OR(COUNTIF('1.연간시수표'!E32,$AT$9),COUNTIF('1.연간시수표'!E32,$AT$7)),$AT$6,IF(OR(COUNTIF('1.연간시수표'!E32,$AU$9),COUNTIF('1.연간시수표'!E32,$AU$7)),$AU$6,IF(OR(COUNTIF('1.연간시수표'!E32,$AV$9),COUNTIF('1.연간시수표'!E32,$AV$7)),$AV$6,IF(OR(COUNTIF('1.연간시수표'!E32,$AW$9),COUNTIF('1.연간시수표'!E32,$AW$7)),$AW$6,IF(OR(COUNTIF('1.연간시수표'!E32,$AX$9),COUNTIF('1.연간시수표'!E32,$AX$7)),$AX$6,IF(OR(COUNTIF('1.연간시수표'!E32,$AY$9),COUNTIF('1.연간시수표'!E32,$AY$7)),$AY$6,IF(OR(COUNTIF('1.연간시수표'!E32,$AZ$9),COUNTIF('1.연간시수표'!E32,$AZ$7)),$AZ$6,IF(OR(COUNTIF('1.연간시수표'!E32,$BA$9),COUNTIF('1.연간시수표'!E32,$BA$7)),$BA$6,IF(OR(COUNTIF('1.연간시수표'!E32,$BB$9),COUNTIF('1.연간시수표'!E32,$BB$7)),$BB$6,IF(OR(COUNTIF('1.연간시수표'!E32,$BC$9),COUNTIF('1.연간시수표'!E32,$BC$7)),$BC$6,IF(OR(COUNTIF('1.연간시수표'!E32,$BF$9),COUNTIF('1.연간시수표'!E32,$BF$7),COUNTIF('1.연간시수표'!E32,$BG$9),COUNTIF('1.연간시수표'!E32,$BG$7),COUNTIF('1.연간시수표'!E32,$BH$9),COUNTIF('1.연간시수표'!E32,$BH$7),COUNTIF('1.연간시수표'!E32,$BI$9),COUNTIF('1.연간시수표'!E32,$BI$7),COUNTIF('1.연간시수표'!E32,$BJ$9),COUNTIF('1.연간시수표'!E32,$BJ$7),COUNTIF('1.연간시수표'!E32,$BK$9),COUNTIF('1.연간시수표'!E32,$BK$7),COUNTIF('1.연간시수표'!E32,$BL$9),COUNTIF('1.연간시수표'!E32,$BL$7),COUNTIF('1.연간시수표'!E32,$BM$9),COUNTIF('1.연간시수표'!E32,$BM$7)),$BF$6,IF(OR(COUNTIF('1.연간시수표'!E32,$BO$9),COUNTIF('1.연간시수표'!E32,$BO$7)),$BO$6,IF(OR(COUNTIF('1.연간시수표'!E32,$BP$9),COUNTIF('1.연간시수표'!E32,$BP$7)),$BP$6,IF(OR(COUNTIF('1.연간시수표'!E32,$BQ$9),COUNTIF('1.연간시수표'!E32,$BQ$7)),$BQ$6,IF(OR(COUNTIF('1.연간시수표'!E32,$BR$9),COUNTIF('1.연간시수표'!E32,$BR$7)),$BR$6,"_")))))))))))))))</f>
        <v>_</v>
      </c>
      <c r="F32" s="148" t="str">
        <f>IF(OR(COUNTIF('1.연간시수표'!F32,$AT$9),COUNTIF('1.연간시수표'!F32,$AT$7)),$AT$6,IF(OR(COUNTIF('1.연간시수표'!F32,$AU$9),COUNTIF('1.연간시수표'!F32,$AU$7)),$AU$6,IF(OR(COUNTIF('1.연간시수표'!F32,$AV$9),COUNTIF('1.연간시수표'!F32,$AV$7)),$AV$6,IF(OR(COUNTIF('1.연간시수표'!F32,$AW$9),COUNTIF('1.연간시수표'!F32,$AW$7)),$AW$6,IF(OR(COUNTIF('1.연간시수표'!F32,$AX$9),COUNTIF('1.연간시수표'!F32,$AX$7)),$AX$6,IF(OR(COUNTIF('1.연간시수표'!F32,$AY$9),COUNTIF('1.연간시수표'!F32,$AY$7)),$AY$6,IF(OR(COUNTIF('1.연간시수표'!F32,$AZ$9),COUNTIF('1.연간시수표'!F32,$AZ$7)),$AZ$6,IF(OR(COUNTIF('1.연간시수표'!F32,$BA$9),COUNTIF('1.연간시수표'!F32,$BA$7)),$BA$6,IF(OR(COUNTIF('1.연간시수표'!F32,$BB$9),COUNTIF('1.연간시수표'!F32,$BB$7)),$BB$6,IF(OR(COUNTIF('1.연간시수표'!F32,$BC$9),COUNTIF('1.연간시수표'!F32,$BC$7)),$BC$6,IF(OR(COUNTIF('1.연간시수표'!F32,$BF$9),COUNTIF('1.연간시수표'!F32,$BF$7),COUNTIF('1.연간시수표'!F32,$BG$9),COUNTIF('1.연간시수표'!F32,$BG$7),COUNTIF('1.연간시수표'!F32,$BH$9),COUNTIF('1.연간시수표'!F32,$BH$7),COUNTIF('1.연간시수표'!F32,$BI$9),COUNTIF('1.연간시수표'!F32,$BI$7),COUNTIF('1.연간시수표'!F32,$BJ$9),COUNTIF('1.연간시수표'!F32,$BJ$7),COUNTIF('1.연간시수표'!F32,$BK$9),COUNTIF('1.연간시수표'!F32,$BK$7),COUNTIF('1.연간시수표'!F32,$BL$9),COUNTIF('1.연간시수표'!F32,$BL$7),COUNTIF('1.연간시수표'!F32,$BM$9),COUNTIF('1.연간시수표'!F32,$BM$7)),$BF$6,IF(OR(COUNTIF('1.연간시수표'!F32,$BO$9),COUNTIF('1.연간시수표'!F32,$BO$7)),$BO$6,IF(OR(COUNTIF('1.연간시수표'!F32,$BP$9),COUNTIF('1.연간시수표'!F32,$BP$7)),$BP$6,IF(OR(COUNTIF('1.연간시수표'!F32,$BQ$9),COUNTIF('1.연간시수표'!F32,$BQ$7)),$BQ$6,IF(OR(COUNTIF('1.연간시수표'!F32,$BR$9),COUNTIF('1.연간시수표'!F32,$BR$7)),$BR$6,"_")))))))))))))))</f>
        <v>_</v>
      </c>
      <c r="G32" s="148" t="str">
        <f>IF(OR(COUNTIF('1.연간시수표'!G32,$AT$9),COUNTIF('1.연간시수표'!G32,$AT$7)),$AT$6,IF(OR(COUNTIF('1.연간시수표'!G32,$AU$9),COUNTIF('1.연간시수표'!G32,$AU$7)),$AU$6,IF(OR(COUNTIF('1.연간시수표'!G32,$AV$9),COUNTIF('1.연간시수표'!G32,$AV$7)),$AV$6,IF(OR(COUNTIF('1.연간시수표'!G32,$AW$9),COUNTIF('1.연간시수표'!G32,$AW$7)),$AW$6,IF(OR(COUNTIF('1.연간시수표'!G32,$AX$9),COUNTIF('1.연간시수표'!G32,$AX$7)),$AX$6,IF(OR(COUNTIF('1.연간시수표'!G32,$AY$9),COUNTIF('1.연간시수표'!G32,$AY$7)),$AY$6,IF(OR(COUNTIF('1.연간시수표'!G32,$AZ$9),COUNTIF('1.연간시수표'!G32,$AZ$7)),$AZ$6,IF(OR(COUNTIF('1.연간시수표'!G32,$BA$9),COUNTIF('1.연간시수표'!G32,$BA$7)),$BA$6,IF(OR(COUNTIF('1.연간시수표'!G32,$BB$9),COUNTIF('1.연간시수표'!G32,$BB$7)),$BB$6,IF(OR(COUNTIF('1.연간시수표'!G32,$BC$9),COUNTIF('1.연간시수표'!G32,$BC$7)),$BC$6,IF(OR(COUNTIF('1.연간시수표'!G32,$BF$9),COUNTIF('1.연간시수표'!G32,$BF$7),COUNTIF('1.연간시수표'!G32,$BG$9),COUNTIF('1.연간시수표'!G32,$BG$7),COUNTIF('1.연간시수표'!G32,$BH$9),COUNTIF('1.연간시수표'!G32,$BH$7),COUNTIF('1.연간시수표'!G32,$BI$9),COUNTIF('1.연간시수표'!G32,$BI$7),COUNTIF('1.연간시수표'!G32,$BJ$9),COUNTIF('1.연간시수표'!G32,$BJ$7),COUNTIF('1.연간시수표'!G32,$BK$9),COUNTIF('1.연간시수표'!G32,$BK$7),COUNTIF('1.연간시수표'!G32,$BL$9),COUNTIF('1.연간시수표'!G32,$BL$7),COUNTIF('1.연간시수표'!G32,$BM$9),COUNTIF('1.연간시수표'!G32,$BM$7)),$BF$6,IF(OR(COUNTIF('1.연간시수표'!G32,$BO$9),COUNTIF('1.연간시수표'!G32,$BO$7)),$BO$6,IF(OR(COUNTIF('1.연간시수표'!G32,$BP$9),COUNTIF('1.연간시수표'!G32,$BP$7)),$BP$6,IF(OR(COUNTIF('1.연간시수표'!G32,$BQ$9),COUNTIF('1.연간시수표'!G32,$BQ$7)),$BQ$6,IF(OR(COUNTIF('1.연간시수표'!G32,$BR$9),COUNTIF('1.연간시수표'!G32,$BR$7)),$BR$6,"_")))))))))))))))</f>
        <v>_</v>
      </c>
      <c r="H32" s="148" t="str">
        <f>IF(OR(COUNTIF('1.연간시수표'!H32,$AT$9),COUNTIF('1.연간시수표'!H32,$AT$7)),$AT$6,IF(OR(COUNTIF('1.연간시수표'!H32,$AU$9),COUNTIF('1.연간시수표'!H32,$AU$7)),$AU$6,IF(OR(COUNTIF('1.연간시수표'!H32,$AV$9),COUNTIF('1.연간시수표'!H32,$AV$7)),$AV$6,IF(OR(COUNTIF('1.연간시수표'!H32,$AW$9),COUNTIF('1.연간시수표'!H32,$AW$7)),$AW$6,IF(OR(COUNTIF('1.연간시수표'!H32,$AX$9),COUNTIF('1.연간시수표'!H32,$AX$7)),$AX$6,IF(OR(COUNTIF('1.연간시수표'!H32,$AY$9),COUNTIF('1.연간시수표'!H32,$AY$7)),$AY$6,IF(OR(COUNTIF('1.연간시수표'!H32,$AZ$9),COUNTIF('1.연간시수표'!H32,$AZ$7)),$AZ$6,IF(OR(COUNTIF('1.연간시수표'!H32,$BA$9),COUNTIF('1.연간시수표'!H32,$BA$7)),$BA$6,IF(OR(COUNTIF('1.연간시수표'!H32,$BB$9),COUNTIF('1.연간시수표'!H32,$BB$7)),$BB$6,IF(OR(COUNTIF('1.연간시수표'!H32,$BC$9),COUNTIF('1.연간시수표'!H32,$BC$7)),$BC$6,IF(OR(COUNTIF('1.연간시수표'!H32,$BF$9),COUNTIF('1.연간시수표'!H32,$BF$7),COUNTIF('1.연간시수표'!H32,$BG$9),COUNTIF('1.연간시수표'!H32,$BG$7),COUNTIF('1.연간시수표'!H32,$BH$9),COUNTIF('1.연간시수표'!H32,$BH$7),COUNTIF('1.연간시수표'!H32,$BI$9),COUNTIF('1.연간시수표'!H32,$BI$7),COUNTIF('1.연간시수표'!H32,$BJ$9),COUNTIF('1.연간시수표'!H32,$BJ$7),COUNTIF('1.연간시수표'!H32,$BK$9),COUNTIF('1.연간시수표'!H32,$BK$7),COUNTIF('1.연간시수표'!H32,$BL$9),COUNTIF('1.연간시수표'!H32,$BL$7),COUNTIF('1.연간시수표'!H32,$BM$9),COUNTIF('1.연간시수표'!H32,$BM$7)),$BF$6,IF(OR(COUNTIF('1.연간시수표'!H32,$BO$9),COUNTIF('1.연간시수표'!H32,$BO$7)),$BO$6,IF(OR(COUNTIF('1.연간시수표'!H32,$BP$9),COUNTIF('1.연간시수표'!H32,$BP$7)),$BP$6,IF(OR(COUNTIF('1.연간시수표'!H32,$BQ$9),COUNTIF('1.연간시수표'!H32,$BQ$7)),$BQ$6,IF(OR(COUNTIF('1.연간시수표'!H32,$BR$9),COUNTIF('1.연간시수표'!H32,$BR$7)),$BR$6,"_")))))))))))))))</f>
        <v>_</v>
      </c>
      <c r="I32" s="148" t="str">
        <f>IF(OR(COUNTIF('1.연간시수표'!I32,$AT$9),COUNTIF('1.연간시수표'!I32,$AT$7)),$AT$6,IF(OR(COUNTIF('1.연간시수표'!I32,$AU$9),COUNTIF('1.연간시수표'!I32,$AU$7)),$AU$6,IF(OR(COUNTIF('1.연간시수표'!I32,$AV$9),COUNTIF('1.연간시수표'!I32,$AV$7)),$AV$6,IF(OR(COUNTIF('1.연간시수표'!I32,$AW$9),COUNTIF('1.연간시수표'!I32,$AW$7)),$AW$6,IF(OR(COUNTIF('1.연간시수표'!I32,$AX$9),COUNTIF('1.연간시수표'!I32,$AX$7)),$AX$6,IF(OR(COUNTIF('1.연간시수표'!I32,$AY$9),COUNTIF('1.연간시수표'!I32,$AY$7)),$AY$6,IF(OR(COUNTIF('1.연간시수표'!I32,$AZ$9),COUNTIF('1.연간시수표'!I32,$AZ$7)),$AZ$6,IF(OR(COUNTIF('1.연간시수표'!I32,$BA$9),COUNTIF('1.연간시수표'!I32,$BA$7)),$BA$6,IF(OR(COUNTIF('1.연간시수표'!I32,$BB$9),COUNTIF('1.연간시수표'!I32,$BB$7)),$BB$6,IF(OR(COUNTIF('1.연간시수표'!I32,$BC$9),COUNTIF('1.연간시수표'!I32,$BC$7)),$BC$6,IF(OR(COUNTIF('1.연간시수표'!I32,$BF$9),COUNTIF('1.연간시수표'!I32,$BF$7),COUNTIF('1.연간시수표'!I32,$BG$9),COUNTIF('1.연간시수표'!I32,$BG$7),COUNTIF('1.연간시수표'!I32,$BH$9),COUNTIF('1.연간시수표'!I32,$BH$7),COUNTIF('1.연간시수표'!I32,$BI$9),COUNTIF('1.연간시수표'!I32,$BI$7),COUNTIF('1.연간시수표'!I32,$BJ$9),COUNTIF('1.연간시수표'!I32,$BJ$7),COUNTIF('1.연간시수표'!I32,$BK$9),COUNTIF('1.연간시수표'!I32,$BK$7),COUNTIF('1.연간시수표'!I32,$BL$9),COUNTIF('1.연간시수표'!I32,$BL$7),COUNTIF('1.연간시수표'!I32,$BM$9),COUNTIF('1.연간시수표'!I32,$BM$7)),$BF$6,IF(OR(COUNTIF('1.연간시수표'!I32,$BO$9),COUNTIF('1.연간시수표'!I32,$BO$7)),$BO$6,IF(OR(COUNTIF('1.연간시수표'!I32,$BP$9),COUNTIF('1.연간시수표'!I32,$BP$7)),$BP$6,IF(OR(COUNTIF('1.연간시수표'!I32,$BQ$9),COUNTIF('1.연간시수표'!I32,$BQ$7)),$BQ$6,IF(OR(COUNTIF('1.연간시수표'!I32,$BR$9),COUNTIF('1.연간시수표'!I32,$BR$7)),$BR$6,"_")))))))))))))))</f>
        <v>_</v>
      </c>
      <c r="J32" s="148" t="str">
        <f>IF(OR(COUNTIF('1.연간시수표'!J32,$AT$9),COUNTIF('1.연간시수표'!J32,$AT$7)),$AT$6,IF(OR(COUNTIF('1.연간시수표'!J32,$AU$9),COUNTIF('1.연간시수표'!J32,$AU$7)),$AU$6,IF(OR(COUNTIF('1.연간시수표'!J32,$AV$9),COUNTIF('1.연간시수표'!J32,$AV$7)),$AV$6,IF(OR(COUNTIF('1.연간시수표'!J32,$AW$9),COUNTIF('1.연간시수표'!J32,$AW$7)),$AW$6,IF(OR(COUNTIF('1.연간시수표'!J32,$AX$9),COUNTIF('1.연간시수표'!J32,$AX$7)),$AX$6,IF(OR(COUNTIF('1.연간시수표'!J32,$AY$9),COUNTIF('1.연간시수표'!J32,$AY$7)),$AY$6,IF(OR(COUNTIF('1.연간시수표'!J32,$AZ$9),COUNTIF('1.연간시수표'!J32,$AZ$7)),$AZ$6,IF(OR(COUNTIF('1.연간시수표'!J32,$BA$9),COUNTIF('1.연간시수표'!J32,$BA$7)),$BA$6,IF(OR(COUNTIF('1.연간시수표'!J32,$BB$9),COUNTIF('1.연간시수표'!J32,$BB$7)),$BB$6,IF(OR(COUNTIF('1.연간시수표'!J32,$BC$9),COUNTIF('1.연간시수표'!J32,$BC$7)),$BC$6,IF(OR(COUNTIF('1.연간시수표'!J32,$BF$9),COUNTIF('1.연간시수표'!J32,$BF$7),COUNTIF('1.연간시수표'!J32,$BG$9),COUNTIF('1.연간시수표'!J32,$BG$7),COUNTIF('1.연간시수표'!J32,$BH$9),COUNTIF('1.연간시수표'!J32,$BH$7),COUNTIF('1.연간시수표'!J32,$BI$9),COUNTIF('1.연간시수표'!J32,$BI$7),COUNTIF('1.연간시수표'!J32,$BJ$9),COUNTIF('1.연간시수표'!J32,$BJ$7),COUNTIF('1.연간시수표'!J32,$BK$9),COUNTIF('1.연간시수표'!J32,$BK$7),COUNTIF('1.연간시수표'!J32,$BL$9),COUNTIF('1.연간시수표'!J32,$BL$7),COUNTIF('1.연간시수표'!J32,$BM$9),COUNTIF('1.연간시수표'!J32,$BM$7)),$BF$6,IF(OR(COUNTIF('1.연간시수표'!J32,$BO$9),COUNTIF('1.연간시수표'!J32,$BO$7)),$BO$6,IF(OR(COUNTIF('1.연간시수표'!J32,$BP$9),COUNTIF('1.연간시수표'!J32,$BP$7)),$BP$6,IF(OR(COUNTIF('1.연간시수표'!J32,$BQ$9),COUNTIF('1.연간시수표'!J32,$BQ$7)),$BQ$6,IF(OR(COUNTIF('1.연간시수표'!J32,$BR$9),COUNTIF('1.연간시수표'!J32,$BR$7)),$BR$6,"_")))))))))))))))</f>
        <v>_</v>
      </c>
      <c r="K32" s="148" t="str">
        <f>IF(OR(COUNTIF('1.연간시수표'!K32,$AT$9),COUNTIF('1.연간시수표'!K32,$AT$7)),$AT$6,IF(OR(COUNTIF('1.연간시수표'!K32,$AU$9),COUNTIF('1.연간시수표'!K32,$AU$7)),$AU$6,IF(OR(COUNTIF('1.연간시수표'!K32,$AV$9),COUNTIF('1.연간시수표'!K32,$AV$7)),$AV$6,IF(OR(COUNTIF('1.연간시수표'!K32,$AW$9),COUNTIF('1.연간시수표'!K32,$AW$7)),$AW$6,IF(OR(COUNTIF('1.연간시수표'!K32,$AX$9),COUNTIF('1.연간시수표'!K32,$AX$7)),$AX$6,IF(OR(COUNTIF('1.연간시수표'!K32,$AY$9),COUNTIF('1.연간시수표'!K32,$AY$7)),$AY$6,IF(OR(COUNTIF('1.연간시수표'!K32,$AZ$9),COUNTIF('1.연간시수표'!K32,$AZ$7)),$AZ$6,IF(OR(COUNTIF('1.연간시수표'!K32,$BA$9),COUNTIF('1.연간시수표'!K32,$BA$7)),$BA$6,IF(OR(COUNTIF('1.연간시수표'!K32,$BB$9),COUNTIF('1.연간시수표'!K32,$BB$7)),$BB$6,IF(OR(COUNTIF('1.연간시수표'!K32,$BC$9),COUNTIF('1.연간시수표'!K32,$BC$7)),$BC$6,IF(OR(COUNTIF('1.연간시수표'!K32,$BF$9),COUNTIF('1.연간시수표'!K32,$BF$7),COUNTIF('1.연간시수표'!K32,$BG$9),COUNTIF('1.연간시수표'!K32,$BG$7),COUNTIF('1.연간시수표'!K32,$BH$9),COUNTIF('1.연간시수표'!K32,$BH$7),COUNTIF('1.연간시수표'!K32,$BI$9),COUNTIF('1.연간시수표'!K32,$BI$7),COUNTIF('1.연간시수표'!K32,$BJ$9),COUNTIF('1.연간시수표'!K32,$BJ$7),COUNTIF('1.연간시수표'!K32,$BK$9),COUNTIF('1.연간시수표'!K32,$BK$7),COUNTIF('1.연간시수표'!K32,$BL$9),COUNTIF('1.연간시수표'!K32,$BL$7),COUNTIF('1.연간시수표'!K32,$BM$9),COUNTIF('1.연간시수표'!K32,$BM$7)),$BF$6,IF(OR(COUNTIF('1.연간시수표'!K32,$BO$9),COUNTIF('1.연간시수표'!K32,$BO$7)),$BO$6,IF(OR(COUNTIF('1.연간시수표'!K32,$BP$9),COUNTIF('1.연간시수표'!K32,$BP$7)),$BP$6,IF(OR(COUNTIF('1.연간시수표'!K32,$BQ$9),COUNTIF('1.연간시수표'!K32,$BQ$7)),$BQ$6,IF(OR(COUNTIF('1.연간시수표'!K32,$BR$9),COUNTIF('1.연간시수표'!K32,$BR$7)),$BR$6,"_")))))))))))))))</f>
        <v>_</v>
      </c>
      <c r="L32" s="148" t="str">
        <f>IF(OR(COUNTIF('1.연간시수표'!L32,$AT$9),COUNTIF('1.연간시수표'!L32,$AT$7)),$AT$6,IF(OR(COUNTIF('1.연간시수표'!L32,$AU$9),COUNTIF('1.연간시수표'!L32,$AU$7)),$AU$6,IF(OR(COUNTIF('1.연간시수표'!L32,$AV$9),COUNTIF('1.연간시수표'!L32,$AV$7)),$AV$6,IF(OR(COUNTIF('1.연간시수표'!L32,$AW$9),COUNTIF('1.연간시수표'!L32,$AW$7)),$AW$6,IF(OR(COUNTIF('1.연간시수표'!L32,$AX$9),COUNTIF('1.연간시수표'!L32,$AX$7)),$AX$6,IF(OR(COUNTIF('1.연간시수표'!L32,$AY$9),COUNTIF('1.연간시수표'!L32,$AY$7)),$AY$6,IF(OR(COUNTIF('1.연간시수표'!L32,$AZ$9),COUNTIF('1.연간시수표'!L32,$AZ$7)),$AZ$6,IF(OR(COUNTIF('1.연간시수표'!L32,$BA$9),COUNTIF('1.연간시수표'!L32,$BA$7)),$BA$6,IF(OR(COUNTIF('1.연간시수표'!L32,$BB$9),COUNTIF('1.연간시수표'!L32,$BB$7)),$BB$6,IF(OR(COUNTIF('1.연간시수표'!L32,$BC$9),COUNTIF('1.연간시수표'!L32,$BC$7)),$BC$6,IF(OR(COUNTIF('1.연간시수표'!L32,$BF$9),COUNTIF('1.연간시수표'!L32,$BF$7),COUNTIF('1.연간시수표'!L32,$BG$9),COUNTIF('1.연간시수표'!L32,$BG$7),COUNTIF('1.연간시수표'!L32,$BH$9),COUNTIF('1.연간시수표'!L32,$BH$7),COUNTIF('1.연간시수표'!L32,$BI$9),COUNTIF('1.연간시수표'!L32,$BI$7),COUNTIF('1.연간시수표'!L32,$BJ$9),COUNTIF('1.연간시수표'!L32,$BJ$7),COUNTIF('1.연간시수표'!L32,$BK$9),COUNTIF('1.연간시수표'!L32,$BK$7),COUNTIF('1.연간시수표'!L32,$BL$9),COUNTIF('1.연간시수표'!L32,$BL$7),COUNTIF('1.연간시수표'!L32,$BM$9),COUNTIF('1.연간시수표'!L32,$BM$7)),$BF$6,IF(OR(COUNTIF('1.연간시수표'!L32,$BO$9),COUNTIF('1.연간시수표'!L32,$BO$7)),$BO$6,IF(OR(COUNTIF('1.연간시수표'!L32,$BP$9),COUNTIF('1.연간시수표'!L32,$BP$7)),$BP$6,IF(OR(COUNTIF('1.연간시수표'!L32,$BQ$9),COUNTIF('1.연간시수표'!L32,$BQ$7)),$BQ$6,IF(OR(COUNTIF('1.연간시수표'!L32,$BR$9),COUNTIF('1.연간시수표'!L32,$BR$7)),$BR$6,"_")))))))))))))))</f>
        <v>_</v>
      </c>
      <c r="M32" s="148" t="str">
        <f>IF(OR(COUNTIF('1.연간시수표'!M32,$AT$9),COUNTIF('1.연간시수표'!M32,$AT$7)),$AT$6,IF(OR(COUNTIF('1.연간시수표'!M32,$AU$9),COUNTIF('1.연간시수표'!M32,$AU$7)),$AU$6,IF(OR(COUNTIF('1.연간시수표'!M32,$AV$9),COUNTIF('1.연간시수표'!M32,$AV$7)),$AV$6,IF(OR(COUNTIF('1.연간시수표'!M32,$AW$9),COUNTIF('1.연간시수표'!M32,$AW$7)),$AW$6,IF(OR(COUNTIF('1.연간시수표'!M32,$AX$9),COUNTIF('1.연간시수표'!M32,$AX$7)),$AX$6,IF(OR(COUNTIF('1.연간시수표'!M32,$AY$9),COUNTIF('1.연간시수표'!M32,$AY$7)),$AY$6,IF(OR(COUNTIF('1.연간시수표'!M32,$AZ$9),COUNTIF('1.연간시수표'!M32,$AZ$7)),$AZ$6,IF(OR(COUNTIF('1.연간시수표'!M32,$BA$9),COUNTIF('1.연간시수표'!M32,$BA$7)),$BA$6,IF(OR(COUNTIF('1.연간시수표'!M32,$BB$9),COUNTIF('1.연간시수표'!M32,$BB$7)),$BB$6,IF(OR(COUNTIF('1.연간시수표'!M32,$BC$9),COUNTIF('1.연간시수표'!M32,$BC$7)),$BC$6,IF(OR(COUNTIF('1.연간시수표'!M32,$BF$9),COUNTIF('1.연간시수표'!M32,$BF$7),COUNTIF('1.연간시수표'!M32,$BG$9),COUNTIF('1.연간시수표'!M32,$BG$7),COUNTIF('1.연간시수표'!M32,$BH$9),COUNTIF('1.연간시수표'!M32,$BH$7),COUNTIF('1.연간시수표'!M32,$BI$9),COUNTIF('1.연간시수표'!M32,$BI$7),COUNTIF('1.연간시수표'!M32,$BJ$9),COUNTIF('1.연간시수표'!M32,$BJ$7),COUNTIF('1.연간시수표'!M32,$BK$9),COUNTIF('1.연간시수표'!M32,$BK$7),COUNTIF('1.연간시수표'!M32,$BL$9),COUNTIF('1.연간시수표'!M32,$BL$7),COUNTIF('1.연간시수표'!M32,$BM$9),COUNTIF('1.연간시수표'!M32,$BM$7)),$BF$6,IF(OR(COUNTIF('1.연간시수표'!M32,$BO$9),COUNTIF('1.연간시수표'!M32,$BO$7)),$BO$6,IF(OR(COUNTIF('1.연간시수표'!M32,$BP$9),COUNTIF('1.연간시수표'!M32,$BP$7)),$BP$6,IF(OR(COUNTIF('1.연간시수표'!M32,$BQ$9),COUNTIF('1.연간시수표'!M32,$BQ$7)),$BQ$6,IF(OR(COUNTIF('1.연간시수표'!M32,$BR$9),COUNTIF('1.연간시수표'!M32,$BR$7)),$BR$6,"_")))))))))))))))</f>
        <v>_</v>
      </c>
      <c r="N32" s="148" t="str">
        <f>IF(OR(COUNTIF('1.연간시수표'!N32,$AT$9),COUNTIF('1.연간시수표'!N32,$AT$7)),$AT$6,IF(OR(COUNTIF('1.연간시수표'!N32,$AU$9),COUNTIF('1.연간시수표'!N32,$AU$7)),$AU$6,IF(OR(COUNTIF('1.연간시수표'!N32,$AV$9),COUNTIF('1.연간시수표'!N32,$AV$7)),$AV$6,IF(OR(COUNTIF('1.연간시수표'!N32,$AW$9),COUNTIF('1.연간시수표'!N32,$AW$7)),$AW$6,IF(OR(COUNTIF('1.연간시수표'!N32,$AX$9),COUNTIF('1.연간시수표'!N32,$AX$7)),$AX$6,IF(OR(COUNTIF('1.연간시수표'!N32,$AY$9),COUNTIF('1.연간시수표'!N32,$AY$7)),$AY$6,IF(OR(COUNTIF('1.연간시수표'!N32,$AZ$9),COUNTIF('1.연간시수표'!N32,$AZ$7)),$AZ$6,IF(OR(COUNTIF('1.연간시수표'!N32,$BA$9),COUNTIF('1.연간시수표'!N32,$BA$7)),$BA$6,IF(OR(COUNTIF('1.연간시수표'!N32,$BB$9),COUNTIF('1.연간시수표'!N32,$BB$7)),$BB$6,IF(OR(COUNTIF('1.연간시수표'!N32,$BC$9),COUNTIF('1.연간시수표'!N32,$BC$7)),$BC$6,IF(OR(COUNTIF('1.연간시수표'!N32,$BF$9),COUNTIF('1.연간시수표'!N32,$BF$7),COUNTIF('1.연간시수표'!N32,$BG$9),COUNTIF('1.연간시수표'!N32,$BG$7),COUNTIF('1.연간시수표'!N32,$BH$9),COUNTIF('1.연간시수표'!N32,$BH$7),COUNTIF('1.연간시수표'!N32,$BI$9),COUNTIF('1.연간시수표'!N32,$BI$7),COUNTIF('1.연간시수표'!N32,$BJ$9),COUNTIF('1.연간시수표'!N32,$BJ$7),COUNTIF('1.연간시수표'!N32,$BK$9),COUNTIF('1.연간시수표'!N32,$BK$7),COUNTIF('1.연간시수표'!N32,$BL$9),COUNTIF('1.연간시수표'!N32,$BL$7),COUNTIF('1.연간시수표'!N32,$BM$9),COUNTIF('1.연간시수표'!N32,$BM$7)),$BF$6,IF(OR(COUNTIF('1.연간시수표'!N32,$BO$9),COUNTIF('1.연간시수표'!N32,$BO$7)),$BO$6,IF(OR(COUNTIF('1.연간시수표'!N32,$BP$9),COUNTIF('1.연간시수표'!N32,$BP$7)),$BP$6,IF(OR(COUNTIF('1.연간시수표'!N32,$BQ$9),COUNTIF('1.연간시수표'!N32,$BQ$7)),$BQ$6,IF(OR(COUNTIF('1.연간시수표'!N32,$BR$9),COUNTIF('1.연간시수표'!N32,$BR$7)),$BR$6,"_")))))))))))))))</f>
        <v>_</v>
      </c>
      <c r="O32" s="148" t="str">
        <f>IF(OR(COUNTIF('1.연간시수표'!O32,$AT$9),COUNTIF('1.연간시수표'!O32,$AT$7)),$AT$6,IF(OR(COUNTIF('1.연간시수표'!O32,$AU$9),COUNTIF('1.연간시수표'!O32,$AU$7)),$AU$6,IF(OR(COUNTIF('1.연간시수표'!O32,$AV$9),COUNTIF('1.연간시수표'!O32,$AV$7)),$AV$6,IF(OR(COUNTIF('1.연간시수표'!O32,$AW$9),COUNTIF('1.연간시수표'!O32,$AW$7)),$AW$6,IF(OR(COUNTIF('1.연간시수표'!O32,$AX$9),COUNTIF('1.연간시수표'!O32,$AX$7)),$AX$6,IF(OR(COUNTIF('1.연간시수표'!O32,$AY$9),COUNTIF('1.연간시수표'!O32,$AY$7)),$AY$6,IF(OR(COUNTIF('1.연간시수표'!O32,$AZ$9),COUNTIF('1.연간시수표'!O32,$AZ$7)),$AZ$6,IF(OR(COUNTIF('1.연간시수표'!O32,$BA$9),COUNTIF('1.연간시수표'!O32,$BA$7)),$BA$6,IF(OR(COUNTIF('1.연간시수표'!O32,$BB$9),COUNTIF('1.연간시수표'!O32,$BB$7)),$BB$6,IF(OR(COUNTIF('1.연간시수표'!O32,$BC$9),COUNTIF('1.연간시수표'!O32,$BC$7)),$BC$6,IF(OR(COUNTIF('1.연간시수표'!O32,$BF$9),COUNTIF('1.연간시수표'!O32,$BF$7),COUNTIF('1.연간시수표'!O32,$BG$9),COUNTIF('1.연간시수표'!O32,$BG$7),COUNTIF('1.연간시수표'!O32,$BH$9),COUNTIF('1.연간시수표'!O32,$BH$7),COUNTIF('1.연간시수표'!O32,$BI$9),COUNTIF('1.연간시수표'!O32,$BI$7),COUNTIF('1.연간시수표'!O32,$BJ$9),COUNTIF('1.연간시수표'!O32,$BJ$7),COUNTIF('1.연간시수표'!O32,$BK$9),COUNTIF('1.연간시수표'!O32,$BK$7),COUNTIF('1.연간시수표'!O32,$BL$9),COUNTIF('1.연간시수표'!O32,$BL$7),COUNTIF('1.연간시수표'!O32,$BM$9),COUNTIF('1.연간시수표'!O32,$BM$7)),$BF$6,IF(OR(COUNTIF('1.연간시수표'!O32,$BO$9),COUNTIF('1.연간시수표'!O32,$BO$7)),$BO$6,IF(OR(COUNTIF('1.연간시수표'!O32,$BP$9),COUNTIF('1.연간시수표'!O32,$BP$7)),$BP$6,IF(OR(COUNTIF('1.연간시수표'!O32,$BQ$9),COUNTIF('1.연간시수표'!O32,$BQ$7)),$BQ$6,IF(OR(COUNTIF('1.연간시수표'!O32,$BR$9),COUNTIF('1.연간시수표'!O32,$BR$7)),$BR$6,"_")))))))))))))))</f>
        <v>_</v>
      </c>
      <c r="P32" s="148" t="str">
        <f>IF(OR(COUNTIF('1.연간시수표'!P32,$AT$9),COUNTIF('1.연간시수표'!P32,$AT$7)),$AT$6,IF(OR(COUNTIF('1.연간시수표'!P32,$AU$9),COUNTIF('1.연간시수표'!P32,$AU$7)),$AU$6,IF(OR(COUNTIF('1.연간시수표'!P32,$AV$9),COUNTIF('1.연간시수표'!P32,$AV$7)),$AV$6,IF(OR(COUNTIF('1.연간시수표'!P32,$AW$9),COUNTIF('1.연간시수표'!P32,$AW$7)),$AW$6,IF(OR(COUNTIF('1.연간시수표'!P32,$AX$9),COUNTIF('1.연간시수표'!P32,$AX$7)),$AX$6,IF(OR(COUNTIF('1.연간시수표'!P32,$AY$9),COUNTIF('1.연간시수표'!P32,$AY$7)),$AY$6,IF(OR(COUNTIF('1.연간시수표'!P32,$AZ$9),COUNTIF('1.연간시수표'!P32,$AZ$7)),$AZ$6,IF(OR(COUNTIF('1.연간시수표'!P32,$BA$9),COUNTIF('1.연간시수표'!P32,$BA$7)),$BA$6,IF(OR(COUNTIF('1.연간시수표'!P32,$BB$9),COUNTIF('1.연간시수표'!P32,$BB$7)),$BB$6,IF(OR(COUNTIF('1.연간시수표'!P32,$BC$9),COUNTIF('1.연간시수표'!P32,$BC$7)),$BC$6,IF(OR(COUNTIF('1.연간시수표'!P32,$BF$9),COUNTIF('1.연간시수표'!P32,$BF$7),COUNTIF('1.연간시수표'!P32,$BG$9),COUNTIF('1.연간시수표'!P32,$BG$7),COUNTIF('1.연간시수표'!P32,$BH$9),COUNTIF('1.연간시수표'!P32,$BH$7),COUNTIF('1.연간시수표'!P32,$BI$9),COUNTIF('1.연간시수표'!P32,$BI$7),COUNTIF('1.연간시수표'!P32,$BJ$9),COUNTIF('1.연간시수표'!P32,$BJ$7),COUNTIF('1.연간시수표'!P32,$BK$9),COUNTIF('1.연간시수표'!P32,$BK$7),COUNTIF('1.연간시수표'!P32,$BL$9),COUNTIF('1.연간시수표'!P32,$BL$7),COUNTIF('1.연간시수표'!P32,$BM$9),COUNTIF('1.연간시수표'!P32,$BM$7)),$BF$6,IF(OR(COUNTIF('1.연간시수표'!P32,$BO$9),COUNTIF('1.연간시수표'!P32,$BO$7)),$BO$6,IF(OR(COUNTIF('1.연간시수표'!P32,$BP$9),COUNTIF('1.연간시수표'!P32,$BP$7)),$BP$6,IF(OR(COUNTIF('1.연간시수표'!P32,$BQ$9),COUNTIF('1.연간시수표'!P32,$BQ$7)),$BQ$6,IF(OR(COUNTIF('1.연간시수표'!P32,$BR$9),COUNTIF('1.연간시수표'!P32,$BR$7)),$BR$6,"_")))))))))))))))</f>
        <v>_</v>
      </c>
      <c r="Q32" s="148" t="str">
        <f>IF(OR(COUNTIF('1.연간시수표'!Q32,$AT$9),COUNTIF('1.연간시수표'!Q32,$AT$7)),$AT$6,IF(OR(COUNTIF('1.연간시수표'!Q32,$AU$9),COUNTIF('1.연간시수표'!Q32,$AU$7)),$AU$6,IF(OR(COUNTIF('1.연간시수표'!Q32,$AV$9),COUNTIF('1.연간시수표'!Q32,$AV$7)),$AV$6,IF(OR(COUNTIF('1.연간시수표'!Q32,$AW$9),COUNTIF('1.연간시수표'!Q32,$AW$7)),$AW$6,IF(OR(COUNTIF('1.연간시수표'!Q32,$AX$9),COUNTIF('1.연간시수표'!Q32,$AX$7)),$AX$6,IF(OR(COUNTIF('1.연간시수표'!Q32,$AY$9),COUNTIF('1.연간시수표'!Q32,$AY$7)),$AY$6,IF(OR(COUNTIF('1.연간시수표'!Q32,$AZ$9),COUNTIF('1.연간시수표'!Q32,$AZ$7)),$AZ$6,IF(OR(COUNTIF('1.연간시수표'!Q32,$BA$9),COUNTIF('1.연간시수표'!Q32,$BA$7)),$BA$6,IF(OR(COUNTIF('1.연간시수표'!Q32,$BB$9),COUNTIF('1.연간시수표'!Q32,$BB$7)),$BB$6,IF(OR(COUNTIF('1.연간시수표'!Q32,$BC$9),COUNTIF('1.연간시수표'!Q32,$BC$7)),$BC$6,IF(OR(COUNTIF('1.연간시수표'!Q32,$BF$9),COUNTIF('1.연간시수표'!Q32,$BF$7),COUNTIF('1.연간시수표'!Q32,$BG$9),COUNTIF('1.연간시수표'!Q32,$BG$7),COUNTIF('1.연간시수표'!Q32,$BH$9),COUNTIF('1.연간시수표'!Q32,$BH$7),COUNTIF('1.연간시수표'!Q32,$BI$9),COUNTIF('1.연간시수표'!Q32,$BI$7),COUNTIF('1.연간시수표'!Q32,$BJ$9),COUNTIF('1.연간시수표'!Q32,$BJ$7),COUNTIF('1.연간시수표'!Q32,$BK$9),COUNTIF('1.연간시수표'!Q32,$BK$7),COUNTIF('1.연간시수표'!Q32,$BL$9),COUNTIF('1.연간시수표'!Q32,$BL$7),COUNTIF('1.연간시수표'!Q32,$BM$9),COUNTIF('1.연간시수표'!Q32,$BM$7)),$BF$6,IF(OR(COUNTIF('1.연간시수표'!Q32,$BO$9),COUNTIF('1.연간시수표'!Q32,$BO$7)),$BO$6,IF(OR(COUNTIF('1.연간시수표'!Q32,$BP$9),COUNTIF('1.연간시수표'!Q32,$BP$7)),$BP$6,IF(OR(COUNTIF('1.연간시수표'!Q32,$BQ$9),COUNTIF('1.연간시수표'!Q32,$BQ$7)),$BQ$6,IF(OR(COUNTIF('1.연간시수표'!Q32,$BR$9),COUNTIF('1.연간시수표'!Q32,$BR$7)),$BR$6,"_")))))))))))))))</f>
        <v>_</v>
      </c>
      <c r="R32" s="148" t="str">
        <f>IF(OR(COUNTIF('1.연간시수표'!R32,$AT$9),COUNTIF('1.연간시수표'!R32,$AT$7)),$AT$6,IF(OR(COUNTIF('1.연간시수표'!R32,$AU$9),COUNTIF('1.연간시수표'!R32,$AU$7)),$AU$6,IF(OR(COUNTIF('1.연간시수표'!R32,$AV$9),COUNTIF('1.연간시수표'!R32,$AV$7)),$AV$6,IF(OR(COUNTIF('1.연간시수표'!R32,$AW$9),COUNTIF('1.연간시수표'!R32,$AW$7)),$AW$6,IF(OR(COUNTIF('1.연간시수표'!R32,$AX$9),COUNTIF('1.연간시수표'!R32,$AX$7)),$AX$6,IF(OR(COUNTIF('1.연간시수표'!R32,$AY$9),COUNTIF('1.연간시수표'!R32,$AY$7)),$AY$6,IF(OR(COUNTIF('1.연간시수표'!R32,$AZ$9),COUNTIF('1.연간시수표'!R32,$AZ$7)),$AZ$6,IF(OR(COUNTIF('1.연간시수표'!R32,$BA$9),COUNTIF('1.연간시수표'!R32,$BA$7)),$BA$6,IF(OR(COUNTIF('1.연간시수표'!R32,$BB$9),COUNTIF('1.연간시수표'!R32,$BB$7)),$BB$6,IF(OR(COUNTIF('1.연간시수표'!R32,$BC$9),COUNTIF('1.연간시수표'!R32,$BC$7)),$BC$6,IF(OR(COUNTIF('1.연간시수표'!R32,$BF$9),COUNTIF('1.연간시수표'!R32,$BF$7),COUNTIF('1.연간시수표'!R32,$BG$9),COUNTIF('1.연간시수표'!R32,$BG$7),COUNTIF('1.연간시수표'!R32,$BH$9),COUNTIF('1.연간시수표'!R32,$BH$7),COUNTIF('1.연간시수표'!R32,$BI$9),COUNTIF('1.연간시수표'!R32,$BI$7),COUNTIF('1.연간시수표'!R32,$BJ$9),COUNTIF('1.연간시수표'!R32,$BJ$7),COUNTIF('1.연간시수표'!R32,$BK$9),COUNTIF('1.연간시수표'!R32,$BK$7),COUNTIF('1.연간시수표'!R32,$BL$9),COUNTIF('1.연간시수표'!R32,$BL$7),COUNTIF('1.연간시수표'!R32,$BM$9),COUNTIF('1.연간시수표'!R32,$BM$7)),$BF$6,IF(OR(COUNTIF('1.연간시수표'!R32,$BO$9),COUNTIF('1.연간시수표'!R32,$BO$7)),$BO$6,IF(OR(COUNTIF('1.연간시수표'!R32,$BP$9),COUNTIF('1.연간시수표'!R32,$BP$7)),$BP$6,IF(OR(COUNTIF('1.연간시수표'!R32,$BQ$9),COUNTIF('1.연간시수표'!R32,$BQ$7)),$BQ$6,IF(OR(COUNTIF('1.연간시수표'!R32,$BR$9),COUNTIF('1.연간시수표'!R32,$BR$7)),$BR$6,"_")))))))))))))))</f>
        <v>_</v>
      </c>
      <c r="S32" s="148" t="str">
        <f>IF(OR(COUNTIF('1.연간시수표'!S32,$AT$9),COUNTIF('1.연간시수표'!S32,$AT$7)),$AT$6,IF(OR(COUNTIF('1.연간시수표'!S32,$AU$9),COUNTIF('1.연간시수표'!S32,$AU$7)),$AU$6,IF(OR(COUNTIF('1.연간시수표'!S32,$AV$9),COUNTIF('1.연간시수표'!S32,$AV$7)),$AV$6,IF(OR(COUNTIF('1.연간시수표'!S32,$AW$9),COUNTIF('1.연간시수표'!S32,$AW$7)),$AW$6,IF(OR(COUNTIF('1.연간시수표'!S32,$AX$9),COUNTIF('1.연간시수표'!S32,$AX$7)),$AX$6,IF(OR(COUNTIF('1.연간시수표'!S32,$AY$9),COUNTIF('1.연간시수표'!S32,$AY$7)),$AY$6,IF(OR(COUNTIF('1.연간시수표'!S32,$AZ$9),COUNTIF('1.연간시수표'!S32,$AZ$7)),$AZ$6,IF(OR(COUNTIF('1.연간시수표'!S32,$BA$9),COUNTIF('1.연간시수표'!S32,$BA$7)),$BA$6,IF(OR(COUNTIF('1.연간시수표'!S32,$BB$9),COUNTIF('1.연간시수표'!S32,$BB$7)),$BB$6,IF(OR(COUNTIF('1.연간시수표'!S32,$BC$9),COUNTIF('1.연간시수표'!S32,$BC$7)),$BC$6,IF(OR(COUNTIF('1.연간시수표'!S32,$BF$9),COUNTIF('1.연간시수표'!S32,$BF$7),COUNTIF('1.연간시수표'!S32,$BG$9),COUNTIF('1.연간시수표'!S32,$BG$7),COUNTIF('1.연간시수표'!S32,$BH$9),COUNTIF('1.연간시수표'!S32,$BH$7),COUNTIF('1.연간시수표'!S32,$BI$9),COUNTIF('1.연간시수표'!S32,$BI$7),COUNTIF('1.연간시수표'!S32,$BJ$9),COUNTIF('1.연간시수표'!S32,$BJ$7),COUNTIF('1.연간시수표'!S32,$BK$9),COUNTIF('1.연간시수표'!S32,$BK$7),COUNTIF('1.연간시수표'!S32,$BL$9),COUNTIF('1.연간시수표'!S32,$BL$7),COUNTIF('1.연간시수표'!S32,$BM$9),COUNTIF('1.연간시수표'!S32,$BM$7)),$BF$6,IF(OR(COUNTIF('1.연간시수표'!S32,$BO$9),COUNTIF('1.연간시수표'!S32,$BO$7)),$BO$6,IF(OR(COUNTIF('1.연간시수표'!S32,$BP$9),COUNTIF('1.연간시수표'!S32,$BP$7)),$BP$6,IF(OR(COUNTIF('1.연간시수표'!S32,$BQ$9),COUNTIF('1.연간시수표'!S32,$BQ$7)),$BQ$6,IF(OR(COUNTIF('1.연간시수표'!S32,$BR$9),COUNTIF('1.연간시수표'!S32,$BR$7)),$BR$6,"_")))))))))))))))</f>
        <v>_</v>
      </c>
      <c r="T32" s="148" t="str">
        <f>IF(OR(COUNTIF('1.연간시수표'!T32,$AT$9),COUNTIF('1.연간시수표'!T32,$AT$7)),$AT$6,IF(OR(COUNTIF('1.연간시수표'!T32,$AU$9),COUNTIF('1.연간시수표'!T32,$AU$7)),$AU$6,IF(OR(COUNTIF('1.연간시수표'!T32,$AV$9),COUNTIF('1.연간시수표'!T32,$AV$7)),$AV$6,IF(OR(COUNTIF('1.연간시수표'!T32,$AW$9),COUNTIF('1.연간시수표'!T32,$AW$7)),$AW$6,IF(OR(COUNTIF('1.연간시수표'!T32,$AX$9),COUNTIF('1.연간시수표'!T32,$AX$7)),$AX$6,IF(OR(COUNTIF('1.연간시수표'!T32,$AY$9),COUNTIF('1.연간시수표'!T32,$AY$7)),$AY$6,IF(OR(COUNTIF('1.연간시수표'!T32,$AZ$9),COUNTIF('1.연간시수표'!T32,$AZ$7)),$AZ$6,IF(OR(COUNTIF('1.연간시수표'!T32,$BA$9),COUNTIF('1.연간시수표'!T32,$BA$7)),$BA$6,IF(OR(COUNTIF('1.연간시수표'!T32,$BB$9),COUNTIF('1.연간시수표'!T32,$BB$7)),$BB$6,IF(OR(COUNTIF('1.연간시수표'!T32,$BC$9),COUNTIF('1.연간시수표'!T32,$BC$7)),$BC$6,IF(OR(COUNTIF('1.연간시수표'!T32,$BF$9),COUNTIF('1.연간시수표'!T32,$BF$7),COUNTIF('1.연간시수표'!T32,$BG$9),COUNTIF('1.연간시수표'!T32,$BG$7),COUNTIF('1.연간시수표'!T32,$BH$9),COUNTIF('1.연간시수표'!T32,$BH$7),COUNTIF('1.연간시수표'!T32,$BI$9),COUNTIF('1.연간시수표'!T32,$BI$7),COUNTIF('1.연간시수표'!T32,$BJ$9),COUNTIF('1.연간시수표'!T32,$BJ$7),COUNTIF('1.연간시수표'!T32,$BK$9),COUNTIF('1.연간시수표'!T32,$BK$7),COUNTIF('1.연간시수표'!T32,$BL$9),COUNTIF('1.연간시수표'!T32,$BL$7),COUNTIF('1.연간시수표'!T32,$BM$9),COUNTIF('1.연간시수표'!T32,$BM$7)),$BF$6,IF(OR(COUNTIF('1.연간시수표'!T32,$BO$9),COUNTIF('1.연간시수표'!T32,$BO$7)),$BO$6,IF(OR(COUNTIF('1.연간시수표'!T32,$BP$9),COUNTIF('1.연간시수표'!T32,$BP$7)),$BP$6,IF(OR(COUNTIF('1.연간시수표'!T32,$BQ$9),COUNTIF('1.연간시수표'!T32,$BQ$7)),$BQ$6,IF(OR(COUNTIF('1.연간시수표'!T32,$BR$9),COUNTIF('1.연간시수표'!T32,$BR$7)),$BR$6,"_")))))))))))))))</f>
        <v>_</v>
      </c>
      <c r="U32" s="148" t="str">
        <f>IF(OR(COUNTIF('1.연간시수표'!U32,$AT$9),COUNTIF('1.연간시수표'!U32,$AT$7)),$AT$6,IF(OR(COUNTIF('1.연간시수표'!U32,$AU$9),COUNTIF('1.연간시수표'!U32,$AU$7)),$AU$6,IF(OR(COUNTIF('1.연간시수표'!U32,$AV$9),COUNTIF('1.연간시수표'!U32,$AV$7)),$AV$6,IF(OR(COUNTIF('1.연간시수표'!U32,$AW$9),COUNTIF('1.연간시수표'!U32,$AW$7)),$AW$6,IF(OR(COUNTIF('1.연간시수표'!U32,$AX$9),COUNTIF('1.연간시수표'!U32,$AX$7)),$AX$6,IF(OR(COUNTIF('1.연간시수표'!U32,$AY$9),COUNTIF('1.연간시수표'!U32,$AY$7)),$AY$6,IF(OR(COUNTIF('1.연간시수표'!U32,$AZ$9),COUNTIF('1.연간시수표'!U32,$AZ$7)),$AZ$6,IF(OR(COUNTIF('1.연간시수표'!U32,$BA$9),COUNTIF('1.연간시수표'!U32,$BA$7)),$BA$6,IF(OR(COUNTIF('1.연간시수표'!U32,$BB$9),COUNTIF('1.연간시수표'!U32,$BB$7)),$BB$6,IF(OR(COUNTIF('1.연간시수표'!U32,$BC$9),COUNTIF('1.연간시수표'!U32,$BC$7)),$BC$6,IF(OR(COUNTIF('1.연간시수표'!U32,$BF$9),COUNTIF('1.연간시수표'!U32,$BF$7),COUNTIF('1.연간시수표'!U32,$BG$9),COUNTIF('1.연간시수표'!U32,$BG$7),COUNTIF('1.연간시수표'!U32,$BH$9),COUNTIF('1.연간시수표'!U32,$BH$7),COUNTIF('1.연간시수표'!U32,$BI$9),COUNTIF('1.연간시수표'!U32,$BI$7),COUNTIF('1.연간시수표'!U32,$BJ$9),COUNTIF('1.연간시수표'!U32,$BJ$7),COUNTIF('1.연간시수표'!U32,$BK$9),COUNTIF('1.연간시수표'!U32,$BK$7),COUNTIF('1.연간시수표'!U32,$BL$9),COUNTIF('1.연간시수표'!U32,$BL$7),COUNTIF('1.연간시수표'!U32,$BM$9),COUNTIF('1.연간시수표'!U32,$BM$7)),$BF$6,IF(OR(COUNTIF('1.연간시수표'!U32,$BO$9),COUNTIF('1.연간시수표'!U32,$BO$7)),$BO$6,IF(OR(COUNTIF('1.연간시수표'!U32,$BP$9),COUNTIF('1.연간시수표'!U32,$BP$7)),$BP$6,IF(OR(COUNTIF('1.연간시수표'!U32,$BQ$9),COUNTIF('1.연간시수표'!U32,$BQ$7)),$BQ$6,IF(OR(COUNTIF('1.연간시수표'!U32,$BR$9),COUNTIF('1.연간시수표'!U32,$BR$7)),$BR$6,"_")))))))))))))))</f>
        <v>_</v>
      </c>
      <c r="V32" s="148" t="str">
        <f>IF(OR(COUNTIF('1.연간시수표'!V32,$AT$9),COUNTIF('1.연간시수표'!V32,$AT$7)),$AT$6,IF(OR(COUNTIF('1.연간시수표'!V32,$AU$9),COUNTIF('1.연간시수표'!V32,$AU$7)),$AU$6,IF(OR(COUNTIF('1.연간시수표'!V32,$AV$9),COUNTIF('1.연간시수표'!V32,$AV$7)),$AV$6,IF(OR(COUNTIF('1.연간시수표'!V32,$AW$9),COUNTIF('1.연간시수표'!V32,$AW$7)),$AW$6,IF(OR(COUNTIF('1.연간시수표'!V32,$AX$9),COUNTIF('1.연간시수표'!V32,$AX$7)),$AX$6,IF(OR(COUNTIF('1.연간시수표'!V32,$AY$9),COUNTIF('1.연간시수표'!V32,$AY$7)),$AY$6,IF(OR(COUNTIF('1.연간시수표'!V32,$AZ$9),COUNTIF('1.연간시수표'!V32,$AZ$7)),$AZ$6,IF(OR(COUNTIF('1.연간시수표'!V32,$BA$9),COUNTIF('1.연간시수표'!V32,$BA$7)),$BA$6,IF(OR(COUNTIF('1.연간시수표'!V32,$BB$9),COUNTIF('1.연간시수표'!V32,$BB$7)),$BB$6,IF(OR(COUNTIF('1.연간시수표'!V32,$BC$9),COUNTIF('1.연간시수표'!V32,$BC$7)),$BC$6,IF(OR(COUNTIF('1.연간시수표'!V32,$BF$9),COUNTIF('1.연간시수표'!V32,$BF$7),COUNTIF('1.연간시수표'!V32,$BG$9),COUNTIF('1.연간시수표'!V32,$BG$7),COUNTIF('1.연간시수표'!V32,$BH$9),COUNTIF('1.연간시수표'!V32,$BH$7),COUNTIF('1.연간시수표'!V32,$BI$9),COUNTIF('1.연간시수표'!V32,$BI$7),COUNTIF('1.연간시수표'!V32,$BJ$9),COUNTIF('1.연간시수표'!V32,$BJ$7),COUNTIF('1.연간시수표'!V32,$BK$9),COUNTIF('1.연간시수표'!V32,$BK$7),COUNTIF('1.연간시수표'!V32,$BL$9),COUNTIF('1.연간시수표'!V32,$BL$7),COUNTIF('1.연간시수표'!V32,$BM$9),COUNTIF('1.연간시수표'!V32,$BM$7)),$BF$6,IF(OR(COUNTIF('1.연간시수표'!V32,$BO$9),COUNTIF('1.연간시수표'!V32,$BO$7)),$BO$6,IF(OR(COUNTIF('1.연간시수표'!V32,$BP$9),COUNTIF('1.연간시수표'!V32,$BP$7)),$BP$6,IF(OR(COUNTIF('1.연간시수표'!V32,$BQ$9),COUNTIF('1.연간시수표'!V32,$BQ$7)),$BQ$6,IF(OR(COUNTIF('1.연간시수표'!V32,$BR$9),COUNTIF('1.연간시수표'!V32,$BR$7)),$BR$6,"_")))))))))))))))</f>
        <v>_</v>
      </c>
      <c r="W32" s="148" t="str">
        <f>IF(OR(COUNTIF('1.연간시수표'!W32,$AT$9),COUNTIF('1.연간시수표'!W32,$AT$7)),$AT$6,IF(OR(COUNTIF('1.연간시수표'!W32,$AU$9),COUNTIF('1.연간시수표'!W32,$AU$7)),$AU$6,IF(OR(COUNTIF('1.연간시수표'!W32,$AV$9),COUNTIF('1.연간시수표'!W32,$AV$7)),$AV$6,IF(OR(COUNTIF('1.연간시수표'!W32,$AW$9),COUNTIF('1.연간시수표'!W32,$AW$7)),$AW$6,IF(OR(COUNTIF('1.연간시수표'!W32,$AX$9),COUNTIF('1.연간시수표'!W32,$AX$7)),$AX$6,IF(OR(COUNTIF('1.연간시수표'!W32,$AY$9),COUNTIF('1.연간시수표'!W32,$AY$7)),$AY$6,IF(OR(COUNTIF('1.연간시수표'!W32,$AZ$9),COUNTIF('1.연간시수표'!W32,$AZ$7)),$AZ$6,IF(OR(COUNTIF('1.연간시수표'!W32,$BA$9),COUNTIF('1.연간시수표'!W32,$BA$7)),$BA$6,IF(OR(COUNTIF('1.연간시수표'!W32,$BB$9),COUNTIF('1.연간시수표'!W32,$BB$7)),$BB$6,IF(OR(COUNTIF('1.연간시수표'!W32,$BC$9),COUNTIF('1.연간시수표'!W32,$BC$7)),$BC$6,IF(OR(COUNTIF('1.연간시수표'!W32,$BF$9),COUNTIF('1.연간시수표'!W32,$BF$7),COUNTIF('1.연간시수표'!W32,$BG$9),COUNTIF('1.연간시수표'!W32,$BG$7),COUNTIF('1.연간시수표'!W32,$BH$9),COUNTIF('1.연간시수표'!W32,$BH$7),COUNTIF('1.연간시수표'!W32,$BI$9),COUNTIF('1.연간시수표'!W32,$BI$7),COUNTIF('1.연간시수표'!W32,$BJ$9),COUNTIF('1.연간시수표'!W32,$BJ$7),COUNTIF('1.연간시수표'!W32,$BK$9),COUNTIF('1.연간시수표'!W32,$BK$7),COUNTIF('1.연간시수표'!W32,$BL$9),COUNTIF('1.연간시수표'!W32,$BL$7),COUNTIF('1.연간시수표'!W32,$BM$9),COUNTIF('1.연간시수표'!W32,$BM$7)),$BF$6,IF(OR(COUNTIF('1.연간시수표'!W32,$BO$9),COUNTIF('1.연간시수표'!W32,$BO$7)),$BO$6,IF(OR(COUNTIF('1.연간시수표'!W32,$BP$9),COUNTIF('1.연간시수표'!W32,$BP$7)),$BP$6,IF(OR(COUNTIF('1.연간시수표'!W32,$BQ$9),COUNTIF('1.연간시수표'!W32,$BQ$7)),$BQ$6,IF(OR(COUNTIF('1.연간시수표'!W32,$BR$9),COUNTIF('1.연간시수표'!W32,$BR$7)),$BR$6,"_")))))))))))))))</f>
        <v>_</v>
      </c>
      <c r="X32" s="148" t="str">
        <f>IF(OR(COUNTIF('1.연간시수표'!X32,$AT$9),COUNTIF('1.연간시수표'!X32,$AT$7)),$AT$6,IF(OR(COUNTIF('1.연간시수표'!X32,$AU$9),COUNTIF('1.연간시수표'!X32,$AU$7)),$AU$6,IF(OR(COUNTIF('1.연간시수표'!X32,$AV$9),COUNTIF('1.연간시수표'!X32,$AV$7)),$AV$6,IF(OR(COUNTIF('1.연간시수표'!X32,$AW$9),COUNTIF('1.연간시수표'!X32,$AW$7)),$AW$6,IF(OR(COUNTIF('1.연간시수표'!X32,$AX$9),COUNTIF('1.연간시수표'!X32,$AX$7)),$AX$6,IF(OR(COUNTIF('1.연간시수표'!X32,$AY$9),COUNTIF('1.연간시수표'!X32,$AY$7)),$AY$6,IF(OR(COUNTIF('1.연간시수표'!X32,$AZ$9),COUNTIF('1.연간시수표'!X32,$AZ$7)),$AZ$6,IF(OR(COUNTIF('1.연간시수표'!X32,$BA$9),COUNTIF('1.연간시수표'!X32,$BA$7)),$BA$6,IF(OR(COUNTIF('1.연간시수표'!X32,$BB$9),COUNTIF('1.연간시수표'!X32,$BB$7)),$BB$6,IF(OR(COUNTIF('1.연간시수표'!X32,$BC$9),COUNTIF('1.연간시수표'!X32,$BC$7)),$BC$6,IF(OR(COUNTIF('1.연간시수표'!X32,$BF$9),COUNTIF('1.연간시수표'!X32,$BF$7),COUNTIF('1.연간시수표'!X32,$BG$9),COUNTIF('1.연간시수표'!X32,$BG$7),COUNTIF('1.연간시수표'!X32,$BH$9),COUNTIF('1.연간시수표'!X32,$BH$7),COUNTIF('1.연간시수표'!X32,$BI$9),COUNTIF('1.연간시수표'!X32,$BI$7),COUNTIF('1.연간시수표'!X32,$BJ$9),COUNTIF('1.연간시수표'!X32,$BJ$7),COUNTIF('1.연간시수표'!X32,$BK$9),COUNTIF('1.연간시수표'!X32,$BK$7),COUNTIF('1.연간시수표'!X32,$BL$9),COUNTIF('1.연간시수표'!X32,$BL$7),COUNTIF('1.연간시수표'!X32,$BM$9),COUNTIF('1.연간시수표'!X32,$BM$7)),$BF$6,IF(OR(COUNTIF('1.연간시수표'!X32,$BO$9),COUNTIF('1.연간시수표'!X32,$BO$7)),$BO$6,IF(OR(COUNTIF('1.연간시수표'!X32,$BP$9),COUNTIF('1.연간시수표'!X32,$BP$7)),$BP$6,IF(OR(COUNTIF('1.연간시수표'!X32,$BQ$9),COUNTIF('1.연간시수표'!X32,$BQ$7)),$BQ$6,IF(OR(COUNTIF('1.연간시수표'!X32,$BR$9),COUNTIF('1.연간시수표'!X32,$BR$7)),$BR$6,"_")))))))))))))))</f>
        <v>_</v>
      </c>
      <c r="Y32" s="148" t="str">
        <f>IF(OR(COUNTIF('1.연간시수표'!Y32,$AT$9),COUNTIF('1.연간시수표'!Y32,$AT$7)),$AT$6,IF(OR(COUNTIF('1.연간시수표'!Y32,$AU$9),COUNTIF('1.연간시수표'!Y32,$AU$7)),$AU$6,IF(OR(COUNTIF('1.연간시수표'!Y32,$AV$9),COUNTIF('1.연간시수표'!Y32,$AV$7)),$AV$6,IF(OR(COUNTIF('1.연간시수표'!Y32,$AW$9),COUNTIF('1.연간시수표'!Y32,$AW$7)),$AW$6,IF(OR(COUNTIF('1.연간시수표'!Y32,$AX$9),COUNTIF('1.연간시수표'!Y32,$AX$7)),$AX$6,IF(OR(COUNTIF('1.연간시수표'!Y32,$AY$9),COUNTIF('1.연간시수표'!Y32,$AY$7)),$AY$6,IF(OR(COUNTIF('1.연간시수표'!Y32,$AZ$9),COUNTIF('1.연간시수표'!Y32,$AZ$7)),$AZ$6,IF(OR(COUNTIF('1.연간시수표'!Y32,$BA$9),COUNTIF('1.연간시수표'!Y32,$BA$7)),$BA$6,IF(OR(COUNTIF('1.연간시수표'!Y32,$BB$9),COUNTIF('1.연간시수표'!Y32,$BB$7)),$BB$6,IF(OR(COUNTIF('1.연간시수표'!Y32,$BC$9),COUNTIF('1.연간시수표'!Y32,$BC$7)),$BC$6,IF(OR(COUNTIF('1.연간시수표'!Y32,$BF$9),COUNTIF('1.연간시수표'!Y32,$BF$7),COUNTIF('1.연간시수표'!Y32,$BG$9),COUNTIF('1.연간시수표'!Y32,$BG$7),COUNTIF('1.연간시수표'!Y32,$BH$9),COUNTIF('1.연간시수표'!Y32,$BH$7),COUNTIF('1.연간시수표'!Y32,$BI$9),COUNTIF('1.연간시수표'!Y32,$BI$7),COUNTIF('1.연간시수표'!Y32,$BJ$9),COUNTIF('1.연간시수표'!Y32,$BJ$7),COUNTIF('1.연간시수표'!Y32,$BK$9),COUNTIF('1.연간시수표'!Y32,$BK$7),COUNTIF('1.연간시수표'!Y32,$BL$9),COUNTIF('1.연간시수표'!Y32,$BL$7),COUNTIF('1.연간시수표'!Y32,$BM$9),COUNTIF('1.연간시수표'!Y32,$BM$7)),$BF$6,IF(OR(COUNTIF('1.연간시수표'!Y32,$BO$9),COUNTIF('1.연간시수표'!Y32,$BO$7)),$BO$6,IF(OR(COUNTIF('1.연간시수표'!Y32,$BP$9),COUNTIF('1.연간시수표'!Y32,$BP$7)),$BP$6,IF(OR(COUNTIF('1.연간시수표'!Y32,$BQ$9),COUNTIF('1.연간시수표'!Y32,$BQ$7)),$BQ$6,IF(OR(COUNTIF('1.연간시수표'!Y32,$BR$9),COUNTIF('1.연간시수표'!Y32,$BR$7)),$BR$6,"_")))))))))))))))</f>
        <v>_</v>
      </c>
      <c r="Z32" s="148" t="str">
        <f>IF(OR(COUNTIF('1.연간시수표'!Z32,$AT$9),COUNTIF('1.연간시수표'!Z32,$AT$7)),$AT$6,IF(OR(COUNTIF('1.연간시수표'!Z32,$AU$9),COUNTIF('1.연간시수표'!Z32,$AU$7)),$AU$6,IF(OR(COUNTIF('1.연간시수표'!Z32,$AV$9),COUNTIF('1.연간시수표'!Z32,$AV$7)),$AV$6,IF(OR(COUNTIF('1.연간시수표'!Z32,$AW$9),COUNTIF('1.연간시수표'!Z32,$AW$7)),$AW$6,IF(OR(COUNTIF('1.연간시수표'!Z32,$AX$9),COUNTIF('1.연간시수표'!Z32,$AX$7)),$AX$6,IF(OR(COUNTIF('1.연간시수표'!Z32,$AY$9),COUNTIF('1.연간시수표'!Z32,$AY$7)),$AY$6,IF(OR(COUNTIF('1.연간시수표'!Z32,$AZ$9),COUNTIF('1.연간시수표'!Z32,$AZ$7)),$AZ$6,IF(OR(COUNTIF('1.연간시수표'!Z32,$BA$9),COUNTIF('1.연간시수표'!Z32,$BA$7)),$BA$6,IF(OR(COUNTIF('1.연간시수표'!Z32,$BB$9),COUNTIF('1.연간시수표'!Z32,$BB$7)),$BB$6,IF(OR(COUNTIF('1.연간시수표'!Z32,$BC$9),COUNTIF('1.연간시수표'!Z32,$BC$7)),$BC$6,IF(OR(COUNTIF('1.연간시수표'!Z32,$BF$9),COUNTIF('1.연간시수표'!Z32,$BF$7),COUNTIF('1.연간시수표'!Z32,$BG$9),COUNTIF('1.연간시수표'!Z32,$BG$7),COUNTIF('1.연간시수표'!Z32,$BH$9),COUNTIF('1.연간시수표'!Z32,$BH$7),COUNTIF('1.연간시수표'!Z32,$BI$9),COUNTIF('1.연간시수표'!Z32,$BI$7),COUNTIF('1.연간시수표'!Z32,$BJ$9),COUNTIF('1.연간시수표'!Z32,$BJ$7),COUNTIF('1.연간시수표'!Z32,$BK$9),COUNTIF('1.연간시수표'!Z32,$BK$7),COUNTIF('1.연간시수표'!Z32,$BL$9),COUNTIF('1.연간시수표'!Z32,$BL$7),COUNTIF('1.연간시수표'!Z32,$BM$9),COUNTIF('1.연간시수표'!Z32,$BM$7)),$BF$6,IF(OR(COUNTIF('1.연간시수표'!Z32,$BO$9),COUNTIF('1.연간시수표'!Z32,$BO$7)),$BO$6,IF(OR(COUNTIF('1.연간시수표'!Z32,$BP$9),COUNTIF('1.연간시수표'!Z32,$BP$7)),$BP$6,IF(OR(COUNTIF('1.연간시수표'!Z32,$BQ$9),COUNTIF('1.연간시수표'!Z32,$BQ$7)),$BQ$6,IF(OR(COUNTIF('1.연간시수표'!Z32,$BR$9),COUNTIF('1.연간시수표'!Z32,$BR$7)),$BR$6,"_")))))))))))))))</f>
        <v>_</v>
      </c>
      <c r="AA32" s="148" t="str">
        <f>IF(OR(COUNTIF('1.연간시수표'!AA32,$AT$9),COUNTIF('1.연간시수표'!AA32,$AT$7)),$AT$6,IF(OR(COUNTIF('1.연간시수표'!AA32,$AU$9),COUNTIF('1.연간시수표'!AA32,$AU$7)),$AU$6,IF(OR(COUNTIF('1.연간시수표'!AA32,$AV$9),COUNTIF('1.연간시수표'!AA32,$AV$7)),$AV$6,IF(OR(COUNTIF('1.연간시수표'!AA32,$AW$9),COUNTIF('1.연간시수표'!AA32,$AW$7)),$AW$6,IF(OR(COUNTIF('1.연간시수표'!AA32,$AX$9),COUNTIF('1.연간시수표'!AA32,$AX$7)),$AX$6,IF(OR(COUNTIF('1.연간시수표'!AA32,$AY$9),COUNTIF('1.연간시수표'!AA32,$AY$7)),$AY$6,IF(OR(COUNTIF('1.연간시수표'!AA32,$AZ$9),COUNTIF('1.연간시수표'!AA32,$AZ$7)),$AZ$6,IF(OR(COUNTIF('1.연간시수표'!AA32,$BA$9),COUNTIF('1.연간시수표'!AA32,$BA$7)),$BA$6,IF(OR(COUNTIF('1.연간시수표'!AA32,$BB$9),COUNTIF('1.연간시수표'!AA32,$BB$7)),$BB$6,IF(OR(COUNTIF('1.연간시수표'!AA32,$BC$9),COUNTIF('1.연간시수표'!AA32,$BC$7)),$BC$6,IF(OR(COUNTIF('1.연간시수표'!AA32,$BF$9),COUNTIF('1.연간시수표'!AA32,$BF$7),COUNTIF('1.연간시수표'!AA32,$BG$9),COUNTIF('1.연간시수표'!AA32,$BG$7),COUNTIF('1.연간시수표'!AA32,$BH$9),COUNTIF('1.연간시수표'!AA32,$BH$7),COUNTIF('1.연간시수표'!AA32,$BI$9),COUNTIF('1.연간시수표'!AA32,$BI$7),COUNTIF('1.연간시수표'!AA32,$BJ$9),COUNTIF('1.연간시수표'!AA32,$BJ$7),COUNTIF('1.연간시수표'!AA32,$BK$9),COUNTIF('1.연간시수표'!AA32,$BK$7),COUNTIF('1.연간시수표'!AA32,$BL$9),COUNTIF('1.연간시수표'!AA32,$BL$7),COUNTIF('1.연간시수표'!AA32,$BM$9),COUNTIF('1.연간시수표'!AA32,$BM$7)),$BF$6,IF(OR(COUNTIF('1.연간시수표'!AA32,$BO$9),COUNTIF('1.연간시수표'!AA32,$BO$7)),$BO$6,IF(OR(COUNTIF('1.연간시수표'!AA32,$BP$9),COUNTIF('1.연간시수표'!AA32,$BP$7)),$BP$6,IF(OR(COUNTIF('1.연간시수표'!AA32,$BQ$9),COUNTIF('1.연간시수표'!AA32,$BQ$7)),$BQ$6,IF(OR(COUNTIF('1.연간시수표'!AA32,$BR$9),COUNTIF('1.연간시수표'!AA32,$BR$7)),$BR$6,"_")))))))))))))))</f>
        <v>_</v>
      </c>
      <c r="AB32" s="148" t="str">
        <f>IF(OR(COUNTIF('1.연간시수표'!AB32,$AT$9),COUNTIF('1.연간시수표'!AB32,$AT$7)),$AT$6,IF(OR(COUNTIF('1.연간시수표'!AB32,$AU$9),COUNTIF('1.연간시수표'!AB32,$AU$7)),$AU$6,IF(OR(COUNTIF('1.연간시수표'!AB32,$AV$9),COUNTIF('1.연간시수표'!AB32,$AV$7)),$AV$6,IF(OR(COUNTIF('1.연간시수표'!AB32,$AW$9),COUNTIF('1.연간시수표'!AB32,$AW$7)),$AW$6,IF(OR(COUNTIF('1.연간시수표'!AB32,$AX$9),COUNTIF('1.연간시수표'!AB32,$AX$7)),$AX$6,IF(OR(COUNTIF('1.연간시수표'!AB32,$AY$9),COUNTIF('1.연간시수표'!AB32,$AY$7)),$AY$6,IF(OR(COUNTIF('1.연간시수표'!AB32,$AZ$9),COUNTIF('1.연간시수표'!AB32,$AZ$7)),$AZ$6,IF(OR(COUNTIF('1.연간시수표'!AB32,$BA$9),COUNTIF('1.연간시수표'!AB32,$BA$7)),$BA$6,IF(OR(COUNTIF('1.연간시수표'!AB32,$BB$9),COUNTIF('1.연간시수표'!AB32,$BB$7)),$BB$6,IF(OR(COUNTIF('1.연간시수표'!AB32,$BC$9),COUNTIF('1.연간시수표'!AB32,$BC$7)),$BC$6,IF(OR(COUNTIF('1.연간시수표'!AB32,$BF$9),COUNTIF('1.연간시수표'!AB32,$BF$7),COUNTIF('1.연간시수표'!AB32,$BG$9),COUNTIF('1.연간시수표'!AB32,$BG$7),COUNTIF('1.연간시수표'!AB32,$BH$9),COUNTIF('1.연간시수표'!AB32,$BH$7),COUNTIF('1.연간시수표'!AB32,$BI$9),COUNTIF('1.연간시수표'!AB32,$BI$7),COUNTIF('1.연간시수표'!AB32,$BJ$9),COUNTIF('1.연간시수표'!AB32,$BJ$7),COUNTIF('1.연간시수표'!AB32,$BK$9),COUNTIF('1.연간시수표'!AB32,$BK$7),COUNTIF('1.연간시수표'!AB32,$BL$9),COUNTIF('1.연간시수표'!AB32,$BL$7),COUNTIF('1.연간시수표'!AB32,$BM$9),COUNTIF('1.연간시수표'!AB32,$BM$7)),$BF$6,IF(OR(COUNTIF('1.연간시수표'!AB32,$BO$9),COUNTIF('1.연간시수표'!AB32,$BO$7)),$BO$6,IF(OR(COUNTIF('1.연간시수표'!AB32,$BP$9),COUNTIF('1.연간시수표'!AB32,$BP$7)),$BP$6,IF(OR(COUNTIF('1.연간시수표'!AB32,$BQ$9),COUNTIF('1.연간시수표'!AB32,$BQ$7)),$BQ$6,IF(OR(COUNTIF('1.연간시수표'!AB32,$BR$9),COUNTIF('1.연간시수표'!AB32,$BR$7)),$BR$6,"_")))))))))))))))</f>
        <v>_</v>
      </c>
      <c r="AC32" s="148" t="str">
        <f>IF(OR(COUNTIF('1.연간시수표'!AC32,$AT$9),COUNTIF('1.연간시수표'!AC32,$AT$7)),$AT$6,IF(OR(COUNTIF('1.연간시수표'!AC32,$AU$9),COUNTIF('1.연간시수표'!AC32,$AU$7)),$AU$6,IF(OR(COUNTIF('1.연간시수표'!AC32,$AV$9),COUNTIF('1.연간시수표'!AC32,$AV$7)),$AV$6,IF(OR(COUNTIF('1.연간시수표'!AC32,$AW$9),COUNTIF('1.연간시수표'!AC32,$AW$7)),$AW$6,IF(OR(COUNTIF('1.연간시수표'!AC32,$AX$9),COUNTIF('1.연간시수표'!AC32,$AX$7)),$AX$6,IF(OR(COUNTIF('1.연간시수표'!AC32,$AY$9),COUNTIF('1.연간시수표'!AC32,$AY$7)),$AY$6,IF(OR(COUNTIF('1.연간시수표'!AC32,$AZ$9),COUNTIF('1.연간시수표'!AC32,$AZ$7)),$AZ$6,IF(OR(COUNTIF('1.연간시수표'!AC32,$BA$9),COUNTIF('1.연간시수표'!AC32,$BA$7)),$BA$6,IF(OR(COUNTIF('1.연간시수표'!AC32,$BB$9),COUNTIF('1.연간시수표'!AC32,$BB$7)),$BB$6,IF(OR(COUNTIF('1.연간시수표'!AC32,$BC$9),COUNTIF('1.연간시수표'!AC32,$BC$7)),$BC$6,IF(OR(COUNTIF('1.연간시수표'!AC32,$BF$9),COUNTIF('1.연간시수표'!AC32,$BF$7),COUNTIF('1.연간시수표'!AC32,$BG$9),COUNTIF('1.연간시수표'!AC32,$BG$7),COUNTIF('1.연간시수표'!AC32,$BH$9),COUNTIF('1.연간시수표'!AC32,$BH$7),COUNTIF('1.연간시수표'!AC32,$BI$9),COUNTIF('1.연간시수표'!AC32,$BI$7),COUNTIF('1.연간시수표'!AC32,$BJ$9),COUNTIF('1.연간시수표'!AC32,$BJ$7),COUNTIF('1.연간시수표'!AC32,$BK$9),COUNTIF('1.연간시수표'!AC32,$BK$7),COUNTIF('1.연간시수표'!AC32,$BL$9),COUNTIF('1.연간시수표'!AC32,$BL$7),COUNTIF('1.연간시수표'!AC32,$BM$9),COUNTIF('1.연간시수표'!AC32,$BM$7)),$BF$6,IF(OR(COUNTIF('1.연간시수표'!AC32,$BO$9),COUNTIF('1.연간시수표'!AC32,$BO$7)),$BO$6,IF(OR(COUNTIF('1.연간시수표'!AC32,$BP$9),COUNTIF('1.연간시수표'!AC32,$BP$7)),$BP$6,IF(OR(COUNTIF('1.연간시수표'!AC32,$BQ$9),COUNTIF('1.연간시수표'!AC32,$BQ$7)),$BQ$6,IF(OR(COUNTIF('1.연간시수표'!AC32,$BR$9),COUNTIF('1.연간시수표'!AC32,$BR$7)),$BR$6,"_")))))))))))))))</f>
        <v>_</v>
      </c>
      <c r="AD32" s="148" t="str">
        <f>IF(OR(COUNTIF('1.연간시수표'!AD32,$AT$9),COUNTIF('1.연간시수표'!AD32,$AT$7)),$AT$6,IF(OR(COUNTIF('1.연간시수표'!AD32,$AU$9),COUNTIF('1.연간시수표'!AD32,$AU$7)),$AU$6,IF(OR(COUNTIF('1.연간시수표'!AD32,$AV$9),COUNTIF('1.연간시수표'!AD32,$AV$7)),$AV$6,IF(OR(COUNTIF('1.연간시수표'!AD32,$AW$9),COUNTIF('1.연간시수표'!AD32,$AW$7)),$AW$6,IF(OR(COUNTIF('1.연간시수표'!AD32,$AX$9),COUNTIF('1.연간시수표'!AD32,$AX$7)),$AX$6,IF(OR(COUNTIF('1.연간시수표'!AD32,$AY$9),COUNTIF('1.연간시수표'!AD32,$AY$7)),$AY$6,IF(OR(COUNTIF('1.연간시수표'!AD32,$AZ$9),COUNTIF('1.연간시수표'!AD32,$AZ$7)),$AZ$6,IF(OR(COUNTIF('1.연간시수표'!AD32,$BA$9),COUNTIF('1.연간시수표'!AD32,$BA$7)),$BA$6,IF(OR(COUNTIF('1.연간시수표'!AD32,$BB$9),COUNTIF('1.연간시수표'!AD32,$BB$7)),$BB$6,IF(OR(COUNTIF('1.연간시수표'!AD32,$BC$9),COUNTIF('1.연간시수표'!AD32,$BC$7)),$BC$6,IF(OR(COUNTIF('1.연간시수표'!AD32,$BF$9),COUNTIF('1.연간시수표'!AD32,$BF$7),COUNTIF('1.연간시수표'!AD32,$BG$9),COUNTIF('1.연간시수표'!AD32,$BG$7),COUNTIF('1.연간시수표'!AD32,$BH$9),COUNTIF('1.연간시수표'!AD32,$BH$7),COUNTIF('1.연간시수표'!AD32,$BI$9),COUNTIF('1.연간시수표'!AD32,$BI$7),COUNTIF('1.연간시수표'!AD32,$BJ$9),COUNTIF('1.연간시수표'!AD32,$BJ$7),COUNTIF('1.연간시수표'!AD32,$BK$9),COUNTIF('1.연간시수표'!AD32,$BK$7),COUNTIF('1.연간시수표'!AD32,$BL$9),COUNTIF('1.연간시수표'!AD32,$BL$7),COUNTIF('1.연간시수표'!AD32,$BM$9),COUNTIF('1.연간시수표'!AD32,$BM$7)),$BF$6,IF(OR(COUNTIF('1.연간시수표'!AD32,$BO$9),COUNTIF('1.연간시수표'!AD32,$BO$7)),$BO$6,IF(OR(COUNTIF('1.연간시수표'!AD32,$BP$9),COUNTIF('1.연간시수표'!AD32,$BP$7)),$BP$6,IF(OR(COUNTIF('1.연간시수표'!AD32,$BQ$9),COUNTIF('1.연간시수표'!AD32,$BQ$7)),$BQ$6,IF(OR(COUNTIF('1.연간시수표'!AD32,$BR$9),COUNTIF('1.연간시수표'!AD32,$BR$7)),$BR$6,"_")))))))))))))))</f>
        <v>_</v>
      </c>
      <c r="AE32" s="148" t="str">
        <f>IF(OR(COUNTIF('1.연간시수표'!AE32,$AT$9),COUNTIF('1.연간시수표'!AE32,$AT$7)),$AT$6,IF(OR(COUNTIF('1.연간시수표'!AE32,$AU$9),COUNTIF('1.연간시수표'!AE32,$AU$7)),$AU$6,IF(OR(COUNTIF('1.연간시수표'!AE32,$AV$9),COUNTIF('1.연간시수표'!AE32,$AV$7)),$AV$6,IF(OR(COUNTIF('1.연간시수표'!AE32,$AW$9),COUNTIF('1.연간시수표'!AE32,$AW$7)),$AW$6,IF(OR(COUNTIF('1.연간시수표'!AE32,$AX$9),COUNTIF('1.연간시수표'!AE32,$AX$7)),$AX$6,IF(OR(COUNTIF('1.연간시수표'!AE32,$AY$9),COUNTIF('1.연간시수표'!AE32,$AY$7)),$AY$6,IF(OR(COUNTIF('1.연간시수표'!AE32,$AZ$9),COUNTIF('1.연간시수표'!AE32,$AZ$7)),$AZ$6,IF(OR(COUNTIF('1.연간시수표'!AE32,$BA$9),COUNTIF('1.연간시수표'!AE32,$BA$7)),$BA$6,IF(OR(COUNTIF('1.연간시수표'!AE32,$BB$9),COUNTIF('1.연간시수표'!AE32,$BB$7)),$BB$6,IF(OR(COUNTIF('1.연간시수표'!AE32,$BC$9),COUNTIF('1.연간시수표'!AE32,$BC$7)),$BC$6,IF(OR(COUNTIF('1.연간시수표'!AE32,$BF$9),COUNTIF('1.연간시수표'!AE32,$BF$7),COUNTIF('1.연간시수표'!AE32,$BG$9),COUNTIF('1.연간시수표'!AE32,$BG$7),COUNTIF('1.연간시수표'!AE32,$BH$9),COUNTIF('1.연간시수표'!AE32,$BH$7),COUNTIF('1.연간시수표'!AE32,$BI$9),COUNTIF('1.연간시수표'!AE32,$BI$7),COUNTIF('1.연간시수표'!AE32,$BJ$9),COUNTIF('1.연간시수표'!AE32,$BJ$7),COUNTIF('1.연간시수표'!AE32,$BK$9),COUNTIF('1.연간시수표'!AE32,$BK$7),COUNTIF('1.연간시수표'!AE32,$BL$9),COUNTIF('1.연간시수표'!AE32,$BL$7),COUNTIF('1.연간시수표'!AE32,$BM$9),COUNTIF('1.연간시수표'!AE32,$BM$7)),$BF$6,IF(OR(COUNTIF('1.연간시수표'!AE32,$BO$9),COUNTIF('1.연간시수표'!AE32,$BO$7)),$BO$6,IF(OR(COUNTIF('1.연간시수표'!AE32,$BP$9),COUNTIF('1.연간시수표'!AE32,$BP$7)),$BP$6,IF(OR(COUNTIF('1.연간시수표'!AE32,$BQ$9),COUNTIF('1.연간시수표'!AE32,$BQ$7)),$BQ$6,IF(OR(COUNTIF('1.연간시수표'!AE32,$BR$9),COUNTIF('1.연간시수표'!AE32,$BR$7)),$BR$6,"_")))))))))))))))</f>
        <v>_</v>
      </c>
      <c r="AF32" s="148" t="str">
        <f>IF(OR(COUNTIF('1.연간시수표'!AF32,$AT$9),COUNTIF('1.연간시수표'!AF32,$AT$7)),$AT$6,IF(OR(COUNTIF('1.연간시수표'!AF32,$AU$9),COUNTIF('1.연간시수표'!AF32,$AU$7)),$AU$6,IF(OR(COUNTIF('1.연간시수표'!AF32,$AV$9),COUNTIF('1.연간시수표'!AF32,$AV$7)),$AV$6,IF(OR(COUNTIF('1.연간시수표'!AF32,$AW$9),COUNTIF('1.연간시수표'!AF32,$AW$7)),$AW$6,IF(OR(COUNTIF('1.연간시수표'!AF32,$AX$9),COUNTIF('1.연간시수표'!AF32,$AX$7)),$AX$6,IF(OR(COUNTIF('1.연간시수표'!AF32,$AY$9),COUNTIF('1.연간시수표'!AF32,$AY$7)),$AY$6,IF(OR(COUNTIF('1.연간시수표'!AF32,$AZ$9),COUNTIF('1.연간시수표'!AF32,$AZ$7)),$AZ$6,IF(OR(COUNTIF('1.연간시수표'!AF32,$BA$9),COUNTIF('1.연간시수표'!AF32,$BA$7)),$BA$6,IF(OR(COUNTIF('1.연간시수표'!AF32,$BB$9),COUNTIF('1.연간시수표'!AF32,$BB$7)),$BB$6,IF(OR(COUNTIF('1.연간시수표'!AF32,$BC$9),COUNTIF('1.연간시수표'!AF32,$BC$7)),$BC$6,IF(OR(COUNTIF('1.연간시수표'!AF32,$BF$9),COUNTIF('1.연간시수표'!AF32,$BF$7),COUNTIF('1.연간시수표'!AF32,$BG$9),COUNTIF('1.연간시수표'!AF32,$BG$7),COUNTIF('1.연간시수표'!AF32,$BH$9),COUNTIF('1.연간시수표'!AF32,$BH$7),COUNTIF('1.연간시수표'!AF32,$BI$9),COUNTIF('1.연간시수표'!AF32,$BI$7),COUNTIF('1.연간시수표'!AF32,$BJ$9),COUNTIF('1.연간시수표'!AF32,$BJ$7),COUNTIF('1.연간시수표'!AF32,$BK$9),COUNTIF('1.연간시수표'!AF32,$BK$7),COUNTIF('1.연간시수표'!AF32,$BL$9),COUNTIF('1.연간시수표'!AF32,$BL$7),COUNTIF('1.연간시수표'!AF32,$BM$9),COUNTIF('1.연간시수표'!AF32,$BM$7)),$BF$6,IF(OR(COUNTIF('1.연간시수표'!AF32,$BO$9),COUNTIF('1.연간시수표'!AF32,$BO$7)),$BO$6,IF(OR(COUNTIF('1.연간시수표'!AF32,$BP$9),COUNTIF('1.연간시수표'!AF32,$BP$7)),$BP$6,IF(OR(COUNTIF('1.연간시수표'!AF32,$BQ$9),COUNTIF('1.연간시수표'!AF32,$BQ$7)),$BQ$6,IF(OR(COUNTIF('1.연간시수표'!AF32,$BR$9),COUNTIF('1.연간시수표'!AF32,$BR$7)),$BR$6,"_")))))))))))))))</f>
        <v>_</v>
      </c>
      <c r="AG32" s="148" t="str">
        <f>IF(OR(COUNTIF('1.연간시수표'!AG32,$AT$9),COUNTIF('1.연간시수표'!AG32,$AT$7)),$AT$6,IF(OR(COUNTIF('1.연간시수표'!AG32,$AU$9),COUNTIF('1.연간시수표'!AG32,$AU$7)),$AU$6,IF(OR(COUNTIF('1.연간시수표'!AG32,$AV$9),COUNTIF('1.연간시수표'!AG32,$AV$7)),$AV$6,IF(OR(COUNTIF('1.연간시수표'!AG32,$AW$9),COUNTIF('1.연간시수표'!AG32,$AW$7)),$AW$6,IF(OR(COUNTIF('1.연간시수표'!AG32,$AX$9),COUNTIF('1.연간시수표'!AG32,$AX$7)),$AX$6,IF(OR(COUNTIF('1.연간시수표'!AG32,$AY$9),COUNTIF('1.연간시수표'!AG32,$AY$7)),$AY$6,IF(OR(COUNTIF('1.연간시수표'!AG32,$AZ$9),COUNTIF('1.연간시수표'!AG32,$AZ$7)),$AZ$6,IF(OR(COUNTIF('1.연간시수표'!AG32,$BA$9),COUNTIF('1.연간시수표'!AG32,$BA$7)),$BA$6,IF(OR(COUNTIF('1.연간시수표'!AG32,$BB$9),COUNTIF('1.연간시수표'!AG32,$BB$7)),$BB$6,IF(OR(COUNTIF('1.연간시수표'!AG32,$BC$9),COUNTIF('1.연간시수표'!AG32,$BC$7)),$BC$6,IF(OR(COUNTIF('1.연간시수표'!AG32,$BF$9),COUNTIF('1.연간시수표'!AG32,$BF$7),COUNTIF('1.연간시수표'!AG32,$BG$9),COUNTIF('1.연간시수표'!AG32,$BG$7),COUNTIF('1.연간시수표'!AG32,$BH$9),COUNTIF('1.연간시수표'!AG32,$BH$7),COUNTIF('1.연간시수표'!AG32,$BI$9),COUNTIF('1.연간시수표'!AG32,$BI$7),COUNTIF('1.연간시수표'!AG32,$BJ$9),COUNTIF('1.연간시수표'!AG32,$BJ$7),COUNTIF('1.연간시수표'!AG32,$BK$9),COUNTIF('1.연간시수표'!AG32,$BK$7),COUNTIF('1.연간시수표'!AG32,$BL$9),COUNTIF('1.연간시수표'!AG32,$BL$7),COUNTIF('1.연간시수표'!AG32,$BM$9),COUNTIF('1.연간시수표'!AG32,$BM$7)),$BF$6,IF(OR(COUNTIF('1.연간시수표'!AG32,$BO$9),COUNTIF('1.연간시수표'!AG32,$BO$7)),$BO$6,IF(OR(COUNTIF('1.연간시수표'!AG32,$BP$9),COUNTIF('1.연간시수표'!AG32,$BP$7)),$BP$6,IF(OR(COUNTIF('1.연간시수표'!AG32,$BQ$9),COUNTIF('1.연간시수표'!AG32,$BQ$7)),$BQ$6,IF(OR(COUNTIF('1.연간시수표'!AG32,$BR$9),COUNTIF('1.연간시수표'!AG32,$BR$7)),$BR$6,"_")))))))))))))))</f>
        <v>_</v>
      </c>
      <c r="AH32" s="148" t="str">
        <f>IF(OR(COUNTIF('1.연간시수표'!AH32,$AT$9),COUNTIF('1.연간시수표'!AH32,$AT$7)),$AT$6,IF(OR(COUNTIF('1.연간시수표'!AH32,$AU$9),COUNTIF('1.연간시수표'!AH32,$AU$7)),$AU$6,IF(OR(COUNTIF('1.연간시수표'!AH32,$AV$9),COUNTIF('1.연간시수표'!AH32,$AV$7)),$AV$6,IF(OR(COUNTIF('1.연간시수표'!AH32,$AW$9),COUNTIF('1.연간시수표'!AH32,$AW$7)),$AW$6,IF(OR(COUNTIF('1.연간시수표'!AH32,$AX$9),COUNTIF('1.연간시수표'!AH32,$AX$7)),$AX$6,IF(OR(COUNTIF('1.연간시수표'!AH32,$AY$9),COUNTIF('1.연간시수표'!AH32,$AY$7)),$AY$6,IF(OR(COUNTIF('1.연간시수표'!AH32,$AZ$9),COUNTIF('1.연간시수표'!AH32,$AZ$7)),$AZ$6,IF(OR(COUNTIF('1.연간시수표'!AH32,$BA$9),COUNTIF('1.연간시수표'!AH32,$BA$7)),$BA$6,IF(OR(COUNTIF('1.연간시수표'!AH32,$BB$9),COUNTIF('1.연간시수표'!AH32,$BB$7)),$BB$6,IF(OR(COUNTIF('1.연간시수표'!AH32,$BC$9),COUNTIF('1.연간시수표'!AH32,$BC$7)),$BC$6,IF(OR(COUNTIF('1.연간시수표'!AH32,$BF$9),COUNTIF('1.연간시수표'!AH32,$BF$7),COUNTIF('1.연간시수표'!AH32,$BG$9),COUNTIF('1.연간시수표'!AH32,$BG$7),COUNTIF('1.연간시수표'!AH32,$BH$9),COUNTIF('1.연간시수표'!AH32,$BH$7),COUNTIF('1.연간시수표'!AH32,$BI$9),COUNTIF('1.연간시수표'!AH32,$BI$7),COUNTIF('1.연간시수표'!AH32,$BJ$9),COUNTIF('1.연간시수표'!AH32,$BJ$7),COUNTIF('1.연간시수표'!AH32,$BK$9),COUNTIF('1.연간시수표'!AH32,$BK$7),COUNTIF('1.연간시수표'!AH32,$BL$9),COUNTIF('1.연간시수표'!AH32,$BL$7),COUNTIF('1.연간시수표'!AH32,$BM$9),COUNTIF('1.연간시수표'!AH32,$BM$7)),$BF$6,IF(OR(COUNTIF('1.연간시수표'!AH32,$BO$9),COUNTIF('1.연간시수표'!AH32,$BO$7)),$BO$6,IF(OR(COUNTIF('1.연간시수표'!AH32,$BP$9),COUNTIF('1.연간시수표'!AH32,$BP$7)),$BP$6,IF(OR(COUNTIF('1.연간시수표'!AH32,$BQ$9),COUNTIF('1.연간시수표'!AH32,$BQ$7)),$BQ$6,IF(OR(COUNTIF('1.연간시수표'!AH32,$BR$9),COUNTIF('1.연간시수표'!AH32,$BR$7)),$BR$6,"_")))))))))))))))</f>
        <v>_</v>
      </c>
      <c r="AI32" s="148" t="str">
        <f>IF(OR(COUNTIF('1.연간시수표'!AI32,$AT$9),COUNTIF('1.연간시수표'!AI32,$AT$7)),$AT$6,IF(OR(COUNTIF('1.연간시수표'!AI32,$AU$9),COUNTIF('1.연간시수표'!AI32,$AU$7)),$AU$6,IF(OR(COUNTIF('1.연간시수표'!AI32,$AV$9),COUNTIF('1.연간시수표'!AI32,$AV$7)),$AV$6,IF(OR(COUNTIF('1.연간시수표'!AI32,$AW$9),COUNTIF('1.연간시수표'!AI32,$AW$7)),$AW$6,IF(OR(COUNTIF('1.연간시수표'!AI32,$AX$9),COUNTIF('1.연간시수표'!AI32,$AX$7)),$AX$6,IF(OR(COUNTIF('1.연간시수표'!AI32,$AY$9),COUNTIF('1.연간시수표'!AI32,$AY$7)),$AY$6,IF(OR(COUNTIF('1.연간시수표'!AI32,$AZ$9),COUNTIF('1.연간시수표'!AI32,$AZ$7)),$AZ$6,IF(OR(COUNTIF('1.연간시수표'!AI32,$BA$9),COUNTIF('1.연간시수표'!AI32,$BA$7)),$BA$6,IF(OR(COUNTIF('1.연간시수표'!AI32,$BB$9),COUNTIF('1.연간시수표'!AI32,$BB$7)),$BB$6,IF(OR(COUNTIF('1.연간시수표'!AI32,$BC$9),COUNTIF('1.연간시수표'!AI32,$BC$7)),$BC$6,IF(OR(COUNTIF('1.연간시수표'!AI32,$BF$9),COUNTIF('1.연간시수표'!AI32,$BF$7),COUNTIF('1.연간시수표'!AI32,$BG$9),COUNTIF('1.연간시수표'!AI32,$BG$7),COUNTIF('1.연간시수표'!AI32,$BH$9),COUNTIF('1.연간시수표'!AI32,$BH$7),COUNTIF('1.연간시수표'!AI32,$BI$9),COUNTIF('1.연간시수표'!AI32,$BI$7),COUNTIF('1.연간시수표'!AI32,$BJ$9),COUNTIF('1.연간시수표'!AI32,$BJ$7),COUNTIF('1.연간시수표'!AI32,$BK$9),COUNTIF('1.연간시수표'!AI32,$BK$7),COUNTIF('1.연간시수표'!AI32,$BL$9),COUNTIF('1.연간시수표'!AI32,$BL$7),COUNTIF('1.연간시수표'!AI32,$BM$9),COUNTIF('1.연간시수표'!AI32,$BM$7)),$BF$6,IF(OR(COUNTIF('1.연간시수표'!AI32,$BO$9),COUNTIF('1.연간시수표'!AI32,$BO$7)),$BO$6,IF(OR(COUNTIF('1.연간시수표'!AI32,$BP$9),COUNTIF('1.연간시수표'!AI32,$BP$7)),$BP$6,IF(OR(COUNTIF('1.연간시수표'!AI32,$BQ$9),COUNTIF('1.연간시수표'!AI32,$BQ$7)),$BQ$6,IF(OR(COUNTIF('1.연간시수표'!AI32,$BR$9),COUNTIF('1.연간시수표'!AI32,$BR$7)),$BR$6,"_")))))))))))))))</f>
        <v>_</v>
      </c>
      <c r="AJ32" s="148" t="str">
        <f>IF(OR(COUNTIF('1.연간시수표'!AJ32,$AT$9),COUNTIF('1.연간시수표'!AJ32,$AT$7)),$AT$6,IF(OR(COUNTIF('1.연간시수표'!AJ32,$AU$9),COUNTIF('1.연간시수표'!AJ32,$AU$7)),$AU$6,IF(OR(COUNTIF('1.연간시수표'!AJ32,$AV$9),COUNTIF('1.연간시수표'!AJ32,$AV$7)),$AV$6,IF(OR(COUNTIF('1.연간시수표'!AJ32,$AW$9),COUNTIF('1.연간시수표'!AJ32,$AW$7)),$AW$6,IF(OR(COUNTIF('1.연간시수표'!AJ32,$AX$9),COUNTIF('1.연간시수표'!AJ32,$AX$7)),$AX$6,IF(OR(COUNTIF('1.연간시수표'!AJ32,$AY$9),COUNTIF('1.연간시수표'!AJ32,$AY$7)),$AY$6,IF(OR(COUNTIF('1.연간시수표'!AJ32,$AZ$9),COUNTIF('1.연간시수표'!AJ32,$AZ$7)),$AZ$6,IF(OR(COUNTIF('1.연간시수표'!AJ32,$BA$9),COUNTIF('1.연간시수표'!AJ32,$BA$7)),$BA$6,IF(OR(COUNTIF('1.연간시수표'!AJ32,$BB$9),COUNTIF('1.연간시수표'!AJ32,$BB$7)),$BB$6,IF(OR(COUNTIF('1.연간시수표'!AJ32,$BC$9),COUNTIF('1.연간시수표'!AJ32,$BC$7)),$BC$6,IF(OR(COUNTIF('1.연간시수표'!AJ32,$BF$9),COUNTIF('1.연간시수표'!AJ32,$BF$7),COUNTIF('1.연간시수표'!AJ32,$BG$9),COUNTIF('1.연간시수표'!AJ32,$BG$7),COUNTIF('1.연간시수표'!AJ32,$BH$9),COUNTIF('1.연간시수표'!AJ32,$BH$7),COUNTIF('1.연간시수표'!AJ32,$BI$9),COUNTIF('1.연간시수표'!AJ32,$BI$7),COUNTIF('1.연간시수표'!AJ32,$BJ$9),COUNTIF('1.연간시수표'!AJ32,$BJ$7),COUNTIF('1.연간시수표'!AJ32,$BK$9),COUNTIF('1.연간시수표'!AJ32,$BK$7),COUNTIF('1.연간시수표'!AJ32,$BL$9),COUNTIF('1.연간시수표'!AJ32,$BL$7),COUNTIF('1.연간시수표'!AJ32,$BM$9),COUNTIF('1.연간시수표'!AJ32,$BM$7)),$BF$6,IF(OR(COUNTIF('1.연간시수표'!AJ32,$BO$9),COUNTIF('1.연간시수표'!AJ32,$BO$7)),$BO$6,IF(OR(COUNTIF('1.연간시수표'!AJ32,$BP$9),COUNTIF('1.연간시수표'!AJ32,$BP$7)),$BP$6,IF(OR(COUNTIF('1.연간시수표'!AJ32,$BQ$9),COUNTIF('1.연간시수표'!AJ32,$BQ$7)),$BQ$6,IF(OR(COUNTIF('1.연간시수표'!AJ32,$BR$9),COUNTIF('1.연간시수표'!AJ32,$BR$7)),$BR$6,"_")))))))))))))))</f>
        <v>_</v>
      </c>
      <c r="AK32" s="148" t="str">
        <f>IF(OR(COUNTIF('1.연간시수표'!AK32,$AT$9),COUNTIF('1.연간시수표'!AK32,$AT$7)),$AT$6,IF(OR(COUNTIF('1.연간시수표'!AK32,$AU$9),COUNTIF('1.연간시수표'!AK32,$AU$7)),$AU$6,IF(OR(COUNTIF('1.연간시수표'!AK32,$AV$9),COUNTIF('1.연간시수표'!AK32,$AV$7)),$AV$6,IF(OR(COUNTIF('1.연간시수표'!AK32,$AW$9),COUNTIF('1.연간시수표'!AK32,$AW$7)),$AW$6,IF(OR(COUNTIF('1.연간시수표'!AK32,$AX$9),COUNTIF('1.연간시수표'!AK32,$AX$7)),$AX$6,IF(OR(COUNTIF('1.연간시수표'!AK32,$AY$9),COUNTIF('1.연간시수표'!AK32,$AY$7)),$AY$6,IF(OR(COUNTIF('1.연간시수표'!AK32,$AZ$9),COUNTIF('1.연간시수표'!AK32,$AZ$7)),$AZ$6,IF(OR(COUNTIF('1.연간시수표'!AK32,$BA$9),COUNTIF('1.연간시수표'!AK32,$BA$7)),$BA$6,IF(OR(COUNTIF('1.연간시수표'!AK32,$BB$9),COUNTIF('1.연간시수표'!AK32,$BB$7)),$BB$6,IF(OR(COUNTIF('1.연간시수표'!AK32,$BC$9),COUNTIF('1.연간시수표'!AK32,$BC$7)),$BC$6,IF(OR(COUNTIF('1.연간시수표'!AK32,$BF$9),COUNTIF('1.연간시수표'!AK32,$BF$7),COUNTIF('1.연간시수표'!AK32,$BG$9),COUNTIF('1.연간시수표'!AK32,$BG$7),COUNTIF('1.연간시수표'!AK32,$BH$9),COUNTIF('1.연간시수표'!AK32,$BH$7),COUNTIF('1.연간시수표'!AK32,$BI$9),COUNTIF('1.연간시수표'!AK32,$BI$7),COUNTIF('1.연간시수표'!AK32,$BJ$9),COUNTIF('1.연간시수표'!AK32,$BJ$7),COUNTIF('1.연간시수표'!AK32,$BK$9),COUNTIF('1.연간시수표'!AK32,$BK$7),COUNTIF('1.연간시수표'!AK32,$BL$9),COUNTIF('1.연간시수표'!AK32,$BL$7),COUNTIF('1.연간시수표'!AK32,$BM$9),COUNTIF('1.연간시수표'!AK32,$BM$7)),$BF$6,IF(OR(COUNTIF('1.연간시수표'!AK32,$BO$9),COUNTIF('1.연간시수표'!AK32,$BO$7)),$BO$6,IF(OR(COUNTIF('1.연간시수표'!AK32,$BP$9),COUNTIF('1.연간시수표'!AK32,$BP$7)),$BP$6,IF(OR(COUNTIF('1.연간시수표'!AK32,$BQ$9),COUNTIF('1.연간시수표'!AK32,$BQ$7)),$BQ$6,IF(OR(COUNTIF('1.연간시수표'!AK32,$BR$9),COUNTIF('1.연간시수표'!AK32,$BR$7)),$BR$6,"_")))))))))))))))</f>
        <v>_</v>
      </c>
      <c r="AL32" s="148" t="str">
        <f>IF(OR(COUNTIF('1.연간시수표'!AL32,$AT$9),COUNTIF('1.연간시수표'!AL32,$AT$7)),$AT$6,IF(OR(COUNTIF('1.연간시수표'!AL32,$AU$9),COUNTIF('1.연간시수표'!AL32,$AU$7)),$AU$6,IF(OR(COUNTIF('1.연간시수표'!AL32,$AV$9),COUNTIF('1.연간시수표'!AL32,$AV$7)),$AV$6,IF(OR(COUNTIF('1.연간시수표'!AL32,$AW$9),COUNTIF('1.연간시수표'!AL32,$AW$7)),$AW$6,IF(OR(COUNTIF('1.연간시수표'!AL32,$AX$9),COUNTIF('1.연간시수표'!AL32,$AX$7)),$AX$6,IF(OR(COUNTIF('1.연간시수표'!AL32,$AY$9),COUNTIF('1.연간시수표'!AL32,$AY$7)),$AY$6,IF(OR(COUNTIF('1.연간시수표'!AL32,$AZ$9),COUNTIF('1.연간시수표'!AL32,$AZ$7)),$AZ$6,IF(OR(COUNTIF('1.연간시수표'!AL32,$BA$9),COUNTIF('1.연간시수표'!AL32,$BA$7)),$BA$6,IF(OR(COUNTIF('1.연간시수표'!AL32,$BB$9),COUNTIF('1.연간시수표'!AL32,$BB$7)),$BB$6,IF(OR(COUNTIF('1.연간시수표'!AL32,$BC$9),COUNTIF('1.연간시수표'!AL32,$BC$7)),$BC$6,IF(OR(COUNTIF('1.연간시수표'!AL32,$BF$9),COUNTIF('1.연간시수표'!AL32,$BF$7),COUNTIF('1.연간시수표'!AL32,$BG$9),COUNTIF('1.연간시수표'!AL32,$BG$7),COUNTIF('1.연간시수표'!AL32,$BH$9),COUNTIF('1.연간시수표'!AL32,$BH$7),COUNTIF('1.연간시수표'!AL32,$BI$9),COUNTIF('1.연간시수표'!AL32,$BI$7),COUNTIF('1.연간시수표'!AL32,$BJ$9),COUNTIF('1.연간시수표'!AL32,$BJ$7),COUNTIF('1.연간시수표'!AL32,$BK$9),COUNTIF('1.연간시수표'!AL32,$BK$7),COUNTIF('1.연간시수표'!AL32,$BL$9),COUNTIF('1.연간시수표'!AL32,$BL$7),COUNTIF('1.연간시수표'!AL32,$BM$9),COUNTIF('1.연간시수표'!AL32,$BM$7)),$BF$6,IF(OR(COUNTIF('1.연간시수표'!AL32,$BO$9),COUNTIF('1.연간시수표'!AL32,$BO$7)),$BO$6,IF(OR(COUNTIF('1.연간시수표'!AL32,$BP$9),COUNTIF('1.연간시수표'!AL32,$BP$7)),$BP$6,IF(OR(COUNTIF('1.연간시수표'!AL32,$BQ$9),COUNTIF('1.연간시수표'!AL32,$BQ$7)),$BQ$6,IF(OR(COUNTIF('1.연간시수표'!AL32,$BR$9),COUNTIF('1.연간시수표'!AL32,$BR$7)),$BR$6,"_")))))))))))))))</f>
        <v>_</v>
      </c>
      <c r="AM32" s="148" t="str">
        <f>IF(OR(COUNTIF('1.연간시수표'!AM32,$AT$9),COUNTIF('1.연간시수표'!AM32,$AT$7)),$AT$6,IF(OR(COUNTIF('1.연간시수표'!AM32,$AU$9),COUNTIF('1.연간시수표'!AM32,$AU$7)),$AU$6,IF(OR(COUNTIF('1.연간시수표'!AM32,$AV$9),COUNTIF('1.연간시수표'!AM32,$AV$7)),$AV$6,IF(OR(COUNTIF('1.연간시수표'!AM32,$AW$9),COUNTIF('1.연간시수표'!AM32,$AW$7)),$AW$6,IF(OR(COUNTIF('1.연간시수표'!AM32,$AX$9),COUNTIF('1.연간시수표'!AM32,$AX$7)),$AX$6,IF(OR(COUNTIF('1.연간시수표'!AM32,$AY$9),COUNTIF('1.연간시수표'!AM32,$AY$7)),$AY$6,IF(OR(COUNTIF('1.연간시수표'!AM32,$AZ$9),COUNTIF('1.연간시수표'!AM32,$AZ$7)),$AZ$6,IF(OR(COUNTIF('1.연간시수표'!AM32,$BA$9),COUNTIF('1.연간시수표'!AM32,$BA$7)),$BA$6,IF(OR(COUNTIF('1.연간시수표'!AM32,$BB$9),COUNTIF('1.연간시수표'!AM32,$BB$7)),$BB$6,IF(OR(COUNTIF('1.연간시수표'!AM32,$BC$9),COUNTIF('1.연간시수표'!AM32,$BC$7)),$BC$6,IF(OR(COUNTIF('1.연간시수표'!AM32,$BF$9),COUNTIF('1.연간시수표'!AM32,$BF$7),COUNTIF('1.연간시수표'!AM32,$BG$9),COUNTIF('1.연간시수표'!AM32,$BG$7),COUNTIF('1.연간시수표'!AM32,$BH$9),COUNTIF('1.연간시수표'!AM32,$BH$7),COUNTIF('1.연간시수표'!AM32,$BI$9),COUNTIF('1.연간시수표'!AM32,$BI$7),COUNTIF('1.연간시수표'!AM32,$BJ$9),COUNTIF('1.연간시수표'!AM32,$BJ$7),COUNTIF('1.연간시수표'!AM32,$BK$9),COUNTIF('1.연간시수표'!AM32,$BK$7),COUNTIF('1.연간시수표'!AM32,$BL$9),COUNTIF('1.연간시수표'!AM32,$BL$7),COUNTIF('1.연간시수표'!AM32,$BM$9),COUNTIF('1.연간시수표'!AM32,$BM$7)),$BF$6,IF(OR(COUNTIF('1.연간시수표'!AM32,$BO$9),COUNTIF('1.연간시수표'!AM32,$BO$7)),$BO$6,IF(OR(COUNTIF('1.연간시수표'!AM32,$BP$9),COUNTIF('1.연간시수표'!AM32,$BP$7)),$BP$6,IF(OR(COUNTIF('1.연간시수표'!AM32,$BQ$9),COUNTIF('1.연간시수표'!AM32,$BQ$7)),$BQ$6,IF(OR(COUNTIF('1.연간시수표'!AM32,$BR$9),COUNTIF('1.연간시수표'!AM32,$BR$7)),$BR$6,"_")))))))))))))))</f>
        <v>_</v>
      </c>
      <c r="AN32" s="148" t="str">
        <f>IF(OR(COUNTIF('1.연간시수표'!AN32,$AT$9),COUNTIF('1.연간시수표'!AN32,$AT$7)),$AT$6,IF(OR(COUNTIF('1.연간시수표'!AN32,$AU$9),COUNTIF('1.연간시수표'!AN32,$AU$7)),$AU$6,IF(OR(COUNTIF('1.연간시수표'!AN32,$AV$9),COUNTIF('1.연간시수표'!AN32,$AV$7)),$AV$6,IF(OR(COUNTIF('1.연간시수표'!AN32,$AW$9),COUNTIF('1.연간시수표'!AN32,$AW$7)),$AW$6,IF(OR(COUNTIF('1.연간시수표'!AN32,$AX$9),COUNTIF('1.연간시수표'!AN32,$AX$7)),$AX$6,IF(OR(COUNTIF('1.연간시수표'!AN32,$AY$9),COUNTIF('1.연간시수표'!AN32,$AY$7)),$AY$6,IF(OR(COUNTIF('1.연간시수표'!AN32,$AZ$9),COUNTIF('1.연간시수표'!AN32,$AZ$7)),$AZ$6,IF(OR(COUNTIF('1.연간시수표'!AN32,$BA$9),COUNTIF('1.연간시수표'!AN32,$BA$7)),$BA$6,IF(OR(COUNTIF('1.연간시수표'!AN32,$BB$9),COUNTIF('1.연간시수표'!AN32,$BB$7)),$BB$6,IF(OR(COUNTIF('1.연간시수표'!AN32,$BC$9),COUNTIF('1.연간시수표'!AN32,$BC$7)),$BC$6,IF(OR(COUNTIF('1.연간시수표'!AN32,$BF$9),COUNTIF('1.연간시수표'!AN32,$BF$7),COUNTIF('1.연간시수표'!AN32,$BG$9),COUNTIF('1.연간시수표'!AN32,$BG$7),COUNTIF('1.연간시수표'!AN32,$BH$9),COUNTIF('1.연간시수표'!AN32,$BH$7),COUNTIF('1.연간시수표'!AN32,$BI$9),COUNTIF('1.연간시수표'!AN32,$BI$7),COUNTIF('1.연간시수표'!AN32,$BJ$9),COUNTIF('1.연간시수표'!AN32,$BJ$7),COUNTIF('1.연간시수표'!AN32,$BK$9),COUNTIF('1.연간시수표'!AN32,$BK$7),COUNTIF('1.연간시수표'!AN32,$BL$9),COUNTIF('1.연간시수표'!AN32,$BL$7),COUNTIF('1.연간시수표'!AN32,$BM$9),COUNTIF('1.연간시수표'!AN32,$BM$7)),$BF$6,IF(OR(COUNTIF('1.연간시수표'!AN32,$BO$9),COUNTIF('1.연간시수표'!AN32,$BO$7)),$BO$6,IF(OR(COUNTIF('1.연간시수표'!AN32,$BP$9),COUNTIF('1.연간시수표'!AN32,$BP$7)),$BP$6,IF(OR(COUNTIF('1.연간시수표'!AN32,$BQ$9),COUNTIF('1.연간시수표'!AN32,$BQ$7)),$BQ$6,IF(OR(COUNTIF('1.연간시수표'!AN32,$BR$9),COUNTIF('1.연간시수표'!AN32,$BR$7)),$BR$6,"_")))))))))))))))</f>
        <v>_</v>
      </c>
      <c r="AO32" s="148" t="str">
        <f>IF(OR(COUNTIF('1.연간시수표'!AO32,$AT$9),COUNTIF('1.연간시수표'!AO32,$AT$7)),$AT$6,IF(OR(COUNTIF('1.연간시수표'!AO32,$AU$9),COUNTIF('1.연간시수표'!AO32,$AU$7)),$AU$6,IF(OR(COUNTIF('1.연간시수표'!AO32,$AV$9),COUNTIF('1.연간시수표'!AO32,$AV$7)),$AV$6,IF(OR(COUNTIF('1.연간시수표'!AO32,$AW$9),COUNTIF('1.연간시수표'!AO32,$AW$7)),$AW$6,IF(OR(COUNTIF('1.연간시수표'!AO32,$AX$9),COUNTIF('1.연간시수표'!AO32,$AX$7)),$AX$6,IF(OR(COUNTIF('1.연간시수표'!AO32,$AY$9),COUNTIF('1.연간시수표'!AO32,$AY$7)),$AY$6,IF(OR(COUNTIF('1.연간시수표'!AO32,$AZ$9),COUNTIF('1.연간시수표'!AO32,$AZ$7)),$AZ$6,IF(OR(COUNTIF('1.연간시수표'!AO32,$BA$9),COUNTIF('1.연간시수표'!AO32,$BA$7)),$BA$6,IF(OR(COUNTIF('1.연간시수표'!AO32,$BB$9),COUNTIF('1.연간시수표'!AO32,$BB$7)),$BB$6,IF(OR(COUNTIF('1.연간시수표'!AO32,$BC$9),COUNTIF('1.연간시수표'!AO32,$BC$7)),$BC$6,IF(OR(COUNTIF('1.연간시수표'!AO32,$BF$9),COUNTIF('1.연간시수표'!AO32,$BF$7),COUNTIF('1.연간시수표'!AO32,$BG$9),COUNTIF('1.연간시수표'!AO32,$BG$7),COUNTIF('1.연간시수표'!AO32,$BH$9),COUNTIF('1.연간시수표'!AO32,$BH$7),COUNTIF('1.연간시수표'!AO32,$BI$9),COUNTIF('1.연간시수표'!AO32,$BI$7),COUNTIF('1.연간시수표'!AO32,$BJ$9),COUNTIF('1.연간시수표'!AO32,$BJ$7),COUNTIF('1.연간시수표'!AO32,$BK$9),COUNTIF('1.연간시수표'!AO32,$BK$7),COUNTIF('1.연간시수표'!AO32,$BL$9),COUNTIF('1.연간시수표'!AO32,$BL$7),COUNTIF('1.연간시수표'!AO32,$BM$9),COUNTIF('1.연간시수표'!AO32,$BM$7)),$BF$6,IF(OR(COUNTIF('1.연간시수표'!AO32,$BO$9),COUNTIF('1.연간시수표'!AO32,$BO$7)),$BO$6,IF(OR(COUNTIF('1.연간시수표'!AO32,$BP$9),COUNTIF('1.연간시수표'!AO32,$BP$7)),$BP$6,IF(OR(COUNTIF('1.연간시수표'!AO32,$BQ$9),COUNTIF('1.연간시수표'!AO32,$BQ$7)),$BQ$6,IF(OR(COUNTIF('1.연간시수표'!AO32,$BR$9),COUNTIF('1.연간시수표'!AO32,$BR$7)),$BR$6,"_")))))))))))))))</f>
        <v>_</v>
      </c>
      <c r="AP32" s="148" t="str">
        <f>IF(OR(COUNTIF('1.연간시수표'!AP32,$AT$9),COUNTIF('1.연간시수표'!AP32,$AT$7)),$AT$6,IF(OR(COUNTIF('1.연간시수표'!AP32,$AU$9),COUNTIF('1.연간시수표'!AP32,$AU$7)),$AU$6,IF(OR(COUNTIF('1.연간시수표'!AP32,$AV$9),COUNTIF('1.연간시수표'!AP32,$AV$7)),$AV$6,IF(OR(COUNTIF('1.연간시수표'!AP32,$AW$9),COUNTIF('1.연간시수표'!AP32,$AW$7)),$AW$6,IF(OR(COUNTIF('1.연간시수표'!AP32,$AX$9),COUNTIF('1.연간시수표'!AP32,$AX$7)),$AX$6,IF(OR(COUNTIF('1.연간시수표'!AP32,$AY$9),COUNTIF('1.연간시수표'!AP32,$AY$7)),$AY$6,IF(OR(COUNTIF('1.연간시수표'!AP32,$AZ$9),COUNTIF('1.연간시수표'!AP32,$AZ$7)),$AZ$6,IF(OR(COUNTIF('1.연간시수표'!AP32,$BA$9),COUNTIF('1.연간시수표'!AP32,$BA$7)),$BA$6,IF(OR(COUNTIF('1.연간시수표'!AP32,$BB$9),COUNTIF('1.연간시수표'!AP32,$BB$7)),$BB$6,IF(OR(COUNTIF('1.연간시수표'!AP32,$BC$9),COUNTIF('1.연간시수표'!AP32,$BC$7)),$BC$6,IF(OR(COUNTIF('1.연간시수표'!AP32,$BF$9),COUNTIF('1.연간시수표'!AP32,$BF$7),COUNTIF('1.연간시수표'!AP32,$BG$9),COUNTIF('1.연간시수표'!AP32,$BG$7),COUNTIF('1.연간시수표'!AP32,$BH$9),COUNTIF('1.연간시수표'!AP32,$BH$7),COUNTIF('1.연간시수표'!AP32,$BI$9),COUNTIF('1.연간시수표'!AP32,$BI$7),COUNTIF('1.연간시수표'!AP32,$BJ$9),COUNTIF('1.연간시수표'!AP32,$BJ$7),COUNTIF('1.연간시수표'!AP32,$BK$9),COUNTIF('1.연간시수표'!AP32,$BK$7),COUNTIF('1.연간시수표'!AP32,$BL$9),COUNTIF('1.연간시수표'!AP32,$BL$7),COUNTIF('1.연간시수표'!AP32,$BM$9),COUNTIF('1.연간시수표'!AP32,$BM$7)),$BF$6,IF(OR(COUNTIF('1.연간시수표'!AP32,$BO$9),COUNTIF('1.연간시수표'!AP32,$BO$7)),$BO$6,IF(OR(COUNTIF('1.연간시수표'!AP32,$BP$9),COUNTIF('1.연간시수표'!AP32,$BP$7)),$BP$6,IF(OR(COUNTIF('1.연간시수표'!AP32,$BQ$9),COUNTIF('1.연간시수표'!AP32,$BQ$7)),$BQ$6,IF(OR(COUNTIF('1.연간시수표'!AP32,$BR$9),COUNTIF('1.연간시수표'!AP32,$BR$7)),$BR$6,"_")))))))))))))))</f>
        <v>_</v>
      </c>
      <c r="AQ32" s="148" t="str">
        <f>IF(OR(COUNTIF('1.연간시수표'!AQ32,$AT$9),COUNTIF('1.연간시수표'!AQ32,$AT$7)),$AT$6,IF(OR(COUNTIF('1.연간시수표'!AQ32,$AU$9),COUNTIF('1.연간시수표'!AQ32,$AU$7)),$AU$6,IF(OR(COUNTIF('1.연간시수표'!AQ32,$AV$9),COUNTIF('1.연간시수표'!AQ32,$AV$7)),$AV$6,IF(OR(COUNTIF('1.연간시수표'!AQ32,$AW$9),COUNTIF('1.연간시수표'!AQ32,$AW$7)),$AW$6,IF(OR(COUNTIF('1.연간시수표'!AQ32,$AX$9),COUNTIF('1.연간시수표'!AQ32,$AX$7)),$AX$6,IF(OR(COUNTIF('1.연간시수표'!AQ32,$AY$9),COUNTIF('1.연간시수표'!AQ32,$AY$7)),$AY$6,IF(OR(COUNTIF('1.연간시수표'!AQ32,$AZ$9),COUNTIF('1.연간시수표'!AQ32,$AZ$7)),$AZ$6,IF(OR(COUNTIF('1.연간시수표'!AQ32,$BA$9),COUNTIF('1.연간시수표'!AQ32,$BA$7)),$BA$6,IF(OR(COUNTIF('1.연간시수표'!AQ32,$BB$9),COUNTIF('1.연간시수표'!AQ32,$BB$7)),$BB$6,IF(OR(COUNTIF('1.연간시수표'!AQ32,$BC$9),COUNTIF('1.연간시수표'!AQ32,$BC$7)),$BC$6,IF(OR(COUNTIF('1.연간시수표'!AQ32,$BF$9),COUNTIF('1.연간시수표'!AQ32,$BF$7),COUNTIF('1.연간시수표'!AQ32,$BG$9),COUNTIF('1.연간시수표'!AQ32,$BG$7),COUNTIF('1.연간시수표'!AQ32,$BH$9),COUNTIF('1.연간시수표'!AQ32,$BH$7),COUNTIF('1.연간시수표'!AQ32,$BI$9),COUNTIF('1.연간시수표'!AQ32,$BI$7),COUNTIF('1.연간시수표'!AQ32,$BJ$9),COUNTIF('1.연간시수표'!AQ32,$BJ$7),COUNTIF('1.연간시수표'!AQ32,$BK$9),COUNTIF('1.연간시수표'!AQ32,$BK$7),COUNTIF('1.연간시수표'!AQ32,$BL$9),COUNTIF('1.연간시수표'!AQ32,$BL$7),COUNTIF('1.연간시수표'!AQ32,$BM$9),COUNTIF('1.연간시수표'!AQ32,$BM$7)),$BF$6,IF(OR(COUNTIF('1.연간시수표'!AQ32,$BO$9),COUNTIF('1.연간시수표'!AQ32,$BO$7)),$BO$6,IF(OR(COUNTIF('1.연간시수표'!AQ32,$BP$9),COUNTIF('1.연간시수표'!AQ32,$BP$7)),$BP$6,IF(OR(COUNTIF('1.연간시수표'!AQ32,$BQ$9),COUNTIF('1.연간시수표'!AQ32,$BQ$7)),$BQ$6,IF(OR(COUNTIF('1.연간시수표'!AQ32,$BR$9),COUNTIF('1.연간시수표'!AQ32,$BR$7)),$BR$6,"_")))))))))))))))</f>
        <v>_</v>
      </c>
      <c r="AR32" s="148" t="str">
        <f>IF(OR(COUNTIF('1.연간시수표'!AR32,$AT$9),COUNTIF('1.연간시수표'!AR32,$AT$7)),$AT$6,IF(OR(COUNTIF('1.연간시수표'!AR32,$AU$9),COUNTIF('1.연간시수표'!AR32,$AU$7)),$AU$6,IF(OR(COUNTIF('1.연간시수표'!AR32,$AV$9),COUNTIF('1.연간시수표'!AR32,$AV$7)),$AV$6,IF(OR(COUNTIF('1.연간시수표'!AR32,$AW$9),COUNTIF('1.연간시수표'!AR32,$AW$7)),$AW$6,IF(OR(COUNTIF('1.연간시수표'!AR32,$AX$9),COUNTIF('1.연간시수표'!AR32,$AX$7)),$AX$6,IF(OR(COUNTIF('1.연간시수표'!AR32,$AY$9),COUNTIF('1.연간시수표'!AR32,$AY$7)),$AY$6,IF(OR(COUNTIF('1.연간시수표'!AR32,$AZ$9),COUNTIF('1.연간시수표'!AR32,$AZ$7)),$AZ$6,IF(OR(COUNTIF('1.연간시수표'!AR32,$BA$9),COUNTIF('1.연간시수표'!AR32,$BA$7)),$BA$6,IF(OR(COUNTIF('1.연간시수표'!AR32,$BB$9),COUNTIF('1.연간시수표'!AR32,$BB$7)),$BB$6,IF(OR(COUNTIF('1.연간시수표'!AR32,$BC$9),COUNTIF('1.연간시수표'!AR32,$BC$7)),$BC$6,IF(OR(COUNTIF('1.연간시수표'!AR32,$BF$9),COUNTIF('1.연간시수표'!AR32,$BF$7),COUNTIF('1.연간시수표'!AR32,$BG$9),COUNTIF('1.연간시수표'!AR32,$BG$7),COUNTIF('1.연간시수표'!AR32,$BH$9),COUNTIF('1.연간시수표'!AR32,$BH$7),COUNTIF('1.연간시수표'!AR32,$BI$9),COUNTIF('1.연간시수표'!AR32,$BI$7),COUNTIF('1.연간시수표'!AR32,$BJ$9),COUNTIF('1.연간시수표'!AR32,$BJ$7),COUNTIF('1.연간시수표'!AR32,$BK$9),COUNTIF('1.연간시수표'!AR32,$BK$7),COUNTIF('1.연간시수표'!AR32,$BL$9),COUNTIF('1.연간시수표'!AR32,$BL$7),COUNTIF('1.연간시수표'!AR32,$BM$9),COUNTIF('1.연간시수표'!AR32,$BM$7)),$BF$6,IF(OR(COUNTIF('1.연간시수표'!AR32,$BO$9),COUNTIF('1.연간시수표'!AR32,$BO$7)),$BO$6,IF(OR(COUNTIF('1.연간시수표'!AR32,$BP$9),COUNTIF('1.연간시수표'!AR32,$BP$7)),$BP$6,IF(OR(COUNTIF('1.연간시수표'!AR32,$BQ$9),COUNTIF('1.연간시수표'!AR32,$BQ$7)),$BQ$6,IF(OR(COUNTIF('1.연간시수표'!AR32,$BR$9),COUNTIF('1.연간시수표'!AR32,$BR$7)),$BR$6,"_")))))))))))))))</f>
        <v>_</v>
      </c>
      <c r="BU32" s="34"/>
      <c r="BV32" s="34"/>
    </row>
    <row r="33" spans="2:74" ht="13.5" customHeight="1">
      <c r="C33" s="2"/>
      <c r="BU33" s="34"/>
      <c r="BV33" s="34"/>
    </row>
    <row r="34" spans="2:74">
      <c r="BU34" s="34"/>
      <c r="BV34" s="34"/>
    </row>
    <row r="35" spans="2:74">
      <c r="BU35" s="34"/>
      <c r="BV35" s="34"/>
    </row>
    <row r="36" spans="2:74">
      <c r="BU36" s="34"/>
      <c r="BV36" s="34"/>
    </row>
    <row r="37" spans="2:74">
      <c r="BU37" s="34"/>
      <c r="BV37" s="34"/>
    </row>
    <row r="38" spans="2:74">
      <c r="BU38" s="34"/>
      <c r="BV38" s="34"/>
    </row>
    <row r="39" spans="2:74">
      <c r="BU39" s="34"/>
      <c r="BV39" s="34"/>
    </row>
    <row r="40" spans="2:74">
      <c r="BU40" s="34"/>
      <c r="BV40" s="34"/>
    </row>
    <row r="41" spans="2:74">
      <c r="BU41" s="34"/>
      <c r="BV41" s="34"/>
    </row>
    <row r="42" spans="2:74">
      <c r="AO42" s="2"/>
      <c r="AP42" s="2"/>
      <c r="AQ42" s="92"/>
      <c r="AR42" s="92"/>
      <c r="BU42" s="34"/>
      <c r="BV42" s="34"/>
    </row>
    <row r="43" spans="2:74">
      <c r="AO43" s="2"/>
      <c r="AP43" s="2"/>
      <c r="AQ43" s="92"/>
      <c r="AR43" s="92"/>
      <c r="BU43" s="34"/>
      <c r="BV43" s="34"/>
    </row>
    <row r="44" spans="2:74">
      <c r="AO44" s="2"/>
      <c r="AP44" s="2"/>
      <c r="AQ44" s="92"/>
      <c r="AR44" s="92"/>
      <c r="BU44" s="34"/>
      <c r="BV44" s="33"/>
    </row>
    <row r="45" spans="2:74">
      <c r="BU45" s="34"/>
      <c r="BV45" s="33"/>
    </row>
    <row r="46" spans="2:74" ht="20.100000000000001" customHeight="1">
      <c r="B46" s="190" t="s">
        <v>37</v>
      </c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BU46" s="34"/>
      <c r="BV46" s="33"/>
    </row>
    <row r="47" spans="2:74" ht="13.5" customHeight="1">
      <c r="B47" s="194" t="s">
        <v>8</v>
      </c>
      <c r="C47" s="194" t="s">
        <v>9</v>
      </c>
      <c r="D47" s="194" t="s">
        <v>10</v>
      </c>
      <c r="E47" s="196" t="s">
        <v>2</v>
      </c>
      <c r="F47" s="197"/>
      <c r="G47" s="197"/>
      <c r="H47" s="197"/>
      <c r="I47" s="197"/>
      <c r="J47" s="197"/>
      <c r="K47" s="197"/>
      <c r="L47" s="198"/>
      <c r="M47" s="196" t="s">
        <v>13</v>
      </c>
      <c r="N47" s="197"/>
      <c r="O47" s="197"/>
      <c r="P47" s="197"/>
      <c r="Q47" s="197"/>
      <c r="R47" s="197"/>
      <c r="S47" s="197"/>
      <c r="T47" s="198"/>
      <c r="U47" s="196" t="s">
        <v>14</v>
      </c>
      <c r="V47" s="197"/>
      <c r="W47" s="197"/>
      <c r="X47" s="197"/>
      <c r="Y47" s="197"/>
      <c r="Z47" s="197"/>
      <c r="AA47" s="197"/>
      <c r="AB47" s="198"/>
      <c r="AC47" s="196" t="s">
        <v>16</v>
      </c>
      <c r="AD47" s="197"/>
      <c r="AE47" s="197"/>
      <c r="AF47" s="197"/>
      <c r="AG47" s="197"/>
      <c r="AH47" s="197"/>
      <c r="AI47" s="197"/>
      <c r="AJ47" s="198"/>
      <c r="AK47" s="196" t="s">
        <v>12</v>
      </c>
      <c r="AL47" s="197"/>
      <c r="AM47" s="197"/>
      <c r="AN47" s="197"/>
      <c r="AO47" s="197"/>
      <c r="AP47" s="197"/>
      <c r="AQ47" s="197"/>
      <c r="AR47" s="198"/>
      <c r="BU47" s="34"/>
      <c r="BV47" s="33"/>
    </row>
    <row r="48" spans="2:74" ht="13.5" customHeight="1">
      <c r="B48" s="194"/>
      <c r="C48" s="194"/>
      <c r="D48" s="194"/>
      <c r="E48" s="199"/>
      <c r="F48" s="200"/>
      <c r="G48" s="200"/>
      <c r="H48" s="200"/>
      <c r="I48" s="200"/>
      <c r="J48" s="200"/>
      <c r="K48" s="200"/>
      <c r="L48" s="201"/>
      <c r="M48" s="199"/>
      <c r="N48" s="200"/>
      <c r="O48" s="200"/>
      <c r="P48" s="200"/>
      <c r="Q48" s="200"/>
      <c r="R48" s="200"/>
      <c r="S48" s="200"/>
      <c r="T48" s="201"/>
      <c r="U48" s="199"/>
      <c r="V48" s="200"/>
      <c r="W48" s="200"/>
      <c r="X48" s="200"/>
      <c r="Y48" s="200"/>
      <c r="Z48" s="200"/>
      <c r="AA48" s="200"/>
      <c r="AB48" s="201"/>
      <c r="AC48" s="199"/>
      <c r="AD48" s="200"/>
      <c r="AE48" s="200"/>
      <c r="AF48" s="200"/>
      <c r="AG48" s="200"/>
      <c r="AH48" s="200"/>
      <c r="AI48" s="200"/>
      <c r="AJ48" s="201"/>
      <c r="AK48" s="199"/>
      <c r="AL48" s="200"/>
      <c r="AM48" s="200"/>
      <c r="AN48" s="200"/>
      <c r="AO48" s="200"/>
      <c r="AP48" s="200"/>
      <c r="AQ48" s="200"/>
      <c r="AR48" s="201"/>
      <c r="BU48" s="34"/>
      <c r="BV48" s="33"/>
    </row>
    <row r="49" spans="2:73" ht="13.5" customHeight="1">
      <c r="B49" s="194"/>
      <c r="C49" s="194"/>
      <c r="D49" s="194"/>
      <c r="E49" s="194">
        <v>1</v>
      </c>
      <c r="F49" s="194">
        <v>2</v>
      </c>
      <c r="G49" s="194">
        <v>3</v>
      </c>
      <c r="H49" s="194">
        <v>4</v>
      </c>
      <c r="I49" s="194">
        <v>5</v>
      </c>
      <c r="J49" s="194">
        <v>6</v>
      </c>
      <c r="K49" s="195">
        <v>7</v>
      </c>
      <c r="L49" s="195">
        <v>8</v>
      </c>
      <c r="M49" s="194">
        <v>1</v>
      </c>
      <c r="N49" s="194">
        <v>2</v>
      </c>
      <c r="O49" s="194">
        <v>3</v>
      </c>
      <c r="P49" s="194">
        <v>4</v>
      </c>
      <c r="Q49" s="194">
        <v>5</v>
      </c>
      <c r="R49" s="194">
        <v>6</v>
      </c>
      <c r="S49" s="195">
        <v>7</v>
      </c>
      <c r="T49" s="195">
        <v>8</v>
      </c>
      <c r="U49" s="194">
        <v>1</v>
      </c>
      <c r="V49" s="194">
        <v>2</v>
      </c>
      <c r="W49" s="194">
        <v>3</v>
      </c>
      <c r="X49" s="194">
        <v>4</v>
      </c>
      <c r="Y49" s="194">
        <v>5</v>
      </c>
      <c r="Z49" s="194">
        <v>6</v>
      </c>
      <c r="AA49" s="195">
        <v>7</v>
      </c>
      <c r="AB49" s="195">
        <v>8</v>
      </c>
      <c r="AC49" s="194">
        <v>1</v>
      </c>
      <c r="AD49" s="194">
        <v>2</v>
      </c>
      <c r="AE49" s="194">
        <v>3</v>
      </c>
      <c r="AF49" s="194">
        <v>4</v>
      </c>
      <c r="AG49" s="194">
        <v>5</v>
      </c>
      <c r="AH49" s="194">
        <v>6</v>
      </c>
      <c r="AI49" s="195">
        <v>7</v>
      </c>
      <c r="AJ49" s="195">
        <v>8</v>
      </c>
      <c r="AK49" s="194">
        <v>1</v>
      </c>
      <c r="AL49" s="194">
        <v>2</v>
      </c>
      <c r="AM49" s="194">
        <v>3</v>
      </c>
      <c r="AN49" s="194">
        <v>4</v>
      </c>
      <c r="AO49" s="194">
        <v>5</v>
      </c>
      <c r="AP49" s="194">
        <v>6</v>
      </c>
      <c r="AQ49" s="195">
        <v>7</v>
      </c>
      <c r="AR49" s="195">
        <v>8</v>
      </c>
      <c r="BU49" s="34"/>
    </row>
    <row r="50" spans="2:73">
      <c r="B50" s="194"/>
      <c r="C50" s="194"/>
      <c r="D50" s="194"/>
      <c r="E50" s="194"/>
      <c r="F50" s="194"/>
      <c r="G50" s="194"/>
      <c r="H50" s="194"/>
      <c r="I50" s="194"/>
      <c r="J50" s="194"/>
      <c r="K50" s="202"/>
      <c r="L50" s="202"/>
      <c r="M50" s="194"/>
      <c r="N50" s="194"/>
      <c r="O50" s="194"/>
      <c r="P50" s="194"/>
      <c r="Q50" s="194"/>
      <c r="R50" s="194"/>
      <c r="S50" s="202"/>
      <c r="T50" s="202"/>
      <c r="U50" s="194"/>
      <c r="V50" s="194"/>
      <c r="W50" s="194"/>
      <c r="X50" s="194"/>
      <c r="Y50" s="194"/>
      <c r="Z50" s="194"/>
      <c r="AA50" s="202"/>
      <c r="AB50" s="202"/>
      <c r="AC50" s="194"/>
      <c r="AD50" s="194"/>
      <c r="AE50" s="194"/>
      <c r="AF50" s="194"/>
      <c r="AG50" s="194"/>
      <c r="AH50" s="194"/>
      <c r="AI50" s="202"/>
      <c r="AJ50" s="202"/>
      <c r="AK50" s="194"/>
      <c r="AL50" s="194"/>
      <c r="AM50" s="194"/>
      <c r="AN50" s="194"/>
      <c r="AO50" s="194"/>
      <c r="AP50" s="194"/>
      <c r="AQ50" s="202"/>
      <c r="AR50" s="202"/>
      <c r="BU50" s="34"/>
    </row>
    <row r="51" spans="2:73">
      <c r="B51" s="194"/>
      <c r="C51" s="194"/>
      <c r="D51" s="5" t="s">
        <v>11</v>
      </c>
      <c r="E51" s="195"/>
      <c r="F51" s="195"/>
      <c r="G51" s="195"/>
      <c r="H51" s="195"/>
      <c r="I51" s="195"/>
      <c r="J51" s="195"/>
      <c r="K51" s="203"/>
      <c r="L51" s="203"/>
      <c r="M51" s="195"/>
      <c r="N51" s="195"/>
      <c r="O51" s="195"/>
      <c r="P51" s="195"/>
      <c r="Q51" s="195"/>
      <c r="R51" s="195"/>
      <c r="S51" s="203"/>
      <c r="T51" s="203"/>
      <c r="U51" s="195"/>
      <c r="V51" s="195"/>
      <c r="W51" s="195"/>
      <c r="X51" s="195"/>
      <c r="Y51" s="195"/>
      <c r="Z51" s="195"/>
      <c r="AA51" s="203"/>
      <c r="AB51" s="203"/>
      <c r="AC51" s="195"/>
      <c r="AD51" s="195"/>
      <c r="AE51" s="195"/>
      <c r="AF51" s="195"/>
      <c r="AG51" s="195"/>
      <c r="AH51" s="195"/>
      <c r="AI51" s="203"/>
      <c r="AJ51" s="203"/>
      <c r="AK51" s="195"/>
      <c r="AL51" s="195"/>
      <c r="AM51" s="195"/>
      <c r="AN51" s="195"/>
      <c r="AO51" s="195"/>
      <c r="AP51" s="195"/>
      <c r="AQ51" s="203"/>
      <c r="AR51" s="203"/>
      <c r="BU51" s="34"/>
    </row>
    <row r="52" spans="2:73">
      <c r="B52" s="6"/>
      <c r="C52" s="5">
        <f>'1.연간시수표'!C52</f>
        <v>21</v>
      </c>
      <c r="D52" s="3"/>
      <c r="E52" s="148" t="str">
        <f>IF(OR(COUNTIF('1.연간시수표'!E52,$AT$9),COUNTIF('1.연간시수표'!E52,$AT$7)),$AT$6,IF(OR(COUNTIF('1.연간시수표'!E52,$AU$9),COUNTIF('1.연간시수표'!E52,$AU$7)),$AU$6,IF(OR(COUNTIF('1.연간시수표'!E52,$AV$9),COUNTIF('1.연간시수표'!E52,$AV$7)),$AV$6,IF(OR(COUNTIF('1.연간시수표'!E52,$AW$9),COUNTIF('1.연간시수표'!E52,$AW$7)),$AW$6,IF(OR(COUNTIF('1.연간시수표'!E52,$AX$9),COUNTIF('1.연간시수표'!E52,$AX$7)),$AX$6,IF(OR(COUNTIF('1.연간시수표'!E52,$AY$9),COUNTIF('1.연간시수표'!E52,$AY$7)),$AY$6,IF(OR(COUNTIF('1.연간시수표'!E52,$AZ$9),COUNTIF('1.연간시수표'!E52,$AZ$7)),$AZ$6,IF(OR(COUNTIF('1.연간시수표'!E52,$BA$9),COUNTIF('1.연간시수표'!E52,$BA$7)),$BA$6,IF(OR(COUNTIF('1.연간시수표'!E52,$BB$9),COUNTIF('1.연간시수표'!E52,$BB$7)),$BB$6,IF(OR(COUNTIF('1.연간시수표'!E52,$BC$9),COUNTIF('1.연간시수표'!E52,$BC$7)),$BC$6,IF(OR(COUNTIF('1.연간시수표'!E52,$BF$9),COUNTIF('1.연간시수표'!E52,$BF$7),COUNTIF('1.연간시수표'!E52,$BG$9),COUNTIF('1.연간시수표'!E52,$BG$7),COUNTIF('1.연간시수표'!E52,$BH$9),COUNTIF('1.연간시수표'!E52,$BH$7),COUNTIF('1.연간시수표'!E52,$BI$9),COUNTIF('1.연간시수표'!E52,$BI$7),COUNTIF('1.연간시수표'!E52,$BJ$9),COUNTIF('1.연간시수표'!E52,$BJ$7),COUNTIF('1.연간시수표'!E52,$BK$9),COUNTIF('1.연간시수표'!E52,$BK$7),COUNTIF('1.연간시수표'!E52,$BL$9),COUNTIF('1.연간시수표'!E52,$BL$7),COUNTIF('1.연간시수표'!E52,$BM$9),COUNTIF('1.연간시수표'!E52,$BM$7)),$BF$6,IF(OR(COUNTIF('1.연간시수표'!E52,$BO$9),COUNTIF('1.연간시수표'!E52,$BO$7)),$BO$6,IF(OR(COUNTIF('1.연간시수표'!E52,$BP$9),COUNTIF('1.연간시수표'!E52,$BP$7)),$BP$6,IF(OR(COUNTIF('1.연간시수표'!E52,$BQ$9),COUNTIF('1.연간시수표'!E52,$BQ$7)),$BQ$6,IF(OR(COUNTIF('1.연간시수표'!E52,$BR$9),COUNTIF('1.연간시수표'!E52,$BR$7)),$BR$6,"_")))))))))))))))</f>
        <v>_</v>
      </c>
      <c r="F52" s="148" t="str">
        <f>IF(OR(COUNTIF('1.연간시수표'!F52,$AT$9),COUNTIF('1.연간시수표'!F52,$AT$7)),$AT$6,IF(OR(COUNTIF('1.연간시수표'!F52,$AU$9),COUNTIF('1.연간시수표'!F52,$AU$7)),$AU$6,IF(OR(COUNTIF('1.연간시수표'!F52,$AV$9),COUNTIF('1.연간시수표'!F52,$AV$7)),$AV$6,IF(OR(COUNTIF('1.연간시수표'!F52,$AW$9),COUNTIF('1.연간시수표'!F52,$AW$7)),$AW$6,IF(OR(COUNTIF('1.연간시수표'!F52,$AX$9),COUNTIF('1.연간시수표'!F52,$AX$7)),$AX$6,IF(OR(COUNTIF('1.연간시수표'!F52,$AY$9),COUNTIF('1.연간시수표'!F52,$AY$7)),$AY$6,IF(OR(COUNTIF('1.연간시수표'!F52,$AZ$9),COUNTIF('1.연간시수표'!F52,$AZ$7)),$AZ$6,IF(OR(COUNTIF('1.연간시수표'!F52,$BA$9),COUNTIF('1.연간시수표'!F52,$BA$7)),$BA$6,IF(OR(COUNTIF('1.연간시수표'!F52,$BB$9),COUNTIF('1.연간시수표'!F52,$BB$7)),$BB$6,IF(OR(COUNTIF('1.연간시수표'!F52,$BC$9),COUNTIF('1.연간시수표'!F52,$BC$7)),$BC$6,IF(OR(COUNTIF('1.연간시수표'!F52,$BF$9),COUNTIF('1.연간시수표'!F52,$BF$7),COUNTIF('1.연간시수표'!F52,$BG$9),COUNTIF('1.연간시수표'!F52,$BG$7),COUNTIF('1.연간시수표'!F52,$BH$9),COUNTIF('1.연간시수표'!F52,$BH$7),COUNTIF('1.연간시수표'!F52,$BI$9),COUNTIF('1.연간시수표'!F52,$BI$7),COUNTIF('1.연간시수표'!F52,$BJ$9),COUNTIF('1.연간시수표'!F52,$BJ$7),COUNTIF('1.연간시수표'!F52,$BK$9),COUNTIF('1.연간시수표'!F52,$BK$7),COUNTIF('1.연간시수표'!F52,$BL$9),COUNTIF('1.연간시수표'!F52,$BL$7),COUNTIF('1.연간시수표'!F52,$BM$9),COUNTIF('1.연간시수표'!F52,$BM$7)),$BF$6,IF(OR(COUNTIF('1.연간시수표'!F52,$BO$9),COUNTIF('1.연간시수표'!F52,$BO$7)),$BO$6,IF(OR(COUNTIF('1.연간시수표'!F52,$BP$9),COUNTIF('1.연간시수표'!F52,$BP$7)),$BP$6,IF(OR(COUNTIF('1.연간시수표'!F52,$BQ$9),COUNTIF('1.연간시수표'!F52,$BQ$7)),$BQ$6,IF(OR(COUNTIF('1.연간시수표'!F52,$BR$9),COUNTIF('1.연간시수표'!F52,$BR$7)),$BR$6,"_")))))))))))))))</f>
        <v>_</v>
      </c>
      <c r="G52" s="148" t="str">
        <f>IF(OR(COUNTIF('1.연간시수표'!G52,$AT$9),COUNTIF('1.연간시수표'!G52,$AT$7)),$AT$6,IF(OR(COUNTIF('1.연간시수표'!G52,$AU$9),COUNTIF('1.연간시수표'!G52,$AU$7)),$AU$6,IF(OR(COUNTIF('1.연간시수표'!G52,$AV$9),COUNTIF('1.연간시수표'!G52,$AV$7)),$AV$6,IF(OR(COUNTIF('1.연간시수표'!G52,$AW$9),COUNTIF('1.연간시수표'!G52,$AW$7)),$AW$6,IF(OR(COUNTIF('1.연간시수표'!G52,$AX$9),COUNTIF('1.연간시수표'!G52,$AX$7)),$AX$6,IF(OR(COUNTIF('1.연간시수표'!G52,$AY$9),COUNTIF('1.연간시수표'!G52,$AY$7)),$AY$6,IF(OR(COUNTIF('1.연간시수표'!G52,$AZ$9),COUNTIF('1.연간시수표'!G52,$AZ$7)),$AZ$6,IF(OR(COUNTIF('1.연간시수표'!G52,$BA$9),COUNTIF('1.연간시수표'!G52,$BA$7)),$BA$6,IF(OR(COUNTIF('1.연간시수표'!G52,$BB$9),COUNTIF('1.연간시수표'!G52,$BB$7)),$BB$6,IF(OR(COUNTIF('1.연간시수표'!G52,$BC$9),COUNTIF('1.연간시수표'!G52,$BC$7)),$BC$6,IF(OR(COUNTIF('1.연간시수표'!G52,$BF$9),COUNTIF('1.연간시수표'!G52,$BF$7),COUNTIF('1.연간시수표'!G52,$BG$9),COUNTIF('1.연간시수표'!G52,$BG$7),COUNTIF('1.연간시수표'!G52,$BH$9),COUNTIF('1.연간시수표'!G52,$BH$7),COUNTIF('1.연간시수표'!G52,$BI$9),COUNTIF('1.연간시수표'!G52,$BI$7),COUNTIF('1.연간시수표'!G52,$BJ$9),COUNTIF('1.연간시수표'!G52,$BJ$7),COUNTIF('1.연간시수표'!G52,$BK$9),COUNTIF('1.연간시수표'!G52,$BK$7),COUNTIF('1.연간시수표'!G52,$BL$9),COUNTIF('1.연간시수표'!G52,$BL$7),COUNTIF('1.연간시수표'!G52,$BM$9),COUNTIF('1.연간시수표'!G52,$BM$7)),$BF$6,IF(OR(COUNTIF('1.연간시수표'!G52,$BO$9),COUNTIF('1.연간시수표'!G52,$BO$7)),$BO$6,IF(OR(COUNTIF('1.연간시수표'!G52,$BP$9),COUNTIF('1.연간시수표'!G52,$BP$7)),$BP$6,IF(OR(COUNTIF('1.연간시수표'!G52,$BQ$9),COUNTIF('1.연간시수표'!G52,$BQ$7)),$BQ$6,IF(OR(COUNTIF('1.연간시수표'!G52,$BR$9),COUNTIF('1.연간시수표'!G52,$BR$7)),$BR$6,"_")))))))))))))))</f>
        <v>_</v>
      </c>
      <c r="H52" s="148" t="str">
        <f>IF(OR(COUNTIF('1.연간시수표'!H52,$AT$9),COUNTIF('1.연간시수표'!H52,$AT$7)),$AT$6,IF(OR(COUNTIF('1.연간시수표'!H52,$AU$9),COUNTIF('1.연간시수표'!H52,$AU$7)),$AU$6,IF(OR(COUNTIF('1.연간시수표'!H52,$AV$9),COUNTIF('1.연간시수표'!H52,$AV$7)),$AV$6,IF(OR(COUNTIF('1.연간시수표'!H52,$AW$9),COUNTIF('1.연간시수표'!H52,$AW$7)),$AW$6,IF(OR(COUNTIF('1.연간시수표'!H52,$AX$9),COUNTIF('1.연간시수표'!H52,$AX$7)),$AX$6,IF(OR(COUNTIF('1.연간시수표'!H52,$AY$9),COUNTIF('1.연간시수표'!H52,$AY$7)),$AY$6,IF(OR(COUNTIF('1.연간시수표'!H52,$AZ$9),COUNTIF('1.연간시수표'!H52,$AZ$7)),$AZ$6,IF(OR(COUNTIF('1.연간시수표'!H52,$BA$9),COUNTIF('1.연간시수표'!H52,$BA$7)),$BA$6,IF(OR(COUNTIF('1.연간시수표'!H52,$BB$9),COUNTIF('1.연간시수표'!H52,$BB$7)),$BB$6,IF(OR(COUNTIF('1.연간시수표'!H52,$BC$9),COUNTIF('1.연간시수표'!H52,$BC$7)),$BC$6,IF(OR(COUNTIF('1.연간시수표'!H52,$BF$9),COUNTIF('1.연간시수표'!H52,$BF$7),COUNTIF('1.연간시수표'!H52,$BG$9),COUNTIF('1.연간시수표'!H52,$BG$7),COUNTIF('1.연간시수표'!H52,$BH$9),COUNTIF('1.연간시수표'!H52,$BH$7),COUNTIF('1.연간시수표'!H52,$BI$9),COUNTIF('1.연간시수표'!H52,$BI$7),COUNTIF('1.연간시수표'!H52,$BJ$9),COUNTIF('1.연간시수표'!H52,$BJ$7),COUNTIF('1.연간시수표'!H52,$BK$9),COUNTIF('1.연간시수표'!H52,$BK$7),COUNTIF('1.연간시수표'!H52,$BL$9),COUNTIF('1.연간시수표'!H52,$BL$7),COUNTIF('1.연간시수표'!H52,$BM$9),COUNTIF('1.연간시수표'!H52,$BM$7)),$BF$6,IF(OR(COUNTIF('1.연간시수표'!H52,$BO$9),COUNTIF('1.연간시수표'!H52,$BO$7)),$BO$6,IF(OR(COUNTIF('1.연간시수표'!H52,$BP$9),COUNTIF('1.연간시수표'!H52,$BP$7)),$BP$6,IF(OR(COUNTIF('1.연간시수표'!H52,$BQ$9),COUNTIF('1.연간시수표'!H52,$BQ$7)),$BQ$6,IF(OR(COUNTIF('1.연간시수표'!H52,$BR$9),COUNTIF('1.연간시수표'!H52,$BR$7)),$BR$6,"_")))))))))))))))</f>
        <v>_</v>
      </c>
      <c r="I52" s="148" t="str">
        <f>IF(OR(COUNTIF('1.연간시수표'!I52,$AT$9),COUNTIF('1.연간시수표'!I52,$AT$7)),$AT$6,IF(OR(COUNTIF('1.연간시수표'!I52,$AU$9),COUNTIF('1.연간시수표'!I52,$AU$7)),$AU$6,IF(OR(COUNTIF('1.연간시수표'!I52,$AV$9),COUNTIF('1.연간시수표'!I52,$AV$7)),$AV$6,IF(OR(COUNTIF('1.연간시수표'!I52,$AW$9),COUNTIF('1.연간시수표'!I52,$AW$7)),$AW$6,IF(OR(COUNTIF('1.연간시수표'!I52,$AX$9),COUNTIF('1.연간시수표'!I52,$AX$7)),$AX$6,IF(OR(COUNTIF('1.연간시수표'!I52,$AY$9),COUNTIF('1.연간시수표'!I52,$AY$7)),$AY$6,IF(OR(COUNTIF('1.연간시수표'!I52,$AZ$9),COUNTIF('1.연간시수표'!I52,$AZ$7)),$AZ$6,IF(OR(COUNTIF('1.연간시수표'!I52,$BA$9),COUNTIF('1.연간시수표'!I52,$BA$7)),$BA$6,IF(OR(COUNTIF('1.연간시수표'!I52,$BB$9),COUNTIF('1.연간시수표'!I52,$BB$7)),$BB$6,IF(OR(COUNTIF('1.연간시수표'!I52,$BC$9),COUNTIF('1.연간시수표'!I52,$BC$7)),$BC$6,IF(OR(COUNTIF('1.연간시수표'!I52,$BF$9),COUNTIF('1.연간시수표'!I52,$BF$7),COUNTIF('1.연간시수표'!I52,$BG$9),COUNTIF('1.연간시수표'!I52,$BG$7),COUNTIF('1.연간시수표'!I52,$BH$9),COUNTIF('1.연간시수표'!I52,$BH$7),COUNTIF('1.연간시수표'!I52,$BI$9),COUNTIF('1.연간시수표'!I52,$BI$7),COUNTIF('1.연간시수표'!I52,$BJ$9),COUNTIF('1.연간시수표'!I52,$BJ$7),COUNTIF('1.연간시수표'!I52,$BK$9),COUNTIF('1.연간시수표'!I52,$BK$7),COUNTIF('1.연간시수표'!I52,$BL$9),COUNTIF('1.연간시수표'!I52,$BL$7),COUNTIF('1.연간시수표'!I52,$BM$9),COUNTIF('1.연간시수표'!I52,$BM$7)),$BF$6,IF(OR(COUNTIF('1.연간시수표'!I52,$BO$9),COUNTIF('1.연간시수표'!I52,$BO$7)),$BO$6,IF(OR(COUNTIF('1.연간시수표'!I52,$BP$9),COUNTIF('1.연간시수표'!I52,$BP$7)),$BP$6,IF(OR(COUNTIF('1.연간시수표'!I52,$BQ$9),COUNTIF('1.연간시수표'!I52,$BQ$7)),$BQ$6,IF(OR(COUNTIF('1.연간시수표'!I52,$BR$9),COUNTIF('1.연간시수표'!I52,$BR$7)),$BR$6,"_")))))))))))))))</f>
        <v>_</v>
      </c>
      <c r="J52" s="148" t="str">
        <f>IF(OR(COUNTIF('1.연간시수표'!J52,$AT$9),COUNTIF('1.연간시수표'!J52,$AT$7)),$AT$6,IF(OR(COUNTIF('1.연간시수표'!J52,$AU$9),COUNTIF('1.연간시수표'!J52,$AU$7)),$AU$6,IF(OR(COUNTIF('1.연간시수표'!J52,$AV$9),COUNTIF('1.연간시수표'!J52,$AV$7)),$AV$6,IF(OR(COUNTIF('1.연간시수표'!J52,$AW$9),COUNTIF('1.연간시수표'!J52,$AW$7)),$AW$6,IF(OR(COUNTIF('1.연간시수표'!J52,$AX$9),COUNTIF('1.연간시수표'!J52,$AX$7)),$AX$6,IF(OR(COUNTIF('1.연간시수표'!J52,$AY$9),COUNTIF('1.연간시수표'!J52,$AY$7)),$AY$6,IF(OR(COUNTIF('1.연간시수표'!J52,$AZ$9),COUNTIF('1.연간시수표'!J52,$AZ$7)),$AZ$6,IF(OR(COUNTIF('1.연간시수표'!J52,$BA$9),COUNTIF('1.연간시수표'!J52,$BA$7)),$BA$6,IF(OR(COUNTIF('1.연간시수표'!J52,$BB$9),COUNTIF('1.연간시수표'!J52,$BB$7)),$BB$6,IF(OR(COUNTIF('1.연간시수표'!J52,$BC$9),COUNTIF('1.연간시수표'!J52,$BC$7)),$BC$6,IF(OR(COUNTIF('1.연간시수표'!J52,$BF$9),COUNTIF('1.연간시수표'!J52,$BF$7),COUNTIF('1.연간시수표'!J52,$BG$9),COUNTIF('1.연간시수표'!J52,$BG$7),COUNTIF('1.연간시수표'!J52,$BH$9),COUNTIF('1.연간시수표'!J52,$BH$7),COUNTIF('1.연간시수표'!J52,$BI$9),COUNTIF('1.연간시수표'!J52,$BI$7),COUNTIF('1.연간시수표'!J52,$BJ$9),COUNTIF('1.연간시수표'!J52,$BJ$7),COUNTIF('1.연간시수표'!J52,$BK$9),COUNTIF('1.연간시수표'!J52,$BK$7),COUNTIF('1.연간시수표'!J52,$BL$9),COUNTIF('1.연간시수표'!J52,$BL$7),COUNTIF('1.연간시수표'!J52,$BM$9),COUNTIF('1.연간시수표'!J52,$BM$7)),$BF$6,IF(OR(COUNTIF('1.연간시수표'!J52,$BO$9),COUNTIF('1.연간시수표'!J52,$BO$7)),$BO$6,IF(OR(COUNTIF('1.연간시수표'!J52,$BP$9),COUNTIF('1.연간시수표'!J52,$BP$7)),$BP$6,IF(OR(COUNTIF('1.연간시수표'!J52,$BQ$9),COUNTIF('1.연간시수표'!J52,$BQ$7)),$BQ$6,IF(OR(COUNTIF('1.연간시수표'!J52,$BR$9),COUNTIF('1.연간시수표'!J52,$BR$7)),$BR$6,"_")))))))))))))))</f>
        <v>_</v>
      </c>
      <c r="K52" s="148" t="str">
        <f>IF(OR(COUNTIF('1.연간시수표'!K52,$AT$9),COUNTIF('1.연간시수표'!K52,$AT$7)),$AT$6,IF(OR(COUNTIF('1.연간시수표'!K52,$AU$9),COUNTIF('1.연간시수표'!K52,$AU$7)),$AU$6,IF(OR(COUNTIF('1.연간시수표'!K52,$AV$9),COUNTIF('1.연간시수표'!K52,$AV$7)),$AV$6,IF(OR(COUNTIF('1.연간시수표'!K52,$AW$9),COUNTIF('1.연간시수표'!K52,$AW$7)),$AW$6,IF(OR(COUNTIF('1.연간시수표'!K52,$AX$9),COUNTIF('1.연간시수표'!K52,$AX$7)),$AX$6,IF(OR(COUNTIF('1.연간시수표'!K52,$AY$9),COUNTIF('1.연간시수표'!K52,$AY$7)),$AY$6,IF(OR(COUNTIF('1.연간시수표'!K52,$AZ$9),COUNTIF('1.연간시수표'!K52,$AZ$7)),$AZ$6,IF(OR(COUNTIF('1.연간시수표'!K52,$BA$9),COUNTIF('1.연간시수표'!K52,$BA$7)),$BA$6,IF(OR(COUNTIF('1.연간시수표'!K52,$BB$9),COUNTIF('1.연간시수표'!K52,$BB$7)),$BB$6,IF(OR(COUNTIF('1.연간시수표'!K52,$BC$9),COUNTIF('1.연간시수표'!K52,$BC$7)),$BC$6,IF(OR(COUNTIF('1.연간시수표'!K52,$BF$9),COUNTIF('1.연간시수표'!K52,$BF$7),COUNTIF('1.연간시수표'!K52,$BG$9),COUNTIF('1.연간시수표'!K52,$BG$7),COUNTIF('1.연간시수표'!K52,$BH$9),COUNTIF('1.연간시수표'!K52,$BH$7),COUNTIF('1.연간시수표'!K52,$BI$9),COUNTIF('1.연간시수표'!K52,$BI$7),COUNTIF('1.연간시수표'!K52,$BJ$9),COUNTIF('1.연간시수표'!K52,$BJ$7),COUNTIF('1.연간시수표'!K52,$BK$9),COUNTIF('1.연간시수표'!K52,$BK$7),COUNTIF('1.연간시수표'!K52,$BL$9),COUNTIF('1.연간시수표'!K52,$BL$7),COUNTIF('1.연간시수표'!K52,$BM$9),COUNTIF('1.연간시수표'!K52,$BM$7)),$BF$6,IF(OR(COUNTIF('1.연간시수표'!K52,$BO$9),COUNTIF('1.연간시수표'!K52,$BO$7)),$BO$6,IF(OR(COUNTIF('1.연간시수표'!K52,$BP$9),COUNTIF('1.연간시수표'!K52,$BP$7)),$BP$6,IF(OR(COUNTIF('1.연간시수표'!K52,$BQ$9),COUNTIF('1.연간시수표'!K52,$BQ$7)),$BQ$6,IF(OR(COUNTIF('1.연간시수표'!K52,$BR$9),COUNTIF('1.연간시수표'!K52,$BR$7)),$BR$6,"_")))))))))))))))</f>
        <v>_</v>
      </c>
      <c r="L52" s="148" t="str">
        <f>IF(OR(COUNTIF('1.연간시수표'!L52,$AT$9),COUNTIF('1.연간시수표'!L52,$AT$7)),$AT$6,IF(OR(COUNTIF('1.연간시수표'!L52,$AU$9),COUNTIF('1.연간시수표'!L52,$AU$7)),$AU$6,IF(OR(COUNTIF('1.연간시수표'!L52,$AV$9),COUNTIF('1.연간시수표'!L52,$AV$7)),$AV$6,IF(OR(COUNTIF('1.연간시수표'!L52,$AW$9),COUNTIF('1.연간시수표'!L52,$AW$7)),$AW$6,IF(OR(COUNTIF('1.연간시수표'!L52,$AX$9),COUNTIF('1.연간시수표'!L52,$AX$7)),$AX$6,IF(OR(COUNTIF('1.연간시수표'!L52,$AY$9),COUNTIF('1.연간시수표'!L52,$AY$7)),$AY$6,IF(OR(COUNTIF('1.연간시수표'!L52,$AZ$9),COUNTIF('1.연간시수표'!L52,$AZ$7)),$AZ$6,IF(OR(COUNTIF('1.연간시수표'!L52,$BA$9),COUNTIF('1.연간시수표'!L52,$BA$7)),$BA$6,IF(OR(COUNTIF('1.연간시수표'!L52,$BB$9),COUNTIF('1.연간시수표'!L52,$BB$7)),$BB$6,IF(OR(COUNTIF('1.연간시수표'!L52,$BC$9),COUNTIF('1.연간시수표'!L52,$BC$7)),$BC$6,IF(OR(COUNTIF('1.연간시수표'!L52,$BF$9),COUNTIF('1.연간시수표'!L52,$BF$7),COUNTIF('1.연간시수표'!L52,$BG$9),COUNTIF('1.연간시수표'!L52,$BG$7),COUNTIF('1.연간시수표'!L52,$BH$9),COUNTIF('1.연간시수표'!L52,$BH$7),COUNTIF('1.연간시수표'!L52,$BI$9),COUNTIF('1.연간시수표'!L52,$BI$7),COUNTIF('1.연간시수표'!L52,$BJ$9),COUNTIF('1.연간시수표'!L52,$BJ$7),COUNTIF('1.연간시수표'!L52,$BK$9),COUNTIF('1.연간시수표'!L52,$BK$7),COUNTIF('1.연간시수표'!L52,$BL$9),COUNTIF('1.연간시수표'!L52,$BL$7),COUNTIF('1.연간시수표'!L52,$BM$9),COUNTIF('1.연간시수표'!L52,$BM$7)),$BF$6,IF(OR(COUNTIF('1.연간시수표'!L52,$BO$9),COUNTIF('1.연간시수표'!L52,$BO$7)),$BO$6,IF(OR(COUNTIF('1.연간시수표'!L52,$BP$9),COUNTIF('1.연간시수표'!L52,$BP$7)),$BP$6,IF(OR(COUNTIF('1.연간시수표'!L52,$BQ$9),COUNTIF('1.연간시수표'!L52,$BQ$7)),$BQ$6,IF(OR(COUNTIF('1.연간시수표'!L52,$BR$9),COUNTIF('1.연간시수표'!L52,$BR$7)),$BR$6,"_")))))))))))))))</f>
        <v>_</v>
      </c>
      <c r="M52" s="148" t="str">
        <f>IF(OR(COUNTIF('1.연간시수표'!M52,$AT$9),COUNTIF('1.연간시수표'!M52,$AT$7)),$AT$6,IF(OR(COUNTIF('1.연간시수표'!M52,$AU$9),COUNTIF('1.연간시수표'!M52,$AU$7)),$AU$6,IF(OR(COUNTIF('1.연간시수표'!M52,$AV$9),COUNTIF('1.연간시수표'!M52,$AV$7)),$AV$6,IF(OR(COUNTIF('1.연간시수표'!M52,$AW$9),COUNTIF('1.연간시수표'!M52,$AW$7)),$AW$6,IF(OR(COUNTIF('1.연간시수표'!M52,$AX$9),COUNTIF('1.연간시수표'!M52,$AX$7)),$AX$6,IF(OR(COUNTIF('1.연간시수표'!M52,$AY$9),COUNTIF('1.연간시수표'!M52,$AY$7)),$AY$6,IF(OR(COUNTIF('1.연간시수표'!M52,$AZ$9),COUNTIF('1.연간시수표'!M52,$AZ$7)),$AZ$6,IF(OR(COUNTIF('1.연간시수표'!M52,$BA$9),COUNTIF('1.연간시수표'!M52,$BA$7)),$BA$6,IF(OR(COUNTIF('1.연간시수표'!M52,$BB$9),COUNTIF('1.연간시수표'!M52,$BB$7)),$BB$6,IF(OR(COUNTIF('1.연간시수표'!M52,$BC$9),COUNTIF('1.연간시수표'!M52,$BC$7)),$BC$6,IF(OR(COUNTIF('1.연간시수표'!M52,$BF$9),COUNTIF('1.연간시수표'!M52,$BF$7),COUNTIF('1.연간시수표'!M52,$BG$9),COUNTIF('1.연간시수표'!M52,$BG$7),COUNTIF('1.연간시수표'!M52,$BH$9),COUNTIF('1.연간시수표'!M52,$BH$7),COUNTIF('1.연간시수표'!M52,$BI$9),COUNTIF('1.연간시수표'!M52,$BI$7),COUNTIF('1.연간시수표'!M52,$BJ$9),COUNTIF('1.연간시수표'!M52,$BJ$7),COUNTIF('1.연간시수표'!M52,$BK$9),COUNTIF('1.연간시수표'!M52,$BK$7),COUNTIF('1.연간시수표'!M52,$BL$9),COUNTIF('1.연간시수표'!M52,$BL$7),COUNTIF('1.연간시수표'!M52,$BM$9),COUNTIF('1.연간시수표'!M52,$BM$7)),$BF$6,IF(OR(COUNTIF('1.연간시수표'!M52,$BO$9),COUNTIF('1.연간시수표'!M52,$BO$7)),$BO$6,IF(OR(COUNTIF('1.연간시수표'!M52,$BP$9),COUNTIF('1.연간시수표'!M52,$BP$7)),$BP$6,IF(OR(COUNTIF('1.연간시수표'!M52,$BQ$9),COUNTIF('1.연간시수표'!M52,$BQ$7)),$BQ$6,IF(OR(COUNTIF('1.연간시수표'!M52,$BR$9),COUNTIF('1.연간시수표'!M52,$BR$7)),$BR$6,"_")))))))))))))))</f>
        <v>_</v>
      </c>
      <c r="N52" s="148" t="str">
        <f>IF(OR(COUNTIF('1.연간시수표'!N52,$AT$9),COUNTIF('1.연간시수표'!N52,$AT$7)),$AT$6,IF(OR(COUNTIF('1.연간시수표'!N52,$AU$9),COUNTIF('1.연간시수표'!N52,$AU$7)),$AU$6,IF(OR(COUNTIF('1.연간시수표'!N52,$AV$9),COUNTIF('1.연간시수표'!N52,$AV$7)),$AV$6,IF(OR(COUNTIF('1.연간시수표'!N52,$AW$9),COUNTIF('1.연간시수표'!N52,$AW$7)),$AW$6,IF(OR(COUNTIF('1.연간시수표'!N52,$AX$9),COUNTIF('1.연간시수표'!N52,$AX$7)),$AX$6,IF(OR(COUNTIF('1.연간시수표'!N52,$AY$9),COUNTIF('1.연간시수표'!N52,$AY$7)),$AY$6,IF(OR(COUNTIF('1.연간시수표'!N52,$AZ$9),COUNTIF('1.연간시수표'!N52,$AZ$7)),$AZ$6,IF(OR(COUNTIF('1.연간시수표'!N52,$BA$9),COUNTIF('1.연간시수표'!N52,$BA$7)),$BA$6,IF(OR(COUNTIF('1.연간시수표'!N52,$BB$9),COUNTIF('1.연간시수표'!N52,$BB$7)),$BB$6,IF(OR(COUNTIF('1.연간시수표'!N52,$BC$9),COUNTIF('1.연간시수표'!N52,$BC$7)),$BC$6,IF(OR(COUNTIF('1.연간시수표'!N52,$BF$9),COUNTIF('1.연간시수표'!N52,$BF$7),COUNTIF('1.연간시수표'!N52,$BG$9),COUNTIF('1.연간시수표'!N52,$BG$7),COUNTIF('1.연간시수표'!N52,$BH$9),COUNTIF('1.연간시수표'!N52,$BH$7),COUNTIF('1.연간시수표'!N52,$BI$9),COUNTIF('1.연간시수표'!N52,$BI$7),COUNTIF('1.연간시수표'!N52,$BJ$9),COUNTIF('1.연간시수표'!N52,$BJ$7),COUNTIF('1.연간시수표'!N52,$BK$9),COUNTIF('1.연간시수표'!N52,$BK$7),COUNTIF('1.연간시수표'!N52,$BL$9),COUNTIF('1.연간시수표'!N52,$BL$7),COUNTIF('1.연간시수표'!N52,$BM$9),COUNTIF('1.연간시수표'!N52,$BM$7)),$BF$6,IF(OR(COUNTIF('1.연간시수표'!N52,$BO$9),COUNTIF('1.연간시수표'!N52,$BO$7)),$BO$6,IF(OR(COUNTIF('1.연간시수표'!N52,$BP$9),COUNTIF('1.연간시수표'!N52,$BP$7)),$BP$6,IF(OR(COUNTIF('1.연간시수표'!N52,$BQ$9),COUNTIF('1.연간시수표'!N52,$BQ$7)),$BQ$6,IF(OR(COUNTIF('1.연간시수표'!N52,$BR$9),COUNTIF('1.연간시수표'!N52,$BR$7)),$BR$6,"_")))))))))))))))</f>
        <v>_</v>
      </c>
      <c r="O52" s="148" t="str">
        <f>IF(OR(COUNTIF('1.연간시수표'!O52,$AT$9),COUNTIF('1.연간시수표'!O52,$AT$7)),$AT$6,IF(OR(COUNTIF('1.연간시수표'!O52,$AU$9),COUNTIF('1.연간시수표'!O52,$AU$7)),$AU$6,IF(OR(COUNTIF('1.연간시수표'!O52,$AV$9),COUNTIF('1.연간시수표'!O52,$AV$7)),$AV$6,IF(OR(COUNTIF('1.연간시수표'!O52,$AW$9),COUNTIF('1.연간시수표'!O52,$AW$7)),$AW$6,IF(OR(COUNTIF('1.연간시수표'!O52,$AX$9),COUNTIF('1.연간시수표'!O52,$AX$7)),$AX$6,IF(OR(COUNTIF('1.연간시수표'!O52,$AY$9),COUNTIF('1.연간시수표'!O52,$AY$7)),$AY$6,IF(OR(COUNTIF('1.연간시수표'!O52,$AZ$9),COUNTIF('1.연간시수표'!O52,$AZ$7)),$AZ$6,IF(OR(COUNTIF('1.연간시수표'!O52,$BA$9),COUNTIF('1.연간시수표'!O52,$BA$7)),$BA$6,IF(OR(COUNTIF('1.연간시수표'!O52,$BB$9),COUNTIF('1.연간시수표'!O52,$BB$7)),$BB$6,IF(OR(COUNTIF('1.연간시수표'!O52,$BC$9),COUNTIF('1.연간시수표'!O52,$BC$7)),$BC$6,IF(OR(COUNTIF('1.연간시수표'!O52,$BF$9),COUNTIF('1.연간시수표'!O52,$BF$7),COUNTIF('1.연간시수표'!O52,$BG$9),COUNTIF('1.연간시수표'!O52,$BG$7),COUNTIF('1.연간시수표'!O52,$BH$9),COUNTIF('1.연간시수표'!O52,$BH$7),COUNTIF('1.연간시수표'!O52,$BI$9),COUNTIF('1.연간시수표'!O52,$BI$7),COUNTIF('1.연간시수표'!O52,$BJ$9),COUNTIF('1.연간시수표'!O52,$BJ$7),COUNTIF('1.연간시수표'!O52,$BK$9),COUNTIF('1.연간시수표'!O52,$BK$7),COUNTIF('1.연간시수표'!O52,$BL$9),COUNTIF('1.연간시수표'!O52,$BL$7),COUNTIF('1.연간시수표'!O52,$BM$9),COUNTIF('1.연간시수표'!O52,$BM$7)),$BF$6,IF(OR(COUNTIF('1.연간시수표'!O52,$BO$9),COUNTIF('1.연간시수표'!O52,$BO$7)),$BO$6,IF(OR(COUNTIF('1.연간시수표'!O52,$BP$9),COUNTIF('1.연간시수표'!O52,$BP$7)),$BP$6,IF(OR(COUNTIF('1.연간시수표'!O52,$BQ$9),COUNTIF('1.연간시수표'!O52,$BQ$7)),$BQ$6,IF(OR(COUNTIF('1.연간시수표'!O52,$BR$9),COUNTIF('1.연간시수표'!O52,$BR$7)),$BR$6,"_")))))))))))))))</f>
        <v>_</v>
      </c>
      <c r="P52" s="148" t="str">
        <f>IF(OR(COUNTIF('1.연간시수표'!P52,$AT$9),COUNTIF('1.연간시수표'!P52,$AT$7)),$AT$6,IF(OR(COUNTIF('1.연간시수표'!P52,$AU$9),COUNTIF('1.연간시수표'!P52,$AU$7)),$AU$6,IF(OR(COUNTIF('1.연간시수표'!P52,$AV$9),COUNTIF('1.연간시수표'!P52,$AV$7)),$AV$6,IF(OR(COUNTIF('1.연간시수표'!P52,$AW$9),COUNTIF('1.연간시수표'!P52,$AW$7)),$AW$6,IF(OR(COUNTIF('1.연간시수표'!P52,$AX$9),COUNTIF('1.연간시수표'!P52,$AX$7)),$AX$6,IF(OR(COUNTIF('1.연간시수표'!P52,$AY$9),COUNTIF('1.연간시수표'!P52,$AY$7)),$AY$6,IF(OR(COUNTIF('1.연간시수표'!P52,$AZ$9),COUNTIF('1.연간시수표'!P52,$AZ$7)),$AZ$6,IF(OR(COUNTIF('1.연간시수표'!P52,$BA$9),COUNTIF('1.연간시수표'!P52,$BA$7)),$BA$6,IF(OR(COUNTIF('1.연간시수표'!P52,$BB$9),COUNTIF('1.연간시수표'!P52,$BB$7)),$BB$6,IF(OR(COUNTIF('1.연간시수표'!P52,$BC$9),COUNTIF('1.연간시수표'!P52,$BC$7)),$BC$6,IF(OR(COUNTIF('1.연간시수표'!P52,$BF$9),COUNTIF('1.연간시수표'!P52,$BF$7),COUNTIF('1.연간시수표'!P52,$BG$9),COUNTIF('1.연간시수표'!P52,$BG$7),COUNTIF('1.연간시수표'!P52,$BH$9),COUNTIF('1.연간시수표'!P52,$BH$7),COUNTIF('1.연간시수표'!P52,$BI$9),COUNTIF('1.연간시수표'!P52,$BI$7),COUNTIF('1.연간시수표'!P52,$BJ$9),COUNTIF('1.연간시수표'!P52,$BJ$7),COUNTIF('1.연간시수표'!P52,$BK$9),COUNTIF('1.연간시수표'!P52,$BK$7),COUNTIF('1.연간시수표'!P52,$BL$9),COUNTIF('1.연간시수표'!P52,$BL$7),COUNTIF('1.연간시수표'!P52,$BM$9),COUNTIF('1.연간시수표'!P52,$BM$7)),$BF$6,IF(OR(COUNTIF('1.연간시수표'!P52,$BO$9),COUNTIF('1.연간시수표'!P52,$BO$7)),$BO$6,IF(OR(COUNTIF('1.연간시수표'!P52,$BP$9),COUNTIF('1.연간시수표'!P52,$BP$7)),$BP$6,IF(OR(COUNTIF('1.연간시수표'!P52,$BQ$9),COUNTIF('1.연간시수표'!P52,$BQ$7)),$BQ$6,IF(OR(COUNTIF('1.연간시수표'!P52,$BR$9),COUNTIF('1.연간시수표'!P52,$BR$7)),$BR$6,"_")))))))))))))))</f>
        <v>_</v>
      </c>
      <c r="Q52" s="148" t="str">
        <f>IF(OR(COUNTIF('1.연간시수표'!Q52,$AT$9),COUNTIF('1.연간시수표'!Q52,$AT$7)),$AT$6,IF(OR(COUNTIF('1.연간시수표'!Q52,$AU$9),COUNTIF('1.연간시수표'!Q52,$AU$7)),$AU$6,IF(OR(COUNTIF('1.연간시수표'!Q52,$AV$9),COUNTIF('1.연간시수표'!Q52,$AV$7)),$AV$6,IF(OR(COUNTIF('1.연간시수표'!Q52,$AW$9),COUNTIF('1.연간시수표'!Q52,$AW$7)),$AW$6,IF(OR(COUNTIF('1.연간시수표'!Q52,$AX$9),COUNTIF('1.연간시수표'!Q52,$AX$7)),$AX$6,IF(OR(COUNTIF('1.연간시수표'!Q52,$AY$9),COUNTIF('1.연간시수표'!Q52,$AY$7)),$AY$6,IF(OR(COUNTIF('1.연간시수표'!Q52,$AZ$9),COUNTIF('1.연간시수표'!Q52,$AZ$7)),$AZ$6,IF(OR(COUNTIF('1.연간시수표'!Q52,$BA$9),COUNTIF('1.연간시수표'!Q52,$BA$7)),$BA$6,IF(OR(COUNTIF('1.연간시수표'!Q52,$BB$9),COUNTIF('1.연간시수표'!Q52,$BB$7)),$BB$6,IF(OR(COUNTIF('1.연간시수표'!Q52,$BC$9),COUNTIF('1.연간시수표'!Q52,$BC$7)),$BC$6,IF(OR(COUNTIF('1.연간시수표'!Q52,$BF$9),COUNTIF('1.연간시수표'!Q52,$BF$7),COUNTIF('1.연간시수표'!Q52,$BG$9),COUNTIF('1.연간시수표'!Q52,$BG$7),COUNTIF('1.연간시수표'!Q52,$BH$9),COUNTIF('1.연간시수표'!Q52,$BH$7),COUNTIF('1.연간시수표'!Q52,$BI$9),COUNTIF('1.연간시수표'!Q52,$BI$7),COUNTIF('1.연간시수표'!Q52,$BJ$9),COUNTIF('1.연간시수표'!Q52,$BJ$7),COUNTIF('1.연간시수표'!Q52,$BK$9),COUNTIF('1.연간시수표'!Q52,$BK$7),COUNTIF('1.연간시수표'!Q52,$BL$9),COUNTIF('1.연간시수표'!Q52,$BL$7),COUNTIF('1.연간시수표'!Q52,$BM$9),COUNTIF('1.연간시수표'!Q52,$BM$7)),$BF$6,IF(OR(COUNTIF('1.연간시수표'!Q52,$BO$9),COUNTIF('1.연간시수표'!Q52,$BO$7)),$BO$6,IF(OR(COUNTIF('1.연간시수표'!Q52,$BP$9),COUNTIF('1.연간시수표'!Q52,$BP$7)),$BP$6,IF(OR(COUNTIF('1.연간시수표'!Q52,$BQ$9),COUNTIF('1.연간시수표'!Q52,$BQ$7)),$BQ$6,IF(OR(COUNTIF('1.연간시수표'!Q52,$BR$9),COUNTIF('1.연간시수표'!Q52,$BR$7)),$BR$6,"_")))))))))))))))</f>
        <v>_</v>
      </c>
      <c r="R52" s="148" t="str">
        <f>IF(OR(COUNTIF('1.연간시수표'!R52,$AT$9),COUNTIF('1.연간시수표'!R52,$AT$7)),$AT$6,IF(OR(COUNTIF('1.연간시수표'!R52,$AU$9),COUNTIF('1.연간시수표'!R52,$AU$7)),$AU$6,IF(OR(COUNTIF('1.연간시수표'!R52,$AV$9),COUNTIF('1.연간시수표'!R52,$AV$7)),$AV$6,IF(OR(COUNTIF('1.연간시수표'!R52,$AW$9),COUNTIF('1.연간시수표'!R52,$AW$7)),$AW$6,IF(OR(COUNTIF('1.연간시수표'!R52,$AX$9),COUNTIF('1.연간시수표'!R52,$AX$7)),$AX$6,IF(OR(COUNTIF('1.연간시수표'!R52,$AY$9),COUNTIF('1.연간시수표'!R52,$AY$7)),$AY$6,IF(OR(COUNTIF('1.연간시수표'!R52,$AZ$9),COUNTIF('1.연간시수표'!R52,$AZ$7)),$AZ$6,IF(OR(COUNTIF('1.연간시수표'!R52,$BA$9),COUNTIF('1.연간시수표'!R52,$BA$7)),$BA$6,IF(OR(COUNTIF('1.연간시수표'!R52,$BB$9),COUNTIF('1.연간시수표'!R52,$BB$7)),$BB$6,IF(OR(COUNTIF('1.연간시수표'!R52,$BC$9),COUNTIF('1.연간시수표'!R52,$BC$7)),$BC$6,IF(OR(COUNTIF('1.연간시수표'!R52,$BF$9),COUNTIF('1.연간시수표'!R52,$BF$7),COUNTIF('1.연간시수표'!R52,$BG$9),COUNTIF('1.연간시수표'!R52,$BG$7),COUNTIF('1.연간시수표'!R52,$BH$9),COUNTIF('1.연간시수표'!R52,$BH$7),COUNTIF('1.연간시수표'!R52,$BI$9),COUNTIF('1.연간시수표'!R52,$BI$7),COUNTIF('1.연간시수표'!R52,$BJ$9),COUNTIF('1.연간시수표'!R52,$BJ$7),COUNTIF('1.연간시수표'!R52,$BK$9),COUNTIF('1.연간시수표'!R52,$BK$7),COUNTIF('1.연간시수표'!R52,$BL$9),COUNTIF('1.연간시수표'!R52,$BL$7),COUNTIF('1.연간시수표'!R52,$BM$9),COUNTIF('1.연간시수표'!R52,$BM$7)),$BF$6,IF(OR(COUNTIF('1.연간시수표'!R52,$BO$9),COUNTIF('1.연간시수표'!R52,$BO$7)),$BO$6,IF(OR(COUNTIF('1.연간시수표'!R52,$BP$9),COUNTIF('1.연간시수표'!R52,$BP$7)),$BP$6,IF(OR(COUNTIF('1.연간시수표'!R52,$BQ$9),COUNTIF('1.연간시수표'!R52,$BQ$7)),$BQ$6,IF(OR(COUNTIF('1.연간시수표'!R52,$BR$9),COUNTIF('1.연간시수표'!R52,$BR$7)),$BR$6,"_")))))))))))))))</f>
        <v>_</v>
      </c>
      <c r="S52" s="148" t="str">
        <f>IF(OR(COUNTIF('1.연간시수표'!S52,$AT$9),COUNTIF('1.연간시수표'!S52,$AT$7)),$AT$6,IF(OR(COUNTIF('1.연간시수표'!S52,$AU$9),COUNTIF('1.연간시수표'!S52,$AU$7)),$AU$6,IF(OR(COUNTIF('1.연간시수표'!S52,$AV$9),COUNTIF('1.연간시수표'!S52,$AV$7)),$AV$6,IF(OR(COUNTIF('1.연간시수표'!S52,$AW$9),COUNTIF('1.연간시수표'!S52,$AW$7)),$AW$6,IF(OR(COUNTIF('1.연간시수표'!S52,$AX$9),COUNTIF('1.연간시수표'!S52,$AX$7)),$AX$6,IF(OR(COUNTIF('1.연간시수표'!S52,$AY$9),COUNTIF('1.연간시수표'!S52,$AY$7)),$AY$6,IF(OR(COUNTIF('1.연간시수표'!S52,$AZ$9),COUNTIF('1.연간시수표'!S52,$AZ$7)),$AZ$6,IF(OR(COUNTIF('1.연간시수표'!S52,$BA$9),COUNTIF('1.연간시수표'!S52,$BA$7)),$BA$6,IF(OR(COUNTIF('1.연간시수표'!S52,$BB$9),COUNTIF('1.연간시수표'!S52,$BB$7)),$BB$6,IF(OR(COUNTIF('1.연간시수표'!S52,$BC$9),COUNTIF('1.연간시수표'!S52,$BC$7)),$BC$6,IF(OR(COUNTIF('1.연간시수표'!S52,$BF$9),COUNTIF('1.연간시수표'!S52,$BF$7),COUNTIF('1.연간시수표'!S52,$BG$9),COUNTIF('1.연간시수표'!S52,$BG$7),COUNTIF('1.연간시수표'!S52,$BH$9),COUNTIF('1.연간시수표'!S52,$BH$7),COUNTIF('1.연간시수표'!S52,$BI$9),COUNTIF('1.연간시수표'!S52,$BI$7),COUNTIF('1.연간시수표'!S52,$BJ$9),COUNTIF('1.연간시수표'!S52,$BJ$7),COUNTIF('1.연간시수표'!S52,$BK$9),COUNTIF('1.연간시수표'!S52,$BK$7),COUNTIF('1.연간시수표'!S52,$BL$9),COUNTIF('1.연간시수표'!S52,$BL$7),COUNTIF('1.연간시수표'!S52,$BM$9),COUNTIF('1.연간시수표'!S52,$BM$7)),$BF$6,IF(OR(COUNTIF('1.연간시수표'!S52,$BO$9),COUNTIF('1.연간시수표'!S52,$BO$7)),$BO$6,IF(OR(COUNTIF('1.연간시수표'!S52,$BP$9),COUNTIF('1.연간시수표'!S52,$BP$7)),$BP$6,IF(OR(COUNTIF('1.연간시수표'!S52,$BQ$9),COUNTIF('1.연간시수표'!S52,$BQ$7)),$BQ$6,IF(OR(COUNTIF('1.연간시수표'!S52,$BR$9),COUNTIF('1.연간시수표'!S52,$BR$7)),$BR$6,"_")))))))))))))))</f>
        <v>_</v>
      </c>
      <c r="T52" s="148" t="str">
        <f>IF(OR(COUNTIF('1.연간시수표'!T52,$AT$9),COUNTIF('1.연간시수표'!T52,$AT$7)),$AT$6,IF(OR(COUNTIF('1.연간시수표'!T52,$AU$9),COUNTIF('1.연간시수표'!T52,$AU$7)),$AU$6,IF(OR(COUNTIF('1.연간시수표'!T52,$AV$9),COUNTIF('1.연간시수표'!T52,$AV$7)),$AV$6,IF(OR(COUNTIF('1.연간시수표'!T52,$AW$9),COUNTIF('1.연간시수표'!T52,$AW$7)),$AW$6,IF(OR(COUNTIF('1.연간시수표'!T52,$AX$9),COUNTIF('1.연간시수표'!T52,$AX$7)),$AX$6,IF(OR(COUNTIF('1.연간시수표'!T52,$AY$9),COUNTIF('1.연간시수표'!T52,$AY$7)),$AY$6,IF(OR(COUNTIF('1.연간시수표'!T52,$AZ$9),COUNTIF('1.연간시수표'!T52,$AZ$7)),$AZ$6,IF(OR(COUNTIF('1.연간시수표'!T52,$BA$9),COUNTIF('1.연간시수표'!T52,$BA$7)),$BA$6,IF(OR(COUNTIF('1.연간시수표'!T52,$BB$9),COUNTIF('1.연간시수표'!T52,$BB$7)),$BB$6,IF(OR(COUNTIF('1.연간시수표'!T52,$BC$9),COUNTIF('1.연간시수표'!T52,$BC$7)),$BC$6,IF(OR(COUNTIF('1.연간시수표'!T52,$BF$9),COUNTIF('1.연간시수표'!T52,$BF$7),COUNTIF('1.연간시수표'!T52,$BG$9),COUNTIF('1.연간시수표'!T52,$BG$7),COUNTIF('1.연간시수표'!T52,$BH$9),COUNTIF('1.연간시수표'!T52,$BH$7),COUNTIF('1.연간시수표'!T52,$BI$9),COUNTIF('1.연간시수표'!T52,$BI$7),COUNTIF('1.연간시수표'!T52,$BJ$9),COUNTIF('1.연간시수표'!T52,$BJ$7),COUNTIF('1.연간시수표'!T52,$BK$9),COUNTIF('1.연간시수표'!T52,$BK$7),COUNTIF('1.연간시수표'!T52,$BL$9),COUNTIF('1.연간시수표'!T52,$BL$7),COUNTIF('1.연간시수표'!T52,$BM$9),COUNTIF('1.연간시수표'!T52,$BM$7)),$BF$6,IF(OR(COUNTIF('1.연간시수표'!T52,$BO$9),COUNTIF('1.연간시수표'!T52,$BO$7)),$BO$6,IF(OR(COUNTIF('1.연간시수표'!T52,$BP$9),COUNTIF('1.연간시수표'!T52,$BP$7)),$BP$6,IF(OR(COUNTIF('1.연간시수표'!T52,$BQ$9),COUNTIF('1.연간시수표'!T52,$BQ$7)),$BQ$6,IF(OR(COUNTIF('1.연간시수표'!T52,$BR$9),COUNTIF('1.연간시수표'!T52,$BR$7)),$BR$6,"_")))))))))))))))</f>
        <v>_</v>
      </c>
      <c r="U52" s="148" t="str">
        <f>IF(OR(COUNTIF('1.연간시수표'!U52,$AT$9),COUNTIF('1.연간시수표'!U52,$AT$7)),$AT$6,IF(OR(COUNTIF('1.연간시수표'!U52,$AU$9),COUNTIF('1.연간시수표'!U52,$AU$7)),$AU$6,IF(OR(COUNTIF('1.연간시수표'!U52,$AV$9),COUNTIF('1.연간시수표'!U52,$AV$7)),$AV$6,IF(OR(COUNTIF('1.연간시수표'!U52,$AW$9),COUNTIF('1.연간시수표'!U52,$AW$7)),$AW$6,IF(OR(COUNTIF('1.연간시수표'!U52,$AX$9),COUNTIF('1.연간시수표'!U52,$AX$7)),$AX$6,IF(OR(COUNTIF('1.연간시수표'!U52,$AY$9),COUNTIF('1.연간시수표'!U52,$AY$7)),$AY$6,IF(OR(COUNTIF('1.연간시수표'!U52,$AZ$9),COUNTIF('1.연간시수표'!U52,$AZ$7)),$AZ$6,IF(OR(COUNTIF('1.연간시수표'!U52,$BA$9),COUNTIF('1.연간시수표'!U52,$BA$7)),$BA$6,IF(OR(COUNTIF('1.연간시수표'!U52,$BB$9),COUNTIF('1.연간시수표'!U52,$BB$7)),$BB$6,IF(OR(COUNTIF('1.연간시수표'!U52,$BC$9),COUNTIF('1.연간시수표'!U52,$BC$7)),$BC$6,IF(OR(COUNTIF('1.연간시수표'!U52,$BF$9),COUNTIF('1.연간시수표'!U52,$BF$7),COUNTIF('1.연간시수표'!U52,$BG$9),COUNTIF('1.연간시수표'!U52,$BG$7),COUNTIF('1.연간시수표'!U52,$BH$9),COUNTIF('1.연간시수표'!U52,$BH$7),COUNTIF('1.연간시수표'!U52,$BI$9),COUNTIF('1.연간시수표'!U52,$BI$7),COUNTIF('1.연간시수표'!U52,$BJ$9),COUNTIF('1.연간시수표'!U52,$BJ$7),COUNTIF('1.연간시수표'!U52,$BK$9),COUNTIF('1.연간시수표'!U52,$BK$7),COUNTIF('1.연간시수표'!U52,$BL$9),COUNTIF('1.연간시수표'!U52,$BL$7),COUNTIF('1.연간시수표'!U52,$BM$9),COUNTIF('1.연간시수표'!U52,$BM$7)),$BF$6,IF(OR(COUNTIF('1.연간시수표'!U52,$BO$9),COUNTIF('1.연간시수표'!U52,$BO$7)),$BO$6,IF(OR(COUNTIF('1.연간시수표'!U52,$BP$9),COUNTIF('1.연간시수표'!U52,$BP$7)),$BP$6,IF(OR(COUNTIF('1.연간시수표'!U52,$BQ$9),COUNTIF('1.연간시수표'!U52,$BQ$7)),$BQ$6,IF(OR(COUNTIF('1.연간시수표'!U52,$BR$9),COUNTIF('1.연간시수표'!U52,$BR$7)),$BR$6,"_")))))))))))))))</f>
        <v>_</v>
      </c>
      <c r="V52" s="148" t="str">
        <f>IF(OR(COUNTIF('1.연간시수표'!V52,$AT$9),COUNTIF('1.연간시수표'!V52,$AT$7)),$AT$6,IF(OR(COUNTIF('1.연간시수표'!V52,$AU$9),COUNTIF('1.연간시수표'!V52,$AU$7)),$AU$6,IF(OR(COUNTIF('1.연간시수표'!V52,$AV$9),COUNTIF('1.연간시수표'!V52,$AV$7)),$AV$6,IF(OR(COUNTIF('1.연간시수표'!V52,$AW$9),COUNTIF('1.연간시수표'!V52,$AW$7)),$AW$6,IF(OR(COUNTIF('1.연간시수표'!V52,$AX$9),COUNTIF('1.연간시수표'!V52,$AX$7)),$AX$6,IF(OR(COUNTIF('1.연간시수표'!V52,$AY$9),COUNTIF('1.연간시수표'!V52,$AY$7)),$AY$6,IF(OR(COUNTIF('1.연간시수표'!V52,$AZ$9),COUNTIF('1.연간시수표'!V52,$AZ$7)),$AZ$6,IF(OR(COUNTIF('1.연간시수표'!V52,$BA$9),COUNTIF('1.연간시수표'!V52,$BA$7)),$BA$6,IF(OR(COUNTIF('1.연간시수표'!V52,$BB$9),COUNTIF('1.연간시수표'!V52,$BB$7)),$BB$6,IF(OR(COUNTIF('1.연간시수표'!V52,$BC$9),COUNTIF('1.연간시수표'!V52,$BC$7)),$BC$6,IF(OR(COUNTIF('1.연간시수표'!V52,$BF$9),COUNTIF('1.연간시수표'!V52,$BF$7),COUNTIF('1.연간시수표'!V52,$BG$9),COUNTIF('1.연간시수표'!V52,$BG$7),COUNTIF('1.연간시수표'!V52,$BH$9),COUNTIF('1.연간시수표'!V52,$BH$7),COUNTIF('1.연간시수표'!V52,$BI$9),COUNTIF('1.연간시수표'!V52,$BI$7),COUNTIF('1.연간시수표'!V52,$BJ$9),COUNTIF('1.연간시수표'!V52,$BJ$7),COUNTIF('1.연간시수표'!V52,$BK$9),COUNTIF('1.연간시수표'!V52,$BK$7),COUNTIF('1.연간시수표'!V52,$BL$9),COUNTIF('1.연간시수표'!V52,$BL$7),COUNTIF('1.연간시수표'!V52,$BM$9),COUNTIF('1.연간시수표'!V52,$BM$7)),$BF$6,IF(OR(COUNTIF('1.연간시수표'!V52,$BO$9),COUNTIF('1.연간시수표'!V52,$BO$7)),$BO$6,IF(OR(COUNTIF('1.연간시수표'!V52,$BP$9),COUNTIF('1.연간시수표'!V52,$BP$7)),$BP$6,IF(OR(COUNTIF('1.연간시수표'!V52,$BQ$9),COUNTIF('1.연간시수표'!V52,$BQ$7)),$BQ$6,IF(OR(COUNTIF('1.연간시수표'!V52,$BR$9),COUNTIF('1.연간시수표'!V52,$BR$7)),$BR$6,"_")))))))))))))))</f>
        <v>_</v>
      </c>
      <c r="W52" s="148" t="str">
        <f>IF(OR(COUNTIF('1.연간시수표'!W52,$AT$9),COUNTIF('1.연간시수표'!W52,$AT$7)),$AT$6,IF(OR(COUNTIF('1.연간시수표'!W52,$AU$9),COUNTIF('1.연간시수표'!W52,$AU$7)),$AU$6,IF(OR(COUNTIF('1.연간시수표'!W52,$AV$9),COUNTIF('1.연간시수표'!W52,$AV$7)),$AV$6,IF(OR(COUNTIF('1.연간시수표'!W52,$AW$9),COUNTIF('1.연간시수표'!W52,$AW$7)),$AW$6,IF(OR(COUNTIF('1.연간시수표'!W52,$AX$9),COUNTIF('1.연간시수표'!W52,$AX$7)),$AX$6,IF(OR(COUNTIF('1.연간시수표'!W52,$AY$9),COUNTIF('1.연간시수표'!W52,$AY$7)),$AY$6,IF(OR(COUNTIF('1.연간시수표'!W52,$AZ$9),COUNTIF('1.연간시수표'!W52,$AZ$7)),$AZ$6,IF(OR(COUNTIF('1.연간시수표'!W52,$BA$9),COUNTIF('1.연간시수표'!W52,$BA$7)),$BA$6,IF(OR(COUNTIF('1.연간시수표'!W52,$BB$9),COUNTIF('1.연간시수표'!W52,$BB$7)),$BB$6,IF(OR(COUNTIF('1.연간시수표'!W52,$BC$9),COUNTIF('1.연간시수표'!W52,$BC$7)),$BC$6,IF(OR(COUNTIF('1.연간시수표'!W52,$BF$9),COUNTIF('1.연간시수표'!W52,$BF$7),COUNTIF('1.연간시수표'!W52,$BG$9),COUNTIF('1.연간시수표'!W52,$BG$7),COUNTIF('1.연간시수표'!W52,$BH$9),COUNTIF('1.연간시수표'!W52,$BH$7),COUNTIF('1.연간시수표'!W52,$BI$9),COUNTIF('1.연간시수표'!W52,$BI$7),COUNTIF('1.연간시수표'!W52,$BJ$9),COUNTIF('1.연간시수표'!W52,$BJ$7),COUNTIF('1.연간시수표'!W52,$BK$9),COUNTIF('1.연간시수표'!W52,$BK$7),COUNTIF('1.연간시수표'!W52,$BL$9),COUNTIF('1.연간시수표'!W52,$BL$7),COUNTIF('1.연간시수표'!W52,$BM$9),COUNTIF('1.연간시수표'!W52,$BM$7)),$BF$6,IF(OR(COUNTIF('1.연간시수표'!W52,$BO$9),COUNTIF('1.연간시수표'!W52,$BO$7)),$BO$6,IF(OR(COUNTIF('1.연간시수표'!W52,$BP$9),COUNTIF('1.연간시수표'!W52,$BP$7)),$BP$6,IF(OR(COUNTIF('1.연간시수표'!W52,$BQ$9),COUNTIF('1.연간시수표'!W52,$BQ$7)),$BQ$6,IF(OR(COUNTIF('1.연간시수표'!W52,$BR$9),COUNTIF('1.연간시수표'!W52,$BR$7)),$BR$6,"_")))))))))))))))</f>
        <v>_</v>
      </c>
      <c r="X52" s="148" t="str">
        <f>IF(OR(COUNTIF('1.연간시수표'!X52,$AT$9),COUNTIF('1.연간시수표'!X52,$AT$7)),$AT$6,IF(OR(COUNTIF('1.연간시수표'!X52,$AU$9),COUNTIF('1.연간시수표'!X52,$AU$7)),$AU$6,IF(OR(COUNTIF('1.연간시수표'!X52,$AV$9),COUNTIF('1.연간시수표'!X52,$AV$7)),$AV$6,IF(OR(COUNTIF('1.연간시수표'!X52,$AW$9),COUNTIF('1.연간시수표'!X52,$AW$7)),$AW$6,IF(OR(COUNTIF('1.연간시수표'!X52,$AX$9),COUNTIF('1.연간시수표'!X52,$AX$7)),$AX$6,IF(OR(COUNTIF('1.연간시수표'!X52,$AY$9),COUNTIF('1.연간시수표'!X52,$AY$7)),$AY$6,IF(OR(COUNTIF('1.연간시수표'!X52,$AZ$9),COUNTIF('1.연간시수표'!X52,$AZ$7)),$AZ$6,IF(OR(COUNTIF('1.연간시수표'!X52,$BA$9),COUNTIF('1.연간시수표'!X52,$BA$7)),$BA$6,IF(OR(COUNTIF('1.연간시수표'!X52,$BB$9),COUNTIF('1.연간시수표'!X52,$BB$7)),$BB$6,IF(OR(COUNTIF('1.연간시수표'!X52,$BC$9),COUNTIF('1.연간시수표'!X52,$BC$7)),$BC$6,IF(OR(COUNTIF('1.연간시수표'!X52,$BF$9),COUNTIF('1.연간시수표'!X52,$BF$7),COUNTIF('1.연간시수표'!X52,$BG$9),COUNTIF('1.연간시수표'!X52,$BG$7),COUNTIF('1.연간시수표'!X52,$BH$9),COUNTIF('1.연간시수표'!X52,$BH$7),COUNTIF('1.연간시수표'!X52,$BI$9),COUNTIF('1.연간시수표'!X52,$BI$7),COUNTIF('1.연간시수표'!X52,$BJ$9),COUNTIF('1.연간시수표'!X52,$BJ$7),COUNTIF('1.연간시수표'!X52,$BK$9),COUNTIF('1.연간시수표'!X52,$BK$7),COUNTIF('1.연간시수표'!X52,$BL$9),COUNTIF('1.연간시수표'!X52,$BL$7),COUNTIF('1.연간시수표'!X52,$BM$9),COUNTIF('1.연간시수표'!X52,$BM$7)),$BF$6,IF(OR(COUNTIF('1.연간시수표'!X52,$BO$9),COUNTIF('1.연간시수표'!X52,$BO$7)),$BO$6,IF(OR(COUNTIF('1.연간시수표'!X52,$BP$9),COUNTIF('1.연간시수표'!X52,$BP$7)),$BP$6,IF(OR(COUNTIF('1.연간시수표'!X52,$BQ$9),COUNTIF('1.연간시수표'!X52,$BQ$7)),$BQ$6,IF(OR(COUNTIF('1.연간시수표'!X52,$BR$9),COUNTIF('1.연간시수표'!X52,$BR$7)),$BR$6,"_")))))))))))))))</f>
        <v>_</v>
      </c>
      <c r="Y52" s="148" t="str">
        <f>IF(OR(COUNTIF('1.연간시수표'!Y52,$AT$9),COUNTIF('1.연간시수표'!Y52,$AT$7)),$AT$6,IF(OR(COUNTIF('1.연간시수표'!Y52,$AU$9),COUNTIF('1.연간시수표'!Y52,$AU$7)),$AU$6,IF(OR(COUNTIF('1.연간시수표'!Y52,$AV$9),COUNTIF('1.연간시수표'!Y52,$AV$7)),$AV$6,IF(OR(COUNTIF('1.연간시수표'!Y52,$AW$9),COUNTIF('1.연간시수표'!Y52,$AW$7)),$AW$6,IF(OR(COUNTIF('1.연간시수표'!Y52,$AX$9),COUNTIF('1.연간시수표'!Y52,$AX$7)),$AX$6,IF(OR(COUNTIF('1.연간시수표'!Y52,$AY$9),COUNTIF('1.연간시수표'!Y52,$AY$7)),$AY$6,IF(OR(COUNTIF('1.연간시수표'!Y52,$AZ$9),COUNTIF('1.연간시수표'!Y52,$AZ$7)),$AZ$6,IF(OR(COUNTIF('1.연간시수표'!Y52,$BA$9),COUNTIF('1.연간시수표'!Y52,$BA$7)),$BA$6,IF(OR(COUNTIF('1.연간시수표'!Y52,$BB$9),COUNTIF('1.연간시수표'!Y52,$BB$7)),$BB$6,IF(OR(COUNTIF('1.연간시수표'!Y52,$BC$9),COUNTIF('1.연간시수표'!Y52,$BC$7)),$BC$6,IF(OR(COUNTIF('1.연간시수표'!Y52,$BF$9),COUNTIF('1.연간시수표'!Y52,$BF$7),COUNTIF('1.연간시수표'!Y52,$BG$9),COUNTIF('1.연간시수표'!Y52,$BG$7),COUNTIF('1.연간시수표'!Y52,$BH$9),COUNTIF('1.연간시수표'!Y52,$BH$7),COUNTIF('1.연간시수표'!Y52,$BI$9),COUNTIF('1.연간시수표'!Y52,$BI$7),COUNTIF('1.연간시수표'!Y52,$BJ$9),COUNTIF('1.연간시수표'!Y52,$BJ$7),COUNTIF('1.연간시수표'!Y52,$BK$9),COUNTIF('1.연간시수표'!Y52,$BK$7),COUNTIF('1.연간시수표'!Y52,$BL$9),COUNTIF('1.연간시수표'!Y52,$BL$7),COUNTIF('1.연간시수표'!Y52,$BM$9),COUNTIF('1.연간시수표'!Y52,$BM$7)),$BF$6,IF(OR(COUNTIF('1.연간시수표'!Y52,$BO$9),COUNTIF('1.연간시수표'!Y52,$BO$7)),$BO$6,IF(OR(COUNTIF('1.연간시수표'!Y52,$BP$9),COUNTIF('1.연간시수표'!Y52,$BP$7)),$BP$6,IF(OR(COUNTIF('1.연간시수표'!Y52,$BQ$9),COUNTIF('1.연간시수표'!Y52,$BQ$7)),$BQ$6,IF(OR(COUNTIF('1.연간시수표'!Y52,$BR$9),COUNTIF('1.연간시수표'!Y52,$BR$7)),$BR$6,"_")))))))))))))))</f>
        <v>_</v>
      </c>
      <c r="Z52" s="148" t="str">
        <f>IF(OR(COUNTIF('1.연간시수표'!Z52,$AT$9),COUNTIF('1.연간시수표'!Z52,$AT$7)),$AT$6,IF(OR(COUNTIF('1.연간시수표'!Z52,$AU$9),COUNTIF('1.연간시수표'!Z52,$AU$7)),$AU$6,IF(OR(COUNTIF('1.연간시수표'!Z52,$AV$9),COUNTIF('1.연간시수표'!Z52,$AV$7)),$AV$6,IF(OR(COUNTIF('1.연간시수표'!Z52,$AW$9),COUNTIF('1.연간시수표'!Z52,$AW$7)),$AW$6,IF(OR(COUNTIF('1.연간시수표'!Z52,$AX$9),COUNTIF('1.연간시수표'!Z52,$AX$7)),$AX$6,IF(OR(COUNTIF('1.연간시수표'!Z52,$AY$9),COUNTIF('1.연간시수표'!Z52,$AY$7)),$AY$6,IF(OR(COUNTIF('1.연간시수표'!Z52,$AZ$9),COUNTIF('1.연간시수표'!Z52,$AZ$7)),$AZ$6,IF(OR(COUNTIF('1.연간시수표'!Z52,$BA$9),COUNTIF('1.연간시수표'!Z52,$BA$7)),$BA$6,IF(OR(COUNTIF('1.연간시수표'!Z52,$BB$9),COUNTIF('1.연간시수표'!Z52,$BB$7)),$BB$6,IF(OR(COUNTIF('1.연간시수표'!Z52,$BC$9),COUNTIF('1.연간시수표'!Z52,$BC$7)),$BC$6,IF(OR(COUNTIF('1.연간시수표'!Z52,$BF$9),COUNTIF('1.연간시수표'!Z52,$BF$7),COUNTIF('1.연간시수표'!Z52,$BG$9),COUNTIF('1.연간시수표'!Z52,$BG$7),COUNTIF('1.연간시수표'!Z52,$BH$9),COUNTIF('1.연간시수표'!Z52,$BH$7),COUNTIF('1.연간시수표'!Z52,$BI$9),COUNTIF('1.연간시수표'!Z52,$BI$7),COUNTIF('1.연간시수표'!Z52,$BJ$9),COUNTIF('1.연간시수표'!Z52,$BJ$7),COUNTIF('1.연간시수표'!Z52,$BK$9),COUNTIF('1.연간시수표'!Z52,$BK$7),COUNTIF('1.연간시수표'!Z52,$BL$9),COUNTIF('1.연간시수표'!Z52,$BL$7),COUNTIF('1.연간시수표'!Z52,$BM$9),COUNTIF('1.연간시수표'!Z52,$BM$7)),$BF$6,IF(OR(COUNTIF('1.연간시수표'!Z52,$BO$9),COUNTIF('1.연간시수표'!Z52,$BO$7)),$BO$6,IF(OR(COUNTIF('1.연간시수표'!Z52,$BP$9),COUNTIF('1.연간시수표'!Z52,$BP$7)),$BP$6,IF(OR(COUNTIF('1.연간시수표'!Z52,$BQ$9),COUNTIF('1.연간시수표'!Z52,$BQ$7)),$BQ$6,IF(OR(COUNTIF('1.연간시수표'!Z52,$BR$9),COUNTIF('1.연간시수표'!Z52,$BR$7)),$BR$6,"_")))))))))))))))</f>
        <v>_</v>
      </c>
      <c r="AA52" s="148" t="str">
        <f>IF(OR(COUNTIF('1.연간시수표'!AA52,$AT$9),COUNTIF('1.연간시수표'!AA52,$AT$7)),$AT$6,IF(OR(COUNTIF('1.연간시수표'!AA52,$AU$9),COUNTIF('1.연간시수표'!AA52,$AU$7)),$AU$6,IF(OR(COUNTIF('1.연간시수표'!AA52,$AV$9),COUNTIF('1.연간시수표'!AA52,$AV$7)),$AV$6,IF(OR(COUNTIF('1.연간시수표'!AA52,$AW$9),COUNTIF('1.연간시수표'!AA52,$AW$7)),$AW$6,IF(OR(COUNTIF('1.연간시수표'!AA52,$AX$9),COUNTIF('1.연간시수표'!AA52,$AX$7)),$AX$6,IF(OR(COUNTIF('1.연간시수표'!AA52,$AY$9),COUNTIF('1.연간시수표'!AA52,$AY$7)),$AY$6,IF(OR(COUNTIF('1.연간시수표'!AA52,$AZ$9),COUNTIF('1.연간시수표'!AA52,$AZ$7)),$AZ$6,IF(OR(COUNTIF('1.연간시수표'!AA52,$BA$9),COUNTIF('1.연간시수표'!AA52,$BA$7)),$BA$6,IF(OR(COUNTIF('1.연간시수표'!AA52,$BB$9),COUNTIF('1.연간시수표'!AA52,$BB$7)),$BB$6,IF(OR(COUNTIF('1.연간시수표'!AA52,$BC$9),COUNTIF('1.연간시수표'!AA52,$BC$7)),$BC$6,IF(OR(COUNTIF('1.연간시수표'!AA52,$BF$9),COUNTIF('1.연간시수표'!AA52,$BF$7),COUNTIF('1.연간시수표'!AA52,$BG$9),COUNTIF('1.연간시수표'!AA52,$BG$7),COUNTIF('1.연간시수표'!AA52,$BH$9),COUNTIF('1.연간시수표'!AA52,$BH$7),COUNTIF('1.연간시수표'!AA52,$BI$9),COUNTIF('1.연간시수표'!AA52,$BI$7),COUNTIF('1.연간시수표'!AA52,$BJ$9),COUNTIF('1.연간시수표'!AA52,$BJ$7),COUNTIF('1.연간시수표'!AA52,$BK$9),COUNTIF('1.연간시수표'!AA52,$BK$7),COUNTIF('1.연간시수표'!AA52,$BL$9),COUNTIF('1.연간시수표'!AA52,$BL$7),COUNTIF('1.연간시수표'!AA52,$BM$9),COUNTIF('1.연간시수표'!AA52,$BM$7)),$BF$6,IF(OR(COUNTIF('1.연간시수표'!AA52,$BO$9),COUNTIF('1.연간시수표'!AA52,$BO$7)),$BO$6,IF(OR(COUNTIF('1.연간시수표'!AA52,$BP$9),COUNTIF('1.연간시수표'!AA52,$BP$7)),$BP$6,IF(OR(COUNTIF('1.연간시수표'!AA52,$BQ$9),COUNTIF('1.연간시수표'!AA52,$BQ$7)),$BQ$6,IF(OR(COUNTIF('1.연간시수표'!AA52,$BR$9),COUNTIF('1.연간시수표'!AA52,$BR$7)),$BR$6,"_")))))))))))))))</f>
        <v>_</v>
      </c>
      <c r="AB52" s="148" t="str">
        <f>IF(OR(COUNTIF('1.연간시수표'!AB52,$AT$9),COUNTIF('1.연간시수표'!AB52,$AT$7)),$AT$6,IF(OR(COUNTIF('1.연간시수표'!AB52,$AU$9),COUNTIF('1.연간시수표'!AB52,$AU$7)),$AU$6,IF(OR(COUNTIF('1.연간시수표'!AB52,$AV$9),COUNTIF('1.연간시수표'!AB52,$AV$7)),$AV$6,IF(OR(COUNTIF('1.연간시수표'!AB52,$AW$9),COUNTIF('1.연간시수표'!AB52,$AW$7)),$AW$6,IF(OR(COUNTIF('1.연간시수표'!AB52,$AX$9),COUNTIF('1.연간시수표'!AB52,$AX$7)),$AX$6,IF(OR(COUNTIF('1.연간시수표'!AB52,$AY$9),COUNTIF('1.연간시수표'!AB52,$AY$7)),$AY$6,IF(OR(COUNTIF('1.연간시수표'!AB52,$AZ$9),COUNTIF('1.연간시수표'!AB52,$AZ$7)),$AZ$6,IF(OR(COUNTIF('1.연간시수표'!AB52,$BA$9),COUNTIF('1.연간시수표'!AB52,$BA$7)),$BA$6,IF(OR(COUNTIF('1.연간시수표'!AB52,$BB$9),COUNTIF('1.연간시수표'!AB52,$BB$7)),$BB$6,IF(OR(COUNTIF('1.연간시수표'!AB52,$BC$9),COUNTIF('1.연간시수표'!AB52,$BC$7)),$BC$6,IF(OR(COUNTIF('1.연간시수표'!AB52,$BF$9),COUNTIF('1.연간시수표'!AB52,$BF$7),COUNTIF('1.연간시수표'!AB52,$BG$9),COUNTIF('1.연간시수표'!AB52,$BG$7),COUNTIF('1.연간시수표'!AB52,$BH$9),COUNTIF('1.연간시수표'!AB52,$BH$7),COUNTIF('1.연간시수표'!AB52,$BI$9),COUNTIF('1.연간시수표'!AB52,$BI$7),COUNTIF('1.연간시수표'!AB52,$BJ$9),COUNTIF('1.연간시수표'!AB52,$BJ$7),COUNTIF('1.연간시수표'!AB52,$BK$9),COUNTIF('1.연간시수표'!AB52,$BK$7),COUNTIF('1.연간시수표'!AB52,$BL$9),COUNTIF('1.연간시수표'!AB52,$BL$7),COUNTIF('1.연간시수표'!AB52,$BM$9),COUNTIF('1.연간시수표'!AB52,$BM$7)),$BF$6,IF(OR(COUNTIF('1.연간시수표'!AB52,$BO$9),COUNTIF('1.연간시수표'!AB52,$BO$7)),$BO$6,IF(OR(COUNTIF('1.연간시수표'!AB52,$BP$9),COUNTIF('1.연간시수표'!AB52,$BP$7)),$BP$6,IF(OR(COUNTIF('1.연간시수표'!AB52,$BQ$9),COUNTIF('1.연간시수표'!AB52,$BQ$7)),$BQ$6,IF(OR(COUNTIF('1.연간시수표'!AB52,$BR$9),COUNTIF('1.연간시수표'!AB52,$BR$7)),$BR$6,"_")))))))))))))))</f>
        <v>_</v>
      </c>
      <c r="AC52" s="148" t="str">
        <f>IF(OR(COUNTIF('1.연간시수표'!AC52,$AT$9),COUNTIF('1.연간시수표'!AC52,$AT$7)),$AT$6,IF(OR(COUNTIF('1.연간시수표'!AC52,$AU$9),COUNTIF('1.연간시수표'!AC52,$AU$7)),$AU$6,IF(OR(COUNTIF('1.연간시수표'!AC52,$AV$9),COUNTIF('1.연간시수표'!AC52,$AV$7)),$AV$6,IF(OR(COUNTIF('1.연간시수표'!AC52,$AW$9),COUNTIF('1.연간시수표'!AC52,$AW$7)),$AW$6,IF(OR(COUNTIF('1.연간시수표'!AC52,$AX$9),COUNTIF('1.연간시수표'!AC52,$AX$7)),$AX$6,IF(OR(COUNTIF('1.연간시수표'!AC52,$AY$9),COUNTIF('1.연간시수표'!AC52,$AY$7)),$AY$6,IF(OR(COUNTIF('1.연간시수표'!AC52,$AZ$9),COUNTIF('1.연간시수표'!AC52,$AZ$7)),$AZ$6,IF(OR(COUNTIF('1.연간시수표'!AC52,$BA$9),COUNTIF('1.연간시수표'!AC52,$BA$7)),$BA$6,IF(OR(COUNTIF('1.연간시수표'!AC52,$BB$9),COUNTIF('1.연간시수표'!AC52,$BB$7)),$BB$6,IF(OR(COUNTIF('1.연간시수표'!AC52,$BC$9),COUNTIF('1.연간시수표'!AC52,$BC$7)),$BC$6,IF(OR(COUNTIF('1.연간시수표'!AC52,$BF$9),COUNTIF('1.연간시수표'!AC52,$BF$7),COUNTIF('1.연간시수표'!AC52,$BG$9),COUNTIF('1.연간시수표'!AC52,$BG$7),COUNTIF('1.연간시수표'!AC52,$BH$9),COUNTIF('1.연간시수표'!AC52,$BH$7),COUNTIF('1.연간시수표'!AC52,$BI$9),COUNTIF('1.연간시수표'!AC52,$BI$7),COUNTIF('1.연간시수표'!AC52,$BJ$9),COUNTIF('1.연간시수표'!AC52,$BJ$7),COUNTIF('1.연간시수표'!AC52,$BK$9),COUNTIF('1.연간시수표'!AC52,$BK$7),COUNTIF('1.연간시수표'!AC52,$BL$9),COUNTIF('1.연간시수표'!AC52,$BL$7),COUNTIF('1.연간시수표'!AC52,$BM$9),COUNTIF('1.연간시수표'!AC52,$BM$7)),$BF$6,IF(OR(COUNTIF('1.연간시수표'!AC52,$BO$9),COUNTIF('1.연간시수표'!AC52,$BO$7)),$BO$6,IF(OR(COUNTIF('1.연간시수표'!AC52,$BP$9),COUNTIF('1.연간시수표'!AC52,$BP$7)),$BP$6,IF(OR(COUNTIF('1.연간시수표'!AC52,$BQ$9),COUNTIF('1.연간시수표'!AC52,$BQ$7)),$BQ$6,IF(OR(COUNTIF('1.연간시수표'!AC52,$BR$9),COUNTIF('1.연간시수표'!AC52,$BR$7)),$BR$6,"_")))))))))))))))</f>
        <v>자율활동</v>
      </c>
      <c r="AD52" s="148" t="str">
        <f>IF(OR(COUNTIF('1.연간시수표'!AD52,$AT$9),COUNTIF('1.연간시수표'!AD52,$AT$7)),$AT$6,IF(OR(COUNTIF('1.연간시수표'!AD52,$AU$9),COUNTIF('1.연간시수표'!AD52,$AU$7)),$AU$6,IF(OR(COUNTIF('1.연간시수표'!AD52,$AV$9),COUNTIF('1.연간시수표'!AD52,$AV$7)),$AV$6,IF(OR(COUNTIF('1.연간시수표'!AD52,$AW$9),COUNTIF('1.연간시수표'!AD52,$AW$7)),$AW$6,IF(OR(COUNTIF('1.연간시수표'!AD52,$AX$9),COUNTIF('1.연간시수표'!AD52,$AX$7)),$AX$6,IF(OR(COUNTIF('1.연간시수표'!AD52,$AY$9),COUNTIF('1.연간시수표'!AD52,$AY$7)),$AY$6,IF(OR(COUNTIF('1.연간시수표'!AD52,$AZ$9),COUNTIF('1.연간시수표'!AD52,$AZ$7)),$AZ$6,IF(OR(COUNTIF('1.연간시수표'!AD52,$BA$9),COUNTIF('1.연간시수표'!AD52,$BA$7)),$BA$6,IF(OR(COUNTIF('1.연간시수표'!AD52,$BB$9),COUNTIF('1.연간시수표'!AD52,$BB$7)),$BB$6,IF(OR(COUNTIF('1.연간시수표'!AD52,$BC$9),COUNTIF('1.연간시수표'!AD52,$BC$7)),$BC$6,IF(OR(COUNTIF('1.연간시수표'!AD52,$BF$9),COUNTIF('1.연간시수표'!AD52,$BF$7),COUNTIF('1.연간시수표'!AD52,$BG$9),COUNTIF('1.연간시수표'!AD52,$BG$7),COUNTIF('1.연간시수표'!AD52,$BH$9),COUNTIF('1.연간시수표'!AD52,$BH$7),COUNTIF('1.연간시수표'!AD52,$BI$9),COUNTIF('1.연간시수표'!AD52,$BI$7),COUNTIF('1.연간시수표'!AD52,$BJ$9),COUNTIF('1.연간시수표'!AD52,$BJ$7),COUNTIF('1.연간시수표'!AD52,$BK$9),COUNTIF('1.연간시수표'!AD52,$BK$7),COUNTIF('1.연간시수표'!AD52,$BL$9),COUNTIF('1.연간시수표'!AD52,$BL$7),COUNTIF('1.연간시수표'!AD52,$BM$9),COUNTIF('1.연간시수표'!AD52,$BM$7)),$BF$6,IF(OR(COUNTIF('1.연간시수표'!AD52,$BO$9),COUNTIF('1.연간시수표'!AD52,$BO$7)),$BO$6,IF(OR(COUNTIF('1.연간시수표'!AD52,$BP$9),COUNTIF('1.연간시수표'!AD52,$BP$7)),$BP$6,IF(OR(COUNTIF('1.연간시수표'!AD52,$BQ$9),COUNTIF('1.연간시수표'!AD52,$BQ$7)),$BQ$6,IF(OR(COUNTIF('1.연간시수표'!AD52,$BR$9),COUNTIF('1.연간시수표'!AD52,$BR$7)),$BR$6,"_")))))))))))))))</f>
        <v>자율활동</v>
      </c>
      <c r="AE52" s="148" t="str">
        <f>IF(OR(COUNTIF('1.연간시수표'!AE52,$AT$9),COUNTIF('1.연간시수표'!AE52,$AT$7)),$AT$6,IF(OR(COUNTIF('1.연간시수표'!AE52,$AU$9),COUNTIF('1.연간시수표'!AE52,$AU$7)),$AU$6,IF(OR(COUNTIF('1.연간시수표'!AE52,$AV$9),COUNTIF('1.연간시수표'!AE52,$AV$7)),$AV$6,IF(OR(COUNTIF('1.연간시수표'!AE52,$AW$9),COUNTIF('1.연간시수표'!AE52,$AW$7)),$AW$6,IF(OR(COUNTIF('1.연간시수표'!AE52,$AX$9),COUNTIF('1.연간시수표'!AE52,$AX$7)),$AX$6,IF(OR(COUNTIF('1.연간시수표'!AE52,$AY$9),COUNTIF('1.연간시수표'!AE52,$AY$7)),$AY$6,IF(OR(COUNTIF('1.연간시수표'!AE52,$AZ$9),COUNTIF('1.연간시수표'!AE52,$AZ$7)),$AZ$6,IF(OR(COUNTIF('1.연간시수표'!AE52,$BA$9),COUNTIF('1.연간시수표'!AE52,$BA$7)),$BA$6,IF(OR(COUNTIF('1.연간시수표'!AE52,$BB$9),COUNTIF('1.연간시수표'!AE52,$BB$7)),$BB$6,IF(OR(COUNTIF('1.연간시수표'!AE52,$BC$9),COUNTIF('1.연간시수표'!AE52,$BC$7)),$BC$6,IF(OR(COUNTIF('1.연간시수표'!AE52,$BF$9),COUNTIF('1.연간시수표'!AE52,$BF$7),COUNTIF('1.연간시수표'!AE52,$BG$9),COUNTIF('1.연간시수표'!AE52,$BG$7),COUNTIF('1.연간시수표'!AE52,$BH$9),COUNTIF('1.연간시수표'!AE52,$BH$7),COUNTIF('1.연간시수표'!AE52,$BI$9),COUNTIF('1.연간시수표'!AE52,$BI$7),COUNTIF('1.연간시수표'!AE52,$BJ$9),COUNTIF('1.연간시수표'!AE52,$BJ$7),COUNTIF('1.연간시수표'!AE52,$BK$9),COUNTIF('1.연간시수표'!AE52,$BK$7),COUNTIF('1.연간시수표'!AE52,$BL$9),COUNTIF('1.연간시수표'!AE52,$BL$7),COUNTIF('1.연간시수표'!AE52,$BM$9),COUNTIF('1.연간시수표'!AE52,$BM$7)),$BF$6,IF(OR(COUNTIF('1.연간시수표'!AE52,$BO$9),COUNTIF('1.연간시수표'!AE52,$BO$7)),$BO$6,IF(OR(COUNTIF('1.연간시수표'!AE52,$BP$9),COUNTIF('1.연간시수표'!AE52,$BP$7)),$BP$6,IF(OR(COUNTIF('1.연간시수표'!AE52,$BQ$9),COUNTIF('1.연간시수표'!AE52,$BQ$7)),$BQ$6,IF(OR(COUNTIF('1.연간시수표'!AE52,$BR$9),COUNTIF('1.연간시수표'!AE52,$BR$7)),$BR$6,"_")))))))))))))))</f>
        <v>봉사활동</v>
      </c>
      <c r="AF52" s="148" t="str">
        <f>IF(OR(COUNTIF('1.연간시수표'!AF52,$AT$9),COUNTIF('1.연간시수표'!AF52,$AT$7)),$AT$6,IF(OR(COUNTIF('1.연간시수표'!AF52,$AU$9),COUNTIF('1.연간시수표'!AF52,$AU$7)),$AU$6,IF(OR(COUNTIF('1.연간시수표'!AF52,$AV$9),COUNTIF('1.연간시수표'!AF52,$AV$7)),$AV$6,IF(OR(COUNTIF('1.연간시수표'!AF52,$AW$9),COUNTIF('1.연간시수표'!AF52,$AW$7)),$AW$6,IF(OR(COUNTIF('1.연간시수표'!AF52,$AX$9),COUNTIF('1.연간시수표'!AF52,$AX$7)),$AX$6,IF(OR(COUNTIF('1.연간시수표'!AF52,$AY$9),COUNTIF('1.연간시수표'!AF52,$AY$7)),$AY$6,IF(OR(COUNTIF('1.연간시수표'!AF52,$AZ$9),COUNTIF('1.연간시수표'!AF52,$AZ$7)),$AZ$6,IF(OR(COUNTIF('1.연간시수표'!AF52,$BA$9),COUNTIF('1.연간시수표'!AF52,$BA$7)),$BA$6,IF(OR(COUNTIF('1.연간시수표'!AF52,$BB$9),COUNTIF('1.연간시수표'!AF52,$BB$7)),$BB$6,IF(OR(COUNTIF('1.연간시수표'!AF52,$BC$9),COUNTIF('1.연간시수표'!AF52,$BC$7)),$BC$6,IF(OR(COUNTIF('1.연간시수표'!AF52,$BF$9),COUNTIF('1.연간시수표'!AF52,$BF$7),COUNTIF('1.연간시수표'!AF52,$BG$9),COUNTIF('1.연간시수표'!AF52,$BG$7),COUNTIF('1.연간시수표'!AF52,$BH$9),COUNTIF('1.연간시수표'!AF52,$BH$7),COUNTIF('1.연간시수표'!AF52,$BI$9),COUNTIF('1.연간시수표'!AF52,$BI$7),COUNTIF('1.연간시수표'!AF52,$BJ$9),COUNTIF('1.연간시수표'!AF52,$BJ$7),COUNTIF('1.연간시수표'!AF52,$BK$9),COUNTIF('1.연간시수표'!AF52,$BK$7),COUNTIF('1.연간시수표'!AF52,$BL$9),COUNTIF('1.연간시수표'!AF52,$BL$7),COUNTIF('1.연간시수표'!AF52,$BM$9),COUNTIF('1.연간시수표'!AF52,$BM$7)),$BF$6,IF(OR(COUNTIF('1.연간시수표'!AF52,$BO$9),COUNTIF('1.연간시수표'!AF52,$BO$7)),$BO$6,IF(OR(COUNTIF('1.연간시수표'!AF52,$BP$9),COUNTIF('1.연간시수표'!AF52,$BP$7)),$BP$6,IF(OR(COUNTIF('1.연간시수표'!AF52,$BQ$9),COUNTIF('1.연간시수표'!AF52,$BQ$7)),$BQ$6,IF(OR(COUNTIF('1.연간시수표'!AF52,$BR$9),COUNTIF('1.연간시수표'!AF52,$BR$7)),$BR$6,"_")))))))))))))))</f>
        <v>영어</v>
      </c>
      <c r="AG52" s="148" t="str">
        <f>IF(OR(COUNTIF('1.연간시수표'!AG52,$AT$9),COUNTIF('1.연간시수표'!AG52,$AT$7)),$AT$6,IF(OR(COUNTIF('1.연간시수표'!AG52,$AU$9),COUNTIF('1.연간시수표'!AG52,$AU$7)),$AU$6,IF(OR(COUNTIF('1.연간시수표'!AG52,$AV$9),COUNTIF('1.연간시수표'!AG52,$AV$7)),$AV$6,IF(OR(COUNTIF('1.연간시수표'!AG52,$AW$9),COUNTIF('1.연간시수표'!AG52,$AW$7)),$AW$6,IF(OR(COUNTIF('1.연간시수표'!AG52,$AX$9),COUNTIF('1.연간시수표'!AG52,$AX$7)),$AX$6,IF(OR(COUNTIF('1.연간시수표'!AG52,$AY$9),COUNTIF('1.연간시수표'!AG52,$AY$7)),$AY$6,IF(OR(COUNTIF('1.연간시수표'!AG52,$AZ$9),COUNTIF('1.연간시수표'!AG52,$AZ$7)),$AZ$6,IF(OR(COUNTIF('1.연간시수표'!AG52,$BA$9),COUNTIF('1.연간시수표'!AG52,$BA$7)),$BA$6,IF(OR(COUNTIF('1.연간시수표'!AG52,$BB$9),COUNTIF('1.연간시수표'!AG52,$BB$7)),$BB$6,IF(OR(COUNTIF('1.연간시수표'!AG52,$BC$9),COUNTIF('1.연간시수표'!AG52,$BC$7)),$BC$6,IF(OR(COUNTIF('1.연간시수표'!AG52,$BF$9),COUNTIF('1.연간시수표'!AG52,$BF$7),COUNTIF('1.연간시수표'!AG52,$BG$9),COUNTIF('1.연간시수표'!AG52,$BG$7),COUNTIF('1.연간시수표'!AG52,$BH$9),COUNTIF('1.연간시수표'!AG52,$BH$7),COUNTIF('1.연간시수표'!AG52,$BI$9),COUNTIF('1.연간시수표'!AG52,$BI$7),COUNTIF('1.연간시수표'!AG52,$BJ$9),COUNTIF('1.연간시수표'!AG52,$BJ$7),COUNTIF('1.연간시수표'!AG52,$BK$9),COUNTIF('1.연간시수표'!AG52,$BK$7),COUNTIF('1.연간시수표'!AG52,$BL$9),COUNTIF('1.연간시수표'!AG52,$BL$7),COUNTIF('1.연간시수표'!AG52,$BM$9),COUNTIF('1.연간시수표'!AG52,$BM$7)),$BF$6,IF(OR(COUNTIF('1.연간시수표'!AG52,$BO$9),COUNTIF('1.연간시수표'!AG52,$BO$7)),$BO$6,IF(OR(COUNTIF('1.연간시수표'!AG52,$BP$9),COUNTIF('1.연간시수표'!AG52,$BP$7)),$BP$6,IF(OR(COUNTIF('1.연간시수표'!AG52,$BQ$9),COUNTIF('1.연간시수표'!AG52,$BQ$7)),$BQ$6,IF(OR(COUNTIF('1.연간시수표'!AG52,$BR$9),COUNTIF('1.연간시수표'!AG52,$BR$7)),$BR$6,"_")))))))))))))))</f>
        <v>과학</v>
      </c>
      <c r="AH52" s="148" t="str">
        <f>IF(OR(COUNTIF('1.연간시수표'!AH52,$AT$9),COUNTIF('1.연간시수표'!AH52,$AT$7)),$AT$6,IF(OR(COUNTIF('1.연간시수표'!AH52,$AU$9),COUNTIF('1.연간시수표'!AH52,$AU$7)),$AU$6,IF(OR(COUNTIF('1.연간시수표'!AH52,$AV$9),COUNTIF('1.연간시수표'!AH52,$AV$7)),$AV$6,IF(OR(COUNTIF('1.연간시수표'!AH52,$AW$9),COUNTIF('1.연간시수표'!AH52,$AW$7)),$AW$6,IF(OR(COUNTIF('1.연간시수표'!AH52,$AX$9),COUNTIF('1.연간시수표'!AH52,$AX$7)),$AX$6,IF(OR(COUNTIF('1.연간시수표'!AH52,$AY$9),COUNTIF('1.연간시수표'!AH52,$AY$7)),$AY$6,IF(OR(COUNTIF('1.연간시수표'!AH52,$AZ$9),COUNTIF('1.연간시수표'!AH52,$AZ$7)),$AZ$6,IF(OR(COUNTIF('1.연간시수표'!AH52,$BA$9),COUNTIF('1.연간시수표'!AH52,$BA$7)),$BA$6,IF(OR(COUNTIF('1.연간시수표'!AH52,$BB$9),COUNTIF('1.연간시수표'!AH52,$BB$7)),$BB$6,IF(OR(COUNTIF('1.연간시수표'!AH52,$BC$9),COUNTIF('1.연간시수표'!AH52,$BC$7)),$BC$6,IF(OR(COUNTIF('1.연간시수표'!AH52,$BF$9),COUNTIF('1.연간시수표'!AH52,$BF$7),COUNTIF('1.연간시수표'!AH52,$BG$9),COUNTIF('1.연간시수표'!AH52,$BG$7),COUNTIF('1.연간시수표'!AH52,$BH$9),COUNTIF('1.연간시수표'!AH52,$BH$7),COUNTIF('1.연간시수표'!AH52,$BI$9),COUNTIF('1.연간시수표'!AH52,$BI$7),COUNTIF('1.연간시수표'!AH52,$BJ$9),COUNTIF('1.연간시수표'!AH52,$BJ$7),COUNTIF('1.연간시수표'!AH52,$BK$9),COUNTIF('1.연간시수표'!AH52,$BK$7),COUNTIF('1.연간시수표'!AH52,$BL$9),COUNTIF('1.연간시수표'!AH52,$BL$7),COUNTIF('1.연간시수표'!AH52,$BM$9),COUNTIF('1.연간시수표'!AH52,$BM$7)),$BF$6,IF(OR(COUNTIF('1.연간시수표'!AH52,$BO$9),COUNTIF('1.연간시수표'!AH52,$BO$7)),$BO$6,IF(OR(COUNTIF('1.연간시수표'!AH52,$BP$9),COUNTIF('1.연간시수표'!AH52,$BP$7)),$BP$6,IF(OR(COUNTIF('1.연간시수표'!AH52,$BQ$9),COUNTIF('1.연간시수표'!AH52,$BQ$7)),$BQ$6,IF(OR(COUNTIF('1.연간시수표'!AH52,$BR$9),COUNTIF('1.연간시수표'!AH52,$BR$7)),$BR$6,"_")))))))))))))))</f>
        <v>음악</v>
      </c>
      <c r="AI52" s="148" t="str">
        <f>IF(OR(COUNTIF('1.연간시수표'!AI52,$AT$9),COUNTIF('1.연간시수표'!AI52,$AT$7)),$AT$6,IF(OR(COUNTIF('1.연간시수표'!AI52,$AU$9),COUNTIF('1.연간시수표'!AI52,$AU$7)),$AU$6,IF(OR(COUNTIF('1.연간시수표'!AI52,$AV$9),COUNTIF('1.연간시수표'!AI52,$AV$7)),$AV$6,IF(OR(COUNTIF('1.연간시수표'!AI52,$AW$9),COUNTIF('1.연간시수표'!AI52,$AW$7)),$AW$6,IF(OR(COUNTIF('1.연간시수표'!AI52,$AX$9),COUNTIF('1.연간시수표'!AI52,$AX$7)),$AX$6,IF(OR(COUNTIF('1.연간시수표'!AI52,$AY$9),COUNTIF('1.연간시수표'!AI52,$AY$7)),$AY$6,IF(OR(COUNTIF('1.연간시수표'!AI52,$AZ$9),COUNTIF('1.연간시수표'!AI52,$AZ$7)),$AZ$6,IF(OR(COUNTIF('1.연간시수표'!AI52,$BA$9),COUNTIF('1.연간시수표'!AI52,$BA$7)),$BA$6,IF(OR(COUNTIF('1.연간시수표'!AI52,$BB$9),COUNTIF('1.연간시수표'!AI52,$BB$7)),$BB$6,IF(OR(COUNTIF('1.연간시수표'!AI52,$BC$9),COUNTIF('1.연간시수표'!AI52,$BC$7)),$BC$6,IF(OR(COUNTIF('1.연간시수표'!AI52,$BF$9),COUNTIF('1.연간시수표'!AI52,$BF$7),COUNTIF('1.연간시수표'!AI52,$BG$9),COUNTIF('1.연간시수표'!AI52,$BG$7),COUNTIF('1.연간시수표'!AI52,$BH$9),COUNTIF('1.연간시수표'!AI52,$BH$7),COUNTIF('1.연간시수표'!AI52,$BI$9),COUNTIF('1.연간시수표'!AI52,$BI$7),COUNTIF('1.연간시수표'!AI52,$BJ$9),COUNTIF('1.연간시수표'!AI52,$BJ$7),COUNTIF('1.연간시수표'!AI52,$BK$9),COUNTIF('1.연간시수표'!AI52,$BK$7),COUNTIF('1.연간시수표'!AI52,$BL$9),COUNTIF('1.연간시수표'!AI52,$BL$7),COUNTIF('1.연간시수표'!AI52,$BM$9),COUNTIF('1.연간시수표'!AI52,$BM$7)),$BF$6,IF(OR(COUNTIF('1.연간시수표'!AI52,$BO$9),COUNTIF('1.연간시수표'!AI52,$BO$7)),$BO$6,IF(OR(COUNTIF('1.연간시수표'!AI52,$BP$9),COUNTIF('1.연간시수표'!AI52,$BP$7)),$BP$6,IF(OR(COUNTIF('1.연간시수표'!AI52,$BQ$9),COUNTIF('1.연간시수표'!AI52,$BQ$7)),$BQ$6,IF(OR(COUNTIF('1.연간시수표'!AI52,$BR$9),COUNTIF('1.연간시수표'!AI52,$BR$7)),$BR$6,"_")))))))))))))))</f>
        <v>_</v>
      </c>
      <c r="AJ52" s="148" t="str">
        <f>IF(OR(COUNTIF('1.연간시수표'!AJ52,$AT$9),COUNTIF('1.연간시수표'!AJ52,$AT$7)),$AT$6,IF(OR(COUNTIF('1.연간시수표'!AJ52,$AU$9),COUNTIF('1.연간시수표'!AJ52,$AU$7)),$AU$6,IF(OR(COUNTIF('1.연간시수표'!AJ52,$AV$9),COUNTIF('1.연간시수표'!AJ52,$AV$7)),$AV$6,IF(OR(COUNTIF('1.연간시수표'!AJ52,$AW$9),COUNTIF('1.연간시수표'!AJ52,$AW$7)),$AW$6,IF(OR(COUNTIF('1.연간시수표'!AJ52,$AX$9),COUNTIF('1.연간시수표'!AJ52,$AX$7)),$AX$6,IF(OR(COUNTIF('1.연간시수표'!AJ52,$AY$9),COUNTIF('1.연간시수표'!AJ52,$AY$7)),$AY$6,IF(OR(COUNTIF('1.연간시수표'!AJ52,$AZ$9),COUNTIF('1.연간시수표'!AJ52,$AZ$7)),$AZ$6,IF(OR(COUNTIF('1.연간시수표'!AJ52,$BA$9),COUNTIF('1.연간시수표'!AJ52,$BA$7)),$BA$6,IF(OR(COUNTIF('1.연간시수표'!AJ52,$BB$9),COUNTIF('1.연간시수표'!AJ52,$BB$7)),$BB$6,IF(OR(COUNTIF('1.연간시수표'!AJ52,$BC$9),COUNTIF('1.연간시수표'!AJ52,$BC$7)),$BC$6,IF(OR(COUNTIF('1.연간시수표'!AJ52,$BF$9),COUNTIF('1.연간시수표'!AJ52,$BF$7),COUNTIF('1.연간시수표'!AJ52,$BG$9),COUNTIF('1.연간시수표'!AJ52,$BG$7),COUNTIF('1.연간시수표'!AJ52,$BH$9),COUNTIF('1.연간시수표'!AJ52,$BH$7),COUNTIF('1.연간시수표'!AJ52,$BI$9),COUNTIF('1.연간시수표'!AJ52,$BI$7),COUNTIF('1.연간시수표'!AJ52,$BJ$9),COUNTIF('1.연간시수표'!AJ52,$BJ$7),COUNTIF('1.연간시수표'!AJ52,$BK$9),COUNTIF('1.연간시수표'!AJ52,$BK$7),COUNTIF('1.연간시수표'!AJ52,$BL$9),COUNTIF('1.연간시수표'!AJ52,$BL$7),COUNTIF('1.연간시수표'!AJ52,$BM$9),COUNTIF('1.연간시수표'!AJ52,$BM$7)),$BF$6,IF(OR(COUNTIF('1.연간시수표'!AJ52,$BO$9),COUNTIF('1.연간시수표'!AJ52,$BO$7)),$BO$6,IF(OR(COUNTIF('1.연간시수표'!AJ52,$BP$9),COUNTIF('1.연간시수표'!AJ52,$BP$7)),$BP$6,IF(OR(COUNTIF('1.연간시수표'!AJ52,$BQ$9),COUNTIF('1.연간시수표'!AJ52,$BQ$7)),$BQ$6,IF(OR(COUNTIF('1.연간시수표'!AJ52,$BR$9),COUNTIF('1.연간시수표'!AJ52,$BR$7)),$BR$6,"_")))))))))))))))</f>
        <v>_</v>
      </c>
      <c r="AK52" s="148" t="str">
        <f>IF(OR(COUNTIF('1.연간시수표'!AK52,$AT$9),COUNTIF('1.연간시수표'!AK52,$AT$7)),$AT$6,IF(OR(COUNTIF('1.연간시수표'!AK52,$AU$9),COUNTIF('1.연간시수표'!AK52,$AU$7)),$AU$6,IF(OR(COUNTIF('1.연간시수표'!AK52,$AV$9),COUNTIF('1.연간시수표'!AK52,$AV$7)),$AV$6,IF(OR(COUNTIF('1.연간시수표'!AK52,$AW$9),COUNTIF('1.연간시수표'!AK52,$AW$7)),$AW$6,IF(OR(COUNTIF('1.연간시수표'!AK52,$AX$9),COUNTIF('1.연간시수표'!AK52,$AX$7)),$AX$6,IF(OR(COUNTIF('1.연간시수표'!AK52,$AY$9),COUNTIF('1.연간시수표'!AK52,$AY$7)),$AY$6,IF(OR(COUNTIF('1.연간시수표'!AK52,$AZ$9),COUNTIF('1.연간시수표'!AK52,$AZ$7)),$AZ$6,IF(OR(COUNTIF('1.연간시수표'!AK52,$BA$9),COUNTIF('1.연간시수표'!AK52,$BA$7)),$BA$6,IF(OR(COUNTIF('1.연간시수표'!AK52,$BB$9),COUNTIF('1.연간시수표'!AK52,$BB$7)),$BB$6,IF(OR(COUNTIF('1.연간시수표'!AK52,$BC$9),COUNTIF('1.연간시수표'!AK52,$BC$7)),$BC$6,IF(OR(COUNTIF('1.연간시수표'!AK52,$BF$9),COUNTIF('1.연간시수표'!AK52,$BF$7),COUNTIF('1.연간시수표'!AK52,$BG$9),COUNTIF('1.연간시수표'!AK52,$BG$7),COUNTIF('1.연간시수표'!AK52,$BH$9),COUNTIF('1.연간시수표'!AK52,$BH$7),COUNTIF('1.연간시수표'!AK52,$BI$9),COUNTIF('1.연간시수표'!AK52,$BI$7),COUNTIF('1.연간시수표'!AK52,$BJ$9),COUNTIF('1.연간시수표'!AK52,$BJ$7),COUNTIF('1.연간시수표'!AK52,$BK$9),COUNTIF('1.연간시수표'!AK52,$BK$7),COUNTIF('1.연간시수표'!AK52,$BL$9),COUNTIF('1.연간시수표'!AK52,$BL$7),COUNTIF('1.연간시수표'!AK52,$BM$9),COUNTIF('1.연간시수표'!AK52,$BM$7)),$BF$6,IF(OR(COUNTIF('1.연간시수표'!AK52,$BO$9),COUNTIF('1.연간시수표'!AK52,$BO$7)),$BO$6,IF(OR(COUNTIF('1.연간시수표'!AK52,$BP$9),COUNTIF('1.연간시수표'!AK52,$BP$7)),$BP$6,IF(OR(COUNTIF('1.연간시수표'!AK52,$BQ$9),COUNTIF('1.연간시수표'!AK52,$BQ$7)),$BQ$6,IF(OR(COUNTIF('1.연간시수표'!AK52,$BR$9),COUNTIF('1.연간시수표'!AK52,$BR$7)),$BR$6,"_")))))))))))))))</f>
        <v>국어</v>
      </c>
      <c r="AL52" s="148" t="str">
        <f>IF(OR(COUNTIF('1.연간시수표'!AL52,$AT$9),COUNTIF('1.연간시수표'!AL52,$AT$7)),$AT$6,IF(OR(COUNTIF('1.연간시수표'!AL52,$AU$9),COUNTIF('1.연간시수표'!AL52,$AU$7)),$AU$6,IF(OR(COUNTIF('1.연간시수표'!AL52,$AV$9),COUNTIF('1.연간시수표'!AL52,$AV$7)),$AV$6,IF(OR(COUNTIF('1.연간시수표'!AL52,$AW$9),COUNTIF('1.연간시수표'!AL52,$AW$7)),$AW$6,IF(OR(COUNTIF('1.연간시수표'!AL52,$AX$9),COUNTIF('1.연간시수표'!AL52,$AX$7)),$AX$6,IF(OR(COUNTIF('1.연간시수표'!AL52,$AY$9),COUNTIF('1.연간시수표'!AL52,$AY$7)),$AY$6,IF(OR(COUNTIF('1.연간시수표'!AL52,$AZ$9),COUNTIF('1.연간시수표'!AL52,$AZ$7)),$AZ$6,IF(OR(COUNTIF('1.연간시수표'!AL52,$BA$9),COUNTIF('1.연간시수표'!AL52,$BA$7)),$BA$6,IF(OR(COUNTIF('1.연간시수표'!AL52,$BB$9),COUNTIF('1.연간시수표'!AL52,$BB$7)),$BB$6,IF(OR(COUNTIF('1.연간시수표'!AL52,$BC$9),COUNTIF('1.연간시수표'!AL52,$BC$7)),$BC$6,IF(OR(COUNTIF('1.연간시수표'!AL52,$BF$9),COUNTIF('1.연간시수표'!AL52,$BF$7),COUNTIF('1.연간시수표'!AL52,$BG$9),COUNTIF('1.연간시수표'!AL52,$BG$7),COUNTIF('1.연간시수표'!AL52,$BH$9),COUNTIF('1.연간시수표'!AL52,$BH$7),COUNTIF('1.연간시수표'!AL52,$BI$9),COUNTIF('1.연간시수표'!AL52,$BI$7),COUNTIF('1.연간시수표'!AL52,$BJ$9),COUNTIF('1.연간시수표'!AL52,$BJ$7),COUNTIF('1.연간시수표'!AL52,$BK$9),COUNTIF('1.연간시수표'!AL52,$BK$7),COUNTIF('1.연간시수표'!AL52,$BL$9),COUNTIF('1.연간시수표'!AL52,$BL$7),COUNTIF('1.연간시수표'!AL52,$BM$9),COUNTIF('1.연간시수표'!AL52,$BM$7)),$BF$6,IF(OR(COUNTIF('1.연간시수표'!AL52,$BO$9),COUNTIF('1.연간시수표'!AL52,$BO$7)),$BO$6,IF(OR(COUNTIF('1.연간시수표'!AL52,$BP$9),COUNTIF('1.연간시수표'!AL52,$BP$7)),$BP$6,IF(OR(COUNTIF('1.연간시수표'!AL52,$BQ$9),COUNTIF('1.연간시수표'!AL52,$BQ$7)),$BQ$6,IF(OR(COUNTIF('1.연간시수표'!AL52,$BR$9),COUNTIF('1.연간시수표'!AL52,$BR$7)),$BR$6,"_")))))))))))))))</f>
        <v>체육</v>
      </c>
      <c r="AM52" s="148" t="str">
        <f>IF(OR(COUNTIF('1.연간시수표'!AM52,$AT$9),COUNTIF('1.연간시수표'!AM52,$AT$7)),$AT$6,IF(OR(COUNTIF('1.연간시수표'!AM52,$AU$9),COUNTIF('1.연간시수표'!AM52,$AU$7)),$AU$6,IF(OR(COUNTIF('1.연간시수표'!AM52,$AV$9),COUNTIF('1.연간시수표'!AM52,$AV$7)),$AV$6,IF(OR(COUNTIF('1.연간시수표'!AM52,$AW$9),COUNTIF('1.연간시수표'!AM52,$AW$7)),$AW$6,IF(OR(COUNTIF('1.연간시수표'!AM52,$AX$9),COUNTIF('1.연간시수표'!AM52,$AX$7)),$AX$6,IF(OR(COUNTIF('1.연간시수표'!AM52,$AY$9),COUNTIF('1.연간시수표'!AM52,$AY$7)),$AY$6,IF(OR(COUNTIF('1.연간시수표'!AM52,$AZ$9),COUNTIF('1.연간시수표'!AM52,$AZ$7)),$AZ$6,IF(OR(COUNTIF('1.연간시수표'!AM52,$BA$9),COUNTIF('1.연간시수표'!AM52,$BA$7)),$BA$6,IF(OR(COUNTIF('1.연간시수표'!AM52,$BB$9),COUNTIF('1.연간시수표'!AM52,$BB$7)),$BB$6,IF(OR(COUNTIF('1.연간시수표'!AM52,$BC$9),COUNTIF('1.연간시수표'!AM52,$BC$7)),$BC$6,IF(OR(COUNTIF('1.연간시수표'!AM52,$BF$9),COUNTIF('1.연간시수표'!AM52,$BF$7),COUNTIF('1.연간시수표'!AM52,$BG$9),COUNTIF('1.연간시수표'!AM52,$BG$7),COUNTIF('1.연간시수표'!AM52,$BH$9),COUNTIF('1.연간시수표'!AM52,$BH$7),COUNTIF('1.연간시수표'!AM52,$BI$9),COUNTIF('1.연간시수표'!AM52,$BI$7),COUNTIF('1.연간시수표'!AM52,$BJ$9),COUNTIF('1.연간시수표'!AM52,$BJ$7),COUNTIF('1.연간시수표'!AM52,$BK$9),COUNTIF('1.연간시수표'!AM52,$BK$7),COUNTIF('1.연간시수표'!AM52,$BL$9),COUNTIF('1.연간시수표'!AM52,$BL$7),COUNTIF('1.연간시수표'!AM52,$BM$9),COUNTIF('1.연간시수표'!AM52,$BM$7)),$BF$6,IF(OR(COUNTIF('1.연간시수표'!AM52,$BO$9),COUNTIF('1.연간시수표'!AM52,$BO$7)),$BO$6,IF(OR(COUNTIF('1.연간시수표'!AM52,$BP$9),COUNTIF('1.연간시수표'!AM52,$BP$7)),$BP$6,IF(OR(COUNTIF('1.연간시수표'!AM52,$BQ$9),COUNTIF('1.연간시수표'!AM52,$BQ$7)),$BQ$6,IF(OR(COUNTIF('1.연간시수표'!AM52,$BR$9),COUNTIF('1.연간시수표'!AM52,$BR$7)),$BR$6,"_")))))))))))))))</f>
        <v>수학</v>
      </c>
      <c r="AN52" s="148" t="str">
        <f>IF(OR(COUNTIF('1.연간시수표'!AN52,$AT$9),COUNTIF('1.연간시수표'!AN52,$AT$7)),$AT$6,IF(OR(COUNTIF('1.연간시수표'!AN52,$AU$9),COUNTIF('1.연간시수표'!AN52,$AU$7)),$AU$6,IF(OR(COUNTIF('1.연간시수표'!AN52,$AV$9),COUNTIF('1.연간시수표'!AN52,$AV$7)),$AV$6,IF(OR(COUNTIF('1.연간시수표'!AN52,$AW$9),COUNTIF('1.연간시수표'!AN52,$AW$7)),$AW$6,IF(OR(COUNTIF('1.연간시수표'!AN52,$AX$9),COUNTIF('1.연간시수표'!AN52,$AX$7)),$AX$6,IF(OR(COUNTIF('1.연간시수표'!AN52,$AY$9),COUNTIF('1.연간시수표'!AN52,$AY$7)),$AY$6,IF(OR(COUNTIF('1.연간시수표'!AN52,$AZ$9),COUNTIF('1.연간시수표'!AN52,$AZ$7)),$AZ$6,IF(OR(COUNTIF('1.연간시수표'!AN52,$BA$9),COUNTIF('1.연간시수표'!AN52,$BA$7)),$BA$6,IF(OR(COUNTIF('1.연간시수표'!AN52,$BB$9),COUNTIF('1.연간시수표'!AN52,$BB$7)),$BB$6,IF(OR(COUNTIF('1.연간시수표'!AN52,$BC$9),COUNTIF('1.연간시수표'!AN52,$BC$7)),$BC$6,IF(OR(COUNTIF('1.연간시수표'!AN52,$BF$9),COUNTIF('1.연간시수표'!AN52,$BF$7),COUNTIF('1.연간시수표'!AN52,$BG$9),COUNTIF('1.연간시수표'!AN52,$BG$7),COUNTIF('1.연간시수표'!AN52,$BH$9),COUNTIF('1.연간시수표'!AN52,$BH$7),COUNTIF('1.연간시수표'!AN52,$BI$9),COUNTIF('1.연간시수표'!AN52,$BI$7),COUNTIF('1.연간시수표'!AN52,$BJ$9),COUNTIF('1.연간시수표'!AN52,$BJ$7),COUNTIF('1.연간시수표'!AN52,$BK$9),COUNTIF('1.연간시수표'!AN52,$BK$7),COUNTIF('1.연간시수표'!AN52,$BL$9),COUNTIF('1.연간시수표'!AN52,$BL$7),COUNTIF('1.연간시수표'!AN52,$BM$9),COUNTIF('1.연간시수표'!AN52,$BM$7)),$BF$6,IF(OR(COUNTIF('1.연간시수표'!AN52,$BO$9),COUNTIF('1.연간시수표'!AN52,$BO$7)),$BO$6,IF(OR(COUNTIF('1.연간시수표'!AN52,$BP$9),COUNTIF('1.연간시수표'!AN52,$BP$7)),$BP$6,IF(OR(COUNTIF('1.연간시수표'!AN52,$BQ$9),COUNTIF('1.연간시수표'!AN52,$BQ$7)),$BQ$6,IF(OR(COUNTIF('1.연간시수표'!AN52,$BR$9),COUNTIF('1.연간시수표'!AN52,$BR$7)),$BR$6,"_")))))))))))))))</f>
        <v>국어</v>
      </c>
      <c r="AO52" s="148" t="str">
        <f>IF(OR(COUNTIF('1.연간시수표'!AO52,$AT$9),COUNTIF('1.연간시수표'!AO52,$AT$7)),$AT$6,IF(OR(COUNTIF('1.연간시수표'!AO52,$AU$9),COUNTIF('1.연간시수표'!AO52,$AU$7)),$AU$6,IF(OR(COUNTIF('1.연간시수표'!AO52,$AV$9),COUNTIF('1.연간시수표'!AO52,$AV$7)),$AV$6,IF(OR(COUNTIF('1.연간시수표'!AO52,$AW$9),COUNTIF('1.연간시수표'!AO52,$AW$7)),$AW$6,IF(OR(COUNTIF('1.연간시수표'!AO52,$AX$9),COUNTIF('1.연간시수표'!AO52,$AX$7)),$AX$6,IF(OR(COUNTIF('1.연간시수표'!AO52,$AY$9),COUNTIF('1.연간시수표'!AO52,$AY$7)),$AY$6,IF(OR(COUNTIF('1.연간시수표'!AO52,$AZ$9),COUNTIF('1.연간시수표'!AO52,$AZ$7)),$AZ$6,IF(OR(COUNTIF('1.연간시수표'!AO52,$BA$9),COUNTIF('1.연간시수표'!AO52,$BA$7)),$BA$6,IF(OR(COUNTIF('1.연간시수표'!AO52,$BB$9),COUNTIF('1.연간시수표'!AO52,$BB$7)),$BB$6,IF(OR(COUNTIF('1.연간시수표'!AO52,$BC$9),COUNTIF('1.연간시수표'!AO52,$BC$7)),$BC$6,IF(OR(COUNTIF('1.연간시수표'!AO52,$BF$9),COUNTIF('1.연간시수표'!AO52,$BF$7),COUNTIF('1.연간시수표'!AO52,$BG$9),COUNTIF('1.연간시수표'!AO52,$BG$7),COUNTIF('1.연간시수표'!AO52,$BH$9),COUNTIF('1.연간시수표'!AO52,$BH$7),COUNTIF('1.연간시수표'!AO52,$BI$9),COUNTIF('1.연간시수표'!AO52,$BI$7),COUNTIF('1.연간시수표'!AO52,$BJ$9),COUNTIF('1.연간시수표'!AO52,$BJ$7),COUNTIF('1.연간시수표'!AO52,$BK$9),COUNTIF('1.연간시수표'!AO52,$BK$7),COUNTIF('1.연간시수표'!AO52,$BL$9),COUNTIF('1.연간시수표'!AO52,$BL$7),COUNTIF('1.연간시수표'!AO52,$BM$9),COUNTIF('1.연간시수표'!AO52,$BM$7)),$BF$6,IF(OR(COUNTIF('1.연간시수표'!AO52,$BO$9),COUNTIF('1.연간시수표'!AO52,$BO$7)),$BO$6,IF(OR(COUNTIF('1.연간시수표'!AO52,$BP$9),COUNTIF('1.연간시수표'!AO52,$BP$7)),$BP$6,IF(OR(COUNTIF('1.연간시수표'!AO52,$BQ$9),COUNTIF('1.연간시수표'!AO52,$BQ$7)),$BQ$6,IF(OR(COUNTIF('1.연간시수표'!AO52,$BR$9),COUNTIF('1.연간시수표'!AO52,$BR$7)),$BR$6,"_")))))))))))))))</f>
        <v>사회</v>
      </c>
      <c r="AP52" s="148" t="str">
        <f>IF(OR(COUNTIF('1.연간시수표'!AP52,$AT$9),COUNTIF('1.연간시수표'!AP52,$AT$7)),$AT$6,IF(OR(COUNTIF('1.연간시수표'!AP52,$AU$9),COUNTIF('1.연간시수표'!AP52,$AU$7)),$AU$6,IF(OR(COUNTIF('1.연간시수표'!AP52,$AV$9),COUNTIF('1.연간시수표'!AP52,$AV$7)),$AV$6,IF(OR(COUNTIF('1.연간시수표'!AP52,$AW$9),COUNTIF('1.연간시수표'!AP52,$AW$7)),$AW$6,IF(OR(COUNTIF('1.연간시수표'!AP52,$AX$9),COUNTIF('1.연간시수표'!AP52,$AX$7)),$AX$6,IF(OR(COUNTIF('1.연간시수표'!AP52,$AY$9),COUNTIF('1.연간시수표'!AP52,$AY$7)),$AY$6,IF(OR(COUNTIF('1.연간시수표'!AP52,$AZ$9),COUNTIF('1.연간시수표'!AP52,$AZ$7)),$AZ$6,IF(OR(COUNTIF('1.연간시수표'!AP52,$BA$9),COUNTIF('1.연간시수표'!AP52,$BA$7)),$BA$6,IF(OR(COUNTIF('1.연간시수표'!AP52,$BB$9),COUNTIF('1.연간시수표'!AP52,$BB$7)),$BB$6,IF(OR(COUNTIF('1.연간시수표'!AP52,$BC$9),COUNTIF('1.연간시수표'!AP52,$BC$7)),$BC$6,IF(OR(COUNTIF('1.연간시수표'!AP52,$BF$9),COUNTIF('1.연간시수표'!AP52,$BF$7),COUNTIF('1.연간시수표'!AP52,$BG$9),COUNTIF('1.연간시수표'!AP52,$BG$7),COUNTIF('1.연간시수표'!AP52,$BH$9),COUNTIF('1.연간시수표'!AP52,$BH$7),COUNTIF('1.연간시수표'!AP52,$BI$9),COUNTIF('1.연간시수표'!AP52,$BI$7),COUNTIF('1.연간시수표'!AP52,$BJ$9),COUNTIF('1.연간시수표'!AP52,$BJ$7),COUNTIF('1.연간시수표'!AP52,$BK$9),COUNTIF('1.연간시수표'!AP52,$BK$7),COUNTIF('1.연간시수표'!AP52,$BL$9),COUNTIF('1.연간시수표'!AP52,$BL$7),COUNTIF('1.연간시수표'!AP52,$BM$9),COUNTIF('1.연간시수표'!AP52,$BM$7)),$BF$6,IF(OR(COUNTIF('1.연간시수표'!AP52,$BO$9),COUNTIF('1.연간시수표'!AP52,$BO$7)),$BO$6,IF(OR(COUNTIF('1.연간시수표'!AP52,$BP$9),COUNTIF('1.연간시수표'!AP52,$BP$7)),$BP$6,IF(OR(COUNTIF('1.연간시수표'!AP52,$BQ$9),COUNTIF('1.연간시수표'!AP52,$BQ$7)),$BQ$6,IF(OR(COUNTIF('1.연간시수표'!AP52,$BR$9),COUNTIF('1.연간시수표'!AP52,$BR$7)),$BR$6,"_")))))))))))))))</f>
        <v>실과</v>
      </c>
      <c r="AQ52" s="148" t="str">
        <f>IF(OR(COUNTIF('1.연간시수표'!AQ52,$AT$9),COUNTIF('1.연간시수표'!AQ52,$AT$7)),$AT$6,IF(OR(COUNTIF('1.연간시수표'!AQ52,$AU$9),COUNTIF('1.연간시수표'!AQ52,$AU$7)),$AU$6,IF(OR(COUNTIF('1.연간시수표'!AQ52,$AV$9),COUNTIF('1.연간시수표'!AQ52,$AV$7)),$AV$6,IF(OR(COUNTIF('1.연간시수표'!AQ52,$AW$9),COUNTIF('1.연간시수표'!AQ52,$AW$7)),$AW$6,IF(OR(COUNTIF('1.연간시수표'!AQ52,$AX$9),COUNTIF('1.연간시수표'!AQ52,$AX$7)),$AX$6,IF(OR(COUNTIF('1.연간시수표'!AQ52,$AY$9),COUNTIF('1.연간시수표'!AQ52,$AY$7)),$AY$6,IF(OR(COUNTIF('1.연간시수표'!AQ52,$AZ$9),COUNTIF('1.연간시수표'!AQ52,$AZ$7)),$AZ$6,IF(OR(COUNTIF('1.연간시수표'!AQ52,$BA$9),COUNTIF('1.연간시수표'!AQ52,$BA$7)),$BA$6,IF(OR(COUNTIF('1.연간시수표'!AQ52,$BB$9),COUNTIF('1.연간시수표'!AQ52,$BB$7)),$BB$6,IF(OR(COUNTIF('1.연간시수표'!AQ52,$BC$9),COUNTIF('1.연간시수표'!AQ52,$BC$7)),$BC$6,IF(OR(COUNTIF('1.연간시수표'!AQ52,$BF$9),COUNTIF('1.연간시수표'!AQ52,$BF$7),COUNTIF('1.연간시수표'!AQ52,$BG$9),COUNTIF('1.연간시수표'!AQ52,$BG$7),COUNTIF('1.연간시수표'!AQ52,$BH$9),COUNTIF('1.연간시수표'!AQ52,$BH$7),COUNTIF('1.연간시수표'!AQ52,$BI$9),COUNTIF('1.연간시수표'!AQ52,$BI$7),COUNTIF('1.연간시수표'!AQ52,$BJ$9),COUNTIF('1.연간시수표'!AQ52,$BJ$7),COUNTIF('1.연간시수표'!AQ52,$BK$9),COUNTIF('1.연간시수표'!AQ52,$BK$7),COUNTIF('1.연간시수표'!AQ52,$BL$9),COUNTIF('1.연간시수표'!AQ52,$BL$7),COUNTIF('1.연간시수표'!AQ52,$BM$9),COUNTIF('1.연간시수표'!AQ52,$BM$7)),$BF$6,IF(OR(COUNTIF('1.연간시수표'!AQ52,$BO$9),COUNTIF('1.연간시수표'!AQ52,$BO$7)),$BO$6,IF(OR(COUNTIF('1.연간시수표'!AQ52,$BP$9),COUNTIF('1.연간시수표'!AQ52,$BP$7)),$BP$6,IF(OR(COUNTIF('1.연간시수표'!AQ52,$BQ$9),COUNTIF('1.연간시수표'!AQ52,$BQ$7)),$BQ$6,IF(OR(COUNTIF('1.연간시수표'!AQ52,$BR$9),COUNTIF('1.연간시수표'!AQ52,$BR$7)),$BR$6,"_")))))))))))))))</f>
        <v>_</v>
      </c>
      <c r="AR52" s="148" t="str">
        <f>IF(OR(COUNTIF('1.연간시수표'!AR52,$AT$9),COUNTIF('1.연간시수표'!AR52,$AT$7)),$AT$6,IF(OR(COUNTIF('1.연간시수표'!AR52,$AU$9),COUNTIF('1.연간시수표'!AR52,$AU$7)),$AU$6,IF(OR(COUNTIF('1.연간시수표'!AR52,$AV$9),COUNTIF('1.연간시수표'!AR52,$AV$7)),$AV$6,IF(OR(COUNTIF('1.연간시수표'!AR52,$AW$9),COUNTIF('1.연간시수표'!AR52,$AW$7)),$AW$6,IF(OR(COUNTIF('1.연간시수표'!AR52,$AX$9),COUNTIF('1.연간시수표'!AR52,$AX$7)),$AX$6,IF(OR(COUNTIF('1.연간시수표'!AR52,$AY$9),COUNTIF('1.연간시수표'!AR52,$AY$7)),$AY$6,IF(OR(COUNTIF('1.연간시수표'!AR52,$AZ$9),COUNTIF('1.연간시수표'!AR52,$AZ$7)),$AZ$6,IF(OR(COUNTIF('1.연간시수표'!AR52,$BA$9),COUNTIF('1.연간시수표'!AR52,$BA$7)),$BA$6,IF(OR(COUNTIF('1.연간시수표'!AR52,$BB$9),COUNTIF('1.연간시수표'!AR52,$BB$7)),$BB$6,IF(OR(COUNTIF('1.연간시수표'!AR52,$BC$9),COUNTIF('1.연간시수표'!AR52,$BC$7)),$BC$6,IF(OR(COUNTIF('1.연간시수표'!AR52,$BF$9),COUNTIF('1.연간시수표'!AR52,$BF$7),COUNTIF('1.연간시수표'!AR52,$BG$9),COUNTIF('1.연간시수표'!AR52,$BG$7),COUNTIF('1.연간시수표'!AR52,$BH$9),COUNTIF('1.연간시수표'!AR52,$BH$7),COUNTIF('1.연간시수표'!AR52,$BI$9),COUNTIF('1.연간시수표'!AR52,$BI$7),COUNTIF('1.연간시수표'!AR52,$BJ$9),COUNTIF('1.연간시수표'!AR52,$BJ$7),COUNTIF('1.연간시수표'!AR52,$BK$9),COUNTIF('1.연간시수표'!AR52,$BK$7),COUNTIF('1.연간시수표'!AR52,$BL$9),COUNTIF('1.연간시수표'!AR52,$BL$7),COUNTIF('1.연간시수표'!AR52,$BM$9),COUNTIF('1.연간시수표'!AR52,$BM$7)),$BF$6,IF(OR(COUNTIF('1.연간시수표'!AR52,$BO$9),COUNTIF('1.연간시수표'!AR52,$BO$7)),$BO$6,IF(OR(COUNTIF('1.연간시수표'!AR52,$BP$9),COUNTIF('1.연간시수표'!AR52,$BP$7)),$BP$6,IF(OR(COUNTIF('1.연간시수표'!AR52,$BQ$9),COUNTIF('1.연간시수표'!AR52,$BQ$7)),$BQ$6,IF(OR(COUNTIF('1.연간시수표'!AR52,$BR$9),COUNTIF('1.연간시수표'!AR52,$BR$7)),$BR$6,"_")))))))))))))))</f>
        <v>_</v>
      </c>
      <c r="BU52" s="34"/>
    </row>
    <row r="53" spans="2:73">
      <c r="B53" s="6"/>
      <c r="C53" s="79">
        <f>'1.연간시수표'!C53</f>
        <v>22</v>
      </c>
      <c r="D53" s="3"/>
      <c r="E53" s="148" t="str">
        <f>IF(OR(COUNTIF('1.연간시수표'!E53,$AT$9),COUNTIF('1.연간시수표'!E53,$AT$7)),$AT$6,IF(OR(COUNTIF('1.연간시수표'!E53,$AU$9),COUNTIF('1.연간시수표'!E53,$AU$7)),$AU$6,IF(OR(COUNTIF('1.연간시수표'!E53,$AV$9),COUNTIF('1.연간시수표'!E53,$AV$7)),$AV$6,IF(OR(COUNTIF('1.연간시수표'!E53,$AW$9),COUNTIF('1.연간시수표'!E53,$AW$7)),$AW$6,IF(OR(COUNTIF('1.연간시수표'!E53,$AX$9),COUNTIF('1.연간시수표'!E53,$AX$7)),$AX$6,IF(OR(COUNTIF('1.연간시수표'!E53,$AY$9),COUNTIF('1.연간시수표'!E53,$AY$7)),$AY$6,IF(OR(COUNTIF('1.연간시수표'!E53,$AZ$9),COUNTIF('1.연간시수표'!E53,$AZ$7)),$AZ$6,IF(OR(COUNTIF('1.연간시수표'!E53,$BA$9),COUNTIF('1.연간시수표'!E53,$BA$7)),$BA$6,IF(OR(COUNTIF('1.연간시수표'!E53,$BB$9),COUNTIF('1.연간시수표'!E53,$BB$7)),$BB$6,IF(OR(COUNTIF('1.연간시수표'!E53,$BC$9),COUNTIF('1.연간시수표'!E53,$BC$7)),$BC$6,IF(OR(COUNTIF('1.연간시수표'!E53,$BF$9),COUNTIF('1.연간시수표'!E53,$BF$7),COUNTIF('1.연간시수표'!E53,$BG$9),COUNTIF('1.연간시수표'!E53,$BG$7),COUNTIF('1.연간시수표'!E53,$BH$9),COUNTIF('1.연간시수표'!E53,$BH$7),COUNTIF('1.연간시수표'!E53,$BI$9),COUNTIF('1.연간시수표'!E53,$BI$7),COUNTIF('1.연간시수표'!E53,$BJ$9),COUNTIF('1.연간시수표'!E53,$BJ$7),COUNTIF('1.연간시수표'!E53,$BK$9),COUNTIF('1.연간시수표'!E53,$BK$7),COUNTIF('1.연간시수표'!E53,$BL$9),COUNTIF('1.연간시수표'!E53,$BL$7),COUNTIF('1.연간시수표'!E53,$BM$9),COUNTIF('1.연간시수표'!E53,$BM$7)),$BF$6,IF(OR(COUNTIF('1.연간시수표'!E53,$BO$9),COUNTIF('1.연간시수표'!E53,$BO$7)),$BO$6,IF(OR(COUNTIF('1.연간시수표'!E53,$BP$9),COUNTIF('1.연간시수표'!E53,$BP$7)),$BP$6,IF(OR(COUNTIF('1.연간시수표'!E53,$BQ$9),COUNTIF('1.연간시수표'!E53,$BQ$7)),$BQ$6,IF(OR(COUNTIF('1.연간시수표'!E53,$BR$9),COUNTIF('1.연간시수표'!E53,$BR$7)),$BR$6,"_")))))))))))))))</f>
        <v>국어</v>
      </c>
      <c r="F53" s="148" t="str">
        <f>IF(OR(COUNTIF('1.연간시수표'!F53,$AT$9),COUNTIF('1.연간시수표'!F53,$AT$7)),$AT$6,IF(OR(COUNTIF('1.연간시수표'!F53,$AU$9),COUNTIF('1.연간시수표'!F53,$AU$7)),$AU$6,IF(OR(COUNTIF('1.연간시수표'!F53,$AV$9),COUNTIF('1.연간시수표'!F53,$AV$7)),$AV$6,IF(OR(COUNTIF('1.연간시수표'!F53,$AW$9),COUNTIF('1.연간시수표'!F53,$AW$7)),$AW$6,IF(OR(COUNTIF('1.연간시수표'!F53,$AX$9),COUNTIF('1.연간시수표'!F53,$AX$7)),$AX$6,IF(OR(COUNTIF('1.연간시수표'!F53,$AY$9),COUNTIF('1.연간시수표'!F53,$AY$7)),$AY$6,IF(OR(COUNTIF('1.연간시수표'!F53,$AZ$9),COUNTIF('1.연간시수표'!F53,$AZ$7)),$AZ$6,IF(OR(COUNTIF('1.연간시수표'!F53,$BA$9),COUNTIF('1.연간시수표'!F53,$BA$7)),$BA$6,IF(OR(COUNTIF('1.연간시수표'!F53,$BB$9),COUNTIF('1.연간시수표'!F53,$BB$7)),$BB$6,IF(OR(COUNTIF('1.연간시수표'!F53,$BC$9),COUNTIF('1.연간시수표'!F53,$BC$7)),$BC$6,IF(OR(COUNTIF('1.연간시수표'!F53,$BF$9),COUNTIF('1.연간시수표'!F53,$BF$7),COUNTIF('1.연간시수표'!F53,$BG$9),COUNTIF('1.연간시수표'!F53,$BG$7),COUNTIF('1.연간시수표'!F53,$BH$9),COUNTIF('1.연간시수표'!F53,$BH$7),COUNTIF('1.연간시수표'!F53,$BI$9),COUNTIF('1.연간시수표'!F53,$BI$7),COUNTIF('1.연간시수표'!F53,$BJ$9),COUNTIF('1.연간시수표'!F53,$BJ$7),COUNTIF('1.연간시수표'!F53,$BK$9),COUNTIF('1.연간시수표'!F53,$BK$7),COUNTIF('1.연간시수표'!F53,$BL$9),COUNTIF('1.연간시수표'!F53,$BL$7),COUNTIF('1.연간시수표'!F53,$BM$9),COUNTIF('1.연간시수표'!F53,$BM$7)),$BF$6,IF(OR(COUNTIF('1.연간시수표'!F53,$BO$9),COUNTIF('1.연간시수표'!F53,$BO$7)),$BO$6,IF(OR(COUNTIF('1.연간시수표'!F53,$BP$9),COUNTIF('1.연간시수표'!F53,$BP$7)),$BP$6,IF(OR(COUNTIF('1.연간시수표'!F53,$BQ$9),COUNTIF('1.연간시수표'!F53,$BQ$7)),$BQ$6,IF(OR(COUNTIF('1.연간시수표'!F53,$BR$9),COUNTIF('1.연간시수표'!F53,$BR$7)),$BR$6,"_")))))))))))))))</f>
        <v>미술</v>
      </c>
      <c r="G53" s="148" t="str">
        <f>IF(OR(COUNTIF('1.연간시수표'!G53,$AT$9),COUNTIF('1.연간시수표'!G53,$AT$7)),$AT$6,IF(OR(COUNTIF('1.연간시수표'!G53,$AU$9),COUNTIF('1.연간시수표'!G53,$AU$7)),$AU$6,IF(OR(COUNTIF('1.연간시수표'!G53,$AV$9),COUNTIF('1.연간시수표'!G53,$AV$7)),$AV$6,IF(OR(COUNTIF('1.연간시수표'!G53,$AW$9),COUNTIF('1.연간시수표'!G53,$AW$7)),$AW$6,IF(OR(COUNTIF('1.연간시수표'!G53,$AX$9),COUNTIF('1.연간시수표'!G53,$AX$7)),$AX$6,IF(OR(COUNTIF('1.연간시수표'!G53,$AY$9),COUNTIF('1.연간시수표'!G53,$AY$7)),$AY$6,IF(OR(COUNTIF('1.연간시수표'!G53,$AZ$9),COUNTIF('1.연간시수표'!G53,$AZ$7)),$AZ$6,IF(OR(COUNTIF('1.연간시수표'!G53,$BA$9),COUNTIF('1.연간시수표'!G53,$BA$7)),$BA$6,IF(OR(COUNTIF('1.연간시수표'!G53,$BB$9),COUNTIF('1.연간시수표'!G53,$BB$7)),$BB$6,IF(OR(COUNTIF('1.연간시수표'!G53,$BC$9),COUNTIF('1.연간시수표'!G53,$BC$7)),$BC$6,IF(OR(COUNTIF('1.연간시수표'!G53,$BF$9),COUNTIF('1.연간시수표'!G53,$BF$7),COUNTIF('1.연간시수표'!G53,$BG$9),COUNTIF('1.연간시수표'!G53,$BG$7),COUNTIF('1.연간시수표'!G53,$BH$9),COUNTIF('1.연간시수표'!G53,$BH$7),COUNTIF('1.연간시수표'!G53,$BI$9),COUNTIF('1.연간시수표'!G53,$BI$7),COUNTIF('1.연간시수표'!G53,$BJ$9),COUNTIF('1.연간시수표'!G53,$BJ$7),COUNTIF('1.연간시수표'!G53,$BK$9),COUNTIF('1.연간시수표'!G53,$BK$7),COUNTIF('1.연간시수표'!G53,$BL$9),COUNTIF('1.연간시수표'!G53,$BL$7),COUNTIF('1.연간시수표'!G53,$BM$9),COUNTIF('1.연간시수표'!G53,$BM$7)),$BF$6,IF(OR(COUNTIF('1.연간시수표'!G53,$BO$9),COUNTIF('1.연간시수표'!G53,$BO$7)),$BO$6,IF(OR(COUNTIF('1.연간시수표'!G53,$BP$9),COUNTIF('1.연간시수표'!G53,$BP$7)),$BP$6,IF(OR(COUNTIF('1.연간시수표'!G53,$BQ$9),COUNTIF('1.연간시수표'!G53,$BQ$7)),$BQ$6,IF(OR(COUNTIF('1.연간시수표'!G53,$BR$9),COUNTIF('1.연간시수표'!G53,$BR$7)),$BR$6,"_")))))))))))))))</f>
        <v>미술</v>
      </c>
      <c r="H53" s="148" t="str">
        <f>IF(OR(COUNTIF('1.연간시수표'!H53,$AT$9),COUNTIF('1.연간시수표'!H53,$AT$7)),$AT$6,IF(OR(COUNTIF('1.연간시수표'!H53,$AU$9),COUNTIF('1.연간시수표'!H53,$AU$7)),$AU$6,IF(OR(COUNTIF('1.연간시수표'!H53,$AV$9),COUNTIF('1.연간시수표'!H53,$AV$7)),$AV$6,IF(OR(COUNTIF('1.연간시수표'!H53,$AW$9),COUNTIF('1.연간시수표'!H53,$AW$7)),$AW$6,IF(OR(COUNTIF('1.연간시수표'!H53,$AX$9),COUNTIF('1.연간시수표'!H53,$AX$7)),$AX$6,IF(OR(COUNTIF('1.연간시수표'!H53,$AY$9),COUNTIF('1.연간시수표'!H53,$AY$7)),$AY$6,IF(OR(COUNTIF('1.연간시수표'!H53,$AZ$9),COUNTIF('1.연간시수표'!H53,$AZ$7)),$AZ$6,IF(OR(COUNTIF('1.연간시수표'!H53,$BA$9),COUNTIF('1.연간시수표'!H53,$BA$7)),$BA$6,IF(OR(COUNTIF('1.연간시수표'!H53,$BB$9),COUNTIF('1.연간시수표'!H53,$BB$7)),$BB$6,IF(OR(COUNTIF('1.연간시수표'!H53,$BC$9),COUNTIF('1.연간시수표'!H53,$BC$7)),$BC$6,IF(OR(COUNTIF('1.연간시수표'!H53,$BF$9),COUNTIF('1.연간시수표'!H53,$BF$7),COUNTIF('1.연간시수표'!H53,$BG$9),COUNTIF('1.연간시수표'!H53,$BG$7),COUNTIF('1.연간시수표'!H53,$BH$9),COUNTIF('1.연간시수표'!H53,$BH$7),COUNTIF('1.연간시수표'!H53,$BI$9),COUNTIF('1.연간시수표'!H53,$BI$7),COUNTIF('1.연간시수표'!H53,$BJ$9),COUNTIF('1.연간시수표'!H53,$BJ$7),COUNTIF('1.연간시수표'!H53,$BK$9),COUNTIF('1.연간시수표'!H53,$BK$7),COUNTIF('1.연간시수표'!H53,$BL$9),COUNTIF('1.연간시수표'!H53,$BL$7),COUNTIF('1.연간시수표'!H53,$BM$9),COUNTIF('1.연간시수표'!H53,$BM$7)),$BF$6,IF(OR(COUNTIF('1.연간시수표'!H53,$BO$9),COUNTIF('1.연간시수표'!H53,$BO$7)),$BO$6,IF(OR(COUNTIF('1.연간시수표'!H53,$BP$9),COUNTIF('1.연간시수표'!H53,$BP$7)),$BP$6,IF(OR(COUNTIF('1.연간시수표'!H53,$BQ$9),COUNTIF('1.연간시수표'!H53,$BQ$7)),$BQ$6,IF(OR(COUNTIF('1.연간시수표'!H53,$BR$9),COUNTIF('1.연간시수표'!H53,$BR$7)),$BR$6,"_")))))))))))))))</f>
        <v>영어</v>
      </c>
      <c r="I53" s="148" t="str">
        <f>IF(OR(COUNTIF('1.연간시수표'!I53,$AT$9),COUNTIF('1.연간시수표'!I53,$AT$7)),$AT$6,IF(OR(COUNTIF('1.연간시수표'!I53,$AU$9),COUNTIF('1.연간시수표'!I53,$AU$7)),$AU$6,IF(OR(COUNTIF('1.연간시수표'!I53,$AV$9),COUNTIF('1.연간시수표'!I53,$AV$7)),$AV$6,IF(OR(COUNTIF('1.연간시수표'!I53,$AW$9),COUNTIF('1.연간시수표'!I53,$AW$7)),$AW$6,IF(OR(COUNTIF('1.연간시수표'!I53,$AX$9),COUNTIF('1.연간시수표'!I53,$AX$7)),$AX$6,IF(OR(COUNTIF('1.연간시수표'!I53,$AY$9),COUNTIF('1.연간시수표'!I53,$AY$7)),$AY$6,IF(OR(COUNTIF('1.연간시수표'!I53,$AZ$9),COUNTIF('1.연간시수표'!I53,$AZ$7)),$AZ$6,IF(OR(COUNTIF('1.연간시수표'!I53,$BA$9),COUNTIF('1.연간시수표'!I53,$BA$7)),$BA$6,IF(OR(COUNTIF('1.연간시수표'!I53,$BB$9),COUNTIF('1.연간시수표'!I53,$BB$7)),$BB$6,IF(OR(COUNTIF('1.연간시수표'!I53,$BC$9),COUNTIF('1.연간시수표'!I53,$BC$7)),$BC$6,IF(OR(COUNTIF('1.연간시수표'!I53,$BF$9),COUNTIF('1.연간시수표'!I53,$BF$7),COUNTIF('1.연간시수표'!I53,$BG$9),COUNTIF('1.연간시수표'!I53,$BG$7),COUNTIF('1.연간시수표'!I53,$BH$9),COUNTIF('1.연간시수표'!I53,$BH$7),COUNTIF('1.연간시수표'!I53,$BI$9),COUNTIF('1.연간시수표'!I53,$BI$7),COUNTIF('1.연간시수표'!I53,$BJ$9),COUNTIF('1.연간시수표'!I53,$BJ$7),COUNTIF('1.연간시수표'!I53,$BK$9),COUNTIF('1.연간시수표'!I53,$BK$7),COUNTIF('1.연간시수표'!I53,$BL$9),COUNTIF('1.연간시수표'!I53,$BL$7),COUNTIF('1.연간시수표'!I53,$BM$9),COUNTIF('1.연간시수표'!I53,$BM$7)),$BF$6,IF(OR(COUNTIF('1.연간시수표'!I53,$BO$9),COUNTIF('1.연간시수표'!I53,$BO$7)),$BO$6,IF(OR(COUNTIF('1.연간시수표'!I53,$BP$9),COUNTIF('1.연간시수표'!I53,$BP$7)),$BP$6,IF(OR(COUNTIF('1.연간시수표'!I53,$BQ$9),COUNTIF('1.연간시수표'!I53,$BQ$7)),$BQ$6,IF(OR(COUNTIF('1.연간시수표'!I53,$BR$9),COUNTIF('1.연간시수표'!I53,$BR$7)),$BR$6,"_")))))))))))))))</f>
        <v>수학</v>
      </c>
      <c r="J53" s="148" t="str">
        <f>IF(OR(COUNTIF('1.연간시수표'!J53,$AT$9),COUNTIF('1.연간시수표'!J53,$AT$7)),$AT$6,IF(OR(COUNTIF('1.연간시수표'!J53,$AU$9),COUNTIF('1.연간시수표'!J53,$AU$7)),$AU$6,IF(OR(COUNTIF('1.연간시수표'!J53,$AV$9),COUNTIF('1.연간시수표'!J53,$AV$7)),$AV$6,IF(OR(COUNTIF('1.연간시수표'!J53,$AW$9),COUNTIF('1.연간시수표'!J53,$AW$7)),$AW$6,IF(OR(COUNTIF('1.연간시수표'!J53,$AX$9),COUNTIF('1.연간시수표'!J53,$AX$7)),$AX$6,IF(OR(COUNTIF('1.연간시수표'!J53,$AY$9),COUNTIF('1.연간시수표'!J53,$AY$7)),$AY$6,IF(OR(COUNTIF('1.연간시수표'!J53,$AZ$9),COUNTIF('1.연간시수표'!J53,$AZ$7)),$AZ$6,IF(OR(COUNTIF('1.연간시수표'!J53,$BA$9),COUNTIF('1.연간시수표'!J53,$BA$7)),$BA$6,IF(OR(COUNTIF('1.연간시수표'!J53,$BB$9),COUNTIF('1.연간시수표'!J53,$BB$7)),$BB$6,IF(OR(COUNTIF('1.연간시수표'!J53,$BC$9),COUNTIF('1.연간시수표'!J53,$BC$7)),$BC$6,IF(OR(COUNTIF('1.연간시수표'!J53,$BF$9),COUNTIF('1.연간시수표'!J53,$BF$7),COUNTIF('1.연간시수표'!J53,$BG$9),COUNTIF('1.연간시수표'!J53,$BG$7),COUNTIF('1.연간시수표'!J53,$BH$9),COUNTIF('1.연간시수표'!J53,$BH$7),COUNTIF('1.연간시수표'!J53,$BI$9),COUNTIF('1.연간시수표'!J53,$BI$7),COUNTIF('1.연간시수표'!J53,$BJ$9),COUNTIF('1.연간시수표'!J53,$BJ$7),COUNTIF('1.연간시수표'!J53,$BK$9),COUNTIF('1.연간시수표'!J53,$BK$7),COUNTIF('1.연간시수표'!J53,$BL$9),COUNTIF('1.연간시수표'!J53,$BL$7),COUNTIF('1.연간시수표'!J53,$BM$9),COUNTIF('1.연간시수표'!J53,$BM$7)),$BF$6,IF(OR(COUNTIF('1.연간시수표'!J53,$BO$9),COUNTIF('1.연간시수표'!J53,$BO$7)),$BO$6,IF(OR(COUNTIF('1.연간시수표'!J53,$BP$9),COUNTIF('1.연간시수표'!J53,$BP$7)),$BP$6,IF(OR(COUNTIF('1.연간시수표'!J53,$BQ$9),COUNTIF('1.연간시수표'!J53,$BQ$7)),$BQ$6,IF(OR(COUNTIF('1.연간시수표'!J53,$BR$9),COUNTIF('1.연간시수표'!J53,$BR$7)),$BR$6,"_")))))))))))))))</f>
        <v>자율활동</v>
      </c>
      <c r="K53" s="148" t="str">
        <f>IF(OR(COUNTIF('1.연간시수표'!K53,$AT$9),COUNTIF('1.연간시수표'!K53,$AT$7)),$AT$6,IF(OR(COUNTIF('1.연간시수표'!K53,$AU$9),COUNTIF('1.연간시수표'!K53,$AU$7)),$AU$6,IF(OR(COUNTIF('1.연간시수표'!K53,$AV$9),COUNTIF('1.연간시수표'!K53,$AV$7)),$AV$6,IF(OR(COUNTIF('1.연간시수표'!K53,$AW$9),COUNTIF('1.연간시수표'!K53,$AW$7)),$AW$6,IF(OR(COUNTIF('1.연간시수표'!K53,$AX$9),COUNTIF('1.연간시수표'!K53,$AX$7)),$AX$6,IF(OR(COUNTIF('1.연간시수표'!K53,$AY$9),COUNTIF('1.연간시수표'!K53,$AY$7)),$AY$6,IF(OR(COUNTIF('1.연간시수표'!K53,$AZ$9),COUNTIF('1.연간시수표'!K53,$AZ$7)),$AZ$6,IF(OR(COUNTIF('1.연간시수표'!K53,$BA$9),COUNTIF('1.연간시수표'!K53,$BA$7)),$BA$6,IF(OR(COUNTIF('1.연간시수표'!K53,$BB$9),COUNTIF('1.연간시수표'!K53,$BB$7)),$BB$6,IF(OR(COUNTIF('1.연간시수표'!K53,$BC$9),COUNTIF('1.연간시수표'!K53,$BC$7)),$BC$6,IF(OR(COUNTIF('1.연간시수표'!K53,$BF$9),COUNTIF('1.연간시수표'!K53,$BF$7),COUNTIF('1.연간시수표'!K53,$BG$9),COUNTIF('1.연간시수표'!K53,$BG$7),COUNTIF('1.연간시수표'!K53,$BH$9),COUNTIF('1.연간시수표'!K53,$BH$7),COUNTIF('1.연간시수표'!K53,$BI$9),COUNTIF('1.연간시수표'!K53,$BI$7),COUNTIF('1.연간시수표'!K53,$BJ$9),COUNTIF('1.연간시수표'!K53,$BJ$7),COUNTIF('1.연간시수표'!K53,$BK$9),COUNTIF('1.연간시수표'!K53,$BK$7),COUNTIF('1.연간시수표'!K53,$BL$9),COUNTIF('1.연간시수표'!K53,$BL$7),COUNTIF('1.연간시수표'!K53,$BM$9),COUNTIF('1.연간시수표'!K53,$BM$7)),$BF$6,IF(OR(COUNTIF('1.연간시수표'!K53,$BO$9),COUNTIF('1.연간시수표'!K53,$BO$7)),$BO$6,IF(OR(COUNTIF('1.연간시수표'!K53,$BP$9),COUNTIF('1.연간시수표'!K53,$BP$7)),$BP$6,IF(OR(COUNTIF('1.연간시수표'!K53,$BQ$9),COUNTIF('1.연간시수표'!K53,$BQ$7)),$BQ$6,IF(OR(COUNTIF('1.연간시수표'!K53,$BR$9),COUNTIF('1.연간시수표'!K53,$BR$7)),$BR$6,"_")))))))))))))))</f>
        <v>_</v>
      </c>
      <c r="L53" s="148" t="str">
        <f>IF(OR(COUNTIF('1.연간시수표'!L53,$AT$9),COUNTIF('1.연간시수표'!L53,$AT$7)),$AT$6,IF(OR(COUNTIF('1.연간시수표'!L53,$AU$9),COUNTIF('1.연간시수표'!L53,$AU$7)),$AU$6,IF(OR(COUNTIF('1.연간시수표'!L53,$AV$9),COUNTIF('1.연간시수표'!L53,$AV$7)),$AV$6,IF(OR(COUNTIF('1.연간시수표'!L53,$AW$9),COUNTIF('1.연간시수표'!L53,$AW$7)),$AW$6,IF(OR(COUNTIF('1.연간시수표'!L53,$AX$9),COUNTIF('1.연간시수표'!L53,$AX$7)),$AX$6,IF(OR(COUNTIF('1.연간시수표'!L53,$AY$9),COUNTIF('1.연간시수표'!L53,$AY$7)),$AY$6,IF(OR(COUNTIF('1.연간시수표'!L53,$AZ$9),COUNTIF('1.연간시수표'!L53,$AZ$7)),$AZ$6,IF(OR(COUNTIF('1.연간시수표'!L53,$BA$9),COUNTIF('1.연간시수표'!L53,$BA$7)),$BA$6,IF(OR(COUNTIF('1.연간시수표'!L53,$BB$9),COUNTIF('1.연간시수표'!L53,$BB$7)),$BB$6,IF(OR(COUNTIF('1.연간시수표'!L53,$BC$9),COUNTIF('1.연간시수표'!L53,$BC$7)),$BC$6,IF(OR(COUNTIF('1.연간시수표'!L53,$BF$9),COUNTIF('1.연간시수표'!L53,$BF$7),COUNTIF('1.연간시수표'!L53,$BG$9),COUNTIF('1.연간시수표'!L53,$BG$7),COUNTIF('1.연간시수표'!L53,$BH$9),COUNTIF('1.연간시수표'!L53,$BH$7),COUNTIF('1.연간시수표'!L53,$BI$9),COUNTIF('1.연간시수표'!L53,$BI$7),COUNTIF('1.연간시수표'!L53,$BJ$9),COUNTIF('1.연간시수표'!L53,$BJ$7),COUNTIF('1.연간시수표'!L53,$BK$9),COUNTIF('1.연간시수표'!L53,$BK$7),COUNTIF('1.연간시수표'!L53,$BL$9),COUNTIF('1.연간시수표'!L53,$BL$7),COUNTIF('1.연간시수표'!L53,$BM$9),COUNTIF('1.연간시수표'!L53,$BM$7)),$BF$6,IF(OR(COUNTIF('1.연간시수표'!L53,$BO$9),COUNTIF('1.연간시수표'!L53,$BO$7)),$BO$6,IF(OR(COUNTIF('1.연간시수표'!L53,$BP$9),COUNTIF('1.연간시수표'!L53,$BP$7)),$BP$6,IF(OR(COUNTIF('1.연간시수표'!L53,$BQ$9),COUNTIF('1.연간시수표'!L53,$BQ$7)),$BQ$6,IF(OR(COUNTIF('1.연간시수표'!L53,$BR$9),COUNTIF('1.연간시수표'!L53,$BR$7)),$BR$6,"_")))))))))))))))</f>
        <v>_</v>
      </c>
      <c r="M53" s="148" t="str">
        <f>IF(OR(COUNTIF('1.연간시수표'!M53,$AT$9),COUNTIF('1.연간시수표'!M53,$AT$7)),$AT$6,IF(OR(COUNTIF('1.연간시수표'!M53,$AU$9),COUNTIF('1.연간시수표'!M53,$AU$7)),$AU$6,IF(OR(COUNTIF('1.연간시수표'!M53,$AV$9),COUNTIF('1.연간시수표'!M53,$AV$7)),$AV$6,IF(OR(COUNTIF('1.연간시수표'!M53,$AW$9),COUNTIF('1.연간시수표'!M53,$AW$7)),$AW$6,IF(OR(COUNTIF('1.연간시수표'!M53,$AX$9),COUNTIF('1.연간시수표'!M53,$AX$7)),$AX$6,IF(OR(COUNTIF('1.연간시수표'!M53,$AY$9),COUNTIF('1.연간시수표'!M53,$AY$7)),$AY$6,IF(OR(COUNTIF('1.연간시수표'!M53,$AZ$9),COUNTIF('1.연간시수표'!M53,$AZ$7)),$AZ$6,IF(OR(COUNTIF('1.연간시수표'!M53,$BA$9),COUNTIF('1.연간시수표'!M53,$BA$7)),$BA$6,IF(OR(COUNTIF('1.연간시수표'!M53,$BB$9),COUNTIF('1.연간시수표'!M53,$BB$7)),$BB$6,IF(OR(COUNTIF('1.연간시수표'!M53,$BC$9),COUNTIF('1.연간시수표'!M53,$BC$7)),$BC$6,IF(OR(COUNTIF('1.연간시수표'!M53,$BF$9),COUNTIF('1.연간시수표'!M53,$BF$7),COUNTIF('1.연간시수표'!M53,$BG$9),COUNTIF('1.연간시수표'!M53,$BG$7),COUNTIF('1.연간시수표'!M53,$BH$9),COUNTIF('1.연간시수표'!M53,$BH$7),COUNTIF('1.연간시수표'!M53,$BI$9),COUNTIF('1.연간시수표'!M53,$BI$7),COUNTIF('1.연간시수표'!M53,$BJ$9),COUNTIF('1.연간시수표'!M53,$BJ$7),COUNTIF('1.연간시수표'!M53,$BK$9),COUNTIF('1.연간시수표'!M53,$BK$7),COUNTIF('1.연간시수표'!M53,$BL$9),COUNTIF('1.연간시수표'!M53,$BL$7),COUNTIF('1.연간시수표'!M53,$BM$9),COUNTIF('1.연간시수표'!M53,$BM$7)),$BF$6,IF(OR(COUNTIF('1.연간시수표'!M53,$BO$9),COUNTIF('1.연간시수표'!M53,$BO$7)),$BO$6,IF(OR(COUNTIF('1.연간시수표'!M53,$BP$9),COUNTIF('1.연간시수표'!M53,$BP$7)),$BP$6,IF(OR(COUNTIF('1.연간시수표'!M53,$BQ$9),COUNTIF('1.연간시수표'!M53,$BQ$7)),$BQ$6,IF(OR(COUNTIF('1.연간시수표'!M53,$BR$9),COUNTIF('1.연간시수표'!M53,$BR$7)),$BR$6,"_")))))))))))))))</f>
        <v>국어</v>
      </c>
      <c r="N53" s="148" t="str">
        <f>IF(OR(COUNTIF('1.연간시수표'!N53,$AT$9),COUNTIF('1.연간시수표'!N53,$AT$7)),$AT$6,IF(OR(COUNTIF('1.연간시수표'!N53,$AU$9),COUNTIF('1.연간시수표'!N53,$AU$7)),$AU$6,IF(OR(COUNTIF('1.연간시수표'!N53,$AV$9),COUNTIF('1.연간시수표'!N53,$AV$7)),$AV$6,IF(OR(COUNTIF('1.연간시수표'!N53,$AW$9),COUNTIF('1.연간시수표'!N53,$AW$7)),$AW$6,IF(OR(COUNTIF('1.연간시수표'!N53,$AX$9),COUNTIF('1.연간시수표'!N53,$AX$7)),$AX$6,IF(OR(COUNTIF('1.연간시수표'!N53,$AY$9),COUNTIF('1.연간시수표'!N53,$AY$7)),$AY$6,IF(OR(COUNTIF('1.연간시수표'!N53,$AZ$9),COUNTIF('1.연간시수표'!N53,$AZ$7)),$AZ$6,IF(OR(COUNTIF('1.연간시수표'!N53,$BA$9),COUNTIF('1.연간시수표'!N53,$BA$7)),$BA$6,IF(OR(COUNTIF('1.연간시수표'!N53,$BB$9),COUNTIF('1.연간시수표'!N53,$BB$7)),$BB$6,IF(OR(COUNTIF('1.연간시수표'!N53,$BC$9),COUNTIF('1.연간시수표'!N53,$BC$7)),$BC$6,IF(OR(COUNTIF('1.연간시수표'!N53,$BF$9),COUNTIF('1.연간시수표'!N53,$BF$7),COUNTIF('1.연간시수표'!N53,$BG$9),COUNTIF('1.연간시수표'!N53,$BG$7),COUNTIF('1.연간시수표'!N53,$BH$9),COUNTIF('1.연간시수표'!N53,$BH$7),COUNTIF('1.연간시수표'!N53,$BI$9),COUNTIF('1.연간시수표'!N53,$BI$7),COUNTIF('1.연간시수표'!N53,$BJ$9),COUNTIF('1.연간시수표'!N53,$BJ$7),COUNTIF('1.연간시수표'!N53,$BK$9),COUNTIF('1.연간시수표'!N53,$BK$7),COUNTIF('1.연간시수표'!N53,$BL$9),COUNTIF('1.연간시수표'!N53,$BL$7),COUNTIF('1.연간시수표'!N53,$BM$9),COUNTIF('1.연간시수표'!N53,$BM$7)),$BF$6,IF(OR(COUNTIF('1.연간시수표'!N53,$BO$9),COUNTIF('1.연간시수표'!N53,$BO$7)),$BO$6,IF(OR(COUNTIF('1.연간시수표'!N53,$BP$9),COUNTIF('1.연간시수표'!N53,$BP$7)),$BP$6,IF(OR(COUNTIF('1.연간시수표'!N53,$BQ$9),COUNTIF('1.연간시수표'!N53,$BQ$7)),$BQ$6,IF(OR(COUNTIF('1.연간시수표'!N53,$BR$9),COUNTIF('1.연간시수표'!N53,$BR$7)),$BR$6,"_")))))))))))))))</f>
        <v>국어</v>
      </c>
      <c r="O53" s="148" t="str">
        <f>IF(OR(COUNTIF('1.연간시수표'!O53,$AT$9),COUNTIF('1.연간시수표'!O53,$AT$7)),$AT$6,IF(OR(COUNTIF('1.연간시수표'!O53,$AU$9),COUNTIF('1.연간시수표'!O53,$AU$7)),$AU$6,IF(OR(COUNTIF('1.연간시수표'!O53,$AV$9),COUNTIF('1.연간시수표'!O53,$AV$7)),$AV$6,IF(OR(COUNTIF('1.연간시수표'!O53,$AW$9),COUNTIF('1.연간시수표'!O53,$AW$7)),$AW$6,IF(OR(COUNTIF('1.연간시수표'!O53,$AX$9),COUNTIF('1.연간시수표'!O53,$AX$7)),$AX$6,IF(OR(COUNTIF('1.연간시수표'!O53,$AY$9),COUNTIF('1.연간시수표'!O53,$AY$7)),$AY$6,IF(OR(COUNTIF('1.연간시수표'!O53,$AZ$9),COUNTIF('1.연간시수표'!O53,$AZ$7)),$AZ$6,IF(OR(COUNTIF('1.연간시수표'!O53,$BA$9),COUNTIF('1.연간시수표'!O53,$BA$7)),$BA$6,IF(OR(COUNTIF('1.연간시수표'!O53,$BB$9),COUNTIF('1.연간시수표'!O53,$BB$7)),$BB$6,IF(OR(COUNTIF('1.연간시수표'!O53,$BC$9),COUNTIF('1.연간시수표'!O53,$BC$7)),$BC$6,IF(OR(COUNTIF('1.연간시수표'!O53,$BF$9),COUNTIF('1.연간시수표'!O53,$BF$7),COUNTIF('1.연간시수표'!O53,$BG$9),COUNTIF('1.연간시수표'!O53,$BG$7),COUNTIF('1.연간시수표'!O53,$BH$9),COUNTIF('1.연간시수표'!O53,$BH$7),COUNTIF('1.연간시수표'!O53,$BI$9),COUNTIF('1.연간시수표'!O53,$BI$7),COUNTIF('1.연간시수표'!O53,$BJ$9),COUNTIF('1.연간시수표'!O53,$BJ$7),COUNTIF('1.연간시수표'!O53,$BK$9),COUNTIF('1.연간시수표'!O53,$BK$7),COUNTIF('1.연간시수표'!O53,$BL$9),COUNTIF('1.연간시수표'!O53,$BL$7),COUNTIF('1.연간시수표'!O53,$BM$9),COUNTIF('1.연간시수표'!O53,$BM$7)),$BF$6,IF(OR(COUNTIF('1.연간시수표'!O53,$BO$9),COUNTIF('1.연간시수표'!O53,$BO$7)),$BO$6,IF(OR(COUNTIF('1.연간시수표'!O53,$BP$9),COUNTIF('1.연간시수표'!O53,$BP$7)),$BP$6,IF(OR(COUNTIF('1.연간시수표'!O53,$BQ$9),COUNTIF('1.연간시수표'!O53,$BQ$7)),$BQ$6,IF(OR(COUNTIF('1.연간시수표'!O53,$BR$9),COUNTIF('1.연간시수표'!O53,$BR$7)),$BR$6,"_")))))))))))))))</f>
        <v>사회</v>
      </c>
      <c r="P53" s="148" t="str">
        <f>IF(OR(COUNTIF('1.연간시수표'!P53,$AT$9),COUNTIF('1.연간시수표'!P53,$AT$7)),$AT$6,IF(OR(COUNTIF('1.연간시수표'!P53,$AU$9),COUNTIF('1.연간시수표'!P53,$AU$7)),$AU$6,IF(OR(COUNTIF('1.연간시수표'!P53,$AV$9),COUNTIF('1.연간시수표'!P53,$AV$7)),$AV$6,IF(OR(COUNTIF('1.연간시수표'!P53,$AW$9),COUNTIF('1.연간시수표'!P53,$AW$7)),$AW$6,IF(OR(COUNTIF('1.연간시수표'!P53,$AX$9),COUNTIF('1.연간시수표'!P53,$AX$7)),$AX$6,IF(OR(COUNTIF('1.연간시수표'!P53,$AY$9),COUNTIF('1.연간시수표'!P53,$AY$7)),$AY$6,IF(OR(COUNTIF('1.연간시수표'!P53,$AZ$9),COUNTIF('1.연간시수표'!P53,$AZ$7)),$AZ$6,IF(OR(COUNTIF('1.연간시수표'!P53,$BA$9),COUNTIF('1.연간시수표'!P53,$BA$7)),$BA$6,IF(OR(COUNTIF('1.연간시수표'!P53,$BB$9),COUNTIF('1.연간시수표'!P53,$BB$7)),$BB$6,IF(OR(COUNTIF('1.연간시수표'!P53,$BC$9),COUNTIF('1.연간시수표'!P53,$BC$7)),$BC$6,IF(OR(COUNTIF('1.연간시수표'!P53,$BF$9),COUNTIF('1.연간시수표'!P53,$BF$7),COUNTIF('1.연간시수표'!P53,$BG$9),COUNTIF('1.연간시수표'!P53,$BG$7),COUNTIF('1.연간시수표'!P53,$BH$9),COUNTIF('1.연간시수표'!P53,$BH$7),COUNTIF('1.연간시수표'!P53,$BI$9),COUNTIF('1.연간시수표'!P53,$BI$7),COUNTIF('1.연간시수표'!P53,$BJ$9),COUNTIF('1.연간시수표'!P53,$BJ$7),COUNTIF('1.연간시수표'!P53,$BK$9),COUNTIF('1.연간시수표'!P53,$BK$7),COUNTIF('1.연간시수표'!P53,$BL$9),COUNTIF('1.연간시수표'!P53,$BL$7),COUNTIF('1.연간시수표'!P53,$BM$9),COUNTIF('1.연간시수표'!P53,$BM$7)),$BF$6,IF(OR(COUNTIF('1.연간시수표'!P53,$BO$9),COUNTIF('1.연간시수표'!P53,$BO$7)),$BO$6,IF(OR(COUNTIF('1.연간시수표'!P53,$BP$9),COUNTIF('1.연간시수표'!P53,$BP$7)),$BP$6,IF(OR(COUNTIF('1.연간시수표'!P53,$BQ$9),COUNTIF('1.연간시수표'!P53,$BQ$7)),$BQ$6,IF(OR(COUNTIF('1.연간시수표'!P53,$BR$9),COUNTIF('1.연간시수표'!P53,$BR$7)),$BR$6,"_")))))))))))))))</f>
        <v>수학</v>
      </c>
      <c r="Q53" s="148" t="str">
        <f>IF(OR(COUNTIF('1.연간시수표'!Q53,$AT$9),COUNTIF('1.연간시수표'!Q53,$AT$7)),$AT$6,IF(OR(COUNTIF('1.연간시수표'!Q53,$AU$9),COUNTIF('1.연간시수표'!Q53,$AU$7)),$AU$6,IF(OR(COUNTIF('1.연간시수표'!Q53,$AV$9),COUNTIF('1.연간시수표'!Q53,$AV$7)),$AV$6,IF(OR(COUNTIF('1.연간시수표'!Q53,$AW$9),COUNTIF('1.연간시수표'!Q53,$AW$7)),$AW$6,IF(OR(COUNTIF('1.연간시수표'!Q53,$AX$9),COUNTIF('1.연간시수표'!Q53,$AX$7)),$AX$6,IF(OR(COUNTIF('1.연간시수표'!Q53,$AY$9),COUNTIF('1.연간시수표'!Q53,$AY$7)),$AY$6,IF(OR(COUNTIF('1.연간시수표'!Q53,$AZ$9),COUNTIF('1.연간시수표'!Q53,$AZ$7)),$AZ$6,IF(OR(COUNTIF('1.연간시수표'!Q53,$BA$9),COUNTIF('1.연간시수표'!Q53,$BA$7)),$BA$6,IF(OR(COUNTIF('1.연간시수표'!Q53,$BB$9),COUNTIF('1.연간시수표'!Q53,$BB$7)),$BB$6,IF(OR(COUNTIF('1.연간시수표'!Q53,$BC$9),COUNTIF('1.연간시수표'!Q53,$BC$7)),$BC$6,IF(OR(COUNTIF('1.연간시수표'!Q53,$BF$9),COUNTIF('1.연간시수표'!Q53,$BF$7),COUNTIF('1.연간시수표'!Q53,$BG$9),COUNTIF('1.연간시수표'!Q53,$BG$7),COUNTIF('1.연간시수표'!Q53,$BH$9),COUNTIF('1.연간시수표'!Q53,$BH$7),COUNTIF('1.연간시수표'!Q53,$BI$9),COUNTIF('1.연간시수표'!Q53,$BI$7),COUNTIF('1.연간시수표'!Q53,$BJ$9),COUNTIF('1.연간시수표'!Q53,$BJ$7),COUNTIF('1.연간시수표'!Q53,$BK$9),COUNTIF('1.연간시수표'!Q53,$BK$7),COUNTIF('1.연간시수표'!Q53,$BL$9),COUNTIF('1.연간시수표'!Q53,$BL$7),COUNTIF('1.연간시수표'!Q53,$BM$9),COUNTIF('1.연간시수표'!Q53,$BM$7)),$BF$6,IF(OR(COUNTIF('1.연간시수표'!Q53,$BO$9),COUNTIF('1.연간시수표'!Q53,$BO$7)),$BO$6,IF(OR(COUNTIF('1.연간시수표'!Q53,$BP$9),COUNTIF('1.연간시수표'!Q53,$BP$7)),$BP$6,IF(OR(COUNTIF('1.연간시수표'!Q53,$BQ$9),COUNTIF('1.연간시수표'!Q53,$BQ$7)),$BQ$6,IF(OR(COUNTIF('1.연간시수표'!Q53,$BR$9),COUNTIF('1.연간시수표'!Q53,$BR$7)),$BR$6,"_")))))))))))))))</f>
        <v>과학</v>
      </c>
      <c r="R53" s="148" t="str">
        <f>IF(OR(COUNTIF('1.연간시수표'!R53,$AT$9),COUNTIF('1.연간시수표'!R53,$AT$7)),$AT$6,IF(OR(COUNTIF('1.연간시수표'!R53,$AU$9),COUNTIF('1.연간시수표'!R53,$AU$7)),$AU$6,IF(OR(COUNTIF('1.연간시수표'!R53,$AV$9),COUNTIF('1.연간시수표'!R53,$AV$7)),$AV$6,IF(OR(COUNTIF('1.연간시수표'!R53,$AW$9),COUNTIF('1.연간시수표'!R53,$AW$7)),$AW$6,IF(OR(COUNTIF('1.연간시수표'!R53,$AX$9),COUNTIF('1.연간시수표'!R53,$AX$7)),$AX$6,IF(OR(COUNTIF('1.연간시수표'!R53,$AY$9),COUNTIF('1.연간시수표'!R53,$AY$7)),$AY$6,IF(OR(COUNTIF('1.연간시수표'!R53,$AZ$9),COUNTIF('1.연간시수표'!R53,$AZ$7)),$AZ$6,IF(OR(COUNTIF('1.연간시수표'!R53,$BA$9),COUNTIF('1.연간시수표'!R53,$BA$7)),$BA$6,IF(OR(COUNTIF('1.연간시수표'!R53,$BB$9),COUNTIF('1.연간시수표'!R53,$BB$7)),$BB$6,IF(OR(COUNTIF('1.연간시수표'!R53,$BC$9),COUNTIF('1.연간시수표'!R53,$BC$7)),$BC$6,IF(OR(COUNTIF('1.연간시수표'!R53,$BF$9),COUNTIF('1.연간시수표'!R53,$BF$7),COUNTIF('1.연간시수표'!R53,$BG$9),COUNTIF('1.연간시수표'!R53,$BG$7),COUNTIF('1.연간시수표'!R53,$BH$9),COUNTIF('1.연간시수표'!R53,$BH$7),COUNTIF('1.연간시수표'!R53,$BI$9),COUNTIF('1.연간시수표'!R53,$BI$7),COUNTIF('1.연간시수표'!R53,$BJ$9),COUNTIF('1.연간시수표'!R53,$BJ$7),COUNTIF('1.연간시수표'!R53,$BK$9),COUNTIF('1.연간시수표'!R53,$BK$7),COUNTIF('1.연간시수표'!R53,$BL$9),COUNTIF('1.연간시수표'!R53,$BL$7),COUNTIF('1.연간시수표'!R53,$BM$9),COUNTIF('1.연간시수표'!R53,$BM$7)),$BF$6,IF(OR(COUNTIF('1.연간시수표'!R53,$BO$9),COUNTIF('1.연간시수표'!R53,$BO$7)),$BO$6,IF(OR(COUNTIF('1.연간시수표'!R53,$BP$9),COUNTIF('1.연간시수표'!R53,$BP$7)),$BP$6,IF(OR(COUNTIF('1.연간시수표'!R53,$BQ$9),COUNTIF('1.연간시수표'!R53,$BQ$7)),$BQ$6,IF(OR(COUNTIF('1.연간시수표'!R53,$BR$9),COUNTIF('1.연간시수표'!R53,$BR$7)),$BR$6,"_")))))))))))))))</f>
        <v>실과</v>
      </c>
      <c r="S53" s="148" t="str">
        <f>IF(OR(COUNTIF('1.연간시수표'!S53,$AT$9),COUNTIF('1.연간시수표'!S53,$AT$7)),$AT$6,IF(OR(COUNTIF('1.연간시수표'!S53,$AU$9),COUNTIF('1.연간시수표'!S53,$AU$7)),$AU$6,IF(OR(COUNTIF('1.연간시수표'!S53,$AV$9),COUNTIF('1.연간시수표'!S53,$AV$7)),$AV$6,IF(OR(COUNTIF('1.연간시수표'!S53,$AW$9),COUNTIF('1.연간시수표'!S53,$AW$7)),$AW$6,IF(OR(COUNTIF('1.연간시수표'!S53,$AX$9),COUNTIF('1.연간시수표'!S53,$AX$7)),$AX$6,IF(OR(COUNTIF('1.연간시수표'!S53,$AY$9),COUNTIF('1.연간시수표'!S53,$AY$7)),$AY$6,IF(OR(COUNTIF('1.연간시수표'!S53,$AZ$9),COUNTIF('1.연간시수표'!S53,$AZ$7)),$AZ$6,IF(OR(COUNTIF('1.연간시수표'!S53,$BA$9),COUNTIF('1.연간시수표'!S53,$BA$7)),$BA$6,IF(OR(COUNTIF('1.연간시수표'!S53,$BB$9),COUNTIF('1.연간시수표'!S53,$BB$7)),$BB$6,IF(OR(COUNTIF('1.연간시수표'!S53,$BC$9),COUNTIF('1.연간시수표'!S53,$BC$7)),$BC$6,IF(OR(COUNTIF('1.연간시수표'!S53,$BF$9),COUNTIF('1.연간시수표'!S53,$BF$7),COUNTIF('1.연간시수표'!S53,$BG$9),COUNTIF('1.연간시수표'!S53,$BG$7),COUNTIF('1.연간시수표'!S53,$BH$9),COUNTIF('1.연간시수표'!S53,$BH$7),COUNTIF('1.연간시수표'!S53,$BI$9),COUNTIF('1.연간시수표'!S53,$BI$7),COUNTIF('1.연간시수표'!S53,$BJ$9),COUNTIF('1.연간시수표'!S53,$BJ$7),COUNTIF('1.연간시수표'!S53,$BK$9),COUNTIF('1.연간시수표'!S53,$BK$7),COUNTIF('1.연간시수표'!S53,$BL$9),COUNTIF('1.연간시수표'!S53,$BL$7),COUNTIF('1.연간시수표'!S53,$BM$9),COUNTIF('1.연간시수표'!S53,$BM$7)),$BF$6,IF(OR(COUNTIF('1.연간시수표'!S53,$BO$9),COUNTIF('1.연간시수표'!S53,$BO$7)),$BO$6,IF(OR(COUNTIF('1.연간시수표'!S53,$BP$9),COUNTIF('1.연간시수표'!S53,$BP$7)),$BP$6,IF(OR(COUNTIF('1.연간시수표'!S53,$BQ$9),COUNTIF('1.연간시수표'!S53,$BQ$7)),$BQ$6,IF(OR(COUNTIF('1.연간시수표'!S53,$BR$9),COUNTIF('1.연간시수표'!S53,$BR$7)),$BR$6,"_")))))))))))))))</f>
        <v>_</v>
      </c>
      <c r="T53" s="148" t="str">
        <f>IF(OR(COUNTIF('1.연간시수표'!T53,$AT$9),COUNTIF('1.연간시수표'!T53,$AT$7)),$AT$6,IF(OR(COUNTIF('1.연간시수표'!T53,$AU$9),COUNTIF('1.연간시수표'!T53,$AU$7)),$AU$6,IF(OR(COUNTIF('1.연간시수표'!T53,$AV$9),COUNTIF('1.연간시수표'!T53,$AV$7)),$AV$6,IF(OR(COUNTIF('1.연간시수표'!T53,$AW$9),COUNTIF('1.연간시수표'!T53,$AW$7)),$AW$6,IF(OR(COUNTIF('1.연간시수표'!T53,$AX$9),COUNTIF('1.연간시수표'!T53,$AX$7)),$AX$6,IF(OR(COUNTIF('1.연간시수표'!T53,$AY$9),COUNTIF('1.연간시수표'!T53,$AY$7)),$AY$6,IF(OR(COUNTIF('1.연간시수표'!T53,$AZ$9),COUNTIF('1.연간시수표'!T53,$AZ$7)),$AZ$6,IF(OR(COUNTIF('1.연간시수표'!T53,$BA$9),COUNTIF('1.연간시수표'!T53,$BA$7)),$BA$6,IF(OR(COUNTIF('1.연간시수표'!T53,$BB$9),COUNTIF('1.연간시수표'!T53,$BB$7)),$BB$6,IF(OR(COUNTIF('1.연간시수표'!T53,$BC$9),COUNTIF('1.연간시수표'!T53,$BC$7)),$BC$6,IF(OR(COUNTIF('1.연간시수표'!T53,$BF$9),COUNTIF('1.연간시수표'!T53,$BF$7),COUNTIF('1.연간시수표'!T53,$BG$9),COUNTIF('1.연간시수표'!T53,$BG$7),COUNTIF('1.연간시수표'!T53,$BH$9),COUNTIF('1.연간시수표'!T53,$BH$7),COUNTIF('1.연간시수표'!T53,$BI$9),COUNTIF('1.연간시수표'!T53,$BI$7),COUNTIF('1.연간시수표'!T53,$BJ$9),COUNTIF('1.연간시수표'!T53,$BJ$7),COUNTIF('1.연간시수표'!T53,$BK$9),COUNTIF('1.연간시수표'!T53,$BK$7),COUNTIF('1.연간시수표'!T53,$BL$9),COUNTIF('1.연간시수표'!T53,$BL$7),COUNTIF('1.연간시수표'!T53,$BM$9),COUNTIF('1.연간시수표'!T53,$BM$7)),$BF$6,IF(OR(COUNTIF('1.연간시수표'!T53,$BO$9),COUNTIF('1.연간시수표'!T53,$BO$7)),$BO$6,IF(OR(COUNTIF('1.연간시수표'!T53,$BP$9),COUNTIF('1.연간시수표'!T53,$BP$7)),$BP$6,IF(OR(COUNTIF('1.연간시수표'!T53,$BQ$9),COUNTIF('1.연간시수표'!T53,$BQ$7)),$BQ$6,IF(OR(COUNTIF('1.연간시수표'!T53,$BR$9),COUNTIF('1.연간시수표'!T53,$BR$7)),$BR$6,"_")))))))))))))))</f>
        <v>_</v>
      </c>
      <c r="U53" s="148" t="str">
        <f>IF(OR(COUNTIF('1.연간시수표'!U53,$AT$9),COUNTIF('1.연간시수표'!U53,$AT$7)),$AT$6,IF(OR(COUNTIF('1.연간시수표'!U53,$AU$9),COUNTIF('1.연간시수표'!U53,$AU$7)),$AU$6,IF(OR(COUNTIF('1.연간시수표'!U53,$AV$9),COUNTIF('1.연간시수표'!U53,$AV$7)),$AV$6,IF(OR(COUNTIF('1.연간시수표'!U53,$AW$9),COUNTIF('1.연간시수표'!U53,$AW$7)),$AW$6,IF(OR(COUNTIF('1.연간시수표'!U53,$AX$9),COUNTIF('1.연간시수표'!U53,$AX$7)),$AX$6,IF(OR(COUNTIF('1.연간시수표'!U53,$AY$9),COUNTIF('1.연간시수표'!U53,$AY$7)),$AY$6,IF(OR(COUNTIF('1.연간시수표'!U53,$AZ$9),COUNTIF('1.연간시수표'!U53,$AZ$7)),$AZ$6,IF(OR(COUNTIF('1.연간시수표'!U53,$BA$9),COUNTIF('1.연간시수표'!U53,$BA$7)),$BA$6,IF(OR(COUNTIF('1.연간시수표'!U53,$BB$9),COUNTIF('1.연간시수표'!U53,$BB$7)),$BB$6,IF(OR(COUNTIF('1.연간시수표'!U53,$BC$9),COUNTIF('1.연간시수표'!U53,$BC$7)),$BC$6,IF(OR(COUNTIF('1.연간시수표'!U53,$BF$9),COUNTIF('1.연간시수표'!U53,$BF$7),COUNTIF('1.연간시수표'!U53,$BG$9),COUNTIF('1.연간시수표'!U53,$BG$7),COUNTIF('1.연간시수표'!U53,$BH$9),COUNTIF('1.연간시수표'!U53,$BH$7),COUNTIF('1.연간시수표'!U53,$BI$9),COUNTIF('1.연간시수표'!U53,$BI$7),COUNTIF('1.연간시수표'!U53,$BJ$9),COUNTIF('1.연간시수표'!U53,$BJ$7),COUNTIF('1.연간시수표'!U53,$BK$9),COUNTIF('1.연간시수표'!U53,$BK$7),COUNTIF('1.연간시수표'!U53,$BL$9),COUNTIF('1.연간시수표'!U53,$BL$7),COUNTIF('1.연간시수표'!U53,$BM$9),COUNTIF('1.연간시수표'!U53,$BM$7)),$BF$6,IF(OR(COUNTIF('1.연간시수표'!U53,$BO$9),COUNTIF('1.연간시수표'!U53,$BO$7)),$BO$6,IF(OR(COUNTIF('1.연간시수표'!U53,$BP$9),COUNTIF('1.연간시수표'!U53,$BP$7)),$BP$6,IF(OR(COUNTIF('1.연간시수표'!U53,$BQ$9),COUNTIF('1.연간시수표'!U53,$BQ$7)),$BQ$6,IF(OR(COUNTIF('1.연간시수표'!U53,$BR$9),COUNTIF('1.연간시수표'!U53,$BR$7)),$BR$6,"_")))))))))))))))</f>
        <v>영어</v>
      </c>
      <c r="V53" s="148" t="str">
        <f>IF(OR(COUNTIF('1.연간시수표'!V53,$AT$9),COUNTIF('1.연간시수표'!V53,$AT$7)),$AT$6,IF(OR(COUNTIF('1.연간시수표'!V53,$AU$9),COUNTIF('1.연간시수표'!V53,$AU$7)),$AU$6,IF(OR(COUNTIF('1.연간시수표'!V53,$AV$9),COUNTIF('1.연간시수표'!V53,$AV$7)),$AV$6,IF(OR(COUNTIF('1.연간시수표'!V53,$AW$9),COUNTIF('1.연간시수표'!V53,$AW$7)),$AW$6,IF(OR(COUNTIF('1.연간시수표'!V53,$AX$9),COUNTIF('1.연간시수표'!V53,$AX$7)),$AX$6,IF(OR(COUNTIF('1.연간시수표'!V53,$AY$9),COUNTIF('1.연간시수표'!V53,$AY$7)),$AY$6,IF(OR(COUNTIF('1.연간시수표'!V53,$AZ$9),COUNTIF('1.연간시수표'!V53,$AZ$7)),$AZ$6,IF(OR(COUNTIF('1.연간시수표'!V53,$BA$9),COUNTIF('1.연간시수표'!V53,$BA$7)),$BA$6,IF(OR(COUNTIF('1.연간시수표'!V53,$BB$9),COUNTIF('1.연간시수표'!V53,$BB$7)),$BB$6,IF(OR(COUNTIF('1.연간시수표'!V53,$BC$9),COUNTIF('1.연간시수표'!V53,$BC$7)),$BC$6,IF(OR(COUNTIF('1.연간시수표'!V53,$BF$9),COUNTIF('1.연간시수표'!V53,$BF$7),COUNTIF('1.연간시수표'!V53,$BG$9),COUNTIF('1.연간시수표'!V53,$BG$7),COUNTIF('1.연간시수표'!V53,$BH$9),COUNTIF('1.연간시수표'!V53,$BH$7),COUNTIF('1.연간시수표'!V53,$BI$9),COUNTIF('1.연간시수표'!V53,$BI$7),COUNTIF('1.연간시수표'!V53,$BJ$9),COUNTIF('1.연간시수표'!V53,$BJ$7),COUNTIF('1.연간시수표'!V53,$BK$9),COUNTIF('1.연간시수표'!V53,$BK$7),COUNTIF('1.연간시수표'!V53,$BL$9),COUNTIF('1.연간시수표'!V53,$BL$7),COUNTIF('1.연간시수표'!V53,$BM$9),COUNTIF('1.연간시수표'!V53,$BM$7)),$BF$6,IF(OR(COUNTIF('1.연간시수표'!V53,$BO$9),COUNTIF('1.연간시수표'!V53,$BO$7)),$BO$6,IF(OR(COUNTIF('1.연간시수표'!V53,$BP$9),COUNTIF('1.연간시수표'!V53,$BP$7)),$BP$6,IF(OR(COUNTIF('1.연간시수표'!V53,$BQ$9),COUNTIF('1.연간시수표'!V53,$BQ$7)),$BQ$6,IF(OR(COUNTIF('1.연간시수표'!V53,$BR$9),COUNTIF('1.연간시수표'!V53,$BR$7)),$BR$6,"_")))))))))))))))</f>
        <v>과학</v>
      </c>
      <c r="W53" s="148" t="str">
        <f>IF(OR(COUNTIF('1.연간시수표'!W53,$AT$9),COUNTIF('1.연간시수표'!W53,$AT$7)),$AT$6,IF(OR(COUNTIF('1.연간시수표'!W53,$AU$9),COUNTIF('1.연간시수표'!W53,$AU$7)),$AU$6,IF(OR(COUNTIF('1.연간시수표'!W53,$AV$9),COUNTIF('1.연간시수표'!W53,$AV$7)),$AV$6,IF(OR(COUNTIF('1.연간시수표'!W53,$AW$9),COUNTIF('1.연간시수표'!W53,$AW$7)),$AW$6,IF(OR(COUNTIF('1.연간시수표'!W53,$AX$9),COUNTIF('1.연간시수표'!W53,$AX$7)),$AX$6,IF(OR(COUNTIF('1.연간시수표'!W53,$AY$9),COUNTIF('1.연간시수표'!W53,$AY$7)),$AY$6,IF(OR(COUNTIF('1.연간시수표'!W53,$AZ$9),COUNTIF('1.연간시수표'!W53,$AZ$7)),$AZ$6,IF(OR(COUNTIF('1.연간시수표'!W53,$BA$9),COUNTIF('1.연간시수표'!W53,$BA$7)),$BA$6,IF(OR(COUNTIF('1.연간시수표'!W53,$BB$9),COUNTIF('1.연간시수표'!W53,$BB$7)),$BB$6,IF(OR(COUNTIF('1.연간시수표'!W53,$BC$9),COUNTIF('1.연간시수표'!W53,$BC$7)),$BC$6,IF(OR(COUNTIF('1.연간시수표'!W53,$BF$9),COUNTIF('1.연간시수표'!W53,$BF$7),COUNTIF('1.연간시수표'!W53,$BG$9),COUNTIF('1.연간시수표'!W53,$BG$7),COUNTIF('1.연간시수표'!W53,$BH$9),COUNTIF('1.연간시수표'!W53,$BH$7),COUNTIF('1.연간시수표'!W53,$BI$9),COUNTIF('1.연간시수표'!W53,$BI$7),COUNTIF('1.연간시수표'!W53,$BJ$9),COUNTIF('1.연간시수표'!W53,$BJ$7),COUNTIF('1.연간시수표'!W53,$BK$9),COUNTIF('1.연간시수표'!W53,$BK$7),COUNTIF('1.연간시수표'!W53,$BL$9),COUNTIF('1.연간시수표'!W53,$BL$7),COUNTIF('1.연간시수표'!W53,$BM$9),COUNTIF('1.연간시수표'!W53,$BM$7)),$BF$6,IF(OR(COUNTIF('1.연간시수표'!W53,$BO$9),COUNTIF('1.연간시수표'!W53,$BO$7)),$BO$6,IF(OR(COUNTIF('1.연간시수표'!W53,$BP$9),COUNTIF('1.연간시수표'!W53,$BP$7)),$BP$6,IF(OR(COUNTIF('1.연간시수표'!W53,$BQ$9),COUNTIF('1.연간시수표'!W53,$BQ$7)),$BQ$6,IF(OR(COUNTIF('1.연간시수표'!W53,$BR$9),COUNTIF('1.연간시수표'!W53,$BR$7)),$BR$6,"_")))))))))))))))</f>
        <v>체육</v>
      </c>
      <c r="X53" s="148" t="str">
        <f>IF(OR(COUNTIF('1.연간시수표'!X53,$AT$9),COUNTIF('1.연간시수표'!X53,$AT$7)),$AT$6,IF(OR(COUNTIF('1.연간시수표'!X53,$AU$9),COUNTIF('1.연간시수표'!X53,$AU$7)),$AU$6,IF(OR(COUNTIF('1.연간시수표'!X53,$AV$9),COUNTIF('1.연간시수표'!X53,$AV$7)),$AV$6,IF(OR(COUNTIF('1.연간시수표'!X53,$AW$9),COUNTIF('1.연간시수표'!X53,$AW$7)),$AW$6,IF(OR(COUNTIF('1.연간시수표'!X53,$AX$9),COUNTIF('1.연간시수표'!X53,$AX$7)),$AX$6,IF(OR(COUNTIF('1.연간시수표'!X53,$AY$9),COUNTIF('1.연간시수표'!X53,$AY$7)),$AY$6,IF(OR(COUNTIF('1.연간시수표'!X53,$AZ$9),COUNTIF('1.연간시수표'!X53,$AZ$7)),$AZ$6,IF(OR(COUNTIF('1.연간시수표'!X53,$BA$9),COUNTIF('1.연간시수표'!X53,$BA$7)),$BA$6,IF(OR(COUNTIF('1.연간시수표'!X53,$BB$9),COUNTIF('1.연간시수표'!X53,$BB$7)),$BB$6,IF(OR(COUNTIF('1.연간시수표'!X53,$BC$9),COUNTIF('1.연간시수표'!X53,$BC$7)),$BC$6,IF(OR(COUNTIF('1.연간시수표'!X53,$BF$9),COUNTIF('1.연간시수표'!X53,$BF$7),COUNTIF('1.연간시수표'!X53,$BG$9),COUNTIF('1.연간시수표'!X53,$BG$7),COUNTIF('1.연간시수표'!X53,$BH$9),COUNTIF('1.연간시수표'!X53,$BH$7),COUNTIF('1.연간시수표'!X53,$BI$9),COUNTIF('1.연간시수표'!X53,$BI$7),COUNTIF('1.연간시수표'!X53,$BJ$9),COUNTIF('1.연간시수표'!X53,$BJ$7),COUNTIF('1.연간시수표'!X53,$BK$9),COUNTIF('1.연간시수표'!X53,$BK$7),COUNTIF('1.연간시수표'!X53,$BL$9),COUNTIF('1.연간시수표'!X53,$BL$7),COUNTIF('1.연간시수표'!X53,$BM$9),COUNTIF('1.연간시수표'!X53,$BM$7)),$BF$6,IF(OR(COUNTIF('1.연간시수표'!X53,$BO$9),COUNTIF('1.연간시수표'!X53,$BO$7)),$BO$6,IF(OR(COUNTIF('1.연간시수표'!X53,$BP$9),COUNTIF('1.연간시수표'!X53,$BP$7)),$BP$6,IF(OR(COUNTIF('1.연간시수표'!X53,$BQ$9),COUNTIF('1.연간시수표'!X53,$BQ$7)),$BQ$6,IF(OR(COUNTIF('1.연간시수표'!X53,$BR$9),COUNTIF('1.연간시수표'!X53,$BR$7)),$BR$6,"_")))))))))))))))</f>
        <v>음악</v>
      </c>
      <c r="Y53" s="148" t="str">
        <f>IF(OR(COUNTIF('1.연간시수표'!Y53,$AT$9),COUNTIF('1.연간시수표'!Y53,$AT$7)),$AT$6,IF(OR(COUNTIF('1.연간시수표'!Y53,$AU$9),COUNTIF('1.연간시수표'!Y53,$AU$7)),$AU$6,IF(OR(COUNTIF('1.연간시수표'!Y53,$AV$9),COUNTIF('1.연간시수표'!Y53,$AV$7)),$AV$6,IF(OR(COUNTIF('1.연간시수표'!Y53,$AW$9),COUNTIF('1.연간시수표'!Y53,$AW$7)),$AW$6,IF(OR(COUNTIF('1.연간시수표'!Y53,$AX$9),COUNTIF('1.연간시수표'!Y53,$AX$7)),$AX$6,IF(OR(COUNTIF('1.연간시수표'!Y53,$AY$9),COUNTIF('1.연간시수표'!Y53,$AY$7)),$AY$6,IF(OR(COUNTIF('1.연간시수표'!Y53,$AZ$9),COUNTIF('1.연간시수표'!Y53,$AZ$7)),$AZ$6,IF(OR(COUNTIF('1.연간시수표'!Y53,$BA$9),COUNTIF('1.연간시수표'!Y53,$BA$7)),$BA$6,IF(OR(COUNTIF('1.연간시수표'!Y53,$BB$9),COUNTIF('1.연간시수표'!Y53,$BB$7)),$BB$6,IF(OR(COUNTIF('1.연간시수표'!Y53,$BC$9),COUNTIF('1.연간시수표'!Y53,$BC$7)),$BC$6,IF(OR(COUNTIF('1.연간시수표'!Y53,$BF$9),COUNTIF('1.연간시수표'!Y53,$BF$7),COUNTIF('1.연간시수표'!Y53,$BG$9),COUNTIF('1.연간시수표'!Y53,$BG$7),COUNTIF('1.연간시수표'!Y53,$BH$9),COUNTIF('1.연간시수표'!Y53,$BH$7),COUNTIF('1.연간시수표'!Y53,$BI$9),COUNTIF('1.연간시수표'!Y53,$BI$7),COUNTIF('1.연간시수표'!Y53,$BJ$9),COUNTIF('1.연간시수표'!Y53,$BJ$7),COUNTIF('1.연간시수표'!Y53,$BK$9),COUNTIF('1.연간시수표'!Y53,$BK$7),COUNTIF('1.연간시수표'!Y53,$BL$9),COUNTIF('1.연간시수표'!Y53,$BL$7),COUNTIF('1.연간시수표'!Y53,$BM$9),COUNTIF('1.연간시수표'!Y53,$BM$7)),$BF$6,IF(OR(COUNTIF('1.연간시수표'!Y53,$BO$9),COUNTIF('1.연간시수표'!Y53,$BO$7)),$BO$6,IF(OR(COUNTIF('1.연간시수표'!Y53,$BP$9),COUNTIF('1.연간시수표'!Y53,$BP$7)),$BP$6,IF(OR(COUNTIF('1.연간시수표'!Y53,$BQ$9),COUNTIF('1.연간시수표'!Y53,$BQ$7)),$BQ$6,IF(OR(COUNTIF('1.연간시수표'!Y53,$BR$9),COUNTIF('1.연간시수표'!Y53,$BR$7)),$BR$6,"_")))))))))))))))</f>
        <v>도덕</v>
      </c>
      <c r="Z53" s="148" t="str">
        <f>IF(OR(COUNTIF('1.연간시수표'!Z53,$AT$9),COUNTIF('1.연간시수표'!Z53,$AT$7)),$AT$6,IF(OR(COUNTIF('1.연간시수표'!Z53,$AU$9),COUNTIF('1.연간시수표'!Z53,$AU$7)),$AU$6,IF(OR(COUNTIF('1.연간시수표'!Z53,$AV$9),COUNTIF('1.연간시수표'!Z53,$AV$7)),$AV$6,IF(OR(COUNTIF('1.연간시수표'!Z53,$AW$9),COUNTIF('1.연간시수표'!Z53,$AW$7)),$AW$6,IF(OR(COUNTIF('1.연간시수표'!Z53,$AX$9),COUNTIF('1.연간시수표'!Z53,$AX$7)),$AX$6,IF(OR(COUNTIF('1.연간시수표'!Z53,$AY$9),COUNTIF('1.연간시수표'!Z53,$AY$7)),$AY$6,IF(OR(COUNTIF('1.연간시수표'!Z53,$AZ$9),COUNTIF('1.연간시수표'!Z53,$AZ$7)),$AZ$6,IF(OR(COUNTIF('1.연간시수표'!Z53,$BA$9),COUNTIF('1.연간시수표'!Z53,$BA$7)),$BA$6,IF(OR(COUNTIF('1.연간시수표'!Z53,$BB$9),COUNTIF('1.연간시수표'!Z53,$BB$7)),$BB$6,IF(OR(COUNTIF('1.연간시수표'!Z53,$BC$9),COUNTIF('1.연간시수표'!Z53,$BC$7)),$BC$6,IF(OR(COUNTIF('1.연간시수표'!Z53,$BF$9),COUNTIF('1.연간시수표'!Z53,$BF$7),COUNTIF('1.연간시수표'!Z53,$BG$9),COUNTIF('1.연간시수표'!Z53,$BG$7),COUNTIF('1.연간시수표'!Z53,$BH$9),COUNTIF('1.연간시수표'!Z53,$BH$7),COUNTIF('1.연간시수표'!Z53,$BI$9),COUNTIF('1.연간시수표'!Z53,$BI$7),COUNTIF('1.연간시수표'!Z53,$BJ$9),COUNTIF('1.연간시수표'!Z53,$BJ$7),COUNTIF('1.연간시수표'!Z53,$BK$9),COUNTIF('1.연간시수표'!Z53,$BK$7),COUNTIF('1.연간시수표'!Z53,$BL$9),COUNTIF('1.연간시수표'!Z53,$BL$7),COUNTIF('1.연간시수표'!Z53,$BM$9),COUNTIF('1.연간시수표'!Z53,$BM$7)),$BF$6,IF(OR(COUNTIF('1.연간시수표'!Z53,$BO$9),COUNTIF('1.연간시수표'!Z53,$BO$7)),$BO$6,IF(OR(COUNTIF('1.연간시수표'!Z53,$BP$9),COUNTIF('1.연간시수표'!Z53,$BP$7)),$BP$6,IF(OR(COUNTIF('1.연간시수표'!Z53,$BQ$9),COUNTIF('1.연간시수표'!Z53,$BQ$7)),$BQ$6,IF(OR(COUNTIF('1.연간시수표'!Z53,$BR$9),COUNTIF('1.연간시수표'!Z53,$BR$7)),$BR$6,"_")))))))))))))))</f>
        <v>_</v>
      </c>
      <c r="AA53" s="148" t="str">
        <f>IF(OR(COUNTIF('1.연간시수표'!AA53,$AT$9),COUNTIF('1.연간시수표'!AA53,$AT$7)),$AT$6,IF(OR(COUNTIF('1.연간시수표'!AA53,$AU$9),COUNTIF('1.연간시수표'!AA53,$AU$7)),$AU$6,IF(OR(COUNTIF('1.연간시수표'!AA53,$AV$9),COUNTIF('1.연간시수표'!AA53,$AV$7)),$AV$6,IF(OR(COUNTIF('1.연간시수표'!AA53,$AW$9),COUNTIF('1.연간시수표'!AA53,$AW$7)),$AW$6,IF(OR(COUNTIF('1.연간시수표'!AA53,$AX$9),COUNTIF('1.연간시수표'!AA53,$AX$7)),$AX$6,IF(OR(COUNTIF('1.연간시수표'!AA53,$AY$9),COUNTIF('1.연간시수표'!AA53,$AY$7)),$AY$6,IF(OR(COUNTIF('1.연간시수표'!AA53,$AZ$9),COUNTIF('1.연간시수표'!AA53,$AZ$7)),$AZ$6,IF(OR(COUNTIF('1.연간시수표'!AA53,$BA$9),COUNTIF('1.연간시수표'!AA53,$BA$7)),$BA$6,IF(OR(COUNTIF('1.연간시수표'!AA53,$BB$9),COUNTIF('1.연간시수표'!AA53,$BB$7)),$BB$6,IF(OR(COUNTIF('1.연간시수표'!AA53,$BC$9),COUNTIF('1.연간시수표'!AA53,$BC$7)),$BC$6,IF(OR(COUNTIF('1.연간시수표'!AA53,$BF$9),COUNTIF('1.연간시수표'!AA53,$BF$7),COUNTIF('1.연간시수표'!AA53,$BG$9),COUNTIF('1.연간시수표'!AA53,$BG$7),COUNTIF('1.연간시수표'!AA53,$BH$9),COUNTIF('1.연간시수표'!AA53,$BH$7),COUNTIF('1.연간시수표'!AA53,$BI$9),COUNTIF('1.연간시수표'!AA53,$BI$7),COUNTIF('1.연간시수표'!AA53,$BJ$9),COUNTIF('1.연간시수표'!AA53,$BJ$7),COUNTIF('1.연간시수표'!AA53,$BK$9),COUNTIF('1.연간시수표'!AA53,$BK$7),COUNTIF('1.연간시수표'!AA53,$BL$9),COUNTIF('1.연간시수표'!AA53,$BL$7),COUNTIF('1.연간시수표'!AA53,$BM$9),COUNTIF('1.연간시수표'!AA53,$BM$7)),$BF$6,IF(OR(COUNTIF('1.연간시수표'!AA53,$BO$9),COUNTIF('1.연간시수표'!AA53,$BO$7)),$BO$6,IF(OR(COUNTIF('1.연간시수표'!AA53,$BP$9),COUNTIF('1.연간시수표'!AA53,$BP$7)),$BP$6,IF(OR(COUNTIF('1.연간시수표'!AA53,$BQ$9),COUNTIF('1.연간시수표'!AA53,$BQ$7)),$BQ$6,IF(OR(COUNTIF('1.연간시수표'!AA53,$BR$9),COUNTIF('1.연간시수표'!AA53,$BR$7)),$BR$6,"_")))))))))))))))</f>
        <v>_</v>
      </c>
      <c r="AB53" s="148" t="str">
        <f>IF(OR(COUNTIF('1.연간시수표'!AB53,$AT$9),COUNTIF('1.연간시수표'!AB53,$AT$7)),$AT$6,IF(OR(COUNTIF('1.연간시수표'!AB53,$AU$9),COUNTIF('1.연간시수표'!AB53,$AU$7)),$AU$6,IF(OR(COUNTIF('1.연간시수표'!AB53,$AV$9),COUNTIF('1.연간시수표'!AB53,$AV$7)),$AV$6,IF(OR(COUNTIF('1.연간시수표'!AB53,$AW$9),COUNTIF('1.연간시수표'!AB53,$AW$7)),$AW$6,IF(OR(COUNTIF('1.연간시수표'!AB53,$AX$9),COUNTIF('1.연간시수표'!AB53,$AX$7)),$AX$6,IF(OR(COUNTIF('1.연간시수표'!AB53,$AY$9),COUNTIF('1.연간시수표'!AB53,$AY$7)),$AY$6,IF(OR(COUNTIF('1.연간시수표'!AB53,$AZ$9),COUNTIF('1.연간시수표'!AB53,$AZ$7)),$AZ$6,IF(OR(COUNTIF('1.연간시수표'!AB53,$BA$9),COUNTIF('1.연간시수표'!AB53,$BA$7)),$BA$6,IF(OR(COUNTIF('1.연간시수표'!AB53,$BB$9),COUNTIF('1.연간시수표'!AB53,$BB$7)),$BB$6,IF(OR(COUNTIF('1.연간시수표'!AB53,$BC$9),COUNTIF('1.연간시수표'!AB53,$BC$7)),$BC$6,IF(OR(COUNTIF('1.연간시수표'!AB53,$BF$9),COUNTIF('1.연간시수표'!AB53,$BF$7),COUNTIF('1.연간시수표'!AB53,$BG$9),COUNTIF('1.연간시수표'!AB53,$BG$7),COUNTIF('1.연간시수표'!AB53,$BH$9),COUNTIF('1.연간시수표'!AB53,$BH$7),COUNTIF('1.연간시수표'!AB53,$BI$9),COUNTIF('1.연간시수표'!AB53,$BI$7),COUNTIF('1.연간시수표'!AB53,$BJ$9),COUNTIF('1.연간시수표'!AB53,$BJ$7),COUNTIF('1.연간시수표'!AB53,$BK$9),COUNTIF('1.연간시수표'!AB53,$BK$7),COUNTIF('1.연간시수표'!AB53,$BL$9),COUNTIF('1.연간시수표'!AB53,$BL$7),COUNTIF('1.연간시수표'!AB53,$BM$9),COUNTIF('1.연간시수표'!AB53,$BM$7)),$BF$6,IF(OR(COUNTIF('1.연간시수표'!AB53,$BO$9),COUNTIF('1.연간시수표'!AB53,$BO$7)),$BO$6,IF(OR(COUNTIF('1.연간시수표'!AB53,$BP$9),COUNTIF('1.연간시수표'!AB53,$BP$7)),$BP$6,IF(OR(COUNTIF('1.연간시수표'!AB53,$BQ$9),COUNTIF('1.연간시수표'!AB53,$BQ$7)),$BQ$6,IF(OR(COUNTIF('1.연간시수표'!AB53,$BR$9),COUNTIF('1.연간시수표'!AB53,$BR$7)),$BR$6,"_")))))))))))))))</f>
        <v>_</v>
      </c>
      <c r="AC53" s="148" t="str">
        <f>IF(OR(COUNTIF('1.연간시수표'!AC53,$AT$9),COUNTIF('1.연간시수표'!AC53,$AT$7)),$AT$6,IF(OR(COUNTIF('1.연간시수표'!AC53,$AU$9),COUNTIF('1.연간시수표'!AC53,$AU$7)),$AU$6,IF(OR(COUNTIF('1.연간시수표'!AC53,$AV$9),COUNTIF('1.연간시수표'!AC53,$AV$7)),$AV$6,IF(OR(COUNTIF('1.연간시수표'!AC53,$AW$9),COUNTIF('1.연간시수표'!AC53,$AW$7)),$AW$6,IF(OR(COUNTIF('1.연간시수표'!AC53,$AX$9),COUNTIF('1.연간시수표'!AC53,$AX$7)),$AX$6,IF(OR(COUNTIF('1.연간시수표'!AC53,$AY$9),COUNTIF('1.연간시수표'!AC53,$AY$7)),$AY$6,IF(OR(COUNTIF('1.연간시수표'!AC53,$AZ$9),COUNTIF('1.연간시수표'!AC53,$AZ$7)),$AZ$6,IF(OR(COUNTIF('1.연간시수표'!AC53,$BA$9),COUNTIF('1.연간시수표'!AC53,$BA$7)),$BA$6,IF(OR(COUNTIF('1.연간시수표'!AC53,$BB$9),COUNTIF('1.연간시수표'!AC53,$BB$7)),$BB$6,IF(OR(COUNTIF('1.연간시수표'!AC53,$BC$9),COUNTIF('1.연간시수표'!AC53,$BC$7)),$BC$6,IF(OR(COUNTIF('1.연간시수표'!AC53,$BF$9),COUNTIF('1.연간시수표'!AC53,$BF$7),COUNTIF('1.연간시수표'!AC53,$BG$9),COUNTIF('1.연간시수표'!AC53,$BG$7),COUNTIF('1.연간시수표'!AC53,$BH$9),COUNTIF('1.연간시수표'!AC53,$BH$7),COUNTIF('1.연간시수표'!AC53,$BI$9),COUNTIF('1.연간시수표'!AC53,$BI$7),COUNTIF('1.연간시수표'!AC53,$BJ$9),COUNTIF('1.연간시수표'!AC53,$BJ$7),COUNTIF('1.연간시수표'!AC53,$BK$9),COUNTIF('1.연간시수표'!AC53,$BK$7),COUNTIF('1.연간시수표'!AC53,$BL$9),COUNTIF('1.연간시수표'!AC53,$BL$7),COUNTIF('1.연간시수표'!AC53,$BM$9),COUNTIF('1.연간시수표'!AC53,$BM$7)),$BF$6,IF(OR(COUNTIF('1.연간시수표'!AC53,$BO$9),COUNTIF('1.연간시수표'!AC53,$BO$7)),$BO$6,IF(OR(COUNTIF('1.연간시수표'!AC53,$BP$9),COUNTIF('1.연간시수표'!AC53,$BP$7)),$BP$6,IF(OR(COUNTIF('1.연간시수표'!AC53,$BQ$9),COUNTIF('1.연간시수표'!AC53,$BQ$7)),$BQ$6,IF(OR(COUNTIF('1.연간시수표'!AC53,$BR$9),COUNTIF('1.연간시수표'!AC53,$BR$7)),$BR$6,"_")))))))))))))))</f>
        <v>국어</v>
      </c>
      <c r="AD53" s="148" t="str">
        <f>IF(OR(COUNTIF('1.연간시수표'!AD53,$AT$9),COUNTIF('1.연간시수표'!AD53,$AT$7)),$AT$6,IF(OR(COUNTIF('1.연간시수표'!AD53,$AU$9),COUNTIF('1.연간시수표'!AD53,$AU$7)),$AU$6,IF(OR(COUNTIF('1.연간시수표'!AD53,$AV$9),COUNTIF('1.연간시수표'!AD53,$AV$7)),$AV$6,IF(OR(COUNTIF('1.연간시수표'!AD53,$AW$9),COUNTIF('1.연간시수표'!AD53,$AW$7)),$AW$6,IF(OR(COUNTIF('1.연간시수표'!AD53,$AX$9),COUNTIF('1.연간시수표'!AD53,$AX$7)),$AX$6,IF(OR(COUNTIF('1.연간시수표'!AD53,$AY$9),COUNTIF('1.연간시수표'!AD53,$AY$7)),$AY$6,IF(OR(COUNTIF('1.연간시수표'!AD53,$AZ$9),COUNTIF('1.연간시수표'!AD53,$AZ$7)),$AZ$6,IF(OR(COUNTIF('1.연간시수표'!AD53,$BA$9),COUNTIF('1.연간시수표'!AD53,$BA$7)),$BA$6,IF(OR(COUNTIF('1.연간시수표'!AD53,$BB$9),COUNTIF('1.연간시수표'!AD53,$BB$7)),$BB$6,IF(OR(COUNTIF('1.연간시수표'!AD53,$BC$9),COUNTIF('1.연간시수표'!AD53,$BC$7)),$BC$6,IF(OR(COUNTIF('1.연간시수표'!AD53,$BF$9),COUNTIF('1.연간시수표'!AD53,$BF$7),COUNTIF('1.연간시수표'!AD53,$BG$9),COUNTIF('1.연간시수표'!AD53,$BG$7),COUNTIF('1.연간시수표'!AD53,$BH$9),COUNTIF('1.연간시수표'!AD53,$BH$7),COUNTIF('1.연간시수표'!AD53,$BI$9),COUNTIF('1.연간시수표'!AD53,$BI$7),COUNTIF('1.연간시수표'!AD53,$BJ$9),COUNTIF('1.연간시수표'!AD53,$BJ$7),COUNTIF('1.연간시수표'!AD53,$BK$9),COUNTIF('1.연간시수표'!AD53,$BK$7),COUNTIF('1.연간시수표'!AD53,$BL$9),COUNTIF('1.연간시수표'!AD53,$BL$7),COUNTIF('1.연간시수표'!AD53,$BM$9),COUNTIF('1.연간시수표'!AD53,$BM$7)),$BF$6,IF(OR(COUNTIF('1.연간시수표'!AD53,$BO$9),COUNTIF('1.연간시수표'!AD53,$BO$7)),$BO$6,IF(OR(COUNTIF('1.연간시수표'!AD53,$BP$9),COUNTIF('1.연간시수표'!AD53,$BP$7)),$BP$6,IF(OR(COUNTIF('1.연간시수표'!AD53,$BQ$9),COUNTIF('1.연간시수표'!AD53,$BQ$7)),$BQ$6,IF(OR(COUNTIF('1.연간시수표'!AD53,$BR$9),COUNTIF('1.연간시수표'!AD53,$BR$7)),$BR$6,"_")))))))))))))))</f>
        <v>수학</v>
      </c>
      <c r="AE53" s="148" t="str">
        <f>IF(OR(COUNTIF('1.연간시수표'!AE53,$AT$9),COUNTIF('1.연간시수표'!AE53,$AT$7)),$AT$6,IF(OR(COUNTIF('1.연간시수표'!AE53,$AU$9),COUNTIF('1.연간시수표'!AE53,$AU$7)),$AU$6,IF(OR(COUNTIF('1.연간시수표'!AE53,$AV$9),COUNTIF('1.연간시수표'!AE53,$AV$7)),$AV$6,IF(OR(COUNTIF('1.연간시수표'!AE53,$AW$9),COUNTIF('1.연간시수표'!AE53,$AW$7)),$AW$6,IF(OR(COUNTIF('1.연간시수표'!AE53,$AX$9),COUNTIF('1.연간시수표'!AE53,$AX$7)),$AX$6,IF(OR(COUNTIF('1.연간시수표'!AE53,$AY$9),COUNTIF('1.연간시수표'!AE53,$AY$7)),$AY$6,IF(OR(COUNTIF('1.연간시수표'!AE53,$AZ$9),COUNTIF('1.연간시수표'!AE53,$AZ$7)),$AZ$6,IF(OR(COUNTIF('1.연간시수표'!AE53,$BA$9),COUNTIF('1.연간시수표'!AE53,$BA$7)),$BA$6,IF(OR(COUNTIF('1.연간시수표'!AE53,$BB$9),COUNTIF('1.연간시수표'!AE53,$BB$7)),$BB$6,IF(OR(COUNTIF('1.연간시수표'!AE53,$BC$9),COUNTIF('1.연간시수표'!AE53,$BC$7)),$BC$6,IF(OR(COUNTIF('1.연간시수표'!AE53,$BF$9),COUNTIF('1.연간시수표'!AE53,$BF$7),COUNTIF('1.연간시수표'!AE53,$BG$9),COUNTIF('1.연간시수표'!AE53,$BG$7),COUNTIF('1.연간시수표'!AE53,$BH$9),COUNTIF('1.연간시수표'!AE53,$BH$7),COUNTIF('1.연간시수표'!AE53,$BI$9),COUNTIF('1.연간시수표'!AE53,$BI$7),COUNTIF('1.연간시수표'!AE53,$BJ$9),COUNTIF('1.연간시수표'!AE53,$BJ$7),COUNTIF('1.연간시수표'!AE53,$BK$9),COUNTIF('1.연간시수표'!AE53,$BK$7),COUNTIF('1.연간시수표'!AE53,$BL$9),COUNTIF('1.연간시수표'!AE53,$BL$7),COUNTIF('1.연간시수표'!AE53,$BM$9),COUNTIF('1.연간시수표'!AE53,$BM$7)),$BF$6,IF(OR(COUNTIF('1.연간시수표'!AE53,$BO$9),COUNTIF('1.연간시수표'!AE53,$BO$7)),$BO$6,IF(OR(COUNTIF('1.연간시수표'!AE53,$BP$9),COUNTIF('1.연간시수표'!AE53,$BP$7)),$BP$6,IF(OR(COUNTIF('1.연간시수표'!AE53,$BQ$9),COUNTIF('1.연간시수표'!AE53,$BQ$7)),$BQ$6,IF(OR(COUNTIF('1.연간시수표'!AE53,$BR$9),COUNTIF('1.연간시수표'!AE53,$BR$7)),$BR$6,"_")))))))))))))))</f>
        <v>사회</v>
      </c>
      <c r="AF53" s="148" t="str">
        <f>IF(OR(COUNTIF('1.연간시수표'!AF53,$AT$9),COUNTIF('1.연간시수표'!AF53,$AT$7)),$AT$6,IF(OR(COUNTIF('1.연간시수표'!AF53,$AU$9),COUNTIF('1.연간시수표'!AF53,$AU$7)),$AU$6,IF(OR(COUNTIF('1.연간시수표'!AF53,$AV$9),COUNTIF('1.연간시수표'!AF53,$AV$7)),$AV$6,IF(OR(COUNTIF('1.연간시수표'!AF53,$AW$9),COUNTIF('1.연간시수표'!AF53,$AW$7)),$AW$6,IF(OR(COUNTIF('1.연간시수표'!AF53,$AX$9),COUNTIF('1.연간시수표'!AF53,$AX$7)),$AX$6,IF(OR(COUNTIF('1.연간시수표'!AF53,$AY$9),COUNTIF('1.연간시수표'!AF53,$AY$7)),$AY$6,IF(OR(COUNTIF('1.연간시수표'!AF53,$AZ$9),COUNTIF('1.연간시수표'!AF53,$AZ$7)),$AZ$6,IF(OR(COUNTIF('1.연간시수표'!AF53,$BA$9),COUNTIF('1.연간시수표'!AF53,$BA$7)),$BA$6,IF(OR(COUNTIF('1.연간시수표'!AF53,$BB$9),COUNTIF('1.연간시수표'!AF53,$BB$7)),$BB$6,IF(OR(COUNTIF('1.연간시수표'!AF53,$BC$9),COUNTIF('1.연간시수표'!AF53,$BC$7)),$BC$6,IF(OR(COUNTIF('1.연간시수표'!AF53,$BF$9),COUNTIF('1.연간시수표'!AF53,$BF$7),COUNTIF('1.연간시수표'!AF53,$BG$9),COUNTIF('1.연간시수표'!AF53,$BG$7),COUNTIF('1.연간시수표'!AF53,$BH$9),COUNTIF('1.연간시수표'!AF53,$BH$7),COUNTIF('1.연간시수표'!AF53,$BI$9),COUNTIF('1.연간시수표'!AF53,$BI$7),COUNTIF('1.연간시수표'!AF53,$BJ$9),COUNTIF('1.연간시수표'!AF53,$BJ$7),COUNTIF('1.연간시수표'!AF53,$BK$9),COUNTIF('1.연간시수표'!AF53,$BK$7),COUNTIF('1.연간시수표'!AF53,$BL$9),COUNTIF('1.연간시수표'!AF53,$BL$7),COUNTIF('1.연간시수표'!AF53,$BM$9),COUNTIF('1.연간시수표'!AF53,$BM$7)),$BF$6,IF(OR(COUNTIF('1.연간시수표'!AF53,$BO$9),COUNTIF('1.연간시수표'!AF53,$BO$7)),$BO$6,IF(OR(COUNTIF('1.연간시수표'!AF53,$BP$9),COUNTIF('1.연간시수표'!AF53,$BP$7)),$BP$6,IF(OR(COUNTIF('1.연간시수표'!AF53,$BQ$9),COUNTIF('1.연간시수표'!AF53,$BQ$7)),$BQ$6,IF(OR(COUNTIF('1.연간시수표'!AF53,$BR$9),COUNTIF('1.연간시수표'!AF53,$BR$7)),$BR$6,"_")))))))))))))))</f>
        <v>영어</v>
      </c>
      <c r="AG53" s="148" t="str">
        <f>IF(OR(COUNTIF('1.연간시수표'!AG53,$AT$9),COUNTIF('1.연간시수표'!AG53,$AT$7)),$AT$6,IF(OR(COUNTIF('1.연간시수표'!AG53,$AU$9),COUNTIF('1.연간시수표'!AG53,$AU$7)),$AU$6,IF(OR(COUNTIF('1.연간시수표'!AG53,$AV$9),COUNTIF('1.연간시수표'!AG53,$AV$7)),$AV$6,IF(OR(COUNTIF('1.연간시수표'!AG53,$AW$9),COUNTIF('1.연간시수표'!AG53,$AW$7)),$AW$6,IF(OR(COUNTIF('1.연간시수표'!AG53,$AX$9),COUNTIF('1.연간시수표'!AG53,$AX$7)),$AX$6,IF(OR(COUNTIF('1.연간시수표'!AG53,$AY$9),COUNTIF('1.연간시수표'!AG53,$AY$7)),$AY$6,IF(OR(COUNTIF('1.연간시수표'!AG53,$AZ$9),COUNTIF('1.연간시수표'!AG53,$AZ$7)),$AZ$6,IF(OR(COUNTIF('1.연간시수표'!AG53,$BA$9),COUNTIF('1.연간시수표'!AG53,$BA$7)),$BA$6,IF(OR(COUNTIF('1.연간시수표'!AG53,$BB$9),COUNTIF('1.연간시수표'!AG53,$BB$7)),$BB$6,IF(OR(COUNTIF('1.연간시수표'!AG53,$BC$9),COUNTIF('1.연간시수표'!AG53,$BC$7)),$BC$6,IF(OR(COUNTIF('1.연간시수표'!AG53,$BF$9),COUNTIF('1.연간시수표'!AG53,$BF$7),COUNTIF('1.연간시수표'!AG53,$BG$9),COUNTIF('1.연간시수표'!AG53,$BG$7),COUNTIF('1.연간시수표'!AG53,$BH$9),COUNTIF('1.연간시수표'!AG53,$BH$7),COUNTIF('1.연간시수표'!AG53,$BI$9),COUNTIF('1.연간시수표'!AG53,$BI$7),COUNTIF('1.연간시수표'!AG53,$BJ$9),COUNTIF('1.연간시수표'!AG53,$BJ$7),COUNTIF('1.연간시수표'!AG53,$BK$9),COUNTIF('1.연간시수표'!AG53,$BK$7),COUNTIF('1.연간시수표'!AG53,$BL$9),COUNTIF('1.연간시수표'!AG53,$BL$7),COUNTIF('1.연간시수표'!AG53,$BM$9),COUNTIF('1.연간시수표'!AG53,$BM$7)),$BF$6,IF(OR(COUNTIF('1.연간시수표'!AG53,$BO$9),COUNTIF('1.연간시수표'!AG53,$BO$7)),$BO$6,IF(OR(COUNTIF('1.연간시수표'!AG53,$BP$9),COUNTIF('1.연간시수표'!AG53,$BP$7)),$BP$6,IF(OR(COUNTIF('1.연간시수표'!AG53,$BQ$9),COUNTIF('1.연간시수표'!AG53,$BQ$7)),$BQ$6,IF(OR(COUNTIF('1.연간시수표'!AG53,$BR$9),COUNTIF('1.연간시수표'!AG53,$BR$7)),$BR$6,"_")))))))))))))))</f>
        <v>과학</v>
      </c>
      <c r="AH53" s="148" t="str">
        <f>IF(OR(COUNTIF('1.연간시수표'!AH53,$AT$9),COUNTIF('1.연간시수표'!AH53,$AT$7)),$AT$6,IF(OR(COUNTIF('1.연간시수표'!AH53,$AU$9),COUNTIF('1.연간시수표'!AH53,$AU$7)),$AU$6,IF(OR(COUNTIF('1.연간시수표'!AH53,$AV$9),COUNTIF('1.연간시수표'!AH53,$AV$7)),$AV$6,IF(OR(COUNTIF('1.연간시수표'!AH53,$AW$9),COUNTIF('1.연간시수표'!AH53,$AW$7)),$AW$6,IF(OR(COUNTIF('1.연간시수표'!AH53,$AX$9),COUNTIF('1.연간시수표'!AH53,$AX$7)),$AX$6,IF(OR(COUNTIF('1.연간시수표'!AH53,$AY$9),COUNTIF('1.연간시수표'!AH53,$AY$7)),$AY$6,IF(OR(COUNTIF('1.연간시수표'!AH53,$AZ$9),COUNTIF('1.연간시수표'!AH53,$AZ$7)),$AZ$6,IF(OR(COUNTIF('1.연간시수표'!AH53,$BA$9),COUNTIF('1.연간시수표'!AH53,$BA$7)),$BA$6,IF(OR(COUNTIF('1.연간시수표'!AH53,$BB$9),COUNTIF('1.연간시수표'!AH53,$BB$7)),$BB$6,IF(OR(COUNTIF('1.연간시수표'!AH53,$BC$9),COUNTIF('1.연간시수표'!AH53,$BC$7)),$BC$6,IF(OR(COUNTIF('1.연간시수표'!AH53,$BF$9),COUNTIF('1.연간시수표'!AH53,$BF$7),COUNTIF('1.연간시수표'!AH53,$BG$9),COUNTIF('1.연간시수표'!AH53,$BG$7),COUNTIF('1.연간시수표'!AH53,$BH$9),COUNTIF('1.연간시수표'!AH53,$BH$7),COUNTIF('1.연간시수표'!AH53,$BI$9),COUNTIF('1.연간시수표'!AH53,$BI$7),COUNTIF('1.연간시수표'!AH53,$BJ$9),COUNTIF('1.연간시수표'!AH53,$BJ$7),COUNTIF('1.연간시수표'!AH53,$BK$9),COUNTIF('1.연간시수표'!AH53,$BK$7),COUNTIF('1.연간시수표'!AH53,$BL$9),COUNTIF('1.연간시수표'!AH53,$BL$7),COUNTIF('1.연간시수표'!AH53,$BM$9),COUNTIF('1.연간시수표'!AH53,$BM$7)),$BF$6,IF(OR(COUNTIF('1.연간시수표'!AH53,$BO$9),COUNTIF('1.연간시수표'!AH53,$BO$7)),$BO$6,IF(OR(COUNTIF('1.연간시수표'!AH53,$BP$9),COUNTIF('1.연간시수표'!AH53,$BP$7)),$BP$6,IF(OR(COUNTIF('1.연간시수표'!AH53,$BQ$9),COUNTIF('1.연간시수표'!AH53,$BQ$7)),$BQ$6,IF(OR(COUNTIF('1.연간시수표'!AH53,$BR$9),COUNTIF('1.연간시수표'!AH53,$BR$7)),$BR$6,"_")))))))))))))))</f>
        <v>음악</v>
      </c>
      <c r="AI53" s="148" t="str">
        <f>IF(OR(COUNTIF('1.연간시수표'!AI53,$AT$9),COUNTIF('1.연간시수표'!AI53,$AT$7)),$AT$6,IF(OR(COUNTIF('1.연간시수표'!AI53,$AU$9),COUNTIF('1.연간시수표'!AI53,$AU$7)),$AU$6,IF(OR(COUNTIF('1.연간시수표'!AI53,$AV$9),COUNTIF('1.연간시수표'!AI53,$AV$7)),$AV$6,IF(OR(COUNTIF('1.연간시수표'!AI53,$AW$9),COUNTIF('1.연간시수표'!AI53,$AW$7)),$AW$6,IF(OR(COUNTIF('1.연간시수표'!AI53,$AX$9),COUNTIF('1.연간시수표'!AI53,$AX$7)),$AX$6,IF(OR(COUNTIF('1.연간시수표'!AI53,$AY$9),COUNTIF('1.연간시수표'!AI53,$AY$7)),$AY$6,IF(OR(COUNTIF('1.연간시수표'!AI53,$AZ$9),COUNTIF('1.연간시수표'!AI53,$AZ$7)),$AZ$6,IF(OR(COUNTIF('1.연간시수표'!AI53,$BA$9),COUNTIF('1.연간시수표'!AI53,$BA$7)),$BA$6,IF(OR(COUNTIF('1.연간시수표'!AI53,$BB$9),COUNTIF('1.연간시수표'!AI53,$BB$7)),$BB$6,IF(OR(COUNTIF('1.연간시수표'!AI53,$BC$9),COUNTIF('1.연간시수표'!AI53,$BC$7)),$BC$6,IF(OR(COUNTIF('1.연간시수표'!AI53,$BF$9),COUNTIF('1.연간시수표'!AI53,$BF$7),COUNTIF('1.연간시수표'!AI53,$BG$9),COUNTIF('1.연간시수표'!AI53,$BG$7),COUNTIF('1.연간시수표'!AI53,$BH$9),COUNTIF('1.연간시수표'!AI53,$BH$7),COUNTIF('1.연간시수표'!AI53,$BI$9),COUNTIF('1.연간시수표'!AI53,$BI$7),COUNTIF('1.연간시수표'!AI53,$BJ$9),COUNTIF('1.연간시수표'!AI53,$BJ$7),COUNTIF('1.연간시수표'!AI53,$BK$9),COUNTIF('1.연간시수표'!AI53,$BK$7),COUNTIF('1.연간시수표'!AI53,$BL$9),COUNTIF('1.연간시수표'!AI53,$BL$7),COUNTIF('1.연간시수표'!AI53,$BM$9),COUNTIF('1.연간시수표'!AI53,$BM$7)),$BF$6,IF(OR(COUNTIF('1.연간시수표'!AI53,$BO$9),COUNTIF('1.연간시수표'!AI53,$BO$7)),$BO$6,IF(OR(COUNTIF('1.연간시수표'!AI53,$BP$9),COUNTIF('1.연간시수표'!AI53,$BP$7)),$BP$6,IF(OR(COUNTIF('1.연간시수표'!AI53,$BQ$9),COUNTIF('1.연간시수표'!AI53,$BQ$7)),$BQ$6,IF(OR(COUNTIF('1.연간시수표'!AI53,$BR$9),COUNTIF('1.연간시수표'!AI53,$BR$7)),$BR$6,"_")))))))))))))))</f>
        <v>_</v>
      </c>
      <c r="AJ53" s="148" t="str">
        <f>IF(OR(COUNTIF('1.연간시수표'!AJ53,$AT$9),COUNTIF('1.연간시수표'!AJ53,$AT$7)),$AT$6,IF(OR(COUNTIF('1.연간시수표'!AJ53,$AU$9),COUNTIF('1.연간시수표'!AJ53,$AU$7)),$AU$6,IF(OR(COUNTIF('1.연간시수표'!AJ53,$AV$9),COUNTIF('1.연간시수표'!AJ53,$AV$7)),$AV$6,IF(OR(COUNTIF('1.연간시수표'!AJ53,$AW$9),COUNTIF('1.연간시수표'!AJ53,$AW$7)),$AW$6,IF(OR(COUNTIF('1.연간시수표'!AJ53,$AX$9),COUNTIF('1.연간시수표'!AJ53,$AX$7)),$AX$6,IF(OR(COUNTIF('1.연간시수표'!AJ53,$AY$9),COUNTIF('1.연간시수표'!AJ53,$AY$7)),$AY$6,IF(OR(COUNTIF('1.연간시수표'!AJ53,$AZ$9),COUNTIF('1.연간시수표'!AJ53,$AZ$7)),$AZ$6,IF(OR(COUNTIF('1.연간시수표'!AJ53,$BA$9),COUNTIF('1.연간시수표'!AJ53,$BA$7)),$BA$6,IF(OR(COUNTIF('1.연간시수표'!AJ53,$BB$9),COUNTIF('1.연간시수표'!AJ53,$BB$7)),$BB$6,IF(OR(COUNTIF('1.연간시수표'!AJ53,$BC$9),COUNTIF('1.연간시수표'!AJ53,$BC$7)),$BC$6,IF(OR(COUNTIF('1.연간시수표'!AJ53,$BF$9),COUNTIF('1.연간시수표'!AJ53,$BF$7),COUNTIF('1.연간시수표'!AJ53,$BG$9),COUNTIF('1.연간시수표'!AJ53,$BG$7),COUNTIF('1.연간시수표'!AJ53,$BH$9),COUNTIF('1.연간시수표'!AJ53,$BH$7),COUNTIF('1.연간시수표'!AJ53,$BI$9),COUNTIF('1.연간시수표'!AJ53,$BI$7),COUNTIF('1.연간시수표'!AJ53,$BJ$9),COUNTIF('1.연간시수표'!AJ53,$BJ$7),COUNTIF('1.연간시수표'!AJ53,$BK$9),COUNTIF('1.연간시수표'!AJ53,$BK$7),COUNTIF('1.연간시수표'!AJ53,$BL$9),COUNTIF('1.연간시수표'!AJ53,$BL$7),COUNTIF('1.연간시수표'!AJ53,$BM$9),COUNTIF('1.연간시수표'!AJ53,$BM$7)),$BF$6,IF(OR(COUNTIF('1.연간시수표'!AJ53,$BO$9),COUNTIF('1.연간시수표'!AJ53,$BO$7)),$BO$6,IF(OR(COUNTIF('1.연간시수표'!AJ53,$BP$9),COUNTIF('1.연간시수표'!AJ53,$BP$7)),$BP$6,IF(OR(COUNTIF('1.연간시수표'!AJ53,$BQ$9),COUNTIF('1.연간시수표'!AJ53,$BQ$7)),$BQ$6,IF(OR(COUNTIF('1.연간시수표'!AJ53,$BR$9),COUNTIF('1.연간시수표'!AJ53,$BR$7)),$BR$6,"_")))))))))))))))</f>
        <v>_</v>
      </c>
      <c r="AK53" s="148" t="str">
        <f>IF(OR(COUNTIF('1.연간시수표'!AK53,$AT$9),COUNTIF('1.연간시수표'!AK53,$AT$7)),$AT$6,IF(OR(COUNTIF('1.연간시수표'!AK53,$AU$9),COUNTIF('1.연간시수표'!AK53,$AU$7)),$AU$6,IF(OR(COUNTIF('1.연간시수표'!AK53,$AV$9),COUNTIF('1.연간시수표'!AK53,$AV$7)),$AV$6,IF(OR(COUNTIF('1.연간시수표'!AK53,$AW$9),COUNTIF('1.연간시수표'!AK53,$AW$7)),$AW$6,IF(OR(COUNTIF('1.연간시수표'!AK53,$AX$9),COUNTIF('1.연간시수표'!AK53,$AX$7)),$AX$6,IF(OR(COUNTIF('1.연간시수표'!AK53,$AY$9),COUNTIF('1.연간시수표'!AK53,$AY$7)),$AY$6,IF(OR(COUNTIF('1.연간시수표'!AK53,$AZ$9),COUNTIF('1.연간시수표'!AK53,$AZ$7)),$AZ$6,IF(OR(COUNTIF('1.연간시수표'!AK53,$BA$9),COUNTIF('1.연간시수표'!AK53,$BA$7)),$BA$6,IF(OR(COUNTIF('1.연간시수표'!AK53,$BB$9),COUNTIF('1.연간시수표'!AK53,$BB$7)),$BB$6,IF(OR(COUNTIF('1.연간시수표'!AK53,$BC$9),COUNTIF('1.연간시수표'!AK53,$BC$7)),$BC$6,IF(OR(COUNTIF('1.연간시수표'!AK53,$BF$9),COUNTIF('1.연간시수표'!AK53,$BF$7),COUNTIF('1.연간시수표'!AK53,$BG$9),COUNTIF('1.연간시수표'!AK53,$BG$7),COUNTIF('1.연간시수표'!AK53,$BH$9),COUNTIF('1.연간시수표'!AK53,$BH$7),COUNTIF('1.연간시수표'!AK53,$BI$9),COUNTIF('1.연간시수표'!AK53,$BI$7),COUNTIF('1.연간시수표'!AK53,$BJ$9),COUNTIF('1.연간시수표'!AK53,$BJ$7),COUNTIF('1.연간시수표'!AK53,$BK$9),COUNTIF('1.연간시수표'!AK53,$BK$7),COUNTIF('1.연간시수표'!AK53,$BL$9),COUNTIF('1.연간시수표'!AK53,$BL$7),COUNTIF('1.연간시수표'!AK53,$BM$9),COUNTIF('1.연간시수표'!AK53,$BM$7)),$BF$6,IF(OR(COUNTIF('1.연간시수표'!AK53,$BO$9),COUNTIF('1.연간시수표'!AK53,$BO$7)),$BO$6,IF(OR(COUNTIF('1.연간시수표'!AK53,$BP$9),COUNTIF('1.연간시수표'!AK53,$BP$7)),$BP$6,IF(OR(COUNTIF('1.연간시수표'!AK53,$BQ$9),COUNTIF('1.연간시수표'!AK53,$BQ$7)),$BQ$6,IF(OR(COUNTIF('1.연간시수표'!AK53,$BR$9),COUNTIF('1.연간시수표'!AK53,$BR$7)),$BR$6,"_")))))))))))))))</f>
        <v>_</v>
      </c>
      <c r="AL53" s="148" t="str">
        <f>IF(OR(COUNTIF('1.연간시수표'!AL53,$AT$9),COUNTIF('1.연간시수표'!AL53,$AT$7)),$AT$6,IF(OR(COUNTIF('1.연간시수표'!AL53,$AU$9),COUNTIF('1.연간시수표'!AL53,$AU$7)),$AU$6,IF(OR(COUNTIF('1.연간시수표'!AL53,$AV$9),COUNTIF('1.연간시수표'!AL53,$AV$7)),$AV$6,IF(OR(COUNTIF('1.연간시수표'!AL53,$AW$9),COUNTIF('1.연간시수표'!AL53,$AW$7)),$AW$6,IF(OR(COUNTIF('1.연간시수표'!AL53,$AX$9),COUNTIF('1.연간시수표'!AL53,$AX$7)),$AX$6,IF(OR(COUNTIF('1.연간시수표'!AL53,$AY$9),COUNTIF('1.연간시수표'!AL53,$AY$7)),$AY$6,IF(OR(COUNTIF('1.연간시수표'!AL53,$AZ$9),COUNTIF('1.연간시수표'!AL53,$AZ$7)),$AZ$6,IF(OR(COUNTIF('1.연간시수표'!AL53,$BA$9),COUNTIF('1.연간시수표'!AL53,$BA$7)),$BA$6,IF(OR(COUNTIF('1.연간시수표'!AL53,$BB$9),COUNTIF('1.연간시수표'!AL53,$BB$7)),$BB$6,IF(OR(COUNTIF('1.연간시수표'!AL53,$BC$9),COUNTIF('1.연간시수표'!AL53,$BC$7)),$BC$6,IF(OR(COUNTIF('1.연간시수표'!AL53,$BF$9),COUNTIF('1.연간시수표'!AL53,$BF$7),COUNTIF('1.연간시수표'!AL53,$BG$9),COUNTIF('1.연간시수표'!AL53,$BG$7),COUNTIF('1.연간시수표'!AL53,$BH$9),COUNTIF('1.연간시수표'!AL53,$BH$7),COUNTIF('1.연간시수표'!AL53,$BI$9),COUNTIF('1.연간시수표'!AL53,$BI$7),COUNTIF('1.연간시수표'!AL53,$BJ$9),COUNTIF('1.연간시수표'!AL53,$BJ$7),COUNTIF('1.연간시수표'!AL53,$BK$9),COUNTIF('1.연간시수표'!AL53,$BK$7),COUNTIF('1.연간시수표'!AL53,$BL$9),COUNTIF('1.연간시수표'!AL53,$BL$7),COUNTIF('1.연간시수표'!AL53,$BM$9),COUNTIF('1.연간시수표'!AL53,$BM$7)),$BF$6,IF(OR(COUNTIF('1.연간시수표'!AL53,$BO$9),COUNTIF('1.연간시수표'!AL53,$BO$7)),$BO$6,IF(OR(COUNTIF('1.연간시수표'!AL53,$BP$9),COUNTIF('1.연간시수표'!AL53,$BP$7)),$BP$6,IF(OR(COUNTIF('1.연간시수표'!AL53,$BQ$9),COUNTIF('1.연간시수표'!AL53,$BQ$7)),$BQ$6,IF(OR(COUNTIF('1.연간시수표'!AL53,$BR$9),COUNTIF('1.연간시수표'!AL53,$BR$7)),$BR$6,"_")))))))))))))))</f>
        <v>_</v>
      </c>
      <c r="AM53" s="148" t="str">
        <f>IF(OR(COUNTIF('1.연간시수표'!AM53,$AT$9),COUNTIF('1.연간시수표'!AM53,$AT$7)),$AT$6,IF(OR(COUNTIF('1.연간시수표'!AM53,$AU$9),COUNTIF('1.연간시수표'!AM53,$AU$7)),$AU$6,IF(OR(COUNTIF('1.연간시수표'!AM53,$AV$9),COUNTIF('1.연간시수표'!AM53,$AV$7)),$AV$6,IF(OR(COUNTIF('1.연간시수표'!AM53,$AW$9),COUNTIF('1.연간시수표'!AM53,$AW$7)),$AW$6,IF(OR(COUNTIF('1.연간시수표'!AM53,$AX$9),COUNTIF('1.연간시수표'!AM53,$AX$7)),$AX$6,IF(OR(COUNTIF('1.연간시수표'!AM53,$AY$9),COUNTIF('1.연간시수표'!AM53,$AY$7)),$AY$6,IF(OR(COUNTIF('1.연간시수표'!AM53,$AZ$9),COUNTIF('1.연간시수표'!AM53,$AZ$7)),$AZ$6,IF(OR(COUNTIF('1.연간시수표'!AM53,$BA$9),COUNTIF('1.연간시수표'!AM53,$BA$7)),$BA$6,IF(OR(COUNTIF('1.연간시수표'!AM53,$BB$9),COUNTIF('1.연간시수표'!AM53,$BB$7)),$BB$6,IF(OR(COUNTIF('1.연간시수표'!AM53,$BC$9),COUNTIF('1.연간시수표'!AM53,$BC$7)),$BC$6,IF(OR(COUNTIF('1.연간시수표'!AM53,$BF$9),COUNTIF('1.연간시수표'!AM53,$BF$7),COUNTIF('1.연간시수표'!AM53,$BG$9),COUNTIF('1.연간시수표'!AM53,$BG$7),COUNTIF('1.연간시수표'!AM53,$BH$9),COUNTIF('1.연간시수표'!AM53,$BH$7),COUNTIF('1.연간시수표'!AM53,$BI$9),COUNTIF('1.연간시수표'!AM53,$BI$7),COUNTIF('1.연간시수표'!AM53,$BJ$9),COUNTIF('1.연간시수표'!AM53,$BJ$7),COUNTIF('1.연간시수표'!AM53,$BK$9),COUNTIF('1.연간시수표'!AM53,$BK$7),COUNTIF('1.연간시수표'!AM53,$BL$9),COUNTIF('1.연간시수표'!AM53,$BL$7),COUNTIF('1.연간시수표'!AM53,$BM$9),COUNTIF('1.연간시수표'!AM53,$BM$7)),$BF$6,IF(OR(COUNTIF('1.연간시수표'!AM53,$BO$9),COUNTIF('1.연간시수표'!AM53,$BO$7)),$BO$6,IF(OR(COUNTIF('1.연간시수표'!AM53,$BP$9),COUNTIF('1.연간시수표'!AM53,$BP$7)),$BP$6,IF(OR(COUNTIF('1.연간시수표'!AM53,$BQ$9),COUNTIF('1.연간시수표'!AM53,$BQ$7)),$BQ$6,IF(OR(COUNTIF('1.연간시수표'!AM53,$BR$9),COUNTIF('1.연간시수표'!AM53,$BR$7)),$BR$6,"_")))))))))))))))</f>
        <v>_</v>
      </c>
      <c r="AN53" s="148" t="str">
        <f>IF(OR(COUNTIF('1.연간시수표'!AN53,$AT$9),COUNTIF('1.연간시수표'!AN53,$AT$7)),$AT$6,IF(OR(COUNTIF('1.연간시수표'!AN53,$AU$9),COUNTIF('1.연간시수표'!AN53,$AU$7)),$AU$6,IF(OR(COUNTIF('1.연간시수표'!AN53,$AV$9),COUNTIF('1.연간시수표'!AN53,$AV$7)),$AV$6,IF(OR(COUNTIF('1.연간시수표'!AN53,$AW$9),COUNTIF('1.연간시수표'!AN53,$AW$7)),$AW$6,IF(OR(COUNTIF('1.연간시수표'!AN53,$AX$9),COUNTIF('1.연간시수표'!AN53,$AX$7)),$AX$6,IF(OR(COUNTIF('1.연간시수표'!AN53,$AY$9),COUNTIF('1.연간시수표'!AN53,$AY$7)),$AY$6,IF(OR(COUNTIF('1.연간시수표'!AN53,$AZ$9),COUNTIF('1.연간시수표'!AN53,$AZ$7)),$AZ$6,IF(OR(COUNTIF('1.연간시수표'!AN53,$BA$9),COUNTIF('1.연간시수표'!AN53,$BA$7)),$BA$6,IF(OR(COUNTIF('1.연간시수표'!AN53,$BB$9),COUNTIF('1.연간시수표'!AN53,$BB$7)),$BB$6,IF(OR(COUNTIF('1.연간시수표'!AN53,$BC$9),COUNTIF('1.연간시수표'!AN53,$BC$7)),$BC$6,IF(OR(COUNTIF('1.연간시수표'!AN53,$BF$9),COUNTIF('1.연간시수표'!AN53,$BF$7),COUNTIF('1.연간시수표'!AN53,$BG$9),COUNTIF('1.연간시수표'!AN53,$BG$7),COUNTIF('1.연간시수표'!AN53,$BH$9),COUNTIF('1.연간시수표'!AN53,$BH$7),COUNTIF('1.연간시수표'!AN53,$BI$9),COUNTIF('1.연간시수표'!AN53,$BI$7),COUNTIF('1.연간시수표'!AN53,$BJ$9),COUNTIF('1.연간시수표'!AN53,$BJ$7),COUNTIF('1.연간시수표'!AN53,$BK$9),COUNTIF('1.연간시수표'!AN53,$BK$7),COUNTIF('1.연간시수표'!AN53,$BL$9),COUNTIF('1.연간시수표'!AN53,$BL$7),COUNTIF('1.연간시수표'!AN53,$BM$9),COUNTIF('1.연간시수표'!AN53,$BM$7)),$BF$6,IF(OR(COUNTIF('1.연간시수표'!AN53,$BO$9),COUNTIF('1.연간시수표'!AN53,$BO$7)),$BO$6,IF(OR(COUNTIF('1.연간시수표'!AN53,$BP$9),COUNTIF('1.연간시수표'!AN53,$BP$7)),$BP$6,IF(OR(COUNTIF('1.연간시수표'!AN53,$BQ$9),COUNTIF('1.연간시수표'!AN53,$BQ$7)),$BQ$6,IF(OR(COUNTIF('1.연간시수표'!AN53,$BR$9),COUNTIF('1.연간시수표'!AN53,$BR$7)),$BR$6,"_")))))))))))))))</f>
        <v>_</v>
      </c>
      <c r="AO53" s="148" t="str">
        <f>IF(OR(COUNTIF('1.연간시수표'!AO53,$AT$9),COUNTIF('1.연간시수표'!AO53,$AT$7)),$AT$6,IF(OR(COUNTIF('1.연간시수표'!AO53,$AU$9),COUNTIF('1.연간시수표'!AO53,$AU$7)),$AU$6,IF(OR(COUNTIF('1.연간시수표'!AO53,$AV$9),COUNTIF('1.연간시수표'!AO53,$AV$7)),$AV$6,IF(OR(COUNTIF('1.연간시수표'!AO53,$AW$9),COUNTIF('1.연간시수표'!AO53,$AW$7)),$AW$6,IF(OR(COUNTIF('1.연간시수표'!AO53,$AX$9),COUNTIF('1.연간시수표'!AO53,$AX$7)),$AX$6,IF(OR(COUNTIF('1.연간시수표'!AO53,$AY$9),COUNTIF('1.연간시수표'!AO53,$AY$7)),$AY$6,IF(OR(COUNTIF('1.연간시수표'!AO53,$AZ$9),COUNTIF('1.연간시수표'!AO53,$AZ$7)),$AZ$6,IF(OR(COUNTIF('1.연간시수표'!AO53,$BA$9),COUNTIF('1.연간시수표'!AO53,$BA$7)),$BA$6,IF(OR(COUNTIF('1.연간시수표'!AO53,$BB$9),COUNTIF('1.연간시수표'!AO53,$BB$7)),$BB$6,IF(OR(COUNTIF('1.연간시수표'!AO53,$BC$9),COUNTIF('1.연간시수표'!AO53,$BC$7)),$BC$6,IF(OR(COUNTIF('1.연간시수표'!AO53,$BF$9),COUNTIF('1.연간시수표'!AO53,$BF$7),COUNTIF('1.연간시수표'!AO53,$BG$9),COUNTIF('1.연간시수표'!AO53,$BG$7),COUNTIF('1.연간시수표'!AO53,$BH$9),COUNTIF('1.연간시수표'!AO53,$BH$7),COUNTIF('1.연간시수표'!AO53,$BI$9),COUNTIF('1.연간시수표'!AO53,$BI$7),COUNTIF('1.연간시수표'!AO53,$BJ$9),COUNTIF('1.연간시수표'!AO53,$BJ$7),COUNTIF('1.연간시수표'!AO53,$BK$9),COUNTIF('1.연간시수표'!AO53,$BK$7),COUNTIF('1.연간시수표'!AO53,$BL$9),COUNTIF('1.연간시수표'!AO53,$BL$7),COUNTIF('1.연간시수표'!AO53,$BM$9),COUNTIF('1.연간시수표'!AO53,$BM$7)),$BF$6,IF(OR(COUNTIF('1.연간시수표'!AO53,$BO$9),COUNTIF('1.연간시수표'!AO53,$BO$7)),$BO$6,IF(OR(COUNTIF('1.연간시수표'!AO53,$BP$9),COUNTIF('1.연간시수표'!AO53,$BP$7)),$BP$6,IF(OR(COUNTIF('1.연간시수표'!AO53,$BQ$9),COUNTIF('1.연간시수표'!AO53,$BQ$7)),$BQ$6,IF(OR(COUNTIF('1.연간시수표'!AO53,$BR$9),COUNTIF('1.연간시수표'!AO53,$BR$7)),$BR$6,"_")))))))))))))))</f>
        <v>_</v>
      </c>
      <c r="AP53" s="148" t="str">
        <f>IF(OR(COUNTIF('1.연간시수표'!AP53,$AT$9),COUNTIF('1.연간시수표'!AP53,$AT$7)),$AT$6,IF(OR(COUNTIF('1.연간시수표'!AP53,$AU$9),COUNTIF('1.연간시수표'!AP53,$AU$7)),$AU$6,IF(OR(COUNTIF('1.연간시수표'!AP53,$AV$9),COUNTIF('1.연간시수표'!AP53,$AV$7)),$AV$6,IF(OR(COUNTIF('1.연간시수표'!AP53,$AW$9),COUNTIF('1.연간시수표'!AP53,$AW$7)),$AW$6,IF(OR(COUNTIF('1.연간시수표'!AP53,$AX$9),COUNTIF('1.연간시수표'!AP53,$AX$7)),$AX$6,IF(OR(COUNTIF('1.연간시수표'!AP53,$AY$9),COUNTIF('1.연간시수표'!AP53,$AY$7)),$AY$6,IF(OR(COUNTIF('1.연간시수표'!AP53,$AZ$9),COUNTIF('1.연간시수표'!AP53,$AZ$7)),$AZ$6,IF(OR(COUNTIF('1.연간시수표'!AP53,$BA$9),COUNTIF('1.연간시수표'!AP53,$BA$7)),$BA$6,IF(OR(COUNTIF('1.연간시수표'!AP53,$BB$9),COUNTIF('1.연간시수표'!AP53,$BB$7)),$BB$6,IF(OR(COUNTIF('1.연간시수표'!AP53,$BC$9),COUNTIF('1.연간시수표'!AP53,$BC$7)),$BC$6,IF(OR(COUNTIF('1.연간시수표'!AP53,$BF$9),COUNTIF('1.연간시수표'!AP53,$BF$7),COUNTIF('1.연간시수표'!AP53,$BG$9),COUNTIF('1.연간시수표'!AP53,$BG$7),COUNTIF('1.연간시수표'!AP53,$BH$9),COUNTIF('1.연간시수표'!AP53,$BH$7),COUNTIF('1.연간시수표'!AP53,$BI$9),COUNTIF('1.연간시수표'!AP53,$BI$7),COUNTIF('1.연간시수표'!AP53,$BJ$9),COUNTIF('1.연간시수표'!AP53,$BJ$7),COUNTIF('1.연간시수표'!AP53,$BK$9),COUNTIF('1.연간시수표'!AP53,$BK$7),COUNTIF('1.연간시수표'!AP53,$BL$9),COUNTIF('1.연간시수표'!AP53,$BL$7),COUNTIF('1.연간시수표'!AP53,$BM$9),COUNTIF('1.연간시수표'!AP53,$BM$7)),$BF$6,IF(OR(COUNTIF('1.연간시수표'!AP53,$BO$9),COUNTIF('1.연간시수표'!AP53,$BO$7)),$BO$6,IF(OR(COUNTIF('1.연간시수표'!AP53,$BP$9),COUNTIF('1.연간시수표'!AP53,$BP$7)),$BP$6,IF(OR(COUNTIF('1.연간시수표'!AP53,$BQ$9),COUNTIF('1.연간시수표'!AP53,$BQ$7)),$BQ$6,IF(OR(COUNTIF('1.연간시수표'!AP53,$BR$9),COUNTIF('1.연간시수표'!AP53,$BR$7)),$BR$6,"_")))))))))))))))</f>
        <v>_</v>
      </c>
      <c r="AQ53" s="148" t="str">
        <f>IF(OR(COUNTIF('1.연간시수표'!AQ53,$AT$9),COUNTIF('1.연간시수표'!AQ53,$AT$7)),$AT$6,IF(OR(COUNTIF('1.연간시수표'!AQ53,$AU$9),COUNTIF('1.연간시수표'!AQ53,$AU$7)),$AU$6,IF(OR(COUNTIF('1.연간시수표'!AQ53,$AV$9),COUNTIF('1.연간시수표'!AQ53,$AV$7)),$AV$6,IF(OR(COUNTIF('1.연간시수표'!AQ53,$AW$9),COUNTIF('1.연간시수표'!AQ53,$AW$7)),$AW$6,IF(OR(COUNTIF('1.연간시수표'!AQ53,$AX$9),COUNTIF('1.연간시수표'!AQ53,$AX$7)),$AX$6,IF(OR(COUNTIF('1.연간시수표'!AQ53,$AY$9),COUNTIF('1.연간시수표'!AQ53,$AY$7)),$AY$6,IF(OR(COUNTIF('1.연간시수표'!AQ53,$AZ$9),COUNTIF('1.연간시수표'!AQ53,$AZ$7)),$AZ$6,IF(OR(COUNTIF('1.연간시수표'!AQ53,$BA$9),COUNTIF('1.연간시수표'!AQ53,$BA$7)),$BA$6,IF(OR(COUNTIF('1.연간시수표'!AQ53,$BB$9),COUNTIF('1.연간시수표'!AQ53,$BB$7)),$BB$6,IF(OR(COUNTIF('1.연간시수표'!AQ53,$BC$9),COUNTIF('1.연간시수표'!AQ53,$BC$7)),$BC$6,IF(OR(COUNTIF('1.연간시수표'!AQ53,$BF$9),COUNTIF('1.연간시수표'!AQ53,$BF$7),COUNTIF('1.연간시수표'!AQ53,$BG$9),COUNTIF('1.연간시수표'!AQ53,$BG$7),COUNTIF('1.연간시수표'!AQ53,$BH$9),COUNTIF('1.연간시수표'!AQ53,$BH$7),COUNTIF('1.연간시수표'!AQ53,$BI$9),COUNTIF('1.연간시수표'!AQ53,$BI$7),COUNTIF('1.연간시수표'!AQ53,$BJ$9),COUNTIF('1.연간시수표'!AQ53,$BJ$7),COUNTIF('1.연간시수표'!AQ53,$BK$9),COUNTIF('1.연간시수표'!AQ53,$BK$7),COUNTIF('1.연간시수표'!AQ53,$BL$9),COUNTIF('1.연간시수표'!AQ53,$BL$7),COUNTIF('1.연간시수표'!AQ53,$BM$9),COUNTIF('1.연간시수표'!AQ53,$BM$7)),$BF$6,IF(OR(COUNTIF('1.연간시수표'!AQ53,$BO$9),COUNTIF('1.연간시수표'!AQ53,$BO$7)),$BO$6,IF(OR(COUNTIF('1.연간시수표'!AQ53,$BP$9),COUNTIF('1.연간시수표'!AQ53,$BP$7)),$BP$6,IF(OR(COUNTIF('1.연간시수표'!AQ53,$BQ$9),COUNTIF('1.연간시수표'!AQ53,$BQ$7)),$BQ$6,IF(OR(COUNTIF('1.연간시수표'!AQ53,$BR$9),COUNTIF('1.연간시수표'!AQ53,$BR$7)),$BR$6,"_")))))))))))))))</f>
        <v>_</v>
      </c>
      <c r="AR53" s="148" t="str">
        <f>IF(OR(COUNTIF('1.연간시수표'!AR53,$AT$9),COUNTIF('1.연간시수표'!AR53,$AT$7)),$AT$6,IF(OR(COUNTIF('1.연간시수표'!AR53,$AU$9),COUNTIF('1.연간시수표'!AR53,$AU$7)),$AU$6,IF(OR(COUNTIF('1.연간시수표'!AR53,$AV$9),COUNTIF('1.연간시수표'!AR53,$AV$7)),$AV$6,IF(OR(COUNTIF('1.연간시수표'!AR53,$AW$9),COUNTIF('1.연간시수표'!AR53,$AW$7)),$AW$6,IF(OR(COUNTIF('1.연간시수표'!AR53,$AX$9),COUNTIF('1.연간시수표'!AR53,$AX$7)),$AX$6,IF(OR(COUNTIF('1.연간시수표'!AR53,$AY$9),COUNTIF('1.연간시수표'!AR53,$AY$7)),$AY$6,IF(OR(COUNTIF('1.연간시수표'!AR53,$AZ$9),COUNTIF('1.연간시수표'!AR53,$AZ$7)),$AZ$6,IF(OR(COUNTIF('1.연간시수표'!AR53,$BA$9),COUNTIF('1.연간시수표'!AR53,$BA$7)),$BA$6,IF(OR(COUNTIF('1.연간시수표'!AR53,$BB$9),COUNTIF('1.연간시수표'!AR53,$BB$7)),$BB$6,IF(OR(COUNTIF('1.연간시수표'!AR53,$BC$9),COUNTIF('1.연간시수표'!AR53,$BC$7)),$BC$6,IF(OR(COUNTIF('1.연간시수표'!AR53,$BF$9),COUNTIF('1.연간시수표'!AR53,$BF$7),COUNTIF('1.연간시수표'!AR53,$BG$9),COUNTIF('1.연간시수표'!AR53,$BG$7),COUNTIF('1.연간시수표'!AR53,$BH$9),COUNTIF('1.연간시수표'!AR53,$BH$7),COUNTIF('1.연간시수표'!AR53,$BI$9),COUNTIF('1.연간시수표'!AR53,$BI$7),COUNTIF('1.연간시수표'!AR53,$BJ$9),COUNTIF('1.연간시수표'!AR53,$BJ$7),COUNTIF('1.연간시수표'!AR53,$BK$9),COUNTIF('1.연간시수표'!AR53,$BK$7),COUNTIF('1.연간시수표'!AR53,$BL$9),COUNTIF('1.연간시수표'!AR53,$BL$7),COUNTIF('1.연간시수표'!AR53,$BM$9),COUNTIF('1.연간시수표'!AR53,$BM$7)),$BF$6,IF(OR(COUNTIF('1.연간시수표'!AR53,$BO$9),COUNTIF('1.연간시수표'!AR53,$BO$7)),$BO$6,IF(OR(COUNTIF('1.연간시수표'!AR53,$BP$9),COUNTIF('1.연간시수표'!AR53,$BP$7)),$BP$6,IF(OR(COUNTIF('1.연간시수표'!AR53,$BQ$9),COUNTIF('1.연간시수표'!AR53,$BQ$7)),$BQ$6,IF(OR(COUNTIF('1.연간시수표'!AR53,$BR$9),COUNTIF('1.연간시수표'!AR53,$BR$7)),$BR$6,"_")))))))))))))))</f>
        <v>_</v>
      </c>
      <c r="BU53" s="32"/>
    </row>
    <row r="54" spans="2:73">
      <c r="B54" s="6"/>
      <c r="C54" s="79">
        <f>'1.연간시수표'!C54</f>
        <v>23</v>
      </c>
      <c r="D54" s="3"/>
      <c r="E54" s="148" t="str">
        <f>IF(OR(COUNTIF('1.연간시수표'!E54,$AT$9),COUNTIF('1.연간시수표'!E54,$AT$7)),$AT$6,IF(OR(COUNTIF('1.연간시수표'!E54,$AU$9),COUNTIF('1.연간시수표'!E54,$AU$7)),$AU$6,IF(OR(COUNTIF('1.연간시수표'!E54,$AV$9),COUNTIF('1.연간시수표'!E54,$AV$7)),$AV$6,IF(OR(COUNTIF('1.연간시수표'!E54,$AW$9),COUNTIF('1.연간시수표'!E54,$AW$7)),$AW$6,IF(OR(COUNTIF('1.연간시수표'!E54,$AX$9),COUNTIF('1.연간시수표'!E54,$AX$7)),$AX$6,IF(OR(COUNTIF('1.연간시수표'!E54,$AY$9),COUNTIF('1.연간시수표'!E54,$AY$7)),$AY$6,IF(OR(COUNTIF('1.연간시수표'!E54,$AZ$9),COUNTIF('1.연간시수표'!E54,$AZ$7)),$AZ$6,IF(OR(COUNTIF('1.연간시수표'!E54,$BA$9),COUNTIF('1.연간시수표'!E54,$BA$7)),$BA$6,IF(OR(COUNTIF('1.연간시수표'!E54,$BB$9),COUNTIF('1.연간시수표'!E54,$BB$7)),$BB$6,IF(OR(COUNTIF('1.연간시수표'!E54,$BC$9),COUNTIF('1.연간시수표'!E54,$BC$7)),$BC$6,IF(OR(COUNTIF('1.연간시수표'!E54,$BF$9),COUNTIF('1.연간시수표'!E54,$BF$7),COUNTIF('1.연간시수표'!E54,$BG$9),COUNTIF('1.연간시수표'!E54,$BG$7),COUNTIF('1.연간시수표'!E54,$BH$9),COUNTIF('1.연간시수표'!E54,$BH$7),COUNTIF('1.연간시수표'!E54,$BI$9),COUNTIF('1.연간시수표'!E54,$BI$7),COUNTIF('1.연간시수표'!E54,$BJ$9),COUNTIF('1.연간시수표'!E54,$BJ$7),COUNTIF('1.연간시수표'!E54,$BK$9),COUNTIF('1.연간시수표'!E54,$BK$7),COUNTIF('1.연간시수표'!E54,$BL$9),COUNTIF('1.연간시수표'!E54,$BL$7),COUNTIF('1.연간시수표'!E54,$BM$9),COUNTIF('1.연간시수표'!E54,$BM$7)),$BF$6,IF(OR(COUNTIF('1.연간시수표'!E54,$BO$9),COUNTIF('1.연간시수표'!E54,$BO$7)),$BO$6,IF(OR(COUNTIF('1.연간시수표'!E54,$BP$9),COUNTIF('1.연간시수표'!E54,$BP$7)),$BP$6,IF(OR(COUNTIF('1.연간시수표'!E54,$BQ$9),COUNTIF('1.연간시수표'!E54,$BQ$7)),$BQ$6,IF(OR(COUNTIF('1.연간시수표'!E54,$BR$9),COUNTIF('1.연간시수표'!E54,$BR$7)),$BR$6,"_")))))))))))))))</f>
        <v>_</v>
      </c>
      <c r="F54" s="148" t="str">
        <f>IF(OR(COUNTIF('1.연간시수표'!F54,$AT$9),COUNTIF('1.연간시수표'!F54,$AT$7)),$AT$6,IF(OR(COUNTIF('1.연간시수표'!F54,$AU$9),COUNTIF('1.연간시수표'!F54,$AU$7)),$AU$6,IF(OR(COUNTIF('1.연간시수표'!F54,$AV$9),COUNTIF('1.연간시수표'!F54,$AV$7)),$AV$6,IF(OR(COUNTIF('1.연간시수표'!F54,$AW$9),COUNTIF('1.연간시수표'!F54,$AW$7)),$AW$6,IF(OR(COUNTIF('1.연간시수표'!F54,$AX$9),COUNTIF('1.연간시수표'!F54,$AX$7)),$AX$6,IF(OR(COUNTIF('1.연간시수표'!F54,$AY$9),COUNTIF('1.연간시수표'!F54,$AY$7)),$AY$6,IF(OR(COUNTIF('1.연간시수표'!F54,$AZ$9),COUNTIF('1.연간시수표'!F54,$AZ$7)),$AZ$6,IF(OR(COUNTIF('1.연간시수표'!F54,$BA$9),COUNTIF('1.연간시수표'!F54,$BA$7)),$BA$6,IF(OR(COUNTIF('1.연간시수표'!F54,$BB$9),COUNTIF('1.연간시수표'!F54,$BB$7)),$BB$6,IF(OR(COUNTIF('1.연간시수표'!F54,$BC$9),COUNTIF('1.연간시수표'!F54,$BC$7)),$BC$6,IF(OR(COUNTIF('1.연간시수표'!F54,$BF$9),COUNTIF('1.연간시수표'!F54,$BF$7),COUNTIF('1.연간시수표'!F54,$BG$9),COUNTIF('1.연간시수표'!F54,$BG$7),COUNTIF('1.연간시수표'!F54,$BH$9),COUNTIF('1.연간시수표'!F54,$BH$7),COUNTIF('1.연간시수표'!F54,$BI$9),COUNTIF('1.연간시수표'!F54,$BI$7),COUNTIF('1.연간시수표'!F54,$BJ$9),COUNTIF('1.연간시수표'!F54,$BJ$7),COUNTIF('1.연간시수표'!F54,$BK$9),COUNTIF('1.연간시수표'!F54,$BK$7),COUNTIF('1.연간시수표'!F54,$BL$9),COUNTIF('1.연간시수표'!F54,$BL$7),COUNTIF('1.연간시수표'!F54,$BM$9),COUNTIF('1.연간시수표'!F54,$BM$7)),$BF$6,IF(OR(COUNTIF('1.연간시수표'!F54,$BO$9),COUNTIF('1.연간시수표'!F54,$BO$7)),$BO$6,IF(OR(COUNTIF('1.연간시수표'!F54,$BP$9),COUNTIF('1.연간시수표'!F54,$BP$7)),$BP$6,IF(OR(COUNTIF('1.연간시수표'!F54,$BQ$9),COUNTIF('1.연간시수표'!F54,$BQ$7)),$BQ$6,IF(OR(COUNTIF('1.연간시수표'!F54,$BR$9),COUNTIF('1.연간시수표'!F54,$BR$7)),$BR$6,"_")))))))))))))))</f>
        <v>_</v>
      </c>
      <c r="G54" s="148" t="str">
        <f>IF(OR(COUNTIF('1.연간시수표'!G54,$AT$9),COUNTIF('1.연간시수표'!G54,$AT$7)),$AT$6,IF(OR(COUNTIF('1.연간시수표'!G54,$AU$9),COUNTIF('1.연간시수표'!G54,$AU$7)),$AU$6,IF(OR(COUNTIF('1.연간시수표'!G54,$AV$9),COUNTIF('1.연간시수표'!G54,$AV$7)),$AV$6,IF(OR(COUNTIF('1.연간시수표'!G54,$AW$9),COUNTIF('1.연간시수표'!G54,$AW$7)),$AW$6,IF(OR(COUNTIF('1.연간시수표'!G54,$AX$9),COUNTIF('1.연간시수표'!G54,$AX$7)),$AX$6,IF(OR(COUNTIF('1.연간시수표'!G54,$AY$9),COUNTIF('1.연간시수표'!G54,$AY$7)),$AY$6,IF(OR(COUNTIF('1.연간시수표'!G54,$AZ$9),COUNTIF('1.연간시수표'!G54,$AZ$7)),$AZ$6,IF(OR(COUNTIF('1.연간시수표'!G54,$BA$9),COUNTIF('1.연간시수표'!G54,$BA$7)),$BA$6,IF(OR(COUNTIF('1.연간시수표'!G54,$BB$9),COUNTIF('1.연간시수표'!G54,$BB$7)),$BB$6,IF(OR(COUNTIF('1.연간시수표'!G54,$BC$9),COUNTIF('1.연간시수표'!G54,$BC$7)),$BC$6,IF(OR(COUNTIF('1.연간시수표'!G54,$BF$9),COUNTIF('1.연간시수표'!G54,$BF$7),COUNTIF('1.연간시수표'!G54,$BG$9),COUNTIF('1.연간시수표'!G54,$BG$7),COUNTIF('1.연간시수표'!G54,$BH$9),COUNTIF('1.연간시수표'!G54,$BH$7),COUNTIF('1.연간시수표'!G54,$BI$9),COUNTIF('1.연간시수표'!G54,$BI$7),COUNTIF('1.연간시수표'!G54,$BJ$9),COUNTIF('1.연간시수표'!G54,$BJ$7),COUNTIF('1.연간시수표'!G54,$BK$9),COUNTIF('1.연간시수표'!G54,$BK$7),COUNTIF('1.연간시수표'!G54,$BL$9),COUNTIF('1.연간시수표'!G54,$BL$7),COUNTIF('1.연간시수표'!G54,$BM$9),COUNTIF('1.연간시수표'!G54,$BM$7)),$BF$6,IF(OR(COUNTIF('1.연간시수표'!G54,$BO$9),COUNTIF('1.연간시수표'!G54,$BO$7)),$BO$6,IF(OR(COUNTIF('1.연간시수표'!G54,$BP$9),COUNTIF('1.연간시수표'!G54,$BP$7)),$BP$6,IF(OR(COUNTIF('1.연간시수표'!G54,$BQ$9),COUNTIF('1.연간시수표'!G54,$BQ$7)),$BQ$6,IF(OR(COUNTIF('1.연간시수표'!G54,$BR$9),COUNTIF('1.연간시수표'!G54,$BR$7)),$BR$6,"_")))))))))))))))</f>
        <v>_</v>
      </c>
      <c r="H54" s="148" t="str">
        <f>IF(OR(COUNTIF('1.연간시수표'!H54,$AT$9),COUNTIF('1.연간시수표'!H54,$AT$7)),$AT$6,IF(OR(COUNTIF('1.연간시수표'!H54,$AU$9),COUNTIF('1.연간시수표'!H54,$AU$7)),$AU$6,IF(OR(COUNTIF('1.연간시수표'!H54,$AV$9),COUNTIF('1.연간시수표'!H54,$AV$7)),$AV$6,IF(OR(COUNTIF('1.연간시수표'!H54,$AW$9),COUNTIF('1.연간시수표'!H54,$AW$7)),$AW$6,IF(OR(COUNTIF('1.연간시수표'!H54,$AX$9),COUNTIF('1.연간시수표'!H54,$AX$7)),$AX$6,IF(OR(COUNTIF('1.연간시수표'!H54,$AY$9),COUNTIF('1.연간시수표'!H54,$AY$7)),$AY$6,IF(OR(COUNTIF('1.연간시수표'!H54,$AZ$9),COUNTIF('1.연간시수표'!H54,$AZ$7)),$AZ$6,IF(OR(COUNTIF('1.연간시수표'!H54,$BA$9),COUNTIF('1.연간시수표'!H54,$BA$7)),$BA$6,IF(OR(COUNTIF('1.연간시수표'!H54,$BB$9),COUNTIF('1.연간시수표'!H54,$BB$7)),$BB$6,IF(OR(COUNTIF('1.연간시수표'!H54,$BC$9),COUNTIF('1.연간시수표'!H54,$BC$7)),$BC$6,IF(OR(COUNTIF('1.연간시수표'!H54,$BF$9),COUNTIF('1.연간시수표'!H54,$BF$7),COUNTIF('1.연간시수표'!H54,$BG$9),COUNTIF('1.연간시수표'!H54,$BG$7),COUNTIF('1.연간시수표'!H54,$BH$9),COUNTIF('1.연간시수표'!H54,$BH$7),COUNTIF('1.연간시수표'!H54,$BI$9),COUNTIF('1.연간시수표'!H54,$BI$7),COUNTIF('1.연간시수표'!H54,$BJ$9),COUNTIF('1.연간시수표'!H54,$BJ$7),COUNTIF('1.연간시수표'!H54,$BK$9),COUNTIF('1.연간시수표'!H54,$BK$7),COUNTIF('1.연간시수표'!H54,$BL$9),COUNTIF('1.연간시수표'!H54,$BL$7),COUNTIF('1.연간시수표'!H54,$BM$9),COUNTIF('1.연간시수표'!H54,$BM$7)),$BF$6,IF(OR(COUNTIF('1.연간시수표'!H54,$BO$9),COUNTIF('1.연간시수표'!H54,$BO$7)),$BO$6,IF(OR(COUNTIF('1.연간시수표'!H54,$BP$9),COUNTIF('1.연간시수표'!H54,$BP$7)),$BP$6,IF(OR(COUNTIF('1.연간시수표'!H54,$BQ$9),COUNTIF('1.연간시수표'!H54,$BQ$7)),$BQ$6,IF(OR(COUNTIF('1.연간시수표'!H54,$BR$9),COUNTIF('1.연간시수표'!H54,$BR$7)),$BR$6,"_")))))))))))))))</f>
        <v>_</v>
      </c>
      <c r="I54" s="148" t="str">
        <f>IF(OR(COUNTIF('1.연간시수표'!I54,$AT$9),COUNTIF('1.연간시수표'!I54,$AT$7)),$AT$6,IF(OR(COUNTIF('1.연간시수표'!I54,$AU$9),COUNTIF('1.연간시수표'!I54,$AU$7)),$AU$6,IF(OR(COUNTIF('1.연간시수표'!I54,$AV$9),COUNTIF('1.연간시수표'!I54,$AV$7)),$AV$6,IF(OR(COUNTIF('1.연간시수표'!I54,$AW$9),COUNTIF('1.연간시수표'!I54,$AW$7)),$AW$6,IF(OR(COUNTIF('1.연간시수표'!I54,$AX$9),COUNTIF('1.연간시수표'!I54,$AX$7)),$AX$6,IF(OR(COUNTIF('1.연간시수표'!I54,$AY$9),COUNTIF('1.연간시수표'!I54,$AY$7)),$AY$6,IF(OR(COUNTIF('1.연간시수표'!I54,$AZ$9),COUNTIF('1.연간시수표'!I54,$AZ$7)),$AZ$6,IF(OR(COUNTIF('1.연간시수표'!I54,$BA$9),COUNTIF('1.연간시수표'!I54,$BA$7)),$BA$6,IF(OR(COUNTIF('1.연간시수표'!I54,$BB$9),COUNTIF('1.연간시수표'!I54,$BB$7)),$BB$6,IF(OR(COUNTIF('1.연간시수표'!I54,$BC$9),COUNTIF('1.연간시수표'!I54,$BC$7)),$BC$6,IF(OR(COUNTIF('1.연간시수표'!I54,$BF$9),COUNTIF('1.연간시수표'!I54,$BF$7),COUNTIF('1.연간시수표'!I54,$BG$9),COUNTIF('1.연간시수표'!I54,$BG$7),COUNTIF('1.연간시수표'!I54,$BH$9),COUNTIF('1.연간시수표'!I54,$BH$7),COUNTIF('1.연간시수표'!I54,$BI$9),COUNTIF('1.연간시수표'!I54,$BI$7),COUNTIF('1.연간시수표'!I54,$BJ$9),COUNTIF('1.연간시수표'!I54,$BJ$7),COUNTIF('1.연간시수표'!I54,$BK$9),COUNTIF('1.연간시수표'!I54,$BK$7),COUNTIF('1.연간시수표'!I54,$BL$9),COUNTIF('1.연간시수표'!I54,$BL$7),COUNTIF('1.연간시수표'!I54,$BM$9),COUNTIF('1.연간시수표'!I54,$BM$7)),$BF$6,IF(OR(COUNTIF('1.연간시수표'!I54,$BO$9),COUNTIF('1.연간시수표'!I54,$BO$7)),$BO$6,IF(OR(COUNTIF('1.연간시수표'!I54,$BP$9),COUNTIF('1.연간시수표'!I54,$BP$7)),$BP$6,IF(OR(COUNTIF('1.연간시수표'!I54,$BQ$9),COUNTIF('1.연간시수표'!I54,$BQ$7)),$BQ$6,IF(OR(COUNTIF('1.연간시수표'!I54,$BR$9),COUNTIF('1.연간시수표'!I54,$BR$7)),$BR$6,"_")))))))))))))))</f>
        <v>_</v>
      </c>
      <c r="J54" s="148" t="str">
        <f>IF(OR(COUNTIF('1.연간시수표'!J54,$AT$9),COUNTIF('1.연간시수표'!J54,$AT$7)),$AT$6,IF(OR(COUNTIF('1.연간시수표'!J54,$AU$9),COUNTIF('1.연간시수표'!J54,$AU$7)),$AU$6,IF(OR(COUNTIF('1.연간시수표'!J54,$AV$9),COUNTIF('1.연간시수표'!J54,$AV$7)),$AV$6,IF(OR(COUNTIF('1.연간시수표'!J54,$AW$9),COUNTIF('1.연간시수표'!J54,$AW$7)),$AW$6,IF(OR(COUNTIF('1.연간시수표'!J54,$AX$9),COUNTIF('1.연간시수표'!J54,$AX$7)),$AX$6,IF(OR(COUNTIF('1.연간시수표'!J54,$AY$9),COUNTIF('1.연간시수표'!J54,$AY$7)),$AY$6,IF(OR(COUNTIF('1.연간시수표'!J54,$AZ$9),COUNTIF('1.연간시수표'!J54,$AZ$7)),$AZ$6,IF(OR(COUNTIF('1.연간시수표'!J54,$BA$9),COUNTIF('1.연간시수표'!J54,$BA$7)),$BA$6,IF(OR(COUNTIF('1.연간시수표'!J54,$BB$9),COUNTIF('1.연간시수표'!J54,$BB$7)),$BB$6,IF(OR(COUNTIF('1.연간시수표'!J54,$BC$9),COUNTIF('1.연간시수표'!J54,$BC$7)),$BC$6,IF(OR(COUNTIF('1.연간시수표'!J54,$BF$9),COUNTIF('1.연간시수표'!J54,$BF$7),COUNTIF('1.연간시수표'!J54,$BG$9),COUNTIF('1.연간시수표'!J54,$BG$7),COUNTIF('1.연간시수표'!J54,$BH$9),COUNTIF('1.연간시수표'!J54,$BH$7),COUNTIF('1.연간시수표'!J54,$BI$9),COUNTIF('1.연간시수표'!J54,$BI$7),COUNTIF('1.연간시수표'!J54,$BJ$9),COUNTIF('1.연간시수표'!J54,$BJ$7),COUNTIF('1.연간시수표'!J54,$BK$9),COUNTIF('1.연간시수표'!J54,$BK$7),COUNTIF('1.연간시수표'!J54,$BL$9),COUNTIF('1.연간시수표'!J54,$BL$7),COUNTIF('1.연간시수표'!J54,$BM$9),COUNTIF('1.연간시수표'!J54,$BM$7)),$BF$6,IF(OR(COUNTIF('1.연간시수표'!J54,$BO$9),COUNTIF('1.연간시수표'!J54,$BO$7)),$BO$6,IF(OR(COUNTIF('1.연간시수표'!J54,$BP$9),COUNTIF('1.연간시수표'!J54,$BP$7)),$BP$6,IF(OR(COUNTIF('1.연간시수표'!J54,$BQ$9),COUNTIF('1.연간시수표'!J54,$BQ$7)),$BQ$6,IF(OR(COUNTIF('1.연간시수표'!J54,$BR$9),COUNTIF('1.연간시수표'!J54,$BR$7)),$BR$6,"_")))))))))))))))</f>
        <v>_</v>
      </c>
      <c r="K54" s="148" t="str">
        <f>IF(OR(COUNTIF('1.연간시수표'!K54,$AT$9),COUNTIF('1.연간시수표'!K54,$AT$7)),$AT$6,IF(OR(COUNTIF('1.연간시수표'!K54,$AU$9),COUNTIF('1.연간시수표'!K54,$AU$7)),$AU$6,IF(OR(COUNTIF('1.연간시수표'!K54,$AV$9),COUNTIF('1.연간시수표'!K54,$AV$7)),$AV$6,IF(OR(COUNTIF('1.연간시수표'!K54,$AW$9),COUNTIF('1.연간시수표'!K54,$AW$7)),$AW$6,IF(OR(COUNTIF('1.연간시수표'!K54,$AX$9),COUNTIF('1.연간시수표'!K54,$AX$7)),$AX$6,IF(OR(COUNTIF('1.연간시수표'!K54,$AY$9),COUNTIF('1.연간시수표'!K54,$AY$7)),$AY$6,IF(OR(COUNTIF('1.연간시수표'!K54,$AZ$9),COUNTIF('1.연간시수표'!K54,$AZ$7)),$AZ$6,IF(OR(COUNTIF('1.연간시수표'!K54,$BA$9),COUNTIF('1.연간시수표'!K54,$BA$7)),$BA$6,IF(OR(COUNTIF('1.연간시수표'!K54,$BB$9),COUNTIF('1.연간시수표'!K54,$BB$7)),$BB$6,IF(OR(COUNTIF('1.연간시수표'!K54,$BC$9),COUNTIF('1.연간시수표'!K54,$BC$7)),$BC$6,IF(OR(COUNTIF('1.연간시수표'!K54,$BF$9),COUNTIF('1.연간시수표'!K54,$BF$7),COUNTIF('1.연간시수표'!K54,$BG$9),COUNTIF('1.연간시수표'!K54,$BG$7),COUNTIF('1.연간시수표'!K54,$BH$9),COUNTIF('1.연간시수표'!K54,$BH$7),COUNTIF('1.연간시수표'!K54,$BI$9),COUNTIF('1.연간시수표'!K54,$BI$7),COUNTIF('1.연간시수표'!K54,$BJ$9),COUNTIF('1.연간시수표'!K54,$BJ$7),COUNTIF('1.연간시수표'!K54,$BK$9),COUNTIF('1.연간시수표'!K54,$BK$7),COUNTIF('1.연간시수표'!K54,$BL$9),COUNTIF('1.연간시수표'!K54,$BL$7),COUNTIF('1.연간시수표'!K54,$BM$9),COUNTIF('1.연간시수표'!K54,$BM$7)),$BF$6,IF(OR(COUNTIF('1.연간시수표'!K54,$BO$9),COUNTIF('1.연간시수표'!K54,$BO$7)),$BO$6,IF(OR(COUNTIF('1.연간시수표'!K54,$BP$9),COUNTIF('1.연간시수표'!K54,$BP$7)),$BP$6,IF(OR(COUNTIF('1.연간시수표'!K54,$BQ$9),COUNTIF('1.연간시수표'!K54,$BQ$7)),$BQ$6,IF(OR(COUNTIF('1.연간시수표'!K54,$BR$9),COUNTIF('1.연간시수표'!K54,$BR$7)),$BR$6,"_")))))))))))))))</f>
        <v>_</v>
      </c>
      <c r="L54" s="148" t="str">
        <f>IF(OR(COUNTIF('1.연간시수표'!L54,$AT$9),COUNTIF('1.연간시수표'!L54,$AT$7)),$AT$6,IF(OR(COUNTIF('1.연간시수표'!L54,$AU$9),COUNTIF('1.연간시수표'!L54,$AU$7)),$AU$6,IF(OR(COUNTIF('1.연간시수표'!L54,$AV$9),COUNTIF('1.연간시수표'!L54,$AV$7)),$AV$6,IF(OR(COUNTIF('1.연간시수표'!L54,$AW$9),COUNTIF('1.연간시수표'!L54,$AW$7)),$AW$6,IF(OR(COUNTIF('1.연간시수표'!L54,$AX$9),COUNTIF('1.연간시수표'!L54,$AX$7)),$AX$6,IF(OR(COUNTIF('1.연간시수표'!L54,$AY$9),COUNTIF('1.연간시수표'!L54,$AY$7)),$AY$6,IF(OR(COUNTIF('1.연간시수표'!L54,$AZ$9),COUNTIF('1.연간시수표'!L54,$AZ$7)),$AZ$6,IF(OR(COUNTIF('1.연간시수표'!L54,$BA$9),COUNTIF('1.연간시수표'!L54,$BA$7)),$BA$6,IF(OR(COUNTIF('1.연간시수표'!L54,$BB$9),COUNTIF('1.연간시수표'!L54,$BB$7)),$BB$6,IF(OR(COUNTIF('1.연간시수표'!L54,$BC$9),COUNTIF('1.연간시수표'!L54,$BC$7)),$BC$6,IF(OR(COUNTIF('1.연간시수표'!L54,$BF$9),COUNTIF('1.연간시수표'!L54,$BF$7),COUNTIF('1.연간시수표'!L54,$BG$9),COUNTIF('1.연간시수표'!L54,$BG$7),COUNTIF('1.연간시수표'!L54,$BH$9),COUNTIF('1.연간시수표'!L54,$BH$7),COUNTIF('1.연간시수표'!L54,$BI$9),COUNTIF('1.연간시수표'!L54,$BI$7),COUNTIF('1.연간시수표'!L54,$BJ$9),COUNTIF('1.연간시수표'!L54,$BJ$7),COUNTIF('1.연간시수표'!L54,$BK$9),COUNTIF('1.연간시수표'!L54,$BK$7),COUNTIF('1.연간시수표'!L54,$BL$9),COUNTIF('1.연간시수표'!L54,$BL$7),COUNTIF('1.연간시수표'!L54,$BM$9),COUNTIF('1.연간시수표'!L54,$BM$7)),$BF$6,IF(OR(COUNTIF('1.연간시수표'!L54,$BO$9),COUNTIF('1.연간시수표'!L54,$BO$7)),$BO$6,IF(OR(COUNTIF('1.연간시수표'!L54,$BP$9),COUNTIF('1.연간시수표'!L54,$BP$7)),$BP$6,IF(OR(COUNTIF('1.연간시수표'!L54,$BQ$9),COUNTIF('1.연간시수표'!L54,$BQ$7)),$BQ$6,IF(OR(COUNTIF('1.연간시수표'!L54,$BR$9),COUNTIF('1.연간시수표'!L54,$BR$7)),$BR$6,"_")))))))))))))))</f>
        <v>_</v>
      </c>
      <c r="M54" s="148" t="str">
        <f>IF(OR(COUNTIF('1.연간시수표'!M54,$AT$9),COUNTIF('1.연간시수표'!M54,$AT$7)),$AT$6,IF(OR(COUNTIF('1.연간시수표'!M54,$AU$9),COUNTIF('1.연간시수표'!M54,$AU$7)),$AU$6,IF(OR(COUNTIF('1.연간시수표'!M54,$AV$9),COUNTIF('1.연간시수표'!M54,$AV$7)),$AV$6,IF(OR(COUNTIF('1.연간시수표'!M54,$AW$9),COUNTIF('1.연간시수표'!M54,$AW$7)),$AW$6,IF(OR(COUNTIF('1.연간시수표'!M54,$AX$9),COUNTIF('1.연간시수표'!M54,$AX$7)),$AX$6,IF(OR(COUNTIF('1.연간시수표'!M54,$AY$9),COUNTIF('1.연간시수표'!M54,$AY$7)),$AY$6,IF(OR(COUNTIF('1.연간시수표'!M54,$AZ$9),COUNTIF('1.연간시수표'!M54,$AZ$7)),$AZ$6,IF(OR(COUNTIF('1.연간시수표'!M54,$BA$9),COUNTIF('1.연간시수표'!M54,$BA$7)),$BA$6,IF(OR(COUNTIF('1.연간시수표'!M54,$BB$9),COUNTIF('1.연간시수표'!M54,$BB$7)),$BB$6,IF(OR(COUNTIF('1.연간시수표'!M54,$BC$9),COUNTIF('1.연간시수표'!M54,$BC$7)),$BC$6,IF(OR(COUNTIF('1.연간시수표'!M54,$BF$9),COUNTIF('1.연간시수표'!M54,$BF$7),COUNTIF('1.연간시수표'!M54,$BG$9),COUNTIF('1.연간시수표'!M54,$BG$7),COUNTIF('1.연간시수표'!M54,$BH$9),COUNTIF('1.연간시수표'!M54,$BH$7),COUNTIF('1.연간시수표'!M54,$BI$9),COUNTIF('1.연간시수표'!M54,$BI$7),COUNTIF('1.연간시수표'!M54,$BJ$9),COUNTIF('1.연간시수표'!M54,$BJ$7),COUNTIF('1.연간시수표'!M54,$BK$9),COUNTIF('1.연간시수표'!M54,$BK$7),COUNTIF('1.연간시수표'!M54,$BL$9),COUNTIF('1.연간시수표'!M54,$BL$7),COUNTIF('1.연간시수표'!M54,$BM$9),COUNTIF('1.연간시수표'!M54,$BM$7)),$BF$6,IF(OR(COUNTIF('1.연간시수표'!M54,$BO$9),COUNTIF('1.연간시수표'!M54,$BO$7)),$BO$6,IF(OR(COUNTIF('1.연간시수표'!M54,$BP$9),COUNTIF('1.연간시수표'!M54,$BP$7)),$BP$6,IF(OR(COUNTIF('1.연간시수표'!M54,$BQ$9),COUNTIF('1.연간시수표'!M54,$BQ$7)),$BQ$6,IF(OR(COUNTIF('1.연간시수표'!M54,$BR$9),COUNTIF('1.연간시수표'!M54,$BR$7)),$BR$6,"_")))))))))))))))</f>
        <v>국어</v>
      </c>
      <c r="N54" s="148" t="str">
        <f>IF(OR(COUNTIF('1.연간시수표'!N54,$AT$9),COUNTIF('1.연간시수표'!N54,$AT$7)),$AT$6,IF(OR(COUNTIF('1.연간시수표'!N54,$AU$9),COUNTIF('1.연간시수표'!N54,$AU$7)),$AU$6,IF(OR(COUNTIF('1.연간시수표'!N54,$AV$9),COUNTIF('1.연간시수표'!N54,$AV$7)),$AV$6,IF(OR(COUNTIF('1.연간시수표'!N54,$AW$9),COUNTIF('1.연간시수표'!N54,$AW$7)),$AW$6,IF(OR(COUNTIF('1.연간시수표'!N54,$AX$9),COUNTIF('1.연간시수표'!N54,$AX$7)),$AX$6,IF(OR(COUNTIF('1.연간시수표'!N54,$AY$9),COUNTIF('1.연간시수표'!N54,$AY$7)),$AY$6,IF(OR(COUNTIF('1.연간시수표'!N54,$AZ$9),COUNTIF('1.연간시수표'!N54,$AZ$7)),$AZ$6,IF(OR(COUNTIF('1.연간시수표'!N54,$BA$9),COUNTIF('1.연간시수표'!N54,$BA$7)),$BA$6,IF(OR(COUNTIF('1.연간시수표'!N54,$BB$9),COUNTIF('1.연간시수표'!N54,$BB$7)),$BB$6,IF(OR(COUNTIF('1.연간시수표'!N54,$BC$9),COUNTIF('1.연간시수표'!N54,$BC$7)),$BC$6,IF(OR(COUNTIF('1.연간시수표'!N54,$BF$9),COUNTIF('1.연간시수표'!N54,$BF$7),COUNTIF('1.연간시수표'!N54,$BG$9),COUNTIF('1.연간시수표'!N54,$BG$7),COUNTIF('1.연간시수표'!N54,$BH$9),COUNTIF('1.연간시수표'!N54,$BH$7),COUNTIF('1.연간시수표'!N54,$BI$9),COUNTIF('1.연간시수표'!N54,$BI$7),COUNTIF('1.연간시수표'!N54,$BJ$9),COUNTIF('1.연간시수표'!N54,$BJ$7),COUNTIF('1.연간시수표'!N54,$BK$9),COUNTIF('1.연간시수표'!N54,$BK$7),COUNTIF('1.연간시수표'!N54,$BL$9),COUNTIF('1.연간시수표'!N54,$BL$7),COUNTIF('1.연간시수표'!N54,$BM$9),COUNTIF('1.연간시수표'!N54,$BM$7)),$BF$6,IF(OR(COUNTIF('1.연간시수표'!N54,$BO$9),COUNTIF('1.연간시수표'!N54,$BO$7)),$BO$6,IF(OR(COUNTIF('1.연간시수표'!N54,$BP$9),COUNTIF('1.연간시수표'!N54,$BP$7)),$BP$6,IF(OR(COUNTIF('1.연간시수표'!N54,$BQ$9),COUNTIF('1.연간시수표'!N54,$BQ$7)),$BQ$6,IF(OR(COUNTIF('1.연간시수표'!N54,$BR$9),COUNTIF('1.연간시수표'!N54,$BR$7)),$BR$6,"_")))))))))))))))</f>
        <v>국어</v>
      </c>
      <c r="O54" s="148" t="str">
        <f>IF(OR(COUNTIF('1.연간시수표'!O54,$AT$9),COUNTIF('1.연간시수표'!O54,$AT$7)),$AT$6,IF(OR(COUNTIF('1.연간시수표'!O54,$AU$9),COUNTIF('1.연간시수표'!O54,$AU$7)),$AU$6,IF(OR(COUNTIF('1.연간시수표'!O54,$AV$9),COUNTIF('1.연간시수표'!O54,$AV$7)),$AV$6,IF(OR(COUNTIF('1.연간시수표'!O54,$AW$9),COUNTIF('1.연간시수표'!O54,$AW$7)),$AW$6,IF(OR(COUNTIF('1.연간시수표'!O54,$AX$9),COUNTIF('1.연간시수표'!O54,$AX$7)),$AX$6,IF(OR(COUNTIF('1.연간시수표'!O54,$AY$9),COUNTIF('1.연간시수표'!O54,$AY$7)),$AY$6,IF(OR(COUNTIF('1.연간시수표'!O54,$AZ$9),COUNTIF('1.연간시수표'!O54,$AZ$7)),$AZ$6,IF(OR(COUNTIF('1.연간시수표'!O54,$BA$9),COUNTIF('1.연간시수표'!O54,$BA$7)),$BA$6,IF(OR(COUNTIF('1.연간시수표'!O54,$BB$9),COUNTIF('1.연간시수표'!O54,$BB$7)),$BB$6,IF(OR(COUNTIF('1.연간시수표'!O54,$BC$9),COUNTIF('1.연간시수표'!O54,$BC$7)),$BC$6,IF(OR(COUNTIF('1.연간시수표'!O54,$BF$9),COUNTIF('1.연간시수표'!O54,$BF$7),COUNTIF('1.연간시수표'!O54,$BG$9),COUNTIF('1.연간시수표'!O54,$BG$7),COUNTIF('1.연간시수표'!O54,$BH$9),COUNTIF('1.연간시수표'!O54,$BH$7),COUNTIF('1.연간시수표'!O54,$BI$9),COUNTIF('1.연간시수표'!O54,$BI$7),COUNTIF('1.연간시수표'!O54,$BJ$9),COUNTIF('1.연간시수표'!O54,$BJ$7),COUNTIF('1.연간시수표'!O54,$BK$9),COUNTIF('1.연간시수표'!O54,$BK$7),COUNTIF('1.연간시수표'!O54,$BL$9),COUNTIF('1.연간시수표'!O54,$BL$7),COUNTIF('1.연간시수표'!O54,$BM$9),COUNTIF('1.연간시수표'!O54,$BM$7)),$BF$6,IF(OR(COUNTIF('1.연간시수표'!O54,$BO$9),COUNTIF('1.연간시수표'!O54,$BO$7)),$BO$6,IF(OR(COUNTIF('1.연간시수표'!O54,$BP$9),COUNTIF('1.연간시수표'!O54,$BP$7)),$BP$6,IF(OR(COUNTIF('1.연간시수표'!O54,$BQ$9),COUNTIF('1.연간시수표'!O54,$BQ$7)),$BQ$6,IF(OR(COUNTIF('1.연간시수표'!O54,$BR$9),COUNTIF('1.연간시수표'!O54,$BR$7)),$BR$6,"_")))))))))))))))</f>
        <v>사회</v>
      </c>
      <c r="P54" s="148" t="str">
        <f>IF(OR(COUNTIF('1.연간시수표'!P54,$AT$9),COUNTIF('1.연간시수표'!P54,$AT$7)),$AT$6,IF(OR(COUNTIF('1.연간시수표'!P54,$AU$9),COUNTIF('1.연간시수표'!P54,$AU$7)),$AU$6,IF(OR(COUNTIF('1.연간시수표'!P54,$AV$9),COUNTIF('1.연간시수표'!P54,$AV$7)),$AV$6,IF(OR(COUNTIF('1.연간시수표'!P54,$AW$9),COUNTIF('1.연간시수표'!P54,$AW$7)),$AW$6,IF(OR(COUNTIF('1.연간시수표'!P54,$AX$9),COUNTIF('1.연간시수표'!P54,$AX$7)),$AX$6,IF(OR(COUNTIF('1.연간시수표'!P54,$AY$9),COUNTIF('1.연간시수표'!P54,$AY$7)),$AY$6,IF(OR(COUNTIF('1.연간시수표'!P54,$AZ$9),COUNTIF('1.연간시수표'!P54,$AZ$7)),$AZ$6,IF(OR(COUNTIF('1.연간시수표'!P54,$BA$9),COUNTIF('1.연간시수표'!P54,$BA$7)),$BA$6,IF(OR(COUNTIF('1.연간시수표'!P54,$BB$9),COUNTIF('1.연간시수표'!P54,$BB$7)),$BB$6,IF(OR(COUNTIF('1.연간시수표'!P54,$BC$9),COUNTIF('1.연간시수표'!P54,$BC$7)),$BC$6,IF(OR(COUNTIF('1.연간시수표'!P54,$BF$9),COUNTIF('1.연간시수표'!P54,$BF$7),COUNTIF('1.연간시수표'!P54,$BG$9),COUNTIF('1.연간시수표'!P54,$BG$7),COUNTIF('1.연간시수표'!P54,$BH$9),COUNTIF('1.연간시수표'!P54,$BH$7),COUNTIF('1.연간시수표'!P54,$BI$9),COUNTIF('1.연간시수표'!P54,$BI$7),COUNTIF('1.연간시수표'!P54,$BJ$9),COUNTIF('1.연간시수표'!P54,$BJ$7),COUNTIF('1.연간시수표'!P54,$BK$9),COUNTIF('1.연간시수표'!P54,$BK$7),COUNTIF('1.연간시수표'!P54,$BL$9),COUNTIF('1.연간시수표'!P54,$BL$7),COUNTIF('1.연간시수표'!P54,$BM$9),COUNTIF('1.연간시수표'!P54,$BM$7)),$BF$6,IF(OR(COUNTIF('1.연간시수표'!P54,$BO$9),COUNTIF('1.연간시수표'!P54,$BO$7)),$BO$6,IF(OR(COUNTIF('1.연간시수표'!P54,$BP$9),COUNTIF('1.연간시수표'!P54,$BP$7)),$BP$6,IF(OR(COUNTIF('1.연간시수표'!P54,$BQ$9),COUNTIF('1.연간시수표'!P54,$BQ$7)),$BQ$6,IF(OR(COUNTIF('1.연간시수표'!P54,$BR$9),COUNTIF('1.연간시수표'!P54,$BR$7)),$BR$6,"_")))))))))))))))</f>
        <v>수학</v>
      </c>
      <c r="Q54" s="148" t="str">
        <f>IF(OR(COUNTIF('1.연간시수표'!Q54,$AT$9),COUNTIF('1.연간시수표'!Q54,$AT$7)),$AT$6,IF(OR(COUNTIF('1.연간시수표'!Q54,$AU$9),COUNTIF('1.연간시수표'!Q54,$AU$7)),$AU$6,IF(OR(COUNTIF('1.연간시수표'!Q54,$AV$9),COUNTIF('1.연간시수표'!Q54,$AV$7)),$AV$6,IF(OR(COUNTIF('1.연간시수표'!Q54,$AW$9),COUNTIF('1.연간시수표'!Q54,$AW$7)),$AW$6,IF(OR(COUNTIF('1.연간시수표'!Q54,$AX$9),COUNTIF('1.연간시수표'!Q54,$AX$7)),$AX$6,IF(OR(COUNTIF('1.연간시수표'!Q54,$AY$9),COUNTIF('1.연간시수표'!Q54,$AY$7)),$AY$6,IF(OR(COUNTIF('1.연간시수표'!Q54,$AZ$9),COUNTIF('1.연간시수표'!Q54,$AZ$7)),$AZ$6,IF(OR(COUNTIF('1.연간시수표'!Q54,$BA$9),COUNTIF('1.연간시수표'!Q54,$BA$7)),$BA$6,IF(OR(COUNTIF('1.연간시수표'!Q54,$BB$9),COUNTIF('1.연간시수표'!Q54,$BB$7)),$BB$6,IF(OR(COUNTIF('1.연간시수표'!Q54,$BC$9),COUNTIF('1.연간시수표'!Q54,$BC$7)),$BC$6,IF(OR(COUNTIF('1.연간시수표'!Q54,$BF$9),COUNTIF('1.연간시수표'!Q54,$BF$7),COUNTIF('1.연간시수표'!Q54,$BG$9),COUNTIF('1.연간시수표'!Q54,$BG$7),COUNTIF('1.연간시수표'!Q54,$BH$9),COUNTIF('1.연간시수표'!Q54,$BH$7),COUNTIF('1.연간시수표'!Q54,$BI$9),COUNTIF('1.연간시수표'!Q54,$BI$7),COUNTIF('1.연간시수표'!Q54,$BJ$9),COUNTIF('1.연간시수표'!Q54,$BJ$7),COUNTIF('1.연간시수표'!Q54,$BK$9),COUNTIF('1.연간시수표'!Q54,$BK$7),COUNTIF('1.연간시수표'!Q54,$BL$9),COUNTIF('1.연간시수표'!Q54,$BL$7),COUNTIF('1.연간시수표'!Q54,$BM$9),COUNTIF('1.연간시수표'!Q54,$BM$7)),$BF$6,IF(OR(COUNTIF('1.연간시수표'!Q54,$BO$9),COUNTIF('1.연간시수표'!Q54,$BO$7)),$BO$6,IF(OR(COUNTIF('1.연간시수표'!Q54,$BP$9),COUNTIF('1.연간시수표'!Q54,$BP$7)),$BP$6,IF(OR(COUNTIF('1.연간시수표'!Q54,$BQ$9),COUNTIF('1.연간시수표'!Q54,$BQ$7)),$BQ$6,IF(OR(COUNTIF('1.연간시수표'!Q54,$BR$9),COUNTIF('1.연간시수표'!Q54,$BR$7)),$BR$6,"_")))))))))))))))</f>
        <v>과학</v>
      </c>
      <c r="R54" s="148" t="str">
        <f>IF(OR(COUNTIF('1.연간시수표'!R54,$AT$9),COUNTIF('1.연간시수표'!R54,$AT$7)),$AT$6,IF(OR(COUNTIF('1.연간시수표'!R54,$AU$9),COUNTIF('1.연간시수표'!R54,$AU$7)),$AU$6,IF(OR(COUNTIF('1.연간시수표'!R54,$AV$9),COUNTIF('1.연간시수표'!R54,$AV$7)),$AV$6,IF(OR(COUNTIF('1.연간시수표'!R54,$AW$9),COUNTIF('1.연간시수표'!R54,$AW$7)),$AW$6,IF(OR(COUNTIF('1.연간시수표'!R54,$AX$9),COUNTIF('1.연간시수표'!R54,$AX$7)),$AX$6,IF(OR(COUNTIF('1.연간시수표'!R54,$AY$9),COUNTIF('1.연간시수표'!R54,$AY$7)),$AY$6,IF(OR(COUNTIF('1.연간시수표'!R54,$AZ$9),COUNTIF('1.연간시수표'!R54,$AZ$7)),$AZ$6,IF(OR(COUNTIF('1.연간시수표'!R54,$BA$9),COUNTIF('1.연간시수표'!R54,$BA$7)),$BA$6,IF(OR(COUNTIF('1.연간시수표'!R54,$BB$9),COUNTIF('1.연간시수표'!R54,$BB$7)),$BB$6,IF(OR(COUNTIF('1.연간시수표'!R54,$BC$9),COUNTIF('1.연간시수표'!R54,$BC$7)),$BC$6,IF(OR(COUNTIF('1.연간시수표'!R54,$BF$9),COUNTIF('1.연간시수표'!R54,$BF$7),COUNTIF('1.연간시수표'!R54,$BG$9),COUNTIF('1.연간시수표'!R54,$BG$7),COUNTIF('1.연간시수표'!R54,$BH$9),COUNTIF('1.연간시수표'!R54,$BH$7),COUNTIF('1.연간시수표'!R54,$BI$9),COUNTIF('1.연간시수표'!R54,$BI$7),COUNTIF('1.연간시수표'!R54,$BJ$9),COUNTIF('1.연간시수표'!R54,$BJ$7),COUNTIF('1.연간시수표'!R54,$BK$9),COUNTIF('1.연간시수표'!R54,$BK$7),COUNTIF('1.연간시수표'!R54,$BL$9),COUNTIF('1.연간시수표'!R54,$BL$7),COUNTIF('1.연간시수표'!R54,$BM$9),COUNTIF('1.연간시수표'!R54,$BM$7)),$BF$6,IF(OR(COUNTIF('1.연간시수표'!R54,$BO$9),COUNTIF('1.연간시수표'!R54,$BO$7)),$BO$6,IF(OR(COUNTIF('1.연간시수표'!R54,$BP$9),COUNTIF('1.연간시수표'!R54,$BP$7)),$BP$6,IF(OR(COUNTIF('1.연간시수표'!R54,$BQ$9),COUNTIF('1.연간시수표'!R54,$BQ$7)),$BQ$6,IF(OR(COUNTIF('1.연간시수표'!R54,$BR$9),COUNTIF('1.연간시수표'!R54,$BR$7)),$BR$6,"_")))))))))))))))</f>
        <v>실과</v>
      </c>
      <c r="S54" s="148" t="str">
        <f>IF(OR(COUNTIF('1.연간시수표'!S54,$AT$9),COUNTIF('1.연간시수표'!S54,$AT$7)),$AT$6,IF(OR(COUNTIF('1.연간시수표'!S54,$AU$9),COUNTIF('1.연간시수표'!S54,$AU$7)),$AU$6,IF(OR(COUNTIF('1.연간시수표'!S54,$AV$9),COUNTIF('1.연간시수표'!S54,$AV$7)),$AV$6,IF(OR(COUNTIF('1.연간시수표'!S54,$AW$9),COUNTIF('1.연간시수표'!S54,$AW$7)),$AW$6,IF(OR(COUNTIF('1.연간시수표'!S54,$AX$9),COUNTIF('1.연간시수표'!S54,$AX$7)),$AX$6,IF(OR(COUNTIF('1.연간시수표'!S54,$AY$9),COUNTIF('1.연간시수표'!S54,$AY$7)),$AY$6,IF(OR(COUNTIF('1.연간시수표'!S54,$AZ$9),COUNTIF('1.연간시수표'!S54,$AZ$7)),$AZ$6,IF(OR(COUNTIF('1.연간시수표'!S54,$BA$9),COUNTIF('1.연간시수표'!S54,$BA$7)),$BA$6,IF(OR(COUNTIF('1.연간시수표'!S54,$BB$9),COUNTIF('1.연간시수표'!S54,$BB$7)),$BB$6,IF(OR(COUNTIF('1.연간시수표'!S54,$BC$9),COUNTIF('1.연간시수표'!S54,$BC$7)),$BC$6,IF(OR(COUNTIF('1.연간시수표'!S54,$BF$9),COUNTIF('1.연간시수표'!S54,$BF$7),COUNTIF('1.연간시수표'!S54,$BG$9),COUNTIF('1.연간시수표'!S54,$BG$7),COUNTIF('1.연간시수표'!S54,$BH$9),COUNTIF('1.연간시수표'!S54,$BH$7),COUNTIF('1.연간시수표'!S54,$BI$9),COUNTIF('1.연간시수표'!S54,$BI$7),COUNTIF('1.연간시수표'!S54,$BJ$9),COUNTIF('1.연간시수표'!S54,$BJ$7),COUNTIF('1.연간시수표'!S54,$BK$9),COUNTIF('1.연간시수표'!S54,$BK$7),COUNTIF('1.연간시수표'!S54,$BL$9),COUNTIF('1.연간시수표'!S54,$BL$7),COUNTIF('1.연간시수표'!S54,$BM$9),COUNTIF('1.연간시수표'!S54,$BM$7)),$BF$6,IF(OR(COUNTIF('1.연간시수표'!S54,$BO$9),COUNTIF('1.연간시수표'!S54,$BO$7)),$BO$6,IF(OR(COUNTIF('1.연간시수표'!S54,$BP$9),COUNTIF('1.연간시수표'!S54,$BP$7)),$BP$6,IF(OR(COUNTIF('1.연간시수표'!S54,$BQ$9),COUNTIF('1.연간시수표'!S54,$BQ$7)),$BQ$6,IF(OR(COUNTIF('1.연간시수표'!S54,$BR$9),COUNTIF('1.연간시수표'!S54,$BR$7)),$BR$6,"_")))))))))))))))</f>
        <v>_</v>
      </c>
      <c r="T54" s="148" t="str">
        <f>IF(OR(COUNTIF('1.연간시수표'!T54,$AT$9),COUNTIF('1.연간시수표'!T54,$AT$7)),$AT$6,IF(OR(COUNTIF('1.연간시수표'!T54,$AU$9),COUNTIF('1.연간시수표'!T54,$AU$7)),$AU$6,IF(OR(COUNTIF('1.연간시수표'!T54,$AV$9),COUNTIF('1.연간시수표'!T54,$AV$7)),$AV$6,IF(OR(COUNTIF('1.연간시수표'!T54,$AW$9),COUNTIF('1.연간시수표'!T54,$AW$7)),$AW$6,IF(OR(COUNTIF('1.연간시수표'!T54,$AX$9),COUNTIF('1.연간시수표'!T54,$AX$7)),$AX$6,IF(OR(COUNTIF('1.연간시수표'!T54,$AY$9),COUNTIF('1.연간시수표'!T54,$AY$7)),$AY$6,IF(OR(COUNTIF('1.연간시수표'!T54,$AZ$9),COUNTIF('1.연간시수표'!T54,$AZ$7)),$AZ$6,IF(OR(COUNTIF('1.연간시수표'!T54,$BA$9),COUNTIF('1.연간시수표'!T54,$BA$7)),$BA$6,IF(OR(COUNTIF('1.연간시수표'!T54,$BB$9),COUNTIF('1.연간시수표'!T54,$BB$7)),$BB$6,IF(OR(COUNTIF('1.연간시수표'!T54,$BC$9),COUNTIF('1.연간시수표'!T54,$BC$7)),$BC$6,IF(OR(COUNTIF('1.연간시수표'!T54,$BF$9),COUNTIF('1.연간시수표'!T54,$BF$7),COUNTIF('1.연간시수표'!T54,$BG$9),COUNTIF('1.연간시수표'!T54,$BG$7),COUNTIF('1.연간시수표'!T54,$BH$9),COUNTIF('1.연간시수표'!T54,$BH$7),COUNTIF('1.연간시수표'!T54,$BI$9),COUNTIF('1.연간시수표'!T54,$BI$7),COUNTIF('1.연간시수표'!T54,$BJ$9),COUNTIF('1.연간시수표'!T54,$BJ$7),COUNTIF('1.연간시수표'!T54,$BK$9),COUNTIF('1.연간시수표'!T54,$BK$7),COUNTIF('1.연간시수표'!T54,$BL$9),COUNTIF('1.연간시수표'!T54,$BL$7),COUNTIF('1.연간시수표'!T54,$BM$9),COUNTIF('1.연간시수표'!T54,$BM$7)),$BF$6,IF(OR(COUNTIF('1.연간시수표'!T54,$BO$9),COUNTIF('1.연간시수표'!T54,$BO$7)),$BO$6,IF(OR(COUNTIF('1.연간시수표'!T54,$BP$9),COUNTIF('1.연간시수표'!T54,$BP$7)),$BP$6,IF(OR(COUNTIF('1.연간시수표'!T54,$BQ$9),COUNTIF('1.연간시수표'!T54,$BQ$7)),$BQ$6,IF(OR(COUNTIF('1.연간시수표'!T54,$BR$9),COUNTIF('1.연간시수표'!T54,$BR$7)),$BR$6,"_")))))))))))))))</f>
        <v>_</v>
      </c>
      <c r="U54" s="148" t="str">
        <f>IF(OR(COUNTIF('1.연간시수표'!U54,$AT$9),COUNTIF('1.연간시수표'!U54,$AT$7)),$AT$6,IF(OR(COUNTIF('1.연간시수표'!U54,$AU$9),COUNTIF('1.연간시수표'!U54,$AU$7)),$AU$6,IF(OR(COUNTIF('1.연간시수표'!U54,$AV$9),COUNTIF('1.연간시수표'!U54,$AV$7)),$AV$6,IF(OR(COUNTIF('1.연간시수표'!U54,$AW$9),COUNTIF('1.연간시수표'!U54,$AW$7)),$AW$6,IF(OR(COUNTIF('1.연간시수표'!U54,$AX$9),COUNTIF('1.연간시수표'!U54,$AX$7)),$AX$6,IF(OR(COUNTIF('1.연간시수표'!U54,$AY$9),COUNTIF('1.연간시수표'!U54,$AY$7)),$AY$6,IF(OR(COUNTIF('1.연간시수표'!U54,$AZ$9),COUNTIF('1.연간시수표'!U54,$AZ$7)),$AZ$6,IF(OR(COUNTIF('1.연간시수표'!U54,$BA$9),COUNTIF('1.연간시수표'!U54,$BA$7)),$BA$6,IF(OR(COUNTIF('1.연간시수표'!U54,$BB$9),COUNTIF('1.연간시수표'!U54,$BB$7)),$BB$6,IF(OR(COUNTIF('1.연간시수표'!U54,$BC$9),COUNTIF('1.연간시수표'!U54,$BC$7)),$BC$6,IF(OR(COUNTIF('1.연간시수표'!U54,$BF$9),COUNTIF('1.연간시수표'!U54,$BF$7),COUNTIF('1.연간시수표'!U54,$BG$9),COUNTIF('1.연간시수표'!U54,$BG$7),COUNTIF('1.연간시수표'!U54,$BH$9),COUNTIF('1.연간시수표'!U54,$BH$7),COUNTIF('1.연간시수표'!U54,$BI$9),COUNTIF('1.연간시수표'!U54,$BI$7),COUNTIF('1.연간시수표'!U54,$BJ$9),COUNTIF('1.연간시수표'!U54,$BJ$7),COUNTIF('1.연간시수표'!U54,$BK$9),COUNTIF('1.연간시수표'!U54,$BK$7),COUNTIF('1.연간시수표'!U54,$BL$9),COUNTIF('1.연간시수표'!U54,$BL$7),COUNTIF('1.연간시수표'!U54,$BM$9),COUNTIF('1.연간시수표'!U54,$BM$7)),$BF$6,IF(OR(COUNTIF('1.연간시수표'!U54,$BO$9),COUNTIF('1.연간시수표'!U54,$BO$7)),$BO$6,IF(OR(COUNTIF('1.연간시수표'!U54,$BP$9),COUNTIF('1.연간시수표'!U54,$BP$7)),$BP$6,IF(OR(COUNTIF('1.연간시수표'!U54,$BQ$9),COUNTIF('1.연간시수표'!U54,$BQ$7)),$BQ$6,IF(OR(COUNTIF('1.연간시수표'!U54,$BR$9),COUNTIF('1.연간시수표'!U54,$BR$7)),$BR$6,"_")))))))))))))))</f>
        <v>영어</v>
      </c>
      <c r="V54" s="148" t="str">
        <f>IF(OR(COUNTIF('1.연간시수표'!V54,$AT$9),COUNTIF('1.연간시수표'!V54,$AT$7)),$AT$6,IF(OR(COUNTIF('1.연간시수표'!V54,$AU$9),COUNTIF('1.연간시수표'!V54,$AU$7)),$AU$6,IF(OR(COUNTIF('1.연간시수표'!V54,$AV$9),COUNTIF('1.연간시수표'!V54,$AV$7)),$AV$6,IF(OR(COUNTIF('1.연간시수표'!V54,$AW$9),COUNTIF('1.연간시수표'!V54,$AW$7)),$AW$6,IF(OR(COUNTIF('1.연간시수표'!V54,$AX$9),COUNTIF('1.연간시수표'!V54,$AX$7)),$AX$6,IF(OR(COUNTIF('1.연간시수표'!V54,$AY$9),COUNTIF('1.연간시수표'!V54,$AY$7)),$AY$6,IF(OR(COUNTIF('1.연간시수표'!V54,$AZ$9),COUNTIF('1.연간시수표'!V54,$AZ$7)),$AZ$6,IF(OR(COUNTIF('1.연간시수표'!V54,$BA$9),COUNTIF('1.연간시수표'!V54,$BA$7)),$BA$6,IF(OR(COUNTIF('1.연간시수표'!V54,$BB$9),COUNTIF('1.연간시수표'!V54,$BB$7)),$BB$6,IF(OR(COUNTIF('1.연간시수표'!V54,$BC$9),COUNTIF('1.연간시수표'!V54,$BC$7)),$BC$6,IF(OR(COUNTIF('1.연간시수표'!V54,$BF$9),COUNTIF('1.연간시수표'!V54,$BF$7),COUNTIF('1.연간시수표'!V54,$BG$9),COUNTIF('1.연간시수표'!V54,$BG$7),COUNTIF('1.연간시수표'!V54,$BH$9),COUNTIF('1.연간시수표'!V54,$BH$7),COUNTIF('1.연간시수표'!V54,$BI$9),COUNTIF('1.연간시수표'!V54,$BI$7),COUNTIF('1.연간시수표'!V54,$BJ$9),COUNTIF('1.연간시수표'!V54,$BJ$7),COUNTIF('1.연간시수표'!V54,$BK$9),COUNTIF('1.연간시수표'!V54,$BK$7),COUNTIF('1.연간시수표'!V54,$BL$9),COUNTIF('1.연간시수표'!V54,$BL$7),COUNTIF('1.연간시수표'!V54,$BM$9),COUNTIF('1.연간시수표'!V54,$BM$7)),$BF$6,IF(OR(COUNTIF('1.연간시수표'!V54,$BO$9),COUNTIF('1.연간시수표'!V54,$BO$7)),$BO$6,IF(OR(COUNTIF('1.연간시수표'!V54,$BP$9),COUNTIF('1.연간시수표'!V54,$BP$7)),$BP$6,IF(OR(COUNTIF('1.연간시수표'!V54,$BQ$9),COUNTIF('1.연간시수표'!V54,$BQ$7)),$BQ$6,IF(OR(COUNTIF('1.연간시수표'!V54,$BR$9),COUNTIF('1.연간시수표'!V54,$BR$7)),$BR$6,"_")))))))))))))))</f>
        <v>과학</v>
      </c>
      <c r="W54" s="148" t="str">
        <f>IF(OR(COUNTIF('1.연간시수표'!W54,$AT$9),COUNTIF('1.연간시수표'!W54,$AT$7)),$AT$6,IF(OR(COUNTIF('1.연간시수표'!W54,$AU$9),COUNTIF('1.연간시수표'!W54,$AU$7)),$AU$6,IF(OR(COUNTIF('1.연간시수표'!W54,$AV$9),COUNTIF('1.연간시수표'!W54,$AV$7)),$AV$6,IF(OR(COUNTIF('1.연간시수표'!W54,$AW$9),COUNTIF('1.연간시수표'!W54,$AW$7)),$AW$6,IF(OR(COUNTIF('1.연간시수표'!W54,$AX$9),COUNTIF('1.연간시수표'!W54,$AX$7)),$AX$6,IF(OR(COUNTIF('1.연간시수표'!W54,$AY$9),COUNTIF('1.연간시수표'!W54,$AY$7)),$AY$6,IF(OR(COUNTIF('1.연간시수표'!W54,$AZ$9),COUNTIF('1.연간시수표'!W54,$AZ$7)),$AZ$6,IF(OR(COUNTIF('1.연간시수표'!W54,$BA$9),COUNTIF('1.연간시수표'!W54,$BA$7)),$BA$6,IF(OR(COUNTIF('1.연간시수표'!W54,$BB$9),COUNTIF('1.연간시수표'!W54,$BB$7)),$BB$6,IF(OR(COUNTIF('1.연간시수표'!W54,$BC$9),COUNTIF('1.연간시수표'!W54,$BC$7)),$BC$6,IF(OR(COUNTIF('1.연간시수표'!W54,$BF$9),COUNTIF('1.연간시수표'!W54,$BF$7),COUNTIF('1.연간시수표'!W54,$BG$9),COUNTIF('1.연간시수표'!W54,$BG$7),COUNTIF('1.연간시수표'!W54,$BH$9),COUNTIF('1.연간시수표'!W54,$BH$7),COUNTIF('1.연간시수표'!W54,$BI$9),COUNTIF('1.연간시수표'!W54,$BI$7),COUNTIF('1.연간시수표'!W54,$BJ$9),COUNTIF('1.연간시수표'!W54,$BJ$7),COUNTIF('1.연간시수표'!W54,$BK$9),COUNTIF('1.연간시수표'!W54,$BK$7),COUNTIF('1.연간시수표'!W54,$BL$9),COUNTIF('1.연간시수표'!W54,$BL$7),COUNTIF('1.연간시수표'!W54,$BM$9),COUNTIF('1.연간시수표'!W54,$BM$7)),$BF$6,IF(OR(COUNTIF('1.연간시수표'!W54,$BO$9),COUNTIF('1.연간시수표'!W54,$BO$7)),$BO$6,IF(OR(COUNTIF('1.연간시수표'!W54,$BP$9),COUNTIF('1.연간시수표'!W54,$BP$7)),$BP$6,IF(OR(COUNTIF('1.연간시수표'!W54,$BQ$9),COUNTIF('1.연간시수표'!W54,$BQ$7)),$BQ$6,IF(OR(COUNTIF('1.연간시수표'!W54,$BR$9),COUNTIF('1.연간시수표'!W54,$BR$7)),$BR$6,"_")))))))))))))))</f>
        <v>체육</v>
      </c>
      <c r="X54" s="148" t="str">
        <f>IF(OR(COUNTIF('1.연간시수표'!X54,$AT$9),COUNTIF('1.연간시수표'!X54,$AT$7)),$AT$6,IF(OR(COUNTIF('1.연간시수표'!X54,$AU$9),COUNTIF('1.연간시수표'!X54,$AU$7)),$AU$6,IF(OR(COUNTIF('1.연간시수표'!X54,$AV$9),COUNTIF('1.연간시수표'!X54,$AV$7)),$AV$6,IF(OR(COUNTIF('1.연간시수표'!X54,$AW$9),COUNTIF('1.연간시수표'!X54,$AW$7)),$AW$6,IF(OR(COUNTIF('1.연간시수표'!X54,$AX$9),COUNTIF('1.연간시수표'!X54,$AX$7)),$AX$6,IF(OR(COUNTIF('1.연간시수표'!X54,$AY$9),COUNTIF('1.연간시수표'!X54,$AY$7)),$AY$6,IF(OR(COUNTIF('1.연간시수표'!X54,$AZ$9),COUNTIF('1.연간시수표'!X54,$AZ$7)),$AZ$6,IF(OR(COUNTIF('1.연간시수표'!X54,$BA$9),COUNTIF('1.연간시수표'!X54,$BA$7)),$BA$6,IF(OR(COUNTIF('1.연간시수표'!X54,$BB$9),COUNTIF('1.연간시수표'!X54,$BB$7)),$BB$6,IF(OR(COUNTIF('1.연간시수표'!X54,$BC$9),COUNTIF('1.연간시수표'!X54,$BC$7)),$BC$6,IF(OR(COUNTIF('1.연간시수표'!X54,$BF$9),COUNTIF('1.연간시수표'!X54,$BF$7),COUNTIF('1.연간시수표'!X54,$BG$9),COUNTIF('1.연간시수표'!X54,$BG$7),COUNTIF('1.연간시수표'!X54,$BH$9),COUNTIF('1.연간시수표'!X54,$BH$7),COUNTIF('1.연간시수표'!X54,$BI$9),COUNTIF('1.연간시수표'!X54,$BI$7),COUNTIF('1.연간시수표'!X54,$BJ$9),COUNTIF('1.연간시수표'!X54,$BJ$7),COUNTIF('1.연간시수표'!X54,$BK$9),COUNTIF('1.연간시수표'!X54,$BK$7),COUNTIF('1.연간시수표'!X54,$BL$9),COUNTIF('1.연간시수표'!X54,$BL$7),COUNTIF('1.연간시수표'!X54,$BM$9),COUNTIF('1.연간시수표'!X54,$BM$7)),$BF$6,IF(OR(COUNTIF('1.연간시수표'!X54,$BO$9),COUNTIF('1.연간시수표'!X54,$BO$7)),$BO$6,IF(OR(COUNTIF('1.연간시수표'!X54,$BP$9),COUNTIF('1.연간시수표'!X54,$BP$7)),$BP$6,IF(OR(COUNTIF('1.연간시수표'!X54,$BQ$9),COUNTIF('1.연간시수표'!X54,$BQ$7)),$BQ$6,IF(OR(COUNTIF('1.연간시수표'!X54,$BR$9),COUNTIF('1.연간시수표'!X54,$BR$7)),$BR$6,"_")))))))))))))))</f>
        <v>음악</v>
      </c>
      <c r="Y54" s="148" t="str">
        <f>IF(OR(COUNTIF('1.연간시수표'!Y54,$AT$9),COUNTIF('1.연간시수표'!Y54,$AT$7)),$AT$6,IF(OR(COUNTIF('1.연간시수표'!Y54,$AU$9),COUNTIF('1.연간시수표'!Y54,$AU$7)),$AU$6,IF(OR(COUNTIF('1.연간시수표'!Y54,$AV$9),COUNTIF('1.연간시수표'!Y54,$AV$7)),$AV$6,IF(OR(COUNTIF('1.연간시수표'!Y54,$AW$9),COUNTIF('1.연간시수표'!Y54,$AW$7)),$AW$6,IF(OR(COUNTIF('1.연간시수표'!Y54,$AX$9),COUNTIF('1.연간시수표'!Y54,$AX$7)),$AX$6,IF(OR(COUNTIF('1.연간시수표'!Y54,$AY$9),COUNTIF('1.연간시수표'!Y54,$AY$7)),$AY$6,IF(OR(COUNTIF('1.연간시수표'!Y54,$AZ$9),COUNTIF('1.연간시수표'!Y54,$AZ$7)),$AZ$6,IF(OR(COUNTIF('1.연간시수표'!Y54,$BA$9),COUNTIF('1.연간시수표'!Y54,$BA$7)),$BA$6,IF(OR(COUNTIF('1.연간시수표'!Y54,$BB$9),COUNTIF('1.연간시수표'!Y54,$BB$7)),$BB$6,IF(OR(COUNTIF('1.연간시수표'!Y54,$BC$9),COUNTIF('1.연간시수표'!Y54,$BC$7)),$BC$6,IF(OR(COUNTIF('1.연간시수표'!Y54,$BF$9),COUNTIF('1.연간시수표'!Y54,$BF$7),COUNTIF('1.연간시수표'!Y54,$BG$9),COUNTIF('1.연간시수표'!Y54,$BG$7),COUNTIF('1.연간시수표'!Y54,$BH$9),COUNTIF('1.연간시수표'!Y54,$BH$7),COUNTIF('1.연간시수표'!Y54,$BI$9),COUNTIF('1.연간시수표'!Y54,$BI$7),COUNTIF('1.연간시수표'!Y54,$BJ$9),COUNTIF('1.연간시수표'!Y54,$BJ$7),COUNTIF('1.연간시수표'!Y54,$BK$9),COUNTIF('1.연간시수표'!Y54,$BK$7),COUNTIF('1.연간시수표'!Y54,$BL$9),COUNTIF('1.연간시수표'!Y54,$BL$7),COUNTIF('1.연간시수표'!Y54,$BM$9),COUNTIF('1.연간시수표'!Y54,$BM$7)),$BF$6,IF(OR(COUNTIF('1.연간시수표'!Y54,$BO$9),COUNTIF('1.연간시수표'!Y54,$BO$7)),$BO$6,IF(OR(COUNTIF('1.연간시수표'!Y54,$BP$9),COUNTIF('1.연간시수표'!Y54,$BP$7)),$BP$6,IF(OR(COUNTIF('1.연간시수표'!Y54,$BQ$9),COUNTIF('1.연간시수표'!Y54,$BQ$7)),$BQ$6,IF(OR(COUNTIF('1.연간시수표'!Y54,$BR$9),COUNTIF('1.연간시수표'!Y54,$BR$7)),$BR$6,"_")))))))))))))))</f>
        <v>도덕</v>
      </c>
      <c r="Z54" s="148" t="str">
        <f>IF(OR(COUNTIF('1.연간시수표'!Z54,$AT$9),COUNTIF('1.연간시수표'!Z54,$AT$7)),$AT$6,IF(OR(COUNTIF('1.연간시수표'!Z54,$AU$9),COUNTIF('1.연간시수표'!Z54,$AU$7)),$AU$6,IF(OR(COUNTIF('1.연간시수표'!Z54,$AV$9),COUNTIF('1.연간시수표'!Z54,$AV$7)),$AV$6,IF(OR(COUNTIF('1.연간시수표'!Z54,$AW$9),COUNTIF('1.연간시수표'!Z54,$AW$7)),$AW$6,IF(OR(COUNTIF('1.연간시수표'!Z54,$AX$9),COUNTIF('1.연간시수표'!Z54,$AX$7)),$AX$6,IF(OR(COUNTIF('1.연간시수표'!Z54,$AY$9),COUNTIF('1.연간시수표'!Z54,$AY$7)),$AY$6,IF(OR(COUNTIF('1.연간시수표'!Z54,$AZ$9),COUNTIF('1.연간시수표'!Z54,$AZ$7)),$AZ$6,IF(OR(COUNTIF('1.연간시수표'!Z54,$BA$9),COUNTIF('1.연간시수표'!Z54,$BA$7)),$BA$6,IF(OR(COUNTIF('1.연간시수표'!Z54,$BB$9),COUNTIF('1.연간시수표'!Z54,$BB$7)),$BB$6,IF(OR(COUNTIF('1.연간시수표'!Z54,$BC$9),COUNTIF('1.연간시수표'!Z54,$BC$7)),$BC$6,IF(OR(COUNTIF('1.연간시수표'!Z54,$BF$9),COUNTIF('1.연간시수표'!Z54,$BF$7),COUNTIF('1.연간시수표'!Z54,$BG$9),COUNTIF('1.연간시수표'!Z54,$BG$7),COUNTIF('1.연간시수표'!Z54,$BH$9),COUNTIF('1.연간시수표'!Z54,$BH$7),COUNTIF('1.연간시수표'!Z54,$BI$9),COUNTIF('1.연간시수표'!Z54,$BI$7),COUNTIF('1.연간시수표'!Z54,$BJ$9),COUNTIF('1.연간시수표'!Z54,$BJ$7),COUNTIF('1.연간시수표'!Z54,$BK$9),COUNTIF('1.연간시수표'!Z54,$BK$7),COUNTIF('1.연간시수표'!Z54,$BL$9),COUNTIF('1.연간시수표'!Z54,$BL$7),COUNTIF('1.연간시수표'!Z54,$BM$9),COUNTIF('1.연간시수표'!Z54,$BM$7)),$BF$6,IF(OR(COUNTIF('1.연간시수표'!Z54,$BO$9),COUNTIF('1.연간시수표'!Z54,$BO$7)),$BO$6,IF(OR(COUNTIF('1.연간시수표'!Z54,$BP$9),COUNTIF('1.연간시수표'!Z54,$BP$7)),$BP$6,IF(OR(COUNTIF('1.연간시수표'!Z54,$BQ$9),COUNTIF('1.연간시수표'!Z54,$BQ$7)),$BQ$6,IF(OR(COUNTIF('1.연간시수표'!Z54,$BR$9),COUNTIF('1.연간시수표'!Z54,$BR$7)),$BR$6,"_")))))))))))))))</f>
        <v>_</v>
      </c>
      <c r="AA54" s="148" t="str">
        <f>IF(OR(COUNTIF('1.연간시수표'!AA54,$AT$9),COUNTIF('1.연간시수표'!AA54,$AT$7)),$AT$6,IF(OR(COUNTIF('1.연간시수표'!AA54,$AU$9),COUNTIF('1.연간시수표'!AA54,$AU$7)),$AU$6,IF(OR(COUNTIF('1.연간시수표'!AA54,$AV$9),COUNTIF('1.연간시수표'!AA54,$AV$7)),$AV$6,IF(OR(COUNTIF('1.연간시수표'!AA54,$AW$9),COUNTIF('1.연간시수표'!AA54,$AW$7)),$AW$6,IF(OR(COUNTIF('1.연간시수표'!AA54,$AX$9),COUNTIF('1.연간시수표'!AA54,$AX$7)),$AX$6,IF(OR(COUNTIF('1.연간시수표'!AA54,$AY$9),COUNTIF('1.연간시수표'!AA54,$AY$7)),$AY$6,IF(OR(COUNTIF('1.연간시수표'!AA54,$AZ$9),COUNTIF('1.연간시수표'!AA54,$AZ$7)),$AZ$6,IF(OR(COUNTIF('1.연간시수표'!AA54,$BA$9),COUNTIF('1.연간시수표'!AA54,$BA$7)),$BA$6,IF(OR(COUNTIF('1.연간시수표'!AA54,$BB$9),COUNTIF('1.연간시수표'!AA54,$BB$7)),$BB$6,IF(OR(COUNTIF('1.연간시수표'!AA54,$BC$9),COUNTIF('1.연간시수표'!AA54,$BC$7)),$BC$6,IF(OR(COUNTIF('1.연간시수표'!AA54,$BF$9),COUNTIF('1.연간시수표'!AA54,$BF$7),COUNTIF('1.연간시수표'!AA54,$BG$9),COUNTIF('1.연간시수표'!AA54,$BG$7),COUNTIF('1.연간시수표'!AA54,$BH$9),COUNTIF('1.연간시수표'!AA54,$BH$7),COUNTIF('1.연간시수표'!AA54,$BI$9),COUNTIF('1.연간시수표'!AA54,$BI$7),COUNTIF('1.연간시수표'!AA54,$BJ$9),COUNTIF('1.연간시수표'!AA54,$BJ$7),COUNTIF('1.연간시수표'!AA54,$BK$9),COUNTIF('1.연간시수표'!AA54,$BK$7),COUNTIF('1.연간시수표'!AA54,$BL$9),COUNTIF('1.연간시수표'!AA54,$BL$7),COUNTIF('1.연간시수표'!AA54,$BM$9),COUNTIF('1.연간시수표'!AA54,$BM$7)),$BF$6,IF(OR(COUNTIF('1.연간시수표'!AA54,$BO$9),COUNTIF('1.연간시수표'!AA54,$BO$7)),$BO$6,IF(OR(COUNTIF('1.연간시수표'!AA54,$BP$9),COUNTIF('1.연간시수표'!AA54,$BP$7)),$BP$6,IF(OR(COUNTIF('1.연간시수표'!AA54,$BQ$9),COUNTIF('1.연간시수표'!AA54,$BQ$7)),$BQ$6,IF(OR(COUNTIF('1.연간시수표'!AA54,$BR$9),COUNTIF('1.연간시수표'!AA54,$BR$7)),$BR$6,"_")))))))))))))))</f>
        <v>_</v>
      </c>
      <c r="AB54" s="148" t="str">
        <f>IF(OR(COUNTIF('1.연간시수표'!AB54,$AT$9),COUNTIF('1.연간시수표'!AB54,$AT$7)),$AT$6,IF(OR(COUNTIF('1.연간시수표'!AB54,$AU$9),COUNTIF('1.연간시수표'!AB54,$AU$7)),$AU$6,IF(OR(COUNTIF('1.연간시수표'!AB54,$AV$9),COUNTIF('1.연간시수표'!AB54,$AV$7)),$AV$6,IF(OR(COUNTIF('1.연간시수표'!AB54,$AW$9),COUNTIF('1.연간시수표'!AB54,$AW$7)),$AW$6,IF(OR(COUNTIF('1.연간시수표'!AB54,$AX$9),COUNTIF('1.연간시수표'!AB54,$AX$7)),$AX$6,IF(OR(COUNTIF('1.연간시수표'!AB54,$AY$9),COUNTIF('1.연간시수표'!AB54,$AY$7)),$AY$6,IF(OR(COUNTIF('1.연간시수표'!AB54,$AZ$9),COUNTIF('1.연간시수표'!AB54,$AZ$7)),$AZ$6,IF(OR(COUNTIF('1.연간시수표'!AB54,$BA$9),COUNTIF('1.연간시수표'!AB54,$BA$7)),$BA$6,IF(OR(COUNTIF('1.연간시수표'!AB54,$BB$9),COUNTIF('1.연간시수표'!AB54,$BB$7)),$BB$6,IF(OR(COUNTIF('1.연간시수표'!AB54,$BC$9),COUNTIF('1.연간시수표'!AB54,$BC$7)),$BC$6,IF(OR(COUNTIF('1.연간시수표'!AB54,$BF$9),COUNTIF('1.연간시수표'!AB54,$BF$7),COUNTIF('1.연간시수표'!AB54,$BG$9),COUNTIF('1.연간시수표'!AB54,$BG$7),COUNTIF('1.연간시수표'!AB54,$BH$9),COUNTIF('1.연간시수표'!AB54,$BH$7),COUNTIF('1.연간시수표'!AB54,$BI$9),COUNTIF('1.연간시수표'!AB54,$BI$7),COUNTIF('1.연간시수표'!AB54,$BJ$9),COUNTIF('1.연간시수표'!AB54,$BJ$7),COUNTIF('1.연간시수표'!AB54,$BK$9),COUNTIF('1.연간시수표'!AB54,$BK$7),COUNTIF('1.연간시수표'!AB54,$BL$9),COUNTIF('1.연간시수표'!AB54,$BL$7),COUNTIF('1.연간시수표'!AB54,$BM$9),COUNTIF('1.연간시수표'!AB54,$BM$7)),$BF$6,IF(OR(COUNTIF('1.연간시수표'!AB54,$BO$9),COUNTIF('1.연간시수표'!AB54,$BO$7)),$BO$6,IF(OR(COUNTIF('1.연간시수표'!AB54,$BP$9),COUNTIF('1.연간시수표'!AB54,$BP$7)),$BP$6,IF(OR(COUNTIF('1.연간시수표'!AB54,$BQ$9),COUNTIF('1.연간시수표'!AB54,$BQ$7)),$BQ$6,IF(OR(COUNTIF('1.연간시수표'!AB54,$BR$9),COUNTIF('1.연간시수표'!AB54,$BR$7)),$BR$6,"_")))))))))))))))</f>
        <v>_</v>
      </c>
      <c r="AC54" s="148" t="str">
        <f>IF(OR(COUNTIF('1.연간시수표'!AC54,$AT$9),COUNTIF('1.연간시수표'!AC54,$AT$7)),$AT$6,IF(OR(COUNTIF('1.연간시수표'!AC54,$AU$9),COUNTIF('1.연간시수표'!AC54,$AU$7)),$AU$6,IF(OR(COUNTIF('1.연간시수표'!AC54,$AV$9),COUNTIF('1.연간시수표'!AC54,$AV$7)),$AV$6,IF(OR(COUNTIF('1.연간시수표'!AC54,$AW$9),COUNTIF('1.연간시수표'!AC54,$AW$7)),$AW$6,IF(OR(COUNTIF('1.연간시수표'!AC54,$AX$9),COUNTIF('1.연간시수표'!AC54,$AX$7)),$AX$6,IF(OR(COUNTIF('1.연간시수표'!AC54,$AY$9),COUNTIF('1.연간시수표'!AC54,$AY$7)),$AY$6,IF(OR(COUNTIF('1.연간시수표'!AC54,$AZ$9),COUNTIF('1.연간시수표'!AC54,$AZ$7)),$AZ$6,IF(OR(COUNTIF('1.연간시수표'!AC54,$BA$9),COUNTIF('1.연간시수표'!AC54,$BA$7)),$BA$6,IF(OR(COUNTIF('1.연간시수표'!AC54,$BB$9),COUNTIF('1.연간시수표'!AC54,$BB$7)),$BB$6,IF(OR(COUNTIF('1.연간시수표'!AC54,$BC$9),COUNTIF('1.연간시수표'!AC54,$BC$7)),$BC$6,IF(OR(COUNTIF('1.연간시수표'!AC54,$BF$9),COUNTIF('1.연간시수표'!AC54,$BF$7),COUNTIF('1.연간시수표'!AC54,$BG$9),COUNTIF('1.연간시수표'!AC54,$BG$7),COUNTIF('1.연간시수표'!AC54,$BH$9),COUNTIF('1.연간시수표'!AC54,$BH$7),COUNTIF('1.연간시수표'!AC54,$BI$9),COUNTIF('1.연간시수표'!AC54,$BI$7),COUNTIF('1.연간시수표'!AC54,$BJ$9),COUNTIF('1.연간시수표'!AC54,$BJ$7),COUNTIF('1.연간시수표'!AC54,$BK$9),COUNTIF('1.연간시수표'!AC54,$BK$7),COUNTIF('1.연간시수표'!AC54,$BL$9),COUNTIF('1.연간시수표'!AC54,$BL$7),COUNTIF('1.연간시수표'!AC54,$BM$9),COUNTIF('1.연간시수표'!AC54,$BM$7)),$BF$6,IF(OR(COUNTIF('1.연간시수표'!AC54,$BO$9),COUNTIF('1.연간시수표'!AC54,$BO$7)),$BO$6,IF(OR(COUNTIF('1.연간시수표'!AC54,$BP$9),COUNTIF('1.연간시수표'!AC54,$BP$7)),$BP$6,IF(OR(COUNTIF('1.연간시수표'!AC54,$BQ$9),COUNTIF('1.연간시수표'!AC54,$BQ$7)),$BQ$6,IF(OR(COUNTIF('1.연간시수표'!AC54,$BR$9),COUNTIF('1.연간시수표'!AC54,$BR$7)),$BR$6,"_")))))))))))))))</f>
        <v>국어</v>
      </c>
      <c r="AD54" s="148" t="str">
        <f>IF(OR(COUNTIF('1.연간시수표'!AD54,$AT$9),COUNTIF('1.연간시수표'!AD54,$AT$7)),$AT$6,IF(OR(COUNTIF('1.연간시수표'!AD54,$AU$9),COUNTIF('1.연간시수표'!AD54,$AU$7)),$AU$6,IF(OR(COUNTIF('1.연간시수표'!AD54,$AV$9),COUNTIF('1.연간시수표'!AD54,$AV$7)),$AV$6,IF(OR(COUNTIF('1.연간시수표'!AD54,$AW$9),COUNTIF('1.연간시수표'!AD54,$AW$7)),$AW$6,IF(OR(COUNTIF('1.연간시수표'!AD54,$AX$9),COUNTIF('1.연간시수표'!AD54,$AX$7)),$AX$6,IF(OR(COUNTIF('1.연간시수표'!AD54,$AY$9),COUNTIF('1.연간시수표'!AD54,$AY$7)),$AY$6,IF(OR(COUNTIF('1.연간시수표'!AD54,$AZ$9),COUNTIF('1.연간시수표'!AD54,$AZ$7)),$AZ$6,IF(OR(COUNTIF('1.연간시수표'!AD54,$BA$9),COUNTIF('1.연간시수표'!AD54,$BA$7)),$BA$6,IF(OR(COUNTIF('1.연간시수표'!AD54,$BB$9),COUNTIF('1.연간시수표'!AD54,$BB$7)),$BB$6,IF(OR(COUNTIF('1.연간시수표'!AD54,$BC$9),COUNTIF('1.연간시수표'!AD54,$BC$7)),$BC$6,IF(OR(COUNTIF('1.연간시수표'!AD54,$BF$9),COUNTIF('1.연간시수표'!AD54,$BF$7),COUNTIF('1.연간시수표'!AD54,$BG$9),COUNTIF('1.연간시수표'!AD54,$BG$7),COUNTIF('1.연간시수표'!AD54,$BH$9),COUNTIF('1.연간시수표'!AD54,$BH$7),COUNTIF('1.연간시수표'!AD54,$BI$9),COUNTIF('1.연간시수표'!AD54,$BI$7),COUNTIF('1.연간시수표'!AD54,$BJ$9),COUNTIF('1.연간시수표'!AD54,$BJ$7),COUNTIF('1.연간시수표'!AD54,$BK$9),COUNTIF('1.연간시수표'!AD54,$BK$7),COUNTIF('1.연간시수표'!AD54,$BL$9),COUNTIF('1.연간시수표'!AD54,$BL$7),COUNTIF('1.연간시수표'!AD54,$BM$9),COUNTIF('1.연간시수표'!AD54,$BM$7)),$BF$6,IF(OR(COUNTIF('1.연간시수표'!AD54,$BO$9),COUNTIF('1.연간시수표'!AD54,$BO$7)),$BO$6,IF(OR(COUNTIF('1.연간시수표'!AD54,$BP$9),COUNTIF('1.연간시수표'!AD54,$BP$7)),$BP$6,IF(OR(COUNTIF('1.연간시수표'!AD54,$BQ$9),COUNTIF('1.연간시수표'!AD54,$BQ$7)),$BQ$6,IF(OR(COUNTIF('1.연간시수표'!AD54,$BR$9),COUNTIF('1.연간시수표'!AD54,$BR$7)),$BR$6,"_")))))))))))))))</f>
        <v>수학</v>
      </c>
      <c r="AE54" s="148" t="str">
        <f>IF(OR(COUNTIF('1.연간시수표'!AE54,$AT$9),COUNTIF('1.연간시수표'!AE54,$AT$7)),$AT$6,IF(OR(COUNTIF('1.연간시수표'!AE54,$AU$9),COUNTIF('1.연간시수표'!AE54,$AU$7)),$AU$6,IF(OR(COUNTIF('1.연간시수표'!AE54,$AV$9),COUNTIF('1.연간시수표'!AE54,$AV$7)),$AV$6,IF(OR(COUNTIF('1.연간시수표'!AE54,$AW$9),COUNTIF('1.연간시수표'!AE54,$AW$7)),$AW$6,IF(OR(COUNTIF('1.연간시수표'!AE54,$AX$9),COUNTIF('1.연간시수표'!AE54,$AX$7)),$AX$6,IF(OR(COUNTIF('1.연간시수표'!AE54,$AY$9),COUNTIF('1.연간시수표'!AE54,$AY$7)),$AY$6,IF(OR(COUNTIF('1.연간시수표'!AE54,$AZ$9),COUNTIF('1.연간시수표'!AE54,$AZ$7)),$AZ$6,IF(OR(COUNTIF('1.연간시수표'!AE54,$BA$9),COUNTIF('1.연간시수표'!AE54,$BA$7)),$BA$6,IF(OR(COUNTIF('1.연간시수표'!AE54,$BB$9),COUNTIF('1.연간시수표'!AE54,$BB$7)),$BB$6,IF(OR(COUNTIF('1.연간시수표'!AE54,$BC$9),COUNTIF('1.연간시수표'!AE54,$BC$7)),$BC$6,IF(OR(COUNTIF('1.연간시수표'!AE54,$BF$9),COUNTIF('1.연간시수표'!AE54,$BF$7),COUNTIF('1.연간시수표'!AE54,$BG$9),COUNTIF('1.연간시수표'!AE54,$BG$7),COUNTIF('1.연간시수표'!AE54,$BH$9),COUNTIF('1.연간시수표'!AE54,$BH$7),COUNTIF('1.연간시수표'!AE54,$BI$9),COUNTIF('1.연간시수표'!AE54,$BI$7),COUNTIF('1.연간시수표'!AE54,$BJ$9),COUNTIF('1.연간시수표'!AE54,$BJ$7),COUNTIF('1.연간시수표'!AE54,$BK$9),COUNTIF('1.연간시수표'!AE54,$BK$7),COUNTIF('1.연간시수표'!AE54,$BL$9),COUNTIF('1.연간시수표'!AE54,$BL$7),COUNTIF('1.연간시수표'!AE54,$BM$9),COUNTIF('1.연간시수표'!AE54,$BM$7)),$BF$6,IF(OR(COUNTIF('1.연간시수표'!AE54,$BO$9),COUNTIF('1.연간시수표'!AE54,$BO$7)),$BO$6,IF(OR(COUNTIF('1.연간시수표'!AE54,$BP$9),COUNTIF('1.연간시수표'!AE54,$BP$7)),$BP$6,IF(OR(COUNTIF('1.연간시수표'!AE54,$BQ$9),COUNTIF('1.연간시수표'!AE54,$BQ$7)),$BQ$6,IF(OR(COUNTIF('1.연간시수표'!AE54,$BR$9),COUNTIF('1.연간시수표'!AE54,$BR$7)),$BR$6,"_")))))))))))))))</f>
        <v>사회</v>
      </c>
      <c r="AF54" s="148" t="str">
        <f>IF(OR(COUNTIF('1.연간시수표'!AF54,$AT$9),COUNTIF('1.연간시수표'!AF54,$AT$7)),$AT$6,IF(OR(COUNTIF('1.연간시수표'!AF54,$AU$9),COUNTIF('1.연간시수표'!AF54,$AU$7)),$AU$6,IF(OR(COUNTIF('1.연간시수표'!AF54,$AV$9),COUNTIF('1.연간시수표'!AF54,$AV$7)),$AV$6,IF(OR(COUNTIF('1.연간시수표'!AF54,$AW$9),COUNTIF('1.연간시수표'!AF54,$AW$7)),$AW$6,IF(OR(COUNTIF('1.연간시수표'!AF54,$AX$9),COUNTIF('1.연간시수표'!AF54,$AX$7)),$AX$6,IF(OR(COUNTIF('1.연간시수표'!AF54,$AY$9),COUNTIF('1.연간시수표'!AF54,$AY$7)),$AY$6,IF(OR(COUNTIF('1.연간시수표'!AF54,$AZ$9),COUNTIF('1.연간시수표'!AF54,$AZ$7)),$AZ$6,IF(OR(COUNTIF('1.연간시수표'!AF54,$BA$9),COUNTIF('1.연간시수표'!AF54,$BA$7)),$BA$6,IF(OR(COUNTIF('1.연간시수표'!AF54,$BB$9),COUNTIF('1.연간시수표'!AF54,$BB$7)),$BB$6,IF(OR(COUNTIF('1.연간시수표'!AF54,$BC$9),COUNTIF('1.연간시수표'!AF54,$BC$7)),$BC$6,IF(OR(COUNTIF('1.연간시수표'!AF54,$BF$9),COUNTIF('1.연간시수표'!AF54,$BF$7),COUNTIF('1.연간시수표'!AF54,$BG$9),COUNTIF('1.연간시수표'!AF54,$BG$7),COUNTIF('1.연간시수표'!AF54,$BH$9),COUNTIF('1.연간시수표'!AF54,$BH$7),COUNTIF('1.연간시수표'!AF54,$BI$9),COUNTIF('1.연간시수표'!AF54,$BI$7),COUNTIF('1.연간시수표'!AF54,$BJ$9),COUNTIF('1.연간시수표'!AF54,$BJ$7),COUNTIF('1.연간시수표'!AF54,$BK$9),COUNTIF('1.연간시수표'!AF54,$BK$7),COUNTIF('1.연간시수표'!AF54,$BL$9),COUNTIF('1.연간시수표'!AF54,$BL$7),COUNTIF('1.연간시수표'!AF54,$BM$9),COUNTIF('1.연간시수표'!AF54,$BM$7)),$BF$6,IF(OR(COUNTIF('1.연간시수표'!AF54,$BO$9),COUNTIF('1.연간시수표'!AF54,$BO$7)),$BO$6,IF(OR(COUNTIF('1.연간시수표'!AF54,$BP$9),COUNTIF('1.연간시수표'!AF54,$BP$7)),$BP$6,IF(OR(COUNTIF('1.연간시수표'!AF54,$BQ$9),COUNTIF('1.연간시수표'!AF54,$BQ$7)),$BQ$6,IF(OR(COUNTIF('1.연간시수표'!AF54,$BR$9),COUNTIF('1.연간시수표'!AF54,$BR$7)),$BR$6,"_")))))))))))))))</f>
        <v>영어</v>
      </c>
      <c r="AG54" s="148" t="str">
        <f>IF(OR(COUNTIF('1.연간시수표'!AG54,$AT$9),COUNTIF('1.연간시수표'!AG54,$AT$7)),$AT$6,IF(OR(COUNTIF('1.연간시수표'!AG54,$AU$9),COUNTIF('1.연간시수표'!AG54,$AU$7)),$AU$6,IF(OR(COUNTIF('1.연간시수표'!AG54,$AV$9),COUNTIF('1.연간시수표'!AG54,$AV$7)),$AV$6,IF(OR(COUNTIF('1.연간시수표'!AG54,$AW$9),COUNTIF('1.연간시수표'!AG54,$AW$7)),$AW$6,IF(OR(COUNTIF('1.연간시수표'!AG54,$AX$9),COUNTIF('1.연간시수표'!AG54,$AX$7)),$AX$6,IF(OR(COUNTIF('1.연간시수표'!AG54,$AY$9),COUNTIF('1.연간시수표'!AG54,$AY$7)),$AY$6,IF(OR(COUNTIF('1.연간시수표'!AG54,$AZ$9),COUNTIF('1.연간시수표'!AG54,$AZ$7)),$AZ$6,IF(OR(COUNTIF('1.연간시수표'!AG54,$BA$9),COUNTIF('1.연간시수표'!AG54,$BA$7)),$BA$6,IF(OR(COUNTIF('1.연간시수표'!AG54,$BB$9),COUNTIF('1.연간시수표'!AG54,$BB$7)),$BB$6,IF(OR(COUNTIF('1.연간시수표'!AG54,$BC$9),COUNTIF('1.연간시수표'!AG54,$BC$7)),$BC$6,IF(OR(COUNTIF('1.연간시수표'!AG54,$BF$9),COUNTIF('1.연간시수표'!AG54,$BF$7),COUNTIF('1.연간시수표'!AG54,$BG$9),COUNTIF('1.연간시수표'!AG54,$BG$7),COUNTIF('1.연간시수표'!AG54,$BH$9),COUNTIF('1.연간시수표'!AG54,$BH$7),COUNTIF('1.연간시수표'!AG54,$BI$9),COUNTIF('1.연간시수표'!AG54,$BI$7),COUNTIF('1.연간시수표'!AG54,$BJ$9),COUNTIF('1.연간시수표'!AG54,$BJ$7),COUNTIF('1.연간시수표'!AG54,$BK$9),COUNTIF('1.연간시수표'!AG54,$BK$7),COUNTIF('1.연간시수표'!AG54,$BL$9),COUNTIF('1.연간시수표'!AG54,$BL$7),COUNTIF('1.연간시수표'!AG54,$BM$9),COUNTIF('1.연간시수표'!AG54,$BM$7)),$BF$6,IF(OR(COUNTIF('1.연간시수표'!AG54,$BO$9),COUNTIF('1.연간시수표'!AG54,$BO$7)),$BO$6,IF(OR(COUNTIF('1.연간시수표'!AG54,$BP$9),COUNTIF('1.연간시수표'!AG54,$BP$7)),$BP$6,IF(OR(COUNTIF('1.연간시수표'!AG54,$BQ$9),COUNTIF('1.연간시수표'!AG54,$BQ$7)),$BQ$6,IF(OR(COUNTIF('1.연간시수표'!AG54,$BR$9),COUNTIF('1.연간시수표'!AG54,$BR$7)),$BR$6,"_")))))))))))))))</f>
        <v>과학</v>
      </c>
      <c r="AH54" s="148" t="str">
        <f>IF(OR(COUNTIF('1.연간시수표'!AH54,$AT$9),COUNTIF('1.연간시수표'!AH54,$AT$7)),$AT$6,IF(OR(COUNTIF('1.연간시수표'!AH54,$AU$9),COUNTIF('1.연간시수표'!AH54,$AU$7)),$AU$6,IF(OR(COUNTIF('1.연간시수표'!AH54,$AV$9),COUNTIF('1.연간시수표'!AH54,$AV$7)),$AV$6,IF(OR(COUNTIF('1.연간시수표'!AH54,$AW$9),COUNTIF('1.연간시수표'!AH54,$AW$7)),$AW$6,IF(OR(COUNTIF('1.연간시수표'!AH54,$AX$9),COUNTIF('1.연간시수표'!AH54,$AX$7)),$AX$6,IF(OR(COUNTIF('1.연간시수표'!AH54,$AY$9),COUNTIF('1.연간시수표'!AH54,$AY$7)),$AY$6,IF(OR(COUNTIF('1.연간시수표'!AH54,$AZ$9),COUNTIF('1.연간시수표'!AH54,$AZ$7)),$AZ$6,IF(OR(COUNTIF('1.연간시수표'!AH54,$BA$9),COUNTIF('1.연간시수표'!AH54,$BA$7)),$BA$6,IF(OR(COUNTIF('1.연간시수표'!AH54,$BB$9),COUNTIF('1.연간시수표'!AH54,$BB$7)),$BB$6,IF(OR(COUNTIF('1.연간시수표'!AH54,$BC$9),COUNTIF('1.연간시수표'!AH54,$BC$7)),$BC$6,IF(OR(COUNTIF('1.연간시수표'!AH54,$BF$9),COUNTIF('1.연간시수표'!AH54,$BF$7),COUNTIF('1.연간시수표'!AH54,$BG$9),COUNTIF('1.연간시수표'!AH54,$BG$7),COUNTIF('1.연간시수표'!AH54,$BH$9),COUNTIF('1.연간시수표'!AH54,$BH$7),COUNTIF('1.연간시수표'!AH54,$BI$9),COUNTIF('1.연간시수표'!AH54,$BI$7),COUNTIF('1.연간시수표'!AH54,$BJ$9),COUNTIF('1.연간시수표'!AH54,$BJ$7),COUNTIF('1.연간시수표'!AH54,$BK$9),COUNTIF('1.연간시수표'!AH54,$BK$7),COUNTIF('1.연간시수표'!AH54,$BL$9),COUNTIF('1.연간시수표'!AH54,$BL$7),COUNTIF('1.연간시수표'!AH54,$BM$9),COUNTIF('1.연간시수표'!AH54,$BM$7)),$BF$6,IF(OR(COUNTIF('1.연간시수표'!AH54,$BO$9),COUNTIF('1.연간시수표'!AH54,$BO$7)),$BO$6,IF(OR(COUNTIF('1.연간시수표'!AH54,$BP$9),COUNTIF('1.연간시수표'!AH54,$BP$7)),$BP$6,IF(OR(COUNTIF('1.연간시수표'!AH54,$BQ$9),COUNTIF('1.연간시수표'!AH54,$BQ$7)),$BQ$6,IF(OR(COUNTIF('1.연간시수표'!AH54,$BR$9),COUNTIF('1.연간시수표'!AH54,$BR$7)),$BR$6,"_")))))))))))))))</f>
        <v>음악</v>
      </c>
      <c r="AI54" s="148" t="str">
        <f>IF(OR(COUNTIF('1.연간시수표'!AI54,$AT$9),COUNTIF('1.연간시수표'!AI54,$AT$7)),$AT$6,IF(OR(COUNTIF('1.연간시수표'!AI54,$AU$9),COUNTIF('1.연간시수표'!AI54,$AU$7)),$AU$6,IF(OR(COUNTIF('1.연간시수표'!AI54,$AV$9),COUNTIF('1.연간시수표'!AI54,$AV$7)),$AV$6,IF(OR(COUNTIF('1.연간시수표'!AI54,$AW$9),COUNTIF('1.연간시수표'!AI54,$AW$7)),$AW$6,IF(OR(COUNTIF('1.연간시수표'!AI54,$AX$9),COUNTIF('1.연간시수표'!AI54,$AX$7)),$AX$6,IF(OR(COUNTIF('1.연간시수표'!AI54,$AY$9),COUNTIF('1.연간시수표'!AI54,$AY$7)),$AY$6,IF(OR(COUNTIF('1.연간시수표'!AI54,$AZ$9),COUNTIF('1.연간시수표'!AI54,$AZ$7)),$AZ$6,IF(OR(COUNTIF('1.연간시수표'!AI54,$BA$9),COUNTIF('1.연간시수표'!AI54,$BA$7)),$BA$6,IF(OR(COUNTIF('1.연간시수표'!AI54,$BB$9),COUNTIF('1.연간시수표'!AI54,$BB$7)),$BB$6,IF(OR(COUNTIF('1.연간시수표'!AI54,$BC$9),COUNTIF('1.연간시수표'!AI54,$BC$7)),$BC$6,IF(OR(COUNTIF('1.연간시수표'!AI54,$BF$9),COUNTIF('1.연간시수표'!AI54,$BF$7),COUNTIF('1.연간시수표'!AI54,$BG$9),COUNTIF('1.연간시수표'!AI54,$BG$7),COUNTIF('1.연간시수표'!AI54,$BH$9),COUNTIF('1.연간시수표'!AI54,$BH$7),COUNTIF('1.연간시수표'!AI54,$BI$9),COUNTIF('1.연간시수표'!AI54,$BI$7),COUNTIF('1.연간시수표'!AI54,$BJ$9),COUNTIF('1.연간시수표'!AI54,$BJ$7),COUNTIF('1.연간시수표'!AI54,$BK$9),COUNTIF('1.연간시수표'!AI54,$BK$7),COUNTIF('1.연간시수표'!AI54,$BL$9),COUNTIF('1.연간시수표'!AI54,$BL$7),COUNTIF('1.연간시수표'!AI54,$BM$9),COUNTIF('1.연간시수표'!AI54,$BM$7)),$BF$6,IF(OR(COUNTIF('1.연간시수표'!AI54,$BO$9),COUNTIF('1.연간시수표'!AI54,$BO$7)),$BO$6,IF(OR(COUNTIF('1.연간시수표'!AI54,$BP$9),COUNTIF('1.연간시수표'!AI54,$BP$7)),$BP$6,IF(OR(COUNTIF('1.연간시수표'!AI54,$BQ$9),COUNTIF('1.연간시수표'!AI54,$BQ$7)),$BQ$6,IF(OR(COUNTIF('1.연간시수표'!AI54,$BR$9),COUNTIF('1.연간시수표'!AI54,$BR$7)),$BR$6,"_")))))))))))))))</f>
        <v>_</v>
      </c>
      <c r="AJ54" s="148" t="str">
        <f>IF(OR(COUNTIF('1.연간시수표'!AJ54,$AT$9),COUNTIF('1.연간시수표'!AJ54,$AT$7)),$AT$6,IF(OR(COUNTIF('1.연간시수표'!AJ54,$AU$9),COUNTIF('1.연간시수표'!AJ54,$AU$7)),$AU$6,IF(OR(COUNTIF('1.연간시수표'!AJ54,$AV$9),COUNTIF('1.연간시수표'!AJ54,$AV$7)),$AV$6,IF(OR(COUNTIF('1.연간시수표'!AJ54,$AW$9),COUNTIF('1.연간시수표'!AJ54,$AW$7)),$AW$6,IF(OR(COUNTIF('1.연간시수표'!AJ54,$AX$9),COUNTIF('1.연간시수표'!AJ54,$AX$7)),$AX$6,IF(OR(COUNTIF('1.연간시수표'!AJ54,$AY$9),COUNTIF('1.연간시수표'!AJ54,$AY$7)),$AY$6,IF(OR(COUNTIF('1.연간시수표'!AJ54,$AZ$9),COUNTIF('1.연간시수표'!AJ54,$AZ$7)),$AZ$6,IF(OR(COUNTIF('1.연간시수표'!AJ54,$BA$9),COUNTIF('1.연간시수표'!AJ54,$BA$7)),$BA$6,IF(OR(COUNTIF('1.연간시수표'!AJ54,$BB$9),COUNTIF('1.연간시수표'!AJ54,$BB$7)),$BB$6,IF(OR(COUNTIF('1.연간시수표'!AJ54,$BC$9),COUNTIF('1.연간시수표'!AJ54,$BC$7)),$BC$6,IF(OR(COUNTIF('1.연간시수표'!AJ54,$BF$9),COUNTIF('1.연간시수표'!AJ54,$BF$7),COUNTIF('1.연간시수표'!AJ54,$BG$9),COUNTIF('1.연간시수표'!AJ54,$BG$7),COUNTIF('1.연간시수표'!AJ54,$BH$9),COUNTIF('1.연간시수표'!AJ54,$BH$7),COUNTIF('1.연간시수표'!AJ54,$BI$9),COUNTIF('1.연간시수표'!AJ54,$BI$7),COUNTIF('1.연간시수표'!AJ54,$BJ$9),COUNTIF('1.연간시수표'!AJ54,$BJ$7),COUNTIF('1.연간시수표'!AJ54,$BK$9),COUNTIF('1.연간시수표'!AJ54,$BK$7),COUNTIF('1.연간시수표'!AJ54,$BL$9),COUNTIF('1.연간시수표'!AJ54,$BL$7),COUNTIF('1.연간시수표'!AJ54,$BM$9),COUNTIF('1.연간시수표'!AJ54,$BM$7)),$BF$6,IF(OR(COUNTIF('1.연간시수표'!AJ54,$BO$9),COUNTIF('1.연간시수표'!AJ54,$BO$7)),$BO$6,IF(OR(COUNTIF('1.연간시수표'!AJ54,$BP$9),COUNTIF('1.연간시수표'!AJ54,$BP$7)),$BP$6,IF(OR(COUNTIF('1.연간시수표'!AJ54,$BQ$9),COUNTIF('1.연간시수표'!AJ54,$BQ$7)),$BQ$6,IF(OR(COUNTIF('1.연간시수표'!AJ54,$BR$9),COUNTIF('1.연간시수표'!AJ54,$BR$7)),$BR$6,"_")))))))))))))))</f>
        <v>_</v>
      </c>
      <c r="AK54" s="148" t="str">
        <f>IF(OR(COUNTIF('1.연간시수표'!AK54,$AT$9),COUNTIF('1.연간시수표'!AK54,$AT$7)),$AT$6,IF(OR(COUNTIF('1.연간시수표'!AK54,$AU$9),COUNTIF('1.연간시수표'!AK54,$AU$7)),$AU$6,IF(OR(COUNTIF('1.연간시수표'!AK54,$AV$9),COUNTIF('1.연간시수표'!AK54,$AV$7)),$AV$6,IF(OR(COUNTIF('1.연간시수표'!AK54,$AW$9),COUNTIF('1.연간시수표'!AK54,$AW$7)),$AW$6,IF(OR(COUNTIF('1.연간시수표'!AK54,$AX$9),COUNTIF('1.연간시수표'!AK54,$AX$7)),$AX$6,IF(OR(COUNTIF('1.연간시수표'!AK54,$AY$9),COUNTIF('1.연간시수표'!AK54,$AY$7)),$AY$6,IF(OR(COUNTIF('1.연간시수표'!AK54,$AZ$9),COUNTIF('1.연간시수표'!AK54,$AZ$7)),$AZ$6,IF(OR(COUNTIF('1.연간시수표'!AK54,$BA$9),COUNTIF('1.연간시수표'!AK54,$BA$7)),$BA$6,IF(OR(COUNTIF('1.연간시수표'!AK54,$BB$9),COUNTIF('1.연간시수표'!AK54,$BB$7)),$BB$6,IF(OR(COUNTIF('1.연간시수표'!AK54,$BC$9),COUNTIF('1.연간시수표'!AK54,$BC$7)),$BC$6,IF(OR(COUNTIF('1.연간시수표'!AK54,$BF$9),COUNTIF('1.연간시수표'!AK54,$BF$7),COUNTIF('1.연간시수표'!AK54,$BG$9),COUNTIF('1.연간시수표'!AK54,$BG$7),COUNTIF('1.연간시수표'!AK54,$BH$9),COUNTIF('1.연간시수표'!AK54,$BH$7),COUNTIF('1.연간시수표'!AK54,$BI$9),COUNTIF('1.연간시수표'!AK54,$BI$7),COUNTIF('1.연간시수표'!AK54,$BJ$9),COUNTIF('1.연간시수표'!AK54,$BJ$7),COUNTIF('1.연간시수표'!AK54,$BK$9),COUNTIF('1.연간시수표'!AK54,$BK$7),COUNTIF('1.연간시수표'!AK54,$BL$9),COUNTIF('1.연간시수표'!AK54,$BL$7),COUNTIF('1.연간시수표'!AK54,$BM$9),COUNTIF('1.연간시수표'!AK54,$BM$7)),$BF$6,IF(OR(COUNTIF('1.연간시수표'!AK54,$BO$9),COUNTIF('1.연간시수표'!AK54,$BO$7)),$BO$6,IF(OR(COUNTIF('1.연간시수표'!AK54,$BP$9),COUNTIF('1.연간시수표'!AK54,$BP$7)),$BP$6,IF(OR(COUNTIF('1.연간시수표'!AK54,$BQ$9),COUNTIF('1.연간시수표'!AK54,$BQ$7)),$BQ$6,IF(OR(COUNTIF('1.연간시수표'!AK54,$BR$9),COUNTIF('1.연간시수표'!AK54,$BR$7)),$BR$6,"_")))))))))))))))</f>
        <v>국어</v>
      </c>
      <c r="AL54" s="148" t="str">
        <f>IF(OR(COUNTIF('1.연간시수표'!AL54,$AT$9),COUNTIF('1.연간시수표'!AL54,$AT$7)),$AT$6,IF(OR(COUNTIF('1.연간시수표'!AL54,$AU$9),COUNTIF('1.연간시수표'!AL54,$AU$7)),$AU$6,IF(OR(COUNTIF('1.연간시수표'!AL54,$AV$9),COUNTIF('1.연간시수표'!AL54,$AV$7)),$AV$6,IF(OR(COUNTIF('1.연간시수표'!AL54,$AW$9),COUNTIF('1.연간시수표'!AL54,$AW$7)),$AW$6,IF(OR(COUNTIF('1.연간시수표'!AL54,$AX$9),COUNTIF('1.연간시수표'!AL54,$AX$7)),$AX$6,IF(OR(COUNTIF('1.연간시수표'!AL54,$AY$9),COUNTIF('1.연간시수표'!AL54,$AY$7)),$AY$6,IF(OR(COUNTIF('1.연간시수표'!AL54,$AZ$9),COUNTIF('1.연간시수표'!AL54,$AZ$7)),$AZ$6,IF(OR(COUNTIF('1.연간시수표'!AL54,$BA$9),COUNTIF('1.연간시수표'!AL54,$BA$7)),$BA$6,IF(OR(COUNTIF('1.연간시수표'!AL54,$BB$9),COUNTIF('1.연간시수표'!AL54,$BB$7)),$BB$6,IF(OR(COUNTIF('1.연간시수표'!AL54,$BC$9),COUNTIF('1.연간시수표'!AL54,$BC$7)),$BC$6,IF(OR(COUNTIF('1.연간시수표'!AL54,$BF$9),COUNTIF('1.연간시수표'!AL54,$BF$7),COUNTIF('1.연간시수표'!AL54,$BG$9),COUNTIF('1.연간시수표'!AL54,$BG$7),COUNTIF('1.연간시수표'!AL54,$BH$9),COUNTIF('1.연간시수표'!AL54,$BH$7),COUNTIF('1.연간시수표'!AL54,$BI$9),COUNTIF('1.연간시수표'!AL54,$BI$7),COUNTIF('1.연간시수표'!AL54,$BJ$9),COUNTIF('1.연간시수표'!AL54,$BJ$7),COUNTIF('1.연간시수표'!AL54,$BK$9),COUNTIF('1.연간시수표'!AL54,$BK$7),COUNTIF('1.연간시수표'!AL54,$BL$9),COUNTIF('1.연간시수표'!AL54,$BL$7),COUNTIF('1.연간시수표'!AL54,$BM$9),COUNTIF('1.연간시수표'!AL54,$BM$7)),$BF$6,IF(OR(COUNTIF('1.연간시수표'!AL54,$BO$9),COUNTIF('1.연간시수표'!AL54,$BO$7)),$BO$6,IF(OR(COUNTIF('1.연간시수표'!AL54,$BP$9),COUNTIF('1.연간시수표'!AL54,$BP$7)),$BP$6,IF(OR(COUNTIF('1.연간시수표'!AL54,$BQ$9),COUNTIF('1.연간시수표'!AL54,$BQ$7)),$BQ$6,IF(OR(COUNTIF('1.연간시수표'!AL54,$BR$9),COUNTIF('1.연간시수표'!AL54,$BR$7)),$BR$6,"_")))))))))))))))</f>
        <v>체육</v>
      </c>
      <c r="AM54" s="148" t="str">
        <f>IF(OR(COUNTIF('1.연간시수표'!AM54,$AT$9),COUNTIF('1.연간시수표'!AM54,$AT$7)),$AT$6,IF(OR(COUNTIF('1.연간시수표'!AM54,$AU$9),COUNTIF('1.연간시수표'!AM54,$AU$7)),$AU$6,IF(OR(COUNTIF('1.연간시수표'!AM54,$AV$9),COUNTIF('1.연간시수표'!AM54,$AV$7)),$AV$6,IF(OR(COUNTIF('1.연간시수표'!AM54,$AW$9),COUNTIF('1.연간시수표'!AM54,$AW$7)),$AW$6,IF(OR(COUNTIF('1.연간시수표'!AM54,$AX$9),COUNTIF('1.연간시수표'!AM54,$AX$7)),$AX$6,IF(OR(COUNTIF('1.연간시수표'!AM54,$AY$9),COUNTIF('1.연간시수표'!AM54,$AY$7)),$AY$6,IF(OR(COUNTIF('1.연간시수표'!AM54,$AZ$9),COUNTIF('1.연간시수표'!AM54,$AZ$7)),$AZ$6,IF(OR(COUNTIF('1.연간시수표'!AM54,$BA$9),COUNTIF('1.연간시수표'!AM54,$BA$7)),$BA$6,IF(OR(COUNTIF('1.연간시수표'!AM54,$BB$9),COUNTIF('1.연간시수표'!AM54,$BB$7)),$BB$6,IF(OR(COUNTIF('1.연간시수표'!AM54,$BC$9),COUNTIF('1.연간시수표'!AM54,$BC$7)),$BC$6,IF(OR(COUNTIF('1.연간시수표'!AM54,$BF$9),COUNTIF('1.연간시수표'!AM54,$BF$7),COUNTIF('1.연간시수표'!AM54,$BG$9),COUNTIF('1.연간시수표'!AM54,$BG$7),COUNTIF('1.연간시수표'!AM54,$BH$9),COUNTIF('1.연간시수표'!AM54,$BH$7),COUNTIF('1.연간시수표'!AM54,$BI$9),COUNTIF('1.연간시수표'!AM54,$BI$7),COUNTIF('1.연간시수표'!AM54,$BJ$9),COUNTIF('1.연간시수표'!AM54,$BJ$7),COUNTIF('1.연간시수표'!AM54,$BK$9),COUNTIF('1.연간시수표'!AM54,$BK$7),COUNTIF('1.연간시수표'!AM54,$BL$9),COUNTIF('1.연간시수표'!AM54,$BL$7),COUNTIF('1.연간시수표'!AM54,$BM$9),COUNTIF('1.연간시수표'!AM54,$BM$7)),$BF$6,IF(OR(COUNTIF('1.연간시수표'!AM54,$BO$9),COUNTIF('1.연간시수표'!AM54,$BO$7)),$BO$6,IF(OR(COUNTIF('1.연간시수표'!AM54,$BP$9),COUNTIF('1.연간시수표'!AM54,$BP$7)),$BP$6,IF(OR(COUNTIF('1.연간시수표'!AM54,$BQ$9),COUNTIF('1.연간시수표'!AM54,$BQ$7)),$BQ$6,IF(OR(COUNTIF('1.연간시수표'!AM54,$BR$9),COUNTIF('1.연간시수표'!AM54,$BR$7)),$BR$6,"_")))))))))))))))</f>
        <v>수학</v>
      </c>
      <c r="AN54" s="148" t="str">
        <f>IF(OR(COUNTIF('1.연간시수표'!AN54,$AT$9),COUNTIF('1.연간시수표'!AN54,$AT$7)),$AT$6,IF(OR(COUNTIF('1.연간시수표'!AN54,$AU$9),COUNTIF('1.연간시수표'!AN54,$AU$7)),$AU$6,IF(OR(COUNTIF('1.연간시수표'!AN54,$AV$9),COUNTIF('1.연간시수표'!AN54,$AV$7)),$AV$6,IF(OR(COUNTIF('1.연간시수표'!AN54,$AW$9),COUNTIF('1.연간시수표'!AN54,$AW$7)),$AW$6,IF(OR(COUNTIF('1.연간시수표'!AN54,$AX$9),COUNTIF('1.연간시수표'!AN54,$AX$7)),$AX$6,IF(OR(COUNTIF('1.연간시수표'!AN54,$AY$9),COUNTIF('1.연간시수표'!AN54,$AY$7)),$AY$6,IF(OR(COUNTIF('1.연간시수표'!AN54,$AZ$9),COUNTIF('1.연간시수표'!AN54,$AZ$7)),$AZ$6,IF(OR(COUNTIF('1.연간시수표'!AN54,$BA$9),COUNTIF('1.연간시수표'!AN54,$BA$7)),$BA$6,IF(OR(COUNTIF('1.연간시수표'!AN54,$BB$9),COUNTIF('1.연간시수표'!AN54,$BB$7)),$BB$6,IF(OR(COUNTIF('1.연간시수표'!AN54,$BC$9),COUNTIF('1.연간시수표'!AN54,$BC$7)),$BC$6,IF(OR(COUNTIF('1.연간시수표'!AN54,$BF$9),COUNTIF('1.연간시수표'!AN54,$BF$7),COUNTIF('1.연간시수표'!AN54,$BG$9),COUNTIF('1.연간시수표'!AN54,$BG$7),COUNTIF('1.연간시수표'!AN54,$BH$9),COUNTIF('1.연간시수표'!AN54,$BH$7),COUNTIF('1.연간시수표'!AN54,$BI$9),COUNTIF('1.연간시수표'!AN54,$BI$7),COUNTIF('1.연간시수표'!AN54,$BJ$9),COUNTIF('1.연간시수표'!AN54,$BJ$7),COUNTIF('1.연간시수표'!AN54,$BK$9),COUNTIF('1.연간시수표'!AN54,$BK$7),COUNTIF('1.연간시수표'!AN54,$BL$9),COUNTIF('1.연간시수표'!AN54,$BL$7),COUNTIF('1.연간시수표'!AN54,$BM$9),COUNTIF('1.연간시수표'!AN54,$BM$7)),$BF$6,IF(OR(COUNTIF('1.연간시수표'!AN54,$BO$9),COUNTIF('1.연간시수표'!AN54,$BO$7)),$BO$6,IF(OR(COUNTIF('1.연간시수표'!AN54,$BP$9),COUNTIF('1.연간시수표'!AN54,$BP$7)),$BP$6,IF(OR(COUNTIF('1.연간시수표'!AN54,$BQ$9),COUNTIF('1.연간시수표'!AN54,$BQ$7)),$BQ$6,IF(OR(COUNTIF('1.연간시수표'!AN54,$BR$9),COUNTIF('1.연간시수표'!AN54,$BR$7)),$BR$6,"_")))))))))))))))</f>
        <v>국어</v>
      </c>
      <c r="AO54" s="148" t="str">
        <f>IF(OR(COUNTIF('1.연간시수표'!AO54,$AT$9),COUNTIF('1.연간시수표'!AO54,$AT$7)),$AT$6,IF(OR(COUNTIF('1.연간시수표'!AO54,$AU$9),COUNTIF('1.연간시수표'!AO54,$AU$7)),$AU$6,IF(OR(COUNTIF('1.연간시수표'!AO54,$AV$9),COUNTIF('1.연간시수표'!AO54,$AV$7)),$AV$6,IF(OR(COUNTIF('1.연간시수표'!AO54,$AW$9),COUNTIF('1.연간시수표'!AO54,$AW$7)),$AW$6,IF(OR(COUNTIF('1.연간시수표'!AO54,$AX$9),COUNTIF('1.연간시수표'!AO54,$AX$7)),$AX$6,IF(OR(COUNTIF('1.연간시수표'!AO54,$AY$9),COUNTIF('1.연간시수표'!AO54,$AY$7)),$AY$6,IF(OR(COUNTIF('1.연간시수표'!AO54,$AZ$9),COUNTIF('1.연간시수표'!AO54,$AZ$7)),$AZ$6,IF(OR(COUNTIF('1.연간시수표'!AO54,$BA$9),COUNTIF('1.연간시수표'!AO54,$BA$7)),$BA$6,IF(OR(COUNTIF('1.연간시수표'!AO54,$BB$9),COUNTIF('1.연간시수표'!AO54,$BB$7)),$BB$6,IF(OR(COUNTIF('1.연간시수표'!AO54,$BC$9),COUNTIF('1.연간시수표'!AO54,$BC$7)),$BC$6,IF(OR(COUNTIF('1.연간시수표'!AO54,$BF$9),COUNTIF('1.연간시수표'!AO54,$BF$7),COUNTIF('1.연간시수표'!AO54,$BG$9),COUNTIF('1.연간시수표'!AO54,$BG$7),COUNTIF('1.연간시수표'!AO54,$BH$9),COUNTIF('1.연간시수표'!AO54,$BH$7),COUNTIF('1.연간시수표'!AO54,$BI$9),COUNTIF('1.연간시수표'!AO54,$BI$7),COUNTIF('1.연간시수표'!AO54,$BJ$9),COUNTIF('1.연간시수표'!AO54,$BJ$7),COUNTIF('1.연간시수표'!AO54,$BK$9),COUNTIF('1.연간시수표'!AO54,$BK$7),COUNTIF('1.연간시수표'!AO54,$BL$9),COUNTIF('1.연간시수표'!AO54,$BL$7),COUNTIF('1.연간시수표'!AO54,$BM$9),COUNTIF('1.연간시수표'!AO54,$BM$7)),$BF$6,IF(OR(COUNTIF('1.연간시수표'!AO54,$BO$9),COUNTIF('1.연간시수표'!AO54,$BO$7)),$BO$6,IF(OR(COUNTIF('1.연간시수표'!AO54,$BP$9),COUNTIF('1.연간시수표'!AO54,$BP$7)),$BP$6,IF(OR(COUNTIF('1.연간시수표'!AO54,$BQ$9),COUNTIF('1.연간시수표'!AO54,$BQ$7)),$BQ$6,IF(OR(COUNTIF('1.연간시수표'!AO54,$BR$9),COUNTIF('1.연간시수표'!AO54,$BR$7)),$BR$6,"_")))))))))))))))</f>
        <v>사회</v>
      </c>
      <c r="AP54" s="148" t="str">
        <f>IF(OR(COUNTIF('1.연간시수표'!AP54,$AT$9),COUNTIF('1.연간시수표'!AP54,$AT$7)),$AT$6,IF(OR(COUNTIF('1.연간시수표'!AP54,$AU$9),COUNTIF('1.연간시수표'!AP54,$AU$7)),$AU$6,IF(OR(COUNTIF('1.연간시수표'!AP54,$AV$9),COUNTIF('1.연간시수표'!AP54,$AV$7)),$AV$6,IF(OR(COUNTIF('1.연간시수표'!AP54,$AW$9),COUNTIF('1.연간시수표'!AP54,$AW$7)),$AW$6,IF(OR(COUNTIF('1.연간시수표'!AP54,$AX$9),COUNTIF('1.연간시수표'!AP54,$AX$7)),$AX$6,IF(OR(COUNTIF('1.연간시수표'!AP54,$AY$9),COUNTIF('1.연간시수표'!AP54,$AY$7)),$AY$6,IF(OR(COUNTIF('1.연간시수표'!AP54,$AZ$9),COUNTIF('1.연간시수표'!AP54,$AZ$7)),$AZ$6,IF(OR(COUNTIF('1.연간시수표'!AP54,$BA$9),COUNTIF('1.연간시수표'!AP54,$BA$7)),$BA$6,IF(OR(COUNTIF('1.연간시수표'!AP54,$BB$9),COUNTIF('1.연간시수표'!AP54,$BB$7)),$BB$6,IF(OR(COUNTIF('1.연간시수표'!AP54,$BC$9),COUNTIF('1.연간시수표'!AP54,$BC$7)),$BC$6,IF(OR(COUNTIF('1.연간시수표'!AP54,$BF$9),COUNTIF('1.연간시수표'!AP54,$BF$7),COUNTIF('1.연간시수표'!AP54,$BG$9),COUNTIF('1.연간시수표'!AP54,$BG$7),COUNTIF('1.연간시수표'!AP54,$BH$9),COUNTIF('1.연간시수표'!AP54,$BH$7),COUNTIF('1.연간시수표'!AP54,$BI$9),COUNTIF('1.연간시수표'!AP54,$BI$7),COUNTIF('1.연간시수표'!AP54,$BJ$9),COUNTIF('1.연간시수표'!AP54,$BJ$7),COUNTIF('1.연간시수표'!AP54,$BK$9),COUNTIF('1.연간시수표'!AP54,$BK$7),COUNTIF('1.연간시수표'!AP54,$BL$9),COUNTIF('1.연간시수표'!AP54,$BL$7),COUNTIF('1.연간시수표'!AP54,$BM$9),COUNTIF('1.연간시수표'!AP54,$BM$7)),$BF$6,IF(OR(COUNTIF('1.연간시수표'!AP54,$BO$9),COUNTIF('1.연간시수표'!AP54,$BO$7)),$BO$6,IF(OR(COUNTIF('1.연간시수표'!AP54,$BP$9),COUNTIF('1.연간시수표'!AP54,$BP$7)),$BP$6,IF(OR(COUNTIF('1.연간시수표'!AP54,$BQ$9),COUNTIF('1.연간시수표'!AP54,$BQ$7)),$BQ$6,IF(OR(COUNTIF('1.연간시수표'!AP54,$BR$9),COUNTIF('1.연간시수표'!AP54,$BR$7)),$BR$6,"_")))))))))))))))</f>
        <v>실과</v>
      </c>
      <c r="AQ54" s="148" t="str">
        <f>IF(OR(COUNTIF('1.연간시수표'!AQ54,$AT$9),COUNTIF('1.연간시수표'!AQ54,$AT$7)),$AT$6,IF(OR(COUNTIF('1.연간시수표'!AQ54,$AU$9),COUNTIF('1.연간시수표'!AQ54,$AU$7)),$AU$6,IF(OR(COUNTIF('1.연간시수표'!AQ54,$AV$9),COUNTIF('1.연간시수표'!AQ54,$AV$7)),$AV$6,IF(OR(COUNTIF('1.연간시수표'!AQ54,$AW$9),COUNTIF('1.연간시수표'!AQ54,$AW$7)),$AW$6,IF(OR(COUNTIF('1.연간시수표'!AQ54,$AX$9),COUNTIF('1.연간시수표'!AQ54,$AX$7)),$AX$6,IF(OR(COUNTIF('1.연간시수표'!AQ54,$AY$9),COUNTIF('1.연간시수표'!AQ54,$AY$7)),$AY$6,IF(OR(COUNTIF('1.연간시수표'!AQ54,$AZ$9),COUNTIF('1.연간시수표'!AQ54,$AZ$7)),$AZ$6,IF(OR(COUNTIF('1.연간시수표'!AQ54,$BA$9),COUNTIF('1.연간시수표'!AQ54,$BA$7)),$BA$6,IF(OR(COUNTIF('1.연간시수표'!AQ54,$BB$9),COUNTIF('1.연간시수표'!AQ54,$BB$7)),$BB$6,IF(OR(COUNTIF('1.연간시수표'!AQ54,$BC$9),COUNTIF('1.연간시수표'!AQ54,$BC$7)),$BC$6,IF(OR(COUNTIF('1.연간시수표'!AQ54,$BF$9),COUNTIF('1.연간시수표'!AQ54,$BF$7),COUNTIF('1.연간시수표'!AQ54,$BG$9),COUNTIF('1.연간시수표'!AQ54,$BG$7),COUNTIF('1.연간시수표'!AQ54,$BH$9),COUNTIF('1.연간시수표'!AQ54,$BH$7),COUNTIF('1.연간시수표'!AQ54,$BI$9),COUNTIF('1.연간시수표'!AQ54,$BI$7),COUNTIF('1.연간시수표'!AQ54,$BJ$9),COUNTIF('1.연간시수표'!AQ54,$BJ$7),COUNTIF('1.연간시수표'!AQ54,$BK$9),COUNTIF('1.연간시수표'!AQ54,$BK$7),COUNTIF('1.연간시수표'!AQ54,$BL$9),COUNTIF('1.연간시수표'!AQ54,$BL$7),COUNTIF('1.연간시수표'!AQ54,$BM$9),COUNTIF('1.연간시수표'!AQ54,$BM$7)),$BF$6,IF(OR(COUNTIF('1.연간시수표'!AQ54,$BO$9),COUNTIF('1.연간시수표'!AQ54,$BO$7)),$BO$6,IF(OR(COUNTIF('1.연간시수표'!AQ54,$BP$9),COUNTIF('1.연간시수표'!AQ54,$BP$7)),$BP$6,IF(OR(COUNTIF('1.연간시수표'!AQ54,$BQ$9),COUNTIF('1.연간시수표'!AQ54,$BQ$7)),$BQ$6,IF(OR(COUNTIF('1.연간시수표'!AQ54,$BR$9),COUNTIF('1.연간시수표'!AQ54,$BR$7)),$BR$6,"_")))))))))))))))</f>
        <v>_</v>
      </c>
      <c r="AR54" s="148" t="str">
        <f>IF(OR(COUNTIF('1.연간시수표'!AR54,$AT$9),COUNTIF('1.연간시수표'!AR54,$AT$7)),$AT$6,IF(OR(COUNTIF('1.연간시수표'!AR54,$AU$9),COUNTIF('1.연간시수표'!AR54,$AU$7)),$AU$6,IF(OR(COUNTIF('1.연간시수표'!AR54,$AV$9),COUNTIF('1.연간시수표'!AR54,$AV$7)),$AV$6,IF(OR(COUNTIF('1.연간시수표'!AR54,$AW$9),COUNTIF('1.연간시수표'!AR54,$AW$7)),$AW$6,IF(OR(COUNTIF('1.연간시수표'!AR54,$AX$9),COUNTIF('1.연간시수표'!AR54,$AX$7)),$AX$6,IF(OR(COUNTIF('1.연간시수표'!AR54,$AY$9),COUNTIF('1.연간시수표'!AR54,$AY$7)),$AY$6,IF(OR(COUNTIF('1.연간시수표'!AR54,$AZ$9),COUNTIF('1.연간시수표'!AR54,$AZ$7)),$AZ$6,IF(OR(COUNTIF('1.연간시수표'!AR54,$BA$9),COUNTIF('1.연간시수표'!AR54,$BA$7)),$BA$6,IF(OR(COUNTIF('1.연간시수표'!AR54,$BB$9),COUNTIF('1.연간시수표'!AR54,$BB$7)),$BB$6,IF(OR(COUNTIF('1.연간시수표'!AR54,$BC$9),COUNTIF('1.연간시수표'!AR54,$BC$7)),$BC$6,IF(OR(COUNTIF('1.연간시수표'!AR54,$BF$9),COUNTIF('1.연간시수표'!AR54,$BF$7),COUNTIF('1.연간시수표'!AR54,$BG$9),COUNTIF('1.연간시수표'!AR54,$BG$7),COUNTIF('1.연간시수표'!AR54,$BH$9),COUNTIF('1.연간시수표'!AR54,$BH$7),COUNTIF('1.연간시수표'!AR54,$BI$9),COUNTIF('1.연간시수표'!AR54,$BI$7),COUNTIF('1.연간시수표'!AR54,$BJ$9),COUNTIF('1.연간시수표'!AR54,$BJ$7),COUNTIF('1.연간시수표'!AR54,$BK$9),COUNTIF('1.연간시수표'!AR54,$BK$7),COUNTIF('1.연간시수표'!AR54,$BL$9),COUNTIF('1.연간시수표'!AR54,$BL$7),COUNTIF('1.연간시수표'!AR54,$BM$9),COUNTIF('1.연간시수표'!AR54,$BM$7)),$BF$6,IF(OR(COUNTIF('1.연간시수표'!AR54,$BO$9),COUNTIF('1.연간시수표'!AR54,$BO$7)),$BO$6,IF(OR(COUNTIF('1.연간시수표'!AR54,$BP$9),COUNTIF('1.연간시수표'!AR54,$BP$7)),$BP$6,IF(OR(COUNTIF('1.연간시수표'!AR54,$BQ$9),COUNTIF('1.연간시수표'!AR54,$BQ$7)),$BQ$6,IF(OR(COUNTIF('1.연간시수표'!AR54,$BR$9),COUNTIF('1.연간시수표'!AR54,$BR$7)),$BR$6,"_")))))))))))))))</f>
        <v>_</v>
      </c>
      <c r="BU54" s="32"/>
    </row>
    <row r="55" spans="2:73">
      <c r="B55" s="6"/>
      <c r="C55" s="79">
        <f>'1.연간시수표'!C55</f>
        <v>24</v>
      </c>
      <c r="D55" s="3"/>
      <c r="E55" s="148" t="str">
        <f>IF(OR(COUNTIF('1.연간시수표'!E55,$AT$9),COUNTIF('1.연간시수표'!E55,$AT$7)),$AT$6,IF(OR(COUNTIF('1.연간시수표'!E55,$AU$9),COUNTIF('1.연간시수표'!E55,$AU$7)),$AU$6,IF(OR(COUNTIF('1.연간시수표'!E55,$AV$9),COUNTIF('1.연간시수표'!E55,$AV$7)),$AV$6,IF(OR(COUNTIF('1.연간시수표'!E55,$AW$9),COUNTIF('1.연간시수표'!E55,$AW$7)),$AW$6,IF(OR(COUNTIF('1.연간시수표'!E55,$AX$9),COUNTIF('1.연간시수표'!E55,$AX$7)),$AX$6,IF(OR(COUNTIF('1.연간시수표'!E55,$AY$9),COUNTIF('1.연간시수표'!E55,$AY$7)),$AY$6,IF(OR(COUNTIF('1.연간시수표'!E55,$AZ$9),COUNTIF('1.연간시수표'!E55,$AZ$7)),$AZ$6,IF(OR(COUNTIF('1.연간시수표'!E55,$BA$9),COUNTIF('1.연간시수표'!E55,$BA$7)),$BA$6,IF(OR(COUNTIF('1.연간시수표'!E55,$BB$9),COUNTIF('1.연간시수표'!E55,$BB$7)),$BB$6,IF(OR(COUNTIF('1.연간시수표'!E55,$BC$9),COUNTIF('1.연간시수표'!E55,$BC$7)),$BC$6,IF(OR(COUNTIF('1.연간시수표'!E55,$BF$9),COUNTIF('1.연간시수표'!E55,$BF$7),COUNTIF('1.연간시수표'!E55,$BG$9),COUNTIF('1.연간시수표'!E55,$BG$7),COUNTIF('1.연간시수표'!E55,$BH$9),COUNTIF('1.연간시수표'!E55,$BH$7),COUNTIF('1.연간시수표'!E55,$BI$9),COUNTIF('1.연간시수표'!E55,$BI$7),COUNTIF('1.연간시수표'!E55,$BJ$9),COUNTIF('1.연간시수표'!E55,$BJ$7),COUNTIF('1.연간시수표'!E55,$BK$9),COUNTIF('1.연간시수표'!E55,$BK$7),COUNTIF('1.연간시수표'!E55,$BL$9),COUNTIF('1.연간시수표'!E55,$BL$7),COUNTIF('1.연간시수표'!E55,$BM$9),COUNTIF('1.연간시수표'!E55,$BM$7)),$BF$6,IF(OR(COUNTIF('1.연간시수표'!E55,$BO$9),COUNTIF('1.연간시수표'!E55,$BO$7)),$BO$6,IF(OR(COUNTIF('1.연간시수표'!E55,$BP$9),COUNTIF('1.연간시수표'!E55,$BP$7)),$BP$6,IF(OR(COUNTIF('1.연간시수표'!E55,$BQ$9),COUNTIF('1.연간시수표'!E55,$BQ$7)),$BQ$6,IF(OR(COUNTIF('1.연간시수표'!E55,$BR$9),COUNTIF('1.연간시수표'!E55,$BR$7)),$BR$6,"_")))))))))))))))</f>
        <v>국어</v>
      </c>
      <c r="F55" s="148" t="str">
        <f>IF(OR(COUNTIF('1.연간시수표'!F55,$AT$9),COUNTIF('1.연간시수표'!F55,$AT$7)),$AT$6,IF(OR(COUNTIF('1.연간시수표'!F55,$AU$9),COUNTIF('1.연간시수표'!F55,$AU$7)),$AU$6,IF(OR(COUNTIF('1.연간시수표'!F55,$AV$9),COUNTIF('1.연간시수표'!F55,$AV$7)),$AV$6,IF(OR(COUNTIF('1.연간시수표'!F55,$AW$9),COUNTIF('1.연간시수표'!F55,$AW$7)),$AW$6,IF(OR(COUNTIF('1.연간시수표'!F55,$AX$9),COUNTIF('1.연간시수표'!F55,$AX$7)),$AX$6,IF(OR(COUNTIF('1.연간시수표'!F55,$AY$9),COUNTIF('1.연간시수표'!F55,$AY$7)),$AY$6,IF(OR(COUNTIF('1.연간시수표'!F55,$AZ$9),COUNTIF('1.연간시수표'!F55,$AZ$7)),$AZ$6,IF(OR(COUNTIF('1.연간시수표'!F55,$BA$9),COUNTIF('1.연간시수표'!F55,$BA$7)),$BA$6,IF(OR(COUNTIF('1.연간시수표'!F55,$BB$9),COUNTIF('1.연간시수표'!F55,$BB$7)),$BB$6,IF(OR(COUNTIF('1.연간시수표'!F55,$BC$9),COUNTIF('1.연간시수표'!F55,$BC$7)),$BC$6,IF(OR(COUNTIF('1.연간시수표'!F55,$BF$9),COUNTIF('1.연간시수표'!F55,$BF$7),COUNTIF('1.연간시수표'!F55,$BG$9),COUNTIF('1.연간시수표'!F55,$BG$7),COUNTIF('1.연간시수표'!F55,$BH$9),COUNTIF('1.연간시수표'!F55,$BH$7),COUNTIF('1.연간시수표'!F55,$BI$9),COUNTIF('1.연간시수표'!F55,$BI$7),COUNTIF('1.연간시수표'!F55,$BJ$9),COUNTIF('1.연간시수표'!F55,$BJ$7),COUNTIF('1.연간시수표'!F55,$BK$9),COUNTIF('1.연간시수표'!F55,$BK$7),COUNTIF('1.연간시수표'!F55,$BL$9),COUNTIF('1.연간시수표'!F55,$BL$7),COUNTIF('1.연간시수표'!F55,$BM$9),COUNTIF('1.연간시수표'!F55,$BM$7)),$BF$6,IF(OR(COUNTIF('1.연간시수표'!F55,$BO$9),COUNTIF('1.연간시수표'!F55,$BO$7)),$BO$6,IF(OR(COUNTIF('1.연간시수표'!F55,$BP$9),COUNTIF('1.연간시수표'!F55,$BP$7)),$BP$6,IF(OR(COUNTIF('1.연간시수표'!F55,$BQ$9),COUNTIF('1.연간시수표'!F55,$BQ$7)),$BQ$6,IF(OR(COUNTIF('1.연간시수표'!F55,$BR$9),COUNTIF('1.연간시수표'!F55,$BR$7)),$BR$6,"_")))))))))))))))</f>
        <v>미술</v>
      </c>
      <c r="G55" s="148" t="str">
        <f>IF(OR(COUNTIF('1.연간시수표'!G55,$AT$9),COUNTIF('1.연간시수표'!G55,$AT$7)),$AT$6,IF(OR(COUNTIF('1.연간시수표'!G55,$AU$9),COUNTIF('1.연간시수표'!G55,$AU$7)),$AU$6,IF(OR(COUNTIF('1.연간시수표'!G55,$AV$9),COUNTIF('1.연간시수표'!G55,$AV$7)),$AV$6,IF(OR(COUNTIF('1.연간시수표'!G55,$AW$9),COUNTIF('1.연간시수표'!G55,$AW$7)),$AW$6,IF(OR(COUNTIF('1.연간시수표'!G55,$AX$9),COUNTIF('1.연간시수표'!G55,$AX$7)),$AX$6,IF(OR(COUNTIF('1.연간시수표'!G55,$AY$9),COUNTIF('1.연간시수표'!G55,$AY$7)),$AY$6,IF(OR(COUNTIF('1.연간시수표'!G55,$AZ$9),COUNTIF('1.연간시수표'!G55,$AZ$7)),$AZ$6,IF(OR(COUNTIF('1.연간시수표'!G55,$BA$9),COUNTIF('1.연간시수표'!G55,$BA$7)),$BA$6,IF(OR(COUNTIF('1.연간시수표'!G55,$BB$9),COUNTIF('1.연간시수표'!G55,$BB$7)),$BB$6,IF(OR(COUNTIF('1.연간시수표'!G55,$BC$9),COUNTIF('1.연간시수표'!G55,$BC$7)),$BC$6,IF(OR(COUNTIF('1.연간시수표'!G55,$BF$9),COUNTIF('1.연간시수표'!G55,$BF$7),COUNTIF('1.연간시수표'!G55,$BG$9),COUNTIF('1.연간시수표'!G55,$BG$7),COUNTIF('1.연간시수표'!G55,$BH$9),COUNTIF('1.연간시수표'!G55,$BH$7),COUNTIF('1.연간시수표'!G55,$BI$9),COUNTIF('1.연간시수표'!G55,$BI$7),COUNTIF('1.연간시수표'!G55,$BJ$9),COUNTIF('1.연간시수표'!G55,$BJ$7),COUNTIF('1.연간시수표'!G55,$BK$9),COUNTIF('1.연간시수표'!G55,$BK$7),COUNTIF('1.연간시수표'!G55,$BL$9),COUNTIF('1.연간시수표'!G55,$BL$7),COUNTIF('1.연간시수표'!G55,$BM$9),COUNTIF('1.연간시수표'!G55,$BM$7)),$BF$6,IF(OR(COUNTIF('1.연간시수표'!G55,$BO$9),COUNTIF('1.연간시수표'!G55,$BO$7)),$BO$6,IF(OR(COUNTIF('1.연간시수표'!G55,$BP$9),COUNTIF('1.연간시수표'!G55,$BP$7)),$BP$6,IF(OR(COUNTIF('1.연간시수표'!G55,$BQ$9),COUNTIF('1.연간시수표'!G55,$BQ$7)),$BQ$6,IF(OR(COUNTIF('1.연간시수표'!G55,$BR$9),COUNTIF('1.연간시수표'!G55,$BR$7)),$BR$6,"_")))))))))))))))</f>
        <v>미술</v>
      </c>
      <c r="H55" s="148" t="str">
        <f>IF(OR(COUNTIF('1.연간시수표'!H55,$AT$9),COUNTIF('1.연간시수표'!H55,$AT$7)),$AT$6,IF(OR(COUNTIF('1.연간시수표'!H55,$AU$9),COUNTIF('1.연간시수표'!H55,$AU$7)),$AU$6,IF(OR(COUNTIF('1.연간시수표'!H55,$AV$9),COUNTIF('1.연간시수표'!H55,$AV$7)),$AV$6,IF(OR(COUNTIF('1.연간시수표'!H55,$AW$9),COUNTIF('1.연간시수표'!H55,$AW$7)),$AW$6,IF(OR(COUNTIF('1.연간시수표'!H55,$AX$9),COUNTIF('1.연간시수표'!H55,$AX$7)),$AX$6,IF(OR(COUNTIF('1.연간시수표'!H55,$AY$9),COUNTIF('1.연간시수표'!H55,$AY$7)),$AY$6,IF(OR(COUNTIF('1.연간시수표'!H55,$AZ$9),COUNTIF('1.연간시수표'!H55,$AZ$7)),$AZ$6,IF(OR(COUNTIF('1.연간시수표'!H55,$BA$9),COUNTIF('1.연간시수표'!H55,$BA$7)),$BA$6,IF(OR(COUNTIF('1.연간시수표'!H55,$BB$9),COUNTIF('1.연간시수표'!H55,$BB$7)),$BB$6,IF(OR(COUNTIF('1.연간시수표'!H55,$BC$9),COUNTIF('1.연간시수표'!H55,$BC$7)),$BC$6,IF(OR(COUNTIF('1.연간시수표'!H55,$BF$9),COUNTIF('1.연간시수표'!H55,$BF$7),COUNTIF('1.연간시수표'!H55,$BG$9),COUNTIF('1.연간시수표'!H55,$BG$7),COUNTIF('1.연간시수표'!H55,$BH$9),COUNTIF('1.연간시수표'!H55,$BH$7),COUNTIF('1.연간시수표'!H55,$BI$9),COUNTIF('1.연간시수표'!H55,$BI$7),COUNTIF('1.연간시수표'!H55,$BJ$9),COUNTIF('1.연간시수표'!H55,$BJ$7),COUNTIF('1.연간시수표'!H55,$BK$9),COUNTIF('1.연간시수표'!H55,$BK$7),COUNTIF('1.연간시수표'!H55,$BL$9),COUNTIF('1.연간시수표'!H55,$BL$7),COUNTIF('1.연간시수표'!H55,$BM$9),COUNTIF('1.연간시수표'!H55,$BM$7)),$BF$6,IF(OR(COUNTIF('1.연간시수표'!H55,$BO$9),COUNTIF('1.연간시수표'!H55,$BO$7)),$BO$6,IF(OR(COUNTIF('1.연간시수표'!H55,$BP$9),COUNTIF('1.연간시수표'!H55,$BP$7)),$BP$6,IF(OR(COUNTIF('1.연간시수표'!H55,$BQ$9),COUNTIF('1.연간시수표'!H55,$BQ$7)),$BQ$6,IF(OR(COUNTIF('1.연간시수표'!H55,$BR$9),COUNTIF('1.연간시수표'!H55,$BR$7)),$BR$6,"_")))))))))))))))</f>
        <v>영어</v>
      </c>
      <c r="I55" s="148" t="str">
        <f>IF(OR(COUNTIF('1.연간시수표'!I55,$AT$9),COUNTIF('1.연간시수표'!I55,$AT$7)),$AT$6,IF(OR(COUNTIF('1.연간시수표'!I55,$AU$9),COUNTIF('1.연간시수표'!I55,$AU$7)),$AU$6,IF(OR(COUNTIF('1.연간시수표'!I55,$AV$9),COUNTIF('1.연간시수표'!I55,$AV$7)),$AV$6,IF(OR(COUNTIF('1.연간시수표'!I55,$AW$9),COUNTIF('1.연간시수표'!I55,$AW$7)),$AW$6,IF(OR(COUNTIF('1.연간시수표'!I55,$AX$9),COUNTIF('1.연간시수표'!I55,$AX$7)),$AX$6,IF(OR(COUNTIF('1.연간시수표'!I55,$AY$9),COUNTIF('1.연간시수표'!I55,$AY$7)),$AY$6,IF(OR(COUNTIF('1.연간시수표'!I55,$AZ$9),COUNTIF('1.연간시수표'!I55,$AZ$7)),$AZ$6,IF(OR(COUNTIF('1.연간시수표'!I55,$BA$9),COUNTIF('1.연간시수표'!I55,$BA$7)),$BA$6,IF(OR(COUNTIF('1.연간시수표'!I55,$BB$9),COUNTIF('1.연간시수표'!I55,$BB$7)),$BB$6,IF(OR(COUNTIF('1.연간시수표'!I55,$BC$9),COUNTIF('1.연간시수표'!I55,$BC$7)),$BC$6,IF(OR(COUNTIF('1.연간시수표'!I55,$BF$9),COUNTIF('1.연간시수표'!I55,$BF$7),COUNTIF('1.연간시수표'!I55,$BG$9),COUNTIF('1.연간시수표'!I55,$BG$7),COUNTIF('1.연간시수표'!I55,$BH$9),COUNTIF('1.연간시수표'!I55,$BH$7),COUNTIF('1.연간시수표'!I55,$BI$9),COUNTIF('1.연간시수표'!I55,$BI$7),COUNTIF('1.연간시수표'!I55,$BJ$9),COUNTIF('1.연간시수표'!I55,$BJ$7),COUNTIF('1.연간시수표'!I55,$BK$9),COUNTIF('1.연간시수표'!I55,$BK$7),COUNTIF('1.연간시수표'!I55,$BL$9),COUNTIF('1.연간시수표'!I55,$BL$7),COUNTIF('1.연간시수표'!I55,$BM$9),COUNTIF('1.연간시수표'!I55,$BM$7)),$BF$6,IF(OR(COUNTIF('1.연간시수표'!I55,$BO$9),COUNTIF('1.연간시수표'!I55,$BO$7)),$BO$6,IF(OR(COUNTIF('1.연간시수표'!I55,$BP$9),COUNTIF('1.연간시수표'!I55,$BP$7)),$BP$6,IF(OR(COUNTIF('1.연간시수표'!I55,$BQ$9),COUNTIF('1.연간시수표'!I55,$BQ$7)),$BQ$6,IF(OR(COUNTIF('1.연간시수표'!I55,$BR$9),COUNTIF('1.연간시수표'!I55,$BR$7)),$BR$6,"_")))))))))))))))</f>
        <v>수학</v>
      </c>
      <c r="J55" s="148" t="str">
        <f>IF(OR(COUNTIF('1.연간시수표'!J55,$AT$9),COUNTIF('1.연간시수표'!J55,$AT$7)),$AT$6,IF(OR(COUNTIF('1.연간시수표'!J55,$AU$9),COUNTIF('1.연간시수표'!J55,$AU$7)),$AU$6,IF(OR(COUNTIF('1.연간시수표'!J55,$AV$9),COUNTIF('1.연간시수표'!J55,$AV$7)),$AV$6,IF(OR(COUNTIF('1.연간시수표'!J55,$AW$9),COUNTIF('1.연간시수표'!J55,$AW$7)),$AW$6,IF(OR(COUNTIF('1.연간시수표'!J55,$AX$9),COUNTIF('1.연간시수표'!J55,$AX$7)),$AX$6,IF(OR(COUNTIF('1.연간시수표'!J55,$AY$9),COUNTIF('1.연간시수표'!J55,$AY$7)),$AY$6,IF(OR(COUNTIF('1.연간시수표'!J55,$AZ$9),COUNTIF('1.연간시수표'!J55,$AZ$7)),$AZ$6,IF(OR(COUNTIF('1.연간시수표'!J55,$BA$9),COUNTIF('1.연간시수표'!J55,$BA$7)),$BA$6,IF(OR(COUNTIF('1.연간시수표'!J55,$BB$9),COUNTIF('1.연간시수표'!J55,$BB$7)),$BB$6,IF(OR(COUNTIF('1.연간시수표'!J55,$BC$9),COUNTIF('1.연간시수표'!J55,$BC$7)),$BC$6,IF(OR(COUNTIF('1.연간시수표'!J55,$BF$9),COUNTIF('1.연간시수표'!J55,$BF$7),COUNTIF('1.연간시수표'!J55,$BG$9),COUNTIF('1.연간시수표'!J55,$BG$7),COUNTIF('1.연간시수표'!J55,$BH$9),COUNTIF('1.연간시수표'!J55,$BH$7),COUNTIF('1.연간시수표'!J55,$BI$9),COUNTIF('1.연간시수표'!J55,$BI$7),COUNTIF('1.연간시수표'!J55,$BJ$9),COUNTIF('1.연간시수표'!J55,$BJ$7),COUNTIF('1.연간시수표'!J55,$BK$9),COUNTIF('1.연간시수표'!J55,$BK$7),COUNTIF('1.연간시수표'!J55,$BL$9),COUNTIF('1.연간시수표'!J55,$BL$7),COUNTIF('1.연간시수표'!J55,$BM$9),COUNTIF('1.연간시수표'!J55,$BM$7)),$BF$6,IF(OR(COUNTIF('1.연간시수표'!J55,$BO$9),COUNTIF('1.연간시수표'!J55,$BO$7)),$BO$6,IF(OR(COUNTIF('1.연간시수표'!J55,$BP$9),COUNTIF('1.연간시수표'!J55,$BP$7)),$BP$6,IF(OR(COUNTIF('1.연간시수표'!J55,$BQ$9),COUNTIF('1.연간시수표'!J55,$BQ$7)),$BQ$6,IF(OR(COUNTIF('1.연간시수표'!J55,$BR$9),COUNTIF('1.연간시수표'!J55,$BR$7)),$BR$6,"_")))))))))))))))</f>
        <v>자율활동</v>
      </c>
      <c r="K55" s="148" t="str">
        <f>IF(OR(COUNTIF('1.연간시수표'!K55,$AT$9),COUNTIF('1.연간시수표'!K55,$AT$7)),$AT$6,IF(OR(COUNTIF('1.연간시수표'!K55,$AU$9),COUNTIF('1.연간시수표'!K55,$AU$7)),$AU$6,IF(OR(COUNTIF('1.연간시수표'!K55,$AV$9),COUNTIF('1.연간시수표'!K55,$AV$7)),$AV$6,IF(OR(COUNTIF('1.연간시수표'!K55,$AW$9),COUNTIF('1.연간시수표'!K55,$AW$7)),$AW$6,IF(OR(COUNTIF('1.연간시수표'!K55,$AX$9),COUNTIF('1.연간시수표'!K55,$AX$7)),$AX$6,IF(OR(COUNTIF('1.연간시수표'!K55,$AY$9),COUNTIF('1.연간시수표'!K55,$AY$7)),$AY$6,IF(OR(COUNTIF('1.연간시수표'!K55,$AZ$9),COUNTIF('1.연간시수표'!K55,$AZ$7)),$AZ$6,IF(OR(COUNTIF('1.연간시수표'!K55,$BA$9),COUNTIF('1.연간시수표'!K55,$BA$7)),$BA$6,IF(OR(COUNTIF('1.연간시수표'!K55,$BB$9),COUNTIF('1.연간시수표'!K55,$BB$7)),$BB$6,IF(OR(COUNTIF('1.연간시수표'!K55,$BC$9),COUNTIF('1.연간시수표'!K55,$BC$7)),$BC$6,IF(OR(COUNTIF('1.연간시수표'!K55,$BF$9),COUNTIF('1.연간시수표'!K55,$BF$7),COUNTIF('1.연간시수표'!K55,$BG$9),COUNTIF('1.연간시수표'!K55,$BG$7),COUNTIF('1.연간시수표'!K55,$BH$9),COUNTIF('1.연간시수표'!K55,$BH$7),COUNTIF('1.연간시수표'!K55,$BI$9),COUNTIF('1.연간시수표'!K55,$BI$7),COUNTIF('1.연간시수표'!K55,$BJ$9),COUNTIF('1.연간시수표'!K55,$BJ$7),COUNTIF('1.연간시수표'!K55,$BK$9),COUNTIF('1.연간시수표'!K55,$BK$7),COUNTIF('1.연간시수표'!K55,$BL$9),COUNTIF('1.연간시수표'!K55,$BL$7),COUNTIF('1.연간시수표'!K55,$BM$9),COUNTIF('1.연간시수표'!K55,$BM$7)),$BF$6,IF(OR(COUNTIF('1.연간시수표'!K55,$BO$9),COUNTIF('1.연간시수표'!K55,$BO$7)),$BO$6,IF(OR(COUNTIF('1.연간시수표'!K55,$BP$9),COUNTIF('1.연간시수표'!K55,$BP$7)),$BP$6,IF(OR(COUNTIF('1.연간시수표'!K55,$BQ$9),COUNTIF('1.연간시수표'!K55,$BQ$7)),$BQ$6,IF(OR(COUNTIF('1.연간시수표'!K55,$BR$9),COUNTIF('1.연간시수표'!K55,$BR$7)),$BR$6,"_")))))))))))))))</f>
        <v>_</v>
      </c>
      <c r="L55" s="148" t="str">
        <f>IF(OR(COUNTIF('1.연간시수표'!L55,$AT$9),COUNTIF('1.연간시수표'!L55,$AT$7)),$AT$6,IF(OR(COUNTIF('1.연간시수표'!L55,$AU$9),COUNTIF('1.연간시수표'!L55,$AU$7)),$AU$6,IF(OR(COUNTIF('1.연간시수표'!L55,$AV$9),COUNTIF('1.연간시수표'!L55,$AV$7)),$AV$6,IF(OR(COUNTIF('1.연간시수표'!L55,$AW$9),COUNTIF('1.연간시수표'!L55,$AW$7)),$AW$6,IF(OR(COUNTIF('1.연간시수표'!L55,$AX$9),COUNTIF('1.연간시수표'!L55,$AX$7)),$AX$6,IF(OR(COUNTIF('1.연간시수표'!L55,$AY$9),COUNTIF('1.연간시수표'!L55,$AY$7)),$AY$6,IF(OR(COUNTIF('1.연간시수표'!L55,$AZ$9),COUNTIF('1.연간시수표'!L55,$AZ$7)),$AZ$6,IF(OR(COUNTIF('1.연간시수표'!L55,$BA$9),COUNTIF('1.연간시수표'!L55,$BA$7)),$BA$6,IF(OR(COUNTIF('1.연간시수표'!L55,$BB$9),COUNTIF('1.연간시수표'!L55,$BB$7)),$BB$6,IF(OR(COUNTIF('1.연간시수표'!L55,$BC$9),COUNTIF('1.연간시수표'!L55,$BC$7)),$BC$6,IF(OR(COUNTIF('1.연간시수표'!L55,$BF$9),COUNTIF('1.연간시수표'!L55,$BF$7),COUNTIF('1.연간시수표'!L55,$BG$9),COUNTIF('1.연간시수표'!L55,$BG$7),COUNTIF('1.연간시수표'!L55,$BH$9),COUNTIF('1.연간시수표'!L55,$BH$7),COUNTIF('1.연간시수표'!L55,$BI$9),COUNTIF('1.연간시수표'!L55,$BI$7),COUNTIF('1.연간시수표'!L55,$BJ$9),COUNTIF('1.연간시수표'!L55,$BJ$7),COUNTIF('1.연간시수표'!L55,$BK$9),COUNTIF('1.연간시수표'!L55,$BK$7),COUNTIF('1.연간시수표'!L55,$BL$9),COUNTIF('1.연간시수표'!L55,$BL$7),COUNTIF('1.연간시수표'!L55,$BM$9),COUNTIF('1.연간시수표'!L55,$BM$7)),$BF$6,IF(OR(COUNTIF('1.연간시수표'!L55,$BO$9),COUNTIF('1.연간시수표'!L55,$BO$7)),$BO$6,IF(OR(COUNTIF('1.연간시수표'!L55,$BP$9),COUNTIF('1.연간시수표'!L55,$BP$7)),$BP$6,IF(OR(COUNTIF('1.연간시수표'!L55,$BQ$9),COUNTIF('1.연간시수표'!L55,$BQ$7)),$BQ$6,IF(OR(COUNTIF('1.연간시수표'!L55,$BR$9),COUNTIF('1.연간시수표'!L55,$BR$7)),$BR$6,"_")))))))))))))))</f>
        <v>_</v>
      </c>
      <c r="M55" s="148" t="str">
        <f>IF(OR(COUNTIF('1.연간시수표'!M55,$AT$9),COUNTIF('1.연간시수표'!M55,$AT$7)),$AT$6,IF(OR(COUNTIF('1.연간시수표'!M55,$AU$9),COUNTIF('1.연간시수표'!M55,$AU$7)),$AU$6,IF(OR(COUNTIF('1.연간시수표'!M55,$AV$9),COUNTIF('1.연간시수표'!M55,$AV$7)),$AV$6,IF(OR(COUNTIF('1.연간시수표'!M55,$AW$9),COUNTIF('1.연간시수표'!M55,$AW$7)),$AW$6,IF(OR(COUNTIF('1.연간시수표'!M55,$AX$9),COUNTIF('1.연간시수표'!M55,$AX$7)),$AX$6,IF(OR(COUNTIF('1.연간시수표'!M55,$AY$9),COUNTIF('1.연간시수표'!M55,$AY$7)),$AY$6,IF(OR(COUNTIF('1.연간시수표'!M55,$AZ$9),COUNTIF('1.연간시수표'!M55,$AZ$7)),$AZ$6,IF(OR(COUNTIF('1.연간시수표'!M55,$BA$9),COUNTIF('1.연간시수표'!M55,$BA$7)),$BA$6,IF(OR(COUNTIF('1.연간시수표'!M55,$BB$9),COUNTIF('1.연간시수표'!M55,$BB$7)),$BB$6,IF(OR(COUNTIF('1.연간시수표'!M55,$BC$9),COUNTIF('1.연간시수표'!M55,$BC$7)),$BC$6,IF(OR(COUNTIF('1.연간시수표'!M55,$BF$9),COUNTIF('1.연간시수표'!M55,$BF$7),COUNTIF('1.연간시수표'!M55,$BG$9),COUNTIF('1.연간시수표'!M55,$BG$7),COUNTIF('1.연간시수표'!M55,$BH$9),COUNTIF('1.연간시수표'!M55,$BH$7),COUNTIF('1.연간시수표'!M55,$BI$9),COUNTIF('1.연간시수표'!M55,$BI$7),COUNTIF('1.연간시수표'!M55,$BJ$9),COUNTIF('1.연간시수표'!M55,$BJ$7),COUNTIF('1.연간시수표'!M55,$BK$9),COUNTIF('1.연간시수표'!M55,$BK$7),COUNTIF('1.연간시수표'!M55,$BL$9),COUNTIF('1.연간시수표'!M55,$BL$7),COUNTIF('1.연간시수표'!M55,$BM$9),COUNTIF('1.연간시수표'!M55,$BM$7)),$BF$6,IF(OR(COUNTIF('1.연간시수표'!M55,$BO$9),COUNTIF('1.연간시수표'!M55,$BO$7)),$BO$6,IF(OR(COUNTIF('1.연간시수표'!M55,$BP$9),COUNTIF('1.연간시수표'!M55,$BP$7)),$BP$6,IF(OR(COUNTIF('1.연간시수표'!M55,$BQ$9),COUNTIF('1.연간시수표'!M55,$BQ$7)),$BQ$6,IF(OR(COUNTIF('1.연간시수표'!M55,$BR$9),COUNTIF('1.연간시수표'!M55,$BR$7)),$BR$6,"_")))))))))))))))</f>
        <v>국어</v>
      </c>
      <c r="N55" s="148" t="str">
        <f>IF(OR(COUNTIF('1.연간시수표'!N55,$AT$9),COUNTIF('1.연간시수표'!N55,$AT$7)),$AT$6,IF(OR(COUNTIF('1.연간시수표'!N55,$AU$9),COUNTIF('1.연간시수표'!N55,$AU$7)),$AU$6,IF(OR(COUNTIF('1.연간시수표'!N55,$AV$9),COUNTIF('1.연간시수표'!N55,$AV$7)),$AV$6,IF(OR(COUNTIF('1.연간시수표'!N55,$AW$9),COUNTIF('1.연간시수표'!N55,$AW$7)),$AW$6,IF(OR(COUNTIF('1.연간시수표'!N55,$AX$9),COUNTIF('1.연간시수표'!N55,$AX$7)),$AX$6,IF(OR(COUNTIF('1.연간시수표'!N55,$AY$9),COUNTIF('1.연간시수표'!N55,$AY$7)),$AY$6,IF(OR(COUNTIF('1.연간시수표'!N55,$AZ$9),COUNTIF('1.연간시수표'!N55,$AZ$7)),$AZ$6,IF(OR(COUNTIF('1.연간시수표'!N55,$BA$9),COUNTIF('1.연간시수표'!N55,$BA$7)),$BA$6,IF(OR(COUNTIF('1.연간시수표'!N55,$BB$9),COUNTIF('1.연간시수표'!N55,$BB$7)),$BB$6,IF(OR(COUNTIF('1.연간시수표'!N55,$BC$9),COUNTIF('1.연간시수표'!N55,$BC$7)),$BC$6,IF(OR(COUNTIF('1.연간시수표'!N55,$BF$9),COUNTIF('1.연간시수표'!N55,$BF$7),COUNTIF('1.연간시수표'!N55,$BG$9),COUNTIF('1.연간시수표'!N55,$BG$7),COUNTIF('1.연간시수표'!N55,$BH$9),COUNTIF('1.연간시수표'!N55,$BH$7),COUNTIF('1.연간시수표'!N55,$BI$9),COUNTIF('1.연간시수표'!N55,$BI$7),COUNTIF('1.연간시수표'!N55,$BJ$9),COUNTIF('1.연간시수표'!N55,$BJ$7),COUNTIF('1.연간시수표'!N55,$BK$9),COUNTIF('1.연간시수표'!N55,$BK$7),COUNTIF('1.연간시수표'!N55,$BL$9),COUNTIF('1.연간시수표'!N55,$BL$7),COUNTIF('1.연간시수표'!N55,$BM$9),COUNTIF('1.연간시수표'!N55,$BM$7)),$BF$6,IF(OR(COUNTIF('1.연간시수표'!N55,$BO$9),COUNTIF('1.연간시수표'!N55,$BO$7)),$BO$6,IF(OR(COUNTIF('1.연간시수표'!N55,$BP$9),COUNTIF('1.연간시수표'!N55,$BP$7)),$BP$6,IF(OR(COUNTIF('1.연간시수표'!N55,$BQ$9),COUNTIF('1.연간시수표'!N55,$BQ$7)),$BQ$6,IF(OR(COUNTIF('1.연간시수표'!N55,$BR$9),COUNTIF('1.연간시수표'!N55,$BR$7)),$BR$6,"_")))))))))))))))</f>
        <v>국어</v>
      </c>
      <c r="O55" s="148" t="str">
        <f>IF(OR(COUNTIF('1.연간시수표'!O55,$AT$9),COUNTIF('1.연간시수표'!O55,$AT$7)),$AT$6,IF(OR(COUNTIF('1.연간시수표'!O55,$AU$9),COUNTIF('1.연간시수표'!O55,$AU$7)),$AU$6,IF(OR(COUNTIF('1.연간시수표'!O55,$AV$9),COUNTIF('1.연간시수표'!O55,$AV$7)),$AV$6,IF(OR(COUNTIF('1.연간시수표'!O55,$AW$9),COUNTIF('1.연간시수표'!O55,$AW$7)),$AW$6,IF(OR(COUNTIF('1.연간시수표'!O55,$AX$9),COUNTIF('1.연간시수표'!O55,$AX$7)),$AX$6,IF(OR(COUNTIF('1.연간시수표'!O55,$AY$9),COUNTIF('1.연간시수표'!O55,$AY$7)),$AY$6,IF(OR(COUNTIF('1.연간시수표'!O55,$AZ$9),COUNTIF('1.연간시수표'!O55,$AZ$7)),$AZ$6,IF(OR(COUNTIF('1.연간시수표'!O55,$BA$9),COUNTIF('1.연간시수표'!O55,$BA$7)),$BA$6,IF(OR(COUNTIF('1.연간시수표'!O55,$BB$9),COUNTIF('1.연간시수표'!O55,$BB$7)),$BB$6,IF(OR(COUNTIF('1.연간시수표'!O55,$BC$9),COUNTIF('1.연간시수표'!O55,$BC$7)),$BC$6,IF(OR(COUNTIF('1.연간시수표'!O55,$BF$9),COUNTIF('1.연간시수표'!O55,$BF$7),COUNTIF('1.연간시수표'!O55,$BG$9),COUNTIF('1.연간시수표'!O55,$BG$7),COUNTIF('1.연간시수표'!O55,$BH$9),COUNTIF('1.연간시수표'!O55,$BH$7),COUNTIF('1.연간시수표'!O55,$BI$9),COUNTIF('1.연간시수표'!O55,$BI$7),COUNTIF('1.연간시수표'!O55,$BJ$9),COUNTIF('1.연간시수표'!O55,$BJ$7),COUNTIF('1.연간시수표'!O55,$BK$9),COUNTIF('1.연간시수표'!O55,$BK$7),COUNTIF('1.연간시수표'!O55,$BL$9),COUNTIF('1.연간시수표'!O55,$BL$7),COUNTIF('1.연간시수표'!O55,$BM$9),COUNTIF('1.연간시수표'!O55,$BM$7)),$BF$6,IF(OR(COUNTIF('1.연간시수표'!O55,$BO$9),COUNTIF('1.연간시수표'!O55,$BO$7)),$BO$6,IF(OR(COUNTIF('1.연간시수표'!O55,$BP$9),COUNTIF('1.연간시수표'!O55,$BP$7)),$BP$6,IF(OR(COUNTIF('1.연간시수표'!O55,$BQ$9),COUNTIF('1.연간시수표'!O55,$BQ$7)),$BQ$6,IF(OR(COUNTIF('1.연간시수표'!O55,$BR$9),COUNTIF('1.연간시수표'!O55,$BR$7)),$BR$6,"_")))))))))))))))</f>
        <v>사회</v>
      </c>
      <c r="P55" s="148" t="str">
        <f>IF(OR(COUNTIF('1.연간시수표'!P55,$AT$9),COUNTIF('1.연간시수표'!P55,$AT$7)),$AT$6,IF(OR(COUNTIF('1.연간시수표'!P55,$AU$9),COUNTIF('1.연간시수표'!P55,$AU$7)),$AU$6,IF(OR(COUNTIF('1.연간시수표'!P55,$AV$9),COUNTIF('1.연간시수표'!P55,$AV$7)),$AV$6,IF(OR(COUNTIF('1.연간시수표'!P55,$AW$9),COUNTIF('1.연간시수표'!P55,$AW$7)),$AW$6,IF(OR(COUNTIF('1.연간시수표'!P55,$AX$9),COUNTIF('1.연간시수표'!P55,$AX$7)),$AX$6,IF(OR(COUNTIF('1.연간시수표'!P55,$AY$9),COUNTIF('1.연간시수표'!P55,$AY$7)),$AY$6,IF(OR(COUNTIF('1.연간시수표'!P55,$AZ$9),COUNTIF('1.연간시수표'!P55,$AZ$7)),$AZ$6,IF(OR(COUNTIF('1.연간시수표'!P55,$BA$9),COUNTIF('1.연간시수표'!P55,$BA$7)),$BA$6,IF(OR(COUNTIF('1.연간시수표'!P55,$BB$9),COUNTIF('1.연간시수표'!P55,$BB$7)),$BB$6,IF(OR(COUNTIF('1.연간시수표'!P55,$BC$9),COUNTIF('1.연간시수표'!P55,$BC$7)),$BC$6,IF(OR(COUNTIF('1.연간시수표'!P55,$BF$9),COUNTIF('1.연간시수표'!P55,$BF$7),COUNTIF('1.연간시수표'!P55,$BG$9),COUNTIF('1.연간시수표'!P55,$BG$7),COUNTIF('1.연간시수표'!P55,$BH$9),COUNTIF('1.연간시수표'!P55,$BH$7),COUNTIF('1.연간시수표'!P55,$BI$9),COUNTIF('1.연간시수표'!P55,$BI$7),COUNTIF('1.연간시수표'!P55,$BJ$9),COUNTIF('1.연간시수표'!P55,$BJ$7),COUNTIF('1.연간시수표'!P55,$BK$9),COUNTIF('1.연간시수표'!P55,$BK$7),COUNTIF('1.연간시수표'!P55,$BL$9),COUNTIF('1.연간시수표'!P55,$BL$7),COUNTIF('1.연간시수표'!P55,$BM$9),COUNTIF('1.연간시수표'!P55,$BM$7)),$BF$6,IF(OR(COUNTIF('1.연간시수표'!P55,$BO$9),COUNTIF('1.연간시수표'!P55,$BO$7)),$BO$6,IF(OR(COUNTIF('1.연간시수표'!P55,$BP$9),COUNTIF('1.연간시수표'!P55,$BP$7)),$BP$6,IF(OR(COUNTIF('1.연간시수표'!P55,$BQ$9),COUNTIF('1.연간시수표'!P55,$BQ$7)),$BQ$6,IF(OR(COUNTIF('1.연간시수표'!P55,$BR$9),COUNTIF('1.연간시수표'!P55,$BR$7)),$BR$6,"_")))))))))))))))</f>
        <v>수학</v>
      </c>
      <c r="Q55" s="148" t="str">
        <f>IF(OR(COUNTIF('1.연간시수표'!Q55,$AT$9),COUNTIF('1.연간시수표'!Q55,$AT$7)),$AT$6,IF(OR(COUNTIF('1.연간시수표'!Q55,$AU$9),COUNTIF('1.연간시수표'!Q55,$AU$7)),$AU$6,IF(OR(COUNTIF('1.연간시수표'!Q55,$AV$9),COUNTIF('1.연간시수표'!Q55,$AV$7)),$AV$6,IF(OR(COUNTIF('1.연간시수표'!Q55,$AW$9),COUNTIF('1.연간시수표'!Q55,$AW$7)),$AW$6,IF(OR(COUNTIF('1.연간시수표'!Q55,$AX$9),COUNTIF('1.연간시수표'!Q55,$AX$7)),$AX$6,IF(OR(COUNTIF('1.연간시수표'!Q55,$AY$9),COUNTIF('1.연간시수표'!Q55,$AY$7)),$AY$6,IF(OR(COUNTIF('1.연간시수표'!Q55,$AZ$9),COUNTIF('1.연간시수표'!Q55,$AZ$7)),$AZ$6,IF(OR(COUNTIF('1.연간시수표'!Q55,$BA$9),COUNTIF('1.연간시수표'!Q55,$BA$7)),$BA$6,IF(OR(COUNTIF('1.연간시수표'!Q55,$BB$9),COUNTIF('1.연간시수표'!Q55,$BB$7)),$BB$6,IF(OR(COUNTIF('1.연간시수표'!Q55,$BC$9),COUNTIF('1.연간시수표'!Q55,$BC$7)),$BC$6,IF(OR(COUNTIF('1.연간시수표'!Q55,$BF$9),COUNTIF('1.연간시수표'!Q55,$BF$7),COUNTIF('1.연간시수표'!Q55,$BG$9),COUNTIF('1.연간시수표'!Q55,$BG$7),COUNTIF('1.연간시수표'!Q55,$BH$9),COUNTIF('1.연간시수표'!Q55,$BH$7),COUNTIF('1.연간시수표'!Q55,$BI$9),COUNTIF('1.연간시수표'!Q55,$BI$7),COUNTIF('1.연간시수표'!Q55,$BJ$9),COUNTIF('1.연간시수표'!Q55,$BJ$7),COUNTIF('1.연간시수표'!Q55,$BK$9),COUNTIF('1.연간시수표'!Q55,$BK$7),COUNTIF('1.연간시수표'!Q55,$BL$9),COUNTIF('1.연간시수표'!Q55,$BL$7),COUNTIF('1.연간시수표'!Q55,$BM$9),COUNTIF('1.연간시수표'!Q55,$BM$7)),$BF$6,IF(OR(COUNTIF('1.연간시수표'!Q55,$BO$9),COUNTIF('1.연간시수표'!Q55,$BO$7)),$BO$6,IF(OR(COUNTIF('1.연간시수표'!Q55,$BP$9),COUNTIF('1.연간시수표'!Q55,$BP$7)),$BP$6,IF(OR(COUNTIF('1.연간시수표'!Q55,$BQ$9),COUNTIF('1.연간시수표'!Q55,$BQ$7)),$BQ$6,IF(OR(COUNTIF('1.연간시수표'!Q55,$BR$9),COUNTIF('1.연간시수표'!Q55,$BR$7)),$BR$6,"_")))))))))))))))</f>
        <v>과학</v>
      </c>
      <c r="R55" s="148" t="str">
        <f>IF(OR(COUNTIF('1.연간시수표'!R55,$AT$9),COUNTIF('1.연간시수표'!R55,$AT$7)),$AT$6,IF(OR(COUNTIF('1.연간시수표'!R55,$AU$9),COUNTIF('1.연간시수표'!R55,$AU$7)),$AU$6,IF(OR(COUNTIF('1.연간시수표'!R55,$AV$9),COUNTIF('1.연간시수표'!R55,$AV$7)),$AV$6,IF(OR(COUNTIF('1.연간시수표'!R55,$AW$9),COUNTIF('1.연간시수표'!R55,$AW$7)),$AW$6,IF(OR(COUNTIF('1.연간시수표'!R55,$AX$9),COUNTIF('1.연간시수표'!R55,$AX$7)),$AX$6,IF(OR(COUNTIF('1.연간시수표'!R55,$AY$9),COUNTIF('1.연간시수표'!R55,$AY$7)),$AY$6,IF(OR(COUNTIF('1.연간시수표'!R55,$AZ$9),COUNTIF('1.연간시수표'!R55,$AZ$7)),$AZ$6,IF(OR(COUNTIF('1.연간시수표'!R55,$BA$9),COUNTIF('1.연간시수표'!R55,$BA$7)),$BA$6,IF(OR(COUNTIF('1.연간시수표'!R55,$BB$9),COUNTIF('1.연간시수표'!R55,$BB$7)),$BB$6,IF(OR(COUNTIF('1.연간시수표'!R55,$BC$9),COUNTIF('1.연간시수표'!R55,$BC$7)),$BC$6,IF(OR(COUNTIF('1.연간시수표'!R55,$BF$9),COUNTIF('1.연간시수표'!R55,$BF$7),COUNTIF('1.연간시수표'!R55,$BG$9),COUNTIF('1.연간시수표'!R55,$BG$7),COUNTIF('1.연간시수표'!R55,$BH$9),COUNTIF('1.연간시수표'!R55,$BH$7),COUNTIF('1.연간시수표'!R55,$BI$9),COUNTIF('1.연간시수표'!R55,$BI$7),COUNTIF('1.연간시수표'!R55,$BJ$9),COUNTIF('1.연간시수표'!R55,$BJ$7),COUNTIF('1.연간시수표'!R55,$BK$9),COUNTIF('1.연간시수표'!R55,$BK$7),COUNTIF('1.연간시수표'!R55,$BL$9),COUNTIF('1.연간시수표'!R55,$BL$7),COUNTIF('1.연간시수표'!R55,$BM$9),COUNTIF('1.연간시수표'!R55,$BM$7)),$BF$6,IF(OR(COUNTIF('1.연간시수표'!R55,$BO$9),COUNTIF('1.연간시수표'!R55,$BO$7)),$BO$6,IF(OR(COUNTIF('1.연간시수표'!R55,$BP$9),COUNTIF('1.연간시수표'!R55,$BP$7)),$BP$6,IF(OR(COUNTIF('1.연간시수표'!R55,$BQ$9),COUNTIF('1.연간시수표'!R55,$BQ$7)),$BQ$6,IF(OR(COUNTIF('1.연간시수표'!R55,$BR$9),COUNTIF('1.연간시수표'!R55,$BR$7)),$BR$6,"_")))))))))))))))</f>
        <v>실과</v>
      </c>
      <c r="S55" s="148" t="str">
        <f>IF(OR(COUNTIF('1.연간시수표'!S55,$AT$9),COUNTIF('1.연간시수표'!S55,$AT$7)),$AT$6,IF(OR(COUNTIF('1.연간시수표'!S55,$AU$9),COUNTIF('1.연간시수표'!S55,$AU$7)),$AU$6,IF(OR(COUNTIF('1.연간시수표'!S55,$AV$9),COUNTIF('1.연간시수표'!S55,$AV$7)),$AV$6,IF(OR(COUNTIF('1.연간시수표'!S55,$AW$9),COUNTIF('1.연간시수표'!S55,$AW$7)),$AW$6,IF(OR(COUNTIF('1.연간시수표'!S55,$AX$9),COUNTIF('1.연간시수표'!S55,$AX$7)),$AX$6,IF(OR(COUNTIF('1.연간시수표'!S55,$AY$9),COUNTIF('1.연간시수표'!S55,$AY$7)),$AY$6,IF(OR(COUNTIF('1.연간시수표'!S55,$AZ$9),COUNTIF('1.연간시수표'!S55,$AZ$7)),$AZ$6,IF(OR(COUNTIF('1.연간시수표'!S55,$BA$9),COUNTIF('1.연간시수표'!S55,$BA$7)),$BA$6,IF(OR(COUNTIF('1.연간시수표'!S55,$BB$9),COUNTIF('1.연간시수표'!S55,$BB$7)),$BB$6,IF(OR(COUNTIF('1.연간시수표'!S55,$BC$9),COUNTIF('1.연간시수표'!S55,$BC$7)),$BC$6,IF(OR(COUNTIF('1.연간시수표'!S55,$BF$9),COUNTIF('1.연간시수표'!S55,$BF$7),COUNTIF('1.연간시수표'!S55,$BG$9),COUNTIF('1.연간시수표'!S55,$BG$7),COUNTIF('1.연간시수표'!S55,$BH$9),COUNTIF('1.연간시수표'!S55,$BH$7),COUNTIF('1.연간시수표'!S55,$BI$9),COUNTIF('1.연간시수표'!S55,$BI$7),COUNTIF('1.연간시수표'!S55,$BJ$9),COUNTIF('1.연간시수표'!S55,$BJ$7),COUNTIF('1.연간시수표'!S55,$BK$9),COUNTIF('1.연간시수표'!S55,$BK$7),COUNTIF('1.연간시수표'!S55,$BL$9),COUNTIF('1.연간시수표'!S55,$BL$7),COUNTIF('1.연간시수표'!S55,$BM$9),COUNTIF('1.연간시수표'!S55,$BM$7)),$BF$6,IF(OR(COUNTIF('1.연간시수표'!S55,$BO$9),COUNTIF('1.연간시수표'!S55,$BO$7)),$BO$6,IF(OR(COUNTIF('1.연간시수표'!S55,$BP$9),COUNTIF('1.연간시수표'!S55,$BP$7)),$BP$6,IF(OR(COUNTIF('1.연간시수표'!S55,$BQ$9),COUNTIF('1.연간시수표'!S55,$BQ$7)),$BQ$6,IF(OR(COUNTIF('1.연간시수표'!S55,$BR$9),COUNTIF('1.연간시수표'!S55,$BR$7)),$BR$6,"_")))))))))))))))</f>
        <v>_</v>
      </c>
      <c r="T55" s="148" t="str">
        <f>IF(OR(COUNTIF('1.연간시수표'!T55,$AT$9),COUNTIF('1.연간시수표'!T55,$AT$7)),$AT$6,IF(OR(COUNTIF('1.연간시수표'!T55,$AU$9),COUNTIF('1.연간시수표'!T55,$AU$7)),$AU$6,IF(OR(COUNTIF('1.연간시수표'!T55,$AV$9),COUNTIF('1.연간시수표'!T55,$AV$7)),$AV$6,IF(OR(COUNTIF('1.연간시수표'!T55,$AW$9),COUNTIF('1.연간시수표'!T55,$AW$7)),$AW$6,IF(OR(COUNTIF('1.연간시수표'!T55,$AX$9),COUNTIF('1.연간시수표'!T55,$AX$7)),$AX$6,IF(OR(COUNTIF('1.연간시수표'!T55,$AY$9),COUNTIF('1.연간시수표'!T55,$AY$7)),$AY$6,IF(OR(COUNTIF('1.연간시수표'!T55,$AZ$9),COUNTIF('1.연간시수표'!T55,$AZ$7)),$AZ$6,IF(OR(COUNTIF('1.연간시수표'!T55,$BA$9),COUNTIF('1.연간시수표'!T55,$BA$7)),$BA$6,IF(OR(COUNTIF('1.연간시수표'!T55,$BB$9),COUNTIF('1.연간시수표'!T55,$BB$7)),$BB$6,IF(OR(COUNTIF('1.연간시수표'!T55,$BC$9),COUNTIF('1.연간시수표'!T55,$BC$7)),$BC$6,IF(OR(COUNTIF('1.연간시수표'!T55,$BF$9),COUNTIF('1.연간시수표'!T55,$BF$7),COUNTIF('1.연간시수표'!T55,$BG$9),COUNTIF('1.연간시수표'!T55,$BG$7),COUNTIF('1.연간시수표'!T55,$BH$9),COUNTIF('1.연간시수표'!T55,$BH$7),COUNTIF('1.연간시수표'!T55,$BI$9),COUNTIF('1.연간시수표'!T55,$BI$7),COUNTIF('1.연간시수표'!T55,$BJ$9),COUNTIF('1.연간시수표'!T55,$BJ$7),COUNTIF('1.연간시수표'!T55,$BK$9),COUNTIF('1.연간시수표'!T55,$BK$7),COUNTIF('1.연간시수표'!T55,$BL$9),COUNTIF('1.연간시수표'!T55,$BL$7),COUNTIF('1.연간시수표'!T55,$BM$9),COUNTIF('1.연간시수표'!T55,$BM$7)),$BF$6,IF(OR(COUNTIF('1.연간시수표'!T55,$BO$9),COUNTIF('1.연간시수표'!T55,$BO$7)),$BO$6,IF(OR(COUNTIF('1.연간시수표'!T55,$BP$9),COUNTIF('1.연간시수표'!T55,$BP$7)),$BP$6,IF(OR(COUNTIF('1.연간시수표'!T55,$BQ$9),COUNTIF('1.연간시수표'!T55,$BQ$7)),$BQ$6,IF(OR(COUNTIF('1.연간시수표'!T55,$BR$9),COUNTIF('1.연간시수표'!T55,$BR$7)),$BR$6,"_")))))))))))))))</f>
        <v>_</v>
      </c>
      <c r="U55" s="148" t="str">
        <f>IF(OR(COUNTIF('1.연간시수표'!U55,$AT$9),COUNTIF('1.연간시수표'!U55,$AT$7)),$AT$6,IF(OR(COUNTIF('1.연간시수표'!U55,$AU$9),COUNTIF('1.연간시수표'!U55,$AU$7)),$AU$6,IF(OR(COUNTIF('1.연간시수표'!U55,$AV$9),COUNTIF('1.연간시수표'!U55,$AV$7)),$AV$6,IF(OR(COUNTIF('1.연간시수표'!U55,$AW$9),COUNTIF('1.연간시수표'!U55,$AW$7)),$AW$6,IF(OR(COUNTIF('1.연간시수표'!U55,$AX$9),COUNTIF('1.연간시수표'!U55,$AX$7)),$AX$6,IF(OR(COUNTIF('1.연간시수표'!U55,$AY$9),COUNTIF('1.연간시수표'!U55,$AY$7)),$AY$6,IF(OR(COUNTIF('1.연간시수표'!U55,$AZ$9),COUNTIF('1.연간시수표'!U55,$AZ$7)),$AZ$6,IF(OR(COUNTIF('1.연간시수표'!U55,$BA$9),COUNTIF('1.연간시수표'!U55,$BA$7)),$BA$6,IF(OR(COUNTIF('1.연간시수표'!U55,$BB$9),COUNTIF('1.연간시수표'!U55,$BB$7)),$BB$6,IF(OR(COUNTIF('1.연간시수표'!U55,$BC$9),COUNTIF('1.연간시수표'!U55,$BC$7)),$BC$6,IF(OR(COUNTIF('1.연간시수표'!U55,$BF$9),COUNTIF('1.연간시수표'!U55,$BF$7),COUNTIF('1.연간시수표'!U55,$BG$9),COUNTIF('1.연간시수표'!U55,$BG$7),COUNTIF('1.연간시수표'!U55,$BH$9),COUNTIF('1.연간시수표'!U55,$BH$7),COUNTIF('1.연간시수표'!U55,$BI$9),COUNTIF('1.연간시수표'!U55,$BI$7),COUNTIF('1.연간시수표'!U55,$BJ$9),COUNTIF('1.연간시수표'!U55,$BJ$7),COUNTIF('1.연간시수표'!U55,$BK$9),COUNTIF('1.연간시수표'!U55,$BK$7),COUNTIF('1.연간시수표'!U55,$BL$9),COUNTIF('1.연간시수표'!U55,$BL$7),COUNTIF('1.연간시수표'!U55,$BM$9),COUNTIF('1.연간시수표'!U55,$BM$7)),$BF$6,IF(OR(COUNTIF('1.연간시수표'!U55,$BO$9),COUNTIF('1.연간시수표'!U55,$BO$7)),$BO$6,IF(OR(COUNTIF('1.연간시수표'!U55,$BP$9),COUNTIF('1.연간시수표'!U55,$BP$7)),$BP$6,IF(OR(COUNTIF('1.연간시수표'!U55,$BQ$9),COUNTIF('1.연간시수표'!U55,$BQ$7)),$BQ$6,IF(OR(COUNTIF('1.연간시수표'!U55,$BR$9),COUNTIF('1.연간시수표'!U55,$BR$7)),$BR$6,"_")))))))))))))))</f>
        <v>영어</v>
      </c>
      <c r="V55" s="148" t="str">
        <f>IF(OR(COUNTIF('1.연간시수표'!V55,$AT$9),COUNTIF('1.연간시수표'!V55,$AT$7)),$AT$6,IF(OR(COUNTIF('1.연간시수표'!V55,$AU$9),COUNTIF('1.연간시수표'!V55,$AU$7)),$AU$6,IF(OR(COUNTIF('1.연간시수표'!V55,$AV$9),COUNTIF('1.연간시수표'!V55,$AV$7)),$AV$6,IF(OR(COUNTIF('1.연간시수표'!V55,$AW$9),COUNTIF('1.연간시수표'!V55,$AW$7)),$AW$6,IF(OR(COUNTIF('1.연간시수표'!V55,$AX$9),COUNTIF('1.연간시수표'!V55,$AX$7)),$AX$6,IF(OR(COUNTIF('1.연간시수표'!V55,$AY$9),COUNTIF('1.연간시수표'!V55,$AY$7)),$AY$6,IF(OR(COUNTIF('1.연간시수표'!V55,$AZ$9),COUNTIF('1.연간시수표'!V55,$AZ$7)),$AZ$6,IF(OR(COUNTIF('1.연간시수표'!V55,$BA$9),COUNTIF('1.연간시수표'!V55,$BA$7)),$BA$6,IF(OR(COUNTIF('1.연간시수표'!V55,$BB$9),COUNTIF('1.연간시수표'!V55,$BB$7)),$BB$6,IF(OR(COUNTIF('1.연간시수표'!V55,$BC$9),COUNTIF('1.연간시수표'!V55,$BC$7)),$BC$6,IF(OR(COUNTIF('1.연간시수표'!V55,$BF$9),COUNTIF('1.연간시수표'!V55,$BF$7),COUNTIF('1.연간시수표'!V55,$BG$9),COUNTIF('1.연간시수표'!V55,$BG$7),COUNTIF('1.연간시수표'!V55,$BH$9),COUNTIF('1.연간시수표'!V55,$BH$7),COUNTIF('1.연간시수표'!V55,$BI$9),COUNTIF('1.연간시수표'!V55,$BI$7),COUNTIF('1.연간시수표'!V55,$BJ$9),COUNTIF('1.연간시수표'!V55,$BJ$7),COUNTIF('1.연간시수표'!V55,$BK$9),COUNTIF('1.연간시수표'!V55,$BK$7),COUNTIF('1.연간시수표'!V55,$BL$9),COUNTIF('1.연간시수표'!V55,$BL$7),COUNTIF('1.연간시수표'!V55,$BM$9),COUNTIF('1.연간시수표'!V55,$BM$7)),$BF$6,IF(OR(COUNTIF('1.연간시수표'!V55,$BO$9),COUNTIF('1.연간시수표'!V55,$BO$7)),$BO$6,IF(OR(COUNTIF('1.연간시수표'!V55,$BP$9),COUNTIF('1.연간시수표'!V55,$BP$7)),$BP$6,IF(OR(COUNTIF('1.연간시수표'!V55,$BQ$9),COUNTIF('1.연간시수표'!V55,$BQ$7)),$BQ$6,IF(OR(COUNTIF('1.연간시수표'!V55,$BR$9),COUNTIF('1.연간시수표'!V55,$BR$7)),$BR$6,"_")))))))))))))))</f>
        <v>과학</v>
      </c>
      <c r="W55" s="148" t="str">
        <f>IF(OR(COUNTIF('1.연간시수표'!W55,$AT$9),COUNTIF('1.연간시수표'!W55,$AT$7)),$AT$6,IF(OR(COUNTIF('1.연간시수표'!W55,$AU$9),COUNTIF('1.연간시수표'!W55,$AU$7)),$AU$6,IF(OR(COUNTIF('1.연간시수표'!W55,$AV$9),COUNTIF('1.연간시수표'!W55,$AV$7)),$AV$6,IF(OR(COUNTIF('1.연간시수표'!W55,$AW$9),COUNTIF('1.연간시수표'!W55,$AW$7)),$AW$6,IF(OR(COUNTIF('1.연간시수표'!W55,$AX$9),COUNTIF('1.연간시수표'!W55,$AX$7)),$AX$6,IF(OR(COUNTIF('1.연간시수표'!W55,$AY$9),COUNTIF('1.연간시수표'!W55,$AY$7)),$AY$6,IF(OR(COUNTIF('1.연간시수표'!W55,$AZ$9),COUNTIF('1.연간시수표'!W55,$AZ$7)),$AZ$6,IF(OR(COUNTIF('1.연간시수표'!W55,$BA$9),COUNTIF('1.연간시수표'!W55,$BA$7)),$BA$6,IF(OR(COUNTIF('1.연간시수표'!W55,$BB$9),COUNTIF('1.연간시수표'!W55,$BB$7)),$BB$6,IF(OR(COUNTIF('1.연간시수표'!W55,$BC$9),COUNTIF('1.연간시수표'!W55,$BC$7)),$BC$6,IF(OR(COUNTIF('1.연간시수표'!W55,$BF$9),COUNTIF('1.연간시수표'!W55,$BF$7),COUNTIF('1.연간시수표'!W55,$BG$9),COUNTIF('1.연간시수표'!W55,$BG$7),COUNTIF('1.연간시수표'!W55,$BH$9),COUNTIF('1.연간시수표'!W55,$BH$7),COUNTIF('1.연간시수표'!W55,$BI$9),COUNTIF('1.연간시수표'!W55,$BI$7),COUNTIF('1.연간시수표'!W55,$BJ$9),COUNTIF('1.연간시수표'!W55,$BJ$7),COUNTIF('1.연간시수표'!W55,$BK$9),COUNTIF('1.연간시수표'!W55,$BK$7),COUNTIF('1.연간시수표'!W55,$BL$9),COUNTIF('1.연간시수표'!W55,$BL$7),COUNTIF('1.연간시수표'!W55,$BM$9),COUNTIF('1.연간시수표'!W55,$BM$7)),$BF$6,IF(OR(COUNTIF('1.연간시수표'!W55,$BO$9),COUNTIF('1.연간시수표'!W55,$BO$7)),$BO$6,IF(OR(COUNTIF('1.연간시수표'!W55,$BP$9),COUNTIF('1.연간시수표'!W55,$BP$7)),$BP$6,IF(OR(COUNTIF('1.연간시수표'!W55,$BQ$9),COUNTIF('1.연간시수표'!W55,$BQ$7)),$BQ$6,IF(OR(COUNTIF('1.연간시수표'!W55,$BR$9),COUNTIF('1.연간시수표'!W55,$BR$7)),$BR$6,"_")))))))))))))))</f>
        <v>체육</v>
      </c>
      <c r="X55" s="148" t="str">
        <f>IF(OR(COUNTIF('1.연간시수표'!X55,$AT$9),COUNTIF('1.연간시수표'!X55,$AT$7)),$AT$6,IF(OR(COUNTIF('1.연간시수표'!X55,$AU$9),COUNTIF('1.연간시수표'!X55,$AU$7)),$AU$6,IF(OR(COUNTIF('1.연간시수표'!X55,$AV$9),COUNTIF('1.연간시수표'!X55,$AV$7)),$AV$6,IF(OR(COUNTIF('1.연간시수표'!X55,$AW$9),COUNTIF('1.연간시수표'!X55,$AW$7)),$AW$6,IF(OR(COUNTIF('1.연간시수표'!X55,$AX$9),COUNTIF('1.연간시수표'!X55,$AX$7)),$AX$6,IF(OR(COUNTIF('1.연간시수표'!X55,$AY$9),COUNTIF('1.연간시수표'!X55,$AY$7)),$AY$6,IF(OR(COUNTIF('1.연간시수표'!X55,$AZ$9),COUNTIF('1.연간시수표'!X55,$AZ$7)),$AZ$6,IF(OR(COUNTIF('1.연간시수표'!X55,$BA$9),COUNTIF('1.연간시수표'!X55,$BA$7)),$BA$6,IF(OR(COUNTIF('1.연간시수표'!X55,$BB$9),COUNTIF('1.연간시수표'!X55,$BB$7)),$BB$6,IF(OR(COUNTIF('1.연간시수표'!X55,$BC$9),COUNTIF('1.연간시수표'!X55,$BC$7)),$BC$6,IF(OR(COUNTIF('1.연간시수표'!X55,$BF$9),COUNTIF('1.연간시수표'!X55,$BF$7),COUNTIF('1.연간시수표'!X55,$BG$9),COUNTIF('1.연간시수표'!X55,$BG$7),COUNTIF('1.연간시수표'!X55,$BH$9),COUNTIF('1.연간시수표'!X55,$BH$7),COUNTIF('1.연간시수표'!X55,$BI$9),COUNTIF('1.연간시수표'!X55,$BI$7),COUNTIF('1.연간시수표'!X55,$BJ$9),COUNTIF('1.연간시수표'!X55,$BJ$7),COUNTIF('1.연간시수표'!X55,$BK$9),COUNTIF('1.연간시수표'!X55,$BK$7),COUNTIF('1.연간시수표'!X55,$BL$9),COUNTIF('1.연간시수표'!X55,$BL$7),COUNTIF('1.연간시수표'!X55,$BM$9),COUNTIF('1.연간시수표'!X55,$BM$7)),$BF$6,IF(OR(COUNTIF('1.연간시수표'!X55,$BO$9),COUNTIF('1.연간시수표'!X55,$BO$7)),$BO$6,IF(OR(COUNTIF('1.연간시수표'!X55,$BP$9),COUNTIF('1.연간시수표'!X55,$BP$7)),$BP$6,IF(OR(COUNTIF('1.연간시수표'!X55,$BQ$9),COUNTIF('1.연간시수표'!X55,$BQ$7)),$BQ$6,IF(OR(COUNTIF('1.연간시수표'!X55,$BR$9),COUNTIF('1.연간시수표'!X55,$BR$7)),$BR$6,"_")))))))))))))))</f>
        <v>음악</v>
      </c>
      <c r="Y55" s="148" t="str">
        <f>IF(OR(COUNTIF('1.연간시수표'!Y55,$AT$9),COUNTIF('1.연간시수표'!Y55,$AT$7)),$AT$6,IF(OR(COUNTIF('1.연간시수표'!Y55,$AU$9),COUNTIF('1.연간시수표'!Y55,$AU$7)),$AU$6,IF(OR(COUNTIF('1.연간시수표'!Y55,$AV$9),COUNTIF('1.연간시수표'!Y55,$AV$7)),$AV$6,IF(OR(COUNTIF('1.연간시수표'!Y55,$AW$9),COUNTIF('1.연간시수표'!Y55,$AW$7)),$AW$6,IF(OR(COUNTIF('1.연간시수표'!Y55,$AX$9),COUNTIF('1.연간시수표'!Y55,$AX$7)),$AX$6,IF(OR(COUNTIF('1.연간시수표'!Y55,$AY$9),COUNTIF('1.연간시수표'!Y55,$AY$7)),$AY$6,IF(OR(COUNTIF('1.연간시수표'!Y55,$AZ$9),COUNTIF('1.연간시수표'!Y55,$AZ$7)),$AZ$6,IF(OR(COUNTIF('1.연간시수표'!Y55,$BA$9),COUNTIF('1.연간시수표'!Y55,$BA$7)),$BA$6,IF(OR(COUNTIF('1.연간시수표'!Y55,$BB$9),COUNTIF('1.연간시수표'!Y55,$BB$7)),$BB$6,IF(OR(COUNTIF('1.연간시수표'!Y55,$BC$9),COUNTIF('1.연간시수표'!Y55,$BC$7)),$BC$6,IF(OR(COUNTIF('1.연간시수표'!Y55,$BF$9),COUNTIF('1.연간시수표'!Y55,$BF$7),COUNTIF('1.연간시수표'!Y55,$BG$9),COUNTIF('1.연간시수표'!Y55,$BG$7),COUNTIF('1.연간시수표'!Y55,$BH$9),COUNTIF('1.연간시수표'!Y55,$BH$7),COUNTIF('1.연간시수표'!Y55,$BI$9),COUNTIF('1.연간시수표'!Y55,$BI$7),COUNTIF('1.연간시수표'!Y55,$BJ$9),COUNTIF('1.연간시수표'!Y55,$BJ$7),COUNTIF('1.연간시수표'!Y55,$BK$9),COUNTIF('1.연간시수표'!Y55,$BK$7),COUNTIF('1.연간시수표'!Y55,$BL$9),COUNTIF('1.연간시수표'!Y55,$BL$7),COUNTIF('1.연간시수표'!Y55,$BM$9),COUNTIF('1.연간시수표'!Y55,$BM$7)),$BF$6,IF(OR(COUNTIF('1.연간시수표'!Y55,$BO$9),COUNTIF('1.연간시수표'!Y55,$BO$7)),$BO$6,IF(OR(COUNTIF('1.연간시수표'!Y55,$BP$9),COUNTIF('1.연간시수표'!Y55,$BP$7)),$BP$6,IF(OR(COUNTIF('1.연간시수표'!Y55,$BQ$9),COUNTIF('1.연간시수표'!Y55,$BQ$7)),$BQ$6,IF(OR(COUNTIF('1.연간시수표'!Y55,$BR$9),COUNTIF('1.연간시수표'!Y55,$BR$7)),$BR$6,"_")))))))))))))))</f>
        <v>도덕</v>
      </c>
      <c r="Z55" s="148" t="str">
        <f>IF(OR(COUNTIF('1.연간시수표'!Z55,$AT$9),COUNTIF('1.연간시수표'!Z55,$AT$7)),$AT$6,IF(OR(COUNTIF('1.연간시수표'!Z55,$AU$9),COUNTIF('1.연간시수표'!Z55,$AU$7)),$AU$6,IF(OR(COUNTIF('1.연간시수표'!Z55,$AV$9),COUNTIF('1.연간시수표'!Z55,$AV$7)),$AV$6,IF(OR(COUNTIF('1.연간시수표'!Z55,$AW$9),COUNTIF('1.연간시수표'!Z55,$AW$7)),$AW$6,IF(OR(COUNTIF('1.연간시수표'!Z55,$AX$9),COUNTIF('1.연간시수표'!Z55,$AX$7)),$AX$6,IF(OR(COUNTIF('1.연간시수표'!Z55,$AY$9),COUNTIF('1.연간시수표'!Z55,$AY$7)),$AY$6,IF(OR(COUNTIF('1.연간시수표'!Z55,$AZ$9),COUNTIF('1.연간시수표'!Z55,$AZ$7)),$AZ$6,IF(OR(COUNTIF('1.연간시수표'!Z55,$BA$9),COUNTIF('1.연간시수표'!Z55,$BA$7)),$BA$6,IF(OR(COUNTIF('1.연간시수표'!Z55,$BB$9),COUNTIF('1.연간시수표'!Z55,$BB$7)),$BB$6,IF(OR(COUNTIF('1.연간시수표'!Z55,$BC$9),COUNTIF('1.연간시수표'!Z55,$BC$7)),$BC$6,IF(OR(COUNTIF('1.연간시수표'!Z55,$BF$9),COUNTIF('1.연간시수표'!Z55,$BF$7),COUNTIF('1.연간시수표'!Z55,$BG$9),COUNTIF('1.연간시수표'!Z55,$BG$7),COUNTIF('1.연간시수표'!Z55,$BH$9),COUNTIF('1.연간시수표'!Z55,$BH$7),COUNTIF('1.연간시수표'!Z55,$BI$9),COUNTIF('1.연간시수표'!Z55,$BI$7),COUNTIF('1.연간시수표'!Z55,$BJ$9),COUNTIF('1.연간시수표'!Z55,$BJ$7),COUNTIF('1.연간시수표'!Z55,$BK$9),COUNTIF('1.연간시수표'!Z55,$BK$7),COUNTIF('1.연간시수표'!Z55,$BL$9),COUNTIF('1.연간시수표'!Z55,$BL$7),COUNTIF('1.연간시수표'!Z55,$BM$9),COUNTIF('1.연간시수표'!Z55,$BM$7)),$BF$6,IF(OR(COUNTIF('1.연간시수표'!Z55,$BO$9),COUNTIF('1.연간시수표'!Z55,$BO$7)),$BO$6,IF(OR(COUNTIF('1.연간시수표'!Z55,$BP$9),COUNTIF('1.연간시수표'!Z55,$BP$7)),$BP$6,IF(OR(COUNTIF('1.연간시수표'!Z55,$BQ$9),COUNTIF('1.연간시수표'!Z55,$BQ$7)),$BQ$6,IF(OR(COUNTIF('1.연간시수표'!Z55,$BR$9),COUNTIF('1.연간시수표'!Z55,$BR$7)),$BR$6,"_")))))))))))))))</f>
        <v>_</v>
      </c>
      <c r="AA55" s="148" t="str">
        <f>IF(OR(COUNTIF('1.연간시수표'!AA55,$AT$9),COUNTIF('1.연간시수표'!AA55,$AT$7)),$AT$6,IF(OR(COUNTIF('1.연간시수표'!AA55,$AU$9),COUNTIF('1.연간시수표'!AA55,$AU$7)),$AU$6,IF(OR(COUNTIF('1.연간시수표'!AA55,$AV$9),COUNTIF('1.연간시수표'!AA55,$AV$7)),$AV$6,IF(OR(COUNTIF('1.연간시수표'!AA55,$AW$9),COUNTIF('1.연간시수표'!AA55,$AW$7)),$AW$6,IF(OR(COUNTIF('1.연간시수표'!AA55,$AX$9),COUNTIF('1.연간시수표'!AA55,$AX$7)),$AX$6,IF(OR(COUNTIF('1.연간시수표'!AA55,$AY$9),COUNTIF('1.연간시수표'!AA55,$AY$7)),$AY$6,IF(OR(COUNTIF('1.연간시수표'!AA55,$AZ$9),COUNTIF('1.연간시수표'!AA55,$AZ$7)),$AZ$6,IF(OR(COUNTIF('1.연간시수표'!AA55,$BA$9),COUNTIF('1.연간시수표'!AA55,$BA$7)),$BA$6,IF(OR(COUNTIF('1.연간시수표'!AA55,$BB$9),COUNTIF('1.연간시수표'!AA55,$BB$7)),$BB$6,IF(OR(COUNTIF('1.연간시수표'!AA55,$BC$9),COUNTIF('1.연간시수표'!AA55,$BC$7)),$BC$6,IF(OR(COUNTIF('1.연간시수표'!AA55,$BF$9),COUNTIF('1.연간시수표'!AA55,$BF$7),COUNTIF('1.연간시수표'!AA55,$BG$9),COUNTIF('1.연간시수표'!AA55,$BG$7),COUNTIF('1.연간시수표'!AA55,$BH$9),COUNTIF('1.연간시수표'!AA55,$BH$7),COUNTIF('1.연간시수표'!AA55,$BI$9),COUNTIF('1.연간시수표'!AA55,$BI$7),COUNTIF('1.연간시수표'!AA55,$BJ$9),COUNTIF('1.연간시수표'!AA55,$BJ$7),COUNTIF('1.연간시수표'!AA55,$BK$9),COUNTIF('1.연간시수표'!AA55,$BK$7),COUNTIF('1.연간시수표'!AA55,$BL$9),COUNTIF('1.연간시수표'!AA55,$BL$7),COUNTIF('1.연간시수표'!AA55,$BM$9),COUNTIF('1.연간시수표'!AA55,$BM$7)),$BF$6,IF(OR(COUNTIF('1.연간시수표'!AA55,$BO$9),COUNTIF('1.연간시수표'!AA55,$BO$7)),$BO$6,IF(OR(COUNTIF('1.연간시수표'!AA55,$BP$9),COUNTIF('1.연간시수표'!AA55,$BP$7)),$BP$6,IF(OR(COUNTIF('1.연간시수표'!AA55,$BQ$9),COUNTIF('1.연간시수표'!AA55,$BQ$7)),$BQ$6,IF(OR(COUNTIF('1.연간시수표'!AA55,$BR$9),COUNTIF('1.연간시수표'!AA55,$BR$7)),$BR$6,"_")))))))))))))))</f>
        <v>_</v>
      </c>
      <c r="AB55" s="148" t="str">
        <f>IF(OR(COUNTIF('1.연간시수표'!AB55,$AT$9),COUNTIF('1.연간시수표'!AB55,$AT$7)),$AT$6,IF(OR(COUNTIF('1.연간시수표'!AB55,$AU$9),COUNTIF('1.연간시수표'!AB55,$AU$7)),$AU$6,IF(OR(COUNTIF('1.연간시수표'!AB55,$AV$9),COUNTIF('1.연간시수표'!AB55,$AV$7)),$AV$6,IF(OR(COUNTIF('1.연간시수표'!AB55,$AW$9),COUNTIF('1.연간시수표'!AB55,$AW$7)),$AW$6,IF(OR(COUNTIF('1.연간시수표'!AB55,$AX$9),COUNTIF('1.연간시수표'!AB55,$AX$7)),$AX$6,IF(OR(COUNTIF('1.연간시수표'!AB55,$AY$9),COUNTIF('1.연간시수표'!AB55,$AY$7)),$AY$6,IF(OR(COUNTIF('1.연간시수표'!AB55,$AZ$9),COUNTIF('1.연간시수표'!AB55,$AZ$7)),$AZ$6,IF(OR(COUNTIF('1.연간시수표'!AB55,$BA$9),COUNTIF('1.연간시수표'!AB55,$BA$7)),$BA$6,IF(OR(COUNTIF('1.연간시수표'!AB55,$BB$9),COUNTIF('1.연간시수표'!AB55,$BB$7)),$BB$6,IF(OR(COUNTIF('1.연간시수표'!AB55,$BC$9),COUNTIF('1.연간시수표'!AB55,$BC$7)),$BC$6,IF(OR(COUNTIF('1.연간시수표'!AB55,$BF$9),COUNTIF('1.연간시수표'!AB55,$BF$7),COUNTIF('1.연간시수표'!AB55,$BG$9),COUNTIF('1.연간시수표'!AB55,$BG$7),COUNTIF('1.연간시수표'!AB55,$BH$9),COUNTIF('1.연간시수표'!AB55,$BH$7),COUNTIF('1.연간시수표'!AB55,$BI$9),COUNTIF('1.연간시수표'!AB55,$BI$7),COUNTIF('1.연간시수표'!AB55,$BJ$9),COUNTIF('1.연간시수표'!AB55,$BJ$7),COUNTIF('1.연간시수표'!AB55,$BK$9),COUNTIF('1.연간시수표'!AB55,$BK$7),COUNTIF('1.연간시수표'!AB55,$BL$9),COUNTIF('1.연간시수표'!AB55,$BL$7),COUNTIF('1.연간시수표'!AB55,$BM$9),COUNTIF('1.연간시수표'!AB55,$BM$7)),$BF$6,IF(OR(COUNTIF('1.연간시수표'!AB55,$BO$9),COUNTIF('1.연간시수표'!AB55,$BO$7)),$BO$6,IF(OR(COUNTIF('1.연간시수표'!AB55,$BP$9),COUNTIF('1.연간시수표'!AB55,$BP$7)),$BP$6,IF(OR(COUNTIF('1.연간시수표'!AB55,$BQ$9),COUNTIF('1.연간시수표'!AB55,$BQ$7)),$BQ$6,IF(OR(COUNTIF('1.연간시수표'!AB55,$BR$9),COUNTIF('1.연간시수표'!AB55,$BR$7)),$BR$6,"_")))))))))))))))</f>
        <v>_</v>
      </c>
      <c r="AC55" s="148" t="str">
        <f>IF(OR(COUNTIF('1.연간시수표'!AC55,$AT$9),COUNTIF('1.연간시수표'!AC55,$AT$7)),$AT$6,IF(OR(COUNTIF('1.연간시수표'!AC55,$AU$9),COUNTIF('1.연간시수표'!AC55,$AU$7)),$AU$6,IF(OR(COUNTIF('1.연간시수표'!AC55,$AV$9),COUNTIF('1.연간시수표'!AC55,$AV$7)),$AV$6,IF(OR(COUNTIF('1.연간시수표'!AC55,$AW$9),COUNTIF('1.연간시수표'!AC55,$AW$7)),$AW$6,IF(OR(COUNTIF('1.연간시수표'!AC55,$AX$9),COUNTIF('1.연간시수표'!AC55,$AX$7)),$AX$6,IF(OR(COUNTIF('1.연간시수표'!AC55,$AY$9),COUNTIF('1.연간시수표'!AC55,$AY$7)),$AY$6,IF(OR(COUNTIF('1.연간시수표'!AC55,$AZ$9),COUNTIF('1.연간시수표'!AC55,$AZ$7)),$AZ$6,IF(OR(COUNTIF('1.연간시수표'!AC55,$BA$9),COUNTIF('1.연간시수표'!AC55,$BA$7)),$BA$6,IF(OR(COUNTIF('1.연간시수표'!AC55,$BB$9),COUNTIF('1.연간시수표'!AC55,$BB$7)),$BB$6,IF(OR(COUNTIF('1.연간시수표'!AC55,$BC$9),COUNTIF('1.연간시수표'!AC55,$BC$7)),$BC$6,IF(OR(COUNTIF('1.연간시수표'!AC55,$BF$9),COUNTIF('1.연간시수표'!AC55,$BF$7),COUNTIF('1.연간시수표'!AC55,$BG$9),COUNTIF('1.연간시수표'!AC55,$BG$7),COUNTIF('1.연간시수표'!AC55,$BH$9),COUNTIF('1.연간시수표'!AC55,$BH$7),COUNTIF('1.연간시수표'!AC55,$BI$9),COUNTIF('1.연간시수표'!AC55,$BI$7),COUNTIF('1.연간시수표'!AC55,$BJ$9),COUNTIF('1.연간시수표'!AC55,$BJ$7),COUNTIF('1.연간시수표'!AC55,$BK$9),COUNTIF('1.연간시수표'!AC55,$BK$7),COUNTIF('1.연간시수표'!AC55,$BL$9),COUNTIF('1.연간시수표'!AC55,$BL$7),COUNTIF('1.연간시수표'!AC55,$BM$9),COUNTIF('1.연간시수표'!AC55,$BM$7)),$BF$6,IF(OR(COUNTIF('1.연간시수표'!AC55,$BO$9),COUNTIF('1.연간시수표'!AC55,$BO$7)),$BO$6,IF(OR(COUNTIF('1.연간시수표'!AC55,$BP$9),COUNTIF('1.연간시수표'!AC55,$BP$7)),$BP$6,IF(OR(COUNTIF('1.연간시수표'!AC55,$BQ$9),COUNTIF('1.연간시수표'!AC55,$BQ$7)),$BQ$6,IF(OR(COUNTIF('1.연간시수표'!AC55,$BR$9),COUNTIF('1.연간시수표'!AC55,$BR$7)),$BR$6,"_")))))))))))))))</f>
        <v>국어</v>
      </c>
      <c r="AD55" s="148" t="str">
        <f>IF(OR(COUNTIF('1.연간시수표'!AD55,$AT$9),COUNTIF('1.연간시수표'!AD55,$AT$7)),$AT$6,IF(OR(COUNTIF('1.연간시수표'!AD55,$AU$9),COUNTIF('1.연간시수표'!AD55,$AU$7)),$AU$6,IF(OR(COUNTIF('1.연간시수표'!AD55,$AV$9),COUNTIF('1.연간시수표'!AD55,$AV$7)),$AV$6,IF(OR(COUNTIF('1.연간시수표'!AD55,$AW$9),COUNTIF('1.연간시수표'!AD55,$AW$7)),$AW$6,IF(OR(COUNTIF('1.연간시수표'!AD55,$AX$9),COUNTIF('1.연간시수표'!AD55,$AX$7)),$AX$6,IF(OR(COUNTIF('1.연간시수표'!AD55,$AY$9),COUNTIF('1.연간시수표'!AD55,$AY$7)),$AY$6,IF(OR(COUNTIF('1.연간시수표'!AD55,$AZ$9),COUNTIF('1.연간시수표'!AD55,$AZ$7)),$AZ$6,IF(OR(COUNTIF('1.연간시수표'!AD55,$BA$9),COUNTIF('1.연간시수표'!AD55,$BA$7)),$BA$6,IF(OR(COUNTIF('1.연간시수표'!AD55,$BB$9),COUNTIF('1.연간시수표'!AD55,$BB$7)),$BB$6,IF(OR(COUNTIF('1.연간시수표'!AD55,$BC$9),COUNTIF('1.연간시수표'!AD55,$BC$7)),$BC$6,IF(OR(COUNTIF('1.연간시수표'!AD55,$BF$9),COUNTIF('1.연간시수표'!AD55,$BF$7),COUNTIF('1.연간시수표'!AD55,$BG$9),COUNTIF('1.연간시수표'!AD55,$BG$7),COUNTIF('1.연간시수표'!AD55,$BH$9),COUNTIF('1.연간시수표'!AD55,$BH$7),COUNTIF('1.연간시수표'!AD55,$BI$9),COUNTIF('1.연간시수표'!AD55,$BI$7),COUNTIF('1.연간시수표'!AD55,$BJ$9),COUNTIF('1.연간시수표'!AD55,$BJ$7),COUNTIF('1.연간시수표'!AD55,$BK$9),COUNTIF('1.연간시수표'!AD55,$BK$7),COUNTIF('1.연간시수표'!AD55,$BL$9),COUNTIF('1.연간시수표'!AD55,$BL$7),COUNTIF('1.연간시수표'!AD55,$BM$9),COUNTIF('1.연간시수표'!AD55,$BM$7)),$BF$6,IF(OR(COUNTIF('1.연간시수표'!AD55,$BO$9),COUNTIF('1.연간시수표'!AD55,$BO$7)),$BO$6,IF(OR(COUNTIF('1.연간시수표'!AD55,$BP$9),COUNTIF('1.연간시수표'!AD55,$BP$7)),$BP$6,IF(OR(COUNTIF('1.연간시수표'!AD55,$BQ$9),COUNTIF('1.연간시수표'!AD55,$BQ$7)),$BQ$6,IF(OR(COUNTIF('1.연간시수표'!AD55,$BR$9),COUNTIF('1.연간시수표'!AD55,$BR$7)),$BR$6,"_")))))))))))))))</f>
        <v>수학</v>
      </c>
      <c r="AE55" s="148" t="str">
        <f>IF(OR(COUNTIF('1.연간시수표'!AE55,$AT$9),COUNTIF('1.연간시수표'!AE55,$AT$7)),$AT$6,IF(OR(COUNTIF('1.연간시수표'!AE55,$AU$9),COUNTIF('1.연간시수표'!AE55,$AU$7)),$AU$6,IF(OR(COUNTIF('1.연간시수표'!AE55,$AV$9),COUNTIF('1.연간시수표'!AE55,$AV$7)),$AV$6,IF(OR(COUNTIF('1.연간시수표'!AE55,$AW$9),COUNTIF('1.연간시수표'!AE55,$AW$7)),$AW$6,IF(OR(COUNTIF('1.연간시수표'!AE55,$AX$9),COUNTIF('1.연간시수표'!AE55,$AX$7)),$AX$6,IF(OR(COUNTIF('1.연간시수표'!AE55,$AY$9),COUNTIF('1.연간시수표'!AE55,$AY$7)),$AY$6,IF(OR(COUNTIF('1.연간시수표'!AE55,$AZ$9),COUNTIF('1.연간시수표'!AE55,$AZ$7)),$AZ$6,IF(OR(COUNTIF('1.연간시수표'!AE55,$BA$9),COUNTIF('1.연간시수표'!AE55,$BA$7)),$BA$6,IF(OR(COUNTIF('1.연간시수표'!AE55,$BB$9),COUNTIF('1.연간시수표'!AE55,$BB$7)),$BB$6,IF(OR(COUNTIF('1.연간시수표'!AE55,$BC$9),COUNTIF('1.연간시수표'!AE55,$BC$7)),$BC$6,IF(OR(COUNTIF('1.연간시수표'!AE55,$BF$9),COUNTIF('1.연간시수표'!AE55,$BF$7),COUNTIF('1.연간시수표'!AE55,$BG$9),COUNTIF('1.연간시수표'!AE55,$BG$7),COUNTIF('1.연간시수표'!AE55,$BH$9),COUNTIF('1.연간시수표'!AE55,$BH$7),COUNTIF('1.연간시수표'!AE55,$BI$9),COUNTIF('1.연간시수표'!AE55,$BI$7),COUNTIF('1.연간시수표'!AE55,$BJ$9),COUNTIF('1.연간시수표'!AE55,$BJ$7),COUNTIF('1.연간시수표'!AE55,$BK$9),COUNTIF('1.연간시수표'!AE55,$BK$7),COUNTIF('1.연간시수표'!AE55,$BL$9),COUNTIF('1.연간시수표'!AE55,$BL$7),COUNTIF('1.연간시수표'!AE55,$BM$9),COUNTIF('1.연간시수표'!AE55,$BM$7)),$BF$6,IF(OR(COUNTIF('1.연간시수표'!AE55,$BO$9),COUNTIF('1.연간시수표'!AE55,$BO$7)),$BO$6,IF(OR(COUNTIF('1.연간시수표'!AE55,$BP$9),COUNTIF('1.연간시수표'!AE55,$BP$7)),$BP$6,IF(OR(COUNTIF('1.연간시수표'!AE55,$BQ$9),COUNTIF('1.연간시수표'!AE55,$BQ$7)),$BQ$6,IF(OR(COUNTIF('1.연간시수표'!AE55,$BR$9),COUNTIF('1.연간시수표'!AE55,$BR$7)),$BR$6,"_")))))))))))))))</f>
        <v>사회</v>
      </c>
      <c r="AF55" s="148" t="str">
        <f>IF(OR(COUNTIF('1.연간시수표'!AF55,$AT$9),COUNTIF('1.연간시수표'!AF55,$AT$7)),$AT$6,IF(OR(COUNTIF('1.연간시수표'!AF55,$AU$9),COUNTIF('1.연간시수표'!AF55,$AU$7)),$AU$6,IF(OR(COUNTIF('1.연간시수표'!AF55,$AV$9),COUNTIF('1.연간시수표'!AF55,$AV$7)),$AV$6,IF(OR(COUNTIF('1.연간시수표'!AF55,$AW$9),COUNTIF('1.연간시수표'!AF55,$AW$7)),$AW$6,IF(OR(COUNTIF('1.연간시수표'!AF55,$AX$9),COUNTIF('1.연간시수표'!AF55,$AX$7)),$AX$6,IF(OR(COUNTIF('1.연간시수표'!AF55,$AY$9),COUNTIF('1.연간시수표'!AF55,$AY$7)),$AY$6,IF(OR(COUNTIF('1.연간시수표'!AF55,$AZ$9),COUNTIF('1.연간시수표'!AF55,$AZ$7)),$AZ$6,IF(OR(COUNTIF('1.연간시수표'!AF55,$BA$9),COUNTIF('1.연간시수표'!AF55,$BA$7)),$BA$6,IF(OR(COUNTIF('1.연간시수표'!AF55,$BB$9),COUNTIF('1.연간시수표'!AF55,$BB$7)),$BB$6,IF(OR(COUNTIF('1.연간시수표'!AF55,$BC$9),COUNTIF('1.연간시수표'!AF55,$BC$7)),$BC$6,IF(OR(COUNTIF('1.연간시수표'!AF55,$BF$9),COUNTIF('1.연간시수표'!AF55,$BF$7),COUNTIF('1.연간시수표'!AF55,$BG$9),COUNTIF('1.연간시수표'!AF55,$BG$7),COUNTIF('1.연간시수표'!AF55,$BH$9),COUNTIF('1.연간시수표'!AF55,$BH$7),COUNTIF('1.연간시수표'!AF55,$BI$9),COUNTIF('1.연간시수표'!AF55,$BI$7),COUNTIF('1.연간시수표'!AF55,$BJ$9),COUNTIF('1.연간시수표'!AF55,$BJ$7),COUNTIF('1.연간시수표'!AF55,$BK$9),COUNTIF('1.연간시수표'!AF55,$BK$7),COUNTIF('1.연간시수표'!AF55,$BL$9),COUNTIF('1.연간시수표'!AF55,$BL$7),COUNTIF('1.연간시수표'!AF55,$BM$9),COUNTIF('1.연간시수표'!AF55,$BM$7)),$BF$6,IF(OR(COUNTIF('1.연간시수표'!AF55,$BO$9),COUNTIF('1.연간시수표'!AF55,$BO$7)),$BO$6,IF(OR(COUNTIF('1.연간시수표'!AF55,$BP$9),COUNTIF('1.연간시수표'!AF55,$BP$7)),$BP$6,IF(OR(COUNTIF('1.연간시수표'!AF55,$BQ$9),COUNTIF('1.연간시수표'!AF55,$BQ$7)),$BQ$6,IF(OR(COUNTIF('1.연간시수표'!AF55,$BR$9),COUNTIF('1.연간시수표'!AF55,$BR$7)),$BR$6,"_")))))))))))))))</f>
        <v>영어</v>
      </c>
      <c r="AG55" s="148" t="str">
        <f>IF(OR(COUNTIF('1.연간시수표'!AG55,$AT$9),COUNTIF('1.연간시수표'!AG55,$AT$7)),$AT$6,IF(OR(COUNTIF('1.연간시수표'!AG55,$AU$9),COUNTIF('1.연간시수표'!AG55,$AU$7)),$AU$6,IF(OR(COUNTIF('1.연간시수표'!AG55,$AV$9),COUNTIF('1.연간시수표'!AG55,$AV$7)),$AV$6,IF(OR(COUNTIF('1.연간시수표'!AG55,$AW$9),COUNTIF('1.연간시수표'!AG55,$AW$7)),$AW$6,IF(OR(COUNTIF('1.연간시수표'!AG55,$AX$9),COUNTIF('1.연간시수표'!AG55,$AX$7)),$AX$6,IF(OR(COUNTIF('1.연간시수표'!AG55,$AY$9),COUNTIF('1.연간시수표'!AG55,$AY$7)),$AY$6,IF(OR(COUNTIF('1.연간시수표'!AG55,$AZ$9),COUNTIF('1.연간시수표'!AG55,$AZ$7)),$AZ$6,IF(OR(COUNTIF('1.연간시수표'!AG55,$BA$9),COUNTIF('1.연간시수표'!AG55,$BA$7)),$BA$6,IF(OR(COUNTIF('1.연간시수표'!AG55,$BB$9),COUNTIF('1.연간시수표'!AG55,$BB$7)),$BB$6,IF(OR(COUNTIF('1.연간시수표'!AG55,$BC$9),COUNTIF('1.연간시수표'!AG55,$BC$7)),$BC$6,IF(OR(COUNTIF('1.연간시수표'!AG55,$BF$9),COUNTIF('1.연간시수표'!AG55,$BF$7),COUNTIF('1.연간시수표'!AG55,$BG$9),COUNTIF('1.연간시수표'!AG55,$BG$7),COUNTIF('1.연간시수표'!AG55,$BH$9),COUNTIF('1.연간시수표'!AG55,$BH$7),COUNTIF('1.연간시수표'!AG55,$BI$9),COUNTIF('1.연간시수표'!AG55,$BI$7),COUNTIF('1.연간시수표'!AG55,$BJ$9),COUNTIF('1.연간시수표'!AG55,$BJ$7),COUNTIF('1.연간시수표'!AG55,$BK$9),COUNTIF('1.연간시수표'!AG55,$BK$7),COUNTIF('1.연간시수표'!AG55,$BL$9),COUNTIF('1.연간시수표'!AG55,$BL$7),COUNTIF('1.연간시수표'!AG55,$BM$9),COUNTIF('1.연간시수표'!AG55,$BM$7)),$BF$6,IF(OR(COUNTIF('1.연간시수표'!AG55,$BO$9),COUNTIF('1.연간시수표'!AG55,$BO$7)),$BO$6,IF(OR(COUNTIF('1.연간시수표'!AG55,$BP$9),COUNTIF('1.연간시수표'!AG55,$BP$7)),$BP$6,IF(OR(COUNTIF('1.연간시수표'!AG55,$BQ$9),COUNTIF('1.연간시수표'!AG55,$BQ$7)),$BQ$6,IF(OR(COUNTIF('1.연간시수표'!AG55,$BR$9),COUNTIF('1.연간시수표'!AG55,$BR$7)),$BR$6,"_")))))))))))))))</f>
        <v>동아리활동</v>
      </c>
      <c r="AH55" s="148" t="str">
        <f>IF(OR(COUNTIF('1.연간시수표'!AH55,$AT$9),COUNTIF('1.연간시수표'!AH55,$AT$7)),$AT$6,IF(OR(COUNTIF('1.연간시수표'!AH55,$AU$9),COUNTIF('1.연간시수표'!AH55,$AU$7)),$AU$6,IF(OR(COUNTIF('1.연간시수표'!AH55,$AV$9),COUNTIF('1.연간시수표'!AH55,$AV$7)),$AV$6,IF(OR(COUNTIF('1.연간시수표'!AH55,$AW$9),COUNTIF('1.연간시수표'!AH55,$AW$7)),$AW$6,IF(OR(COUNTIF('1.연간시수표'!AH55,$AX$9),COUNTIF('1.연간시수표'!AH55,$AX$7)),$AX$6,IF(OR(COUNTIF('1.연간시수표'!AH55,$AY$9),COUNTIF('1.연간시수표'!AH55,$AY$7)),$AY$6,IF(OR(COUNTIF('1.연간시수표'!AH55,$AZ$9),COUNTIF('1.연간시수표'!AH55,$AZ$7)),$AZ$6,IF(OR(COUNTIF('1.연간시수표'!AH55,$BA$9),COUNTIF('1.연간시수표'!AH55,$BA$7)),$BA$6,IF(OR(COUNTIF('1.연간시수표'!AH55,$BB$9),COUNTIF('1.연간시수표'!AH55,$BB$7)),$BB$6,IF(OR(COUNTIF('1.연간시수표'!AH55,$BC$9),COUNTIF('1.연간시수표'!AH55,$BC$7)),$BC$6,IF(OR(COUNTIF('1.연간시수표'!AH55,$BF$9),COUNTIF('1.연간시수표'!AH55,$BF$7),COUNTIF('1.연간시수표'!AH55,$BG$9),COUNTIF('1.연간시수표'!AH55,$BG$7),COUNTIF('1.연간시수표'!AH55,$BH$9),COUNTIF('1.연간시수표'!AH55,$BH$7),COUNTIF('1.연간시수표'!AH55,$BI$9),COUNTIF('1.연간시수표'!AH55,$BI$7),COUNTIF('1.연간시수표'!AH55,$BJ$9),COUNTIF('1.연간시수표'!AH55,$BJ$7),COUNTIF('1.연간시수표'!AH55,$BK$9),COUNTIF('1.연간시수표'!AH55,$BK$7),COUNTIF('1.연간시수표'!AH55,$BL$9),COUNTIF('1.연간시수표'!AH55,$BL$7),COUNTIF('1.연간시수표'!AH55,$BM$9),COUNTIF('1.연간시수표'!AH55,$BM$7)),$BF$6,IF(OR(COUNTIF('1.연간시수표'!AH55,$BO$9),COUNTIF('1.연간시수표'!AH55,$BO$7)),$BO$6,IF(OR(COUNTIF('1.연간시수표'!AH55,$BP$9),COUNTIF('1.연간시수표'!AH55,$BP$7)),$BP$6,IF(OR(COUNTIF('1.연간시수표'!AH55,$BQ$9),COUNTIF('1.연간시수표'!AH55,$BQ$7)),$BQ$6,IF(OR(COUNTIF('1.연간시수표'!AH55,$BR$9),COUNTIF('1.연간시수표'!AH55,$BR$7)),$BR$6,"_")))))))))))))))</f>
        <v>동아리활동</v>
      </c>
      <c r="AI55" s="148" t="str">
        <f>IF(OR(COUNTIF('1.연간시수표'!AI55,$AT$9),COUNTIF('1.연간시수표'!AI55,$AT$7)),$AT$6,IF(OR(COUNTIF('1.연간시수표'!AI55,$AU$9),COUNTIF('1.연간시수표'!AI55,$AU$7)),$AU$6,IF(OR(COUNTIF('1.연간시수표'!AI55,$AV$9),COUNTIF('1.연간시수표'!AI55,$AV$7)),$AV$6,IF(OR(COUNTIF('1.연간시수표'!AI55,$AW$9),COUNTIF('1.연간시수표'!AI55,$AW$7)),$AW$6,IF(OR(COUNTIF('1.연간시수표'!AI55,$AX$9),COUNTIF('1.연간시수표'!AI55,$AX$7)),$AX$6,IF(OR(COUNTIF('1.연간시수표'!AI55,$AY$9),COUNTIF('1.연간시수표'!AI55,$AY$7)),$AY$6,IF(OR(COUNTIF('1.연간시수표'!AI55,$AZ$9),COUNTIF('1.연간시수표'!AI55,$AZ$7)),$AZ$6,IF(OR(COUNTIF('1.연간시수표'!AI55,$BA$9),COUNTIF('1.연간시수표'!AI55,$BA$7)),$BA$6,IF(OR(COUNTIF('1.연간시수표'!AI55,$BB$9),COUNTIF('1.연간시수표'!AI55,$BB$7)),$BB$6,IF(OR(COUNTIF('1.연간시수표'!AI55,$BC$9),COUNTIF('1.연간시수표'!AI55,$BC$7)),$BC$6,IF(OR(COUNTIF('1.연간시수표'!AI55,$BF$9),COUNTIF('1.연간시수표'!AI55,$BF$7),COUNTIF('1.연간시수표'!AI55,$BG$9),COUNTIF('1.연간시수표'!AI55,$BG$7),COUNTIF('1.연간시수표'!AI55,$BH$9),COUNTIF('1.연간시수표'!AI55,$BH$7),COUNTIF('1.연간시수표'!AI55,$BI$9),COUNTIF('1.연간시수표'!AI55,$BI$7),COUNTIF('1.연간시수표'!AI55,$BJ$9),COUNTIF('1.연간시수표'!AI55,$BJ$7),COUNTIF('1.연간시수표'!AI55,$BK$9),COUNTIF('1.연간시수표'!AI55,$BK$7),COUNTIF('1.연간시수표'!AI55,$BL$9),COUNTIF('1.연간시수표'!AI55,$BL$7),COUNTIF('1.연간시수표'!AI55,$BM$9),COUNTIF('1.연간시수표'!AI55,$BM$7)),$BF$6,IF(OR(COUNTIF('1.연간시수표'!AI55,$BO$9),COUNTIF('1.연간시수표'!AI55,$BO$7)),$BO$6,IF(OR(COUNTIF('1.연간시수표'!AI55,$BP$9),COUNTIF('1.연간시수표'!AI55,$BP$7)),$BP$6,IF(OR(COUNTIF('1.연간시수표'!AI55,$BQ$9),COUNTIF('1.연간시수표'!AI55,$BQ$7)),$BQ$6,IF(OR(COUNTIF('1.연간시수표'!AI55,$BR$9),COUNTIF('1.연간시수표'!AI55,$BR$7)),$BR$6,"_")))))))))))))))</f>
        <v>_</v>
      </c>
      <c r="AJ55" s="148" t="str">
        <f>IF(OR(COUNTIF('1.연간시수표'!AJ55,$AT$9),COUNTIF('1.연간시수표'!AJ55,$AT$7)),$AT$6,IF(OR(COUNTIF('1.연간시수표'!AJ55,$AU$9),COUNTIF('1.연간시수표'!AJ55,$AU$7)),$AU$6,IF(OR(COUNTIF('1.연간시수표'!AJ55,$AV$9),COUNTIF('1.연간시수표'!AJ55,$AV$7)),$AV$6,IF(OR(COUNTIF('1.연간시수표'!AJ55,$AW$9),COUNTIF('1.연간시수표'!AJ55,$AW$7)),$AW$6,IF(OR(COUNTIF('1.연간시수표'!AJ55,$AX$9),COUNTIF('1.연간시수표'!AJ55,$AX$7)),$AX$6,IF(OR(COUNTIF('1.연간시수표'!AJ55,$AY$9),COUNTIF('1.연간시수표'!AJ55,$AY$7)),$AY$6,IF(OR(COUNTIF('1.연간시수표'!AJ55,$AZ$9),COUNTIF('1.연간시수표'!AJ55,$AZ$7)),$AZ$6,IF(OR(COUNTIF('1.연간시수표'!AJ55,$BA$9),COUNTIF('1.연간시수표'!AJ55,$BA$7)),$BA$6,IF(OR(COUNTIF('1.연간시수표'!AJ55,$BB$9),COUNTIF('1.연간시수표'!AJ55,$BB$7)),$BB$6,IF(OR(COUNTIF('1.연간시수표'!AJ55,$BC$9),COUNTIF('1.연간시수표'!AJ55,$BC$7)),$BC$6,IF(OR(COUNTIF('1.연간시수표'!AJ55,$BF$9),COUNTIF('1.연간시수표'!AJ55,$BF$7),COUNTIF('1.연간시수표'!AJ55,$BG$9),COUNTIF('1.연간시수표'!AJ55,$BG$7),COUNTIF('1.연간시수표'!AJ55,$BH$9),COUNTIF('1.연간시수표'!AJ55,$BH$7),COUNTIF('1.연간시수표'!AJ55,$BI$9),COUNTIF('1.연간시수표'!AJ55,$BI$7),COUNTIF('1.연간시수표'!AJ55,$BJ$9),COUNTIF('1.연간시수표'!AJ55,$BJ$7),COUNTIF('1.연간시수표'!AJ55,$BK$9),COUNTIF('1.연간시수표'!AJ55,$BK$7),COUNTIF('1.연간시수표'!AJ55,$BL$9),COUNTIF('1.연간시수표'!AJ55,$BL$7),COUNTIF('1.연간시수표'!AJ55,$BM$9),COUNTIF('1.연간시수표'!AJ55,$BM$7)),$BF$6,IF(OR(COUNTIF('1.연간시수표'!AJ55,$BO$9),COUNTIF('1.연간시수표'!AJ55,$BO$7)),$BO$6,IF(OR(COUNTIF('1.연간시수표'!AJ55,$BP$9),COUNTIF('1.연간시수표'!AJ55,$BP$7)),$BP$6,IF(OR(COUNTIF('1.연간시수표'!AJ55,$BQ$9),COUNTIF('1.연간시수표'!AJ55,$BQ$7)),$BQ$6,IF(OR(COUNTIF('1.연간시수표'!AJ55,$BR$9),COUNTIF('1.연간시수표'!AJ55,$BR$7)),$BR$6,"_")))))))))))))))</f>
        <v>_</v>
      </c>
      <c r="AK55" s="148" t="str">
        <f>IF(OR(COUNTIF('1.연간시수표'!AK55,$AT$9),COUNTIF('1.연간시수표'!AK55,$AT$7)),$AT$6,IF(OR(COUNTIF('1.연간시수표'!AK55,$AU$9),COUNTIF('1.연간시수표'!AK55,$AU$7)),$AU$6,IF(OR(COUNTIF('1.연간시수표'!AK55,$AV$9),COUNTIF('1.연간시수표'!AK55,$AV$7)),$AV$6,IF(OR(COUNTIF('1.연간시수표'!AK55,$AW$9),COUNTIF('1.연간시수표'!AK55,$AW$7)),$AW$6,IF(OR(COUNTIF('1.연간시수표'!AK55,$AX$9),COUNTIF('1.연간시수표'!AK55,$AX$7)),$AX$6,IF(OR(COUNTIF('1.연간시수표'!AK55,$AY$9),COUNTIF('1.연간시수표'!AK55,$AY$7)),$AY$6,IF(OR(COUNTIF('1.연간시수표'!AK55,$AZ$9),COUNTIF('1.연간시수표'!AK55,$AZ$7)),$AZ$6,IF(OR(COUNTIF('1.연간시수표'!AK55,$BA$9),COUNTIF('1.연간시수표'!AK55,$BA$7)),$BA$6,IF(OR(COUNTIF('1.연간시수표'!AK55,$BB$9),COUNTIF('1.연간시수표'!AK55,$BB$7)),$BB$6,IF(OR(COUNTIF('1.연간시수표'!AK55,$BC$9),COUNTIF('1.연간시수표'!AK55,$BC$7)),$BC$6,IF(OR(COUNTIF('1.연간시수표'!AK55,$BF$9),COUNTIF('1.연간시수표'!AK55,$BF$7),COUNTIF('1.연간시수표'!AK55,$BG$9),COUNTIF('1.연간시수표'!AK55,$BG$7),COUNTIF('1.연간시수표'!AK55,$BH$9),COUNTIF('1.연간시수표'!AK55,$BH$7),COUNTIF('1.연간시수표'!AK55,$BI$9),COUNTIF('1.연간시수표'!AK55,$BI$7),COUNTIF('1.연간시수표'!AK55,$BJ$9),COUNTIF('1.연간시수표'!AK55,$BJ$7),COUNTIF('1.연간시수표'!AK55,$BK$9),COUNTIF('1.연간시수표'!AK55,$BK$7),COUNTIF('1.연간시수표'!AK55,$BL$9),COUNTIF('1.연간시수표'!AK55,$BL$7),COUNTIF('1.연간시수표'!AK55,$BM$9),COUNTIF('1.연간시수표'!AK55,$BM$7)),$BF$6,IF(OR(COUNTIF('1.연간시수표'!AK55,$BO$9),COUNTIF('1.연간시수표'!AK55,$BO$7)),$BO$6,IF(OR(COUNTIF('1.연간시수표'!AK55,$BP$9),COUNTIF('1.연간시수표'!AK55,$BP$7)),$BP$6,IF(OR(COUNTIF('1.연간시수표'!AK55,$BQ$9),COUNTIF('1.연간시수표'!AK55,$BQ$7)),$BQ$6,IF(OR(COUNTIF('1.연간시수표'!AK55,$BR$9),COUNTIF('1.연간시수표'!AK55,$BR$7)),$BR$6,"_")))))))))))))))</f>
        <v>국어</v>
      </c>
      <c r="AL55" s="148" t="str">
        <f>IF(OR(COUNTIF('1.연간시수표'!AL55,$AT$9),COUNTIF('1.연간시수표'!AL55,$AT$7)),$AT$6,IF(OR(COUNTIF('1.연간시수표'!AL55,$AU$9),COUNTIF('1.연간시수표'!AL55,$AU$7)),$AU$6,IF(OR(COUNTIF('1.연간시수표'!AL55,$AV$9),COUNTIF('1.연간시수표'!AL55,$AV$7)),$AV$6,IF(OR(COUNTIF('1.연간시수표'!AL55,$AW$9),COUNTIF('1.연간시수표'!AL55,$AW$7)),$AW$6,IF(OR(COUNTIF('1.연간시수표'!AL55,$AX$9),COUNTIF('1.연간시수표'!AL55,$AX$7)),$AX$6,IF(OR(COUNTIF('1.연간시수표'!AL55,$AY$9),COUNTIF('1.연간시수표'!AL55,$AY$7)),$AY$6,IF(OR(COUNTIF('1.연간시수표'!AL55,$AZ$9),COUNTIF('1.연간시수표'!AL55,$AZ$7)),$AZ$6,IF(OR(COUNTIF('1.연간시수표'!AL55,$BA$9),COUNTIF('1.연간시수표'!AL55,$BA$7)),$BA$6,IF(OR(COUNTIF('1.연간시수표'!AL55,$BB$9),COUNTIF('1.연간시수표'!AL55,$BB$7)),$BB$6,IF(OR(COUNTIF('1.연간시수표'!AL55,$BC$9),COUNTIF('1.연간시수표'!AL55,$BC$7)),$BC$6,IF(OR(COUNTIF('1.연간시수표'!AL55,$BF$9),COUNTIF('1.연간시수표'!AL55,$BF$7),COUNTIF('1.연간시수표'!AL55,$BG$9),COUNTIF('1.연간시수표'!AL55,$BG$7),COUNTIF('1.연간시수표'!AL55,$BH$9),COUNTIF('1.연간시수표'!AL55,$BH$7),COUNTIF('1.연간시수표'!AL55,$BI$9),COUNTIF('1.연간시수표'!AL55,$BI$7),COUNTIF('1.연간시수표'!AL55,$BJ$9),COUNTIF('1.연간시수표'!AL55,$BJ$7),COUNTIF('1.연간시수표'!AL55,$BK$9),COUNTIF('1.연간시수표'!AL55,$BK$7),COUNTIF('1.연간시수표'!AL55,$BL$9),COUNTIF('1.연간시수표'!AL55,$BL$7),COUNTIF('1.연간시수표'!AL55,$BM$9),COUNTIF('1.연간시수표'!AL55,$BM$7)),$BF$6,IF(OR(COUNTIF('1.연간시수표'!AL55,$BO$9),COUNTIF('1.연간시수표'!AL55,$BO$7)),$BO$6,IF(OR(COUNTIF('1.연간시수표'!AL55,$BP$9),COUNTIF('1.연간시수표'!AL55,$BP$7)),$BP$6,IF(OR(COUNTIF('1.연간시수표'!AL55,$BQ$9),COUNTIF('1.연간시수표'!AL55,$BQ$7)),$BQ$6,IF(OR(COUNTIF('1.연간시수표'!AL55,$BR$9),COUNTIF('1.연간시수표'!AL55,$BR$7)),$BR$6,"_")))))))))))))))</f>
        <v>체육</v>
      </c>
      <c r="AM55" s="148" t="str">
        <f>IF(OR(COUNTIF('1.연간시수표'!AM55,$AT$9),COUNTIF('1.연간시수표'!AM55,$AT$7)),$AT$6,IF(OR(COUNTIF('1.연간시수표'!AM55,$AU$9),COUNTIF('1.연간시수표'!AM55,$AU$7)),$AU$6,IF(OR(COUNTIF('1.연간시수표'!AM55,$AV$9),COUNTIF('1.연간시수표'!AM55,$AV$7)),$AV$6,IF(OR(COUNTIF('1.연간시수표'!AM55,$AW$9),COUNTIF('1.연간시수표'!AM55,$AW$7)),$AW$6,IF(OR(COUNTIF('1.연간시수표'!AM55,$AX$9),COUNTIF('1.연간시수표'!AM55,$AX$7)),$AX$6,IF(OR(COUNTIF('1.연간시수표'!AM55,$AY$9),COUNTIF('1.연간시수표'!AM55,$AY$7)),$AY$6,IF(OR(COUNTIF('1.연간시수표'!AM55,$AZ$9),COUNTIF('1.연간시수표'!AM55,$AZ$7)),$AZ$6,IF(OR(COUNTIF('1.연간시수표'!AM55,$BA$9),COUNTIF('1.연간시수표'!AM55,$BA$7)),$BA$6,IF(OR(COUNTIF('1.연간시수표'!AM55,$BB$9),COUNTIF('1.연간시수표'!AM55,$BB$7)),$BB$6,IF(OR(COUNTIF('1.연간시수표'!AM55,$BC$9),COUNTIF('1.연간시수표'!AM55,$BC$7)),$BC$6,IF(OR(COUNTIF('1.연간시수표'!AM55,$BF$9),COUNTIF('1.연간시수표'!AM55,$BF$7),COUNTIF('1.연간시수표'!AM55,$BG$9),COUNTIF('1.연간시수표'!AM55,$BG$7),COUNTIF('1.연간시수표'!AM55,$BH$9),COUNTIF('1.연간시수표'!AM55,$BH$7),COUNTIF('1.연간시수표'!AM55,$BI$9),COUNTIF('1.연간시수표'!AM55,$BI$7),COUNTIF('1.연간시수표'!AM55,$BJ$9),COUNTIF('1.연간시수표'!AM55,$BJ$7),COUNTIF('1.연간시수표'!AM55,$BK$9),COUNTIF('1.연간시수표'!AM55,$BK$7),COUNTIF('1.연간시수표'!AM55,$BL$9),COUNTIF('1.연간시수표'!AM55,$BL$7),COUNTIF('1.연간시수표'!AM55,$BM$9),COUNTIF('1.연간시수표'!AM55,$BM$7)),$BF$6,IF(OR(COUNTIF('1.연간시수표'!AM55,$BO$9),COUNTIF('1.연간시수표'!AM55,$BO$7)),$BO$6,IF(OR(COUNTIF('1.연간시수표'!AM55,$BP$9),COUNTIF('1.연간시수표'!AM55,$BP$7)),$BP$6,IF(OR(COUNTIF('1.연간시수표'!AM55,$BQ$9),COUNTIF('1.연간시수표'!AM55,$BQ$7)),$BQ$6,IF(OR(COUNTIF('1.연간시수표'!AM55,$BR$9),COUNTIF('1.연간시수표'!AM55,$BR$7)),$BR$6,"_")))))))))))))))</f>
        <v>수학</v>
      </c>
      <c r="AN55" s="148" t="str">
        <f>IF(OR(COUNTIF('1.연간시수표'!AN55,$AT$9),COUNTIF('1.연간시수표'!AN55,$AT$7)),$AT$6,IF(OR(COUNTIF('1.연간시수표'!AN55,$AU$9),COUNTIF('1.연간시수표'!AN55,$AU$7)),$AU$6,IF(OR(COUNTIF('1.연간시수표'!AN55,$AV$9),COUNTIF('1.연간시수표'!AN55,$AV$7)),$AV$6,IF(OR(COUNTIF('1.연간시수표'!AN55,$AW$9),COUNTIF('1.연간시수표'!AN55,$AW$7)),$AW$6,IF(OR(COUNTIF('1.연간시수표'!AN55,$AX$9),COUNTIF('1.연간시수표'!AN55,$AX$7)),$AX$6,IF(OR(COUNTIF('1.연간시수표'!AN55,$AY$9),COUNTIF('1.연간시수표'!AN55,$AY$7)),$AY$6,IF(OR(COUNTIF('1.연간시수표'!AN55,$AZ$9),COUNTIF('1.연간시수표'!AN55,$AZ$7)),$AZ$6,IF(OR(COUNTIF('1.연간시수표'!AN55,$BA$9),COUNTIF('1.연간시수표'!AN55,$BA$7)),$BA$6,IF(OR(COUNTIF('1.연간시수표'!AN55,$BB$9),COUNTIF('1.연간시수표'!AN55,$BB$7)),$BB$6,IF(OR(COUNTIF('1.연간시수표'!AN55,$BC$9),COUNTIF('1.연간시수표'!AN55,$BC$7)),$BC$6,IF(OR(COUNTIF('1.연간시수표'!AN55,$BF$9),COUNTIF('1.연간시수표'!AN55,$BF$7),COUNTIF('1.연간시수표'!AN55,$BG$9),COUNTIF('1.연간시수표'!AN55,$BG$7),COUNTIF('1.연간시수표'!AN55,$BH$9),COUNTIF('1.연간시수표'!AN55,$BH$7),COUNTIF('1.연간시수표'!AN55,$BI$9),COUNTIF('1.연간시수표'!AN55,$BI$7),COUNTIF('1.연간시수표'!AN55,$BJ$9),COUNTIF('1.연간시수표'!AN55,$BJ$7),COUNTIF('1.연간시수표'!AN55,$BK$9),COUNTIF('1.연간시수표'!AN55,$BK$7),COUNTIF('1.연간시수표'!AN55,$BL$9),COUNTIF('1.연간시수표'!AN55,$BL$7),COUNTIF('1.연간시수표'!AN55,$BM$9),COUNTIF('1.연간시수표'!AN55,$BM$7)),$BF$6,IF(OR(COUNTIF('1.연간시수표'!AN55,$BO$9),COUNTIF('1.연간시수표'!AN55,$BO$7)),$BO$6,IF(OR(COUNTIF('1.연간시수표'!AN55,$BP$9),COUNTIF('1.연간시수표'!AN55,$BP$7)),$BP$6,IF(OR(COUNTIF('1.연간시수표'!AN55,$BQ$9),COUNTIF('1.연간시수표'!AN55,$BQ$7)),$BQ$6,IF(OR(COUNTIF('1.연간시수표'!AN55,$BR$9),COUNTIF('1.연간시수표'!AN55,$BR$7)),$BR$6,"_")))))))))))))))</f>
        <v>국어</v>
      </c>
      <c r="AO55" s="148" t="str">
        <f>IF(OR(COUNTIF('1.연간시수표'!AO55,$AT$9),COUNTIF('1.연간시수표'!AO55,$AT$7)),$AT$6,IF(OR(COUNTIF('1.연간시수표'!AO55,$AU$9),COUNTIF('1.연간시수표'!AO55,$AU$7)),$AU$6,IF(OR(COUNTIF('1.연간시수표'!AO55,$AV$9),COUNTIF('1.연간시수표'!AO55,$AV$7)),$AV$6,IF(OR(COUNTIF('1.연간시수표'!AO55,$AW$9),COUNTIF('1.연간시수표'!AO55,$AW$7)),$AW$6,IF(OR(COUNTIF('1.연간시수표'!AO55,$AX$9),COUNTIF('1.연간시수표'!AO55,$AX$7)),$AX$6,IF(OR(COUNTIF('1.연간시수표'!AO55,$AY$9),COUNTIF('1.연간시수표'!AO55,$AY$7)),$AY$6,IF(OR(COUNTIF('1.연간시수표'!AO55,$AZ$9),COUNTIF('1.연간시수표'!AO55,$AZ$7)),$AZ$6,IF(OR(COUNTIF('1.연간시수표'!AO55,$BA$9),COUNTIF('1.연간시수표'!AO55,$BA$7)),$BA$6,IF(OR(COUNTIF('1.연간시수표'!AO55,$BB$9),COUNTIF('1.연간시수표'!AO55,$BB$7)),$BB$6,IF(OR(COUNTIF('1.연간시수표'!AO55,$BC$9),COUNTIF('1.연간시수표'!AO55,$BC$7)),$BC$6,IF(OR(COUNTIF('1.연간시수표'!AO55,$BF$9),COUNTIF('1.연간시수표'!AO55,$BF$7),COUNTIF('1.연간시수표'!AO55,$BG$9),COUNTIF('1.연간시수표'!AO55,$BG$7),COUNTIF('1.연간시수표'!AO55,$BH$9),COUNTIF('1.연간시수표'!AO55,$BH$7),COUNTIF('1.연간시수표'!AO55,$BI$9),COUNTIF('1.연간시수표'!AO55,$BI$7),COUNTIF('1.연간시수표'!AO55,$BJ$9),COUNTIF('1.연간시수표'!AO55,$BJ$7),COUNTIF('1.연간시수표'!AO55,$BK$9),COUNTIF('1.연간시수표'!AO55,$BK$7),COUNTIF('1.연간시수표'!AO55,$BL$9),COUNTIF('1.연간시수표'!AO55,$BL$7),COUNTIF('1.연간시수표'!AO55,$BM$9),COUNTIF('1.연간시수표'!AO55,$BM$7)),$BF$6,IF(OR(COUNTIF('1.연간시수표'!AO55,$BO$9),COUNTIF('1.연간시수표'!AO55,$BO$7)),$BO$6,IF(OR(COUNTIF('1.연간시수표'!AO55,$BP$9),COUNTIF('1.연간시수표'!AO55,$BP$7)),$BP$6,IF(OR(COUNTIF('1.연간시수표'!AO55,$BQ$9),COUNTIF('1.연간시수표'!AO55,$BQ$7)),$BQ$6,IF(OR(COUNTIF('1.연간시수표'!AO55,$BR$9),COUNTIF('1.연간시수표'!AO55,$BR$7)),$BR$6,"_")))))))))))))))</f>
        <v>사회</v>
      </c>
      <c r="AP55" s="148" t="str">
        <f>IF(OR(COUNTIF('1.연간시수표'!AP55,$AT$9),COUNTIF('1.연간시수표'!AP55,$AT$7)),$AT$6,IF(OR(COUNTIF('1.연간시수표'!AP55,$AU$9),COUNTIF('1.연간시수표'!AP55,$AU$7)),$AU$6,IF(OR(COUNTIF('1.연간시수표'!AP55,$AV$9),COUNTIF('1.연간시수표'!AP55,$AV$7)),$AV$6,IF(OR(COUNTIF('1.연간시수표'!AP55,$AW$9),COUNTIF('1.연간시수표'!AP55,$AW$7)),$AW$6,IF(OR(COUNTIF('1.연간시수표'!AP55,$AX$9),COUNTIF('1.연간시수표'!AP55,$AX$7)),$AX$6,IF(OR(COUNTIF('1.연간시수표'!AP55,$AY$9),COUNTIF('1.연간시수표'!AP55,$AY$7)),$AY$6,IF(OR(COUNTIF('1.연간시수표'!AP55,$AZ$9),COUNTIF('1.연간시수표'!AP55,$AZ$7)),$AZ$6,IF(OR(COUNTIF('1.연간시수표'!AP55,$BA$9),COUNTIF('1.연간시수표'!AP55,$BA$7)),$BA$6,IF(OR(COUNTIF('1.연간시수표'!AP55,$BB$9),COUNTIF('1.연간시수표'!AP55,$BB$7)),$BB$6,IF(OR(COUNTIF('1.연간시수표'!AP55,$BC$9),COUNTIF('1.연간시수표'!AP55,$BC$7)),$BC$6,IF(OR(COUNTIF('1.연간시수표'!AP55,$BF$9),COUNTIF('1.연간시수표'!AP55,$BF$7),COUNTIF('1.연간시수표'!AP55,$BG$9),COUNTIF('1.연간시수표'!AP55,$BG$7),COUNTIF('1.연간시수표'!AP55,$BH$9),COUNTIF('1.연간시수표'!AP55,$BH$7),COUNTIF('1.연간시수표'!AP55,$BI$9),COUNTIF('1.연간시수표'!AP55,$BI$7),COUNTIF('1.연간시수표'!AP55,$BJ$9),COUNTIF('1.연간시수표'!AP55,$BJ$7),COUNTIF('1.연간시수표'!AP55,$BK$9),COUNTIF('1.연간시수표'!AP55,$BK$7),COUNTIF('1.연간시수표'!AP55,$BL$9),COUNTIF('1.연간시수표'!AP55,$BL$7),COUNTIF('1.연간시수표'!AP55,$BM$9),COUNTIF('1.연간시수표'!AP55,$BM$7)),$BF$6,IF(OR(COUNTIF('1.연간시수표'!AP55,$BO$9),COUNTIF('1.연간시수표'!AP55,$BO$7)),$BO$6,IF(OR(COUNTIF('1.연간시수표'!AP55,$BP$9),COUNTIF('1.연간시수표'!AP55,$BP$7)),$BP$6,IF(OR(COUNTIF('1.연간시수표'!AP55,$BQ$9),COUNTIF('1.연간시수표'!AP55,$BQ$7)),$BQ$6,IF(OR(COUNTIF('1.연간시수표'!AP55,$BR$9),COUNTIF('1.연간시수표'!AP55,$BR$7)),$BR$6,"_")))))))))))))))</f>
        <v>실과</v>
      </c>
      <c r="AQ55" s="148" t="str">
        <f>IF(OR(COUNTIF('1.연간시수표'!AQ55,$AT$9),COUNTIF('1.연간시수표'!AQ55,$AT$7)),$AT$6,IF(OR(COUNTIF('1.연간시수표'!AQ55,$AU$9),COUNTIF('1.연간시수표'!AQ55,$AU$7)),$AU$6,IF(OR(COUNTIF('1.연간시수표'!AQ55,$AV$9),COUNTIF('1.연간시수표'!AQ55,$AV$7)),$AV$6,IF(OR(COUNTIF('1.연간시수표'!AQ55,$AW$9),COUNTIF('1.연간시수표'!AQ55,$AW$7)),$AW$6,IF(OR(COUNTIF('1.연간시수표'!AQ55,$AX$9),COUNTIF('1.연간시수표'!AQ55,$AX$7)),$AX$6,IF(OR(COUNTIF('1.연간시수표'!AQ55,$AY$9),COUNTIF('1.연간시수표'!AQ55,$AY$7)),$AY$6,IF(OR(COUNTIF('1.연간시수표'!AQ55,$AZ$9),COUNTIF('1.연간시수표'!AQ55,$AZ$7)),$AZ$6,IF(OR(COUNTIF('1.연간시수표'!AQ55,$BA$9),COUNTIF('1.연간시수표'!AQ55,$BA$7)),$BA$6,IF(OR(COUNTIF('1.연간시수표'!AQ55,$BB$9),COUNTIF('1.연간시수표'!AQ55,$BB$7)),$BB$6,IF(OR(COUNTIF('1.연간시수표'!AQ55,$BC$9),COUNTIF('1.연간시수표'!AQ55,$BC$7)),$BC$6,IF(OR(COUNTIF('1.연간시수표'!AQ55,$BF$9),COUNTIF('1.연간시수표'!AQ55,$BF$7),COUNTIF('1.연간시수표'!AQ55,$BG$9),COUNTIF('1.연간시수표'!AQ55,$BG$7),COUNTIF('1.연간시수표'!AQ55,$BH$9),COUNTIF('1.연간시수표'!AQ55,$BH$7),COUNTIF('1.연간시수표'!AQ55,$BI$9),COUNTIF('1.연간시수표'!AQ55,$BI$7),COUNTIF('1.연간시수표'!AQ55,$BJ$9),COUNTIF('1.연간시수표'!AQ55,$BJ$7),COUNTIF('1.연간시수표'!AQ55,$BK$9),COUNTIF('1.연간시수표'!AQ55,$BK$7),COUNTIF('1.연간시수표'!AQ55,$BL$9),COUNTIF('1.연간시수표'!AQ55,$BL$7),COUNTIF('1.연간시수표'!AQ55,$BM$9),COUNTIF('1.연간시수표'!AQ55,$BM$7)),$BF$6,IF(OR(COUNTIF('1.연간시수표'!AQ55,$BO$9),COUNTIF('1.연간시수표'!AQ55,$BO$7)),$BO$6,IF(OR(COUNTIF('1.연간시수표'!AQ55,$BP$9),COUNTIF('1.연간시수표'!AQ55,$BP$7)),$BP$6,IF(OR(COUNTIF('1.연간시수표'!AQ55,$BQ$9),COUNTIF('1.연간시수표'!AQ55,$BQ$7)),$BQ$6,IF(OR(COUNTIF('1.연간시수표'!AQ55,$BR$9),COUNTIF('1.연간시수표'!AQ55,$BR$7)),$BR$6,"_")))))))))))))))</f>
        <v>_</v>
      </c>
      <c r="AR55" s="148" t="str">
        <f>IF(OR(COUNTIF('1.연간시수표'!AR55,$AT$9),COUNTIF('1.연간시수표'!AR55,$AT$7)),$AT$6,IF(OR(COUNTIF('1.연간시수표'!AR55,$AU$9),COUNTIF('1.연간시수표'!AR55,$AU$7)),$AU$6,IF(OR(COUNTIF('1.연간시수표'!AR55,$AV$9),COUNTIF('1.연간시수표'!AR55,$AV$7)),$AV$6,IF(OR(COUNTIF('1.연간시수표'!AR55,$AW$9),COUNTIF('1.연간시수표'!AR55,$AW$7)),$AW$6,IF(OR(COUNTIF('1.연간시수표'!AR55,$AX$9),COUNTIF('1.연간시수표'!AR55,$AX$7)),$AX$6,IF(OR(COUNTIF('1.연간시수표'!AR55,$AY$9),COUNTIF('1.연간시수표'!AR55,$AY$7)),$AY$6,IF(OR(COUNTIF('1.연간시수표'!AR55,$AZ$9),COUNTIF('1.연간시수표'!AR55,$AZ$7)),$AZ$6,IF(OR(COUNTIF('1.연간시수표'!AR55,$BA$9),COUNTIF('1.연간시수표'!AR55,$BA$7)),$BA$6,IF(OR(COUNTIF('1.연간시수표'!AR55,$BB$9),COUNTIF('1.연간시수표'!AR55,$BB$7)),$BB$6,IF(OR(COUNTIF('1.연간시수표'!AR55,$BC$9),COUNTIF('1.연간시수표'!AR55,$BC$7)),$BC$6,IF(OR(COUNTIF('1.연간시수표'!AR55,$BF$9),COUNTIF('1.연간시수표'!AR55,$BF$7),COUNTIF('1.연간시수표'!AR55,$BG$9),COUNTIF('1.연간시수표'!AR55,$BG$7),COUNTIF('1.연간시수표'!AR55,$BH$9),COUNTIF('1.연간시수표'!AR55,$BH$7),COUNTIF('1.연간시수표'!AR55,$BI$9),COUNTIF('1.연간시수표'!AR55,$BI$7),COUNTIF('1.연간시수표'!AR55,$BJ$9),COUNTIF('1.연간시수표'!AR55,$BJ$7),COUNTIF('1.연간시수표'!AR55,$BK$9),COUNTIF('1.연간시수표'!AR55,$BK$7),COUNTIF('1.연간시수표'!AR55,$BL$9),COUNTIF('1.연간시수표'!AR55,$BL$7),COUNTIF('1.연간시수표'!AR55,$BM$9),COUNTIF('1.연간시수표'!AR55,$BM$7)),$BF$6,IF(OR(COUNTIF('1.연간시수표'!AR55,$BO$9),COUNTIF('1.연간시수표'!AR55,$BO$7)),$BO$6,IF(OR(COUNTIF('1.연간시수표'!AR55,$BP$9),COUNTIF('1.연간시수표'!AR55,$BP$7)),$BP$6,IF(OR(COUNTIF('1.연간시수표'!AR55,$BQ$9),COUNTIF('1.연간시수표'!AR55,$BQ$7)),$BQ$6,IF(OR(COUNTIF('1.연간시수표'!AR55,$BR$9),COUNTIF('1.연간시수표'!AR55,$BR$7)),$BR$6,"_")))))))))))))))</f>
        <v>_</v>
      </c>
      <c r="BU55" s="32"/>
    </row>
    <row r="56" spans="2:73">
      <c r="B56" s="6"/>
      <c r="C56" s="79">
        <f>'1.연간시수표'!C56</f>
        <v>25</v>
      </c>
      <c r="D56" s="3"/>
      <c r="E56" s="148" t="str">
        <f>IF(OR(COUNTIF('1.연간시수표'!E56,$AT$9),COUNTIF('1.연간시수표'!E56,$AT$7)),$AT$6,IF(OR(COUNTIF('1.연간시수표'!E56,$AU$9),COUNTIF('1.연간시수표'!E56,$AU$7)),$AU$6,IF(OR(COUNTIF('1.연간시수표'!E56,$AV$9),COUNTIF('1.연간시수표'!E56,$AV$7)),$AV$6,IF(OR(COUNTIF('1.연간시수표'!E56,$AW$9),COUNTIF('1.연간시수표'!E56,$AW$7)),$AW$6,IF(OR(COUNTIF('1.연간시수표'!E56,$AX$9),COUNTIF('1.연간시수표'!E56,$AX$7)),$AX$6,IF(OR(COUNTIF('1.연간시수표'!E56,$AY$9),COUNTIF('1.연간시수표'!E56,$AY$7)),$AY$6,IF(OR(COUNTIF('1.연간시수표'!E56,$AZ$9),COUNTIF('1.연간시수표'!E56,$AZ$7)),$AZ$6,IF(OR(COUNTIF('1.연간시수표'!E56,$BA$9),COUNTIF('1.연간시수표'!E56,$BA$7)),$BA$6,IF(OR(COUNTIF('1.연간시수표'!E56,$BB$9),COUNTIF('1.연간시수표'!E56,$BB$7)),$BB$6,IF(OR(COUNTIF('1.연간시수표'!E56,$BC$9),COUNTIF('1.연간시수표'!E56,$BC$7)),$BC$6,IF(OR(COUNTIF('1.연간시수표'!E56,$BF$9),COUNTIF('1.연간시수표'!E56,$BF$7),COUNTIF('1.연간시수표'!E56,$BG$9),COUNTIF('1.연간시수표'!E56,$BG$7),COUNTIF('1.연간시수표'!E56,$BH$9),COUNTIF('1.연간시수표'!E56,$BH$7),COUNTIF('1.연간시수표'!E56,$BI$9),COUNTIF('1.연간시수표'!E56,$BI$7),COUNTIF('1.연간시수표'!E56,$BJ$9),COUNTIF('1.연간시수표'!E56,$BJ$7),COUNTIF('1.연간시수표'!E56,$BK$9),COUNTIF('1.연간시수표'!E56,$BK$7),COUNTIF('1.연간시수표'!E56,$BL$9),COUNTIF('1.연간시수표'!E56,$BL$7),COUNTIF('1.연간시수표'!E56,$BM$9),COUNTIF('1.연간시수표'!E56,$BM$7)),$BF$6,IF(OR(COUNTIF('1.연간시수표'!E56,$BO$9),COUNTIF('1.연간시수표'!E56,$BO$7)),$BO$6,IF(OR(COUNTIF('1.연간시수표'!E56,$BP$9),COUNTIF('1.연간시수표'!E56,$BP$7)),$BP$6,IF(OR(COUNTIF('1.연간시수표'!E56,$BQ$9),COUNTIF('1.연간시수표'!E56,$BQ$7)),$BQ$6,IF(OR(COUNTIF('1.연간시수표'!E56,$BR$9),COUNTIF('1.연간시수표'!E56,$BR$7)),$BR$6,"_")))))))))))))))</f>
        <v>국어</v>
      </c>
      <c r="F56" s="148" t="str">
        <f>IF(OR(COUNTIF('1.연간시수표'!F56,$AT$9),COUNTIF('1.연간시수표'!F56,$AT$7)),$AT$6,IF(OR(COUNTIF('1.연간시수표'!F56,$AU$9),COUNTIF('1.연간시수표'!F56,$AU$7)),$AU$6,IF(OR(COUNTIF('1.연간시수표'!F56,$AV$9),COUNTIF('1.연간시수표'!F56,$AV$7)),$AV$6,IF(OR(COUNTIF('1.연간시수표'!F56,$AW$9),COUNTIF('1.연간시수표'!F56,$AW$7)),$AW$6,IF(OR(COUNTIF('1.연간시수표'!F56,$AX$9),COUNTIF('1.연간시수표'!F56,$AX$7)),$AX$6,IF(OR(COUNTIF('1.연간시수표'!F56,$AY$9),COUNTIF('1.연간시수표'!F56,$AY$7)),$AY$6,IF(OR(COUNTIF('1.연간시수표'!F56,$AZ$9),COUNTIF('1.연간시수표'!F56,$AZ$7)),$AZ$6,IF(OR(COUNTIF('1.연간시수표'!F56,$BA$9),COUNTIF('1.연간시수표'!F56,$BA$7)),$BA$6,IF(OR(COUNTIF('1.연간시수표'!F56,$BB$9),COUNTIF('1.연간시수표'!F56,$BB$7)),$BB$6,IF(OR(COUNTIF('1.연간시수표'!F56,$BC$9),COUNTIF('1.연간시수표'!F56,$BC$7)),$BC$6,IF(OR(COUNTIF('1.연간시수표'!F56,$BF$9),COUNTIF('1.연간시수표'!F56,$BF$7),COUNTIF('1.연간시수표'!F56,$BG$9),COUNTIF('1.연간시수표'!F56,$BG$7),COUNTIF('1.연간시수표'!F56,$BH$9),COUNTIF('1.연간시수표'!F56,$BH$7),COUNTIF('1.연간시수표'!F56,$BI$9),COUNTIF('1.연간시수표'!F56,$BI$7),COUNTIF('1.연간시수표'!F56,$BJ$9),COUNTIF('1.연간시수표'!F56,$BJ$7),COUNTIF('1.연간시수표'!F56,$BK$9),COUNTIF('1.연간시수표'!F56,$BK$7),COUNTIF('1.연간시수표'!F56,$BL$9),COUNTIF('1.연간시수표'!F56,$BL$7),COUNTIF('1.연간시수표'!F56,$BM$9),COUNTIF('1.연간시수표'!F56,$BM$7)),$BF$6,IF(OR(COUNTIF('1.연간시수표'!F56,$BO$9),COUNTIF('1.연간시수표'!F56,$BO$7)),$BO$6,IF(OR(COUNTIF('1.연간시수표'!F56,$BP$9),COUNTIF('1.연간시수표'!F56,$BP$7)),$BP$6,IF(OR(COUNTIF('1.연간시수표'!F56,$BQ$9),COUNTIF('1.연간시수표'!F56,$BQ$7)),$BQ$6,IF(OR(COUNTIF('1.연간시수표'!F56,$BR$9),COUNTIF('1.연간시수표'!F56,$BR$7)),$BR$6,"_")))))))))))))))</f>
        <v>미술</v>
      </c>
      <c r="G56" s="148" t="str">
        <f>IF(OR(COUNTIF('1.연간시수표'!G56,$AT$9),COUNTIF('1.연간시수표'!G56,$AT$7)),$AT$6,IF(OR(COUNTIF('1.연간시수표'!G56,$AU$9),COUNTIF('1.연간시수표'!G56,$AU$7)),$AU$6,IF(OR(COUNTIF('1.연간시수표'!G56,$AV$9),COUNTIF('1.연간시수표'!G56,$AV$7)),$AV$6,IF(OR(COUNTIF('1.연간시수표'!G56,$AW$9),COUNTIF('1.연간시수표'!G56,$AW$7)),$AW$6,IF(OR(COUNTIF('1.연간시수표'!G56,$AX$9),COUNTIF('1.연간시수표'!G56,$AX$7)),$AX$6,IF(OR(COUNTIF('1.연간시수표'!G56,$AY$9),COUNTIF('1.연간시수표'!G56,$AY$7)),$AY$6,IF(OR(COUNTIF('1.연간시수표'!G56,$AZ$9),COUNTIF('1.연간시수표'!G56,$AZ$7)),$AZ$6,IF(OR(COUNTIF('1.연간시수표'!G56,$BA$9),COUNTIF('1.연간시수표'!G56,$BA$7)),$BA$6,IF(OR(COUNTIF('1.연간시수표'!G56,$BB$9),COUNTIF('1.연간시수표'!G56,$BB$7)),$BB$6,IF(OR(COUNTIF('1.연간시수표'!G56,$BC$9),COUNTIF('1.연간시수표'!G56,$BC$7)),$BC$6,IF(OR(COUNTIF('1.연간시수표'!G56,$BF$9),COUNTIF('1.연간시수표'!G56,$BF$7),COUNTIF('1.연간시수표'!G56,$BG$9),COUNTIF('1.연간시수표'!G56,$BG$7),COUNTIF('1.연간시수표'!G56,$BH$9),COUNTIF('1.연간시수표'!G56,$BH$7),COUNTIF('1.연간시수표'!G56,$BI$9),COUNTIF('1.연간시수표'!G56,$BI$7),COUNTIF('1.연간시수표'!G56,$BJ$9),COUNTIF('1.연간시수표'!G56,$BJ$7),COUNTIF('1.연간시수표'!G56,$BK$9),COUNTIF('1.연간시수표'!G56,$BK$7),COUNTIF('1.연간시수표'!G56,$BL$9),COUNTIF('1.연간시수표'!G56,$BL$7),COUNTIF('1.연간시수표'!G56,$BM$9),COUNTIF('1.연간시수표'!G56,$BM$7)),$BF$6,IF(OR(COUNTIF('1.연간시수표'!G56,$BO$9),COUNTIF('1.연간시수표'!G56,$BO$7)),$BO$6,IF(OR(COUNTIF('1.연간시수표'!G56,$BP$9),COUNTIF('1.연간시수표'!G56,$BP$7)),$BP$6,IF(OR(COUNTIF('1.연간시수표'!G56,$BQ$9),COUNTIF('1.연간시수표'!G56,$BQ$7)),$BQ$6,IF(OR(COUNTIF('1.연간시수표'!G56,$BR$9),COUNTIF('1.연간시수표'!G56,$BR$7)),$BR$6,"_")))))))))))))))</f>
        <v>미술</v>
      </c>
      <c r="H56" s="148" t="str">
        <f>IF(OR(COUNTIF('1.연간시수표'!H56,$AT$9),COUNTIF('1.연간시수표'!H56,$AT$7)),$AT$6,IF(OR(COUNTIF('1.연간시수표'!H56,$AU$9),COUNTIF('1.연간시수표'!H56,$AU$7)),$AU$6,IF(OR(COUNTIF('1.연간시수표'!H56,$AV$9),COUNTIF('1.연간시수표'!H56,$AV$7)),$AV$6,IF(OR(COUNTIF('1.연간시수표'!H56,$AW$9),COUNTIF('1.연간시수표'!H56,$AW$7)),$AW$6,IF(OR(COUNTIF('1.연간시수표'!H56,$AX$9),COUNTIF('1.연간시수표'!H56,$AX$7)),$AX$6,IF(OR(COUNTIF('1.연간시수표'!H56,$AY$9),COUNTIF('1.연간시수표'!H56,$AY$7)),$AY$6,IF(OR(COUNTIF('1.연간시수표'!H56,$AZ$9),COUNTIF('1.연간시수표'!H56,$AZ$7)),$AZ$6,IF(OR(COUNTIF('1.연간시수표'!H56,$BA$9),COUNTIF('1.연간시수표'!H56,$BA$7)),$BA$6,IF(OR(COUNTIF('1.연간시수표'!H56,$BB$9),COUNTIF('1.연간시수표'!H56,$BB$7)),$BB$6,IF(OR(COUNTIF('1.연간시수표'!H56,$BC$9),COUNTIF('1.연간시수표'!H56,$BC$7)),$BC$6,IF(OR(COUNTIF('1.연간시수표'!H56,$BF$9),COUNTIF('1.연간시수표'!H56,$BF$7),COUNTIF('1.연간시수표'!H56,$BG$9),COUNTIF('1.연간시수표'!H56,$BG$7),COUNTIF('1.연간시수표'!H56,$BH$9),COUNTIF('1.연간시수표'!H56,$BH$7),COUNTIF('1.연간시수표'!H56,$BI$9),COUNTIF('1.연간시수표'!H56,$BI$7),COUNTIF('1.연간시수표'!H56,$BJ$9),COUNTIF('1.연간시수표'!H56,$BJ$7),COUNTIF('1.연간시수표'!H56,$BK$9),COUNTIF('1.연간시수표'!H56,$BK$7),COUNTIF('1.연간시수표'!H56,$BL$9),COUNTIF('1.연간시수표'!H56,$BL$7),COUNTIF('1.연간시수표'!H56,$BM$9),COUNTIF('1.연간시수표'!H56,$BM$7)),$BF$6,IF(OR(COUNTIF('1.연간시수표'!H56,$BO$9),COUNTIF('1.연간시수표'!H56,$BO$7)),$BO$6,IF(OR(COUNTIF('1.연간시수표'!H56,$BP$9),COUNTIF('1.연간시수표'!H56,$BP$7)),$BP$6,IF(OR(COUNTIF('1.연간시수표'!H56,$BQ$9),COUNTIF('1.연간시수표'!H56,$BQ$7)),$BQ$6,IF(OR(COUNTIF('1.연간시수표'!H56,$BR$9),COUNTIF('1.연간시수표'!H56,$BR$7)),$BR$6,"_")))))))))))))))</f>
        <v>영어</v>
      </c>
      <c r="I56" s="148" t="str">
        <f>IF(OR(COUNTIF('1.연간시수표'!I56,$AT$9),COUNTIF('1.연간시수표'!I56,$AT$7)),$AT$6,IF(OR(COUNTIF('1.연간시수표'!I56,$AU$9),COUNTIF('1.연간시수표'!I56,$AU$7)),$AU$6,IF(OR(COUNTIF('1.연간시수표'!I56,$AV$9),COUNTIF('1.연간시수표'!I56,$AV$7)),$AV$6,IF(OR(COUNTIF('1.연간시수표'!I56,$AW$9),COUNTIF('1.연간시수표'!I56,$AW$7)),$AW$6,IF(OR(COUNTIF('1.연간시수표'!I56,$AX$9),COUNTIF('1.연간시수표'!I56,$AX$7)),$AX$6,IF(OR(COUNTIF('1.연간시수표'!I56,$AY$9),COUNTIF('1.연간시수표'!I56,$AY$7)),$AY$6,IF(OR(COUNTIF('1.연간시수표'!I56,$AZ$9),COUNTIF('1.연간시수표'!I56,$AZ$7)),$AZ$6,IF(OR(COUNTIF('1.연간시수표'!I56,$BA$9),COUNTIF('1.연간시수표'!I56,$BA$7)),$BA$6,IF(OR(COUNTIF('1.연간시수표'!I56,$BB$9),COUNTIF('1.연간시수표'!I56,$BB$7)),$BB$6,IF(OR(COUNTIF('1.연간시수표'!I56,$BC$9),COUNTIF('1.연간시수표'!I56,$BC$7)),$BC$6,IF(OR(COUNTIF('1.연간시수표'!I56,$BF$9),COUNTIF('1.연간시수표'!I56,$BF$7),COUNTIF('1.연간시수표'!I56,$BG$9),COUNTIF('1.연간시수표'!I56,$BG$7),COUNTIF('1.연간시수표'!I56,$BH$9),COUNTIF('1.연간시수표'!I56,$BH$7),COUNTIF('1.연간시수표'!I56,$BI$9),COUNTIF('1.연간시수표'!I56,$BI$7),COUNTIF('1.연간시수표'!I56,$BJ$9),COUNTIF('1.연간시수표'!I56,$BJ$7),COUNTIF('1.연간시수표'!I56,$BK$9),COUNTIF('1.연간시수표'!I56,$BK$7),COUNTIF('1.연간시수표'!I56,$BL$9),COUNTIF('1.연간시수표'!I56,$BL$7),COUNTIF('1.연간시수표'!I56,$BM$9),COUNTIF('1.연간시수표'!I56,$BM$7)),$BF$6,IF(OR(COUNTIF('1.연간시수표'!I56,$BO$9),COUNTIF('1.연간시수표'!I56,$BO$7)),$BO$6,IF(OR(COUNTIF('1.연간시수표'!I56,$BP$9),COUNTIF('1.연간시수표'!I56,$BP$7)),$BP$6,IF(OR(COUNTIF('1.연간시수표'!I56,$BQ$9),COUNTIF('1.연간시수표'!I56,$BQ$7)),$BQ$6,IF(OR(COUNTIF('1.연간시수표'!I56,$BR$9),COUNTIF('1.연간시수표'!I56,$BR$7)),$BR$6,"_")))))))))))))))</f>
        <v>수학</v>
      </c>
      <c r="J56" s="148" t="str">
        <f>IF(OR(COUNTIF('1.연간시수표'!J56,$AT$9),COUNTIF('1.연간시수표'!J56,$AT$7)),$AT$6,IF(OR(COUNTIF('1.연간시수표'!J56,$AU$9),COUNTIF('1.연간시수표'!J56,$AU$7)),$AU$6,IF(OR(COUNTIF('1.연간시수표'!J56,$AV$9),COUNTIF('1.연간시수표'!J56,$AV$7)),$AV$6,IF(OR(COUNTIF('1.연간시수표'!J56,$AW$9),COUNTIF('1.연간시수표'!J56,$AW$7)),$AW$6,IF(OR(COUNTIF('1.연간시수표'!J56,$AX$9),COUNTIF('1.연간시수표'!J56,$AX$7)),$AX$6,IF(OR(COUNTIF('1.연간시수표'!J56,$AY$9),COUNTIF('1.연간시수표'!J56,$AY$7)),$AY$6,IF(OR(COUNTIF('1.연간시수표'!J56,$AZ$9),COUNTIF('1.연간시수표'!J56,$AZ$7)),$AZ$6,IF(OR(COUNTIF('1.연간시수표'!J56,$BA$9),COUNTIF('1.연간시수표'!J56,$BA$7)),$BA$6,IF(OR(COUNTIF('1.연간시수표'!J56,$BB$9),COUNTIF('1.연간시수표'!J56,$BB$7)),$BB$6,IF(OR(COUNTIF('1.연간시수표'!J56,$BC$9),COUNTIF('1.연간시수표'!J56,$BC$7)),$BC$6,IF(OR(COUNTIF('1.연간시수표'!J56,$BF$9),COUNTIF('1.연간시수표'!J56,$BF$7),COUNTIF('1.연간시수표'!J56,$BG$9),COUNTIF('1.연간시수표'!J56,$BG$7),COUNTIF('1.연간시수표'!J56,$BH$9),COUNTIF('1.연간시수표'!J56,$BH$7),COUNTIF('1.연간시수표'!J56,$BI$9),COUNTIF('1.연간시수표'!J56,$BI$7),COUNTIF('1.연간시수표'!J56,$BJ$9),COUNTIF('1.연간시수표'!J56,$BJ$7),COUNTIF('1.연간시수표'!J56,$BK$9),COUNTIF('1.연간시수표'!J56,$BK$7),COUNTIF('1.연간시수표'!J56,$BL$9),COUNTIF('1.연간시수표'!J56,$BL$7),COUNTIF('1.연간시수표'!J56,$BM$9),COUNTIF('1.연간시수표'!J56,$BM$7)),$BF$6,IF(OR(COUNTIF('1.연간시수표'!J56,$BO$9),COUNTIF('1.연간시수표'!J56,$BO$7)),$BO$6,IF(OR(COUNTIF('1.연간시수표'!J56,$BP$9),COUNTIF('1.연간시수표'!J56,$BP$7)),$BP$6,IF(OR(COUNTIF('1.연간시수표'!J56,$BQ$9),COUNTIF('1.연간시수표'!J56,$BQ$7)),$BQ$6,IF(OR(COUNTIF('1.연간시수표'!J56,$BR$9),COUNTIF('1.연간시수표'!J56,$BR$7)),$BR$6,"_")))))))))))))))</f>
        <v>자율활동</v>
      </c>
      <c r="K56" s="148" t="str">
        <f>IF(OR(COUNTIF('1.연간시수표'!K56,$AT$9),COUNTIF('1.연간시수표'!K56,$AT$7)),$AT$6,IF(OR(COUNTIF('1.연간시수표'!K56,$AU$9),COUNTIF('1.연간시수표'!K56,$AU$7)),$AU$6,IF(OR(COUNTIF('1.연간시수표'!K56,$AV$9),COUNTIF('1.연간시수표'!K56,$AV$7)),$AV$6,IF(OR(COUNTIF('1.연간시수표'!K56,$AW$9),COUNTIF('1.연간시수표'!K56,$AW$7)),$AW$6,IF(OR(COUNTIF('1.연간시수표'!K56,$AX$9),COUNTIF('1.연간시수표'!K56,$AX$7)),$AX$6,IF(OR(COUNTIF('1.연간시수표'!K56,$AY$9),COUNTIF('1.연간시수표'!K56,$AY$7)),$AY$6,IF(OR(COUNTIF('1.연간시수표'!K56,$AZ$9),COUNTIF('1.연간시수표'!K56,$AZ$7)),$AZ$6,IF(OR(COUNTIF('1.연간시수표'!K56,$BA$9),COUNTIF('1.연간시수표'!K56,$BA$7)),$BA$6,IF(OR(COUNTIF('1.연간시수표'!K56,$BB$9),COUNTIF('1.연간시수표'!K56,$BB$7)),$BB$6,IF(OR(COUNTIF('1.연간시수표'!K56,$BC$9),COUNTIF('1.연간시수표'!K56,$BC$7)),$BC$6,IF(OR(COUNTIF('1.연간시수표'!K56,$BF$9),COUNTIF('1.연간시수표'!K56,$BF$7),COUNTIF('1.연간시수표'!K56,$BG$9),COUNTIF('1.연간시수표'!K56,$BG$7),COUNTIF('1.연간시수표'!K56,$BH$9),COUNTIF('1.연간시수표'!K56,$BH$7),COUNTIF('1.연간시수표'!K56,$BI$9),COUNTIF('1.연간시수표'!K56,$BI$7),COUNTIF('1.연간시수표'!K56,$BJ$9),COUNTIF('1.연간시수표'!K56,$BJ$7),COUNTIF('1.연간시수표'!K56,$BK$9),COUNTIF('1.연간시수표'!K56,$BK$7),COUNTIF('1.연간시수표'!K56,$BL$9),COUNTIF('1.연간시수표'!K56,$BL$7),COUNTIF('1.연간시수표'!K56,$BM$9),COUNTIF('1.연간시수표'!K56,$BM$7)),$BF$6,IF(OR(COUNTIF('1.연간시수표'!K56,$BO$9),COUNTIF('1.연간시수표'!K56,$BO$7)),$BO$6,IF(OR(COUNTIF('1.연간시수표'!K56,$BP$9),COUNTIF('1.연간시수표'!K56,$BP$7)),$BP$6,IF(OR(COUNTIF('1.연간시수표'!K56,$BQ$9),COUNTIF('1.연간시수표'!K56,$BQ$7)),$BQ$6,IF(OR(COUNTIF('1.연간시수표'!K56,$BR$9),COUNTIF('1.연간시수표'!K56,$BR$7)),$BR$6,"_")))))))))))))))</f>
        <v>_</v>
      </c>
      <c r="L56" s="148" t="str">
        <f>IF(OR(COUNTIF('1.연간시수표'!L56,$AT$9),COUNTIF('1.연간시수표'!L56,$AT$7)),$AT$6,IF(OR(COUNTIF('1.연간시수표'!L56,$AU$9),COUNTIF('1.연간시수표'!L56,$AU$7)),$AU$6,IF(OR(COUNTIF('1.연간시수표'!L56,$AV$9),COUNTIF('1.연간시수표'!L56,$AV$7)),$AV$6,IF(OR(COUNTIF('1.연간시수표'!L56,$AW$9),COUNTIF('1.연간시수표'!L56,$AW$7)),$AW$6,IF(OR(COUNTIF('1.연간시수표'!L56,$AX$9),COUNTIF('1.연간시수표'!L56,$AX$7)),$AX$6,IF(OR(COUNTIF('1.연간시수표'!L56,$AY$9),COUNTIF('1.연간시수표'!L56,$AY$7)),$AY$6,IF(OR(COUNTIF('1.연간시수표'!L56,$AZ$9),COUNTIF('1.연간시수표'!L56,$AZ$7)),$AZ$6,IF(OR(COUNTIF('1.연간시수표'!L56,$BA$9),COUNTIF('1.연간시수표'!L56,$BA$7)),$BA$6,IF(OR(COUNTIF('1.연간시수표'!L56,$BB$9),COUNTIF('1.연간시수표'!L56,$BB$7)),$BB$6,IF(OR(COUNTIF('1.연간시수표'!L56,$BC$9),COUNTIF('1.연간시수표'!L56,$BC$7)),$BC$6,IF(OR(COUNTIF('1.연간시수표'!L56,$BF$9),COUNTIF('1.연간시수표'!L56,$BF$7),COUNTIF('1.연간시수표'!L56,$BG$9),COUNTIF('1.연간시수표'!L56,$BG$7),COUNTIF('1.연간시수표'!L56,$BH$9),COUNTIF('1.연간시수표'!L56,$BH$7),COUNTIF('1.연간시수표'!L56,$BI$9),COUNTIF('1.연간시수표'!L56,$BI$7),COUNTIF('1.연간시수표'!L56,$BJ$9),COUNTIF('1.연간시수표'!L56,$BJ$7),COUNTIF('1.연간시수표'!L56,$BK$9),COUNTIF('1.연간시수표'!L56,$BK$7),COUNTIF('1.연간시수표'!L56,$BL$9),COUNTIF('1.연간시수표'!L56,$BL$7),COUNTIF('1.연간시수표'!L56,$BM$9),COUNTIF('1.연간시수표'!L56,$BM$7)),$BF$6,IF(OR(COUNTIF('1.연간시수표'!L56,$BO$9),COUNTIF('1.연간시수표'!L56,$BO$7)),$BO$6,IF(OR(COUNTIF('1.연간시수표'!L56,$BP$9),COUNTIF('1.연간시수표'!L56,$BP$7)),$BP$6,IF(OR(COUNTIF('1.연간시수표'!L56,$BQ$9),COUNTIF('1.연간시수표'!L56,$BQ$7)),$BQ$6,IF(OR(COUNTIF('1.연간시수표'!L56,$BR$9),COUNTIF('1.연간시수표'!L56,$BR$7)),$BR$6,"_")))))))))))))))</f>
        <v>_</v>
      </c>
      <c r="M56" s="148" t="str">
        <f>IF(OR(COUNTIF('1.연간시수표'!M56,$AT$9),COUNTIF('1.연간시수표'!M56,$AT$7)),$AT$6,IF(OR(COUNTIF('1.연간시수표'!M56,$AU$9),COUNTIF('1.연간시수표'!M56,$AU$7)),$AU$6,IF(OR(COUNTIF('1.연간시수표'!M56,$AV$9),COUNTIF('1.연간시수표'!M56,$AV$7)),$AV$6,IF(OR(COUNTIF('1.연간시수표'!M56,$AW$9),COUNTIF('1.연간시수표'!M56,$AW$7)),$AW$6,IF(OR(COUNTIF('1.연간시수표'!M56,$AX$9),COUNTIF('1.연간시수표'!M56,$AX$7)),$AX$6,IF(OR(COUNTIF('1.연간시수표'!M56,$AY$9),COUNTIF('1.연간시수표'!M56,$AY$7)),$AY$6,IF(OR(COUNTIF('1.연간시수표'!M56,$AZ$9),COUNTIF('1.연간시수표'!M56,$AZ$7)),$AZ$6,IF(OR(COUNTIF('1.연간시수표'!M56,$BA$9),COUNTIF('1.연간시수표'!M56,$BA$7)),$BA$6,IF(OR(COUNTIF('1.연간시수표'!M56,$BB$9),COUNTIF('1.연간시수표'!M56,$BB$7)),$BB$6,IF(OR(COUNTIF('1.연간시수표'!M56,$BC$9),COUNTIF('1.연간시수표'!M56,$BC$7)),$BC$6,IF(OR(COUNTIF('1.연간시수표'!M56,$BF$9),COUNTIF('1.연간시수표'!M56,$BF$7),COUNTIF('1.연간시수표'!M56,$BG$9),COUNTIF('1.연간시수표'!M56,$BG$7),COUNTIF('1.연간시수표'!M56,$BH$9),COUNTIF('1.연간시수표'!M56,$BH$7),COUNTIF('1.연간시수표'!M56,$BI$9),COUNTIF('1.연간시수표'!M56,$BI$7),COUNTIF('1.연간시수표'!M56,$BJ$9),COUNTIF('1.연간시수표'!M56,$BJ$7),COUNTIF('1.연간시수표'!M56,$BK$9),COUNTIF('1.연간시수표'!M56,$BK$7),COUNTIF('1.연간시수표'!M56,$BL$9),COUNTIF('1.연간시수표'!M56,$BL$7),COUNTIF('1.연간시수표'!M56,$BM$9),COUNTIF('1.연간시수표'!M56,$BM$7)),$BF$6,IF(OR(COUNTIF('1.연간시수표'!M56,$BO$9),COUNTIF('1.연간시수표'!M56,$BO$7)),$BO$6,IF(OR(COUNTIF('1.연간시수표'!M56,$BP$9),COUNTIF('1.연간시수표'!M56,$BP$7)),$BP$6,IF(OR(COUNTIF('1.연간시수표'!M56,$BQ$9),COUNTIF('1.연간시수표'!M56,$BQ$7)),$BQ$6,IF(OR(COUNTIF('1.연간시수표'!M56,$BR$9),COUNTIF('1.연간시수표'!M56,$BR$7)),$BR$6,"_")))))))))))))))</f>
        <v>국어</v>
      </c>
      <c r="N56" s="148" t="str">
        <f>IF(OR(COUNTIF('1.연간시수표'!N56,$AT$9),COUNTIF('1.연간시수표'!N56,$AT$7)),$AT$6,IF(OR(COUNTIF('1.연간시수표'!N56,$AU$9),COUNTIF('1.연간시수표'!N56,$AU$7)),$AU$6,IF(OR(COUNTIF('1.연간시수표'!N56,$AV$9),COUNTIF('1.연간시수표'!N56,$AV$7)),$AV$6,IF(OR(COUNTIF('1.연간시수표'!N56,$AW$9),COUNTIF('1.연간시수표'!N56,$AW$7)),$AW$6,IF(OR(COUNTIF('1.연간시수표'!N56,$AX$9),COUNTIF('1.연간시수표'!N56,$AX$7)),$AX$6,IF(OR(COUNTIF('1.연간시수표'!N56,$AY$9),COUNTIF('1.연간시수표'!N56,$AY$7)),$AY$6,IF(OR(COUNTIF('1.연간시수표'!N56,$AZ$9),COUNTIF('1.연간시수표'!N56,$AZ$7)),$AZ$6,IF(OR(COUNTIF('1.연간시수표'!N56,$BA$9),COUNTIF('1.연간시수표'!N56,$BA$7)),$BA$6,IF(OR(COUNTIF('1.연간시수표'!N56,$BB$9),COUNTIF('1.연간시수표'!N56,$BB$7)),$BB$6,IF(OR(COUNTIF('1.연간시수표'!N56,$BC$9),COUNTIF('1.연간시수표'!N56,$BC$7)),$BC$6,IF(OR(COUNTIF('1.연간시수표'!N56,$BF$9),COUNTIF('1.연간시수표'!N56,$BF$7),COUNTIF('1.연간시수표'!N56,$BG$9),COUNTIF('1.연간시수표'!N56,$BG$7),COUNTIF('1.연간시수표'!N56,$BH$9),COUNTIF('1.연간시수표'!N56,$BH$7),COUNTIF('1.연간시수표'!N56,$BI$9),COUNTIF('1.연간시수표'!N56,$BI$7),COUNTIF('1.연간시수표'!N56,$BJ$9),COUNTIF('1.연간시수표'!N56,$BJ$7),COUNTIF('1.연간시수표'!N56,$BK$9),COUNTIF('1.연간시수표'!N56,$BK$7),COUNTIF('1.연간시수표'!N56,$BL$9),COUNTIF('1.연간시수표'!N56,$BL$7),COUNTIF('1.연간시수표'!N56,$BM$9),COUNTIF('1.연간시수표'!N56,$BM$7)),$BF$6,IF(OR(COUNTIF('1.연간시수표'!N56,$BO$9),COUNTIF('1.연간시수표'!N56,$BO$7)),$BO$6,IF(OR(COUNTIF('1.연간시수표'!N56,$BP$9),COUNTIF('1.연간시수표'!N56,$BP$7)),$BP$6,IF(OR(COUNTIF('1.연간시수표'!N56,$BQ$9),COUNTIF('1.연간시수표'!N56,$BQ$7)),$BQ$6,IF(OR(COUNTIF('1.연간시수표'!N56,$BR$9),COUNTIF('1.연간시수표'!N56,$BR$7)),$BR$6,"_")))))))))))))))</f>
        <v>국어</v>
      </c>
      <c r="O56" s="148" t="str">
        <f>IF(OR(COUNTIF('1.연간시수표'!O56,$AT$9),COUNTIF('1.연간시수표'!O56,$AT$7)),$AT$6,IF(OR(COUNTIF('1.연간시수표'!O56,$AU$9),COUNTIF('1.연간시수표'!O56,$AU$7)),$AU$6,IF(OR(COUNTIF('1.연간시수표'!O56,$AV$9),COUNTIF('1.연간시수표'!O56,$AV$7)),$AV$6,IF(OR(COUNTIF('1.연간시수표'!O56,$AW$9),COUNTIF('1.연간시수표'!O56,$AW$7)),$AW$6,IF(OR(COUNTIF('1.연간시수표'!O56,$AX$9),COUNTIF('1.연간시수표'!O56,$AX$7)),$AX$6,IF(OR(COUNTIF('1.연간시수표'!O56,$AY$9),COUNTIF('1.연간시수표'!O56,$AY$7)),$AY$6,IF(OR(COUNTIF('1.연간시수표'!O56,$AZ$9),COUNTIF('1.연간시수표'!O56,$AZ$7)),$AZ$6,IF(OR(COUNTIF('1.연간시수표'!O56,$BA$9),COUNTIF('1.연간시수표'!O56,$BA$7)),$BA$6,IF(OR(COUNTIF('1.연간시수표'!O56,$BB$9),COUNTIF('1.연간시수표'!O56,$BB$7)),$BB$6,IF(OR(COUNTIF('1.연간시수표'!O56,$BC$9),COUNTIF('1.연간시수표'!O56,$BC$7)),$BC$6,IF(OR(COUNTIF('1.연간시수표'!O56,$BF$9),COUNTIF('1.연간시수표'!O56,$BF$7),COUNTIF('1.연간시수표'!O56,$BG$9),COUNTIF('1.연간시수표'!O56,$BG$7),COUNTIF('1.연간시수표'!O56,$BH$9),COUNTIF('1.연간시수표'!O56,$BH$7),COUNTIF('1.연간시수표'!O56,$BI$9),COUNTIF('1.연간시수표'!O56,$BI$7),COUNTIF('1.연간시수표'!O56,$BJ$9),COUNTIF('1.연간시수표'!O56,$BJ$7),COUNTIF('1.연간시수표'!O56,$BK$9),COUNTIF('1.연간시수표'!O56,$BK$7),COUNTIF('1.연간시수표'!O56,$BL$9),COUNTIF('1.연간시수표'!O56,$BL$7),COUNTIF('1.연간시수표'!O56,$BM$9),COUNTIF('1.연간시수표'!O56,$BM$7)),$BF$6,IF(OR(COUNTIF('1.연간시수표'!O56,$BO$9),COUNTIF('1.연간시수표'!O56,$BO$7)),$BO$6,IF(OR(COUNTIF('1.연간시수표'!O56,$BP$9),COUNTIF('1.연간시수표'!O56,$BP$7)),$BP$6,IF(OR(COUNTIF('1.연간시수표'!O56,$BQ$9),COUNTIF('1.연간시수표'!O56,$BQ$7)),$BQ$6,IF(OR(COUNTIF('1.연간시수표'!O56,$BR$9),COUNTIF('1.연간시수표'!O56,$BR$7)),$BR$6,"_")))))))))))))))</f>
        <v>사회</v>
      </c>
      <c r="P56" s="148" t="str">
        <f>IF(OR(COUNTIF('1.연간시수표'!P56,$AT$9),COUNTIF('1.연간시수표'!P56,$AT$7)),$AT$6,IF(OR(COUNTIF('1.연간시수표'!P56,$AU$9),COUNTIF('1.연간시수표'!P56,$AU$7)),$AU$6,IF(OR(COUNTIF('1.연간시수표'!P56,$AV$9),COUNTIF('1.연간시수표'!P56,$AV$7)),$AV$6,IF(OR(COUNTIF('1.연간시수표'!P56,$AW$9),COUNTIF('1.연간시수표'!P56,$AW$7)),$AW$6,IF(OR(COUNTIF('1.연간시수표'!P56,$AX$9),COUNTIF('1.연간시수표'!P56,$AX$7)),$AX$6,IF(OR(COUNTIF('1.연간시수표'!P56,$AY$9),COUNTIF('1.연간시수표'!P56,$AY$7)),$AY$6,IF(OR(COUNTIF('1.연간시수표'!P56,$AZ$9),COUNTIF('1.연간시수표'!P56,$AZ$7)),$AZ$6,IF(OR(COUNTIF('1.연간시수표'!P56,$BA$9),COUNTIF('1.연간시수표'!P56,$BA$7)),$BA$6,IF(OR(COUNTIF('1.연간시수표'!P56,$BB$9),COUNTIF('1.연간시수표'!P56,$BB$7)),$BB$6,IF(OR(COUNTIF('1.연간시수표'!P56,$BC$9),COUNTIF('1.연간시수표'!P56,$BC$7)),$BC$6,IF(OR(COUNTIF('1.연간시수표'!P56,$BF$9),COUNTIF('1.연간시수표'!P56,$BF$7),COUNTIF('1.연간시수표'!P56,$BG$9),COUNTIF('1.연간시수표'!P56,$BG$7),COUNTIF('1.연간시수표'!P56,$BH$9),COUNTIF('1.연간시수표'!P56,$BH$7),COUNTIF('1.연간시수표'!P56,$BI$9),COUNTIF('1.연간시수표'!P56,$BI$7),COUNTIF('1.연간시수표'!P56,$BJ$9),COUNTIF('1.연간시수표'!P56,$BJ$7),COUNTIF('1.연간시수표'!P56,$BK$9),COUNTIF('1.연간시수표'!P56,$BK$7),COUNTIF('1.연간시수표'!P56,$BL$9),COUNTIF('1.연간시수표'!P56,$BL$7),COUNTIF('1.연간시수표'!P56,$BM$9),COUNTIF('1.연간시수표'!P56,$BM$7)),$BF$6,IF(OR(COUNTIF('1.연간시수표'!P56,$BO$9),COUNTIF('1.연간시수표'!P56,$BO$7)),$BO$6,IF(OR(COUNTIF('1.연간시수표'!P56,$BP$9),COUNTIF('1.연간시수표'!P56,$BP$7)),$BP$6,IF(OR(COUNTIF('1.연간시수표'!P56,$BQ$9),COUNTIF('1.연간시수표'!P56,$BQ$7)),$BQ$6,IF(OR(COUNTIF('1.연간시수표'!P56,$BR$9),COUNTIF('1.연간시수표'!P56,$BR$7)),$BR$6,"_")))))))))))))))</f>
        <v>수학</v>
      </c>
      <c r="Q56" s="148" t="str">
        <f>IF(OR(COUNTIF('1.연간시수표'!Q56,$AT$9),COUNTIF('1.연간시수표'!Q56,$AT$7)),$AT$6,IF(OR(COUNTIF('1.연간시수표'!Q56,$AU$9),COUNTIF('1.연간시수표'!Q56,$AU$7)),$AU$6,IF(OR(COUNTIF('1.연간시수표'!Q56,$AV$9),COUNTIF('1.연간시수표'!Q56,$AV$7)),$AV$6,IF(OR(COUNTIF('1.연간시수표'!Q56,$AW$9),COUNTIF('1.연간시수표'!Q56,$AW$7)),$AW$6,IF(OR(COUNTIF('1.연간시수표'!Q56,$AX$9),COUNTIF('1.연간시수표'!Q56,$AX$7)),$AX$6,IF(OR(COUNTIF('1.연간시수표'!Q56,$AY$9),COUNTIF('1.연간시수표'!Q56,$AY$7)),$AY$6,IF(OR(COUNTIF('1.연간시수표'!Q56,$AZ$9),COUNTIF('1.연간시수표'!Q56,$AZ$7)),$AZ$6,IF(OR(COUNTIF('1.연간시수표'!Q56,$BA$9),COUNTIF('1.연간시수표'!Q56,$BA$7)),$BA$6,IF(OR(COUNTIF('1.연간시수표'!Q56,$BB$9),COUNTIF('1.연간시수표'!Q56,$BB$7)),$BB$6,IF(OR(COUNTIF('1.연간시수표'!Q56,$BC$9),COUNTIF('1.연간시수표'!Q56,$BC$7)),$BC$6,IF(OR(COUNTIF('1.연간시수표'!Q56,$BF$9),COUNTIF('1.연간시수표'!Q56,$BF$7),COUNTIF('1.연간시수표'!Q56,$BG$9),COUNTIF('1.연간시수표'!Q56,$BG$7),COUNTIF('1.연간시수표'!Q56,$BH$9),COUNTIF('1.연간시수표'!Q56,$BH$7),COUNTIF('1.연간시수표'!Q56,$BI$9),COUNTIF('1.연간시수표'!Q56,$BI$7),COUNTIF('1.연간시수표'!Q56,$BJ$9),COUNTIF('1.연간시수표'!Q56,$BJ$7),COUNTIF('1.연간시수표'!Q56,$BK$9),COUNTIF('1.연간시수표'!Q56,$BK$7),COUNTIF('1.연간시수표'!Q56,$BL$9),COUNTIF('1.연간시수표'!Q56,$BL$7),COUNTIF('1.연간시수표'!Q56,$BM$9),COUNTIF('1.연간시수표'!Q56,$BM$7)),$BF$6,IF(OR(COUNTIF('1.연간시수표'!Q56,$BO$9),COUNTIF('1.연간시수표'!Q56,$BO$7)),$BO$6,IF(OR(COUNTIF('1.연간시수표'!Q56,$BP$9),COUNTIF('1.연간시수표'!Q56,$BP$7)),$BP$6,IF(OR(COUNTIF('1.연간시수표'!Q56,$BQ$9),COUNTIF('1.연간시수표'!Q56,$BQ$7)),$BQ$6,IF(OR(COUNTIF('1.연간시수표'!Q56,$BR$9),COUNTIF('1.연간시수표'!Q56,$BR$7)),$BR$6,"_")))))))))))))))</f>
        <v>과학</v>
      </c>
      <c r="R56" s="148" t="str">
        <f>IF(OR(COUNTIF('1.연간시수표'!R56,$AT$9),COUNTIF('1.연간시수표'!R56,$AT$7)),$AT$6,IF(OR(COUNTIF('1.연간시수표'!R56,$AU$9),COUNTIF('1.연간시수표'!R56,$AU$7)),$AU$6,IF(OR(COUNTIF('1.연간시수표'!R56,$AV$9),COUNTIF('1.연간시수표'!R56,$AV$7)),$AV$6,IF(OR(COUNTIF('1.연간시수표'!R56,$AW$9),COUNTIF('1.연간시수표'!R56,$AW$7)),$AW$6,IF(OR(COUNTIF('1.연간시수표'!R56,$AX$9),COUNTIF('1.연간시수표'!R56,$AX$7)),$AX$6,IF(OR(COUNTIF('1.연간시수표'!R56,$AY$9),COUNTIF('1.연간시수표'!R56,$AY$7)),$AY$6,IF(OR(COUNTIF('1.연간시수표'!R56,$AZ$9),COUNTIF('1.연간시수표'!R56,$AZ$7)),$AZ$6,IF(OR(COUNTIF('1.연간시수표'!R56,$BA$9),COUNTIF('1.연간시수표'!R56,$BA$7)),$BA$6,IF(OR(COUNTIF('1.연간시수표'!R56,$BB$9),COUNTIF('1.연간시수표'!R56,$BB$7)),$BB$6,IF(OR(COUNTIF('1.연간시수표'!R56,$BC$9),COUNTIF('1.연간시수표'!R56,$BC$7)),$BC$6,IF(OR(COUNTIF('1.연간시수표'!R56,$BF$9),COUNTIF('1.연간시수표'!R56,$BF$7),COUNTIF('1.연간시수표'!R56,$BG$9),COUNTIF('1.연간시수표'!R56,$BG$7),COUNTIF('1.연간시수표'!R56,$BH$9),COUNTIF('1.연간시수표'!R56,$BH$7),COUNTIF('1.연간시수표'!R56,$BI$9),COUNTIF('1.연간시수표'!R56,$BI$7),COUNTIF('1.연간시수표'!R56,$BJ$9),COUNTIF('1.연간시수표'!R56,$BJ$7),COUNTIF('1.연간시수표'!R56,$BK$9),COUNTIF('1.연간시수표'!R56,$BK$7),COUNTIF('1.연간시수표'!R56,$BL$9),COUNTIF('1.연간시수표'!R56,$BL$7),COUNTIF('1.연간시수표'!R56,$BM$9),COUNTIF('1.연간시수표'!R56,$BM$7)),$BF$6,IF(OR(COUNTIF('1.연간시수표'!R56,$BO$9),COUNTIF('1.연간시수표'!R56,$BO$7)),$BO$6,IF(OR(COUNTIF('1.연간시수표'!R56,$BP$9),COUNTIF('1.연간시수표'!R56,$BP$7)),$BP$6,IF(OR(COUNTIF('1.연간시수표'!R56,$BQ$9),COUNTIF('1.연간시수표'!R56,$BQ$7)),$BQ$6,IF(OR(COUNTIF('1.연간시수표'!R56,$BR$9),COUNTIF('1.연간시수표'!R56,$BR$7)),$BR$6,"_")))))))))))))))</f>
        <v>실과</v>
      </c>
      <c r="S56" s="148" t="str">
        <f>IF(OR(COUNTIF('1.연간시수표'!S56,$AT$9),COUNTIF('1.연간시수표'!S56,$AT$7)),$AT$6,IF(OR(COUNTIF('1.연간시수표'!S56,$AU$9),COUNTIF('1.연간시수표'!S56,$AU$7)),$AU$6,IF(OR(COUNTIF('1.연간시수표'!S56,$AV$9),COUNTIF('1.연간시수표'!S56,$AV$7)),$AV$6,IF(OR(COUNTIF('1.연간시수표'!S56,$AW$9),COUNTIF('1.연간시수표'!S56,$AW$7)),$AW$6,IF(OR(COUNTIF('1.연간시수표'!S56,$AX$9),COUNTIF('1.연간시수표'!S56,$AX$7)),$AX$6,IF(OR(COUNTIF('1.연간시수표'!S56,$AY$9),COUNTIF('1.연간시수표'!S56,$AY$7)),$AY$6,IF(OR(COUNTIF('1.연간시수표'!S56,$AZ$9),COUNTIF('1.연간시수표'!S56,$AZ$7)),$AZ$6,IF(OR(COUNTIF('1.연간시수표'!S56,$BA$9),COUNTIF('1.연간시수표'!S56,$BA$7)),$BA$6,IF(OR(COUNTIF('1.연간시수표'!S56,$BB$9),COUNTIF('1.연간시수표'!S56,$BB$7)),$BB$6,IF(OR(COUNTIF('1.연간시수표'!S56,$BC$9),COUNTIF('1.연간시수표'!S56,$BC$7)),$BC$6,IF(OR(COUNTIF('1.연간시수표'!S56,$BF$9),COUNTIF('1.연간시수표'!S56,$BF$7),COUNTIF('1.연간시수표'!S56,$BG$9),COUNTIF('1.연간시수표'!S56,$BG$7),COUNTIF('1.연간시수표'!S56,$BH$9),COUNTIF('1.연간시수표'!S56,$BH$7),COUNTIF('1.연간시수표'!S56,$BI$9),COUNTIF('1.연간시수표'!S56,$BI$7),COUNTIF('1.연간시수표'!S56,$BJ$9),COUNTIF('1.연간시수표'!S56,$BJ$7),COUNTIF('1.연간시수표'!S56,$BK$9),COUNTIF('1.연간시수표'!S56,$BK$7),COUNTIF('1.연간시수표'!S56,$BL$9),COUNTIF('1.연간시수표'!S56,$BL$7),COUNTIF('1.연간시수표'!S56,$BM$9),COUNTIF('1.연간시수표'!S56,$BM$7)),$BF$6,IF(OR(COUNTIF('1.연간시수표'!S56,$BO$9),COUNTIF('1.연간시수표'!S56,$BO$7)),$BO$6,IF(OR(COUNTIF('1.연간시수표'!S56,$BP$9),COUNTIF('1.연간시수표'!S56,$BP$7)),$BP$6,IF(OR(COUNTIF('1.연간시수표'!S56,$BQ$9),COUNTIF('1.연간시수표'!S56,$BQ$7)),$BQ$6,IF(OR(COUNTIF('1.연간시수표'!S56,$BR$9),COUNTIF('1.연간시수표'!S56,$BR$7)),$BR$6,"_")))))))))))))))</f>
        <v>_</v>
      </c>
      <c r="T56" s="148" t="str">
        <f>IF(OR(COUNTIF('1.연간시수표'!T56,$AT$9),COUNTIF('1.연간시수표'!T56,$AT$7)),$AT$6,IF(OR(COUNTIF('1.연간시수표'!T56,$AU$9),COUNTIF('1.연간시수표'!T56,$AU$7)),$AU$6,IF(OR(COUNTIF('1.연간시수표'!T56,$AV$9),COUNTIF('1.연간시수표'!T56,$AV$7)),$AV$6,IF(OR(COUNTIF('1.연간시수표'!T56,$AW$9),COUNTIF('1.연간시수표'!T56,$AW$7)),$AW$6,IF(OR(COUNTIF('1.연간시수표'!T56,$AX$9),COUNTIF('1.연간시수표'!T56,$AX$7)),$AX$6,IF(OR(COUNTIF('1.연간시수표'!T56,$AY$9),COUNTIF('1.연간시수표'!T56,$AY$7)),$AY$6,IF(OR(COUNTIF('1.연간시수표'!T56,$AZ$9),COUNTIF('1.연간시수표'!T56,$AZ$7)),$AZ$6,IF(OR(COUNTIF('1.연간시수표'!T56,$BA$9),COUNTIF('1.연간시수표'!T56,$BA$7)),$BA$6,IF(OR(COUNTIF('1.연간시수표'!T56,$BB$9),COUNTIF('1.연간시수표'!T56,$BB$7)),$BB$6,IF(OR(COUNTIF('1.연간시수표'!T56,$BC$9),COUNTIF('1.연간시수표'!T56,$BC$7)),$BC$6,IF(OR(COUNTIF('1.연간시수표'!T56,$BF$9),COUNTIF('1.연간시수표'!T56,$BF$7),COUNTIF('1.연간시수표'!T56,$BG$9),COUNTIF('1.연간시수표'!T56,$BG$7),COUNTIF('1.연간시수표'!T56,$BH$9),COUNTIF('1.연간시수표'!T56,$BH$7),COUNTIF('1.연간시수표'!T56,$BI$9),COUNTIF('1.연간시수표'!T56,$BI$7),COUNTIF('1.연간시수표'!T56,$BJ$9),COUNTIF('1.연간시수표'!T56,$BJ$7),COUNTIF('1.연간시수표'!T56,$BK$9),COUNTIF('1.연간시수표'!T56,$BK$7),COUNTIF('1.연간시수표'!T56,$BL$9),COUNTIF('1.연간시수표'!T56,$BL$7),COUNTIF('1.연간시수표'!T56,$BM$9),COUNTIF('1.연간시수표'!T56,$BM$7)),$BF$6,IF(OR(COUNTIF('1.연간시수표'!T56,$BO$9),COUNTIF('1.연간시수표'!T56,$BO$7)),$BO$6,IF(OR(COUNTIF('1.연간시수표'!T56,$BP$9),COUNTIF('1.연간시수표'!T56,$BP$7)),$BP$6,IF(OR(COUNTIF('1.연간시수표'!T56,$BQ$9),COUNTIF('1.연간시수표'!T56,$BQ$7)),$BQ$6,IF(OR(COUNTIF('1.연간시수표'!T56,$BR$9),COUNTIF('1.연간시수표'!T56,$BR$7)),$BR$6,"_")))))))))))))))</f>
        <v>_</v>
      </c>
      <c r="U56" s="148" t="str">
        <f>IF(OR(COUNTIF('1.연간시수표'!U56,$AT$9),COUNTIF('1.연간시수표'!U56,$AT$7)),$AT$6,IF(OR(COUNTIF('1.연간시수표'!U56,$AU$9),COUNTIF('1.연간시수표'!U56,$AU$7)),$AU$6,IF(OR(COUNTIF('1.연간시수표'!U56,$AV$9),COUNTIF('1.연간시수표'!U56,$AV$7)),$AV$6,IF(OR(COUNTIF('1.연간시수표'!U56,$AW$9),COUNTIF('1.연간시수표'!U56,$AW$7)),$AW$6,IF(OR(COUNTIF('1.연간시수표'!U56,$AX$9),COUNTIF('1.연간시수표'!U56,$AX$7)),$AX$6,IF(OR(COUNTIF('1.연간시수표'!U56,$AY$9),COUNTIF('1.연간시수표'!U56,$AY$7)),$AY$6,IF(OR(COUNTIF('1.연간시수표'!U56,$AZ$9),COUNTIF('1.연간시수표'!U56,$AZ$7)),$AZ$6,IF(OR(COUNTIF('1.연간시수표'!U56,$BA$9),COUNTIF('1.연간시수표'!U56,$BA$7)),$BA$6,IF(OR(COUNTIF('1.연간시수표'!U56,$BB$9),COUNTIF('1.연간시수표'!U56,$BB$7)),$BB$6,IF(OR(COUNTIF('1.연간시수표'!U56,$BC$9),COUNTIF('1.연간시수표'!U56,$BC$7)),$BC$6,IF(OR(COUNTIF('1.연간시수표'!U56,$BF$9),COUNTIF('1.연간시수표'!U56,$BF$7),COUNTIF('1.연간시수표'!U56,$BG$9),COUNTIF('1.연간시수표'!U56,$BG$7),COUNTIF('1.연간시수표'!U56,$BH$9),COUNTIF('1.연간시수표'!U56,$BH$7),COUNTIF('1.연간시수표'!U56,$BI$9),COUNTIF('1.연간시수표'!U56,$BI$7),COUNTIF('1.연간시수표'!U56,$BJ$9),COUNTIF('1.연간시수표'!U56,$BJ$7),COUNTIF('1.연간시수표'!U56,$BK$9),COUNTIF('1.연간시수표'!U56,$BK$7),COUNTIF('1.연간시수표'!U56,$BL$9),COUNTIF('1.연간시수표'!U56,$BL$7),COUNTIF('1.연간시수표'!U56,$BM$9),COUNTIF('1.연간시수표'!U56,$BM$7)),$BF$6,IF(OR(COUNTIF('1.연간시수표'!U56,$BO$9),COUNTIF('1.연간시수표'!U56,$BO$7)),$BO$6,IF(OR(COUNTIF('1.연간시수표'!U56,$BP$9),COUNTIF('1.연간시수표'!U56,$BP$7)),$BP$6,IF(OR(COUNTIF('1.연간시수표'!U56,$BQ$9),COUNTIF('1.연간시수표'!U56,$BQ$7)),$BQ$6,IF(OR(COUNTIF('1.연간시수표'!U56,$BR$9),COUNTIF('1.연간시수표'!U56,$BR$7)),$BR$6,"_")))))))))))))))</f>
        <v>영어</v>
      </c>
      <c r="V56" s="148" t="str">
        <f>IF(OR(COUNTIF('1.연간시수표'!V56,$AT$9),COUNTIF('1.연간시수표'!V56,$AT$7)),$AT$6,IF(OR(COUNTIF('1.연간시수표'!V56,$AU$9),COUNTIF('1.연간시수표'!V56,$AU$7)),$AU$6,IF(OR(COUNTIF('1.연간시수표'!V56,$AV$9),COUNTIF('1.연간시수표'!V56,$AV$7)),$AV$6,IF(OR(COUNTIF('1.연간시수표'!V56,$AW$9),COUNTIF('1.연간시수표'!V56,$AW$7)),$AW$6,IF(OR(COUNTIF('1.연간시수표'!V56,$AX$9),COUNTIF('1.연간시수표'!V56,$AX$7)),$AX$6,IF(OR(COUNTIF('1.연간시수표'!V56,$AY$9),COUNTIF('1.연간시수표'!V56,$AY$7)),$AY$6,IF(OR(COUNTIF('1.연간시수표'!V56,$AZ$9),COUNTIF('1.연간시수표'!V56,$AZ$7)),$AZ$6,IF(OR(COUNTIF('1.연간시수표'!V56,$BA$9),COUNTIF('1.연간시수표'!V56,$BA$7)),$BA$6,IF(OR(COUNTIF('1.연간시수표'!V56,$BB$9),COUNTIF('1.연간시수표'!V56,$BB$7)),$BB$6,IF(OR(COUNTIF('1.연간시수표'!V56,$BC$9),COUNTIF('1.연간시수표'!V56,$BC$7)),$BC$6,IF(OR(COUNTIF('1.연간시수표'!V56,$BF$9),COUNTIF('1.연간시수표'!V56,$BF$7),COUNTIF('1.연간시수표'!V56,$BG$9),COUNTIF('1.연간시수표'!V56,$BG$7),COUNTIF('1.연간시수표'!V56,$BH$9),COUNTIF('1.연간시수표'!V56,$BH$7),COUNTIF('1.연간시수표'!V56,$BI$9),COUNTIF('1.연간시수표'!V56,$BI$7),COUNTIF('1.연간시수표'!V56,$BJ$9),COUNTIF('1.연간시수표'!V56,$BJ$7),COUNTIF('1.연간시수표'!V56,$BK$9),COUNTIF('1.연간시수표'!V56,$BK$7),COUNTIF('1.연간시수표'!V56,$BL$9),COUNTIF('1.연간시수표'!V56,$BL$7),COUNTIF('1.연간시수표'!V56,$BM$9),COUNTIF('1.연간시수표'!V56,$BM$7)),$BF$6,IF(OR(COUNTIF('1.연간시수표'!V56,$BO$9),COUNTIF('1.연간시수표'!V56,$BO$7)),$BO$6,IF(OR(COUNTIF('1.연간시수표'!V56,$BP$9),COUNTIF('1.연간시수표'!V56,$BP$7)),$BP$6,IF(OR(COUNTIF('1.연간시수표'!V56,$BQ$9),COUNTIF('1.연간시수표'!V56,$BQ$7)),$BQ$6,IF(OR(COUNTIF('1.연간시수표'!V56,$BR$9),COUNTIF('1.연간시수표'!V56,$BR$7)),$BR$6,"_")))))))))))))))</f>
        <v>과학</v>
      </c>
      <c r="W56" s="148" t="str">
        <f>IF(OR(COUNTIF('1.연간시수표'!W56,$AT$9),COUNTIF('1.연간시수표'!W56,$AT$7)),$AT$6,IF(OR(COUNTIF('1.연간시수표'!W56,$AU$9),COUNTIF('1.연간시수표'!W56,$AU$7)),$AU$6,IF(OR(COUNTIF('1.연간시수표'!W56,$AV$9),COUNTIF('1.연간시수표'!W56,$AV$7)),$AV$6,IF(OR(COUNTIF('1.연간시수표'!W56,$AW$9),COUNTIF('1.연간시수표'!W56,$AW$7)),$AW$6,IF(OR(COUNTIF('1.연간시수표'!W56,$AX$9),COUNTIF('1.연간시수표'!W56,$AX$7)),$AX$6,IF(OR(COUNTIF('1.연간시수표'!W56,$AY$9),COUNTIF('1.연간시수표'!W56,$AY$7)),$AY$6,IF(OR(COUNTIF('1.연간시수표'!W56,$AZ$9),COUNTIF('1.연간시수표'!W56,$AZ$7)),$AZ$6,IF(OR(COUNTIF('1.연간시수표'!W56,$BA$9),COUNTIF('1.연간시수표'!W56,$BA$7)),$BA$6,IF(OR(COUNTIF('1.연간시수표'!W56,$BB$9),COUNTIF('1.연간시수표'!W56,$BB$7)),$BB$6,IF(OR(COUNTIF('1.연간시수표'!W56,$BC$9),COUNTIF('1.연간시수표'!W56,$BC$7)),$BC$6,IF(OR(COUNTIF('1.연간시수표'!W56,$BF$9),COUNTIF('1.연간시수표'!W56,$BF$7),COUNTIF('1.연간시수표'!W56,$BG$9),COUNTIF('1.연간시수표'!W56,$BG$7),COUNTIF('1.연간시수표'!W56,$BH$9),COUNTIF('1.연간시수표'!W56,$BH$7),COUNTIF('1.연간시수표'!W56,$BI$9),COUNTIF('1.연간시수표'!W56,$BI$7),COUNTIF('1.연간시수표'!W56,$BJ$9),COUNTIF('1.연간시수표'!W56,$BJ$7),COUNTIF('1.연간시수표'!W56,$BK$9),COUNTIF('1.연간시수표'!W56,$BK$7),COUNTIF('1.연간시수표'!W56,$BL$9),COUNTIF('1.연간시수표'!W56,$BL$7),COUNTIF('1.연간시수표'!W56,$BM$9),COUNTIF('1.연간시수표'!W56,$BM$7)),$BF$6,IF(OR(COUNTIF('1.연간시수표'!W56,$BO$9),COUNTIF('1.연간시수표'!W56,$BO$7)),$BO$6,IF(OR(COUNTIF('1.연간시수표'!W56,$BP$9),COUNTIF('1.연간시수표'!W56,$BP$7)),$BP$6,IF(OR(COUNTIF('1.연간시수표'!W56,$BQ$9),COUNTIF('1.연간시수표'!W56,$BQ$7)),$BQ$6,IF(OR(COUNTIF('1.연간시수표'!W56,$BR$9),COUNTIF('1.연간시수표'!W56,$BR$7)),$BR$6,"_")))))))))))))))</f>
        <v>체육</v>
      </c>
      <c r="X56" s="148" t="str">
        <f>IF(OR(COUNTIF('1.연간시수표'!X56,$AT$9),COUNTIF('1.연간시수표'!X56,$AT$7)),$AT$6,IF(OR(COUNTIF('1.연간시수표'!X56,$AU$9),COUNTIF('1.연간시수표'!X56,$AU$7)),$AU$6,IF(OR(COUNTIF('1.연간시수표'!X56,$AV$9),COUNTIF('1.연간시수표'!X56,$AV$7)),$AV$6,IF(OR(COUNTIF('1.연간시수표'!X56,$AW$9),COUNTIF('1.연간시수표'!X56,$AW$7)),$AW$6,IF(OR(COUNTIF('1.연간시수표'!X56,$AX$9),COUNTIF('1.연간시수표'!X56,$AX$7)),$AX$6,IF(OR(COUNTIF('1.연간시수표'!X56,$AY$9),COUNTIF('1.연간시수표'!X56,$AY$7)),$AY$6,IF(OR(COUNTIF('1.연간시수표'!X56,$AZ$9),COUNTIF('1.연간시수표'!X56,$AZ$7)),$AZ$6,IF(OR(COUNTIF('1.연간시수표'!X56,$BA$9),COUNTIF('1.연간시수표'!X56,$BA$7)),$BA$6,IF(OR(COUNTIF('1.연간시수표'!X56,$BB$9),COUNTIF('1.연간시수표'!X56,$BB$7)),$BB$6,IF(OR(COUNTIF('1.연간시수표'!X56,$BC$9),COUNTIF('1.연간시수표'!X56,$BC$7)),$BC$6,IF(OR(COUNTIF('1.연간시수표'!X56,$BF$9),COUNTIF('1.연간시수표'!X56,$BF$7),COUNTIF('1.연간시수표'!X56,$BG$9),COUNTIF('1.연간시수표'!X56,$BG$7),COUNTIF('1.연간시수표'!X56,$BH$9),COUNTIF('1.연간시수표'!X56,$BH$7),COUNTIF('1.연간시수표'!X56,$BI$9),COUNTIF('1.연간시수표'!X56,$BI$7),COUNTIF('1.연간시수표'!X56,$BJ$9),COUNTIF('1.연간시수표'!X56,$BJ$7),COUNTIF('1.연간시수표'!X56,$BK$9),COUNTIF('1.연간시수표'!X56,$BK$7),COUNTIF('1.연간시수표'!X56,$BL$9),COUNTIF('1.연간시수표'!X56,$BL$7),COUNTIF('1.연간시수표'!X56,$BM$9),COUNTIF('1.연간시수표'!X56,$BM$7)),$BF$6,IF(OR(COUNTIF('1.연간시수표'!X56,$BO$9),COUNTIF('1.연간시수표'!X56,$BO$7)),$BO$6,IF(OR(COUNTIF('1.연간시수표'!X56,$BP$9),COUNTIF('1.연간시수표'!X56,$BP$7)),$BP$6,IF(OR(COUNTIF('1.연간시수표'!X56,$BQ$9),COUNTIF('1.연간시수표'!X56,$BQ$7)),$BQ$6,IF(OR(COUNTIF('1.연간시수표'!X56,$BR$9),COUNTIF('1.연간시수표'!X56,$BR$7)),$BR$6,"_")))))))))))))))</f>
        <v>음악</v>
      </c>
      <c r="Y56" s="148" t="str">
        <f>IF(OR(COUNTIF('1.연간시수표'!Y56,$AT$9),COUNTIF('1.연간시수표'!Y56,$AT$7)),$AT$6,IF(OR(COUNTIF('1.연간시수표'!Y56,$AU$9),COUNTIF('1.연간시수표'!Y56,$AU$7)),$AU$6,IF(OR(COUNTIF('1.연간시수표'!Y56,$AV$9),COUNTIF('1.연간시수표'!Y56,$AV$7)),$AV$6,IF(OR(COUNTIF('1.연간시수표'!Y56,$AW$9),COUNTIF('1.연간시수표'!Y56,$AW$7)),$AW$6,IF(OR(COUNTIF('1.연간시수표'!Y56,$AX$9),COUNTIF('1.연간시수표'!Y56,$AX$7)),$AX$6,IF(OR(COUNTIF('1.연간시수표'!Y56,$AY$9),COUNTIF('1.연간시수표'!Y56,$AY$7)),$AY$6,IF(OR(COUNTIF('1.연간시수표'!Y56,$AZ$9),COUNTIF('1.연간시수표'!Y56,$AZ$7)),$AZ$6,IF(OR(COUNTIF('1.연간시수표'!Y56,$BA$9),COUNTIF('1.연간시수표'!Y56,$BA$7)),$BA$6,IF(OR(COUNTIF('1.연간시수표'!Y56,$BB$9),COUNTIF('1.연간시수표'!Y56,$BB$7)),$BB$6,IF(OR(COUNTIF('1.연간시수표'!Y56,$BC$9),COUNTIF('1.연간시수표'!Y56,$BC$7)),$BC$6,IF(OR(COUNTIF('1.연간시수표'!Y56,$BF$9),COUNTIF('1.연간시수표'!Y56,$BF$7),COUNTIF('1.연간시수표'!Y56,$BG$9),COUNTIF('1.연간시수표'!Y56,$BG$7),COUNTIF('1.연간시수표'!Y56,$BH$9),COUNTIF('1.연간시수표'!Y56,$BH$7),COUNTIF('1.연간시수표'!Y56,$BI$9),COUNTIF('1.연간시수표'!Y56,$BI$7),COUNTIF('1.연간시수표'!Y56,$BJ$9),COUNTIF('1.연간시수표'!Y56,$BJ$7),COUNTIF('1.연간시수표'!Y56,$BK$9),COUNTIF('1.연간시수표'!Y56,$BK$7),COUNTIF('1.연간시수표'!Y56,$BL$9),COUNTIF('1.연간시수표'!Y56,$BL$7),COUNTIF('1.연간시수표'!Y56,$BM$9),COUNTIF('1.연간시수표'!Y56,$BM$7)),$BF$6,IF(OR(COUNTIF('1.연간시수표'!Y56,$BO$9),COUNTIF('1.연간시수표'!Y56,$BO$7)),$BO$6,IF(OR(COUNTIF('1.연간시수표'!Y56,$BP$9),COUNTIF('1.연간시수표'!Y56,$BP$7)),$BP$6,IF(OR(COUNTIF('1.연간시수표'!Y56,$BQ$9),COUNTIF('1.연간시수표'!Y56,$BQ$7)),$BQ$6,IF(OR(COUNTIF('1.연간시수표'!Y56,$BR$9),COUNTIF('1.연간시수표'!Y56,$BR$7)),$BR$6,"_")))))))))))))))</f>
        <v>도덕</v>
      </c>
      <c r="Z56" s="148" t="str">
        <f>IF(OR(COUNTIF('1.연간시수표'!Z56,$AT$9),COUNTIF('1.연간시수표'!Z56,$AT$7)),$AT$6,IF(OR(COUNTIF('1.연간시수표'!Z56,$AU$9),COUNTIF('1.연간시수표'!Z56,$AU$7)),$AU$6,IF(OR(COUNTIF('1.연간시수표'!Z56,$AV$9),COUNTIF('1.연간시수표'!Z56,$AV$7)),$AV$6,IF(OR(COUNTIF('1.연간시수표'!Z56,$AW$9),COUNTIF('1.연간시수표'!Z56,$AW$7)),$AW$6,IF(OR(COUNTIF('1.연간시수표'!Z56,$AX$9),COUNTIF('1.연간시수표'!Z56,$AX$7)),$AX$6,IF(OR(COUNTIF('1.연간시수표'!Z56,$AY$9),COUNTIF('1.연간시수표'!Z56,$AY$7)),$AY$6,IF(OR(COUNTIF('1.연간시수표'!Z56,$AZ$9),COUNTIF('1.연간시수표'!Z56,$AZ$7)),$AZ$6,IF(OR(COUNTIF('1.연간시수표'!Z56,$BA$9),COUNTIF('1.연간시수표'!Z56,$BA$7)),$BA$6,IF(OR(COUNTIF('1.연간시수표'!Z56,$BB$9),COUNTIF('1.연간시수표'!Z56,$BB$7)),$BB$6,IF(OR(COUNTIF('1.연간시수표'!Z56,$BC$9),COUNTIF('1.연간시수표'!Z56,$BC$7)),$BC$6,IF(OR(COUNTIF('1.연간시수표'!Z56,$BF$9),COUNTIF('1.연간시수표'!Z56,$BF$7),COUNTIF('1.연간시수표'!Z56,$BG$9),COUNTIF('1.연간시수표'!Z56,$BG$7),COUNTIF('1.연간시수표'!Z56,$BH$9),COUNTIF('1.연간시수표'!Z56,$BH$7),COUNTIF('1.연간시수표'!Z56,$BI$9),COUNTIF('1.연간시수표'!Z56,$BI$7),COUNTIF('1.연간시수표'!Z56,$BJ$9),COUNTIF('1.연간시수표'!Z56,$BJ$7),COUNTIF('1.연간시수표'!Z56,$BK$9),COUNTIF('1.연간시수표'!Z56,$BK$7),COUNTIF('1.연간시수표'!Z56,$BL$9),COUNTIF('1.연간시수표'!Z56,$BL$7),COUNTIF('1.연간시수표'!Z56,$BM$9),COUNTIF('1.연간시수표'!Z56,$BM$7)),$BF$6,IF(OR(COUNTIF('1.연간시수표'!Z56,$BO$9),COUNTIF('1.연간시수표'!Z56,$BO$7)),$BO$6,IF(OR(COUNTIF('1.연간시수표'!Z56,$BP$9),COUNTIF('1.연간시수표'!Z56,$BP$7)),$BP$6,IF(OR(COUNTIF('1.연간시수표'!Z56,$BQ$9),COUNTIF('1.연간시수표'!Z56,$BQ$7)),$BQ$6,IF(OR(COUNTIF('1.연간시수표'!Z56,$BR$9),COUNTIF('1.연간시수표'!Z56,$BR$7)),$BR$6,"_")))))))))))))))</f>
        <v>_</v>
      </c>
      <c r="AA56" s="148" t="str">
        <f>IF(OR(COUNTIF('1.연간시수표'!AA56,$AT$9),COUNTIF('1.연간시수표'!AA56,$AT$7)),$AT$6,IF(OR(COUNTIF('1.연간시수표'!AA56,$AU$9),COUNTIF('1.연간시수표'!AA56,$AU$7)),$AU$6,IF(OR(COUNTIF('1.연간시수표'!AA56,$AV$9),COUNTIF('1.연간시수표'!AA56,$AV$7)),$AV$6,IF(OR(COUNTIF('1.연간시수표'!AA56,$AW$9),COUNTIF('1.연간시수표'!AA56,$AW$7)),$AW$6,IF(OR(COUNTIF('1.연간시수표'!AA56,$AX$9),COUNTIF('1.연간시수표'!AA56,$AX$7)),$AX$6,IF(OR(COUNTIF('1.연간시수표'!AA56,$AY$9),COUNTIF('1.연간시수표'!AA56,$AY$7)),$AY$6,IF(OR(COUNTIF('1.연간시수표'!AA56,$AZ$9),COUNTIF('1.연간시수표'!AA56,$AZ$7)),$AZ$6,IF(OR(COUNTIF('1.연간시수표'!AA56,$BA$9),COUNTIF('1.연간시수표'!AA56,$BA$7)),$BA$6,IF(OR(COUNTIF('1.연간시수표'!AA56,$BB$9),COUNTIF('1.연간시수표'!AA56,$BB$7)),$BB$6,IF(OR(COUNTIF('1.연간시수표'!AA56,$BC$9),COUNTIF('1.연간시수표'!AA56,$BC$7)),$BC$6,IF(OR(COUNTIF('1.연간시수표'!AA56,$BF$9),COUNTIF('1.연간시수표'!AA56,$BF$7),COUNTIF('1.연간시수표'!AA56,$BG$9),COUNTIF('1.연간시수표'!AA56,$BG$7),COUNTIF('1.연간시수표'!AA56,$BH$9),COUNTIF('1.연간시수표'!AA56,$BH$7),COUNTIF('1.연간시수표'!AA56,$BI$9),COUNTIF('1.연간시수표'!AA56,$BI$7),COUNTIF('1.연간시수표'!AA56,$BJ$9),COUNTIF('1.연간시수표'!AA56,$BJ$7),COUNTIF('1.연간시수표'!AA56,$BK$9),COUNTIF('1.연간시수표'!AA56,$BK$7),COUNTIF('1.연간시수표'!AA56,$BL$9),COUNTIF('1.연간시수표'!AA56,$BL$7),COUNTIF('1.연간시수표'!AA56,$BM$9),COUNTIF('1.연간시수표'!AA56,$BM$7)),$BF$6,IF(OR(COUNTIF('1.연간시수표'!AA56,$BO$9),COUNTIF('1.연간시수표'!AA56,$BO$7)),$BO$6,IF(OR(COUNTIF('1.연간시수표'!AA56,$BP$9),COUNTIF('1.연간시수표'!AA56,$BP$7)),$BP$6,IF(OR(COUNTIF('1.연간시수표'!AA56,$BQ$9),COUNTIF('1.연간시수표'!AA56,$BQ$7)),$BQ$6,IF(OR(COUNTIF('1.연간시수표'!AA56,$BR$9),COUNTIF('1.연간시수표'!AA56,$BR$7)),$BR$6,"_")))))))))))))))</f>
        <v>_</v>
      </c>
      <c r="AB56" s="148" t="str">
        <f>IF(OR(COUNTIF('1.연간시수표'!AB56,$AT$9),COUNTIF('1.연간시수표'!AB56,$AT$7)),$AT$6,IF(OR(COUNTIF('1.연간시수표'!AB56,$AU$9),COUNTIF('1.연간시수표'!AB56,$AU$7)),$AU$6,IF(OR(COUNTIF('1.연간시수표'!AB56,$AV$9),COUNTIF('1.연간시수표'!AB56,$AV$7)),$AV$6,IF(OR(COUNTIF('1.연간시수표'!AB56,$AW$9),COUNTIF('1.연간시수표'!AB56,$AW$7)),$AW$6,IF(OR(COUNTIF('1.연간시수표'!AB56,$AX$9),COUNTIF('1.연간시수표'!AB56,$AX$7)),$AX$6,IF(OR(COUNTIF('1.연간시수표'!AB56,$AY$9),COUNTIF('1.연간시수표'!AB56,$AY$7)),$AY$6,IF(OR(COUNTIF('1.연간시수표'!AB56,$AZ$9),COUNTIF('1.연간시수표'!AB56,$AZ$7)),$AZ$6,IF(OR(COUNTIF('1.연간시수표'!AB56,$BA$9),COUNTIF('1.연간시수표'!AB56,$BA$7)),$BA$6,IF(OR(COUNTIF('1.연간시수표'!AB56,$BB$9),COUNTIF('1.연간시수표'!AB56,$BB$7)),$BB$6,IF(OR(COUNTIF('1.연간시수표'!AB56,$BC$9),COUNTIF('1.연간시수표'!AB56,$BC$7)),$BC$6,IF(OR(COUNTIF('1.연간시수표'!AB56,$BF$9),COUNTIF('1.연간시수표'!AB56,$BF$7),COUNTIF('1.연간시수표'!AB56,$BG$9),COUNTIF('1.연간시수표'!AB56,$BG$7),COUNTIF('1.연간시수표'!AB56,$BH$9),COUNTIF('1.연간시수표'!AB56,$BH$7),COUNTIF('1.연간시수표'!AB56,$BI$9),COUNTIF('1.연간시수표'!AB56,$BI$7),COUNTIF('1.연간시수표'!AB56,$BJ$9),COUNTIF('1.연간시수표'!AB56,$BJ$7),COUNTIF('1.연간시수표'!AB56,$BK$9),COUNTIF('1.연간시수표'!AB56,$BK$7),COUNTIF('1.연간시수표'!AB56,$BL$9),COUNTIF('1.연간시수표'!AB56,$BL$7),COUNTIF('1.연간시수표'!AB56,$BM$9),COUNTIF('1.연간시수표'!AB56,$BM$7)),$BF$6,IF(OR(COUNTIF('1.연간시수표'!AB56,$BO$9),COUNTIF('1.연간시수표'!AB56,$BO$7)),$BO$6,IF(OR(COUNTIF('1.연간시수표'!AB56,$BP$9),COUNTIF('1.연간시수표'!AB56,$BP$7)),$BP$6,IF(OR(COUNTIF('1.연간시수표'!AB56,$BQ$9),COUNTIF('1.연간시수표'!AB56,$BQ$7)),$BQ$6,IF(OR(COUNTIF('1.연간시수표'!AB56,$BR$9),COUNTIF('1.연간시수표'!AB56,$BR$7)),$BR$6,"_")))))))))))))))</f>
        <v>_</v>
      </c>
      <c r="AC56" s="148" t="str">
        <f>IF(OR(COUNTIF('1.연간시수표'!AC56,$AT$9),COUNTIF('1.연간시수표'!AC56,$AT$7)),$AT$6,IF(OR(COUNTIF('1.연간시수표'!AC56,$AU$9),COUNTIF('1.연간시수표'!AC56,$AU$7)),$AU$6,IF(OR(COUNTIF('1.연간시수표'!AC56,$AV$9),COUNTIF('1.연간시수표'!AC56,$AV$7)),$AV$6,IF(OR(COUNTIF('1.연간시수표'!AC56,$AW$9),COUNTIF('1.연간시수표'!AC56,$AW$7)),$AW$6,IF(OR(COUNTIF('1.연간시수표'!AC56,$AX$9),COUNTIF('1.연간시수표'!AC56,$AX$7)),$AX$6,IF(OR(COUNTIF('1.연간시수표'!AC56,$AY$9),COUNTIF('1.연간시수표'!AC56,$AY$7)),$AY$6,IF(OR(COUNTIF('1.연간시수표'!AC56,$AZ$9),COUNTIF('1.연간시수표'!AC56,$AZ$7)),$AZ$6,IF(OR(COUNTIF('1.연간시수표'!AC56,$BA$9),COUNTIF('1.연간시수표'!AC56,$BA$7)),$BA$6,IF(OR(COUNTIF('1.연간시수표'!AC56,$BB$9),COUNTIF('1.연간시수표'!AC56,$BB$7)),$BB$6,IF(OR(COUNTIF('1.연간시수표'!AC56,$BC$9),COUNTIF('1.연간시수표'!AC56,$BC$7)),$BC$6,IF(OR(COUNTIF('1.연간시수표'!AC56,$BF$9),COUNTIF('1.연간시수표'!AC56,$BF$7),COUNTIF('1.연간시수표'!AC56,$BG$9),COUNTIF('1.연간시수표'!AC56,$BG$7),COUNTIF('1.연간시수표'!AC56,$BH$9),COUNTIF('1.연간시수표'!AC56,$BH$7),COUNTIF('1.연간시수표'!AC56,$BI$9),COUNTIF('1.연간시수표'!AC56,$BI$7),COUNTIF('1.연간시수표'!AC56,$BJ$9),COUNTIF('1.연간시수표'!AC56,$BJ$7),COUNTIF('1.연간시수표'!AC56,$BK$9),COUNTIF('1.연간시수표'!AC56,$BK$7),COUNTIF('1.연간시수표'!AC56,$BL$9),COUNTIF('1.연간시수표'!AC56,$BL$7),COUNTIF('1.연간시수표'!AC56,$BM$9),COUNTIF('1.연간시수표'!AC56,$BM$7)),$BF$6,IF(OR(COUNTIF('1.연간시수표'!AC56,$BO$9),COUNTIF('1.연간시수표'!AC56,$BO$7)),$BO$6,IF(OR(COUNTIF('1.연간시수표'!AC56,$BP$9),COUNTIF('1.연간시수표'!AC56,$BP$7)),$BP$6,IF(OR(COUNTIF('1.연간시수표'!AC56,$BQ$9),COUNTIF('1.연간시수표'!AC56,$BQ$7)),$BQ$6,IF(OR(COUNTIF('1.연간시수표'!AC56,$BR$9),COUNTIF('1.연간시수표'!AC56,$BR$7)),$BR$6,"_")))))))))))))))</f>
        <v>국어</v>
      </c>
      <c r="AD56" s="148" t="str">
        <f>IF(OR(COUNTIF('1.연간시수표'!AD56,$AT$9),COUNTIF('1.연간시수표'!AD56,$AT$7)),$AT$6,IF(OR(COUNTIF('1.연간시수표'!AD56,$AU$9),COUNTIF('1.연간시수표'!AD56,$AU$7)),$AU$6,IF(OR(COUNTIF('1.연간시수표'!AD56,$AV$9),COUNTIF('1.연간시수표'!AD56,$AV$7)),$AV$6,IF(OR(COUNTIF('1.연간시수표'!AD56,$AW$9),COUNTIF('1.연간시수표'!AD56,$AW$7)),$AW$6,IF(OR(COUNTIF('1.연간시수표'!AD56,$AX$9),COUNTIF('1.연간시수표'!AD56,$AX$7)),$AX$6,IF(OR(COUNTIF('1.연간시수표'!AD56,$AY$9),COUNTIF('1.연간시수표'!AD56,$AY$7)),$AY$6,IF(OR(COUNTIF('1.연간시수표'!AD56,$AZ$9),COUNTIF('1.연간시수표'!AD56,$AZ$7)),$AZ$6,IF(OR(COUNTIF('1.연간시수표'!AD56,$BA$9),COUNTIF('1.연간시수표'!AD56,$BA$7)),$BA$6,IF(OR(COUNTIF('1.연간시수표'!AD56,$BB$9),COUNTIF('1.연간시수표'!AD56,$BB$7)),$BB$6,IF(OR(COUNTIF('1.연간시수표'!AD56,$BC$9),COUNTIF('1.연간시수표'!AD56,$BC$7)),$BC$6,IF(OR(COUNTIF('1.연간시수표'!AD56,$BF$9),COUNTIF('1.연간시수표'!AD56,$BF$7),COUNTIF('1.연간시수표'!AD56,$BG$9),COUNTIF('1.연간시수표'!AD56,$BG$7),COUNTIF('1.연간시수표'!AD56,$BH$9),COUNTIF('1.연간시수표'!AD56,$BH$7),COUNTIF('1.연간시수표'!AD56,$BI$9),COUNTIF('1.연간시수표'!AD56,$BI$7),COUNTIF('1.연간시수표'!AD56,$BJ$9),COUNTIF('1.연간시수표'!AD56,$BJ$7),COUNTIF('1.연간시수표'!AD56,$BK$9),COUNTIF('1.연간시수표'!AD56,$BK$7),COUNTIF('1.연간시수표'!AD56,$BL$9),COUNTIF('1.연간시수표'!AD56,$BL$7),COUNTIF('1.연간시수표'!AD56,$BM$9),COUNTIF('1.연간시수표'!AD56,$BM$7)),$BF$6,IF(OR(COUNTIF('1.연간시수표'!AD56,$BO$9),COUNTIF('1.연간시수표'!AD56,$BO$7)),$BO$6,IF(OR(COUNTIF('1.연간시수표'!AD56,$BP$9),COUNTIF('1.연간시수표'!AD56,$BP$7)),$BP$6,IF(OR(COUNTIF('1.연간시수표'!AD56,$BQ$9),COUNTIF('1.연간시수표'!AD56,$BQ$7)),$BQ$6,IF(OR(COUNTIF('1.연간시수표'!AD56,$BR$9),COUNTIF('1.연간시수표'!AD56,$BR$7)),$BR$6,"_")))))))))))))))</f>
        <v>자율활동</v>
      </c>
      <c r="AE56" s="148" t="str">
        <f>IF(OR(COUNTIF('1.연간시수표'!AE56,$AT$9),COUNTIF('1.연간시수표'!AE56,$AT$7)),$AT$6,IF(OR(COUNTIF('1.연간시수표'!AE56,$AU$9),COUNTIF('1.연간시수표'!AE56,$AU$7)),$AU$6,IF(OR(COUNTIF('1.연간시수표'!AE56,$AV$9),COUNTIF('1.연간시수표'!AE56,$AV$7)),$AV$6,IF(OR(COUNTIF('1.연간시수표'!AE56,$AW$9),COUNTIF('1.연간시수표'!AE56,$AW$7)),$AW$6,IF(OR(COUNTIF('1.연간시수표'!AE56,$AX$9),COUNTIF('1.연간시수표'!AE56,$AX$7)),$AX$6,IF(OR(COUNTIF('1.연간시수표'!AE56,$AY$9),COUNTIF('1.연간시수표'!AE56,$AY$7)),$AY$6,IF(OR(COUNTIF('1.연간시수표'!AE56,$AZ$9),COUNTIF('1.연간시수표'!AE56,$AZ$7)),$AZ$6,IF(OR(COUNTIF('1.연간시수표'!AE56,$BA$9),COUNTIF('1.연간시수표'!AE56,$BA$7)),$BA$6,IF(OR(COUNTIF('1.연간시수표'!AE56,$BB$9),COUNTIF('1.연간시수표'!AE56,$BB$7)),$BB$6,IF(OR(COUNTIF('1.연간시수표'!AE56,$BC$9),COUNTIF('1.연간시수표'!AE56,$BC$7)),$BC$6,IF(OR(COUNTIF('1.연간시수표'!AE56,$BF$9),COUNTIF('1.연간시수표'!AE56,$BF$7),COUNTIF('1.연간시수표'!AE56,$BG$9),COUNTIF('1.연간시수표'!AE56,$BG$7),COUNTIF('1.연간시수표'!AE56,$BH$9),COUNTIF('1.연간시수표'!AE56,$BH$7),COUNTIF('1.연간시수표'!AE56,$BI$9),COUNTIF('1.연간시수표'!AE56,$BI$7),COUNTIF('1.연간시수표'!AE56,$BJ$9),COUNTIF('1.연간시수표'!AE56,$BJ$7),COUNTIF('1.연간시수표'!AE56,$BK$9),COUNTIF('1.연간시수표'!AE56,$BK$7),COUNTIF('1.연간시수표'!AE56,$BL$9),COUNTIF('1.연간시수표'!AE56,$BL$7),COUNTIF('1.연간시수표'!AE56,$BM$9),COUNTIF('1.연간시수표'!AE56,$BM$7)),$BF$6,IF(OR(COUNTIF('1.연간시수표'!AE56,$BO$9),COUNTIF('1.연간시수표'!AE56,$BO$7)),$BO$6,IF(OR(COUNTIF('1.연간시수표'!AE56,$BP$9),COUNTIF('1.연간시수표'!AE56,$BP$7)),$BP$6,IF(OR(COUNTIF('1.연간시수표'!AE56,$BQ$9),COUNTIF('1.연간시수표'!AE56,$BQ$7)),$BQ$6,IF(OR(COUNTIF('1.연간시수표'!AE56,$BR$9),COUNTIF('1.연간시수표'!AE56,$BR$7)),$BR$6,"_")))))))))))))))</f>
        <v>사회</v>
      </c>
      <c r="AF56" s="148" t="str">
        <f>IF(OR(COUNTIF('1.연간시수표'!AF56,$AT$9),COUNTIF('1.연간시수표'!AF56,$AT$7)),$AT$6,IF(OR(COUNTIF('1.연간시수표'!AF56,$AU$9),COUNTIF('1.연간시수표'!AF56,$AU$7)),$AU$6,IF(OR(COUNTIF('1.연간시수표'!AF56,$AV$9),COUNTIF('1.연간시수표'!AF56,$AV$7)),$AV$6,IF(OR(COUNTIF('1.연간시수표'!AF56,$AW$9),COUNTIF('1.연간시수표'!AF56,$AW$7)),$AW$6,IF(OR(COUNTIF('1.연간시수표'!AF56,$AX$9),COUNTIF('1.연간시수표'!AF56,$AX$7)),$AX$6,IF(OR(COUNTIF('1.연간시수표'!AF56,$AY$9),COUNTIF('1.연간시수표'!AF56,$AY$7)),$AY$6,IF(OR(COUNTIF('1.연간시수표'!AF56,$AZ$9),COUNTIF('1.연간시수표'!AF56,$AZ$7)),$AZ$6,IF(OR(COUNTIF('1.연간시수표'!AF56,$BA$9),COUNTIF('1.연간시수표'!AF56,$BA$7)),$BA$6,IF(OR(COUNTIF('1.연간시수표'!AF56,$BB$9),COUNTIF('1.연간시수표'!AF56,$BB$7)),$BB$6,IF(OR(COUNTIF('1.연간시수표'!AF56,$BC$9),COUNTIF('1.연간시수표'!AF56,$BC$7)),$BC$6,IF(OR(COUNTIF('1.연간시수표'!AF56,$BF$9),COUNTIF('1.연간시수표'!AF56,$BF$7),COUNTIF('1.연간시수표'!AF56,$BG$9),COUNTIF('1.연간시수표'!AF56,$BG$7),COUNTIF('1.연간시수표'!AF56,$BH$9),COUNTIF('1.연간시수표'!AF56,$BH$7),COUNTIF('1.연간시수표'!AF56,$BI$9),COUNTIF('1.연간시수표'!AF56,$BI$7),COUNTIF('1.연간시수표'!AF56,$BJ$9),COUNTIF('1.연간시수표'!AF56,$BJ$7),COUNTIF('1.연간시수표'!AF56,$BK$9),COUNTIF('1.연간시수표'!AF56,$BK$7),COUNTIF('1.연간시수표'!AF56,$BL$9),COUNTIF('1.연간시수표'!AF56,$BL$7),COUNTIF('1.연간시수표'!AF56,$BM$9),COUNTIF('1.연간시수표'!AF56,$BM$7)),$BF$6,IF(OR(COUNTIF('1.연간시수표'!AF56,$BO$9),COUNTIF('1.연간시수표'!AF56,$BO$7)),$BO$6,IF(OR(COUNTIF('1.연간시수표'!AF56,$BP$9),COUNTIF('1.연간시수표'!AF56,$BP$7)),$BP$6,IF(OR(COUNTIF('1.연간시수표'!AF56,$BQ$9),COUNTIF('1.연간시수표'!AF56,$BQ$7)),$BQ$6,IF(OR(COUNTIF('1.연간시수표'!AF56,$BR$9),COUNTIF('1.연간시수표'!AF56,$BR$7)),$BR$6,"_")))))))))))))))</f>
        <v>영어</v>
      </c>
      <c r="AG56" s="148" t="str">
        <f>IF(OR(COUNTIF('1.연간시수표'!AG56,$AT$9),COUNTIF('1.연간시수표'!AG56,$AT$7)),$AT$6,IF(OR(COUNTIF('1.연간시수표'!AG56,$AU$9),COUNTIF('1.연간시수표'!AG56,$AU$7)),$AU$6,IF(OR(COUNTIF('1.연간시수표'!AG56,$AV$9),COUNTIF('1.연간시수표'!AG56,$AV$7)),$AV$6,IF(OR(COUNTIF('1.연간시수표'!AG56,$AW$9),COUNTIF('1.연간시수표'!AG56,$AW$7)),$AW$6,IF(OR(COUNTIF('1.연간시수표'!AG56,$AX$9),COUNTIF('1.연간시수표'!AG56,$AX$7)),$AX$6,IF(OR(COUNTIF('1.연간시수표'!AG56,$AY$9),COUNTIF('1.연간시수표'!AG56,$AY$7)),$AY$6,IF(OR(COUNTIF('1.연간시수표'!AG56,$AZ$9),COUNTIF('1.연간시수표'!AG56,$AZ$7)),$AZ$6,IF(OR(COUNTIF('1.연간시수표'!AG56,$BA$9),COUNTIF('1.연간시수표'!AG56,$BA$7)),$BA$6,IF(OR(COUNTIF('1.연간시수표'!AG56,$BB$9),COUNTIF('1.연간시수표'!AG56,$BB$7)),$BB$6,IF(OR(COUNTIF('1.연간시수표'!AG56,$BC$9),COUNTIF('1.연간시수표'!AG56,$BC$7)),$BC$6,IF(OR(COUNTIF('1.연간시수표'!AG56,$BF$9),COUNTIF('1.연간시수표'!AG56,$BF$7),COUNTIF('1.연간시수표'!AG56,$BG$9),COUNTIF('1.연간시수표'!AG56,$BG$7),COUNTIF('1.연간시수표'!AG56,$BH$9),COUNTIF('1.연간시수표'!AG56,$BH$7),COUNTIF('1.연간시수표'!AG56,$BI$9),COUNTIF('1.연간시수표'!AG56,$BI$7),COUNTIF('1.연간시수표'!AG56,$BJ$9),COUNTIF('1.연간시수표'!AG56,$BJ$7),COUNTIF('1.연간시수표'!AG56,$BK$9),COUNTIF('1.연간시수표'!AG56,$BK$7),COUNTIF('1.연간시수표'!AG56,$BL$9),COUNTIF('1.연간시수표'!AG56,$BL$7),COUNTIF('1.연간시수표'!AG56,$BM$9),COUNTIF('1.연간시수표'!AG56,$BM$7)),$BF$6,IF(OR(COUNTIF('1.연간시수표'!AG56,$BO$9),COUNTIF('1.연간시수표'!AG56,$BO$7)),$BO$6,IF(OR(COUNTIF('1.연간시수표'!AG56,$BP$9),COUNTIF('1.연간시수표'!AG56,$BP$7)),$BP$6,IF(OR(COUNTIF('1.연간시수표'!AG56,$BQ$9),COUNTIF('1.연간시수표'!AG56,$BQ$7)),$BQ$6,IF(OR(COUNTIF('1.연간시수표'!AG56,$BR$9),COUNTIF('1.연간시수표'!AG56,$BR$7)),$BR$6,"_")))))))))))))))</f>
        <v>동아리활동</v>
      </c>
      <c r="AH56" s="148" t="str">
        <f>IF(OR(COUNTIF('1.연간시수표'!AH56,$AT$9),COUNTIF('1.연간시수표'!AH56,$AT$7)),$AT$6,IF(OR(COUNTIF('1.연간시수표'!AH56,$AU$9),COUNTIF('1.연간시수표'!AH56,$AU$7)),$AU$6,IF(OR(COUNTIF('1.연간시수표'!AH56,$AV$9),COUNTIF('1.연간시수표'!AH56,$AV$7)),$AV$6,IF(OR(COUNTIF('1.연간시수표'!AH56,$AW$9),COUNTIF('1.연간시수표'!AH56,$AW$7)),$AW$6,IF(OR(COUNTIF('1.연간시수표'!AH56,$AX$9),COUNTIF('1.연간시수표'!AH56,$AX$7)),$AX$6,IF(OR(COUNTIF('1.연간시수표'!AH56,$AY$9),COUNTIF('1.연간시수표'!AH56,$AY$7)),$AY$6,IF(OR(COUNTIF('1.연간시수표'!AH56,$AZ$9),COUNTIF('1.연간시수표'!AH56,$AZ$7)),$AZ$6,IF(OR(COUNTIF('1.연간시수표'!AH56,$BA$9),COUNTIF('1.연간시수표'!AH56,$BA$7)),$BA$6,IF(OR(COUNTIF('1.연간시수표'!AH56,$BB$9),COUNTIF('1.연간시수표'!AH56,$BB$7)),$BB$6,IF(OR(COUNTIF('1.연간시수표'!AH56,$BC$9),COUNTIF('1.연간시수표'!AH56,$BC$7)),$BC$6,IF(OR(COUNTIF('1.연간시수표'!AH56,$BF$9),COUNTIF('1.연간시수표'!AH56,$BF$7),COUNTIF('1.연간시수표'!AH56,$BG$9),COUNTIF('1.연간시수표'!AH56,$BG$7),COUNTIF('1.연간시수표'!AH56,$BH$9),COUNTIF('1.연간시수표'!AH56,$BH$7),COUNTIF('1.연간시수표'!AH56,$BI$9),COUNTIF('1.연간시수표'!AH56,$BI$7),COUNTIF('1.연간시수표'!AH56,$BJ$9),COUNTIF('1.연간시수표'!AH56,$BJ$7),COUNTIF('1.연간시수표'!AH56,$BK$9),COUNTIF('1.연간시수표'!AH56,$BK$7),COUNTIF('1.연간시수표'!AH56,$BL$9),COUNTIF('1.연간시수표'!AH56,$BL$7),COUNTIF('1.연간시수표'!AH56,$BM$9),COUNTIF('1.연간시수표'!AH56,$BM$7)),$BF$6,IF(OR(COUNTIF('1.연간시수표'!AH56,$BO$9),COUNTIF('1.연간시수표'!AH56,$BO$7)),$BO$6,IF(OR(COUNTIF('1.연간시수표'!AH56,$BP$9),COUNTIF('1.연간시수표'!AH56,$BP$7)),$BP$6,IF(OR(COUNTIF('1.연간시수표'!AH56,$BQ$9),COUNTIF('1.연간시수표'!AH56,$BQ$7)),$BQ$6,IF(OR(COUNTIF('1.연간시수표'!AH56,$BR$9),COUNTIF('1.연간시수표'!AH56,$BR$7)),$BR$6,"_")))))))))))))))</f>
        <v>동아리활동</v>
      </c>
      <c r="AI56" s="148" t="str">
        <f>IF(OR(COUNTIF('1.연간시수표'!AI56,$AT$9),COUNTIF('1.연간시수표'!AI56,$AT$7)),$AT$6,IF(OR(COUNTIF('1.연간시수표'!AI56,$AU$9),COUNTIF('1.연간시수표'!AI56,$AU$7)),$AU$6,IF(OR(COUNTIF('1.연간시수표'!AI56,$AV$9),COUNTIF('1.연간시수표'!AI56,$AV$7)),$AV$6,IF(OR(COUNTIF('1.연간시수표'!AI56,$AW$9),COUNTIF('1.연간시수표'!AI56,$AW$7)),$AW$6,IF(OR(COUNTIF('1.연간시수표'!AI56,$AX$9),COUNTIF('1.연간시수표'!AI56,$AX$7)),$AX$6,IF(OR(COUNTIF('1.연간시수표'!AI56,$AY$9),COUNTIF('1.연간시수표'!AI56,$AY$7)),$AY$6,IF(OR(COUNTIF('1.연간시수표'!AI56,$AZ$9),COUNTIF('1.연간시수표'!AI56,$AZ$7)),$AZ$6,IF(OR(COUNTIF('1.연간시수표'!AI56,$BA$9),COUNTIF('1.연간시수표'!AI56,$BA$7)),$BA$6,IF(OR(COUNTIF('1.연간시수표'!AI56,$BB$9),COUNTIF('1.연간시수표'!AI56,$BB$7)),$BB$6,IF(OR(COUNTIF('1.연간시수표'!AI56,$BC$9),COUNTIF('1.연간시수표'!AI56,$BC$7)),$BC$6,IF(OR(COUNTIF('1.연간시수표'!AI56,$BF$9),COUNTIF('1.연간시수표'!AI56,$BF$7),COUNTIF('1.연간시수표'!AI56,$BG$9),COUNTIF('1.연간시수표'!AI56,$BG$7),COUNTIF('1.연간시수표'!AI56,$BH$9),COUNTIF('1.연간시수표'!AI56,$BH$7),COUNTIF('1.연간시수표'!AI56,$BI$9),COUNTIF('1.연간시수표'!AI56,$BI$7),COUNTIF('1.연간시수표'!AI56,$BJ$9),COUNTIF('1.연간시수표'!AI56,$BJ$7),COUNTIF('1.연간시수표'!AI56,$BK$9),COUNTIF('1.연간시수표'!AI56,$BK$7),COUNTIF('1.연간시수표'!AI56,$BL$9),COUNTIF('1.연간시수표'!AI56,$BL$7),COUNTIF('1.연간시수표'!AI56,$BM$9),COUNTIF('1.연간시수표'!AI56,$BM$7)),$BF$6,IF(OR(COUNTIF('1.연간시수표'!AI56,$BO$9),COUNTIF('1.연간시수표'!AI56,$BO$7)),$BO$6,IF(OR(COUNTIF('1.연간시수표'!AI56,$BP$9),COUNTIF('1.연간시수표'!AI56,$BP$7)),$BP$6,IF(OR(COUNTIF('1.연간시수표'!AI56,$BQ$9),COUNTIF('1.연간시수표'!AI56,$BQ$7)),$BQ$6,IF(OR(COUNTIF('1.연간시수표'!AI56,$BR$9),COUNTIF('1.연간시수표'!AI56,$BR$7)),$BR$6,"_")))))))))))))))</f>
        <v>_</v>
      </c>
      <c r="AJ56" s="148" t="str">
        <f>IF(OR(COUNTIF('1.연간시수표'!AJ56,$AT$9),COUNTIF('1.연간시수표'!AJ56,$AT$7)),$AT$6,IF(OR(COUNTIF('1.연간시수표'!AJ56,$AU$9),COUNTIF('1.연간시수표'!AJ56,$AU$7)),$AU$6,IF(OR(COUNTIF('1.연간시수표'!AJ56,$AV$9),COUNTIF('1.연간시수표'!AJ56,$AV$7)),$AV$6,IF(OR(COUNTIF('1.연간시수표'!AJ56,$AW$9),COUNTIF('1.연간시수표'!AJ56,$AW$7)),$AW$6,IF(OR(COUNTIF('1.연간시수표'!AJ56,$AX$9),COUNTIF('1.연간시수표'!AJ56,$AX$7)),$AX$6,IF(OR(COUNTIF('1.연간시수표'!AJ56,$AY$9),COUNTIF('1.연간시수표'!AJ56,$AY$7)),$AY$6,IF(OR(COUNTIF('1.연간시수표'!AJ56,$AZ$9),COUNTIF('1.연간시수표'!AJ56,$AZ$7)),$AZ$6,IF(OR(COUNTIF('1.연간시수표'!AJ56,$BA$9),COUNTIF('1.연간시수표'!AJ56,$BA$7)),$BA$6,IF(OR(COUNTIF('1.연간시수표'!AJ56,$BB$9),COUNTIF('1.연간시수표'!AJ56,$BB$7)),$BB$6,IF(OR(COUNTIF('1.연간시수표'!AJ56,$BC$9),COUNTIF('1.연간시수표'!AJ56,$BC$7)),$BC$6,IF(OR(COUNTIF('1.연간시수표'!AJ56,$BF$9),COUNTIF('1.연간시수표'!AJ56,$BF$7),COUNTIF('1.연간시수표'!AJ56,$BG$9),COUNTIF('1.연간시수표'!AJ56,$BG$7),COUNTIF('1.연간시수표'!AJ56,$BH$9),COUNTIF('1.연간시수표'!AJ56,$BH$7),COUNTIF('1.연간시수표'!AJ56,$BI$9),COUNTIF('1.연간시수표'!AJ56,$BI$7),COUNTIF('1.연간시수표'!AJ56,$BJ$9),COUNTIF('1.연간시수표'!AJ56,$BJ$7),COUNTIF('1.연간시수표'!AJ56,$BK$9),COUNTIF('1.연간시수표'!AJ56,$BK$7),COUNTIF('1.연간시수표'!AJ56,$BL$9),COUNTIF('1.연간시수표'!AJ56,$BL$7),COUNTIF('1.연간시수표'!AJ56,$BM$9),COUNTIF('1.연간시수표'!AJ56,$BM$7)),$BF$6,IF(OR(COUNTIF('1.연간시수표'!AJ56,$BO$9),COUNTIF('1.연간시수표'!AJ56,$BO$7)),$BO$6,IF(OR(COUNTIF('1.연간시수표'!AJ56,$BP$9),COUNTIF('1.연간시수표'!AJ56,$BP$7)),$BP$6,IF(OR(COUNTIF('1.연간시수표'!AJ56,$BQ$9),COUNTIF('1.연간시수표'!AJ56,$BQ$7)),$BQ$6,IF(OR(COUNTIF('1.연간시수표'!AJ56,$BR$9),COUNTIF('1.연간시수표'!AJ56,$BR$7)),$BR$6,"_")))))))))))))))</f>
        <v>_</v>
      </c>
      <c r="AK56" s="148" t="str">
        <f>IF(OR(COUNTIF('1.연간시수표'!AK56,$AT$9),COUNTIF('1.연간시수표'!AK56,$AT$7)),$AT$6,IF(OR(COUNTIF('1.연간시수표'!AK56,$AU$9),COUNTIF('1.연간시수표'!AK56,$AU$7)),$AU$6,IF(OR(COUNTIF('1.연간시수표'!AK56,$AV$9),COUNTIF('1.연간시수표'!AK56,$AV$7)),$AV$6,IF(OR(COUNTIF('1.연간시수표'!AK56,$AW$9),COUNTIF('1.연간시수표'!AK56,$AW$7)),$AW$6,IF(OR(COUNTIF('1.연간시수표'!AK56,$AX$9),COUNTIF('1.연간시수표'!AK56,$AX$7)),$AX$6,IF(OR(COUNTIF('1.연간시수표'!AK56,$AY$9),COUNTIF('1.연간시수표'!AK56,$AY$7)),$AY$6,IF(OR(COUNTIF('1.연간시수표'!AK56,$AZ$9),COUNTIF('1.연간시수표'!AK56,$AZ$7)),$AZ$6,IF(OR(COUNTIF('1.연간시수표'!AK56,$BA$9),COUNTIF('1.연간시수표'!AK56,$BA$7)),$BA$6,IF(OR(COUNTIF('1.연간시수표'!AK56,$BB$9),COUNTIF('1.연간시수표'!AK56,$BB$7)),$BB$6,IF(OR(COUNTIF('1.연간시수표'!AK56,$BC$9),COUNTIF('1.연간시수표'!AK56,$BC$7)),$BC$6,IF(OR(COUNTIF('1.연간시수표'!AK56,$BF$9),COUNTIF('1.연간시수표'!AK56,$BF$7),COUNTIF('1.연간시수표'!AK56,$BG$9),COUNTIF('1.연간시수표'!AK56,$BG$7),COUNTIF('1.연간시수표'!AK56,$BH$9),COUNTIF('1.연간시수표'!AK56,$BH$7),COUNTIF('1.연간시수표'!AK56,$BI$9),COUNTIF('1.연간시수표'!AK56,$BI$7),COUNTIF('1.연간시수표'!AK56,$BJ$9),COUNTIF('1.연간시수표'!AK56,$BJ$7),COUNTIF('1.연간시수표'!AK56,$BK$9),COUNTIF('1.연간시수표'!AK56,$BK$7),COUNTIF('1.연간시수표'!AK56,$BL$9),COUNTIF('1.연간시수표'!AK56,$BL$7),COUNTIF('1.연간시수표'!AK56,$BM$9),COUNTIF('1.연간시수표'!AK56,$BM$7)),$BF$6,IF(OR(COUNTIF('1.연간시수표'!AK56,$BO$9),COUNTIF('1.연간시수표'!AK56,$BO$7)),$BO$6,IF(OR(COUNTIF('1.연간시수표'!AK56,$BP$9),COUNTIF('1.연간시수표'!AK56,$BP$7)),$BP$6,IF(OR(COUNTIF('1.연간시수표'!AK56,$BQ$9),COUNTIF('1.연간시수표'!AK56,$BQ$7)),$BQ$6,IF(OR(COUNTIF('1.연간시수표'!AK56,$BR$9),COUNTIF('1.연간시수표'!AK56,$BR$7)),$BR$6,"_")))))))))))))))</f>
        <v>국어</v>
      </c>
      <c r="AL56" s="148" t="str">
        <f>IF(OR(COUNTIF('1.연간시수표'!AL56,$AT$9),COUNTIF('1.연간시수표'!AL56,$AT$7)),$AT$6,IF(OR(COUNTIF('1.연간시수표'!AL56,$AU$9),COUNTIF('1.연간시수표'!AL56,$AU$7)),$AU$6,IF(OR(COUNTIF('1.연간시수표'!AL56,$AV$9),COUNTIF('1.연간시수표'!AL56,$AV$7)),$AV$6,IF(OR(COUNTIF('1.연간시수표'!AL56,$AW$9),COUNTIF('1.연간시수표'!AL56,$AW$7)),$AW$6,IF(OR(COUNTIF('1.연간시수표'!AL56,$AX$9),COUNTIF('1.연간시수표'!AL56,$AX$7)),$AX$6,IF(OR(COUNTIF('1.연간시수표'!AL56,$AY$9),COUNTIF('1.연간시수표'!AL56,$AY$7)),$AY$6,IF(OR(COUNTIF('1.연간시수표'!AL56,$AZ$9),COUNTIF('1.연간시수표'!AL56,$AZ$7)),$AZ$6,IF(OR(COUNTIF('1.연간시수표'!AL56,$BA$9),COUNTIF('1.연간시수표'!AL56,$BA$7)),$BA$6,IF(OR(COUNTIF('1.연간시수표'!AL56,$BB$9),COUNTIF('1.연간시수표'!AL56,$BB$7)),$BB$6,IF(OR(COUNTIF('1.연간시수표'!AL56,$BC$9),COUNTIF('1.연간시수표'!AL56,$BC$7)),$BC$6,IF(OR(COUNTIF('1.연간시수표'!AL56,$BF$9),COUNTIF('1.연간시수표'!AL56,$BF$7),COUNTIF('1.연간시수표'!AL56,$BG$9),COUNTIF('1.연간시수표'!AL56,$BG$7),COUNTIF('1.연간시수표'!AL56,$BH$9),COUNTIF('1.연간시수표'!AL56,$BH$7),COUNTIF('1.연간시수표'!AL56,$BI$9),COUNTIF('1.연간시수표'!AL56,$BI$7),COUNTIF('1.연간시수표'!AL56,$BJ$9),COUNTIF('1.연간시수표'!AL56,$BJ$7),COUNTIF('1.연간시수표'!AL56,$BK$9),COUNTIF('1.연간시수표'!AL56,$BK$7),COUNTIF('1.연간시수표'!AL56,$BL$9),COUNTIF('1.연간시수표'!AL56,$BL$7),COUNTIF('1.연간시수표'!AL56,$BM$9),COUNTIF('1.연간시수표'!AL56,$BM$7)),$BF$6,IF(OR(COUNTIF('1.연간시수표'!AL56,$BO$9),COUNTIF('1.연간시수표'!AL56,$BO$7)),$BO$6,IF(OR(COUNTIF('1.연간시수표'!AL56,$BP$9),COUNTIF('1.연간시수표'!AL56,$BP$7)),$BP$6,IF(OR(COUNTIF('1.연간시수표'!AL56,$BQ$9),COUNTIF('1.연간시수표'!AL56,$BQ$7)),$BQ$6,IF(OR(COUNTIF('1.연간시수표'!AL56,$BR$9),COUNTIF('1.연간시수표'!AL56,$BR$7)),$BR$6,"_")))))))))))))))</f>
        <v>체육</v>
      </c>
      <c r="AM56" s="148" t="str">
        <f>IF(OR(COUNTIF('1.연간시수표'!AM56,$AT$9),COUNTIF('1.연간시수표'!AM56,$AT$7)),$AT$6,IF(OR(COUNTIF('1.연간시수표'!AM56,$AU$9),COUNTIF('1.연간시수표'!AM56,$AU$7)),$AU$6,IF(OR(COUNTIF('1.연간시수표'!AM56,$AV$9),COUNTIF('1.연간시수표'!AM56,$AV$7)),$AV$6,IF(OR(COUNTIF('1.연간시수표'!AM56,$AW$9),COUNTIF('1.연간시수표'!AM56,$AW$7)),$AW$6,IF(OR(COUNTIF('1.연간시수표'!AM56,$AX$9),COUNTIF('1.연간시수표'!AM56,$AX$7)),$AX$6,IF(OR(COUNTIF('1.연간시수표'!AM56,$AY$9),COUNTIF('1.연간시수표'!AM56,$AY$7)),$AY$6,IF(OR(COUNTIF('1.연간시수표'!AM56,$AZ$9),COUNTIF('1.연간시수표'!AM56,$AZ$7)),$AZ$6,IF(OR(COUNTIF('1.연간시수표'!AM56,$BA$9),COUNTIF('1.연간시수표'!AM56,$BA$7)),$BA$6,IF(OR(COUNTIF('1.연간시수표'!AM56,$BB$9),COUNTIF('1.연간시수표'!AM56,$BB$7)),$BB$6,IF(OR(COUNTIF('1.연간시수표'!AM56,$BC$9),COUNTIF('1.연간시수표'!AM56,$BC$7)),$BC$6,IF(OR(COUNTIF('1.연간시수표'!AM56,$BF$9),COUNTIF('1.연간시수표'!AM56,$BF$7),COUNTIF('1.연간시수표'!AM56,$BG$9),COUNTIF('1.연간시수표'!AM56,$BG$7),COUNTIF('1.연간시수표'!AM56,$BH$9),COUNTIF('1.연간시수표'!AM56,$BH$7),COUNTIF('1.연간시수표'!AM56,$BI$9),COUNTIF('1.연간시수표'!AM56,$BI$7),COUNTIF('1.연간시수표'!AM56,$BJ$9),COUNTIF('1.연간시수표'!AM56,$BJ$7),COUNTIF('1.연간시수표'!AM56,$BK$9),COUNTIF('1.연간시수표'!AM56,$BK$7),COUNTIF('1.연간시수표'!AM56,$BL$9),COUNTIF('1.연간시수표'!AM56,$BL$7),COUNTIF('1.연간시수표'!AM56,$BM$9),COUNTIF('1.연간시수표'!AM56,$BM$7)),$BF$6,IF(OR(COUNTIF('1.연간시수표'!AM56,$BO$9),COUNTIF('1.연간시수표'!AM56,$BO$7)),$BO$6,IF(OR(COUNTIF('1.연간시수표'!AM56,$BP$9),COUNTIF('1.연간시수표'!AM56,$BP$7)),$BP$6,IF(OR(COUNTIF('1.연간시수표'!AM56,$BQ$9),COUNTIF('1.연간시수표'!AM56,$BQ$7)),$BQ$6,IF(OR(COUNTIF('1.연간시수표'!AM56,$BR$9),COUNTIF('1.연간시수표'!AM56,$BR$7)),$BR$6,"_")))))))))))))))</f>
        <v>수학</v>
      </c>
      <c r="AN56" s="148" t="str">
        <f>IF(OR(COUNTIF('1.연간시수표'!AN56,$AT$9),COUNTIF('1.연간시수표'!AN56,$AT$7)),$AT$6,IF(OR(COUNTIF('1.연간시수표'!AN56,$AU$9),COUNTIF('1.연간시수표'!AN56,$AU$7)),$AU$6,IF(OR(COUNTIF('1.연간시수표'!AN56,$AV$9),COUNTIF('1.연간시수표'!AN56,$AV$7)),$AV$6,IF(OR(COUNTIF('1.연간시수표'!AN56,$AW$9),COUNTIF('1.연간시수표'!AN56,$AW$7)),$AW$6,IF(OR(COUNTIF('1.연간시수표'!AN56,$AX$9),COUNTIF('1.연간시수표'!AN56,$AX$7)),$AX$6,IF(OR(COUNTIF('1.연간시수표'!AN56,$AY$9),COUNTIF('1.연간시수표'!AN56,$AY$7)),$AY$6,IF(OR(COUNTIF('1.연간시수표'!AN56,$AZ$9),COUNTIF('1.연간시수표'!AN56,$AZ$7)),$AZ$6,IF(OR(COUNTIF('1.연간시수표'!AN56,$BA$9),COUNTIF('1.연간시수표'!AN56,$BA$7)),$BA$6,IF(OR(COUNTIF('1.연간시수표'!AN56,$BB$9),COUNTIF('1.연간시수표'!AN56,$BB$7)),$BB$6,IF(OR(COUNTIF('1.연간시수표'!AN56,$BC$9),COUNTIF('1.연간시수표'!AN56,$BC$7)),$BC$6,IF(OR(COUNTIF('1.연간시수표'!AN56,$BF$9),COUNTIF('1.연간시수표'!AN56,$BF$7),COUNTIF('1.연간시수표'!AN56,$BG$9),COUNTIF('1.연간시수표'!AN56,$BG$7),COUNTIF('1.연간시수표'!AN56,$BH$9),COUNTIF('1.연간시수표'!AN56,$BH$7),COUNTIF('1.연간시수표'!AN56,$BI$9),COUNTIF('1.연간시수표'!AN56,$BI$7),COUNTIF('1.연간시수표'!AN56,$BJ$9),COUNTIF('1.연간시수표'!AN56,$BJ$7),COUNTIF('1.연간시수표'!AN56,$BK$9),COUNTIF('1.연간시수표'!AN56,$BK$7),COUNTIF('1.연간시수표'!AN56,$BL$9),COUNTIF('1.연간시수표'!AN56,$BL$7),COUNTIF('1.연간시수표'!AN56,$BM$9),COUNTIF('1.연간시수표'!AN56,$BM$7)),$BF$6,IF(OR(COUNTIF('1.연간시수표'!AN56,$BO$9),COUNTIF('1.연간시수표'!AN56,$BO$7)),$BO$6,IF(OR(COUNTIF('1.연간시수표'!AN56,$BP$9),COUNTIF('1.연간시수표'!AN56,$BP$7)),$BP$6,IF(OR(COUNTIF('1.연간시수표'!AN56,$BQ$9),COUNTIF('1.연간시수표'!AN56,$BQ$7)),$BQ$6,IF(OR(COUNTIF('1.연간시수표'!AN56,$BR$9),COUNTIF('1.연간시수표'!AN56,$BR$7)),$BR$6,"_")))))))))))))))</f>
        <v>국어</v>
      </c>
      <c r="AO56" s="148" t="str">
        <f>IF(OR(COUNTIF('1.연간시수표'!AO56,$AT$9),COUNTIF('1.연간시수표'!AO56,$AT$7)),$AT$6,IF(OR(COUNTIF('1.연간시수표'!AO56,$AU$9),COUNTIF('1.연간시수표'!AO56,$AU$7)),$AU$6,IF(OR(COUNTIF('1.연간시수표'!AO56,$AV$9),COUNTIF('1.연간시수표'!AO56,$AV$7)),$AV$6,IF(OR(COUNTIF('1.연간시수표'!AO56,$AW$9),COUNTIF('1.연간시수표'!AO56,$AW$7)),$AW$6,IF(OR(COUNTIF('1.연간시수표'!AO56,$AX$9),COUNTIF('1.연간시수표'!AO56,$AX$7)),$AX$6,IF(OR(COUNTIF('1.연간시수표'!AO56,$AY$9),COUNTIF('1.연간시수표'!AO56,$AY$7)),$AY$6,IF(OR(COUNTIF('1.연간시수표'!AO56,$AZ$9),COUNTIF('1.연간시수표'!AO56,$AZ$7)),$AZ$6,IF(OR(COUNTIF('1.연간시수표'!AO56,$BA$9),COUNTIF('1.연간시수표'!AO56,$BA$7)),$BA$6,IF(OR(COUNTIF('1.연간시수표'!AO56,$BB$9),COUNTIF('1.연간시수표'!AO56,$BB$7)),$BB$6,IF(OR(COUNTIF('1.연간시수표'!AO56,$BC$9),COUNTIF('1.연간시수표'!AO56,$BC$7)),$BC$6,IF(OR(COUNTIF('1.연간시수표'!AO56,$BF$9),COUNTIF('1.연간시수표'!AO56,$BF$7),COUNTIF('1.연간시수표'!AO56,$BG$9),COUNTIF('1.연간시수표'!AO56,$BG$7),COUNTIF('1.연간시수표'!AO56,$BH$9),COUNTIF('1.연간시수표'!AO56,$BH$7),COUNTIF('1.연간시수표'!AO56,$BI$9),COUNTIF('1.연간시수표'!AO56,$BI$7),COUNTIF('1.연간시수표'!AO56,$BJ$9),COUNTIF('1.연간시수표'!AO56,$BJ$7),COUNTIF('1.연간시수표'!AO56,$BK$9),COUNTIF('1.연간시수표'!AO56,$BK$7),COUNTIF('1.연간시수표'!AO56,$BL$9),COUNTIF('1.연간시수표'!AO56,$BL$7),COUNTIF('1.연간시수표'!AO56,$BM$9),COUNTIF('1.연간시수표'!AO56,$BM$7)),$BF$6,IF(OR(COUNTIF('1.연간시수표'!AO56,$BO$9),COUNTIF('1.연간시수표'!AO56,$BO$7)),$BO$6,IF(OR(COUNTIF('1.연간시수표'!AO56,$BP$9),COUNTIF('1.연간시수표'!AO56,$BP$7)),$BP$6,IF(OR(COUNTIF('1.연간시수표'!AO56,$BQ$9),COUNTIF('1.연간시수표'!AO56,$BQ$7)),$BQ$6,IF(OR(COUNTIF('1.연간시수표'!AO56,$BR$9),COUNTIF('1.연간시수표'!AO56,$BR$7)),$BR$6,"_")))))))))))))))</f>
        <v>사회</v>
      </c>
      <c r="AP56" s="148" t="str">
        <f>IF(OR(COUNTIF('1.연간시수표'!AP56,$AT$9),COUNTIF('1.연간시수표'!AP56,$AT$7)),$AT$6,IF(OR(COUNTIF('1.연간시수표'!AP56,$AU$9),COUNTIF('1.연간시수표'!AP56,$AU$7)),$AU$6,IF(OR(COUNTIF('1.연간시수표'!AP56,$AV$9),COUNTIF('1.연간시수표'!AP56,$AV$7)),$AV$6,IF(OR(COUNTIF('1.연간시수표'!AP56,$AW$9),COUNTIF('1.연간시수표'!AP56,$AW$7)),$AW$6,IF(OR(COUNTIF('1.연간시수표'!AP56,$AX$9),COUNTIF('1.연간시수표'!AP56,$AX$7)),$AX$6,IF(OR(COUNTIF('1.연간시수표'!AP56,$AY$9),COUNTIF('1.연간시수표'!AP56,$AY$7)),$AY$6,IF(OR(COUNTIF('1.연간시수표'!AP56,$AZ$9),COUNTIF('1.연간시수표'!AP56,$AZ$7)),$AZ$6,IF(OR(COUNTIF('1.연간시수표'!AP56,$BA$9),COUNTIF('1.연간시수표'!AP56,$BA$7)),$BA$6,IF(OR(COUNTIF('1.연간시수표'!AP56,$BB$9),COUNTIF('1.연간시수표'!AP56,$BB$7)),$BB$6,IF(OR(COUNTIF('1.연간시수표'!AP56,$BC$9),COUNTIF('1.연간시수표'!AP56,$BC$7)),$BC$6,IF(OR(COUNTIF('1.연간시수표'!AP56,$BF$9),COUNTIF('1.연간시수표'!AP56,$BF$7),COUNTIF('1.연간시수표'!AP56,$BG$9),COUNTIF('1.연간시수표'!AP56,$BG$7),COUNTIF('1.연간시수표'!AP56,$BH$9),COUNTIF('1.연간시수표'!AP56,$BH$7),COUNTIF('1.연간시수표'!AP56,$BI$9),COUNTIF('1.연간시수표'!AP56,$BI$7),COUNTIF('1.연간시수표'!AP56,$BJ$9),COUNTIF('1.연간시수표'!AP56,$BJ$7),COUNTIF('1.연간시수표'!AP56,$BK$9),COUNTIF('1.연간시수표'!AP56,$BK$7),COUNTIF('1.연간시수표'!AP56,$BL$9),COUNTIF('1.연간시수표'!AP56,$BL$7),COUNTIF('1.연간시수표'!AP56,$BM$9),COUNTIF('1.연간시수표'!AP56,$BM$7)),$BF$6,IF(OR(COUNTIF('1.연간시수표'!AP56,$BO$9),COUNTIF('1.연간시수표'!AP56,$BO$7)),$BO$6,IF(OR(COUNTIF('1.연간시수표'!AP56,$BP$9),COUNTIF('1.연간시수표'!AP56,$BP$7)),$BP$6,IF(OR(COUNTIF('1.연간시수표'!AP56,$BQ$9),COUNTIF('1.연간시수표'!AP56,$BQ$7)),$BQ$6,IF(OR(COUNTIF('1.연간시수표'!AP56,$BR$9),COUNTIF('1.연간시수표'!AP56,$BR$7)),$BR$6,"_")))))))))))))))</f>
        <v>실과</v>
      </c>
      <c r="AQ56" s="148" t="str">
        <f>IF(OR(COUNTIF('1.연간시수표'!AQ56,$AT$9),COUNTIF('1.연간시수표'!AQ56,$AT$7)),$AT$6,IF(OR(COUNTIF('1.연간시수표'!AQ56,$AU$9),COUNTIF('1.연간시수표'!AQ56,$AU$7)),$AU$6,IF(OR(COUNTIF('1.연간시수표'!AQ56,$AV$9),COUNTIF('1.연간시수표'!AQ56,$AV$7)),$AV$6,IF(OR(COUNTIF('1.연간시수표'!AQ56,$AW$9),COUNTIF('1.연간시수표'!AQ56,$AW$7)),$AW$6,IF(OR(COUNTIF('1.연간시수표'!AQ56,$AX$9),COUNTIF('1.연간시수표'!AQ56,$AX$7)),$AX$6,IF(OR(COUNTIF('1.연간시수표'!AQ56,$AY$9),COUNTIF('1.연간시수표'!AQ56,$AY$7)),$AY$6,IF(OR(COUNTIF('1.연간시수표'!AQ56,$AZ$9),COUNTIF('1.연간시수표'!AQ56,$AZ$7)),$AZ$6,IF(OR(COUNTIF('1.연간시수표'!AQ56,$BA$9),COUNTIF('1.연간시수표'!AQ56,$BA$7)),$BA$6,IF(OR(COUNTIF('1.연간시수표'!AQ56,$BB$9),COUNTIF('1.연간시수표'!AQ56,$BB$7)),$BB$6,IF(OR(COUNTIF('1.연간시수표'!AQ56,$BC$9),COUNTIF('1.연간시수표'!AQ56,$BC$7)),$BC$6,IF(OR(COUNTIF('1.연간시수표'!AQ56,$BF$9),COUNTIF('1.연간시수표'!AQ56,$BF$7),COUNTIF('1.연간시수표'!AQ56,$BG$9),COUNTIF('1.연간시수표'!AQ56,$BG$7),COUNTIF('1.연간시수표'!AQ56,$BH$9),COUNTIF('1.연간시수표'!AQ56,$BH$7),COUNTIF('1.연간시수표'!AQ56,$BI$9),COUNTIF('1.연간시수표'!AQ56,$BI$7),COUNTIF('1.연간시수표'!AQ56,$BJ$9),COUNTIF('1.연간시수표'!AQ56,$BJ$7),COUNTIF('1.연간시수표'!AQ56,$BK$9),COUNTIF('1.연간시수표'!AQ56,$BK$7),COUNTIF('1.연간시수표'!AQ56,$BL$9),COUNTIF('1.연간시수표'!AQ56,$BL$7),COUNTIF('1.연간시수표'!AQ56,$BM$9),COUNTIF('1.연간시수표'!AQ56,$BM$7)),$BF$6,IF(OR(COUNTIF('1.연간시수표'!AQ56,$BO$9),COUNTIF('1.연간시수표'!AQ56,$BO$7)),$BO$6,IF(OR(COUNTIF('1.연간시수표'!AQ56,$BP$9),COUNTIF('1.연간시수표'!AQ56,$BP$7)),$BP$6,IF(OR(COUNTIF('1.연간시수표'!AQ56,$BQ$9),COUNTIF('1.연간시수표'!AQ56,$BQ$7)),$BQ$6,IF(OR(COUNTIF('1.연간시수표'!AQ56,$BR$9),COUNTIF('1.연간시수표'!AQ56,$BR$7)),$BR$6,"_")))))))))))))))</f>
        <v>_</v>
      </c>
      <c r="AR56" s="148" t="str">
        <f>IF(OR(COUNTIF('1.연간시수표'!AR56,$AT$9),COUNTIF('1.연간시수표'!AR56,$AT$7)),$AT$6,IF(OR(COUNTIF('1.연간시수표'!AR56,$AU$9),COUNTIF('1.연간시수표'!AR56,$AU$7)),$AU$6,IF(OR(COUNTIF('1.연간시수표'!AR56,$AV$9),COUNTIF('1.연간시수표'!AR56,$AV$7)),$AV$6,IF(OR(COUNTIF('1.연간시수표'!AR56,$AW$9),COUNTIF('1.연간시수표'!AR56,$AW$7)),$AW$6,IF(OR(COUNTIF('1.연간시수표'!AR56,$AX$9),COUNTIF('1.연간시수표'!AR56,$AX$7)),$AX$6,IF(OR(COUNTIF('1.연간시수표'!AR56,$AY$9),COUNTIF('1.연간시수표'!AR56,$AY$7)),$AY$6,IF(OR(COUNTIF('1.연간시수표'!AR56,$AZ$9),COUNTIF('1.연간시수표'!AR56,$AZ$7)),$AZ$6,IF(OR(COUNTIF('1.연간시수표'!AR56,$BA$9),COUNTIF('1.연간시수표'!AR56,$BA$7)),$BA$6,IF(OR(COUNTIF('1.연간시수표'!AR56,$BB$9),COUNTIF('1.연간시수표'!AR56,$BB$7)),$BB$6,IF(OR(COUNTIF('1.연간시수표'!AR56,$BC$9),COUNTIF('1.연간시수표'!AR56,$BC$7)),$BC$6,IF(OR(COUNTIF('1.연간시수표'!AR56,$BF$9),COUNTIF('1.연간시수표'!AR56,$BF$7),COUNTIF('1.연간시수표'!AR56,$BG$9),COUNTIF('1.연간시수표'!AR56,$BG$7),COUNTIF('1.연간시수표'!AR56,$BH$9),COUNTIF('1.연간시수표'!AR56,$BH$7),COUNTIF('1.연간시수표'!AR56,$BI$9),COUNTIF('1.연간시수표'!AR56,$BI$7),COUNTIF('1.연간시수표'!AR56,$BJ$9),COUNTIF('1.연간시수표'!AR56,$BJ$7),COUNTIF('1.연간시수표'!AR56,$BK$9),COUNTIF('1.연간시수표'!AR56,$BK$7),COUNTIF('1.연간시수표'!AR56,$BL$9),COUNTIF('1.연간시수표'!AR56,$BL$7),COUNTIF('1.연간시수표'!AR56,$BM$9),COUNTIF('1.연간시수표'!AR56,$BM$7)),$BF$6,IF(OR(COUNTIF('1.연간시수표'!AR56,$BO$9),COUNTIF('1.연간시수표'!AR56,$BO$7)),$BO$6,IF(OR(COUNTIF('1.연간시수표'!AR56,$BP$9),COUNTIF('1.연간시수표'!AR56,$BP$7)),$BP$6,IF(OR(COUNTIF('1.연간시수표'!AR56,$BQ$9),COUNTIF('1.연간시수표'!AR56,$BQ$7)),$BQ$6,IF(OR(COUNTIF('1.연간시수표'!AR56,$BR$9),COUNTIF('1.연간시수표'!AR56,$BR$7)),$BR$6,"_")))))))))))))))</f>
        <v>_</v>
      </c>
      <c r="BU56" s="32"/>
    </row>
    <row r="57" spans="2:73">
      <c r="B57" s="6"/>
      <c r="C57" s="79">
        <f>'1.연간시수표'!C57</f>
        <v>26</v>
      </c>
      <c r="D57" s="3"/>
      <c r="E57" s="148" t="str">
        <f>IF(OR(COUNTIF('1.연간시수표'!E57,$AT$9),COUNTIF('1.연간시수표'!E57,$AT$7)),$AT$6,IF(OR(COUNTIF('1.연간시수표'!E57,$AU$9),COUNTIF('1.연간시수표'!E57,$AU$7)),$AU$6,IF(OR(COUNTIF('1.연간시수표'!E57,$AV$9),COUNTIF('1.연간시수표'!E57,$AV$7)),$AV$6,IF(OR(COUNTIF('1.연간시수표'!E57,$AW$9),COUNTIF('1.연간시수표'!E57,$AW$7)),$AW$6,IF(OR(COUNTIF('1.연간시수표'!E57,$AX$9),COUNTIF('1.연간시수표'!E57,$AX$7)),$AX$6,IF(OR(COUNTIF('1.연간시수표'!E57,$AY$9),COUNTIF('1.연간시수표'!E57,$AY$7)),$AY$6,IF(OR(COUNTIF('1.연간시수표'!E57,$AZ$9),COUNTIF('1.연간시수표'!E57,$AZ$7)),$AZ$6,IF(OR(COUNTIF('1.연간시수표'!E57,$BA$9),COUNTIF('1.연간시수표'!E57,$BA$7)),$BA$6,IF(OR(COUNTIF('1.연간시수표'!E57,$BB$9),COUNTIF('1.연간시수표'!E57,$BB$7)),$BB$6,IF(OR(COUNTIF('1.연간시수표'!E57,$BC$9),COUNTIF('1.연간시수표'!E57,$BC$7)),$BC$6,IF(OR(COUNTIF('1.연간시수표'!E57,$BF$9),COUNTIF('1.연간시수표'!E57,$BF$7),COUNTIF('1.연간시수표'!E57,$BG$9),COUNTIF('1.연간시수표'!E57,$BG$7),COUNTIF('1.연간시수표'!E57,$BH$9),COUNTIF('1.연간시수표'!E57,$BH$7),COUNTIF('1.연간시수표'!E57,$BI$9),COUNTIF('1.연간시수표'!E57,$BI$7),COUNTIF('1.연간시수표'!E57,$BJ$9),COUNTIF('1.연간시수표'!E57,$BJ$7),COUNTIF('1.연간시수표'!E57,$BK$9),COUNTIF('1.연간시수표'!E57,$BK$7),COUNTIF('1.연간시수표'!E57,$BL$9),COUNTIF('1.연간시수표'!E57,$BL$7),COUNTIF('1.연간시수표'!E57,$BM$9),COUNTIF('1.연간시수표'!E57,$BM$7)),$BF$6,IF(OR(COUNTIF('1.연간시수표'!E57,$BO$9),COUNTIF('1.연간시수표'!E57,$BO$7)),$BO$6,IF(OR(COUNTIF('1.연간시수표'!E57,$BP$9),COUNTIF('1.연간시수표'!E57,$BP$7)),$BP$6,IF(OR(COUNTIF('1.연간시수표'!E57,$BQ$9),COUNTIF('1.연간시수표'!E57,$BQ$7)),$BQ$6,IF(OR(COUNTIF('1.연간시수표'!E57,$BR$9),COUNTIF('1.연간시수표'!E57,$BR$7)),$BR$6,"_")))))))))))))))</f>
        <v>_</v>
      </c>
      <c r="F57" s="148" t="str">
        <f>IF(OR(COUNTIF('1.연간시수표'!F57,$AT$9),COUNTIF('1.연간시수표'!F57,$AT$7)),$AT$6,IF(OR(COUNTIF('1.연간시수표'!F57,$AU$9),COUNTIF('1.연간시수표'!F57,$AU$7)),$AU$6,IF(OR(COUNTIF('1.연간시수표'!F57,$AV$9),COUNTIF('1.연간시수표'!F57,$AV$7)),$AV$6,IF(OR(COUNTIF('1.연간시수표'!F57,$AW$9),COUNTIF('1.연간시수표'!F57,$AW$7)),$AW$6,IF(OR(COUNTIF('1.연간시수표'!F57,$AX$9),COUNTIF('1.연간시수표'!F57,$AX$7)),$AX$6,IF(OR(COUNTIF('1.연간시수표'!F57,$AY$9),COUNTIF('1.연간시수표'!F57,$AY$7)),$AY$6,IF(OR(COUNTIF('1.연간시수표'!F57,$AZ$9),COUNTIF('1.연간시수표'!F57,$AZ$7)),$AZ$6,IF(OR(COUNTIF('1.연간시수표'!F57,$BA$9),COUNTIF('1.연간시수표'!F57,$BA$7)),$BA$6,IF(OR(COUNTIF('1.연간시수표'!F57,$BB$9),COUNTIF('1.연간시수표'!F57,$BB$7)),$BB$6,IF(OR(COUNTIF('1.연간시수표'!F57,$BC$9),COUNTIF('1.연간시수표'!F57,$BC$7)),$BC$6,IF(OR(COUNTIF('1.연간시수표'!F57,$BF$9),COUNTIF('1.연간시수표'!F57,$BF$7),COUNTIF('1.연간시수표'!F57,$BG$9),COUNTIF('1.연간시수표'!F57,$BG$7),COUNTIF('1.연간시수표'!F57,$BH$9),COUNTIF('1.연간시수표'!F57,$BH$7),COUNTIF('1.연간시수표'!F57,$BI$9),COUNTIF('1.연간시수표'!F57,$BI$7),COUNTIF('1.연간시수표'!F57,$BJ$9),COUNTIF('1.연간시수표'!F57,$BJ$7),COUNTIF('1.연간시수표'!F57,$BK$9),COUNTIF('1.연간시수표'!F57,$BK$7),COUNTIF('1.연간시수표'!F57,$BL$9),COUNTIF('1.연간시수표'!F57,$BL$7),COUNTIF('1.연간시수표'!F57,$BM$9),COUNTIF('1.연간시수표'!F57,$BM$7)),$BF$6,IF(OR(COUNTIF('1.연간시수표'!F57,$BO$9),COUNTIF('1.연간시수표'!F57,$BO$7)),$BO$6,IF(OR(COUNTIF('1.연간시수표'!F57,$BP$9),COUNTIF('1.연간시수표'!F57,$BP$7)),$BP$6,IF(OR(COUNTIF('1.연간시수표'!F57,$BQ$9),COUNTIF('1.연간시수표'!F57,$BQ$7)),$BQ$6,IF(OR(COUNTIF('1.연간시수표'!F57,$BR$9),COUNTIF('1.연간시수표'!F57,$BR$7)),$BR$6,"_")))))))))))))))</f>
        <v>_</v>
      </c>
      <c r="G57" s="148" t="str">
        <f>IF(OR(COUNTIF('1.연간시수표'!G57,$AT$9),COUNTIF('1.연간시수표'!G57,$AT$7)),$AT$6,IF(OR(COUNTIF('1.연간시수표'!G57,$AU$9),COUNTIF('1.연간시수표'!G57,$AU$7)),$AU$6,IF(OR(COUNTIF('1.연간시수표'!G57,$AV$9),COUNTIF('1.연간시수표'!G57,$AV$7)),$AV$6,IF(OR(COUNTIF('1.연간시수표'!G57,$AW$9),COUNTIF('1.연간시수표'!G57,$AW$7)),$AW$6,IF(OR(COUNTIF('1.연간시수표'!G57,$AX$9),COUNTIF('1.연간시수표'!G57,$AX$7)),$AX$6,IF(OR(COUNTIF('1.연간시수표'!G57,$AY$9),COUNTIF('1.연간시수표'!G57,$AY$7)),$AY$6,IF(OR(COUNTIF('1.연간시수표'!G57,$AZ$9),COUNTIF('1.연간시수표'!G57,$AZ$7)),$AZ$6,IF(OR(COUNTIF('1.연간시수표'!G57,$BA$9),COUNTIF('1.연간시수표'!G57,$BA$7)),$BA$6,IF(OR(COUNTIF('1.연간시수표'!G57,$BB$9),COUNTIF('1.연간시수표'!G57,$BB$7)),$BB$6,IF(OR(COUNTIF('1.연간시수표'!G57,$BC$9),COUNTIF('1.연간시수표'!G57,$BC$7)),$BC$6,IF(OR(COUNTIF('1.연간시수표'!G57,$BF$9),COUNTIF('1.연간시수표'!G57,$BF$7),COUNTIF('1.연간시수표'!G57,$BG$9),COUNTIF('1.연간시수표'!G57,$BG$7),COUNTIF('1.연간시수표'!G57,$BH$9),COUNTIF('1.연간시수표'!G57,$BH$7),COUNTIF('1.연간시수표'!G57,$BI$9),COUNTIF('1.연간시수표'!G57,$BI$7),COUNTIF('1.연간시수표'!G57,$BJ$9),COUNTIF('1.연간시수표'!G57,$BJ$7),COUNTIF('1.연간시수표'!G57,$BK$9),COUNTIF('1.연간시수표'!G57,$BK$7),COUNTIF('1.연간시수표'!G57,$BL$9),COUNTIF('1.연간시수표'!G57,$BL$7),COUNTIF('1.연간시수표'!G57,$BM$9),COUNTIF('1.연간시수표'!G57,$BM$7)),$BF$6,IF(OR(COUNTIF('1.연간시수표'!G57,$BO$9),COUNTIF('1.연간시수표'!G57,$BO$7)),$BO$6,IF(OR(COUNTIF('1.연간시수표'!G57,$BP$9),COUNTIF('1.연간시수표'!G57,$BP$7)),$BP$6,IF(OR(COUNTIF('1.연간시수표'!G57,$BQ$9),COUNTIF('1.연간시수표'!G57,$BQ$7)),$BQ$6,IF(OR(COUNTIF('1.연간시수표'!G57,$BR$9),COUNTIF('1.연간시수표'!G57,$BR$7)),$BR$6,"_")))))))))))))))</f>
        <v>_</v>
      </c>
      <c r="H57" s="148" t="str">
        <f>IF(OR(COUNTIF('1.연간시수표'!H57,$AT$9),COUNTIF('1.연간시수표'!H57,$AT$7)),$AT$6,IF(OR(COUNTIF('1.연간시수표'!H57,$AU$9),COUNTIF('1.연간시수표'!H57,$AU$7)),$AU$6,IF(OR(COUNTIF('1.연간시수표'!H57,$AV$9),COUNTIF('1.연간시수표'!H57,$AV$7)),$AV$6,IF(OR(COUNTIF('1.연간시수표'!H57,$AW$9),COUNTIF('1.연간시수표'!H57,$AW$7)),$AW$6,IF(OR(COUNTIF('1.연간시수표'!H57,$AX$9),COUNTIF('1.연간시수표'!H57,$AX$7)),$AX$6,IF(OR(COUNTIF('1.연간시수표'!H57,$AY$9),COUNTIF('1.연간시수표'!H57,$AY$7)),$AY$6,IF(OR(COUNTIF('1.연간시수표'!H57,$AZ$9),COUNTIF('1.연간시수표'!H57,$AZ$7)),$AZ$6,IF(OR(COUNTIF('1.연간시수표'!H57,$BA$9),COUNTIF('1.연간시수표'!H57,$BA$7)),$BA$6,IF(OR(COUNTIF('1.연간시수표'!H57,$BB$9),COUNTIF('1.연간시수표'!H57,$BB$7)),$BB$6,IF(OR(COUNTIF('1.연간시수표'!H57,$BC$9),COUNTIF('1.연간시수표'!H57,$BC$7)),$BC$6,IF(OR(COUNTIF('1.연간시수표'!H57,$BF$9),COUNTIF('1.연간시수표'!H57,$BF$7),COUNTIF('1.연간시수표'!H57,$BG$9),COUNTIF('1.연간시수표'!H57,$BG$7),COUNTIF('1.연간시수표'!H57,$BH$9),COUNTIF('1.연간시수표'!H57,$BH$7),COUNTIF('1.연간시수표'!H57,$BI$9),COUNTIF('1.연간시수표'!H57,$BI$7),COUNTIF('1.연간시수표'!H57,$BJ$9),COUNTIF('1.연간시수표'!H57,$BJ$7),COUNTIF('1.연간시수표'!H57,$BK$9),COUNTIF('1.연간시수표'!H57,$BK$7),COUNTIF('1.연간시수표'!H57,$BL$9),COUNTIF('1.연간시수표'!H57,$BL$7),COUNTIF('1.연간시수표'!H57,$BM$9),COUNTIF('1.연간시수표'!H57,$BM$7)),$BF$6,IF(OR(COUNTIF('1.연간시수표'!H57,$BO$9),COUNTIF('1.연간시수표'!H57,$BO$7)),$BO$6,IF(OR(COUNTIF('1.연간시수표'!H57,$BP$9),COUNTIF('1.연간시수표'!H57,$BP$7)),$BP$6,IF(OR(COUNTIF('1.연간시수표'!H57,$BQ$9),COUNTIF('1.연간시수표'!H57,$BQ$7)),$BQ$6,IF(OR(COUNTIF('1.연간시수표'!H57,$BR$9),COUNTIF('1.연간시수표'!H57,$BR$7)),$BR$6,"_")))))))))))))))</f>
        <v>_</v>
      </c>
      <c r="I57" s="148" t="str">
        <f>IF(OR(COUNTIF('1.연간시수표'!I57,$AT$9),COUNTIF('1.연간시수표'!I57,$AT$7)),$AT$6,IF(OR(COUNTIF('1.연간시수표'!I57,$AU$9),COUNTIF('1.연간시수표'!I57,$AU$7)),$AU$6,IF(OR(COUNTIF('1.연간시수표'!I57,$AV$9),COUNTIF('1.연간시수표'!I57,$AV$7)),$AV$6,IF(OR(COUNTIF('1.연간시수표'!I57,$AW$9),COUNTIF('1.연간시수표'!I57,$AW$7)),$AW$6,IF(OR(COUNTIF('1.연간시수표'!I57,$AX$9),COUNTIF('1.연간시수표'!I57,$AX$7)),$AX$6,IF(OR(COUNTIF('1.연간시수표'!I57,$AY$9),COUNTIF('1.연간시수표'!I57,$AY$7)),$AY$6,IF(OR(COUNTIF('1.연간시수표'!I57,$AZ$9),COUNTIF('1.연간시수표'!I57,$AZ$7)),$AZ$6,IF(OR(COUNTIF('1.연간시수표'!I57,$BA$9),COUNTIF('1.연간시수표'!I57,$BA$7)),$BA$6,IF(OR(COUNTIF('1.연간시수표'!I57,$BB$9),COUNTIF('1.연간시수표'!I57,$BB$7)),$BB$6,IF(OR(COUNTIF('1.연간시수표'!I57,$BC$9),COUNTIF('1.연간시수표'!I57,$BC$7)),$BC$6,IF(OR(COUNTIF('1.연간시수표'!I57,$BF$9),COUNTIF('1.연간시수표'!I57,$BF$7),COUNTIF('1.연간시수표'!I57,$BG$9),COUNTIF('1.연간시수표'!I57,$BG$7),COUNTIF('1.연간시수표'!I57,$BH$9),COUNTIF('1.연간시수표'!I57,$BH$7),COUNTIF('1.연간시수표'!I57,$BI$9),COUNTIF('1.연간시수표'!I57,$BI$7),COUNTIF('1.연간시수표'!I57,$BJ$9),COUNTIF('1.연간시수표'!I57,$BJ$7),COUNTIF('1.연간시수표'!I57,$BK$9),COUNTIF('1.연간시수표'!I57,$BK$7),COUNTIF('1.연간시수표'!I57,$BL$9),COUNTIF('1.연간시수표'!I57,$BL$7),COUNTIF('1.연간시수표'!I57,$BM$9),COUNTIF('1.연간시수표'!I57,$BM$7)),$BF$6,IF(OR(COUNTIF('1.연간시수표'!I57,$BO$9),COUNTIF('1.연간시수표'!I57,$BO$7)),$BO$6,IF(OR(COUNTIF('1.연간시수표'!I57,$BP$9),COUNTIF('1.연간시수표'!I57,$BP$7)),$BP$6,IF(OR(COUNTIF('1.연간시수표'!I57,$BQ$9),COUNTIF('1.연간시수표'!I57,$BQ$7)),$BQ$6,IF(OR(COUNTIF('1.연간시수표'!I57,$BR$9),COUNTIF('1.연간시수표'!I57,$BR$7)),$BR$6,"_")))))))))))))))</f>
        <v>_</v>
      </c>
      <c r="J57" s="148" t="str">
        <f>IF(OR(COUNTIF('1.연간시수표'!J57,$AT$9),COUNTIF('1.연간시수표'!J57,$AT$7)),$AT$6,IF(OR(COUNTIF('1.연간시수표'!J57,$AU$9),COUNTIF('1.연간시수표'!J57,$AU$7)),$AU$6,IF(OR(COUNTIF('1.연간시수표'!J57,$AV$9),COUNTIF('1.연간시수표'!J57,$AV$7)),$AV$6,IF(OR(COUNTIF('1.연간시수표'!J57,$AW$9),COUNTIF('1.연간시수표'!J57,$AW$7)),$AW$6,IF(OR(COUNTIF('1.연간시수표'!J57,$AX$9),COUNTIF('1.연간시수표'!J57,$AX$7)),$AX$6,IF(OR(COUNTIF('1.연간시수표'!J57,$AY$9),COUNTIF('1.연간시수표'!J57,$AY$7)),$AY$6,IF(OR(COUNTIF('1.연간시수표'!J57,$AZ$9),COUNTIF('1.연간시수표'!J57,$AZ$7)),$AZ$6,IF(OR(COUNTIF('1.연간시수표'!J57,$BA$9),COUNTIF('1.연간시수표'!J57,$BA$7)),$BA$6,IF(OR(COUNTIF('1.연간시수표'!J57,$BB$9),COUNTIF('1.연간시수표'!J57,$BB$7)),$BB$6,IF(OR(COUNTIF('1.연간시수표'!J57,$BC$9),COUNTIF('1.연간시수표'!J57,$BC$7)),$BC$6,IF(OR(COUNTIF('1.연간시수표'!J57,$BF$9),COUNTIF('1.연간시수표'!J57,$BF$7),COUNTIF('1.연간시수표'!J57,$BG$9),COUNTIF('1.연간시수표'!J57,$BG$7),COUNTIF('1.연간시수표'!J57,$BH$9),COUNTIF('1.연간시수표'!J57,$BH$7),COUNTIF('1.연간시수표'!J57,$BI$9),COUNTIF('1.연간시수표'!J57,$BI$7),COUNTIF('1.연간시수표'!J57,$BJ$9),COUNTIF('1.연간시수표'!J57,$BJ$7),COUNTIF('1.연간시수표'!J57,$BK$9),COUNTIF('1.연간시수표'!J57,$BK$7),COUNTIF('1.연간시수표'!J57,$BL$9),COUNTIF('1.연간시수표'!J57,$BL$7),COUNTIF('1.연간시수표'!J57,$BM$9),COUNTIF('1.연간시수표'!J57,$BM$7)),$BF$6,IF(OR(COUNTIF('1.연간시수표'!J57,$BO$9),COUNTIF('1.연간시수표'!J57,$BO$7)),$BO$6,IF(OR(COUNTIF('1.연간시수표'!J57,$BP$9),COUNTIF('1.연간시수표'!J57,$BP$7)),$BP$6,IF(OR(COUNTIF('1.연간시수표'!J57,$BQ$9),COUNTIF('1.연간시수표'!J57,$BQ$7)),$BQ$6,IF(OR(COUNTIF('1.연간시수표'!J57,$BR$9),COUNTIF('1.연간시수표'!J57,$BR$7)),$BR$6,"_")))))))))))))))</f>
        <v>_</v>
      </c>
      <c r="K57" s="148" t="str">
        <f>IF(OR(COUNTIF('1.연간시수표'!K57,$AT$9),COUNTIF('1.연간시수표'!K57,$AT$7)),$AT$6,IF(OR(COUNTIF('1.연간시수표'!K57,$AU$9),COUNTIF('1.연간시수표'!K57,$AU$7)),$AU$6,IF(OR(COUNTIF('1.연간시수표'!K57,$AV$9),COUNTIF('1.연간시수표'!K57,$AV$7)),$AV$6,IF(OR(COUNTIF('1.연간시수표'!K57,$AW$9),COUNTIF('1.연간시수표'!K57,$AW$7)),$AW$6,IF(OR(COUNTIF('1.연간시수표'!K57,$AX$9),COUNTIF('1.연간시수표'!K57,$AX$7)),$AX$6,IF(OR(COUNTIF('1.연간시수표'!K57,$AY$9),COUNTIF('1.연간시수표'!K57,$AY$7)),$AY$6,IF(OR(COUNTIF('1.연간시수표'!K57,$AZ$9),COUNTIF('1.연간시수표'!K57,$AZ$7)),$AZ$6,IF(OR(COUNTIF('1.연간시수표'!K57,$BA$9),COUNTIF('1.연간시수표'!K57,$BA$7)),$BA$6,IF(OR(COUNTIF('1.연간시수표'!K57,$BB$9),COUNTIF('1.연간시수표'!K57,$BB$7)),$BB$6,IF(OR(COUNTIF('1.연간시수표'!K57,$BC$9),COUNTIF('1.연간시수표'!K57,$BC$7)),$BC$6,IF(OR(COUNTIF('1.연간시수표'!K57,$BF$9),COUNTIF('1.연간시수표'!K57,$BF$7),COUNTIF('1.연간시수표'!K57,$BG$9),COUNTIF('1.연간시수표'!K57,$BG$7),COUNTIF('1.연간시수표'!K57,$BH$9),COUNTIF('1.연간시수표'!K57,$BH$7),COUNTIF('1.연간시수표'!K57,$BI$9),COUNTIF('1.연간시수표'!K57,$BI$7),COUNTIF('1.연간시수표'!K57,$BJ$9),COUNTIF('1.연간시수표'!K57,$BJ$7),COUNTIF('1.연간시수표'!K57,$BK$9),COUNTIF('1.연간시수표'!K57,$BK$7),COUNTIF('1.연간시수표'!K57,$BL$9),COUNTIF('1.연간시수표'!K57,$BL$7),COUNTIF('1.연간시수표'!K57,$BM$9),COUNTIF('1.연간시수표'!K57,$BM$7)),$BF$6,IF(OR(COUNTIF('1.연간시수표'!K57,$BO$9),COUNTIF('1.연간시수표'!K57,$BO$7)),$BO$6,IF(OR(COUNTIF('1.연간시수표'!K57,$BP$9),COUNTIF('1.연간시수표'!K57,$BP$7)),$BP$6,IF(OR(COUNTIF('1.연간시수표'!K57,$BQ$9),COUNTIF('1.연간시수표'!K57,$BQ$7)),$BQ$6,IF(OR(COUNTIF('1.연간시수표'!K57,$BR$9),COUNTIF('1.연간시수표'!K57,$BR$7)),$BR$6,"_")))))))))))))))</f>
        <v>_</v>
      </c>
      <c r="L57" s="148" t="str">
        <f>IF(OR(COUNTIF('1.연간시수표'!L57,$AT$9),COUNTIF('1.연간시수표'!L57,$AT$7)),$AT$6,IF(OR(COUNTIF('1.연간시수표'!L57,$AU$9),COUNTIF('1.연간시수표'!L57,$AU$7)),$AU$6,IF(OR(COUNTIF('1.연간시수표'!L57,$AV$9),COUNTIF('1.연간시수표'!L57,$AV$7)),$AV$6,IF(OR(COUNTIF('1.연간시수표'!L57,$AW$9),COUNTIF('1.연간시수표'!L57,$AW$7)),$AW$6,IF(OR(COUNTIF('1.연간시수표'!L57,$AX$9),COUNTIF('1.연간시수표'!L57,$AX$7)),$AX$6,IF(OR(COUNTIF('1.연간시수표'!L57,$AY$9),COUNTIF('1.연간시수표'!L57,$AY$7)),$AY$6,IF(OR(COUNTIF('1.연간시수표'!L57,$AZ$9),COUNTIF('1.연간시수표'!L57,$AZ$7)),$AZ$6,IF(OR(COUNTIF('1.연간시수표'!L57,$BA$9),COUNTIF('1.연간시수표'!L57,$BA$7)),$BA$6,IF(OR(COUNTIF('1.연간시수표'!L57,$BB$9),COUNTIF('1.연간시수표'!L57,$BB$7)),$BB$6,IF(OR(COUNTIF('1.연간시수표'!L57,$BC$9),COUNTIF('1.연간시수표'!L57,$BC$7)),$BC$6,IF(OR(COUNTIF('1.연간시수표'!L57,$BF$9),COUNTIF('1.연간시수표'!L57,$BF$7),COUNTIF('1.연간시수표'!L57,$BG$9),COUNTIF('1.연간시수표'!L57,$BG$7),COUNTIF('1.연간시수표'!L57,$BH$9),COUNTIF('1.연간시수표'!L57,$BH$7),COUNTIF('1.연간시수표'!L57,$BI$9),COUNTIF('1.연간시수표'!L57,$BI$7),COUNTIF('1.연간시수표'!L57,$BJ$9),COUNTIF('1.연간시수표'!L57,$BJ$7),COUNTIF('1.연간시수표'!L57,$BK$9),COUNTIF('1.연간시수표'!L57,$BK$7),COUNTIF('1.연간시수표'!L57,$BL$9),COUNTIF('1.연간시수표'!L57,$BL$7),COUNTIF('1.연간시수표'!L57,$BM$9),COUNTIF('1.연간시수표'!L57,$BM$7)),$BF$6,IF(OR(COUNTIF('1.연간시수표'!L57,$BO$9),COUNTIF('1.연간시수표'!L57,$BO$7)),$BO$6,IF(OR(COUNTIF('1.연간시수표'!L57,$BP$9),COUNTIF('1.연간시수표'!L57,$BP$7)),$BP$6,IF(OR(COUNTIF('1.연간시수표'!L57,$BQ$9),COUNTIF('1.연간시수표'!L57,$BQ$7)),$BQ$6,IF(OR(COUNTIF('1.연간시수표'!L57,$BR$9),COUNTIF('1.연간시수표'!L57,$BR$7)),$BR$6,"_")))))))))))))))</f>
        <v>_</v>
      </c>
      <c r="M57" s="148" t="str">
        <f>IF(OR(COUNTIF('1.연간시수표'!M57,$AT$9),COUNTIF('1.연간시수표'!M57,$AT$7)),$AT$6,IF(OR(COUNTIF('1.연간시수표'!M57,$AU$9),COUNTIF('1.연간시수표'!M57,$AU$7)),$AU$6,IF(OR(COUNTIF('1.연간시수표'!M57,$AV$9),COUNTIF('1.연간시수표'!M57,$AV$7)),$AV$6,IF(OR(COUNTIF('1.연간시수표'!M57,$AW$9),COUNTIF('1.연간시수표'!M57,$AW$7)),$AW$6,IF(OR(COUNTIF('1.연간시수표'!M57,$AX$9),COUNTIF('1.연간시수표'!M57,$AX$7)),$AX$6,IF(OR(COUNTIF('1.연간시수표'!M57,$AY$9),COUNTIF('1.연간시수표'!M57,$AY$7)),$AY$6,IF(OR(COUNTIF('1.연간시수표'!M57,$AZ$9),COUNTIF('1.연간시수표'!M57,$AZ$7)),$AZ$6,IF(OR(COUNTIF('1.연간시수표'!M57,$BA$9),COUNTIF('1.연간시수표'!M57,$BA$7)),$BA$6,IF(OR(COUNTIF('1.연간시수표'!M57,$BB$9),COUNTIF('1.연간시수표'!M57,$BB$7)),$BB$6,IF(OR(COUNTIF('1.연간시수표'!M57,$BC$9),COUNTIF('1.연간시수표'!M57,$BC$7)),$BC$6,IF(OR(COUNTIF('1.연간시수표'!M57,$BF$9),COUNTIF('1.연간시수표'!M57,$BF$7),COUNTIF('1.연간시수표'!M57,$BG$9),COUNTIF('1.연간시수표'!M57,$BG$7),COUNTIF('1.연간시수표'!M57,$BH$9),COUNTIF('1.연간시수표'!M57,$BH$7),COUNTIF('1.연간시수표'!M57,$BI$9),COUNTIF('1.연간시수표'!M57,$BI$7),COUNTIF('1.연간시수표'!M57,$BJ$9),COUNTIF('1.연간시수표'!M57,$BJ$7),COUNTIF('1.연간시수표'!M57,$BK$9),COUNTIF('1.연간시수표'!M57,$BK$7),COUNTIF('1.연간시수표'!M57,$BL$9),COUNTIF('1.연간시수표'!M57,$BL$7),COUNTIF('1.연간시수표'!M57,$BM$9),COUNTIF('1.연간시수표'!M57,$BM$7)),$BF$6,IF(OR(COUNTIF('1.연간시수표'!M57,$BO$9),COUNTIF('1.연간시수표'!M57,$BO$7)),$BO$6,IF(OR(COUNTIF('1.연간시수표'!M57,$BP$9),COUNTIF('1.연간시수표'!M57,$BP$7)),$BP$6,IF(OR(COUNTIF('1.연간시수표'!M57,$BQ$9),COUNTIF('1.연간시수표'!M57,$BQ$7)),$BQ$6,IF(OR(COUNTIF('1.연간시수표'!M57,$BR$9),COUNTIF('1.연간시수표'!M57,$BR$7)),$BR$6,"_")))))))))))))))</f>
        <v>국어</v>
      </c>
      <c r="N57" s="148" t="str">
        <f>IF(OR(COUNTIF('1.연간시수표'!N57,$AT$9),COUNTIF('1.연간시수표'!N57,$AT$7)),$AT$6,IF(OR(COUNTIF('1.연간시수표'!N57,$AU$9),COUNTIF('1.연간시수표'!N57,$AU$7)),$AU$6,IF(OR(COUNTIF('1.연간시수표'!N57,$AV$9),COUNTIF('1.연간시수표'!N57,$AV$7)),$AV$6,IF(OR(COUNTIF('1.연간시수표'!N57,$AW$9),COUNTIF('1.연간시수표'!N57,$AW$7)),$AW$6,IF(OR(COUNTIF('1.연간시수표'!N57,$AX$9),COUNTIF('1.연간시수표'!N57,$AX$7)),$AX$6,IF(OR(COUNTIF('1.연간시수표'!N57,$AY$9),COUNTIF('1.연간시수표'!N57,$AY$7)),$AY$6,IF(OR(COUNTIF('1.연간시수표'!N57,$AZ$9),COUNTIF('1.연간시수표'!N57,$AZ$7)),$AZ$6,IF(OR(COUNTIF('1.연간시수표'!N57,$BA$9),COUNTIF('1.연간시수표'!N57,$BA$7)),$BA$6,IF(OR(COUNTIF('1.연간시수표'!N57,$BB$9),COUNTIF('1.연간시수표'!N57,$BB$7)),$BB$6,IF(OR(COUNTIF('1.연간시수표'!N57,$BC$9),COUNTIF('1.연간시수표'!N57,$BC$7)),$BC$6,IF(OR(COUNTIF('1.연간시수표'!N57,$BF$9),COUNTIF('1.연간시수표'!N57,$BF$7),COUNTIF('1.연간시수표'!N57,$BG$9),COUNTIF('1.연간시수표'!N57,$BG$7),COUNTIF('1.연간시수표'!N57,$BH$9),COUNTIF('1.연간시수표'!N57,$BH$7),COUNTIF('1.연간시수표'!N57,$BI$9),COUNTIF('1.연간시수표'!N57,$BI$7),COUNTIF('1.연간시수표'!N57,$BJ$9),COUNTIF('1.연간시수표'!N57,$BJ$7),COUNTIF('1.연간시수표'!N57,$BK$9),COUNTIF('1.연간시수표'!N57,$BK$7),COUNTIF('1.연간시수표'!N57,$BL$9),COUNTIF('1.연간시수표'!N57,$BL$7),COUNTIF('1.연간시수표'!N57,$BM$9),COUNTIF('1.연간시수표'!N57,$BM$7)),$BF$6,IF(OR(COUNTIF('1.연간시수표'!N57,$BO$9),COUNTIF('1.연간시수표'!N57,$BO$7)),$BO$6,IF(OR(COUNTIF('1.연간시수표'!N57,$BP$9),COUNTIF('1.연간시수표'!N57,$BP$7)),$BP$6,IF(OR(COUNTIF('1.연간시수표'!N57,$BQ$9),COUNTIF('1.연간시수표'!N57,$BQ$7)),$BQ$6,IF(OR(COUNTIF('1.연간시수표'!N57,$BR$9),COUNTIF('1.연간시수표'!N57,$BR$7)),$BR$6,"_")))))))))))))))</f>
        <v>국어</v>
      </c>
      <c r="O57" s="148" t="str">
        <f>IF(OR(COUNTIF('1.연간시수표'!O57,$AT$9),COUNTIF('1.연간시수표'!O57,$AT$7)),$AT$6,IF(OR(COUNTIF('1.연간시수표'!O57,$AU$9),COUNTIF('1.연간시수표'!O57,$AU$7)),$AU$6,IF(OR(COUNTIF('1.연간시수표'!O57,$AV$9),COUNTIF('1.연간시수표'!O57,$AV$7)),$AV$6,IF(OR(COUNTIF('1.연간시수표'!O57,$AW$9),COUNTIF('1.연간시수표'!O57,$AW$7)),$AW$6,IF(OR(COUNTIF('1.연간시수표'!O57,$AX$9),COUNTIF('1.연간시수표'!O57,$AX$7)),$AX$6,IF(OR(COUNTIF('1.연간시수표'!O57,$AY$9),COUNTIF('1.연간시수표'!O57,$AY$7)),$AY$6,IF(OR(COUNTIF('1.연간시수표'!O57,$AZ$9),COUNTIF('1.연간시수표'!O57,$AZ$7)),$AZ$6,IF(OR(COUNTIF('1.연간시수표'!O57,$BA$9),COUNTIF('1.연간시수표'!O57,$BA$7)),$BA$6,IF(OR(COUNTIF('1.연간시수표'!O57,$BB$9),COUNTIF('1.연간시수표'!O57,$BB$7)),$BB$6,IF(OR(COUNTIF('1.연간시수표'!O57,$BC$9),COUNTIF('1.연간시수표'!O57,$BC$7)),$BC$6,IF(OR(COUNTIF('1.연간시수표'!O57,$BF$9),COUNTIF('1.연간시수표'!O57,$BF$7),COUNTIF('1.연간시수표'!O57,$BG$9),COUNTIF('1.연간시수표'!O57,$BG$7),COUNTIF('1.연간시수표'!O57,$BH$9),COUNTIF('1.연간시수표'!O57,$BH$7),COUNTIF('1.연간시수표'!O57,$BI$9),COUNTIF('1.연간시수표'!O57,$BI$7),COUNTIF('1.연간시수표'!O57,$BJ$9),COUNTIF('1.연간시수표'!O57,$BJ$7),COUNTIF('1.연간시수표'!O57,$BK$9),COUNTIF('1.연간시수표'!O57,$BK$7),COUNTIF('1.연간시수표'!O57,$BL$9),COUNTIF('1.연간시수표'!O57,$BL$7),COUNTIF('1.연간시수표'!O57,$BM$9),COUNTIF('1.연간시수표'!O57,$BM$7)),$BF$6,IF(OR(COUNTIF('1.연간시수표'!O57,$BO$9),COUNTIF('1.연간시수표'!O57,$BO$7)),$BO$6,IF(OR(COUNTIF('1.연간시수표'!O57,$BP$9),COUNTIF('1.연간시수표'!O57,$BP$7)),$BP$6,IF(OR(COUNTIF('1.연간시수표'!O57,$BQ$9),COUNTIF('1.연간시수표'!O57,$BQ$7)),$BQ$6,IF(OR(COUNTIF('1.연간시수표'!O57,$BR$9),COUNTIF('1.연간시수표'!O57,$BR$7)),$BR$6,"_")))))))))))))))</f>
        <v>사회</v>
      </c>
      <c r="P57" s="148" t="str">
        <f>IF(OR(COUNTIF('1.연간시수표'!P57,$AT$9),COUNTIF('1.연간시수표'!P57,$AT$7)),$AT$6,IF(OR(COUNTIF('1.연간시수표'!P57,$AU$9),COUNTIF('1.연간시수표'!P57,$AU$7)),$AU$6,IF(OR(COUNTIF('1.연간시수표'!P57,$AV$9),COUNTIF('1.연간시수표'!P57,$AV$7)),$AV$6,IF(OR(COUNTIF('1.연간시수표'!P57,$AW$9),COUNTIF('1.연간시수표'!P57,$AW$7)),$AW$6,IF(OR(COUNTIF('1.연간시수표'!P57,$AX$9),COUNTIF('1.연간시수표'!P57,$AX$7)),$AX$6,IF(OR(COUNTIF('1.연간시수표'!P57,$AY$9),COUNTIF('1.연간시수표'!P57,$AY$7)),$AY$6,IF(OR(COUNTIF('1.연간시수표'!P57,$AZ$9),COUNTIF('1.연간시수표'!P57,$AZ$7)),$AZ$6,IF(OR(COUNTIF('1.연간시수표'!P57,$BA$9),COUNTIF('1.연간시수표'!P57,$BA$7)),$BA$6,IF(OR(COUNTIF('1.연간시수표'!P57,$BB$9),COUNTIF('1.연간시수표'!P57,$BB$7)),$BB$6,IF(OR(COUNTIF('1.연간시수표'!P57,$BC$9),COUNTIF('1.연간시수표'!P57,$BC$7)),$BC$6,IF(OR(COUNTIF('1.연간시수표'!P57,$BF$9),COUNTIF('1.연간시수표'!P57,$BF$7),COUNTIF('1.연간시수표'!P57,$BG$9),COUNTIF('1.연간시수표'!P57,$BG$7),COUNTIF('1.연간시수표'!P57,$BH$9),COUNTIF('1.연간시수표'!P57,$BH$7),COUNTIF('1.연간시수표'!P57,$BI$9),COUNTIF('1.연간시수표'!P57,$BI$7),COUNTIF('1.연간시수표'!P57,$BJ$9),COUNTIF('1.연간시수표'!P57,$BJ$7),COUNTIF('1.연간시수표'!P57,$BK$9),COUNTIF('1.연간시수표'!P57,$BK$7),COUNTIF('1.연간시수표'!P57,$BL$9),COUNTIF('1.연간시수표'!P57,$BL$7),COUNTIF('1.연간시수표'!P57,$BM$9),COUNTIF('1.연간시수표'!P57,$BM$7)),$BF$6,IF(OR(COUNTIF('1.연간시수표'!P57,$BO$9),COUNTIF('1.연간시수표'!P57,$BO$7)),$BO$6,IF(OR(COUNTIF('1.연간시수표'!P57,$BP$9),COUNTIF('1.연간시수표'!P57,$BP$7)),$BP$6,IF(OR(COUNTIF('1.연간시수표'!P57,$BQ$9),COUNTIF('1.연간시수표'!P57,$BQ$7)),$BQ$6,IF(OR(COUNTIF('1.연간시수표'!P57,$BR$9),COUNTIF('1.연간시수표'!P57,$BR$7)),$BR$6,"_")))))))))))))))</f>
        <v>수학</v>
      </c>
      <c r="Q57" s="148" t="str">
        <f>IF(OR(COUNTIF('1.연간시수표'!Q57,$AT$9),COUNTIF('1.연간시수표'!Q57,$AT$7)),$AT$6,IF(OR(COUNTIF('1.연간시수표'!Q57,$AU$9),COUNTIF('1.연간시수표'!Q57,$AU$7)),$AU$6,IF(OR(COUNTIF('1.연간시수표'!Q57,$AV$9),COUNTIF('1.연간시수표'!Q57,$AV$7)),$AV$6,IF(OR(COUNTIF('1.연간시수표'!Q57,$AW$9),COUNTIF('1.연간시수표'!Q57,$AW$7)),$AW$6,IF(OR(COUNTIF('1.연간시수표'!Q57,$AX$9),COUNTIF('1.연간시수표'!Q57,$AX$7)),$AX$6,IF(OR(COUNTIF('1.연간시수표'!Q57,$AY$9),COUNTIF('1.연간시수표'!Q57,$AY$7)),$AY$6,IF(OR(COUNTIF('1.연간시수표'!Q57,$AZ$9),COUNTIF('1.연간시수표'!Q57,$AZ$7)),$AZ$6,IF(OR(COUNTIF('1.연간시수표'!Q57,$BA$9),COUNTIF('1.연간시수표'!Q57,$BA$7)),$BA$6,IF(OR(COUNTIF('1.연간시수표'!Q57,$BB$9),COUNTIF('1.연간시수표'!Q57,$BB$7)),$BB$6,IF(OR(COUNTIF('1.연간시수표'!Q57,$BC$9),COUNTIF('1.연간시수표'!Q57,$BC$7)),$BC$6,IF(OR(COUNTIF('1.연간시수표'!Q57,$BF$9),COUNTIF('1.연간시수표'!Q57,$BF$7),COUNTIF('1.연간시수표'!Q57,$BG$9),COUNTIF('1.연간시수표'!Q57,$BG$7),COUNTIF('1.연간시수표'!Q57,$BH$9),COUNTIF('1.연간시수표'!Q57,$BH$7),COUNTIF('1.연간시수표'!Q57,$BI$9),COUNTIF('1.연간시수표'!Q57,$BI$7),COUNTIF('1.연간시수표'!Q57,$BJ$9),COUNTIF('1.연간시수표'!Q57,$BJ$7),COUNTIF('1.연간시수표'!Q57,$BK$9),COUNTIF('1.연간시수표'!Q57,$BK$7),COUNTIF('1.연간시수표'!Q57,$BL$9),COUNTIF('1.연간시수표'!Q57,$BL$7),COUNTIF('1.연간시수표'!Q57,$BM$9),COUNTIF('1.연간시수표'!Q57,$BM$7)),$BF$6,IF(OR(COUNTIF('1.연간시수표'!Q57,$BO$9),COUNTIF('1.연간시수표'!Q57,$BO$7)),$BO$6,IF(OR(COUNTIF('1.연간시수표'!Q57,$BP$9),COUNTIF('1.연간시수표'!Q57,$BP$7)),$BP$6,IF(OR(COUNTIF('1.연간시수표'!Q57,$BQ$9),COUNTIF('1.연간시수표'!Q57,$BQ$7)),$BQ$6,IF(OR(COUNTIF('1.연간시수표'!Q57,$BR$9),COUNTIF('1.연간시수표'!Q57,$BR$7)),$BR$6,"_")))))))))))))))</f>
        <v>과학</v>
      </c>
      <c r="R57" s="148" t="str">
        <f>IF(OR(COUNTIF('1.연간시수표'!R57,$AT$9),COUNTIF('1.연간시수표'!R57,$AT$7)),$AT$6,IF(OR(COUNTIF('1.연간시수표'!R57,$AU$9),COUNTIF('1.연간시수표'!R57,$AU$7)),$AU$6,IF(OR(COUNTIF('1.연간시수표'!R57,$AV$9),COUNTIF('1.연간시수표'!R57,$AV$7)),$AV$6,IF(OR(COUNTIF('1.연간시수표'!R57,$AW$9),COUNTIF('1.연간시수표'!R57,$AW$7)),$AW$6,IF(OR(COUNTIF('1.연간시수표'!R57,$AX$9),COUNTIF('1.연간시수표'!R57,$AX$7)),$AX$6,IF(OR(COUNTIF('1.연간시수표'!R57,$AY$9),COUNTIF('1.연간시수표'!R57,$AY$7)),$AY$6,IF(OR(COUNTIF('1.연간시수표'!R57,$AZ$9),COUNTIF('1.연간시수표'!R57,$AZ$7)),$AZ$6,IF(OR(COUNTIF('1.연간시수표'!R57,$BA$9),COUNTIF('1.연간시수표'!R57,$BA$7)),$BA$6,IF(OR(COUNTIF('1.연간시수표'!R57,$BB$9),COUNTIF('1.연간시수표'!R57,$BB$7)),$BB$6,IF(OR(COUNTIF('1.연간시수표'!R57,$BC$9),COUNTIF('1.연간시수표'!R57,$BC$7)),$BC$6,IF(OR(COUNTIF('1.연간시수표'!R57,$BF$9),COUNTIF('1.연간시수표'!R57,$BF$7),COUNTIF('1.연간시수표'!R57,$BG$9),COUNTIF('1.연간시수표'!R57,$BG$7),COUNTIF('1.연간시수표'!R57,$BH$9),COUNTIF('1.연간시수표'!R57,$BH$7),COUNTIF('1.연간시수표'!R57,$BI$9),COUNTIF('1.연간시수표'!R57,$BI$7),COUNTIF('1.연간시수표'!R57,$BJ$9),COUNTIF('1.연간시수표'!R57,$BJ$7),COUNTIF('1.연간시수표'!R57,$BK$9),COUNTIF('1.연간시수표'!R57,$BK$7),COUNTIF('1.연간시수표'!R57,$BL$9),COUNTIF('1.연간시수표'!R57,$BL$7),COUNTIF('1.연간시수표'!R57,$BM$9),COUNTIF('1.연간시수표'!R57,$BM$7)),$BF$6,IF(OR(COUNTIF('1.연간시수표'!R57,$BO$9),COUNTIF('1.연간시수표'!R57,$BO$7)),$BO$6,IF(OR(COUNTIF('1.연간시수표'!R57,$BP$9),COUNTIF('1.연간시수표'!R57,$BP$7)),$BP$6,IF(OR(COUNTIF('1.연간시수표'!R57,$BQ$9),COUNTIF('1.연간시수표'!R57,$BQ$7)),$BQ$6,IF(OR(COUNTIF('1.연간시수표'!R57,$BR$9),COUNTIF('1.연간시수표'!R57,$BR$7)),$BR$6,"_")))))))))))))))</f>
        <v>실과</v>
      </c>
      <c r="S57" s="148" t="str">
        <f>IF(OR(COUNTIF('1.연간시수표'!S57,$AT$9),COUNTIF('1.연간시수표'!S57,$AT$7)),$AT$6,IF(OR(COUNTIF('1.연간시수표'!S57,$AU$9),COUNTIF('1.연간시수표'!S57,$AU$7)),$AU$6,IF(OR(COUNTIF('1.연간시수표'!S57,$AV$9),COUNTIF('1.연간시수표'!S57,$AV$7)),$AV$6,IF(OR(COUNTIF('1.연간시수표'!S57,$AW$9),COUNTIF('1.연간시수표'!S57,$AW$7)),$AW$6,IF(OR(COUNTIF('1.연간시수표'!S57,$AX$9),COUNTIF('1.연간시수표'!S57,$AX$7)),$AX$6,IF(OR(COUNTIF('1.연간시수표'!S57,$AY$9),COUNTIF('1.연간시수표'!S57,$AY$7)),$AY$6,IF(OR(COUNTIF('1.연간시수표'!S57,$AZ$9),COUNTIF('1.연간시수표'!S57,$AZ$7)),$AZ$6,IF(OR(COUNTIF('1.연간시수표'!S57,$BA$9),COUNTIF('1.연간시수표'!S57,$BA$7)),$BA$6,IF(OR(COUNTIF('1.연간시수표'!S57,$BB$9),COUNTIF('1.연간시수표'!S57,$BB$7)),$BB$6,IF(OR(COUNTIF('1.연간시수표'!S57,$BC$9),COUNTIF('1.연간시수표'!S57,$BC$7)),$BC$6,IF(OR(COUNTIF('1.연간시수표'!S57,$BF$9),COUNTIF('1.연간시수표'!S57,$BF$7),COUNTIF('1.연간시수표'!S57,$BG$9),COUNTIF('1.연간시수표'!S57,$BG$7),COUNTIF('1.연간시수표'!S57,$BH$9),COUNTIF('1.연간시수표'!S57,$BH$7),COUNTIF('1.연간시수표'!S57,$BI$9),COUNTIF('1.연간시수표'!S57,$BI$7),COUNTIF('1.연간시수표'!S57,$BJ$9),COUNTIF('1.연간시수표'!S57,$BJ$7),COUNTIF('1.연간시수표'!S57,$BK$9),COUNTIF('1.연간시수표'!S57,$BK$7),COUNTIF('1.연간시수표'!S57,$BL$9),COUNTIF('1.연간시수표'!S57,$BL$7),COUNTIF('1.연간시수표'!S57,$BM$9),COUNTIF('1.연간시수표'!S57,$BM$7)),$BF$6,IF(OR(COUNTIF('1.연간시수표'!S57,$BO$9),COUNTIF('1.연간시수표'!S57,$BO$7)),$BO$6,IF(OR(COUNTIF('1.연간시수표'!S57,$BP$9),COUNTIF('1.연간시수표'!S57,$BP$7)),$BP$6,IF(OR(COUNTIF('1.연간시수표'!S57,$BQ$9),COUNTIF('1.연간시수표'!S57,$BQ$7)),$BQ$6,IF(OR(COUNTIF('1.연간시수표'!S57,$BR$9),COUNTIF('1.연간시수표'!S57,$BR$7)),$BR$6,"_")))))))))))))))</f>
        <v>_</v>
      </c>
      <c r="T57" s="148" t="str">
        <f>IF(OR(COUNTIF('1.연간시수표'!T57,$AT$9),COUNTIF('1.연간시수표'!T57,$AT$7)),$AT$6,IF(OR(COUNTIF('1.연간시수표'!T57,$AU$9),COUNTIF('1.연간시수표'!T57,$AU$7)),$AU$6,IF(OR(COUNTIF('1.연간시수표'!T57,$AV$9),COUNTIF('1.연간시수표'!T57,$AV$7)),$AV$6,IF(OR(COUNTIF('1.연간시수표'!T57,$AW$9),COUNTIF('1.연간시수표'!T57,$AW$7)),$AW$6,IF(OR(COUNTIF('1.연간시수표'!T57,$AX$9),COUNTIF('1.연간시수표'!T57,$AX$7)),$AX$6,IF(OR(COUNTIF('1.연간시수표'!T57,$AY$9),COUNTIF('1.연간시수표'!T57,$AY$7)),$AY$6,IF(OR(COUNTIF('1.연간시수표'!T57,$AZ$9),COUNTIF('1.연간시수표'!T57,$AZ$7)),$AZ$6,IF(OR(COUNTIF('1.연간시수표'!T57,$BA$9),COUNTIF('1.연간시수표'!T57,$BA$7)),$BA$6,IF(OR(COUNTIF('1.연간시수표'!T57,$BB$9),COUNTIF('1.연간시수표'!T57,$BB$7)),$BB$6,IF(OR(COUNTIF('1.연간시수표'!T57,$BC$9),COUNTIF('1.연간시수표'!T57,$BC$7)),$BC$6,IF(OR(COUNTIF('1.연간시수표'!T57,$BF$9),COUNTIF('1.연간시수표'!T57,$BF$7),COUNTIF('1.연간시수표'!T57,$BG$9),COUNTIF('1.연간시수표'!T57,$BG$7),COUNTIF('1.연간시수표'!T57,$BH$9),COUNTIF('1.연간시수표'!T57,$BH$7),COUNTIF('1.연간시수표'!T57,$BI$9),COUNTIF('1.연간시수표'!T57,$BI$7),COUNTIF('1.연간시수표'!T57,$BJ$9),COUNTIF('1.연간시수표'!T57,$BJ$7),COUNTIF('1.연간시수표'!T57,$BK$9),COUNTIF('1.연간시수표'!T57,$BK$7),COUNTIF('1.연간시수표'!T57,$BL$9),COUNTIF('1.연간시수표'!T57,$BL$7),COUNTIF('1.연간시수표'!T57,$BM$9),COUNTIF('1.연간시수표'!T57,$BM$7)),$BF$6,IF(OR(COUNTIF('1.연간시수표'!T57,$BO$9),COUNTIF('1.연간시수표'!T57,$BO$7)),$BO$6,IF(OR(COUNTIF('1.연간시수표'!T57,$BP$9),COUNTIF('1.연간시수표'!T57,$BP$7)),$BP$6,IF(OR(COUNTIF('1.연간시수표'!T57,$BQ$9),COUNTIF('1.연간시수표'!T57,$BQ$7)),$BQ$6,IF(OR(COUNTIF('1.연간시수표'!T57,$BR$9),COUNTIF('1.연간시수표'!T57,$BR$7)),$BR$6,"_")))))))))))))))</f>
        <v>_</v>
      </c>
      <c r="U57" s="148" t="str">
        <f>IF(OR(COUNTIF('1.연간시수표'!U57,$AT$9),COUNTIF('1.연간시수표'!U57,$AT$7)),$AT$6,IF(OR(COUNTIF('1.연간시수표'!U57,$AU$9),COUNTIF('1.연간시수표'!U57,$AU$7)),$AU$6,IF(OR(COUNTIF('1.연간시수표'!U57,$AV$9),COUNTIF('1.연간시수표'!U57,$AV$7)),$AV$6,IF(OR(COUNTIF('1.연간시수표'!U57,$AW$9),COUNTIF('1.연간시수표'!U57,$AW$7)),$AW$6,IF(OR(COUNTIF('1.연간시수표'!U57,$AX$9),COUNTIF('1.연간시수표'!U57,$AX$7)),$AX$6,IF(OR(COUNTIF('1.연간시수표'!U57,$AY$9),COUNTIF('1.연간시수표'!U57,$AY$7)),$AY$6,IF(OR(COUNTIF('1.연간시수표'!U57,$AZ$9),COUNTIF('1.연간시수표'!U57,$AZ$7)),$AZ$6,IF(OR(COUNTIF('1.연간시수표'!U57,$BA$9),COUNTIF('1.연간시수표'!U57,$BA$7)),$BA$6,IF(OR(COUNTIF('1.연간시수표'!U57,$BB$9),COUNTIF('1.연간시수표'!U57,$BB$7)),$BB$6,IF(OR(COUNTIF('1.연간시수표'!U57,$BC$9),COUNTIF('1.연간시수표'!U57,$BC$7)),$BC$6,IF(OR(COUNTIF('1.연간시수표'!U57,$BF$9),COUNTIF('1.연간시수표'!U57,$BF$7),COUNTIF('1.연간시수표'!U57,$BG$9),COUNTIF('1.연간시수표'!U57,$BG$7),COUNTIF('1.연간시수표'!U57,$BH$9),COUNTIF('1.연간시수표'!U57,$BH$7),COUNTIF('1.연간시수표'!U57,$BI$9),COUNTIF('1.연간시수표'!U57,$BI$7),COUNTIF('1.연간시수표'!U57,$BJ$9),COUNTIF('1.연간시수표'!U57,$BJ$7),COUNTIF('1.연간시수표'!U57,$BK$9),COUNTIF('1.연간시수표'!U57,$BK$7),COUNTIF('1.연간시수표'!U57,$BL$9),COUNTIF('1.연간시수표'!U57,$BL$7),COUNTIF('1.연간시수표'!U57,$BM$9),COUNTIF('1.연간시수표'!U57,$BM$7)),$BF$6,IF(OR(COUNTIF('1.연간시수표'!U57,$BO$9),COUNTIF('1.연간시수표'!U57,$BO$7)),$BO$6,IF(OR(COUNTIF('1.연간시수표'!U57,$BP$9),COUNTIF('1.연간시수표'!U57,$BP$7)),$BP$6,IF(OR(COUNTIF('1.연간시수표'!U57,$BQ$9),COUNTIF('1.연간시수표'!U57,$BQ$7)),$BQ$6,IF(OR(COUNTIF('1.연간시수표'!U57,$BR$9),COUNTIF('1.연간시수표'!U57,$BR$7)),$BR$6,"_")))))))))))))))</f>
        <v>영어</v>
      </c>
      <c r="V57" s="148" t="str">
        <f>IF(OR(COUNTIF('1.연간시수표'!V57,$AT$9),COUNTIF('1.연간시수표'!V57,$AT$7)),$AT$6,IF(OR(COUNTIF('1.연간시수표'!V57,$AU$9),COUNTIF('1.연간시수표'!V57,$AU$7)),$AU$6,IF(OR(COUNTIF('1.연간시수표'!V57,$AV$9),COUNTIF('1.연간시수표'!V57,$AV$7)),$AV$6,IF(OR(COUNTIF('1.연간시수표'!V57,$AW$9),COUNTIF('1.연간시수표'!V57,$AW$7)),$AW$6,IF(OR(COUNTIF('1.연간시수표'!V57,$AX$9),COUNTIF('1.연간시수표'!V57,$AX$7)),$AX$6,IF(OR(COUNTIF('1.연간시수표'!V57,$AY$9),COUNTIF('1.연간시수표'!V57,$AY$7)),$AY$6,IF(OR(COUNTIF('1.연간시수표'!V57,$AZ$9),COUNTIF('1.연간시수표'!V57,$AZ$7)),$AZ$6,IF(OR(COUNTIF('1.연간시수표'!V57,$BA$9),COUNTIF('1.연간시수표'!V57,$BA$7)),$BA$6,IF(OR(COUNTIF('1.연간시수표'!V57,$BB$9),COUNTIF('1.연간시수표'!V57,$BB$7)),$BB$6,IF(OR(COUNTIF('1.연간시수표'!V57,$BC$9),COUNTIF('1.연간시수표'!V57,$BC$7)),$BC$6,IF(OR(COUNTIF('1.연간시수표'!V57,$BF$9),COUNTIF('1.연간시수표'!V57,$BF$7),COUNTIF('1.연간시수표'!V57,$BG$9),COUNTIF('1.연간시수표'!V57,$BG$7),COUNTIF('1.연간시수표'!V57,$BH$9),COUNTIF('1.연간시수표'!V57,$BH$7),COUNTIF('1.연간시수표'!V57,$BI$9),COUNTIF('1.연간시수표'!V57,$BI$7),COUNTIF('1.연간시수표'!V57,$BJ$9),COUNTIF('1.연간시수표'!V57,$BJ$7),COUNTIF('1.연간시수표'!V57,$BK$9),COUNTIF('1.연간시수표'!V57,$BK$7),COUNTIF('1.연간시수표'!V57,$BL$9),COUNTIF('1.연간시수표'!V57,$BL$7),COUNTIF('1.연간시수표'!V57,$BM$9),COUNTIF('1.연간시수표'!V57,$BM$7)),$BF$6,IF(OR(COUNTIF('1.연간시수표'!V57,$BO$9),COUNTIF('1.연간시수표'!V57,$BO$7)),$BO$6,IF(OR(COUNTIF('1.연간시수표'!V57,$BP$9),COUNTIF('1.연간시수표'!V57,$BP$7)),$BP$6,IF(OR(COUNTIF('1.연간시수표'!V57,$BQ$9),COUNTIF('1.연간시수표'!V57,$BQ$7)),$BQ$6,IF(OR(COUNTIF('1.연간시수표'!V57,$BR$9),COUNTIF('1.연간시수표'!V57,$BR$7)),$BR$6,"_")))))))))))))))</f>
        <v>과학</v>
      </c>
      <c r="W57" s="148" t="str">
        <f>IF(OR(COUNTIF('1.연간시수표'!W57,$AT$9),COUNTIF('1.연간시수표'!W57,$AT$7)),$AT$6,IF(OR(COUNTIF('1.연간시수표'!W57,$AU$9),COUNTIF('1.연간시수표'!W57,$AU$7)),$AU$6,IF(OR(COUNTIF('1.연간시수표'!W57,$AV$9),COUNTIF('1.연간시수표'!W57,$AV$7)),$AV$6,IF(OR(COUNTIF('1.연간시수표'!W57,$AW$9),COUNTIF('1.연간시수표'!W57,$AW$7)),$AW$6,IF(OR(COUNTIF('1.연간시수표'!W57,$AX$9),COUNTIF('1.연간시수표'!W57,$AX$7)),$AX$6,IF(OR(COUNTIF('1.연간시수표'!W57,$AY$9),COUNTIF('1.연간시수표'!W57,$AY$7)),$AY$6,IF(OR(COUNTIF('1.연간시수표'!W57,$AZ$9),COUNTIF('1.연간시수표'!W57,$AZ$7)),$AZ$6,IF(OR(COUNTIF('1.연간시수표'!W57,$BA$9),COUNTIF('1.연간시수표'!W57,$BA$7)),$BA$6,IF(OR(COUNTIF('1.연간시수표'!W57,$BB$9),COUNTIF('1.연간시수표'!W57,$BB$7)),$BB$6,IF(OR(COUNTIF('1.연간시수표'!W57,$BC$9),COUNTIF('1.연간시수표'!W57,$BC$7)),$BC$6,IF(OR(COUNTIF('1.연간시수표'!W57,$BF$9),COUNTIF('1.연간시수표'!W57,$BF$7),COUNTIF('1.연간시수표'!W57,$BG$9),COUNTIF('1.연간시수표'!W57,$BG$7),COUNTIF('1.연간시수표'!W57,$BH$9),COUNTIF('1.연간시수표'!W57,$BH$7),COUNTIF('1.연간시수표'!W57,$BI$9),COUNTIF('1.연간시수표'!W57,$BI$7),COUNTIF('1.연간시수표'!W57,$BJ$9),COUNTIF('1.연간시수표'!W57,$BJ$7),COUNTIF('1.연간시수표'!W57,$BK$9),COUNTIF('1.연간시수표'!W57,$BK$7),COUNTIF('1.연간시수표'!W57,$BL$9),COUNTIF('1.연간시수표'!W57,$BL$7),COUNTIF('1.연간시수표'!W57,$BM$9),COUNTIF('1.연간시수표'!W57,$BM$7)),$BF$6,IF(OR(COUNTIF('1.연간시수표'!W57,$BO$9),COUNTIF('1.연간시수표'!W57,$BO$7)),$BO$6,IF(OR(COUNTIF('1.연간시수표'!W57,$BP$9),COUNTIF('1.연간시수표'!W57,$BP$7)),$BP$6,IF(OR(COUNTIF('1.연간시수표'!W57,$BQ$9),COUNTIF('1.연간시수표'!W57,$BQ$7)),$BQ$6,IF(OR(COUNTIF('1.연간시수표'!W57,$BR$9),COUNTIF('1.연간시수표'!W57,$BR$7)),$BR$6,"_")))))))))))))))</f>
        <v>체육</v>
      </c>
      <c r="X57" s="148" t="str">
        <f>IF(OR(COUNTIF('1.연간시수표'!X57,$AT$9),COUNTIF('1.연간시수표'!X57,$AT$7)),$AT$6,IF(OR(COUNTIF('1.연간시수표'!X57,$AU$9),COUNTIF('1.연간시수표'!X57,$AU$7)),$AU$6,IF(OR(COUNTIF('1.연간시수표'!X57,$AV$9),COUNTIF('1.연간시수표'!X57,$AV$7)),$AV$6,IF(OR(COUNTIF('1.연간시수표'!X57,$AW$9),COUNTIF('1.연간시수표'!X57,$AW$7)),$AW$6,IF(OR(COUNTIF('1.연간시수표'!X57,$AX$9),COUNTIF('1.연간시수표'!X57,$AX$7)),$AX$6,IF(OR(COUNTIF('1.연간시수표'!X57,$AY$9),COUNTIF('1.연간시수표'!X57,$AY$7)),$AY$6,IF(OR(COUNTIF('1.연간시수표'!X57,$AZ$9),COUNTIF('1.연간시수표'!X57,$AZ$7)),$AZ$6,IF(OR(COUNTIF('1.연간시수표'!X57,$BA$9),COUNTIF('1.연간시수표'!X57,$BA$7)),$BA$6,IF(OR(COUNTIF('1.연간시수표'!X57,$BB$9),COUNTIF('1.연간시수표'!X57,$BB$7)),$BB$6,IF(OR(COUNTIF('1.연간시수표'!X57,$BC$9),COUNTIF('1.연간시수표'!X57,$BC$7)),$BC$6,IF(OR(COUNTIF('1.연간시수표'!X57,$BF$9),COUNTIF('1.연간시수표'!X57,$BF$7),COUNTIF('1.연간시수표'!X57,$BG$9),COUNTIF('1.연간시수표'!X57,$BG$7),COUNTIF('1.연간시수표'!X57,$BH$9),COUNTIF('1.연간시수표'!X57,$BH$7),COUNTIF('1.연간시수표'!X57,$BI$9),COUNTIF('1.연간시수표'!X57,$BI$7),COUNTIF('1.연간시수표'!X57,$BJ$9),COUNTIF('1.연간시수표'!X57,$BJ$7),COUNTIF('1.연간시수표'!X57,$BK$9),COUNTIF('1.연간시수표'!X57,$BK$7),COUNTIF('1.연간시수표'!X57,$BL$9),COUNTIF('1.연간시수표'!X57,$BL$7),COUNTIF('1.연간시수표'!X57,$BM$9),COUNTIF('1.연간시수표'!X57,$BM$7)),$BF$6,IF(OR(COUNTIF('1.연간시수표'!X57,$BO$9),COUNTIF('1.연간시수표'!X57,$BO$7)),$BO$6,IF(OR(COUNTIF('1.연간시수표'!X57,$BP$9),COUNTIF('1.연간시수표'!X57,$BP$7)),$BP$6,IF(OR(COUNTIF('1.연간시수표'!X57,$BQ$9),COUNTIF('1.연간시수표'!X57,$BQ$7)),$BQ$6,IF(OR(COUNTIF('1.연간시수표'!X57,$BR$9),COUNTIF('1.연간시수표'!X57,$BR$7)),$BR$6,"_")))))))))))))))</f>
        <v>음악</v>
      </c>
      <c r="Y57" s="148" t="str">
        <f>IF(OR(COUNTIF('1.연간시수표'!Y57,$AT$9),COUNTIF('1.연간시수표'!Y57,$AT$7)),$AT$6,IF(OR(COUNTIF('1.연간시수표'!Y57,$AU$9),COUNTIF('1.연간시수표'!Y57,$AU$7)),$AU$6,IF(OR(COUNTIF('1.연간시수표'!Y57,$AV$9),COUNTIF('1.연간시수표'!Y57,$AV$7)),$AV$6,IF(OR(COUNTIF('1.연간시수표'!Y57,$AW$9),COUNTIF('1.연간시수표'!Y57,$AW$7)),$AW$6,IF(OR(COUNTIF('1.연간시수표'!Y57,$AX$9),COUNTIF('1.연간시수표'!Y57,$AX$7)),$AX$6,IF(OR(COUNTIF('1.연간시수표'!Y57,$AY$9),COUNTIF('1.연간시수표'!Y57,$AY$7)),$AY$6,IF(OR(COUNTIF('1.연간시수표'!Y57,$AZ$9),COUNTIF('1.연간시수표'!Y57,$AZ$7)),$AZ$6,IF(OR(COUNTIF('1.연간시수표'!Y57,$BA$9),COUNTIF('1.연간시수표'!Y57,$BA$7)),$BA$6,IF(OR(COUNTIF('1.연간시수표'!Y57,$BB$9),COUNTIF('1.연간시수표'!Y57,$BB$7)),$BB$6,IF(OR(COUNTIF('1.연간시수표'!Y57,$BC$9),COUNTIF('1.연간시수표'!Y57,$BC$7)),$BC$6,IF(OR(COUNTIF('1.연간시수표'!Y57,$BF$9),COUNTIF('1.연간시수표'!Y57,$BF$7),COUNTIF('1.연간시수표'!Y57,$BG$9),COUNTIF('1.연간시수표'!Y57,$BG$7),COUNTIF('1.연간시수표'!Y57,$BH$9),COUNTIF('1.연간시수표'!Y57,$BH$7),COUNTIF('1.연간시수표'!Y57,$BI$9),COUNTIF('1.연간시수표'!Y57,$BI$7),COUNTIF('1.연간시수표'!Y57,$BJ$9),COUNTIF('1.연간시수표'!Y57,$BJ$7),COUNTIF('1.연간시수표'!Y57,$BK$9),COUNTIF('1.연간시수표'!Y57,$BK$7),COUNTIF('1.연간시수표'!Y57,$BL$9),COUNTIF('1.연간시수표'!Y57,$BL$7),COUNTIF('1.연간시수표'!Y57,$BM$9),COUNTIF('1.연간시수표'!Y57,$BM$7)),$BF$6,IF(OR(COUNTIF('1.연간시수표'!Y57,$BO$9),COUNTIF('1.연간시수표'!Y57,$BO$7)),$BO$6,IF(OR(COUNTIF('1.연간시수표'!Y57,$BP$9),COUNTIF('1.연간시수표'!Y57,$BP$7)),$BP$6,IF(OR(COUNTIF('1.연간시수표'!Y57,$BQ$9),COUNTIF('1.연간시수표'!Y57,$BQ$7)),$BQ$6,IF(OR(COUNTIF('1.연간시수표'!Y57,$BR$9),COUNTIF('1.연간시수표'!Y57,$BR$7)),$BR$6,"_")))))))))))))))</f>
        <v>도덕</v>
      </c>
      <c r="Z57" s="148" t="str">
        <f>IF(OR(COUNTIF('1.연간시수표'!Z57,$AT$9),COUNTIF('1.연간시수표'!Z57,$AT$7)),$AT$6,IF(OR(COUNTIF('1.연간시수표'!Z57,$AU$9),COUNTIF('1.연간시수표'!Z57,$AU$7)),$AU$6,IF(OR(COUNTIF('1.연간시수표'!Z57,$AV$9),COUNTIF('1.연간시수표'!Z57,$AV$7)),$AV$6,IF(OR(COUNTIF('1.연간시수표'!Z57,$AW$9),COUNTIF('1.연간시수표'!Z57,$AW$7)),$AW$6,IF(OR(COUNTIF('1.연간시수표'!Z57,$AX$9),COUNTIF('1.연간시수표'!Z57,$AX$7)),$AX$6,IF(OR(COUNTIF('1.연간시수표'!Z57,$AY$9),COUNTIF('1.연간시수표'!Z57,$AY$7)),$AY$6,IF(OR(COUNTIF('1.연간시수표'!Z57,$AZ$9),COUNTIF('1.연간시수표'!Z57,$AZ$7)),$AZ$6,IF(OR(COUNTIF('1.연간시수표'!Z57,$BA$9),COUNTIF('1.연간시수표'!Z57,$BA$7)),$BA$6,IF(OR(COUNTIF('1.연간시수표'!Z57,$BB$9),COUNTIF('1.연간시수표'!Z57,$BB$7)),$BB$6,IF(OR(COUNTIF('1.연간시수표'!Z57,$BC$9),COUNTIF('1.연간시수표'!Z57,$BC$7)),$BC$6,IF(OR(COUNTIF('1.연간시수표'!Z57,$BF$9),COUNTIF('1.연간시수표'!Z57,$BF$7),COUNTIF('1.연간시수표'!Z57,$BG$9),COUNTIF('1.연간시수표'!Z57,$BG$7),COUNTIF('1.연간시수표'!Z57,$BH$9),COUNTIF('1.연간시수표'!Z57,$BH$7),COUNTIF('1.연간시수표'!Z57,$BI$9),COUNTIF('1.연간시수표'!Z57,$BI$7),COUNTIF('1.연간시수표'!Z57,$BJ$9),COUNTIF('1.연간시수표'!Z57,$BJ$7),COUNTIF('1.연간시수표'!Z57,$BK$9),COUNTIF('1.연간시수표'!Z57,$BK$7),COUNTIF('1.연간시수표'!Z57,$BL$9),COUNTIF('1.연간시수표'!Z57,$BL$7),COUNTIF('1.연간시수표'!Z57,$BM$9),COUNTIF('1.연간시수표'!Z57,$BM$7)),$BF$6,IF(OR(COUNTIF('1.연간시수표'!Z57,$BO$9),COUNTIF('1.연간시수표'!Z57,$BO$7)),$BO$6,IF(OR(COUNTIF('1.연간시수표'!Z57,$BP$9),COUNTIF('1.연간시수표'!Z57,$BP$7)),$BP$6,IF(OR(COUNTIF('1.연간시수표'!Z57,$BQ$9),COUNTIF('1.연간시수표'!Z57,$BQ$7)),$BQ$6,IF(OR(COUNTIF('1.연간시수표'!Z57,$BR$9),COUNTIF('1.연간시수표'!Z57,$BR$7)),$BR$6,"_")))))))))))))))</f>
        <v>_</v>
      </c>
      <c r="AA57" s="148" t="str">
        <f>IF(OR(COUNTIF('1.연간시수표'!AA57,$AT$9),COUNTIF('1.연간시수표'!AA57,$AT$7)),$AT$6,IF(OR(COUNTIF('1.연간시수표'!AA57,$AU$9),COUNTIF('1.연간시수표'!AA57,$AU$7)),$AU$6,IF(OR(COUNTIF('1.연간시수표'!AA57,$AV$9),COUNTIF('1.연간시수표'!AA57,$AV$7)),$AV$6,IF(OR(COUNTIF('1.연간시수표'!AA57,$AW$9),COUNTIF('1.연간시수표'!AA57,$AW$7)),$AW$6,IF(OR(COUNTIF('1.연간시수표'!AA57,$AX$9),COUNTIF('1.연간시수표'!AA57,$AX$7)),$AX$6,IF(OR(COUNTIF('1.연간시수표'!AA57,$AY$9),COUNTIF('1.연간시수표'!AA57,$AY$7)),$AY$6,IF(OR(COUNTIF('1.연간시수표'!AA57,$AZ$9),COUNTIF('1.연간시수표'!AA57,$AZ$7)),$AZ$6,IF(OR(COUNTIF('1.연간시수표'!AA57,$BA$9),COUNTIF('1.연간시수표'!AA57,$BA$7)),$BA$6,IF(OR(COUNTIF('1.연간시수표'!AA57,$BB$9),COUNTIF('1.연간시수표'!AA57,$BB$7)),$BB$6,IF(OR(COUNTIF('1.연간시수표'!AA57,$BC$9),COUNTIF('1.연간시수표'!AA57,$BC$7)),$BC$6,IF(OR(COUNTIF('1.연간시수표'!AA57,$BF$9),COUNTIF('1.연간시수표'!AA57,$BF$7),COUNTIF('1.연간시수표'!AA57,$BG$9),COUNTIF('1.연간시수표'!AA57,$BG$7),COUNTIF('1.연간시수표'!AA57,$BH$9),COUNTIF('1.연간시수표'!AA57,$BH$7),COUNTIF('1.연간시수표'!AA57,$BI$9),COUNTIF('1.연간시수표'!AA57,$BI$7),COUNTIF('1.연간시수표'!AA57,$BJ$9),COUNTIF('1.연간시수표'!AA57,$BJ$7),COUNTIF('1.연간시수표'!AA57,$BK$9),COUNTIF('1.연간시수표'!AA57,$BK$7),COUNTIF('1.연간시수표'!AA57,$BL$9),COUNTIF('1.연간시수표'!AA57,$BL$7),COUNTIF('1.연간시수표'!AA57,$BM$9),COUNTIF('1.연간시수표'!AA57,$BM$7)),$BF$6,IF(OR(COUNTIF('1.연간시수표'!AA57,$BO$9),COUNTIF('1.연간시수표'!AA57,$BO$7)),$BO$6,IF(OR(COUNTIF('1.연간시수표'!AA57,$BP$9),COUNTIF('1.연간시수표'!AA57,$BP$7)),$BP$6,IF(OR(COUNTIF('1.연간시수표'!AA57,$BQ$9),COUNTIF('1.연간시수표'!AA57,$BQ$7)),$BQ$6,IF(OR(COUNTIF('1.연간시수표'!AA57,$BR$9),COUNTIF('1.연간시수표'!AA57,$BR$7)),$BR$6,"_")))))))))))))))</f>
        <v>_</v>
      </c>
      <c r="AB57" s="148" t="str">
        <f>IF(OR(COUNTIF('1.연간시수표'!AB57,$AT$9),COUNTIF('1.연간시수표'!AB57,$AT$7)),$AT$6,IF(OR(COUNTIF('1.연간시수표'!AB57,$AU$9),COUNTIF('1.연간시수표'!AB57,$AU$7)),$AU$6,IF(OR(COUNTIF('1.연간시수표'!AB57,$AV$9),COUNTIF('1.연간시수표'!AB57,$AV$7)),$AV$6,IF(OR(COUNTIF('1.연간시수표'!AB57,$AW$9),COUNTIF('1.연간시수표'!AB57,$AW$7)),$AW$6,IF(OR(COUNTIF('1.연간시수표'!AB57,$AX$9),COUNTIF('1.연간시수표'!AB57,$AX$7)),$AX$6,IF(OR(COUNTIF('1.연간시수표'!AB57,$AY$9),COUNTIF('1.연간시수표'!AB57,$AY$7)),$AY$6,IF(OR(COUNTIF('1.연간시수표'!AB57,$AZ$9),COUNTIF('1.연간시수표'!AB57,$AZ$7)),$AZ$6,IF(OR(COUNTIF('1.연간시수표'!AB57,$BA$9),COUNTIF('1.연간시수표'!AB57,$BA$7)),$BA$6,IF(OR(COUNTIF('1.연간시수표'!AB57,$BB$9),COUNTIF('1.연간시수표'!AB57,$BB$7)),$BB$6,IF(OR(COUNTIF('1.연간시수표'!AB57,$BC$9),COUNTIF('1.연간시수표'!AB57,$BC$7)),$BC$6,IF(OR(COUNTIF('1.연간시수표'!AB57,$BF$9),COUNTIF('1.연간시수표'!AB57,$BF$7),COUNTIF('1.연간시수표'!AB57,$BG$9),COUNTIF('1.연간시수표'!AB57,$BG$7),COUNTIF('1.연간시수표'!AB57,$BH$9),COUNTIF('1.연간시수표'!AB57,$BH$7),COUNTIF('1.연간시수표'!AB57,$BI$9),COUNTIF('1.연간시수표'!AB57,$BI$7),COUNTIF('1.연간시수표'!AB57,$BJ$9),COUNTIF('1.연간시수표'!AB57,$BJ$7),COUNTIF('1.연간시수표'!AB57,$BK$9),COUNTIF('1.연간시수표'!AB57,$BK$7),COUNTIF('1.연간시수표'!AB57,$BL$9),COUNTIF('1.연간시수표'!AB57,$BL$7),COUNTIF('1.연간시수표'!AB57,$BM$9),COUNTIF('1.연간시수표'!AB57,$BM$7)),$BF$6,IF(OR(COUNTIF('1.연간시수표'!AB57,$BO$9),COUNTIF('1.연간시수표'!AB57,$BO$7)),$BO$6,IF(OR(COUNTIF('1.연간시수표'!AB57,$BP$9),COUNTIF('1.연간시수표'!AB57,$BP$7)),$BP$6,IF(OR(COUNTIF('1.연간시수표'!AB57,$BQ$9),COUNTIF('1.연간시수표'!AB57,$BQ$7)),$BQ$6,IF(OR(COUNTIF('1.연간시수표'!AB57,$BR$9),COUNTIF('1.연간시수표'!AB57,$BR$7)),$BR$6,"_")))))))))))))))</f>
        <v>_</v>
      </c>
      <c r="AC57" s="148" t="str">
        <f>IF(OR(COUNTIF('1.연간시수표'!AC57,$AT$9),COUNTIF('1.연간시수표'!AC57,$AT$7)),$AT$6,IF(OR(COUNTIF('1.연간시수표'!AC57,$AU$9),COUNTIF('1.연간시수표'!AC57,$AU$7)),$AU$6,IF(OR(COUNTIF('1.연간시수표'!AC57,$AV$9),COUNTIF('1.연간시수표'!AC57,$AV$7)),$AV$6,IF(OR(COUNTIF('1.연간시수표'!AC57,$AW$9),COUNTIF('1.연간시수표'!AC57,$AW$7)),$AW$6,IF(OR(COUNTIF('1.연간시수표'!AC57,$AX$9),COUNTIF('1.연간시수표'!AC57,$AX$7)),$AX$6,IF(OR(COUNTIF('1.연간시수표'!AC57,$AY$9),COUNTIF('1.연간시수표'!AC57,$AY$7)),$AY$6,IF(OR(COUNTIF('1.연간시수표'!AC57,$AZ$9),COUNTIF('1.연간시수표'!AC57,$AZ$7)),$AZ$6,IF(OR(COUNTIF('1.연간시수표'!AC57,$BA$9),COUNTIF('1.연간시수표'!AC57,$BA$7)),$BA$6,IF(OR(COUNTIF('1.연간시수표'!AC57,$BB$9),COUNTIF('1.연간시수표'!AC57,$BB$7)),$BB$6,IF(OR(COUNTIF('1.연간시수표'!AC57,$BC$9),COUNTIF('1.연간시수표'!AC57,$BC$7)),$BC$6,IF(OR(COUNTIF('1.연간시수표'!AC57,$BF$9),COUNTIF('1.연간시수표'!AC57,$BF$7),COUNTIF('1.연간시수표'!AC57,$BG$9),COUNTIF('1.연간시수표'!AC57,$BG$7),COUNTIF('1.연간시수표'!AC57,$BH$9),COUNTIF('1.연간시수표'!AC57,$BH$7),COUNTIF('1.연간시수표'!AC57,$BI$9),COUNTIF('1.연간시수표'!AC57,$BI$7),COUNTIF('1.연간시수표'!AC57,$BJ$9),COUNTIF('1.연간시수표'!AC57,$BJ$7),COUNTIF('1.연간시수표'!AC57,$BK$9),COUNTIF('1.연간시수표'!AC57,$BK$7),COUNTIF('1.연간시수표'!AC57,$BL$9),COUNTIF('1.연간시수표'!AC57,$BL$7),COUNTIF('1.연간시수표'!AC57,$BM$9),COUNTIF('1.연간시수표'!AC57,$BM$7)),$BF$6,IF(OR(COUNTIF('1.연간시수표'!AC57,$BO$9),COUNTIF('1.연간시수표'!AC57,$BO$7)),$BO$6,IF(OR(COUNTIF('1.연간시수표'!AC57,$BP$9),COUNTIF('1.연간시수표'!AC57,$BP$7)),$BP$6,IF(OR(COUNTIF('1.연간시수표'!AC57,$BQ$9),COUNTIF('1.연간시수표'!AC57,$BQ$7)),$BQ$6,IF(OR(COUNTIF('1.연간시수표'!AC57,$BR$9),COUNTIF('1.연간시수표'!AC57,$BR$7)),$BR$6,"_")))))))))))))))</f>
        <v>국어</v>
      </c>
      <c r="AD57" s="148" t="str">
        <f>IF(OR(COUNTIF('1.연간시수표'!AD57,$AT$9),COUNTIF('1.연간시수표'!AD57,$AT$7)),$AT$6,IF(OR(COUNTIF('1.연간시수표'!AD57,$AU$9),COUNTIF('1.연간시수표'!AD57,$AU$7)),$AU$6,IF(OR(COUNTIF('1.연간시수표'!AD57,$AV$9),COUNTIF('1.연간시수표'!AD57,$AV$7)),$AV$6,IF(OR(COUNTIF('1.연간시수표'!AD57,$AW$9),COUNTIF('1.연간시수표'!AD57,$AW$7)),$AW$6,IF(OR(COUNTIF('1.연간시수표'!AD57,$AX$9),COUNTIF('1.연간시수표'!AD57,$AX$7)),$AX$6,IF(OR(COUNTIF('1.연간시수표'!AD57,$AY$9),COUNTIF('1.연간시수표'!AD57,$AY$7)),$AY$6,IF(OR(COUNTIF('1.연간시수표'!AD57,$AZ$9),COUNTIF('1.연간시수표'!AD57,$AZ$7)),$AZ$6,IF(OR(COUNTIF('1.연간시수표'!AD57,$BA$9),COUNTIF('1.연간시수표'!AD57,$BA$7)),$BA$6,IF(OR(COUNTIF('1.연간시수표'!AD57,$BB$9),COUNTIF('1.연간시수표'!AD57,$BB$7)),$BB$6,IF(OR(COUNTIF('1.연간시수표'!AD57,$BC$9),COUNTIF('1.연간시수표'!AD57,$BC$7)),$BC$6,IF(OR(COUNTIF('1.연간시수표'!AD57,$BF$9),COUNTIF('1.연간시수표'!AD57,$BF$7),COUNTIF('1.연간시수표'!AD57,$BG$9),COUNTIF('1.연간시수표'!AD57,$BG$7),COUNTIF('1.연간시수표'!AD57,$BH$9),COUNTIF('1.연간시수표'!AD57,$BH$7),COUNTIF('1.연간시수표'!AD57,$BI$9),COUNTIF('1.연간시수표'!AD57,$BI$7),COUNTIF('1.연간시수표'!AD57,$BJ$9),COUNTIF('1.연간시수표'!AD57,$BJ$7),COUNTIF('1.연간시수표'!AD57,$BK$9),COUNTIF('1.연간시수표'!AD57,$BK$7),COUNTIF('1.연간시수표'!AD57,$BL$9),COUNTIF('1.연간시수표'!AD57,$BL$7),COUNTIF('1.연간시수표'!AD57,$BM$9),COUNTIF('1.연간시수표'!AD57,$BM$7)),$BF$6,IF(OR(COUNTIF('1.연간시수표'!AD57,$BO$9),COUNTIF('1.연간시수표'!AD57,$BO$7)),$BO$6,IF(OR(COUNTIF('1.연간시수표'!AD57,$BP$9),COUNTIF('1.연간시수표'!AD57,$BP$7)),$BP$6,IF(OR(COUNTIF('1.연간시수표'!AD57,$BQ$9),COUNTIF('1.연간시수표'!AD57,$BQ$7)),$BQ$6,IF(OR(COUNTIF('1.연간시수표'!AD57,$BR$9),COUNTIF('1.연간시수표'!AD57,$BR$7)),$BR$6,"_")))))))))))))))</f>
        <v>자율활동</v>
      </c>
      <c r="AE57" s="148" t="str">
        <f>IF(OR(COUNTIF('1.연간시수표'!AE57,$AT$9),COUNTIF('1.연간시수표'!AE57,$AT$7)),$AT$6,IF(OR(COUNTIF('1.연간시수표'!AE57,$AU$9),COUNTIF('1.연간시수표'!AE57,$AU$7)),$AU$6,IF(OR(COUNTIF('1.연간시수표'!AE57,$AV$9),COUNTIF('1.연간시수표'!AE57,$AV$7)),$AV$6,IF(OR(COUNTIF('1.연간시수표'!AE57,$AW$9),COUNTIF('1.연간시수표'!AE57,$AW$7)),$AW$6,IF(OR(COUNTIF('1.연간시수표'!AE57,$AX$9),COUNTIF('1.연간시수표'!AE57,$AX$7)),$AX$6,IF(OR(COUNTIF('1.연간시수표'!AE57,$AY$9),COUNTIF('1.연간시수표'!AE57,$AY$7)),$AY$6,IF(OR(COUNTIF('1.연간시수표'!AE57,$AZ$9),COUNTIF('1.연간시수표'!AE57,$AZ$7)),$AZ$6,IF(OR(COUNTIF('1.연간시수표'!AE57,$BA$9),COUNTIF('1.연간시수표'!AE57,$BA$7)),$BA$6,IF(OR(COUNTIF('1.연간시수표'!AE57,$BB$9),COUNTIF('1.연간시수표'!AE57,$BB$7)),$BB$6,IF(OR(COUNTIF('1.연간시수표'!AE57,$BC$9),COUNTIF('1.연간시수표'!AE57,$BC$7)),$BC$6,IF(OR(COUNTIF('1.연간시수표'!AE57,$BF$9),COUNTIF('1.연간시수표'!AE57,$BF$7),COUNTIF('1.연간시수표'!AE57,$BG$9),COUNTIF('1.연간시수표'!AE57,$BG$7),COUNTIF('1.연간시수표'!AE57,$BH$9),COUNTIF('1.연간시수표'!AE57,$BH$7),COUNTIF('1.연간시수표'!AE57,$BI$9),COUNTIF('1.연간시수표'!AE57,$BI$7),COUNTIF('1.연간시수표'!AE57,$BJ$9),COUNTIF('1.연간시수표'!AE57,$BJ$7),COUNTIF('1.연간시수표'!AE57,$BK$9),COUNTIF('1.연간시수표'!AE57,$BK$7),COUNTIF('1.연간시수표'!AE57,$BL$9),COUNTIF('1.연간시수표'!AE57,$BL$7),COUNTIF('1.연간시수표'!AE57,$BM$9),COUNTIF('1.연간시수표'!AE57,$BM$7)),$BF$6,IF(OR(COUNTIF('1.연간시수표'!AE57,$BO$9),COUNTIF('1.연간시수표'!AE57,$BO$7)),$BO$6,IF(OR(COUNTIF('1.연간시수표'!AE57,$BP$9),COUNTIF('1.연간시수표'!AE57,$BP$7)),$BP$6,IF(OR(COUNTIF('1.연간시수표'!AE57,$BQ$9),COUNTIF('1.연간시수표'!AE57,$BQ$7)),$BQ$6,IF(OR(COUNTIF('1.연간시수표'!AE57,$BR$9),COUNTIF('1.연간시수표'!AE57,$BR$7)),$BR$6,"_")))))))))))))))</f>
        <v>사회</v>
      </c>
      <c r="AF57" s="148" t="str">
        <f>IF(OR(COUNTIF('1.연간시수표'!AF57,$AT$9),COUNTIF('1.연간시수표'!AF57,$AT$7)),$AT$6,IF(OR(COUNTIF('1.연간시수표'!AF57,$AU$9),COUNTIF('1.연간시수표'!AF57,$AU$7)),$AU$6,IF(OR(COUNTIF('1.연간시수표'!AF57,$AV$9),COUNTIF('1.연간시수표'!AF57,$AV$7)),$AV$6,IF(OR(COUNTIF('1.연간시수표'!AF57,$AW$9),COUNTIF('1.연간시수표'!AF57,$AW$7)),$AW$6,IF(OR(COUNTIF('1.연간시수표'!AF57,$AX$9),COUNTIF('1.연간시수표'!AF57,$AX$7)),$AX$6,IF(OR(COUNTIF('1.연간시수표'!AF57,$AY$9),COUNTIF('1.연간시수표'!AF57,$AY$7)),$AY$6,IF(OR(COUNTIF('1.연간시수표'!AF57,$AZ$9),COUNTIF('1.연간시수표'!AF57,$AZ$7)),$AZ$6,IF(OR(COUNTIF('1.연간시수표'!AF57,$BA$9),COUNTIF('1.연간시수표'!AF57,$BA$7)),$BA$6,IF(OR(COUNTIF('1.연간시수표'!AF57,$BB$9),COUNTIF('1.연간시수표'!AF57,$BB$7)),$BB$6,IF(OR(COUNTIF('1.연간시수표'!AF57,$BC$9),COUNTIF('1.연간시수표'!AF57,$BC$7)),$BC$6,IF(OR(COUNTIF('1.연간시수표'!AF57,$BF$9),COUNTIF('1.연간시수표'!AF57,$BF$7),COUNTIF('1.연간시수표'!AF57,$BG$9),COUNTIF('1.연간시수표'!AF57,$BG$7),COUNTIF('1.연간시수표'!AF57,$BH$9),COUNTIF('1.연간시수표'!AF57,$BH$7),COUNTIF('1.연간시수표'!AF57,$BI$9),COUNTIF('1.연간시수표'!AF57,$BI$7),COUNTIF('1.연간시수표'!AF57,$BJ$9),COUNTIF('1.연간시수표'!AF57,$BJ$7),COUNTIF('1.연간시수표'!AF57,$BK$9),COUNTIF('1.연간시수표'!AF57,$BK$7),COUNTIF('1.연간시수표'!AF57,$BL$9),COUNTIF('1.연간시수표'!AF57,$BL$7),COUNTIF('1.연간시수표'!AF57,$BM$9),COUNTIF('1.연간시수표'!AF57,$BM$7)),$BF$6,IF(OR(COUNTIF('1.연간시수표'!AF57,$BO$9),COUNTIF('1.연간시수표'!AF57,$BO$7)),$BO$6,IF(OR(COUNTIF('1.연간시수표'!AF57,$BP$9),COUNTIF('1.연간시수표'!AF57,$BP$7)),$BP$6,IF(OR(COUNTIF('1.연간시수표'!AF57,$BQ$9),COUNTIF('1.연간시수표'!AF57,$BQ$7)),$BQ$6,IF(OR(COUNTIF('1.연간시수표'!AF57,$BR$9),COUNTIF('1.연간시수표'!AF57,$BR$7)),$BR$6,"_")))))))))))))))</f>
        <v>영어</v>
      </c>
      <c r="AG57" s="148" t="str">
        <f>IF(OR(COUNTIF('1.연간시수표'!AG57,$AT$9),COUNTIF('1.연간시수표'!AG57,$AT$7)),$AT$6,IF(OR(COUNTIF('1.연간시수표'!AG57,$AU$9),COUNTIF('1.연간시수표'!AG57,$AU$7)),$AU$6,IF(OR(COUNTIF('1.연간시수표'!AG57,$AV$9),COUNTIF('1.연간시수표'!AG57,$AV$7)),$AV$6,IF(OR(COUNTIF('1.연간시수표'!AG57,$AW$9),COUNTIF('1.연간시수표'!AG57,$AW$7)),$AW$6,IF(OR(COUNTIF('1.연간시수표'!AG57,$AX$9),COUNTIF('1.연간시수표'!AG57,$AX$7)),$AX$6,IF(OR(COUNTIF('1.연간시수표'!AG57,$AY$9),COUNTIF('1.연간시수표'!AG57,$AY$7)),$AY$6,IF(OR(COUNTIF('1.연간시수표'!AG57,$AZ$9),COUNTIF('1.연간시수표'!AG57,$AZ$7)),$AZ$6,IF(OR(COUNTIF('1.연간시수표'!AG57,$BA$9),COUNTIF('1.연간시수표'!AG57,$BA$7)),$BA$6,IF(OR(COUNTIF('1.연간시수표'!AG57,$BB$9),COUNTIF('1.연간시수표'!AG57,$BB$7)),$BB$6,IF(OR(COUNTIF('1.연간시수표'!AG57,$BC$9),COUNTIF('1.연간시수표'!AG57,$BC$7)),$BC$6,IF(OR(COUNTIF('1.연간시수표'!AG57,$BF$9),COUNTIF('1.연간시수표'!AG57,$BF$7),COUNTIF('1.연간시수표'!AG57,$BG$9),COUNTIF('1.연간시수표'!AG57,$BG$7),COUNTIF('1.연간시수표'!AG57,$BH$9),COUNTIF('1.연간시수표'!AG57,$BH$7),COUNTIF('1.연간시수표'!AG57,$BI$9),COUNTIF('1.연간시수표'!AG57,$BI$7),COUNTIF('1.연간시수표'!AG57,$BJ$9),COUNTIF('1.연간시수표'!AG57,$BJ$7),COUNTIF('1.연간시수표'!AG57,$BK$9),COUNTIF('1.연간시수표'!AG57,$BK$7),COUNTIF('1.연간시수표'!AG57,$BL$9),COUNTIF('1.연간시수표'!AG57,$BL$7),COUNTIF('1.연간시수표'!AG57,$BM$9),COUNTIF('1.연간시수표'!AG57,$BM$7)),$BF$6,IF(OR(COUNTIF('1.연간시수표'!AG57,$BO$9),COUNTIF('1.연간시수표'!AG57,$BO$7)),$BO$6,IF(OR(COUNTIF('1.연간시수표'!AG57,$BP$9),COUNTIF('1.연간시수표'!AG57,$BP$7)),$BP$6,IF(OR(COUNTIF('1.연간시수표'!AG57,$BQ$9),COUNTIF('1.연간시수표'!AG57,$BQ$7)),$BQ$6,IF(OR(COUNTIF('1.연간시수표'!AG57,$BR$9),COUNTIF('1.연간시수표'!AG57,$BR$7)),$BR$6,"_")))))))))))))))</f>
        <v>과학</v>
      </c>
      <c r="AH57" s="148" t="str">
        <f>IF(OR(COUNTIF('1.연간시수표'!AH57,$AT$9),COUNTIF('1.연간시수표'!AH57,$AT$7)),$AT$6,IF(OR(COUNTIF('1.연간시수표'!AH57,$AU$9),COUNTIF('1.연간시수표'!AH57,$AU$7)),$AU$6,IF(OR(COUNTIF('1.연간시수표'!AH57,$AV$9),COUNTIF('1.연간시수표'!AH57,$AV$7)),$AV$6,IF(OR(COUNTIF('1.연간시수표'!AH57,$AW$9),COUNTIF('1.연간시수표'!AH57,$AW$7)),$AW$6,IF(OR(COUNTIF('1.연간시수표'!AH57,$AX$9),COUNTIF('1.연간시수표'!AH57,$AX$7)),$AX$6,IF(OR(COUNTIF('1.연간시수표'!AH57,$AY$9),COUNTIF('1.연간시수표'!AH57,$AY$7)),$AY$6,IF(OR(COUNTIF('1.연간시수표'!AH57,$AZ$9),COUNTIF('1.연간시수표'!AH57,$AZ$7)),$AZ$6,IF(OR(COUNTIF('1.연간시수표'!AH57,$BA$9),COUNTIF('1.연간시수표'!AH57,$BA$7)),$BA$6,IF(OR(COUNTIF('1.연간시수표'!AH57,$BB$9),COUNTIF('1.연간시수표'!AH57,$BB$7)),$BB$6,IF(OR(COUNTIF('1.연간시수표'!AH57,$BC$9),COUNTIF('1.연간시수표'!AH57,$BC$7)),$BC$6,IF(OR(COUNTIF('1.연간시수표'!AH57,$BF$9),COUNTIF('1.연간시수표'!AH57,$BF$7),COUNTIF('1.연간시수표'!AH57,$BG$9),COUNTIF('1.연간시수표'!AH57,$BG$7),COUNTIF('1.연간시수표'!AH57,$BH$9),COUNTIF('1.연간시수표'!AH57,$BH$7),COUNTIF('1.연간시수표'!AH57,$BI$9),COUNTIF('1.연간시수표'!AH57,$BI$7),COUNTIF('1.연간시수표'!AH57,$BJ$9),COUNTIF('1.연간시수표'!AH57,$BJ$7),COUNTIF('1.연간시수표'!AH57,$BK$9),COUNTIF('1.연간시수표'!AH57,$BK$7),COUNTIF('1.연간시수표'!AH57,$BL$9),COUNTIF('1.연간시수표'!AH57,$BL$7),COUNTIF('1.연간시수표'!AH57,$BM$9),COUNTIF('1.연간시수표'!AH57,$BM$7)),$BF$6,IF(OR(COUNTIF('1.연간시수표'!AH57,$BO$9),COUNTIF('1.연간시수표'!AH57,$BO$7)),$BO$6,IF(OR(COUNTIF('1.연간시수표'!AH57,$BP$9),COUNTIF('1.연간시수표'!AH57,$BP$7)),$BP$6,IF(OR(COUNTIF('1.연간시수표'!AH57,$BQ$9),COUNTIF('1.연간시수표'!AH57,$BQ$7)),$BQ$6,IF(OR(COUNTIF('1.연간시수표'!AH57,$BR$9),COUNTIF('1.연간시수표'!AH57,$BR$7)),$BR$6,"_")))))))))))))))</f>
        <v>음악</v>
      </c>
      <c r="AI57" s="148" t="str">
        <f>IF(OR(COUNTIF('1.연간시수표'!AI57,$AT$9),COUNTIF('1.연간시수표'!AI57,$AT$7)),$AT$6,IF(OR(COUNTIF('1.연간시수표'!AI57,$AU$9),COUNTIF('1.연간시수표'!AI57,$AU$7)),$AU$6,IF(OR(COUNTIF('1.연간시수표'!AI57,$AV$9),COUNTIF('1.연간시수표'!AI57,$AV$7)),$AV$6,IF(OR(COUNTIF('1.연간시수표'!AI57,$AW$9),COUNTIF('1.연간시수표'!AI57,$AW$7)),$AW$6,IF(OR(COUNTIF('1.연간시수표'!AI57,$AX$9),COUNTIF('1.연간시수표'!AI57,$AX$7)),$AX$6,IF(OR(COUNTIF('1.연간시수표'!AI57,$AY$9),COUNTIF('1.연간시수표'!AI57,$AY$7)),$AY$6,IF(OR(COUNTIF('1.연간시수표'!AI57,$AZ$9),COUNTIF('1.연간시수표'!AI57,$AZ$7)),$AZ$6,IF(OR(COUNTIF('1.연간시수표'!AI57,$BA$9),COUNTIF('1.연간시수표'!AI57,$BA$7)),$BA$6,IF(OR(COUNTIF('1.연간시수표'!AI57,$BB$9),COUNTIF('1.연간시수표'!AI57,$BB$7)),$BB$6,IF(OR(COUNTIF('1.연간시수표'!AI57,$BC$9),COUNTIF('1.연간시수표'!AI57,$BC$7)),$BC$6,IF(OR(COUNTIF('1.연간시수표'!AI57,$BF$9),COUNTIF('1.연간시수표'!AI57,$BF$7),COUNTIF('1.연간시수표'!AI57,$BG$9),COUNTIF('1.연간시수표'!AI57,$BG$7),COUNTIF('1.연간시수표'!AI57,$BH$9),COUNTIF('1.연간시수표'!AI57,$BH$7),COUNTIF('1.연간시수표'!AI57,$BI$9),COUNTIF('1.연간시수표'!AI57,$BI$7),COUNTIF('1.연간시수표'!AI57,$BJ$9),COUNTIF('1.연간시수표'!AI57,$BJ$7),COUNTIF('1.연간시수표'!AI57,$BK$9),COUNTIF('1.연간시수표'!AI57,$BK$7),COUNTIF('1.연간시수표'!AI57,$BL$9),COUNTIF('1.연간시수표'!AI57,$BL$7),COUNTIF('1.연간시수표'!AI57,$BM$9),COUNTIF('1.연간시수표'!AI57,$BM$7)),$BF$6,IF(OR(COUNTIF('1.연간시수표'!AI57,$BO$9),COUNTIF('1.연간시수표'!AI57,$BO$7)),$BO$6,IF(OR(COUNTIF('1.연간시수표'!AI57,$BP$9),COUNTIF('1.연간시수표'!AI57,$BP$7)),$BP$6,IF(OR(COUNTIF('1.연간시수표'!AI57,$BQ$9),COUNTIF('1.연간시수표'!AI57,$BQ$7)),$BQ$6,IF(OR(COUNTIF('1.연간시수표'!AI57,$BR$9),COUNTIF('1.연간시수표'!AI57,$BR$7)),$BR$6,"_")))))))))))))))</f>
        <v>_</v>
      </c>
      <c r="AJ57" s="148" t="str">
        <f>IF(OR(COUNTIF('1.연간시수표'!AJ57,$AT$9),COUNTIF('1.연간시수표'!AJ57,$AT$7)),$AT$6,IF(OR(COUNTIF('1.연간시수표'!AJ57,$AU$9),COUNTIF('1.연간시수표'!AJ57,$AU$7)),$AU$6,IF(OR(COUNTIF('1.연간시수표'!AJ57,$AV$9),COUNTIF('1.연간시수표'!AJ57,$AV$7)),$AV$6,IF(OR(COUNTIF('1.연간시수표'!AJ57,$AW$9),COUNTIF('1.연간시수표'!AJ57,$AW$7)),$AW$6,IF(OR(COUNTIF('1.연간시수표'!AJ57,$AX$9),COUNTIF('1.연간시수표'!AJ57,$AX$7)),$AX$6,IF(OR(COUNTIF('1.연간시수표'!AJ57,$AY$9),COUNTIF('1.연간시수표'!AJ57,$AY$7)),$AY$6,IF(OR(COUNTIF('1.연간시수표'!AJ57,$AZ$9),COUNTIF('1.연간시수표'!AJ57,$AZ$7)),$AZ$6,IF(OR(COUNTIF('1.연간시수표'!AJ57,$BA$9),COUNTIF('1.연간시수표'!AJ57,$BA$7)),$BA$6,IF(OR(COUNTIF('1.연간시수표'!AJ57,$BB$9),COUNTIF('1.연간시수표'!AJ57,$BB$7)),$BB$6,IF(OR(COUNTIF('1.연간시수표'!AJ57,$BC$9),COUNTIF('1.연간시수표'!AJ57,$BC$7)),$BC$6,IF(OR(COUNTIF('1.연간시수표'!AJ57,$BF$9),COUNTIF('1.연간시수표'!AJ57,$BF$7),COUNTIF('1.연간시수표'!AJ57,$BG$9),COUNTIF('1.연간시수표'!AJ57,$BG$7),COUNTIF('1.연간시수표'!AJ57,$BH$9),COUNTIF('1.연간시수표'!AJ57,$BH$7),COUNTIF('1.연간시수표'!AJ57,$BI$9),COUNTIF('1.연간시수표'!AJ57,$BI$7),COUNTIF('1.연간시수표'!AJ57,$BJ$9),COUNTIF('1.연간시수표'!AJ57,$BJ$7),COUNTIF('1.연간시수표'!AJ57,$BK$9),COUNTIF('1.연간시수표'!AJ57,$BK$7),COUNTIF('1.연간시수표'!AJ57,$BL$9),COUNTIF('1.연간시수표'!AJ57,$BL$7),COUNTIF('1.연간시수표'!AJ57,$BM$9),COUNTIF('1.연간시수표'!AJ57,$BM$7)),$BF$6,IF(OR(COUNTIF('1.연간시수표'!AJ57,$BO$9),COUNTIF('1.연간시수표'!AJ57,$BO$7)),$BO$6,IF(OR(COUNTIF('1.연간시수표'!AJ57,$BP$9),COUNTIF('1.연간시수표'!AJ57,$BP$7)),$BP$6,IF(OR(COUNTIF('1.연간시수표'!AJ57,$BQ$9),COUNTIF('1.연간시수표'!AJ57,$BQ$7)),$BQ$6,IF(OR(COUNTIF('1.연간시수표'!AJ57,$BR$9),COUNTIF('1.연간시수표'!AJ57,$BR$7)),$BR$6,"_")))))))))))))))</f>
        <v>_</v>
      </c>
      <c r="AK57" s="148" t="str">
        <f>IF(OR(COUNTIF('1.연간시수표'!AK57,$AT$9),COUNTIF('1.연간시수표'!AK57,$AT$7)),$AT$6,IF(OR(COUNTIF('1.연간시수표'!AK57,$AU$9),COUNTIF('1.연간시수표'!AK57,$AU$7)),$AU$6,IF(OR(COUNTIF('1.연간시수표'!AK57,$AV$9),COUNTIF('1.연간시수표'!AK57,$AV$7)),$AV$6,IF(OR(COUNTIF('1.연간시수표'!AK57,$AW$9),COUNTIF('1.연간시수표'!AK57,$AW$7)),$AW$6,IF(OR(COUNTIF('1.연간시수표'!AK57,$AX$9),COUNTIF('1.연간시수표'!AK57,$AX$7)),$AX$6,IF(OR(COUNTIF('1.연간시수표'!AK57,$AY$9),COUNTIF('1.연간시수표'!AK57,$AY$7)),$AY$6,IF(OR(COUNTIF('1.연간시수표'!AK57,$AZ$9),COUNTIF('1.연간시수표'!AK57,$AZ$7)),$AZ$6,IF(OR(COUNTIF('1.연간시수표'!AK57,$BA$9),COUNTIF('1.연간시수표'!AK57,$BA$7)),$BA$6,IF(OR(COUNTIF('1.연간시수표'!AK57,$BB$9),COUNTIF('1.연간시수표'!AK57,$BB$7)),$BB$6,IF(OR(COUNTIF('1.연간시수표'!AK57,$BC$9),COUNTIF('1.연간시수표'!AK57,$BC$7)),$BC$6,IF(OR(COUNTIF('1.연간시수표'!AK57,$BF$9),COUNTIF('1.연간시수표'!AK57,$BF$7),COUNTIF('1.연간시수표'!AK57,$BG$9),COUNTIF('1.연간시수표'!AK57,$BG$7),COUNTIF('1.연간시수표'!AK57,$BH$9),COUNTIF('1.연간시수표'!AK57,$BH$7),COUNTIF('1.연간시수표'!AK57,$BI$9),COUNTIF('1.연간시수표'!AK57,$BI$7),COUNTIF('1.연간시수표'!AK57,$BJ$9),COUNTIF('1.연간시수표'!AK57,$BJ$7),COUNTIF('1.연간시수표'!AK57,$BK$9),COUNTIF('1.연간시수표'!AK57,$BK$7),COUNTIF('1.연간시수표'!AK57,$BL$9),COUNTIF('1.연간시수표'!AK57,$BL$7),COUNTIF('1.연간시수표'!AK57,$BM$9),COUNTIF('1.연간시수표'!AK57,$BM$7)),$BF$6,IF(OR(COUNTIF('1.연간시수표'!AK57,$BO$9),COUNTIF('1.연간시수표'!AK57,$BO$7)),$BO$6,IF(OR(COUNTIF('1.연간시수표'!AK57,$BP$9),COUNTIF('1.연간시수표'!AK57,$BP$7)),$BP$6,IF(OR(COUNTIF('1.연간시수표'!AK57,$BQ$9),COUNTIF('1.연간시수표'!AK57,$BQ$7)),$BQ$6,IF(OR(COUNTIF('1.연간시수표'!AK57,$BR$9),COUNTIF('1.연간시수표'!AK57,$BR$7)),$BR$6,"_")))))))))))))))</f>
        <v>국어</v>
      </c>
      <c r="AL57" s="148" t="str">
        <f>IF(OR(COUNTIF('1.연간시수표'!AL57,$AT$9),COUNTIF('1.연간시수표'!AL57,$AT$7)),$AT$6,IF(OR(COUNTIF('1.연간시수표'!AL57,$AU$9),COUNTIF('1.연간시수표'!AL57,$AU$7)),$AU$6,IF(OR(COUNTIF('1.연간시수표'!AL57,$AV$9),COUNTIF('1.연간시수표'!AL57,$AV$7)),$AV$6,IF(OR(COUNTIF('1.연간시수표'!AL57,$AW$9),COUNTIF('1.연간시수표'!AL57,$AW$7)),$AW$6,IF(OR(COUNTIF('1.연간시수표'!AL57,$AX$9),COUNTIF('1.연간시수표'!AL57,$AX$7)),$AX$6,IF(OR(COUNTIF('1.연간시수표'!AL57,$AY$9),COUNTIF('1.연간시수표'!AL57,$AY$7)),$AY$6,IF(OR(COUNTIF('1.연간시수표'!AL57,$AZ$9),COUNTIF('1.연간시수표'!AL57,$AZ$7)),$AZ$6,IF(OR(COUNTIF('1.연간시수표'!AL57,$BA$9),COUNTIF('1.연간시수표'!AL57,$BA$7)),$BA$6,IF(OR(COUNTIF('1.연간시수표'!AL57,$BB$9),COUNTIF('1.연간시수표'!AL57,$BB$7)),$BB$6,IF(OR(COUNTIF('1.연간시수표'!AL57,$BC$9),COUNTIF('1.연간시수표'!AL57,$BC$7)),$BC$6,IF(OR(COUNTIF('1.연간시수표'!AL57,$BF$9),COUNTIF('1.연간시수표'!AL57,$BF$7),COUNTIF('1.연간시수표'!AL57,$BG$9),COUNTIF('1.연간시수표'!AL57,$BG$7),COUNTIF('1.연간시수표'!AL57,$BH$9),COUNTIF('1.연간시수표'!AL57,$BH$7),COUNTIF('1.연간시수표'!AL57,$BI$9),COUNTIF('1.연간시수표'!AL57,$BI$7),COUNTIF('1.연간시수표'!AL57,$BJ$9),COUNTIF('1.연간시수표'!AL57,$BJ$7),COUNTIF('1.연간시수표'!AL57,$BK$9),COUNTIF('1.연간시수표'!AL57,$BK$7),COUNTIF('1.연간시수표'!AL57,$BL$9),COUNTIF('1.연간시수표'!AL57,$BL$7),COUNTIF('1.연간시수표'!AL57,$BM$9),COUNTIF('1.연간시수표'!AL57,$BM$7)),$BF$6,IF(OR(COUNTIF('1.연간시수표'!AL57,$BO$9),COUNTIF('1.연간시수표'!AL57,$BO$7)),$BO$6,IF(OR(COUNTIF('1.연간시수표'!AL57,$BP$9),COUNTIF('1.연간시수표'!AL57,$BP$7)),$BP$6,IF(OR(COUNTIF('1.연간시수표'!AL57,$BQ$9),COUNTIF('1.연간시수표'!AL57,$BQ$7)),$BQ$6,IF(OR(COUNTIF('1.연간시수표'!AL57,$BR$9),COUNTIF('1.연간시수표'!AL57,$BR$7)),$BR$6,"_")))))))))))))))</f>
        <v>체육</v>
      </c>
      <c r="AM57" s="148" t="str">
        <f>IF(OR(COUNTIF('1.연간시수표'!AM57,$AT$9),COUNTIF('1.연간시수표'!AM57,$AT$7)),$AT$6,IF(OR(COUNTIF('1.연간시수표'!AM57,$AU$9),COUNTIF('1.연간시수표'!AM57,$AU$7)),$AU$6,IF(OR(COUNTIF('1.연간시수표'!AM57,$AV$9),COUNTIF('1.연간시수표'!AM57,$AV$7)),$AV$6,IF(OR(COUNTIF('1.연간시수표'!AM57,$AW$9),COUNTIF('1.연간시수표'!AM57,$AW$7)),$AW$6,IF(OR(COUNTIF('1.연간시수표'!AM57,$AX$9),COUNTIF('1.연간시수표'!AM57,$AX$7)),$AX$6,IF(OR(COUNTIF('1.연간시수표'!AM57,$AY$9),COUNTIF('1.연간시수표'!AM57,$AY$7)),$AY$6,IF(OR(COUNTIF('1.연간시수표'!AM57,$AZ$9),COUNTIF('1.연간시수표'!AM57,$AZ$7)),$AZ$6,IF(OR(COUNTIF('1.연간시수표'!AM57,$BA$9),COUNTIF('1.연간시수표'!AM57,$BA$7)),$BA$6,IF(OR(COUNTIF('1.연간시수표'!AM57,$BB$9),COUNTIF('1.연간시수표'!AM57,$BB$7)),$BB$6,IF(OR(COUNTIF('1.연간시수표'!AM57,$BC$9),COUNTIF('1.연간시수표'!AM57,$BC$7)),$BC$6,IF(OR(COUNTIF('1.연간시수표'!AM57,$BF$9),COUNTIF('1.연간시수표'!AM57,$BF$7),COUNTIF('1.연간시수표'!AM57,$BG$9),COUNTIF('1.연간시수표'!AM57,$BG$7),COUNTIF('1.연간시수표'!AM57,$BH$9),COUNTIF('1.연간시수표'!AM57,$BH$7),COUNTIF('1.연간시수표'!AM57,$BI$9),COUNTIF('1.연간시수표'!AM57,$BI$7),COUNTIF('1.연간시수표'!AM57,$BJ$9),COUNTIF('1.연간시수표'!AM57,$BJ$7),COUNTIF('1.연간시수표'!AM57,$BK$9),COUNTIF('1.연간시수표'!AM57,$BK$7),COUNTIF('1.연간시수표'!AM57,$BL$9),COUNTIF('1.연간시수표'!AM57,$BL$7),COUNTIF('1.연간시수표'!AM57,$BM$9),COUNTIF('1.연간시수표'!AM57,$BM$7)),$BF$6,IF(OR(COUNTIF('1.연간시수표'!AM57,$BO$9),COUNTIF('1.연간시수표'!AM57,$BO$7)),$BO$6,IF(OR(COUNTIF('1.연간시수표'!AM57,$BP$9),COUNTIF('1.연간시수표'!AM57,$BP$7)),$BP$6,IF(OR(COUNTIF('1.연간시수표'!AM57,$BQ$9),COUNTIF('1.연간시수표'!AM57,$BQ$7)),$BQ$6,IF(OR(COUNTIF('1.연간시수표'!AM57,$BR$9),COUNTIF('1.연간시수표'!AM57,$BR$7)),$BR$6,"_")))))))))))))))</f>
        <v>수학</v>
      </c>
      <c r="AN57" s="148" t="str">
        <f>IF(OR(COUNTIF('1.연간시수표'!AN57,$AT$9),COUNTIF('1.연간시수표'!AN57,$AT$7)),$AT$6,IF(OR(COUNTIF('1.연간시수표'!AN57,$AU$9),COUNTIF('1.연간시수표'!AN57,$AU$7)),$AU$6,IF(OR(COUNTIF('1.연간시수표'!AN57,$AV$9),COUNTIF('1.연간시수표'!AN57,$AV$7)),$AV$6,IF(OR(COUNTIF('1.연간시수표'!AN57,$AW$9),COUNTIF('1.연간시수표'!AN57,$AW$7)),$AW$6,IF(OR(COUNTIF('1.연간시수표'!AN57,$AX$9),COUNTIF('1.연간시수표'!AN57,$AX$7)),$AX$6,IF(OR(COUNTIF('1.연간시수표'!AN57,$AY$9),COUNTIF('1.연간시수표'!AN57,$AY$7)),$AY$6,IF(OR(COUNTIF('1.연간시수표'!AN57,$AZ$9),COUNTIF('1.연간시수표'!AN57,$AZ$7)),$AZ$6,IF(OR(COUNTIF('1.연간시수표'!AN57,$BA$9),COUNTIF('1.연간시수표'!AN57,$BA$7)),$BA$6,IF(OR(COUNTIF('1.연간시수표'!AN57,$BB$9),COUNTIF('1.연간시수표'!AN57,$BB$7)),$BB$6,IF(OR(COUNTIF('1.연간시수표'!AN57,$BC$9),COUNTIF('1.연간시수표'!AN57,$BC$7)),$BC$6,IF(OR(COUNTIF('1.연간시수표'!AN57,$BF$9),COUNTIF('1.연간시수표'!AN57,$BF$7),COUNTIF('1.연간시수표'!AN57,$BG$9),COUNTIF('1.연간시수표'!AN57,$BG$7),COUNTIF('1.연간시수표'!AN57,$BH$9),COUNTIF('1.연간시수표'!AN57,$BH$7),COUNTIF('1.연간시수표'!AN57,$BI$9),COUNTIF('1.연간시수표'!AN57,$BI$7),COUNTIF('1.연간시수표'!AN57,$BJ$9),COUNTIF('1.연간시수표'!AN57,$BJ$7),COUNTIF('1.연간시수표'!AN57,$BK$9),COUNTIF('1.연간시수표'!AN57,$BK$7),COUNTIF('1.연간시수표'!AN57,$BL$9),COUNTIF('1.연간시수표'!AN57,$BL$7),COUNTIF('1.연간시수표'!AN57,$BM$9),COUNTIF('1.연간시수표'!AN57,$BM$7)),$BF$6,IF(OR(COUNTIF('1.연간시수표'!AN57,$BO$9),COUNTIF('1.연간시수표'!AN57,$BO$7)),$BO$6,IF(OR(COUNTIF('1.연간시수표'!AN57,$BP$9),COUNTIF('1.연간시수표'!AN57,$BP$7)),$BP$6,IF(OR(COUNTIF('1.연간시수표'!AN57,$BQ$9),COUNTIF('1.연간시수표'!AN57,$BQ$7)),$BQ$6,IF(OR(COUNTIF('1.연간시수표'!AN57,$BR$9),COUNTIF('1.연간시수표'!AN57,$BR$7)),$BR$6,"_")))))))))))))))</f>
        <v>국어</v>
      </c>
      <c r="AO57" s="148" t="str">
        <f>IF(OR(COUNTIF('1.연간시수표'!AO57,$AT$9),COUNTIF('1.연간시수표'!AO57,$AT$7)),$AT$6,IF(OR(COUNTIF('1.연간시수표'!AO57,$AU$9),COUNTIF('1.연간시수표'!AO57,$AU$7)),$AU$6,IF(OR(COUNTIF('1.연간시수표'!AO57,$AV$9),COUNTIF('1.연간시수표'!AO57,$AV$7)),$AV$6,IF(OR(COUNTIF('1.연간시수표'!AO57,$AW$9),COUNTIF('1.연간시수표'!AO57,$AW$7)),$AW$6,IF(OR(COUNTIF('1.연간시수표'!AO57,$AX$9),COUNTIF('1.연간시수표'!AO57,$AX$7)),$AX$6,IF(OR(COUNTIF('1.연간시수표'!AO57,$AY$9),COUNTIF('1.연간시수표'!AO57,$AY$7)),$AY$6,IF(OR(COUNTIF('1.연간시수표'!AO57,$AZ$9),COUNTIF('1.연간시수표'!AO57,$AZ$7)),$AZ$6,IF(OR(COUNTIF('1.연간시수표'!AO57,$BA$9),COUNTIF('1.연간시수표'!AO57,$BA$7)),$BA$6,IF(OR(COUNTIF('1.연간시수표'!AO57,$BB$9),COUNTIF('1.연간시수표'!AO57,$BB$7)),$BB$6,IF(OR(COUNTIF('1.연간시수표'!AO57,$BC$9),COUNTIF('1.연간시수표'!AO57,$BC$7)),$BC$6,IF(OR(COUNTIF('1.연간시수표'!AO57,$BF$9),COUNTIF('1.연간시수표'!AO57,$BF$7),COUNTIF('1.연간시수표'!AO57,$BG$9),COUNTIF('1.연간시수표'!AO57,$BG$7),COUNTIF('1.연간시수표'!AO57,$BH$9),COUNTIF('1.연간시수표'!AO57,$BH$7),COUNTIF('1.연간시수표'!AO57,$BI$9),COUNTIF('1.연간시수표'!AO57,$BI$7),COUNTIF('1.연간시수표'!AO57,$BJ$9),COUNTIF('1.연간시수표'!AO57,$BJ$7),COUNTIF('1.연간시수표'!AO57,$BK$9),COUNTIF('1.연간시수표'!AO57,$BK$7),COUNTIF('1.연간시수표'!AO57,$BL$9),COUNTIF('1.연간시수표'!AO57,$BL$7),COUNTIF('1.연간시수표'!AO57,$BM$9),COUNTIF('1.연간시수표'!AO57,$BM$7)),$BF$6,IF(OR(COUNTIF('1.연간시수표'!AO57,$BO$9),COUNTIF('1.연간시수표'!AO57,$BO$7)),$BO$6,IF(OR(COUNTIF('1.연간시수표'!AO57,$BP$9),COUNTIF('1.연간시수표'!AO57,$BP$7)),$BP$6,IF(OR(COUNTIF('1.연간시수표'!AO57,$BQ$9),COUNTIF('1.연간시수표'!AO57,$BQ$7)),$BQ$6,IF(OR(COUNTIF('1.연간시수표'!AO57,$BR$9),COUNTIF('1.연간시수표'!AO57,$BR$7)),$BR$6,"_")))))))))))))))</f>
        <v>사회</v>
      </c>
      <c r="AP57" s="148" t="str">
        <f>IF(OR(COUNTIF('1.연간시수표'!AP57,$AT$9),COUNTIF('1.연간시수표'!AP57,$AT$7)),$AT$6,IF(OR(COUNTIF('1.연간시수표'!AP57,$AU$9),COUNTIF('1.연간시수표'!AP57,$AU$7)),$AU$6,IF(OR(COUNTIF('1.연간시수표'!AP57,$AV$9),COUNTIF('1.연간시수표'!AP57,$AV$7)),$AV$6,IF(OR(COUNTIF('1.연간시수표'!AP57,$AW$9),COUNTIF('1.연간시수표'!AP57,$AW$7)),$AW$6,IF(OR(COUNTIF('1.연간시수표'!AP57,$AX$9),COUNTIF('1.연간시수표'!AP57,$AX$7)),$AX$6,IF(OR(COUNTIF('1.연간시수표'!AP57,$AY$9),COUNTIF('1.연간시수표'!AP57,$AY$7)),$AY$6,IF(OR(COUNTIF('1.연간시수표'!AP57,$AZ$9),COUNTIF('1.연간시수표'!AP57,$AZ$7)),$AZ$6,IF(OR(COUNTIF('1.연간시수표'!AP57,$BA$9),COUNTIF('1.연간시수표'!AP57,$BA$7)),$BA$6,IF(OR(COUNTIF('1.연간시수표'!AP57,$BB$9),COUNTIF('1.연간시수표'!AP57,$BB$7)),$BB$6,IF(OR(COUNTIF('1.연간시수표'!AP57,$BC$9),COUNTIF('1.연간시수표'!AP57,$BC$7)),$BC$6,IF(OR(COUNTIF('1.연간시수표'!AP57,$BF$9),COUNTIF('1.연간시수표'!AP57,$BF$7),COUNTIF('1.연간시수표'!AP57,$BG$9),COUNTIF('1.연간시수표'!AP57,$BG$7),COUNTIF('1.연간시수표'!AP57,$BH$9),COUNTIF('1.연간시수표'!AP57,$BH$7),COUNTIF('1.연간시수표'!AP57,$BI$9),COUNTIF('1.연간시수표'!AP57,$BI$7),COUNTIF('1.연간시수표'!AP57,$BJ$9),COUNTIF('1.연간시수표'!AP57,$BJ$7),COUNTIF('1.연간시수표'!AP57,$BK$9),COUNTIF('1.연간시수표'!AP57,$BK$7),COUNTIF('1.연간시수표'!AP57,$BL$9),COUNTIF('1.연간시수표'!AP57,$BL$7),COUNTIF('1.연간시수표'!AP57,$BM$9),COUNTIF('1.연간시수표'!AP57,$BM$7)),$BF$6,IF(OR(COUNTIF('1.연간시수표'!AP57,$BO$9),COUNTIF('1.연간시수표'!AP57,$BO$7)),$BO$6,IF(OR(COUNTIF('1.연간시수표'!AP57,$BP$9),COUNTIF('1.연간시수표'!AP57,$BP$7)),$BP$6,IF(OR(COUNTIF('1.연간시수표'!AP57,$BQ$9),COUNTIF('1.연간시수표'!AP57,$BQ$7)),$BQ$6,IF(OR(COUNTIF('1.연간시수표'!AP57,$BR$9),COUNTIF('1.연간시수표'!AP57,$BR$7)),$BR$6,"_")))))))))))))))</f>
        <v>실과</v>
      </c>
      <c r="AQ57" s="148" t="str">
        <f>IF(OR(COUNTIF('1.연간시수표'!AQ57,$AT$9),COUNTIF('1.연간시수표'!AQ57,$AT$7)),$AT$6,IF(OR(COUNTIF('1.연간시수표'!AQ57,$AU$9),COUNTIF('1.연간시수표'!AQ57,$AU$7)),$AU$6,IF(OR(COUNTIF('1.연간시수표'!AQ57,$AV$9),COUNTIF('1.연간시수표'!AQ57,$AV$7)),$AV$6,IF(OR(COUNTIF('1.연간시수표'!AQ57,$AW$9),COUNTIF('1.연간시수표'!AQ57,$AW$7)),$AW$6,IF(OR(COUNTIF('1.연간시수표'!AQ57,$AX$9),COUNTIF('1.연간시수표'!AQ57,$AX$7)),$AX$6,IF(OR(COUNTIF('1.연간시수표'!AQ57,$AY$9),COUNTIF('1.연간시수표'!AQ57,$AY$7)),$AY$6,IF(OR(COUNTIF('1.연간시수표'!AQ57,$AZ$9),COUNTIF('1.연간시수표'!AQ57,$AZ$7)),$AZ$6,IF(OR(COUNTIF('1.연간시수표'!AQ57,$BA$9),COUNTIF('1.연간시수표'!AQ57,$BA$7)),$BA$6,IF(OR(COUNTIF('1.연간시수표'!AQ57,$BB$9),COUNTIF('1.연간시수표'!AQ57,$BB$7)),$BB$6,IF(OR(COUNTIF('1.연간시수표'!AQ57,$BC$9),COUNTIF('1.연간시수표'!AQ57,$BC$7)),$BC$6,IF(OR(COUNTIF('1.연간시수표'!AQ57,$BF$9),COUNTIF('1.연간시수표'!AQ57,$BF$7),COUNTIF('1.연간시수표'!AQ57,$BG$9),COUNTIF('1.연간시수표'!AQ57,$BG$7),COUNTIF('1.연간시수표'!AQ57,$BH$9),COUNTIF('1.연간시수표'!AQ57,$BH$7),COUNTIF('1.연간시수표'!AQ57,$BI$9),COUNTIF('1.연간시수표'!AQ57,$BI$7),COUNTIF('1.연간시수표'!AQ57,$BJ$9),COUNTIF('1.연간시수표'!AQ57,$BJ$7),COUNTIF('1.연간시수표'!AQ57,$BK$9),COUNTIF('1.연간시수표'!AQ57,$BK$7),COUNTIF('1.연간시수표'!AQ57,$BL$9),COUNTIF('1.연간시수표'!AQ57,$BL$7),COUNTIF('1.연간시수표'!AQ57,$BM$9),COUNTIF('1.연간시수표'!AQ57,$BM$7)),$BF$6,IF(OR(COUNTIF('1.연간시수표'!AQ57,$BO$9),COUNTIF('1.연간시수표'!AQ57,$BO$7)),$BO$6,IF(OR(COUNTIF('1.연간시수표'!AQ57,$BP$9),COUNTIF('1.연간시수표'!AQ57,$BP$7)),$BP$6,IF(OR(COUNTIF('1.연간시수표'!AQ57,$BQ$9),COUNTIF('1.연간시수표'!AQ57,$BQ$7)),$BQ$6,IF(OR(COUNTIF('1.연간시수표'!AQ57,$BR$9),COUNTIF('1.연간시수표'!AQ57,$BR$7)),$BR$6,"_")))))))))))))))</f>
        <v>_</v>
      </c>
      <c r="AR57" s="148" t="str">
        <f>IF(OR(COUNTIF('1.연간시수표'!AR57,$AT$9),COUNTIF('1.연간시수표'!AR57,$AT$7)),$AT$6,IF(OR(COUNTIF('1.연간시수표'!AR57,$AU$9),COUNTIF('1.연간시수표'!AR57,$AU$7)),$AU$6,IF(OR(COUNTIF('1.연간시수표'!AR57,$AV$9),COUNTIF('1.연간시수표'!AR57,$AV$7)),$AV$6,IF(OR(COUNTIF('1.연간시수표'!AR57,$AW$9),COUNTIF('1.연간시수표'!AR57,$AW$7)),$AW$6,IF(OR(COUNTIF('1.연간시수표'!AR57,$AX$9),COUNTIF('1.연간시수표'!AR57,$AX$7)),$AX$6,IF(OR(COUNTIF('1.연간시수표'!AR57,$AY$9),COUNTIF('1.연간시수표'!AR57,$AY$7)),$AY$6,IF(OR(COUNTIF('1.연간시수표'!AR57,$AZ$9),COUNTIF('1.연간시수표'!AR57,$AZ$7)),$AZ$6,IF(OR(COUNTIF('1.연간시수표'!AR57,$BA$9),COUNTIF('1.연간시수표'!AR57,$BA$7)),$BA$6,IF(OR(COUNTIF('1.연간시수표'!AR57,$BB$9),COUNTIF('1.연간시수표'!AR57,$BB$7)),$BB$6,IF(OR(COUNTIF('1.연간시수표'!AR57,$BC$9),COUNTIF('1.연간시수표'!AR57,$BC$7)),$BC$6,IF(OR(COUNTIF('1.연간시수표'!AR57,$BF$9),COUNTIF('1.연간시수표'!AR57,$BF$7),COUNTIF('1.연간시수표'!AR57,$BG$9),COUNTIF('1.연간시수표'!AR57,$BG$7),COUNTIF('1.연간시수표'!AR57,$BH$9),COUNTIF('1.연간시수표'!AR57,$BH$7),COUNTIF('1.연간시수표'!AR57,$BI$9),COUNTIF('1.연간시수표'!AR57,$BI$7),COUNTIF('1.연간시수표'!AR57,$BJ$9),COUNTIF('1.연간시수표'!AR57,$BJ$7),COUNTIF('1.연간시수표'!AR57,$BK$9),COUNTIF('1.연간시수표'!AR57,$BK$7),COUNTIF('1.연간시수표'!AR57,$BL$9),COUNTIF('1.연간시수표'!AR57,$BL$7),COUNTIF('1.연간시수표'!AR57,$BM$9),COUNTIF('1.연간시수표'!AR57,$BM$7)),$BF$6,IF(OR(COUNTIF('1.연간시수표'!AR57,$BO$9),COUNTIF('1.연간시수표'!AR57,$BO$7)),$BO$6,IF(OR(COUNTIF('1.연간시수표'!AR57,$BP$9),COUNTIF('1.연간시수표'!AR57,$BP$7)),$BP$6,IF(OR(COUNTIF('1.연간시수표'!AR57,$BQ$9),COUNTIF('1.연간시수표'!AR57,$BQ$7)),$BQ$6,IF(OR(COUNTIF('1.연간시수표'!AR57,$BR$9),COUNTIF('1.연간시수표'!AR57,$BR$7)),$BR$6,"_")))))))))))))))</f>
        <v>_</v>
      </c>
      <c r="BU57" s="32"/>
    </row>
    <row r="58" spans="2:73">
      <c r="B58" s="6"/>
      <c r="C58" s="79">
        <f>'1.연간시수표'!C58</f>
        <v>27</v>
      </c>
      <c r="D58" s="3"/>
      <c r="E58" s="148" t="str">
        <f>IF(OR(COUNTIF('1.연간시수표'!E58,$AT$9),COUNTIF('1.연간시수표'!E58,$AT$7)),$AT$6,IF(OR(COUNTIF('1.연간시수표'!E58,$AU$9),COUNTIF('1.연간시수표'!E58,$AU$7)),$AU$6,IF(OR(COUNTIF('1.연간시수표'!E58,$AV$9),COUNTIF('1.연간시수표'!E58,$AV$7)),$AV$6,IF(OR(COUNTIF('1.연간시수표'!E58,$AW$9),COUNTIF('1.연간시수표'!E58,$AW$7)),$AW$6,IF(OR(COUNTIF('1.연간시수표'!E58,$AX$9),COUNTIF('1.연간시수표'!E58,$AX$7)),$AX$6,IF(OR(COUNTIF('1.연간시수표'!E58,$AY$9),COUNTIF('1.연간시수표'!E58,$AY$7)),$AY$6,IF(OR(COUNTIF('1.연간시수표'!E58,$AZ$9),COUNTIF('1.연간시수표'!E58,$AZ$7)),$AZ$6,IF(OR(COUNTIF('1.연간시수표'!E58,$BA$9),COUNTIF('1.연간시수표'!E58,$BA$7)),$BA$6,IF(OR(COUNTIF('1.연간시수표'!E58,$BB$9),COUNTIF('1.연간시수표'!E58,$BB$7)),$BB$6,IF(OR(COUNTIF('1.연간시수표'!E58,$BC$9),COUNTIF('1.연간시수표'!E58,$BC$7)),$BC$6,IF(OR(COUNTIF('1.연간시수표'!E58,$BF$9),COUNTIF('1.연간시수표'!E58,$BF$7),COUNTIF('1.연간시수표'!E58,$BG$9),COUNTIF('1.연간시수표'!E58,$BG$7),COUNTIF('1.연간시수표'!E58,$BH$9),COUNTIF('1.연간시수표'!E58,$BH$7),COUNTIF('1.연간시수표'!E58,$BI$9),COUNTIF('1.연간시수표'!E58,$BI$7),COUNTIF('1.연간시수표'!E58,$BJ$9),COUNTIF('1.연간시수표'!E58,$BJ$7),COUNTIF('1.연간시수표'!E58,$BK$9),COUNTIF('1.연간시수표'!E58,$BK$7),COUNTIF('1.연간시수표'!E58,$BL$9),COUNTIF('1.연간시수표'!E58,$BL$7),COUNTIF('1.연간시수표'!E58,$BM$9),COUNTIF('1.연간시수표'!E58,$BM$7)),$BF$6,IF(OR(COUNTIF('1.연간시수표'!E58,$BO$9),COUNTIF('1.연간시수표'!E58,$BO$7)),$BO$6,IF(OR(COUNTIF('1.연간시수표'!E58,$BP$9),COUNTIF('1.연간시수표'!E58,$BP$7)),$BP$6,IF(OR(COUNTIF('1.연간시수표'!E58,$BQ$9),COUNTIF('1.연간시수표'!E58,$BQ$7)),$BQ$6,IF(OR(COUNTIF('1.연간시수표'!E58,$BR$9),COUNTIF('1.연간시수표'!E58,$BR$7)),$BR$6,"_")))))))))))))))</f>
        <v>_</v>
      </c>
      <c r="F58" s="148" t="str">
        <f>IF(OR(COUNTIF('1.연간시수표'!F58,$AT$9),COUNTIF('1.연간시수표'!F58,$AT$7)),$AT$6,IF(OR(COUNTIF('1.연간시수표'!F58,$AU$9),COUNTIF('1.연간시수표'!F58,$AU$7)),$AU$6,IF(OR(COUNTIF('1.연간시수표'!F58,$AV$9),COUNTIF('1.연간시수표'!F58,$AV$7)),$AV$6,IF(OR(COUNTIF('1.연간시수표'!F58,$AW$9),COUNTIF('1.연간시수표'!F58,$AW$7)),$AW$6,IF(OR(COUNTIF('1.연간시수표'!F58,$AX$9),COUNTIF('1.연간시수표'!F58,$AX$7)),$AX$6,IF(OR(COUNTIF('1.연간시수표'!F58,$AY$9),COUNTIF('1.연간시수표'!F58,$AY$7)),$AY$6,IF(OR(COUNTIF('1.연간시수표'!F58,$AZ$9),COUNTIF('1.연간시수표'!F58,$AZ$7)),$AZ$6,IF(OR(COUNTIF('1.연간시수표'!F58,$BA$9),COUNTIF('1.연간시수표'!F58,$BA$7)),$BA$6,IF(OR(COUNTIF('1.연간시수표'!F58,$BB$9),COUNTIF('1.연간시수표'!F58,$BB$7)),$BB$6,IF(OR(COUNTIF('1.연간시수표'!F58,$BC$9),COUNTIF('1.연간시수표'!F58,$BC$7)),$BC$6,IF(OR(COUNTIF('1.연간시수표'!F58,$BF$9),COUNTIF('1.연간시수표'!F58,$BF$7),COUNTIF('1.연간시수표'!F58,$BG$9),COUNTIF('1.연간시수표'!F58,$BG$7),COUNTIF('1.연간시수표'!F58,$BH$9),COUNTIF('1.연간시수표'!F58,$BH$7),COUNTIF('1.연간시수표'!F58,$BI$9),COUNTIF('1.연간시수표'!F58,$BI$7),COUNTIF('1.연간시수표'!F58,$BJ$9),COUNTIF('1.연간시수표'!F58,$BJ$7),COUNTIF('1.연간시수표'!F58,$BK$9),COUNTIF('1.연간시수표'!F58,$BK$7),COUNTIF('1.연간시수표'!F58,$BL$9),COUNTIF('1.연간시수표'!F58,$BL$7),COUNTIF('1.연간시수표'!F58,$BM$9),COUNTIF('1.연간시수표'!F58,$BM$7)),$BF$6,IF(OR(COUNTIF('1.연간시수표'!F58,$BO$9),COUNTIF('1.연간시수표'!F58,$BO$7)),$BO$6,IF(OR(COUNTIF('1.연간시수표'!F58,$BP$9),COUNTIF('1.연간시수표'!F58,$BP$7)),$BP$6,IF(OR(COUNTIF('1.연간시수표'!F58,$BQ$9),COUNTIF('1.연간시수표'!F58,$BQ$7)),$BQ$6,IF(OR(COUNTIF('1.연간시수표'!F58,$BR$9),COUNTIF('1.연간시수표'!F58,$BR$7)),$BR$6,"_")))))))))))))))</f>
        <v>_</v>
      </c>
      <c r="G58" s="148" t="str">
        <f>IF(OR(COUNTIF('1.연간시수표'!G58,$AT$9),COUNTIF('1.연간시수표'!G58,$AT$7)),$AT$6,IF(OR(COUNTIF('1.연간시수표'!G58,$AU$9),COUNTIF('1.연간시수표'!G58,$AU$7)),$AU$6,IF(OR(COUNTIF('1.연간시수표'!G58,$AV$9),COUNTIF('1.연간시수표'!G58,$AV$7)),$AV$6,IF(OR(COUNTIF('1.연간시수표'!G58,$AW$9),COUNTIF('1.연간시수표'!G58,$AW$7)),$AW$6,IF(OR(COUNTIF('1.연간시수표'!G58,$AX$9),COUNTIF('1.연간시수표'!G58,$AX$7)),$AX$6,IF(OR(COUNTIF('1.연간시수표'!G58,$AY$9),COUNTIF('1.연간시수표'!G58,$AY$7)),$AY$6,IF(OR(COUNTIF('1.연간시수표'!G58,$AZ$9),COUNTIF('1.연간시수표'!G58,$AZ$7)),$AZ$6,IF(OR(COUNTIF('1.연간시수표'!G58,$BA$9),COUNTIF('1.연간시수표'!G58,$BA$7)),$BA$6,IF(OR(COUNTIF('1.연간시수표'!G58,$BB$9),COUNTIF('1.연간시수표'!G58,$BB$7)),$BB$6,IF(OR(COUNTIF('1.연간시수표'!G58,$BC$9),COUNTIF('1.연간시수표'!G58,$BC$7)),$BC$6,IF(OR(COUNTIF('1.연간시수표'!G58,$BF$9),COUNTIF('1.연간시수표'!G58,$BF$7),COUNTIF('1.연간시수표'!G58,$BG$9),COUNTIF('1.연간시수표'!G58,$BG$7),COUNTIF('1.연간시수표'!G58,$BH$9),COUNTIF('1.연간시수표'!G58,$BH$7),COUNTIF('1.연간시수표'!G58,$BI$9),COUNTIF('1.연간시수표'!G58,$BI$7),COUNTIF('1.연간시수표'!G58,$BJ$9),COUNTIF('1.연간시수표'!G58,$BJ$7),COUNTIF('1.연간시수표'!G58,$BK$9),COUNTIF('1.연간시수표'!G58,$BK$7),COUNTIF('1.연간시수표'!G58,$BL$9),COUNTIF('1.연간시수표'!G58,$BL$7),COUNTIF('1.연간시수표'!G58,$BM$9),COUNTIF('1.연간시수표'!G58,$BM$7)),$BF$6,IF(OR(COUNTIF('1.연간시수표'!G58,$BO$9),COUNTIF('1.연간시수표'!G58,$BO$7)),$BO$6,IF(OR(COUNTIF('1.연간시수표'!G58,$BP$9),COUNTIF('1.연간시수표'!G58,$BP$7)),$BP$6,IF(OR(COUNTIF('1.연간시수표'!G58,$BQ$9),COUNTIF('1.연간시수표'!G58,$BQ$7)),$BQ$6,IF(OR(COUNTIF('1.연간시수표'!G58,$BR$9),COUNTIF('1.연간시수표'!G58,$BR$7)),$BR$6,"_")))))))))))))))</f>
        <v>_</v>
      </c>
      <c r="H58" s="148" t="str">
        <f>IF(OR(COUNTIF('1.연간시수표'!H58,$AT$9),COUNTIF('1.연간시수표'!H58,$AT$7)),$AT$6,IF(OR(COUNTIF('1.연간시수표'!H58,$AU$9),COUNTIF('1.연간시수표'!H58,$AU$7)),$AU$6,IF(OR(COUNTIF('1.연간시수표'!H58,$AV$9),COUNTIF('1.연간시수표'!H58,$AV$7)),$AV$6,IF(OR(COUNTIF('1.연간시수표'!H58,$AW$9),COUNTIF('1.연간시수표'!H58,$AW$7)),$AW$6,IF(OR(COUNTIF('1.연간시수표'!H58,$AX$9),COUNTIF('1.연간시수표'!H58,$AX$7)),$AX$6,IF(OR(COUNTIF('1.연간시수표'!H58,$AY$9),COUNTIF('1.연간시수표'!H58,$AY$7)),$AY$6,IF(OR(COUNTIF('1.연간시수표'!H58,$AZ$9),COUNTIF('1.연간시수표'!H58,$AZ$7)),$AZ$6,IF(OR(COUNTIF('1.연간시수표'!H58,$BA$9),COUNTIF('1.연간시수표'!H58,$BA$7)),$BA$6,IF(OR(COUNTIF('1.연간시수표'!H58,$BB$9),COUNTIF('1.연간시수표'!H58,$BB$7)),$BB$6,IF(OR(COUNTIF('1.연간시수표'!H58,$BC$9),COUNTIF('1.연간시수표'!H58,$BC$7)),$BC$6,IF(OR(COUNTIF('1.연간시수표'!H58,$BF$9),COUNTIF('1.연간시수표'!H58,$BF$7),COUNTIF('1.연간시수표'!H58,$BG$9),COUNTIF('1.연간시수표'!H58,$BG$7),COUNTIF('1.연간시수표'!H58,$BH$9),COUNTIF('1.연간시수표'!H58,$BH$7),COUNTIF('1.연간시수표'!H58,$BI$9),COUNTIF('1.연간시수표'!H58,$BI$7),COUNTIF('1.연간시수표'!H58,$BJ$9),COUNTIF('1.연간시수표'!H58,$BJ$7),COUNTIF('1.연간시수표'!H58,$BK$9),COUNTIF('1.연간시수표'!H58,$BK$7),COUNTIF('1.연간시수표'!H58,$BL$9),COUNTIF('1.연간시수표'!H58,$BL$7),COUNTIF('1.연간시수표'!H58,$BM$9),COUNTIF('1.연간시수표'!H58,$BM$7)),$BF$6,IF(OR(COUNTIF('1.연간시수표'!H58,$BO$9),COUNTIF('1.연간시수표'!H58,$BO$7)),$BO$6,IF(OR(COUNTIF('1.연간시수표'!H58,$BP$9),COUNTIF('1.연간시수표'!H58,$BP$7)),$BP$6,IF(OR(COUNTIF('1.연간시수표'!H58,$BQ$9),COUNTIF('1.연간시수표'!H58,$BQ$7)),$BQ$6,IF(OR(COUNTIF('1.연간시수표'!H58,$BR$9),COUNTIF('1.연간시수표'!H58,$BR$7)),$BR$6,"_")))))))))))))))</f>
        <v>_</v>
      </c>
      <c r="I58" s="148" t="str">
        <f>IF(OR(COUNTIF('1.연간시수표'!I58,$AT$9),COUNTIF('1.연간시수표'!I58,$AT$7)),$AT$6,IF(OR(COUNTIF('1.연간시수표'!I58,$AU$9),COUNTIF('1.연간시수표'!I58,$AU$7)),$AU$6,IF(OR(COUNTIF('1.연간시수표'!I58,$AV$9),COUNTIF('1.연간시수표'!I58,$AV$7)),$AV$6,IF(OR(COUNTIF('1.연간시수표'!I58,$AW$9),COUNTIF('1.연간시수표'!I58,$AW$7)),$AW$6,IF(OR(COUNTIF('1.연간시수표'!I58,$AX$9),COUNTIF('1.연간시수표'!I58,$AX$7)),$AX$6,IF(OR(COUNTIF('1.연간시수표'!I58,$AY$9),COUNTIF('1.연간시수표'!I58,$AY$7)),$AY$6,IF(OR(COUNTIF('1.연간시수표'!I58,$AZ$9),COUNTIF('1.연간시수표'!I58,$AZ$7)),$AZ$6,IF(OR(COUNTIF('1.연간시수표'!I58,$BA$9),COUNTIF('1.연간시수표'!I58,$BA$7)),$BA$6,IF(OR(COUNTIF('1.연간시수표'!I58,$BB$9),COUNTIF('1.연간시수표'!I58,$BB$7)),$BB$6,IF(OR(COUNTIF('1.연간시수표'!I58,$BC$9),COUNTIF('1.연간시수표'!I58,$BC$7)),$BC$6,IF(OR(COUNTIF('1.연간시수표'!I58,$BF$9),COUNTIF('1.연간시수표'!I58,$BF$7),COUNTIF('1.연간시수표'!I58,$BG$9),COUNTIF('1.연간시수표'!I58,$BG$7),COUNTIF('1.연간시수표'!I58,$BH$9),COUNTIF('1.연간시수표'!I58,$BH$7),COUNTIF('1.연간시수표'!I58,$BI$9),COUNTIF('1.연간시수표'!I58,$BI$7),COUNTIF('1.연간시수표'!I58,$BJ$9),COUNTIF('1.연간시수표'!I58,$BJ$7),COUNTIF('1.연간시수표'!I58,$BK$9),COUNTIF('1.연간시수표'!I58,$BK$7),COUNTIF('1.연간시수표'!I58,$BL$9),COUNTIF('1.연간시수표'!I58,$BL$7),COUNTIF('1.연간시수표'!I58,$BM$9),COUNTIF('1.연간시수표'!I58,$BM$7)),$BF$6,IF(OR(COUNTIF('1.연간시수표'!I58,$BO$9),COUNTIF('1.연간시수표'!I58,$BO$7)),$BO$6,IF(OR(COUNTIF('1.연간시수표'!I58,$BP$9),COUNTIF('1.연간시수표'!I58,$BP$7)),$BP$6,IF(OR(COUNTIF('1.연간시수표'!I58,$BQ$9),COUNTIF('1.연간시수표'!I58,$BQ$7)),$BQ$6,IF(OR(COUNTIF('1.연간시수표'!I58,$BR$9),COUNTIF('1.연간시수표'!I58,$BR$7)),$BR$6,"_")))))))))))))))</f>
        <v>_</v>
      </c>
      <c r="J58" s="148" t="str">
        <f>IF(OR(COUNTIF('1.연간시수표'!J58,$AT$9),COUNTIF('1.연간시수표'!J58,$AT$7)),$AT$6,IF(OR(COUNTIF('1.연간시수표'!J58,$AU$9),COUNTIF('1.연간시수표'!J58,$AU$7)),$AU$6,IF(OR(COUNTIF('1.연간시수표'!J58,$AV$9),COUNTIF('1.연간시수표'!J58,$AV$7)),$AV$6,IF(OR(COUNTIF('1.연간시수표'!J58,$AW$9),COUNTIF('1.연간시수표'!J58,$AW$7)),$AW$6,IF(OR(COUNTIF('1.연간시수표'!J58,$AX$9),COUNTIF('1.연간시수표'!J58,$AX$7)),$AX$6,IF(OR(COUNTIF('1.연간시수표'!J58,$AY$9),COUNTIF('1.연간시수표'!J58,$AY$7)),$AY$6,IF(OR(COUNTIF('1.연간시수표'!J58,$AZ$9),COUNTIF('1.연간시수표'!J58,$AZ$7)),$AZ$6,IF(OR(COUNTIF('1.연간시수표'!J58,$BA$9),COUNTIF('1.연간시수표'!J58,$BA$7)),$BA$6,IF(OR(COUNTIF('1.연간시수표'!J58,$BB$9),COUNTIF('1.연간시수표'!J58,$BB$7)),$BB$6,IF(OR(COUNTIF('1.연간시수표'!J58,$BC$9),COUNTIF('1.연간시수표'!J58,$BC$7)),$BC$6,IF(OR(COUNTIF('1.연간시수표'!J58,$BF$9),COUNTIF('1.연간시수표'!J58,$BF$7),COUNTIF('1.연간시수표'!J58,$BG$9),COUNTIF('1.연간시수표'!J58,$BG$7),COUNTIF('1.연간시수표'!J58,$BH$9),COUNTIF('1.연간시수표'!J58,$BH$7),COUNTIF('1.연간시수표'!J58,$BI$9),COUNTIF('1.연간시수표'!J58,$BI$7),COUNTIF('1.연간시수표'!J58,$BJ$9),COUNTIF('1.연간시수표'!J58,$BJ$7),COUNTIF('1.연간시수표'!J58,$BK$9),COUNTIF('1.연간시수표'!J58,$BK$7),COUNTIF('1.연간시수표'!J58,$BL$9),COUNTIF('1.연간시수표'!J58,$BL$7),COUNTIF('1.연간시수표'!J58,$BM$9),COUNTIF('1.연간시수표'!J58,$BM$7)),$BF$6,IF(OR(COUNTIF('1.연간시수표'!J58,$BO$9),COUNTIF('1.연간시수표'!J58,$BO$7)),$BO$6,IF(OR(COUNTIF('1.연간시수표'!J58,$BP$9),COUNTIF('1.연간시수표'!J58,$BP$7)),$BP$6,IF(OR(COUNTIF('1.연간시수표'!J58,$BQ$9),COUNTIF('1.연간시수표'!J58,$BQ$7)),$BQ$6,IF(OR(COUNTIF('1.연간시수표'!J58,$BR$9),COUNTIF('1.연간시수표'!J58,$BR$7)),$BR$6,"_")))))))))))))))</f>
        <v>_</v>
      </c>
      <c r="K58" s="148" t="str">
        <f>IF(OR(COUNTIF('1.연간시수표'!K58,$AT$9),COUNTIF('1.연간시수표'!K58,$AT$7)),$AT$6,IF(OR(COUNTIF('1.연간시수표'!K58,$AU$9),COUNTIF('1.연간시수표'!K58,$AU$7)),$AU$6,IF(OR(COUNTIF('1.연간시수표'!K58,$AV$9),COUNTIF('1.연간시수표'!K58,$AV$7)),$AV$6,IF(OR(COUNTIF('1.연간시수표'!K58,$AW$9),COUNTIF('1.연간시수표'!K58,$AW$7)),$AW$6,IF(OR(COUNTIF('1.연간시수표'!K58,$AX$9),COUNTIF('1.연간시수표'!K58,$AX$7)),$AX$6,IF(OR(COUNTIF('1.연간시수표'!K58,$AY$9),COUNTIF('1.연간시수표'!K58,$AY$7)),$AY$6,IF(OR(COUNTIF('1.연간시수표'!K58,$AZ$9),COUNTIF('1.연간시수표'!K58,$AZ$7)),$AZ$6,IF(OR(COUNTIF('1.연간시수표'!K58,$BA$9),COUNTIF('1.연간시수표'!K58,$BA$7)),$BA$6,IF(OR(COUNTIF('1.연간시수표'!K58,$BB$9),COUNTIF('1.연간시수표'!K58,$BB$7)),$BB$6,IF(OR(COUNTIF('1.연간시수표'!K58,$BC$9),COUNTIF('1.연간시수표'!K58,$BC$7)),$BC$6,IF(OR(COUNTIF('1.연간시수표'!K58,$BF$9),COUNTIF('1.연간시수표'!K58,$BF$7),COUNTIF('1.연간시수표'!K58,$BG$9),COUNTIF('1.연간시수표'!K58,$BG$7),COUNTIF('1.연간시수표'!K58,$BH$9),COUNTIF('1.연간시수표'!K58,$BH$7),COUNTIF('1.연간시수표'!K58,$BI$9),COUNTIF('1.연간시수표'!K58,$BI$7),COUNTIF('1.연간시수표'!K58,$BJ$9),COUNTIF('1.연간시수표'!K58,$BJ$7),COUNTIF('1.연간시수표'!K58,$BK$9),COUNTIF('1.연간시수표'!K58,$BK$7),COUNTIF('1.연간시수표'!K58,$BL$9),COUNTIF('1.연간시수표'!K58,$BL$7),COUNTIF('1.연간시수표'!K58,$BM$9),COUNTIF('1.연간시수표'!K58,$BM$7)),$BF$6,IF(OR(COUNTIF('1.연간시수표'!K58,$BO$9),COUNTIF('1.연간시수표'!K58,$BO$7)),$BO$6,IF(OR(COUNTIF('1.연간시수표'!K58,$BP$9),COUNTIF('1.연간시수표'!K58,$BP$7)),$BP$6,IF(OR(COUNTIF('1.연간시수표'!K58,$BQ$9),COUNTIF('1.연간시수표'!K58,$BQ$7)),$BQ$6,IF(OR(COUNTIF('1.연간시수표'!K58,$BR$9),COUNTIF('1.연간시수표'!K58,$BR$7)),$BR$6,"_")))))))))))))))</f>
        <v>_</v>
      </c>
      <c r="L58" s="148" t="str">
        <f>IF(OR(COUNTIF('1.연간시수표'!L58,$AT$9),COUNTIF('1.연간시수표'!L58,$AT$7)),$AT$6,IF(OR(COUNTIF('1.연간시수표'!L58,$AU$9),COUNTIF('1.연간시수표'!L58,$AU$7)),$AU$6,IF(OR(COUNTIF('1.연간시수표'!L58,$AV$9),COUNTIF('1.연간시수표'!L58,$AV$7)),$AV$6,IF(OR(COUNTIF('1.연간시수표'!L58,$AW$9),COUNTIF('1.연간시수표'!L58,$AW$7)),$AW$6,IF(OR(COUNTIF('1.연간시수표'!L58,$AX$9),COUNTIF('1.연간시수표'!L58,$AX$7)),$AX$6,IF(OR(COUNTIF('1.연간시수표'!L58,$AY$9),COUNTIF('1.연간시수표'!L58,$AY$7)),$AY$6,IF(OR(COUNTIF('1.연간시수표'!L58,$AZ$9),COUNTIF('1.연간시수표'!L58,$AZ$7)),$AZ$6,IF(OR(COUNTIF('1.연간시수표'!L58,$BA$9),COUNTIF('1.연간시수표'!L58,$BA$7)),$BA$6,IF(OR(COUNTIF('1.연간시수표'!L58,$BB$9),COUNTIF('1.연간시수표'!L58,$BB$7)),$BB$6,IF(OR(COUNTIF('1.연간시수표'!L58,$BC$9),COUNTIF('1.연간시수표'!L58,$BC$7)),$BC$6,IF(OR(COUNTIF('1.연간시수표'!L58,$BF$9),COUNTIF('1.연간시수표'!L58,$BF$7),COUNTIF('1.연간시수표'!L58,$BG$9),COUNTIF('1.연간시수표'!L58,$BG$7),COUNTIF('1.연간시수표'!L58,$BH$9),COUNTIF('1.연간시수표'!L58,$BH$7),COUNTIF('1.연간시수표'!L58,$BI$9),COUNTIF('1.연간시수표'!L58,$BI$7),COUNTIF('1.연간시수표'!L58,$BJ$9),COUNTIF('1.연간시수표'!L58,$BJ$7),COUNTIF('1.연간시수표'!L58,$BK$9),COUNTIF('1.연간시수표'!L58,$BK$7),COUNTIF('1.연간시수표'!L58,$BL$9),COUNTIF('1.연간시수표'!L58,$BL$7),COUNTIF('1.연간시수표'!L58,$BM$9),COUNTIF('1.연간시수표'!L58,$BM$7)),$BF$6,IF(OR(COUNTIF('1.연간시수표'!L58,$BO$9),COUNTIF('1.연간시수표'!L58,$BO$7)),$BO$6,IF(OR(COUNTIF('1.연간시수표'!L58,$BP$9),COUNTIF('1.연간시수표'!L58,$BP$7)),$BP$6,IF(OR(COUNTIF('1.연간시수표'!L58,$BQ$9),COUNTIF('1.연간시수표'!L58,$BQ$7)),$BQ$6,IF(OR(COUNTIF('1.연간시수표'!L58,$BR$9),COUNTIF('1.연간시수표'!L58,$BR$7)),$BR$6,"_")))))))))))))))</f>
        <v>_</v>
      </c>
      <c r="M58" s="148" t="str">
        <f>IF(OR(COUNTIF('1.연간시수표'!M58,$AT$9),COUNTIF('1.연간시수표'!M58,$AT$7)),$AT$6,IF(OR(COUNTIF('1.연간시수표'!M58,$AU$9),COUNTIF('1.연간시수표'!M58,$AU$7)),$AU$6,IF(OR(COUNTIF('1.연간시수표'!M58,$AV$9),COUNTIF('1.연간시수표'!M58,$AV$7)),$AV$6,IF(OR(COUNTIF('1.연간시수표'!M58,$AW$9),COUNTIF('1.연간시수표'!M58,$AW$7)),$AW$6,IF(OR(COUNTIF('1.연간시수표'!M58,$AX$9),COUNTIF('1.연간시수표'!M58,$AX$7)),$AX$6,IF(OR(COUNTIF('1.연간시수표'!M58,$AY$9),COUNTIF('1.연간시수표'!M58,$AY$7)),$AY$6,IF(OR(COUNTIF('1.연간시수표'!M58,$AZ$9),COUNTIF('1.연간시수표'!M58,$AZ$7)),$AZ$6,IF(OR(COUNTIF('1.연간시수표'!M58,$BA$9),COUNTIF('1.연간시수표'!M58,$BA$7)),$BA$6,IF(OR(COUNTIF('1.연간시수표'!M58,$BB$9),COUNTIF('1.연간시수표'!M58,$BB$7)),$BB$6,IF(OR(COUNTIF('1.연간시수표'!M58,$BC$9),COUNTIF('1.연간시수표'!M58,$BC$7)),$BC$6,IF(OR(COUNTIF('1.연간시수표'!M58,$BF$9),COUNTIF('1.연간시수표'!M58,$BF$7),COUNTIF('1.연간시수표'!M58,$BG$9),COUNTIF('1.연간시수표'!M58,$BG$7),COUNTIF('1.연간시수표'!M58,$BH$9),COUNTIF('1.연간시수표'!M58,$BH$7),COUNTIF('1.연간시수표'!M58,$BI$9),COUNTIF('1.연간시수표'!M58,$BI$7),COUNTIF('1.연간시수표'!M58,$BJ$9),COUNTIF('1.연간시수표'!M58,$BJ$7),COUNTIF('1.연간시수표'!M58,$BK$9),COUNTIF('1.연간시수표'!M58,$BK$7),COUNTIF('1.연간시수표'!M58,$BL$9),COUNTIF('1.연간시수표'!M58,$BL$7),COUNTIF('1.연간시수표'!M58,$BM$9),COUNTIF('1.연간시수표'!M58,$BM$7)),$BF$6,IF(OR(COUNTIF('1.연간시수표'!M58,$BO$9),COUNTIF('1.연간시수표'!M58,$BO$7)),$BO$6,IF(OR(COUNTIF('1.연간시수표'!M58,$BP$9),COUNTIF('1.연간시수표'!M58,$BP$7)),$BP$6,IF(OR(COUNTIF('1.연간시수표'!M58,$BQ$9),COUNTIF('1.연간시수표'!M58,$BQ$7)),$BQ$6,IF(OR(COUNTIF('1.연간시수표'!M58,$BR$9),COUNTIF('1.연간시수표'!M58,$BR$7)),$BR$6,"_")))))))))))))))</f>
        <v>국어</v>
      </c>
      <c r="N58" s="148" t="str">
        <f>IF(OR(COUNTIF('1.연간시수표'!N58,$AT$9),COUNTIF('1.연간시수표'!N58,$AT$7)),$AT$6,IF(OR(COUNTIF('1.연간시수표'!N58,$AU$9),COUNTIF('1.연간시수표'!N58,$AU$7)),$AU$6,IF(OR(COUNTIF('1.연간시수표'!N58,$AV$9),COUNTIF('1.연간시수표'!N58,$AV$7)),$AV$6,IF(OR(COUNTIF('1.연간시수표'!N58,$AW$9),COUNTIF('1.연간시수표'!N58,$AW$7)),$AW$6,IF(OR(COUNTIF('1.연간시수표'!N58,$AX$9),COUNTIF('1.연간시수표'!N58,$AX$7)),$AX$6,IF(OR(COUNTIF('1.연간시수표'!N58,$AY$9),COUNTIF('1.연간시수표'!N58,$AY$7)),$AY$6,IF(OR(COUNTIF('1.연간시수표'!N58,$AZ$9),COUNTIF('1.연간시수표'!N58,$AZ$7)),$AZ$6,IF(OR(COUNTIF('1.연간시수표'!N58,$BA$9),COUNTIF('1.연간시수표'!N58,$BA$7)),$BA$6,IF(OR(COUNTIF('1.연간시수표'!N58,$BB$9),COUNTIF('1.연간시수표'!N58,$BB$7)),$BB$6,IF(OR(COUNTIF('1.연간시수표'!N58,$BC$9),COUNTIF('1.연간시수표'!N58,$BC$7)),$BC$6,IF(OR(COUNTIF('1.연간시수표'!N58,$BF$9),COUNTIF('1.연간시수표'!N58,$BF$7),COUNTIF('1.연간시수표'!N58,$BG$9),COUNTIF('1.연간시수표'!N58,$BG$7),COUNTIF('1.연간시수표'!N58,$BH$9),COUNTIF('1.연간시수표'!N58,$BH$7),COUNTIF('1.연간시수표'!N58,$BI$9),COUNTIF('1.연간시수표'!N58,$BI$7),COUNTIF('1.연간시수표'!N58,$BJ$9),COUNTIF('1.연간시수표'!N58,$BJ$7),COUNTIF('1.연간시수표'!N58,$BK$9),COUNTIF('1.연간시수표'!N58,$BK$7),COUNTIF('1.연간시수표'!N58,$BL$9),COUNTIF('1.연간시수표'!N58,$BL$7),COUNTIF('1.연간시수표'!N58,$BM$9),COUNTIF('1.연간시수표'!N58,$BM$7)),$BF$6,IF(OR(COUNTIF('1.연간시수표'!N58,$BO$9),COUNTIF('1.연간시수표'!N58,$BO$7)),$BO$6,IF(OR(COUNTIF('1.연간시수표'!N58,$BP$9),COUNTIF('1.연간시수표'!N58,$BP$7)),$BP$6,IF(OR(COUNTIF('1.연간시수표'!N58,$BQ$9),COUNTIF('1.연간시수표'!N58,$BQ$7)),$BQ$6,IF(OR(COUNTIF('1.연간시수표'!N58,$BR$9),COUNTIF('1.연간시수표'!N58,$BR$7)),$BR$6,"_")))))))))))))))</f>
        <v>국어</v>
      </c>
      <c r="O58" s="148" t="str">
        <f>IF(OR(COUNTIF('1.연간시수표'!O58,$AT$9),COUNTIF('1.연간시수표'!O58,$AT$7)),$AT$6,IF(OR(COUNTIF('1.연간시수표'!O58,$AU$9),COUNTIF('1.연간시수표'!O58,$AU$7)),$AU$6,IF(OR(COUNTIF('1.연간시수표'!O58,$AV$9),COUNTIF('1.연간시수표'!O58,$AV$7)),$AV$6,IF(OR(COUNTIF('1.연간시수표'!O58,$AW$9),COUNTIF('1.연간시수표'!O58,$AW$7)),$AW$6,IF(OR(COUNTIF('1.연간시수표'!O58,$AX$9),COUNTIF('1.연간시수표'!O58,$AX$7)),$AX$6,IF(OR(COUNTIF('1.연간시수표'!O58,$AY$9),COUNTIF('1.연간시수표'!O58,$AY$7)),$AY$6,IF(OR(COUNTIF('1.연간시수표'!O58,$AZ$9),COUNTIF('1.연간시수표'!O58,$AZ$7)),$AZ$6,IF(OR(COUNTIF('1.연간시수표'!O58,$BA$9),COUNTIF('1.연간시수표'!O58,$BA$7)),$BA$6,IF(OR(COUNTIF('1.연간시수표'!O58,$BB$9),COUNTIF('1.연간시수표'!O58,$BB$7)),$BB$6,IF(OR(COUNTIF('1.연간시수표'!O58,$BC$9),COUNTIF('1.연간시수표'!O58,$BC$7)),$BC$6,IF(OR(COUNTIF('1.연간시수표'!O58,$BF$9),COUNTIF('1.연간시수표'!O58,$BF$7),COUNTIF('1.연간시수표'!O58,$BG$9),COUNTIF('1.연간시수표'!O58,$BG$7),COUNTIF('1.연간시수표'!O58,$BH$9),COUNTIF('1.연간시수표'!O58,$BH$7),COUNTIF('1.연간시수표'!O58,$BI$9),COUNTIF('1.연간시수표'!O58,$BI$7),COUNTIF('1.연간시수표'!O58,$BJ$9),COUNTIF('1.연간시수표'!O58,$BJ$7),COUNTIF('1.연간시수표'!O58,$BK$9),COUNTIF('1.연간시수표'!O58,$BK$7),COUNTIF('1.연간시수표'!O58,$BL$9),COUNTIF('1.연간시수표'!O58,$BL$7),COUNTIF('1.연간시수표'!O58,$BM$9),COUNTIF('1.연간시수표'!O58,$BM$7)),$BF$6,IF(OR(COUNTIF('1.연간시수표'!O58,$BO$9),COUNTIF('1.연간시수표'!O58,$BO$7)),$BO$6,IF(OR(COUNTIF('1.연간시수표'!O58,$BP$9),COUNTIF('1.연간시수표'!O58,$BP$7)),$BP$6,IF(OR(COUNTIF('1.연간시수표'!O58,$BQ$9),COUNTIF('1.연간시수표'!O58,$BQ$7)),$BQ$6,IF(OR(COUNTIF('1.연간시수표'!O58,$BR$9),COUNTIF('1.연간시수표'!O58,$BR$7)),$BR$6,"_")))))))))))))))</f>
        <v>사회</v>
      </c>
      <c r="P58" s="148" t="str">
        <f>IF(OR(COUNTIF('1.연간시수표'!P58,$AT$9),COUNTIF('1.연간시수표'!P58,$AT$7)),$AT$6,IF(OR(COUNTIF('1.연간시수표'!P58,$AU$9),COUNTIF('1.연간시수표'!P58,$AU$7)),$AU$6,IF(OR(COUNTIF('1.연간시수표'!P58,$AV$9),COUNTIF('1.연간시수표'!P58,$AV$7)),$AV$6,IF(OR(COUNTIF('1.연간시수표'!P58,$AW$9),COUNTIF('1.연간시수표'!P58,$AW$7)),$AW$6,IF(OR(COUNTIF('1.연간시수표'!P58,$AX$9),COUNTIF('1.연간시수표'!P58,$AX$7)),$AX$6,IF(OR(COUNTIF('1.연간시수표'!P58,$AY$9),COUNTIF('1.연간시수표'!P58,$AY$7)),$AY$6,IF(OR(COUNTIF('1.연간시수표'!P58,$AZ$9),COUNTIF('1.연간시수표'!P58,$AZ$7)),$AZ$6,IF(OR(COUNTIF('1.연간시수표'!P58,$BA$9),COUNTIF('1.연간시수표'!P58,$BA$7)),$BA$6,IF(OR(COUNTIF('1.연간시수표'!P58,$BB$9),COUNTIF('1.연간시수표'!P58,$BB$7)),$BB$6,IF(OR(COUNTIF('1.연간시수표'!P58,$BC$9),COUNTIF('1.연간시수표'!P58,$BC$7)),$BC$6,IF(OR(COUNTIF('1.연간시수표'!P58,$BF$9),COUNTIF('1.연간시수표'!P58,$BF$7),COUNTIF('1.연간시수표'!P58,$BG$9),COUNTIF('1.연간시수표'!P58,$BG$7),COUNTIF('1.연간시수표'!P58,$BH$9),COUNTIF('1.연간시수표'!P58,$BH$7),COUNTIF('1.연간시수표'!P58,$BI$9),COUNTIF('1.연간시수표'!P58,$BI$7),COUNTIF('1.연간시수표'!P58,$BJ$9),COUNTIF('1.연간시수표'!P58,$BJ$7),COUNTIF('1.연간시수표'!P58,$BK$9),COUNTIF('1.연간시수표'!P58,$BK$7),COUNTIF('1.연간시수표'!P58,$BL$9),COUNTIF('1.연간시수표'!P58,$BL$7),COUNTIF('1.연간시수표'!P58,$BM$9),COUNTIF('1.연간시수표'!P58,$BM$7)),$BF$6,IF(OR(COUNTIF('1.연간시수표'!P58,$BO$9),COUNTIF('1.연간시수표'!P58,$BO$7)),$BO$6,IF(OR(COUNTIF('1.연간시수표'!P58,$BP$9),COUNTIF('1.연간시수표'!P58,$BP$7)),$BP$6,IF(OR(COUNTIF('1.연간시수표'!P58,$BQ$9),COUNTIF('1.연간시수표'!P58,$BQ$7)),$BQ$6,IF(OR(COUNTIF('1.연간시수표'!P58,$BR$9),COUNTIF('1.연간시수표'!P58,$BR$7)),$BR$6,"_")))))))))))))))</f>
        <v>수학</v>
      </c>
      <c r="Q58" s="148" t="str">
        <f>IF(OR(COUNTIF('1.연간시수표'!Q58,$AT$9),COUNTIF('1.연간시수표'!Q58,$AT$7)),$AT$6,IF(OR(COUNTIF('1.연간시수표'!Q58,$AU$9),COUNTIF('1.연간시수표'!Q58,$AU$7)),$AU$6,IF(OR(COUNTIF('1.연간시수표'!Q58,$AV$9),COUNTIF('1.연간시수표'!Q58,$AV$7)),$AV$6,IF(OR(COUNTIF('1.연간시수표'!Q58,$AW$9),COUNTIF('1.연간시수표'!Q58,$AW$7)),$AW$6,IF(OR(COUNTIF('1.연간시수표'!Q58,$AX$9),COUNTIF('1.연간시수표'!Q58,$AX$7)),$AX$6,IF(OR(COUNTIF('1.연간시수표'!Q58,$AY$9),COUNTIF('1.연간시수표'!Q58,$AY$7)),$AY$6,IF(OR(COUNTIF('1.연간시수표'!Q58,$AZ$9),COUNTIF('1.연간시수표'!Q58,$AZ$7)),$AZ$6,IF(OR(COUNTIF('1.연간시수표'!Q58,$BA$9),COUNTIF('1.연간시수표'!Q58,$BA$7)),$BA$6,IF(OR(COUNTIF('1.연간시수표'!Q58,$BB$9),COUNTIF('1.연간시수표'!Q58,$BB$7)),$BB$6,IF(OR(COUNTIF('1.연간시수표'!Q58,$BC$9),COUNTIF('1.연간시수표'!Q58,$BC$7)),$BC$6,IF(OR(COUNTIF('1.연간시수표'!Q58,$BF$9),COUNTIF('1.연간시수표'!Q58,$BF$7),COUNTIF('1.연간시수표'!Q58,$BG$9),COUNTIF('1.연간시수표'!Q58,$BG$7),COUNTIF('1.연간시수표'!Q58,$BH$9),COUNTIF('1.연간시수표'!Q58,$BH$7),COUNTIF('1.연간시수표'!Q58,$BI$9),COUNTIF('1.연간시수표'!Q58,$BI$7),COUNTIF('1.연간시수표'!Q58,$BJ$9),COUNTIF('1.연간시수표'!Q58,$BJ$7),COUNTIF('1.연간시수표'!Q58,$BK$9),COUNTIF('1.연간시수표'!Q58,$BK$7),COUNTIF('1.연간시수표'!Q58,$BL$9),COUNTIF('1.연간시수표'!Q58,$BL$7),COUNTIF('1.연간시수표'!Q58,$BM$9),COUNTIF('1.연간시수표'!Q58,$BM$7)),$BF$6,IF(OR(COUNTIF('1.연간시수표'!Q58,$BO$9),COUNTIF('1.연간시수표'!Q58,$BO$7)),$BO$6,IF(OR(COUNTIF('1.연간시수표'!Q58,$BP$9),COUNTIF('1.연간시수표'!Q58,$BP$7)),$BP$6,IF(OR(COUNTIF('1.연간시수표'!Q58,$BQ$9),COUNTIF('1.연간시수표'!Q58,$BQ$7)),$BQ$6,IF(OR(COUNTIF('1.연간시수표'!Q58,$BR$9),COUNTIF('1.연간시수표'!Q58,$BR$7)),$BR$6,"_")))))))))))))))</f>
        <v>과학</v>
      </c>
      <c r="R58" s="148" t="str">
        <f>IF(OR(COUNTIF('1.연간시수표'!R58,$AT$9),COUNTIF('1.연간시수표'!R58,$AT$7)),$AT$6,IF(OR(COUNTIF('1.연간시수표'!R58,$AU$9),COUNTIF('1.연간시수표'!R58,$AU$7)),$AU$6,IF(OR(COUNTIF('1.연간시수표'!R58,$AV$9),COUNTIF('1.연간시수표'!R58,$AV$7)),$AV$6,IF(OR(COUNTIF('1.연간시수표'!R58,$AW$9),COUNTIF('1.연간시수표'!R58,$AW$7)),$AW$6,IF(OR(COUNTIF('1.연간시수표'!R58,$AX$9),COUNTIF('1.연간시수표'!R58,$AX$7)),$AX$6,IF(OR(COUNTIF('1.연간시수표'!R58,$AY$9),COUNTIF('1.연간시수표'!R58,$AY$7)),$AY$6,IF(OR(COUNTIF('1.연간시수표'!R58,$AZ$9),COUNTIF('1.연간시수표'!R58,$AZ$7)),$AZ$6,IF(OR(COUNTIF('1.연간시수표'!R58,$BA$9),COUNTIF('1.연간시수표'!R58,$BA$7)),$BA$6,IF(OR(COUNTIF('1.연간시수표'!R58,$BB$9),COUNTIF('1.연간시수표'!R58,$BB$7)),$BB$6,IF(OR(COUNTIF('1.연간시수표'!R58,$BC$9),COUNTIF('1.연간시수표'!R58,$BC$7)),$BC$6,IF(OR(COUNTIF('1.연간시수표'!R58,$BF$9),COUNTIF('1.연간시수표'!R58,$BF$7),COUNTIF('1.연간시수표'!R58,$BG$9),COUNTIF('1.연간시수표'!R58,$BG$7),COUNTIF('1.연간시수표'!R58,$BH$9),COUNTIF('1.연간시수표'!R58,$BH$7),COUNTIF('1.연간시수표'!R58,$BI$9),COUNTIF('1.연간시수표'!R58,$BI$7),COUNTIF('1.연간시수표'!R58,$BJ$9),COUNTIF('1.연간시수표'!R58,$BJ$7),COUNTIF('1.연간시수표'!R58,$BK$9),COUNTIF('1.연간시수표'!R58,$BK$7),COUNTIF('1.연간시수표'!R58,$BL$9),COUNTIF('1.연간시수표'!R58,$BL$7),COUNTIF('1.연간시수표'!R58,$BM$9),COUNTIF('1.연간시수표'!R58,$BM$7)),$BF$6,IF(OR(COUNTIF('1.연간시수표'!R58,$BO$9),COUNTIF('1.연간시수표'!R58,$BO$7)),$BO$6,IF(OR(COUNTIF('1.연간시수표'!R58,$BP$9),COUNTIF('1.연간시수표'!R58,$BP$7)),$BP$6,IF(OR(COUNTIF('1.연간시수표'!R58,$BQ$9),COUNTIF('1.연간시수표'!R58,$BQ$7)),$BQ$6,IF(OR(COUNTIF('1.연간시수표'!R58,$BR$9),COUNTIF('1.연간시수표'!R58,$BR$7)),$BR$6,"_")))))))))))))))</f>
        <v>실과</v>
      </c>
      <c r="S58" s="148" t="str">
        <f>IF(OR(COUNTIF('1.연간시수표'!S58,$AT$9),COUNTIF('1.연간시수표'!S58,$AT$7)),$AT$6,IF(OR(COUNTIF('1.연간시수표'!S58,$AU$9),COUNTIF('1.연간시수표'!S58,$AU$7)),$AU$6,IF(OR(COUNTIF('1.연간시수표'!S58,$AV$9),COUNTIF('1.연간시수표'!S58,$AV$7)),$AV$6,IF(OR(COUNTIF('1.연간시수표'!S58,$AW$9),COUNTIF('1.연간시수표'!S58,$AW$7)),$AW$6,IF(OR(COUNTIF('1.연간시수표'!S58,$AX$9),COUNTIF('1.연간시수표'!S58,$AX$7)),$AX$6,IF(OR(COUNTIF('1.연간시수표'!S58,$AY$9),COUNTIF('1.연간시수표'!S58,$AY$7)),$AY$6,IF(OR(COUNTIF('1.연간시수표'!S58,$AZ$9),COUNTIF('1.연간시수표'!S58,$AZ$7)),$AZ$6,IF(OR(COUNTIF('1.연간시수표'!S58,$BA$9),COUNTIF('1.연간시수표'!S58,$BA$7)),$BA$6,IF(OR(COUNTIF('1.연간시수표'!S58,$BB$9),COUNTIF('1.연간시수표'!S58,$BB$7)),$BB$6,IF(OR(COUNTIF('1.연간시수표'!S58,$BC$9),COUNTIF('1.연간시수표'!S58,$BC$7)),$BC$6,IF(OR(COUNTIF('1.연간시수표'!S58,$BF$9),COUNTIF('1.연간시수표'!S58,$BF$7),COUNTIF('1.연간시수표'!S58,$BG$9),COUNTIF('1.연간시수표'!S58,$BG$7),COUNTIF('1.연간시수표'!S58,$BH$9),COUNTIF('1.연간시수표'!S58,$BH$7),COUNTIF('1.연간시수표'!S58,$BI$9),COUNTIF('1.연간시수표'!S58,$BI$7),COUNTIF('1.연간시수표'!S58,$BJ$9),COUNTIF('1.연간시수표'!S58,$BJ$7),COUNTIF('1.연간시수표'!S58,$BK$9),COUNTIF('1.연간시수표'!S58,$BK$7),COUNTIF('1.연간시수표'!S58,$BL$9),COUNTIF('1.연간시수표'!S58,$BL$7),COUNTIF('1.연간시수표'!S58,$BM$9),COUNTIF('1.연간시수표'!S58,$BM$7)),$BF$6,IF(OR(COUNTIF('1.연간시수표'!S58,$BO$9),COUNTIF('1.연간시수표'!S58,$BO$7)),$BO$6,IF(OR(COUNTIF('1.연간시수표'!S58,$BP$9),COUNTIF('1.연간시수표'!S58,$BP$7)),$BP$6,IF(OR(COUNTIF('1.연간시수표'!S58,$BQ$9),COUNTIF('1.연간시수표'!S58,$BQ$7)),$BQ$6,IF(OR(COUNTIF('1.연간시수표'!S58,$BR$9),COUNTIF('1.연간시수표'!S58,$BR$7)),$BR$6,"_")))))))))))))))</f>
        <v>_</v>
      </c>
      <c r="T58" s="148" t="str">
        <f>IF(OR(COUNTIF('1.연간시수표'!T58,$AT$9),COUNTIF('1.연간시수표'!T58,$AT$7)),$AT$6,IF(OR(COUNTIF('1.연간시수표'!T58,$AU$9),COUNTIF('1.연간시수표'!T58,$AU$7)),$AU$6,IF(OR(COUNTIF('1.연간시수표'!T58,$AV$9),COUNTIF('1.연간시수표'!T58,$AV$7)),$AV$6,IF(OR(COUNTIF('1.연간시수표'!T58,$AW$9),COUNTIF('1.연간시수표'!T58,$AW$7)),$AW$6,IF(OR(COUNTIF('1.연간시수표'!T58,$AX$9),COUNTIF('1.연간시수표'!T58,$AX$7)),$AX$6,IF(OR(COUNTIF('1.연간시수표'!T58,$AY$9),COUNTIF('1.연간시수표'!T58,$AY$7)),$AY$6,IF(OR(COUNTIF('1.연간시수표'!T58,$AZ$9),COUNTIF('1.연간시수표'!T58,$AZ$7)),$AZ$6,IF(OR(COUNTIF('1.연간시수표'!T58,$BA$9),COUNTIF('1.연간시수표'!T58,$BA$7)),$BA$6,IF(OR(COUNTIF('1.연간시수표'!T58,$BB$9),COUNTIF('1.연간시수표'!T58,$BB$7)),$BB$6,IF(OR(COUNTIF('1.연간시수표'!T58,$BC$9),COUNTIF('1.연간시수표'!T58,$BC$7)),$BC$6,IF(OR(COUNTIF('1.연간시수표'!T58,$BF$9),COUNTIF('1.연간시수표'!T58,$BF$7),COUNTIF('1.연간시수표'!T58,$BG$9),COUNTIF('1.연간시수표'!T58,$BG$7),COUNTIF('1.연간시수표'!T58,$BH$9),COUNTIF('1.연간시수표'!T58,$BH$7),COUNTIF('1.연간시수표'!T58,$BI$9),COUNTIF('1.연간시수표'!T58,$BI$7),COUNTIF('1.연간시수표'!T58,$BJ$9),COUNTIF('1.연간시수표'!T58,$BJ$7),COUNTIF('1.연간시수표'!T58,$BK$9),COUNTIF('1.연간시수표'!T58,$BK$7),COUNTIF('1.연간시수표'!T58,$BL$9),COUNTIF('1.연간시수표'!T58,$BL$7),COUNTIF('1.연간시수표'!T58,$BM$9),COUNTIF('1.연간시수표'!T58,$BM$7)),$BF$6,IF(OR(COUNTIF('1.연간시수표'!T58,$BO$9),COUNTIF('1.연간시수표'!T58,$BO$7)),$BO$6,IF(OR(COUNTIF('1.연간시수표'!T58,$BP$9),COUNTIF('1.연간시수표'!T58,$BP$7)),$BP$6,IF(OR(COUNTIF('1.연간시수표'!T58,$BQ$9),COUNTIF('1.연간시수표'!T58,$BQ$7)),$BQ$6,IF(OR(COUNTIF('1.연간시수표'!T58,$BR$9),COUNTIF('1.연간시수표'!T58,$BR$7)),$BR$6,"_")))))))))))))))</f>
        <v>_</v>
      </c>
      <c r="U58" s="148" t="str">
        <f>IF(OR(COUNTIF('1.연간시수표'!U58,$AT$9),COUNTIF('1.연간시수표'!U58,$AT$7)),$AT$6,IF(OR(COUNTIF('1.연간시수표'!U58,$AU$9),COUNTIF('1.연간시수표'!U58,$AU$7)),$AU$6,IF(OR(COUNTIF('1.연간시수표'!U58,$AV$9),COUNTIF('1.연간시수표'!U58,$AV$7)),$AV$6,IF(OR(COUNTIF('1.연간시수표'!U58,$AW$9),COUNTIF('1.연간시수표'!U58,$AW$7)),$AW$6,IF(OR(COUNTIF('1.연간시수표'!U58,$AX$9),COUNTIF('1.연간시수표'!U58,$AX$7)),$AX$6,IF(OR(COUNTIF('1.연간시수표'!U58,$AY$9),COUNTIF('1.연간시수표'!U58,$AY$7)),$AY$6,IF(OR(COUNTIF('1.연간시수표'!U58,$AZ$9),COUNTIF('1.연간시수표'!U58,$AZ$7)),$AZ$6,IF(OR(COUNTIF('1.연간시수표'!U58,$BA$9),COUNTIF('1.연간시수표'!U58,$BA$7)),$BA$6,IF(OR(COUNTIF('1.연간시수표'!U58,$BB$9),COUNTIF('1.연간시수표'!U58,$BB$7)),$BB$6,IF(OR(COUNTIF('1.연간시수표'!U58,$BC$9),COUNTIF('1.연간시수표'!U58,$BC$7)),$BC$6,IF(OR(COUNTIF('1.연간시수표'!U58,$BF$9),COUNTIF('1.연간시수표'!U58,$BF$7),COUNTIF('1.연간시수표'!U58,$BG$9),COUNTIF('1.연간시수표'!U58,$BG$7),COUNTIF('1.연간시수표'!U58,$BH$9),COUNTIF('1.연간시수표'!U58,$BH$7),COUNTIF('1.연간시수표'!U58,$BI$9),COUNTIF('1.연간시수표'!U58,$BI$7),COUNTIF('1.연간시수표'!U58,$BJ$9),COUNTIF('1.연간시수표'!U58,$BJ$7),COUNTIF('1.연간시수표'!U58,$BK$9),COUNTIF('1.연간시수표'!U58,$BK$7),COUNTIF('1.연간시수표'!U58,$BL$9),COUNTIF('1.연간시수표'!U58,$BL$7),COUNTIF('1.연간시수표'!U58,$BM$9),COUNTIF('1.연간시수표'!U58,$BM$7)),$BF$6,IF(OR(COUNTIF('1.연간시수표'!U58,$BO$9),COUNTIF('1.연간시수표'!U58,$BO$7)),$BO$6,IF(OR(COUNTIF('1.연간시수표'!U58,$BP$9),COUNTIF('1.연간시수표'!U58,$BP$7)),$BP$6,IF(OR(COUNTIF('1.연간시수표'!U58,$BQ$9),COUNTIF('1.연간시수표'!U58,$BQ$7)),$BQ$6,IF(OR(COUNTIF('1.연간시수표'!U58,$BR$9),COUNTIF('1.연간시수표'!U58,$BR$7)),$BR$6,"_")))))))))))))))</f>
        <v>영어</v>
      </c>
      <c r="V58" s="148" t="str">
        <f>IF(OR(COUNTIF('1.연간시수표'!V58,$AT$9),COUNTIF('1.연간시수표'!V58,$AT$7)),$AT$6,IF(OR(COUNTIF('1.연간시수표'!V58,$AU$9),COUNTIF('1.연간시수표'!V58,$AU$7)),$AU$6,IF(OR(COUNTIF('1.연간시수표'!V58,$AV$9),COUNTIF('1.연간시수표'!V58,$AV$7)),$AV$6,IF(OR(COUNTIF('1.연간시수표'!V58,$AW$9),COUNTIF('1.연간시수표'!V58,$AW$7)),$AW$6,IF(OR(COUNTIF('1.연간시수표'!V58,$AX$9),COUNTIF('1.연간시수표'!V58,$AX$7)),$AX$6,IF(OR(COUNTIF('1.연간시수표'!V58,$AY$9),COUNTIF('1.연간시수표'!V58,$AY$7)),$AY$6,IF(OR(COUNTIF('1.연간시수표'!V58,$AZ$9),COUNTIF('1.연간시수표'!V58,$AZ$7)),$AZ$6,IF(OR(COUNTIF('1.연간시수표'!V58,$BA$9),COUNTIF('1.연간시수표'!V58,$BA$7)),$BA$6,IF(OR(COUNTIF('1.연간시수표'!V58,$BB$9),COUNTIF('1.연간시수표'!V58,$BB$7)),$BB$6,IF(OR(COUNTIF('1.연간시수표'!V58,$BC$9),COUNTIF('1.연간시수표'!V58,$BC$7)),$BC$6,IF(OR(COUNTIF('1.연간시수표'!V58,$BF$9),COUNTIF('1.연간시수표'!V58,$BF$7),COUNTIF('1.연간시수표'!V58,$BG$9),COUNTIF('1.연간시수표'!V58,$BG$7),COUNTIF('1.연간시수표'!V58,$BH$9),COUNTIF('1.연간시수표'!V58,$BH$7),COUNTIF('1.연간시수표'!V58,$BI$9),COUNTIF('1.연간시수표'!V58,$BI$7),COUNTIF('1.연간시수표'!V58,$BJ$9),COUNTIF('1.연간시수표'!V58,$BJ$7),COUNTIF('1.연간시수표'!V58,$BK$9),COUNTIF('1.연간시수표'!V58,$BK$7),COUNTIF('1.연간시수표'!V58,$BL$9),COUNTIF('1.연간시수표'!V58,$BL$7),COUNTIF('1.연간시수표'!V58,$BM$9),COUNTIF('1.연간시수표'!V58,$BM$7)),$BF$6,IF(OR(COUNTIF('1.연간시수표'!V58,$BO$9),COUNTIF('1.연간시수표'!V58,$BO$7)),$BO$6,IF(OR(COUNTIF('1.연간시수표'!V58,$BP$9),COUNTIF('1.연간시수표'!V58,$BP$7)),$BP$6,IF(OR(COUNTIF('1.연간시수표'!V58,$BQ$9),COUNTIF('1.연간시수표'!V58,$BQ$7)),$BQ$6,IF(OR(COUNTIF('1.연간시수표'!V58,$BR$9),COUNTIF('1.연간시수표'!V58,$BR$7)),$BR$6,"_")))))))))))))))</f>
        <v>과학</v>
      </c>
      <c r="W58" s="148" t="str">
        <f>IF(OR(COUNTIF('1.연간시수표'!W58,$AT$9),COUNTIF('1.연간시수표'!W58,$AT$7)),$AT$6,IF(OR(COUNTIF('1.연간시수표'!W58,$AU$9),COUNTIF('1.연간시수표'!W58,$AU$7)),$AU$6,IF(OR(COUNTIF('1.연간시수표'!W58,$AV$9),COUNTIF('1.연간시수표'!W58,$AV$7)),$AV$6,IF(OR(COUNTIF('1.연간시수표'!W58,$AW$9),COUNTIF('1.연간시수표'!W58,$AW$7)),$AW$6,IF(OR(COUNTIF('1.연간시수표'!W58,$AX$9),COUNTIF('1.연간시수표'!W58,$AX$7)),$AX$6,IF(OR(COUNTIF('1.연간시수표'!W58,$AY$9),COUNTIF('1.연간시수표'!W58,$AY$7)),$AY$6,IF(OR(COUNTIF('1.연간시수표'!W58,$AZ$9),COUNTIF('1.연간시수표'!W58,$AZ$7)),$AZ$6,IF(OR(COUNTIF('1.연간시수표'!W58,$BA$9),COUNTIF('1.연간시수표'!W58,$BA$7)),$BA$6,IF(OR(COUNTIF('1.연간시수표'!W58,$BB$9),COUNTIF('1.연간시수표'!W58,$BB$7)),$BB$6,IF(OR(COUNTIF('1.연간시수표'!W58,$BC$9),COUNTIF('1.연간시수표'!W58,$BC$7)),$BC$6,IF(OR(COUNTIF('1.연간시수표'!W58,$BF$9),COUNTIF('1.연간시수표'!W58,$BF$7),COUNTIF('1.연간시수표'!W58,$BG$9),COUNTIF('1.연간시수표'!W58,$BG$7),COUNTIF('1.연간시수표'!W58,$BH$9),COUNTIF('1.연간시수표'!W58,$BH$7),COUNTIF('1.연간시수표'!W58,$BI$9),COUNTIF('1.연간시수표'!W58,$BI$7),COUNTIF('1.연간시수표'!W58,$BJ$9),COUNTIF('1.연간시수표'!W58,$BJ$7),COUNTIF('1.연간시수표'!W58,$BK$9),COUNTIF('1.연간시수표'!W58,$BK$7),COUNTIF('1.연간시수표'!W58,$BL$9),COUNTIF('1.연간시수표'!W58,$BL$7),COUNTIF('1.연간시수표'!W58,$BM$9),COUNTIF('1.연간시수표'!W58,$BM$7)),$BF$6,IF(OR(COUNTIF('1.연간시수표'!W58,$BO$9),COUNTIF('1.연간시수표'!W58,$BO$7)),$BO$6,IF(OR(COUNTIF('1.연간시수표'!W58,$BP$9),COUNTIF('1.연간시수표'!W58,$BP$7)),$BP$6,IF(OR(COUNTIF('1.연간시수표'!W58,$BQ$9),COUNTIF('1.연간시수표'!W58,$BQ$7)),$BQ$6,IF(OR(COUNTIF('1.연간시수표'!W58,$BR$9),COUNTIF('1.연간시수표'!W58,$BR$7)),$BR$6,"_")))))))))))))))</f>
        <v>체육</v>
      </c>
      <c r="X58" s="148" t="str">
        <f>IF(OR(COUNTIF('1.연간시수표'!X58,$AT$9),COUNTIF('1.연간시수표'!X58,$AT$7)),$AT$6,IF(OR(COUNTIF('1.연간시수표'!X58,$AU$9),COUNTIF('1.연간시수표'!X58,$AU$7)),$AU$6,IF(OR(COUNTIF('1.연간시수표'!X58,$AV$9),COUNTIF('1.연간시수표'!X58,$AV$7)),$AV$6,IF(OR(COUNTIF('1.연간시수표'!X58,$AW$9),COUNTIF('1.연간시수표'!X58,$AW$7)),$AW$6,IF(OR(COUNTIF('1.연간시수표'!X58,$AX$9),COUNTIF('1.연간시수표'!X58,$AX$7)),$AX$6,IF(OR(COUNTIF('1.연간시수표'!X58,$AY$9),COUNTIF('1.연간시수표'!X58,$AY$7)),$AY$6,IF(OR(COUNTIF('1.연간시수표'!X58,$AZ$9),COUNTIF('1.연간시수표'!X58,$AZ$7)),$AZ$6,IF(OR(COUNTIF('1.연간시수표'!X58,$BA$9),COUNTIF('1.연간시수표'!X58,$BA$7)),$BA$6,IF(OR(COUNTIF('1.연간시수표'!X58,$BB$9),COUNTIF('1.연간시수표'!X58,$BB$7)),$BB$6,IF(OR(COUNTIF('1.연간시수표'!X58,$BC$9),COUNTIF('1.연간시수표'!X58,$BC$7)),$BC$6,IF(OR(COUNTIF('1.연간시수표'!X58,$BF$9),COUNTIF('1.연간시수표'!X58,$BF$7),COUNTIF('1.연간시수표'!X58,$BG$9),COUNTIF('1.연간시수표'!X58,$BG$7),COUNTIF('1.연간시수표'!X58,$BH$9),COUNTIF('1.연간시수표'!X58,$BH$7),COUNTIF('1.연간시수표'!X58,$BI$9),COUNTIF('1.연간시수표'!X58,$BI$7),COUNTIF('1.연간시수표'!X58,$BJ$9),COUNTIF('1.연간시수표'!X58,$BJ$7),COUNTIF('1.연간시수표'!X58,$BK$9),COUNTIF('1.연간시수표'!X58,$BK$7),COUNTIF('1.연간시수표'!X58,$BL$9),COUNTIF('1.연간시수표'!X58,$BL$7),COUNTIF('1.연간시수표'!X58,$BM$9),COUNTIF('1.연간시수표'!X58,$BM$7)),$BF$6,IF(OR(COUNTIF('1.연간시수표'!X58,$BO$9),COUNTIF('1.연간시수표'!X58,$BO$7)),$BO$6,IF(OR(COUNTIF('1.연간시수표'!X58,$BP$9),COUNTIF('1.연간시수표'!X58,$BP$7)),$BP$6,IF(OR(COUNTIF('1.연간시수표'!X58,$BQ$9),COUNTIF('1.연간시수표'!X58,$BQ$7)),$BQ$6,IF(OR(COUNTIF('1.연간시수표'!X58,$BR$9),COUNTIF('1.연간시수표'!X58,$BR$7)),$BR$6,"_")))))))))))))))</f>
        <v>음악</v>
      </c>
      <c r="Y58" s="148" t="str">
        <f>IF(OR(COUNTIF('1.연간시수표'!Y58,$AT$9),COUNTIF('1.연간시수표'!Y58,$AT$7)),$AT$6,IF(OR(COUNTIF('1.연간시수표'!Y58,$AU$9),COUNTIF('1.연간시수표'!Y58,$AU$7)),$AU$6,IF(OR(COUNTIF('1.연간시수표'!Y58,$AV$9),COUNTIF('1.연간시수표'!Y58,$AV$7)),$AV$6,IF(OR(COUNTIF('1.연간시수표'!Y58,$AW$9),COUNTIF('1.연간시수표'!Y58,$AW$7)),$AW$6,IF(OR(COUNTIF('1.연간시수표'!Y58,$AX$9),COUNTIF('1.연간시수표'!Y58,$AX$7)),$AX$6,IF(OR(COUNTIF('1.연간시수표'!Y58,$AY$9),COUNTIF('1.연간시수표'!Y58,$AY$7)),$AY$6,IF(OR(COUNTIF('1.연간시수표'!Y58,$AZ$9),COUNTIF('1.연간시수표'!Y58,$AZ$7)),$AZ$6,IF(OR(COUNTIF('1.연간시수표'!Y58,$BA$9),COUNTIF('1.연간시수표'!Y58,$BA$7)),$BA$6,IF(OR(COUNTIF('1.연간시수표'!Y58,$BB$9),COUNTIF('1.연간시수표'!Y58,$BB$7)),$BB$6,IF(OR(COUNTIF('1.연간시수표'!Y58,$BC$9),COUNTIF('1.연간시수표'!Y58,$BC$7)),$BC$6,IF(OR(COUNTIF('1.연간시수표'!Y58,$BF$9),COUNTIF('1.연간시수표'!Y58,$BF$7),COUNTIF('1.연간시수표'!Y58,$BG$9),COUNTIF('1.연간시수표'!Y58,$BG$7),COUNTIF('1.연간시수표'!Y58,$BH$9),COUNTIF('1.연간시수표'!Y58,$BH$7),COUNTIF('1.연간시수표'!Y58,$BI$9),COUNTIF('1.연간시수표'!Y58,$BI$7),COUNTIF('1.연간시수표'!Y58,$BJ$9),COUNTIF('1.연간시수표'!Y58,$BJ$7),COUNTIF('1.연간시수표'!Y58,$BK$9),COUNTIF('1.연간시수표'!Y58,$BK$7),COUNTIF('1.연간시수표'!Y58,$BL$9),COUNTIF('1.연간시수표'!Y58,$BL$7),COUNTIF('1.연간시수표'!Y58,$BM$9),COUNTIF('1.연간시수표'!Y58,$BM$7)),$BF$6,IF(OR(COUNTIF('1.연간시수표'!Y58,$BO$9),COUNTIF('1.연간시수표'!Y58,$BO$7)),$BO$6,IF(OR(COUNTIF('1.연간시수표'!Y58,$BP$9),COUNTIF('1.연간시수표'!Y58,$BP$7)),$BP$6,IF(OR(COUNTIF('1.연간시수표'!Y58,$BQ$9),COUNTIF('1.연간시수표'!Y58,$BQ$7)),$BQ$6,IF(OR(COUNTIF('1.연간시수표'!Y58,$BR$9),COUNTIF('1.연간시수표'!Y58,$BR$7)),$BR$6,"_")))))))))))))))</f>
        <v>도덕</v>
      </c>
      <c r="Z58" s="148" t="str">
        <f>IF(OR(COUNTIF('1.연간시수표'!Z58,$AT$9),COUNTIF('1.연간시수표'!Z58,$AT$7)),$AT$6,IF(OR(COUNTIF('1.연간시수표'!Z58,$AU$9),COUNTIF('1.연간시수표'!Z58,$AU$7)),$AU$6,IF(OR(COUNTIF('1.연간시수표'!Z58,$AV$9),COUNTIF('1.연간시수표'!Z58,$AV$7)),$AV$6,IF(OR(COUNTIF('1.연간시수표'!Z58,$AW$9),COUNTIF('1.연간시수표'!Z58,$AW$7)),$AW$6,IF(OR(COUNTIF('1.연간시수표'!Z58,$AX$9),COUNTIF('1.연간시수표'!Z58,$AX$7)),$AX$6,IF(OR(COUNTIF('1.연간시수표'!Z58,$AY$9),COUNTIF('1.연간시수표'!Z58,$AY$7)),$AY$6,IF(OR(COUNTIF('1.연간시수표'!Z58,$AZ$9),COUNTIF('1.연간시수표'!Z58,$AZ$7)),$AZ$6,IF(OR(COUNTIF('1.연간시수표'!Z58,$BA$9),COUNTIF('1.연간시수표'!Z58,$BA$7)),$BA$6,IF(OR(COUNTIF('1.연간시수표'!Z58,$BB$9),COUNTIF('1.연간시수표'!Z58,$BB$7)),$BB$6,IF(OR(COUNTIF('1.연간시수표'!Z58,$BC$9),COUNTIF('1.연간시수표'!Z58,$BC$7)),$BC$6,IF(OR(COUNTIF('1.연간시수표'!Z58,$BF$9),COUNTIF('1.연간시수표'!Z58,$BF$7),COUNTIF('1.연간시수표'!Z58,$BG$9),COUNTIF('1.연간시수표'!Z58,$BG$7),COUNTIF('1.연간시수표'!Z58,$BH$9),COUNTIF('1.연간시수표'!Z58,$BH$7),COUNTIF('1.연간시수표'!Z58,$BI$9),COUNTIF('1.연간시수표'!Z58,$BI$7),COUNTIF('1.연간시수표'!Z58,$BJ$9),COUNTIF('1.연간시수표'!Z58,$BJ$7),COUNTIF('1.연간시수표'!Z58,$BK$9),COUNTIF('1.연간시수표'!Z58,$BK$7),COUNTIF('1.연간시수표'!Z58,$BL$9),COUNTIF('1.연간시수표'!Z58,$BL$7),COUNTIF('1.연간시수표'!Z58,$BM$9),COUNTIF('1.연간시수표'!Z58,$BM$7)),$BF$6,IF(OR(COUNTIF('1.연간시수표'!Z58,$BO$9),COUNTIF('1.연간시수표'!Z58,$BO$7)),$BO$6,IF(OR(COUNTIF('1.연간시수표'!Z58,$BP$9),COUNTIF('1.연간시수표'!Z58,$BP$7)),$BP$6,IF(OR(COUNTIF('1.연간시수표'!Z58,$BQ$9),COUNTIF('1.연간시수표'!Z58,$BQ$7)),$BQ$6,IF(OR(COUNTIF('1.연간시수표'!Z58,$BR$9),COUNTIF('1.연간시수표'!Z58,$BR$7)),$BR$6,"_")))))))))))))))</f>
        <v>_</v>
      </c>
      <c r="AA58" s="148" t="str">
        <f>IF(OR(COUNTIF('1.연간시수표'!AA58,$AT$9),COUNTIF('1.연간시수표'!AA58,$AT$7)),$AT$6,IF(OR(COUNTIF('1.연간시수표'!AA58,$AU$9),COUNTIF('1.연간시수표'!AA58,$AU$7)),$AU$6,IF(OR(COUNTIF('1.연간시수표'!AA58,$AV$9),COUNTIF('1.연간시수표'!AA58,$AV$7)),$AV$6,IF(OR(COUNTIF('1.연간시수표'!AA58,$AW$9),COUNTIF('1.연간시수표'!AA58,$AW$7)),$AW$6,IF(OR(COUNTIF('1.연간시수표'!AA58,$AX$9),COUNTIF('1.연간시수표'!AA58,$AX$7)),$AX$6,IF(OR(COUNTIF('1.연간시수표'!AA58,$AY$9),COUNTIF('1.연간시수표'!AA58,$AY$7)),$AY$6,IF(OR(COUNTIF('1.연간시수표'!AA58,$AZ$9),COUNTIF('1.연간시수표'!AA58,$AZ$7)),$AZ$6,IF(OR(COUNTIF('1.연간시수표'!AA58,$BA$9),COUNTIF('1.연간시수표'!AA58,$BA$7)),$BA$6,IF(OR(COUNTIF('1.연간시수표'!AA58,$BB$9),COUNTIF('1.연간시수표'!AA58,$BB$7)),$BB$6,IF(OR(COUNTIF('1.연간시수표'!AA58,$BC$9),COUNTIF('1.연간시수표'!AA58,$BC$7)),$BC$6,IF(OR(COUNTIF('1.연간시수표'!AA58,$BF$9),COUNTIF('1.연간시수표'!AA58,$BF$7),COUNTIF('1.연간시수표'!AA58,$BG$9),COUNTIF('1.연간시수표'!AA58,$BG$7),COUNTIF('1.연간시수표'!AA58,$BH$9),COUNTIF('1.연간시수표'!AA58,$BH$7),COUNTIF('1.연간시수표'!AA58,$BI$9),COUNTIF('1.연간시수표'!AA58,$BI$7),COUNTIF('1.연간시수표'!AA58,$BJ$9),COUNTIF('1.연간시수표'!AA58,$BJ$7),COUNTIF('1.연간시수표'!AA58,$BK$9),COUNTIF('1.연간시수표'!AA58,$BK$7),COUNTIF('1.연간시수표'!AA58,$BL$9),COUNTIF('1.연간시수표'!AA58,$BL$7),COUNTIF('1.연간시수표'!AA58,$BM$9),COUNTIF('1.연간시수표'!AA58,$BM$7)),$BF$6,IF(OR(COUNTIF('1.연간시수표'!AA58,$BO$9),COUNTIF('1.연간시수표'!AA58,$BO$7)),$BO$6,IF(OR(COUNTIF('1.연간시수표'!AA58,$BP$9),COUNTIF('1.연간시수표'!AA58,$BP$7)),$BP$6,IF(OR(COUNTIF('1.연간시수표'!AA58,$BQ$9),COUNTIF('1.연간시수표'!AA58,$BQ$7)),$BQ$6,IF(OR(COUNTIF('1.연간시수표'!AA58,$BR$9),COUNTIF('1.연간시수표'!AA58,$BR$7)),$BR$6,"_")))))))))))))))</f>
        <v>_</v>
      </c>
      <c r="AB58" s="148" t="str">
        <f>IF(OR(COUNTIF('1.연간시수표'!AB58,$AT$9),COUNTIF('1.연간시수표'!AB58,$AT$7)),$AT$6,IF(OR(COUNTIF('1.연간시수표'!AB58,$AU$9),COUNTIF('1.연간시수표'!AB58,$AU$7)),$AU$6,IF(OR(COUNTIF('1.연간시수표'!AB58,$AV$9),COUNTIF('1.연간시수표'!AB58,$AV$7)),$AV$6,IF(OR(COUNTIF('1.연간시수표'!AB58,$AW$9),COUNTIF('1.연간시수표'!AB58,$AW$7)),$AW$6,IF(OR(COUNTIF('1.연간시수표'!AB58,$AX$9),COUNTIF('1.연간시수표'!AB58,$AX$7)),$AX$6,IF(OR(COUNTIF('1.연간시수표'!AB58,$AY$9),COUNTIF('1.연간시수표'!AB58,$AY$7)),$AY$6,IF(OR(COUNTIF('1.연간시수표'!AB58,$AZ$9),COUNTIF('1.연간시수표'!AB58,$AZ$7)),$AZ$6,IF(OR(COUNTIF('1.연간시수표'!AB58,$BA$9),COUNTIF('1.연간시수표'!AB58,$BA$7)),$BA$6,IF(OR(COUNTIF('1.연간시수표'!AB58,$BB$9),COUNTIF('1.연간시수표'!AB58,$BB$7)),$BB$6,IF(OR(COUNTIF('1.연간시수표'!AB58,$BC$9),COUNTIF('1.연간시수표'!AB58,$BC$7)),$BC$6,IF(OR(COUNTIF('1.연간시수표'!AB58,$BF$9),COUNTIF('1.연간시수표'!AB58,$BF$7),COUNTIF('1.연간시수표'!AB58,$BG$9),COUNTIF('1.연간시수표'!AB58,$BG$7),COUNTIF('1.연간시수표'!AB58,$BH$9),COUNTIF('1.연간시수표'!AB58,$BH$7),COUNTIF('1.연간시수표'!AB58,$BI$9),COUNTIF('1.연간시수표'!AB58,$BI$7),COUNTIF('1.연간시수표'!AB58,$BJ$9),COUNTIF('1.연간시수표'!AB58,$BJ$7),COUNTIF('1.연간시수표'!AB58,$BK$9),COUNTIF('1.연간시수표'!AB58,$BK$7),COUNTIF('1.연간시수표'!AB58,$BL$9),COUNTIF('1.연간시수표'!AB58,$BL$7),COUNTIF('1.연간시수표'!AB58,$BM$9),COUNTIF('1.연간시수표'!AB58,$BM$7)),$BF$6,IF(OR(COUNTIF('1.연간시수표'!AB58,$BO$9),COUNTIF('1.연간시수표'!AB58,$BO$7)),$BO$6,IF(OR(COUNTIF('1.연간시수표'!AB58,$BP$9),COUNTIF('1.연간시수표'!AB58,$BP$7)),$BP$6,IF(OR(COUNTIF('1.연간시수표'!AB58,$BQ$9),COUNTIF('1.연간시수표'!AB58,$BQ$7)),$BQ$6,IF(OR(COUNTIF('1.연간시수표'!AB58,$BR$9),COUNTIF('1.연간시수표'!AB58,$BR$7)),$BR$6,"_")))))))))))))))</f>
        <v>_</v>
      </c>
      <c r="AC58" s="148" t="str">
        <f>IF(OR(COUNTIF('1.연간시수표'!AC58,$AT$9),COUNTIF('1.연간시수표'!AC58,$AT$7)),$AT$6,IF(OR(COUNTIF('1.연간시수표'!AC58,$AU$9),COUNTIF('1.연간시수표'!AC58,$AU$7)),$AU$6,IF(OR(COUNTIF('1.연간시수표'!AC58,$AV$9),COUNTIF('1.연간시수표'!AC58,$AV$7)),$AV$6,IF(OR(COUNTIF('1.연간시수표'!AC58,$AW$9),COUNTIF('1.연간시수표'!AC58,$AW$7)),$AW$6,IF(OR(COUNTIF('1.연간시수표'!AC58,$AX$9),COUNTIF('1.연간시수표'!AC58,$AX$7)),$AX$6,IF(OR(COUNTIF('1.연간시수표'!AC58,$AY$9),COUNTIF('1.연간시수표'!AC58,$AY$7)),$AY$6,IF(OR(COUNTIF('1.연간시수표'!AC58,$AZ$9),COUNTIF('1.연간시수표'!AC58,$AZ$7)),$AZ$6,IF(OR(COUNTIF('1.연간시수표'!AC58,$BA$9),COUNTIF('1.연간시수표'!AC58,$BA$7)),$BA$6,IF(OR(COUNTIF('1.연간시수표'!AC58,$BB$9),COUNTIF('1.연간시수표'!AC58,$BB$7)),$BB$6,IF(OR(COUNTIF('1.연간시수표'!AC58,$BC$9),COUNTIF('1.연간시수표'!AC58,$BC$7)),$BC$6,IF(OR(COUNTIF('1.연간시수표'!AC58,$BF$9),COUNTIF('1.연간시수표'!AC58,$BF$7),COUNTIF('1.연간시수표'!AC58,$BG$9),COUNTIF('1.연간시수표'!AC58,$BG$7),COUNTIF('1.연간시수표'!AC58,$BH$9),COUNTIF('1.연간시수표'!AC58,$BH$7),COUNTIF('1.연간시수표'!AC58,$BI$9),COUNTIF('1.연간시수표'!AC58,$BI$7),COUNTIF('1.연간시수표'!AC58,$BJ$9),COUNTIF('1.연간시수표'!AC58,$BJ$7),COUNTIF('1.연간시수표'!AC58,$BK$9),COUNTIF('1.연간시수표'!AC58,$BK$7),COUNTIF('1.연간시수표'!AC58,$BL$9),COUNTIF('1.연간시수표'!AC58,$BL$7),COUNTIF('1.연간시수표'!AC58,$BM$9),COUNTIF('1.연간시수표'!AC58,$BM$7)),$BF$6,IF(OR(COUNTIF('1.연간시수표'!AC58,$BO$9),COUNTIF('1.연간시수표'!AC58,$BO$7)),$BO$6,IF(OR(COUNTIF('1.연간시수표'!AC58,$BP$9),COUNTIF('1.연간시수표'!AC58,$BP$7)),$BP$6,IF(OR(COUNTIF('1.연간시수표'!AC58,$BQ$9),COUNTIF('1.연간시수표'!AC58,$BQ$7)),$BQ$6,IF(OR(COUNTIF('1.연간시수표'!AC58,$BR$9),COUNTIF('1.연간시수표'!AC58,$BR$7)),$BR$6,"_")))))))))))))))</f>
        <v>국어</v>
      </c>
      <c r="AD58" s="148" t="str">
        <f>IF(OR(COUNTIF('1.연간시수표'!AD58,$AT$9),COUNTIF('1.연간시수표'!AD58,$AT$7)),$AT$6,IF(OR(COUNTIF('1.연간시수표'!AD58,$AU$9),COUNTIF('1.연간시수표'!AD58,$AU$7)),$AU$6,IF(OR(COUNTIF('1.연간시수표'!AD58,$AV$9),COUNTIF('1.연간시수표'!AD58,$AV$7)),$AV$6,IF(OR(COUNTIF('1.연간시수표'!AD58,$AW$9),COUNTIF('1.연간시수표'!AD58,$AW$7)),$AW$6,IF(OR(COUNTIF('1.연간시수표'!AD58,$AX$9),COUNTIF('1.연간시수표'!AD58,$AX$7)),$AX$6,IF(OR(COUNTIF('1.연간시수표'!AD58,$AY$9),COUNTIF('1.연간시수표'!AD58,$AY$7)),$AY$6,IF(OR(COUNTIF('1.연간시수표'!AD58,$AZ$9),COUNTIF('1.연간시수표'!AD58,$AZ$7)),$AZ$6,IF(OR(COUNTIF('1.연간시수표'!AD58,$BA$9),COUNTIF('1.연간시수표'!AD58,$BA$7)),$BA$6,IF(OR(COUNTIF('1.연간시수표'!AD58,$BB$9),COUNTIF('1.연간시수표'!AD58,$BB$7)),$BB$6,IF(OR(COUNTIF('1.연간시수표'!AD58,$BC$9),COUNTIF('1.연간시수표'!AD58,$BC$7)),$BC$6,IF(OR(COUNTIF('1.연간시수표'!AD58,$BF$9),COUNTIF('1.연간시수표'!AD58,$BF$7),COUNTIF('1.연간시수표'!AD58,$BG$9),COUNTIF('1.연간시수표'!AD58,$BG$7),COUNTIF('1.연간시수표'!AD58,$BH$9),COUNTIF('1.연간시수표'!AD58,$BH$7),COUNTIF('1.연간시수표'!AD58,$BI$9),COUNTIF('1.연간시수표'!AD58,$BI$7),COUNTIF('1.연간시수표'!AD58,$BJ$9),COUNTIF('1.연간시수표'!AD58,$BJ$7),COUNTIF('1.연간시수표'!AD58,$BK$9),COUNTIF('1.연간시수표'!AD58,$BK$7),COUNTIF('1.연간시수표'!AD58,$BL$9),COUNTIF('1.연간시수표'!AD58,$BL$7),COUNTIF('1.연간시수표'!AD58,$BM$9),COUNTIF('1.연간시수표'!AD58,$BM$7)),$BF$6,IF(OR(COUNTIF('1.연간시수표'!AD58,$BO$9),COUNTIF('1.연간시수표'!AD58,$BO$7)),$BO$6,IF(OR(COUNTIF('1.연간시수표'!AD58,$BP$9),COUNTIF('1.연간시수표'!AD58,$BP$7)),$BP$6,IF(OR(COUNTIF('1.연간시수표'!AD58,$BQ$9),COUNTIF('1.연간시수표'!AD58,$BQ$7)),$BQ$6,IF(OR(COUNTIF('1.연간시수표'!AD58,$BR$9),COUNTIF('1.연간시수표'!AD58,$BR$7)),$BR$6,"_")))))))))))))))</f>
        <v>자율활동</v>
      </c>
      <c r="AE58" s="148" t="str">
        <f>IF(OR(COUNTIF('1.연간시수표'!AE58,$AT$9),COUNTIF('1.연간시수표'!AE58,$AT$7)),$AT$6,IF(OR(COUNTIF('1.연간시수표'!AE58,$AU$9),COUNTIF('1.연간시수표'!AE58,$AU$7)),$AU$6,IF(OR(COUNTIF('1.연간시수표'!AE58,$AV$9),COUNTIF('1.연간시수표'!AE58,$AV$7)),$AV$6,IF(OR(COUNTIF('1.연간시수표'!AE58,$AW$9),COUNTIF('1.연간시수표'!AE58,$AW$7)),$AW$6,IF(OR(COUNTIF('1.연간시수표'!AE58,$AX$9),COUNTIF('1.연간시수표'!AE58,$AX$7)),$AX$6,IF(OR(COUNTIF('1.연간시수표'!AE58,$AY$9),COUNTIF('1.연간시수표'!AE58,$AY$7)),$AY$6,IF(OR(COUNTIF('1.연간시수표'!AE58,$AZ$9),COUNTIF('1.연간시수표'!AE58,$AZ$7)),$AZ$6,IF(OR(COUNTIF('1.연간시수표'!AE58,$BA$9),COUNTIF('1.연간시수표'!AE58,$BA$7)),$BA$6,IF(OR(COUNTIF('1.연간시수표'!AE58,$BB$9),COUNTIF('1.연간시수표'!AE58,$BB$7)),$BB$6,IF(OR(COUNTIF('1.연간시수표'!AE58,$BC$9),COUNTIF('1.연간시수표'!AE58,$BC$7)),$BC$6,IF(OR(COUNTIF('1.연간시수표'!AE58,$BF$9),COUNTIF('1.연간시수표'!AE58,$BF$7),COUNTIF('1.연간시수표'!AE58,$BG$9),COUNTIF('1.연간시수표'!AE58,$BG$7),COUNTIF('1.연간시수표'!AE58,$BH$9),COUNTIF('1.연간시수표'!AE58,$BH$7),COUNTIF('1.연간시수표'!AE58,$BI$9),COUNTIF('1.연간시수표'!AE58,$BI$7),COUNTIF('1.연간시수표'!AE58,$BJ$9),COUNTIF('1.연간시수표'!AE58,$BJ$7),COUNTIF('1.연간시수표'!AE58,$BK$9),COUNTIF('1.연간시수표'!AE58,$BK$7),COUNTIF('1.연간시수표'!AE58,$BL$9),COUNTIF('1.연간시수표'!AE58,$BL$7),COUNTIF('1.연간시수표'!AE58,$BM$9),COUNTIF('1.연간시수표'!AE58,$BM$7)),$BF$6,IF(OR(COUNTIF('1.연간시수표'!AE58,$BO$9),COUNTIF('1.연간시수표'!AE58,$BO$7)),$BO$6,IF(OR(COUNTIF('1.연간시수표'!AE58,$BP$9),COUNTIF('1.연간시수표'!AE58,$BP$7)),$BP$6,IF(OR(COUNTIF('1.연간시수표'!AE58,$BQ$9),COUNTIF('1.연간시수표'!AE58,$BQ$7)),$BQ$6,IF(OR(COUNTIF('1.연간시수표'!AE58,$BR$9),COUNTIF('1.연간시수표'!AE58,$BR$7)),$BR$6,"_")))))))))))))))</f>
        <v>사회</v>
      </c>
      <c r="AF58" s="148" t="str">
        <f>IF(OR(COUNTIF('1.연간시수표'!AF58,$AT$9),COUNTIF('1.연간시수표'!AF58,$AT$7)),$AT$6,IF(OR(COUNTIF('1.연간시수표'!AF58,$AU$9),COUNTIF('1.연간시수표'!AF58,$AU$7)),$AU$6,IF(OR(COUNTIF('1.연간시수표'!AF58,$AV$9),COUNTIF('1.연간시수표'!AF58,$AV$7)),$AV$6,IF(OR(COUNTIF('1.연간시수표'!AF58,$AW$9),COUNTIF('1.연간시수표'!AF58,$AW$7)),$AW$6,IF(OR(COUNTIF('1.연간시수표'!AF58,$AX$9),COUNTIF('1.연간시수표'!AF58,$AX$7)),$AX$6,IF(OR(COUNTIF('1.연간시수표'!AF58,$AY$9),COUNTIF('1.연간시수표'!AF58,$AY$7)),$AY$6,IF(OR(COUNTIF('1.연간시수표'!AF58,$AZ$9),COUNTIF('1.연간시수표'!AF58,$AZ$7)),$AZ$6,IF(OR(COUNTIF('1.연간시수표'!AF58,$BA$9),COUNTIF('1.연간시수표'!AF58,$BA$7)),$BA$6,IF(OR(COUNTIF('1.연간시수표'!AF58,$BB$9),COUNTIF('1.연간시수표'!AF58,$BB$7)),$BB$6,IF(OR(COUNTIF('1.연간시수표'!AF58,$BC$9),COUNTIF('1.연간시수표'!AF58,$BC$7)),$BC$6,IF(OR(COUNTIF('1.연간시수표'!AF58,$BF$9),COUNTIF('1.연간시수표'!AF58,$BF$7),COUNTIF('1.연간시수표'!AF58,$BG$9),COUNTIF('1.연간시수표'!AF58,$BG$7),COUNTIF('1.연간시수표'!AF58,$BH$9),COUNTIF('1.연간시수표'!AF58,$BH$7),COUNTIF('1.연간시수표'!AF58,$BI$9),COUNTIF('1.연간시수표'!AF58,$BI$7),COUNTIF('1.연간시수표'!AF58,$BJ$9),COUNTIF('1.연간시수표'!AF58,$BJ$7),COUNTIF('1.연간시수표'!AF58,$BK$9),COUNTIF('1.연간시수표'!AF58,$BK$7),COUNTIF('1.연간시수표'!AF58,$BL$9),COUNTIF('1.연간시수표'!AF58,$BL$7),COUNTIF('1.연간시수표'!AF58,$BM$9),COUNTIF('1.연간시수표'!AF58,$BM$7)),$BF$6,IF(OR(COUNTIF('1.연간시수표'!AF58,$BO$9),COUNTIF('1.연간시수표'!AF58,$BO$7)),$BO$6,IF(OR(COUNTIF('1.연간시수표'!AF58,$BP$9),COUNTIF('1.연간시수표'!AF58,$BP$7)),$BP$6,IF(OR(COUNTIF('1.연간시수표'!AF58,$BQ$9),COUNTIF('1.연간시수표'!AF58,$BQ$7)),$BQ$6,IF(OR(COUNTIF('1.연간시수표'!AF58,$BR$9),COUNTIF('1.연간시수표'!AF58,$BR$7)),$BR$6,"_")))))))))))))))</f>
        <v>영어</v>
      </c>
      <c r="AG58" s="148" t="str">
        <f>IF(OR(COUNTIF('1.연간시수표'!AG58,$AT$9),COUNTIF('1.연간시수표'!AG58,$AT$7)),$AT$6,IF(OR(COUNTIF('1.연간시수표'!AG58,$AU$9),COUNTIF('1.연간시수표'!AG58,$AU$7)),$AU$6,IF(OR(COUNTIF('1.연간시수표'!AG58,$AV$9),COUNTIF('1.연간시수표'!AG58,$AV$7)),$AV$6,IF(OR(COUNTIF('1.연간시수표'!AG58,$AW$9),COUNTIF('1.연간시수표'!AG58,$AW$7)),$AW$6,IF(OR(COUNTIF('1.연간시수표'!AG58,$AX$9),COUNTIF('1.연간시수표'!AG58,$AX$7)),$AX$6,IF(OR(COUNTIF('1.연간시수표'!AG58,$AY$9),COUNTIF('1.연간시수표'!AG58,$AY$7)),$AY$6,IF(OR(COUNTIF('1.연간시수표'!AG58,$AZ$9),COUNTIF('1.연간시수표'!AG58,$AZ$7)),$AZ$6,IF(OR(COUNTIF('1.연간시수표'!AG58,$BA$9),COUNTIF('1.연간시수표'!AG58,$BA$7)),$BA$6,IF(OR(COUNTIF('1.연간시수표'!AG58,$BB$9),COUNTIF('1.연간시수표'!AG58,$BB$7)),$BB$6,IF(OR(COUNTIF('1.연간시수표'!AG58,$BC$9),COUNTIF('1.연간시수표'!AG58,$BC$7)),$BC$6,IF(OR(COUNTIF('1.연간시수표'!AG58,$BF$9),COUNTIF('1.연간시수표'!AG58,$BF$7),COUNTIF('1.연간시수표'!AG58,$BG$9),COUNTIF('1.연간시수표'!AG58,$BG$7),COUNTIF('1.연간시수표'!AG58,$BH$9),COUNTIF('1.연간시수표'!AG58,$BH$7),COUNTIF('1.연간시수표'!AG58,$BI$9),COUNTIF('1.연간시수표'!AG58,$BI$7),COUNTIF('1.연간시수표'!AG58,$BJ$9),COUNTIF('1.연간시수표'!AG58,$BJ$7),COUNTIF('1.연간시수표'!AG58,$BK$9),COUNTIF('1.연간시수표'!AG58,$BK$7),COUNTIF('1.연간시수표'!AG58,$BL$9),COUNTIF('1.연간시수표'!AG58,$BL$7),COUNTIF('1.연간시수표'!AG58,$BM$9),COUNTIF('1.연간시수표'!AG58,$BM$7)),$BF$6,IF(OR(COUNTIF('1.연간시수표'!AG58,$BO$9),COUNTIF('1.연간시수표'!AG58,$BO$7)),$BO$6,IF(OR(COUNTIF('1.연간시수표'!AG58,$BP$9),COUNTIF('1.연간시수표'!AG58,$BP$7)),$BP$6,IF(OR(COUNTIF('1.연간시수표'!AG58,$BQ$9),COUNTIF('1.연간시수표'!AG58,$BQ$7)),$BQ$6,IF(OR(COUNTIF('1.연간시수표'!AG58,$BR$9),COUNTIF('1.연간시수표'!AG58,$BR$7)),$BR$6,"_")))))))))))))))</f>
        <v>동아리활동</v>
      </c>
      <c r="AH58" s="148" t="str">
        <f>IF(OR(COUNTIF('1.연간시수표'!AH58,$AT$9),COUNTIF('1.연간시수표'!AH58,$AT$7)),$AT$6,IF(OR(COUNTIF('1.연간시수표'!AH58,$AU$9),COUNTIF('1.연간시수표'!AH58,$AU$7)),$AU$6,IF(OR(COUNTIF('1.연간시수표'!AH58,$AV$9),COUNTIF('1.연간시수표'!AH58,$AV$7)),$AV$6,IF(OR(COUNTIF('1.연간시수표'!AH58,$AW$9),COUNTIF('1.연간시수표'!AH58,$AW$7)),$AW$6,IF(OR(COUNTIF('1.연간시수표'!AH58,$AX$9),COUNTIF('1.연간시수표'!AH58,$AX$7)),$AX$6,IF(OR(COUNTIF('1.연간시수표'!AH58,$AY$9),COUNTIF('1.연간시수표'!AH58,$AY$7)),$AY$6,IF(OR(COUNTIF('1.연간시수표'!AH58,$AZ$9),COUNTIF('1.연간시수표'!AH58,$AZ$7)),$AZ$6,IF(OR(COUNTIF('1.연간시수표'!AH58,$BA$9),COUNTIF('1.연간시수표'!AH58,$BA$7)),$BA$6,IF(OR(COUNTIF('1.연간시수표'!AH58,$BB$9),COUNTIF('1.연간시수표'!AH58,$BB$7)),$BB$6,IF(OR(COUNTIF('1.연간시수표'!AH58,$BC$9),COUNTIF('1.연간시수표'!AH58,$BC$7)),$BC$6,IF(OR(COUNTIF('1.연간시수표'!AH58,$BF$9),COUNTIF('1.연간시수표'!AH58,$BF$7),COUNTIF('1.연간시수표'!AH58,$BG$9),COUNTIF('1.연간시수표'!AH58,$BG$7),COUNTIF('1.연간시수표'!AH58,$BH$9),COUNTIF('1.연간시수표'!AH58,$BH$7),COUNTIF('1.연간시수표'!AH58,$BI$9),COUNTIF('1.연간시수표'!AH58,$BI$7),COUNTIF('1.연간시수표'!AH58,$BJ$9),COUNTIF('1.연간시수표'!AH58,$BJ$7),COUNTIF('1.연간시수표'!AH58,$BK$9),COUNTIF('1.연간시수표'!AH58,$BK$7),COUNTIF('1.연간시수표'!AH58,$BL$9),COUNTIF('1.연간시수표'!AH58,$BL$7),COUNTIF('1.연간시수표'!AH58,$BM$9),COUNTIF('1.연간시수표'!AH58,$BM$7)),$BF$6,IF(OR(COUNTIF('1.연간시수표'!AH58,$BO$9),COUNTIF('1.연간시수표'!AH58,$BO$7)),$BO$6,IF(OR(COUNTIF('1.연간시수표'!AH58,$BP$9),COUNTIF('1.연간시수표'!AH58,$BP$7)),$BP$6,IF(OR(COUNTIF('1.연간시수표'!AH58,$BQ$9),COUNTIF('1.연간시수표'!AH58,$BQ$7)),$BQ$6,IF(OR(COUNTIF('1.연간시수표'!AH58,$BR$9),COUNTIF('1.연간시수표'!AH58,$BR$7)),$BR$6,"_")))))))))))))))</f>
        <v>동아리활동</v>
      </c>
      <c r="AI58" s="148" t="str">
        <f>IF(OR(COUNTIF('1.연간시수표'!AI58,$AT$9),COUNTIF('1.연간시수표'!AI58,$AT$7)),$AT$6,IF(OR(COUNTIF('1.연간시수표'!AI58,$AU$9),COUNTIF('1.연간시수표'!AI58,$AU$7)),$AU$6,IF(OR(COUNTIF('1.연간시수표'!AI58,$AV$9),COUNTIF('1.연간시수표'!AI58,$AV$7)),$AV$6,IF(OR(COUNTIF('1.연간시수표'!AI58,$AW$9),COUNTIF('1.연간시수표'!AI58,$AW$7)),$AW$6,IF(OR(COUNTIF('1.연간시수표'!AI58,$AX$9),COUNTIF('1.연간시수표'!AI58,$AX$7)),$AX$6,IF(OR(COUNTIF('1.연간시수표'!AI58,$AY$9),COUNTIF('1.연간시수표'!AI58,$AY$7)),$AY$6,IF(OR(COUNTIF('1.연간시수표'!AI58,$AZ$9),COUNTIF('1.연간시수표'!AI58,$AZ$7)),$AZ$6,IF(OR(COUNTIF('1.연간시수표'!AI58,$BA$9),COUNTIF('1.연간시수표'!AI58,$BA$7)),$BA$6,IF(OR(COUNTIF('1.연간시수표'!AI58,$BB$9),COUNTIF('1.연간시수표'!AI58,$BB$7)),$BB$6,IF(OR(COUNTIF('1.연간시수표'!AI58,$BC$9),COUNTIF('1.연간시수표'!AI58,$BC$7)),$BC$6,IF(OR(COUNTIF('1.연간시수표'!AI58,$BF$9),COUNTIF('1.연간시수표'!AI58,$BF$7),COUNTIF('1.연간시수표'!AI58,$BG$9),COUNTIF('1.연간시수표'!AI58,$BG$7),COUNTIF('1.연간시수표'!AI58,$BH$9),COUNTIF('1.연간시수표'!AI58,$BH$7),COUNTIF('1.연간시수표'!AI58,$BI$9),COUNTIF('1.연간시수표'!AI58,$BI$7),COUNTIF('1.연간시수표'!AI58,$BJ$9),COUNTIF('1.연간시수표'!AI58,$BJ$7),COUNTIF('1.연간시수표'!AI58,$BK$9),COUNTIF('1.연간시수표'!AI58,$BK$7),COUNTIF('1.연간시수표'!AI58,$BL$9),COUNTIF('1.연간시수표'!AI58,$BL$7),COUNTIF('1.연간시수표'!AI58,$BM$9),COUNTIF('1.연간시수표'!AI58,$BM$7)),$BF$6,IF(OR(COUNTIF('1.연간시수표'!AI58,$BO$9),COUNTIF('1.연간시수표'!AI58,$BO$7)),$BO$6,IF(OR(COUNTIF('1.연간시수표'!AI58,$BP$9),COUNTIF('1.연간시수표'!AI58,$BP$7)),$BP$6,IF(OR(COUNTIF('1.연간시수표'!AI58,$BQ$9),COUNTIF('1.연간시수표'!AI58,$BQ$7)),$BQ$6,IF(OR(COUNTIF('1.연간시수표'!AI58,$BR$9),COUNTIF('1.연간시수표'!AI58,$BR$7)),$BR$6,"_")))))))))))))))</f>
        <v>_</v>
      </c>
      <c r="AJ58" s="148" t="str">
        <f>IF(OR(COUNTIF('1.연간시수표'!AJ58,$AT$9),COUNTIF('1.연간시수표'!AJ58,$AT$7)),$AT$6,IF(OR(COUNTIF('1.연간시수표'!AJ58,$AU$9),COUNTIF('1.연간시수표'!AJ58,$AU$7)),$AU$6,IF(OR(COUNTIF('1.연간시수표'!AJ58,$AV$9),COUNTIF('1.연간시수표'!AJ58,$AV$7)),$AV$6,IF(OR(COUNTIF('1.연간시수표'!AJ58,$AW$9),COUNTIF('1.연간시수표'!AJ58,$AW$7)),$AW$6,IF(OR(COUNTIF('1.연간시수표'!AJ58,$AX$9),COUNTIF('1.연간시수표'!AJ58,$AX$7)),$AX$6,IF(OR(COUNTIF('1.연간시수표'!AJ58,$AY$9),COUNTIF('1.연간시수표'!AJ58,$AY$7)),$AY$6,IF(OR(COUNTIF('1.연간시수표'!AJ58,$AZ$9),COUNTIF('1.연간시수표'!AJ58,$AZ$7)),$AZ$6,IF(OR(COUNTIF('1.연간시수표'!AJ58,$BA$9),COUNTIF('1.연간시수표'!AJ58,$BA$7)),$BA$6,IF(OR(COUNTIF('1.연간시수표'!AJ58,$BB$9),COUNTIF('1.연간시수표'!AJ58,$BB$7)),$BB$6,IF(OR(COUNTIF('1.연간시수표'!AJ58,$BC$9),COUNTIF('1.연간시수표'!AJ58,$BC$7)),$BC$6,IF(OR(COUNTIF('1.연간시수표'!AJ58,$BF$9),COUNTIF('1.연간시수표'!AJ58,$BF$7),COUNTIF('1.연간시수표'!AJ58,$BG$9),COUNTIF('1.연간시수표'!AJ58,$BG$7),COUNTIF('1.연간시수표'!AJ58,$BH$9),COUNTIF('1.연간시수표'!AJ58,$BH$7),COUNTIF('1.연간시수표'!AJ58,$BI$9),COUNTIF('1.연간시수표'!AJ58,$BI$7),COUNTIF('1.연간시수표'!AJ58,$BJ$9),COUNTIF('1.연간시수표'!AJ58,$BJ$7),COUNTIF('1.연간시수표'!AJ58,$BK$9),COUNTIF('1.연간시수표'!AJ58,$BK$7),COUNTIF('1.연간시수표'!AJ58,$BL$9),COUNTIF('1.연간시수표'!AJ58,$BL$7),COUNTIF('1.연간시수표'!AJ58,$BM$9),COUNTIF('1.연간시수표'!AJ58,$BM$7)),$BF$6,IF(OR(COUNTIF('1.연간시수표'!AJ58,$BO$9),COUNTIF('1.연간시수표'!AJ58,$BO$7)),$BO$6,IF(OR(COUNTIF('1.연간시수표'!AJ58,$BP$9),COUNTIF('1.연간시수표'!AJ58,$BP$7)),$BP$6,IF(OR(COUNTIF('1.연간시수표'!AJ58,$BQ$9),COUNTIF('1.연간시수표'!AJ58,$BQ$7)),$BQ$6,IF(OR(COUNTIF('1.연간시수표'!AJ58,$BR$9),COUNTIF('1.연간시수표'!AJ58,$BR$7)),$BR$6,"_")))))))))))))))</f>
        <v>_</v>
      </c>
      <c r="AK58" s="148" t="str">
        <f>IF(OR(COUNTIF('1.연간시수표'!AK58,$AT$9),COUNTIF('1.연간시수표'!AK58,$AT$7)),$AT$6,IF(OR(COUNTIF('1.연간시수표'!AK58,$AU$9),COUNTIF('1.연간시수표'!AK58,$AU$7)),$AU$6,IF(OR(COUNTIF('1.연간시수표'!AK58,$AV$9),COUNTIF('1.연간시수표'!AK58,$AV$7)),$AV$6,IF(OR(COUNTIF('1.연간시수표'!AK58,$AW$9),COUNTIF('1.연간시수표'!AK58,$AW$7)),$AW$6,IF(OR(COUNTIF('1.연간시수표'!AK58,$AX$9),COUNTIF('1.연간시수표'!AK58,$AX$7)),$AX$6,IF(OR(COUNTIF('1.연간시수표'!AK58,$AY$9),COUNTIF('1.연간시수표'!AK58,$AY$7)),$AY$6,IF(OR(COUNTIF('1.연간시수표'!AK58,$AZ$9),COUNTIF('1.연간시수표'!AK58,$AZ$7)),$AZ$6,IF(OR(COUNTIF('1.연간시수표'!AK58,$BA$9),COUNTIF('1.연간시수표'!AK58,$BA$7)),$BA$6,IF(OR(COUNTIF('1.연간시수표'!AK58,$BB$9),COUNTIF('1.연간시수표'!AK58,$BB$7)),$BB$6,IF(OR(COUNTIF('1.연간시수표'!AK58,$BC$9),COUNTIF('1.연간시수표'!AK58,$BC$7)),$BC$6,IF(OR(COUNTIF('1.연간시수표'!AK58,$BF$9),COUNTIF('1.연간시수표'!AK58,$BF$7),COUNTIF('1.연간시수표'!AK58,$BG$9),COUNTIF('1.연간시수표'!AK58,$BG$7),COUNTIF('1.연간시수표'!AK58,$BH$9),COUNTIF('1.연간시수표'!AK58,$BH$7),COUNTIF('1.연간시수표'!AK58,$BI$9),COUNTIF('1.연간시수표'!AK58,$BI$7),COUNTIF('1.연간시수표'!AK58,$BJ$9),COUNTIF('1.연간시수표'!AK58,$BJ$7),COUNTIF('1.연간시수표'!AK58,$BK$9),COUNTIF('1.연간시수표'!AK58,$BK$7),COUNTIF('1.연간시수표'!AK58,$BL$9),COUNTIF('1.연간시수표'!AK58,$BL$7),COUNTIF('1.연간시수표'!AK58,$BM$9),COUNTIF('1.연간시수표'!AK58,$BM$7)),$BF$6,IF(OR(COUNTIF('1.연간시수표'!AK58,$BO$9),COUNTIF('1.연간시수표'!AK58,$BO$7)),$BO$6,IF(OR(COUNTIF('1.연간시수표'!AK58,$BP$9),COUNTIF('1.연간시수표'!AK58,$BP$7)),$BP$6,IF(OR(COUNTIF('1.연간시수표'!AK58,$BQ$9),COUNTIF('1.연간시수표'!AK58,$BQ$7)),$BQ$6,IF(OR(COUNTIF('1.연간시수표'!AK58,$BR$9),COUNTIF('1.연간시수표'!AK58,$BR$7)),$BR$6,"_")))))))))))))))</f>
        <v>국어</v>
      </c>
      <c r="AL58" s="148" t="str">
        <f>IF(OR(COUNTIF('1.연간시수표'!AL58,$AT$9),COUNTIF('1.연간시수표'!AL58,$AT$7)),$AT$6,IF(OR(COUNTIF('1.연간시수표'!AL58,$AU$9),COUNTIF('1.연간시수표'!AL58,$AU$7)),$AU$6,IF(OR(COUNTIF('1.연간시수표'!AL58,$AV$9),COUNTIF('1.연간시수표'!AL58,$AV$7)),$AV$6,IF(OR(COUNTIF('1.연간시수표'!AL58,$AW$9),COUNTIF('1.연간시수표'!AL58,$AW$7)),$AW$6,IF(OR(COUNTIF('1.연간시수표'!AL58,$AX$9),COUNTIF('1.연간시수표'!AL58,$AX$7)),$AX$6,IF(OR(COUNTIF('1.연간시수표'!AL58,$AY$9),COUNTIF('1.연간시수표'!AL58,$AY$7)),$AY$6,IF(OR(COUNTIF('1.연간시수표'!AL58,$AZ$9),COUNTIF('1.연간시수표'!AL58,$AZ$7)),$AZ$6,IF(OR(COUNTIF('1.연간시수표'!AL58,$BA$9),COUNTIF('1.연간시수표'!AL58,$BA$7)),$BA$6,IF(OR(COUNTIF('1.연간시수표'!AL58,$BB$9),COUNTIF('1.연간시수표'!AL58,$BB$7)),$BB$6,IF(OR(COUNTIF('1.연간시수표'!AL58,$BC$9),COUNTIF('1.연간시수표'!AL58,$BC$7)),$BC$6,IF(OR(COUNTIF('1.연간시수표'!AL58,$BF$9),COUNTIF('1.연간시수표'!AL58,$BF$7),COUNTIF('1.연간시수표'!AL58,$BG$9),COUNTIF('1.연간시수표'!AL58,$BG$7),COUNTIF('1.연간시수표'!AL58,$BH$9),COUNTIF('1.연간시수표'!AL58,$BH$7),COUNTIF('1.연간시수표'!AL58,$BI$9),COUNTIF('1.연간시수표'!AL58,$BI$7),COUNTIF('1.연간시수표'!AL58,$BJ$9),COUNTIF('1.연간시수표'!AL58,$BJ$7),COUNTIF('1.연간시수표'!AL58,$BK$9),COUNTIF('1.연간시수표'!AL58,$BK$7),COUNTIF('1.연간시수표'!AL58,$BL$9),COUNTIF('1.연간시수표'!AL58,$BL$7),COUNTIF('1.연간시수표'!AL58,$BM$9),COUNTIF('1.연간시수표'!AL58,$BM$7)),$BF$6,IF(OR(COUNTIF('1.연간시수표'!AL58,$BO$9),COUNTIF('1.연간시수표'!AL58,$BO$7)),$BO$6,IF(OR(COUNTIF('1.연간시수표'!AL58,$BP$9),COUNTIF('1.연간시수표'!AL58,$BP$7)),$BP$6,IF(OR(COUNTIF('1.연간시수표'!AL58,$BQ$9),COUNTIF('1.연간시수표'!AL58,$BQ$7)),$BQ$6,IF(OR(COUNTIF('1.연간시수표'!AL58,$BR$9),COUNTIF('1.연간시수표'!AL58,$BR$7)),$BR$6,"_")))))))))))))))</f>
        <v>체육</v>
      </c>
      <c r="AM58" s="148" t="str">
        <f>IF(OR(COUNTIF('1.연간시수표'!AM58,$AT$9),COUNTIF('1.연간시수표'!AM58,$AT$7)),$AT$6,IF(OR(COUNTIF('1.연간시수표'!AM58,$AU$9),COUNTIF('1.연간시수표'!AM58,$AU$7)),$AU$6,IF(OR(COUNTIF('1.연간시수표'!AM58,$AV$9),COUNTIF('1.연간시수표'!AM58,$AV$7)),$AV$6,IF(OR(COUNTIF('1.연간시수표'!AM58,$AW$9),COUNTIF('1.연간시수표'!AM58,$AW$7)),$AW$6,IF(OR(COUNTIF('1.연간시수표'!AM58,$AX$9),COUNTIF('1.연간시수표'!AM58,$AX$7)),$AX$6,IF(OR(COUNTIF('1.연간시수표'!AM58,$AY$9),COUNTIF('1.연간시수표'!AM58,$AY$7)),$AY$6,IF(OR(COUNTIF('1.연간시수표'!AM58,$AZ$9),COUNTIF('1.연간시수표'!AM58,$AZ$7)),$AZ$6,IF(OR(COUNTIF('1.연간시수표'!AM58,$BA$9),COUNTIF('1.연간시수표'!AM58,$BA$7)),$BA$6,IF(OR(COUNTIF('1.연간시수표'!AM58,$BB$9),COUNTIF('1.연간시수표'!AM58,$BB$7)),$BB$6,IF(OR(COUNTIF('1.연간시수표'!AM58,$BC$9),COUNTIF('1.연간시수표'!AM58,$BC$7)),$BC$6,IF(OR(COUNTIF('1.연간시수표'!AM58,$BF$9),COUNTIF('1.연간시수표'!AM58,$BF$7),COUNTIF('1.연간시수표'!AM58,$BG$9),COUNTIF('1.연간시수표'!AM58,$BG$7),COUNTIF('1.연간시수표'!AM58,$BH$9),COUNTIF('1.연간시수표'!AM58,$BH$7),COUNTIF('1.연간시수표'!AM58,$BI$9),COUNTIF('1.연간시수표'!AM58,$BI$7),COUNTIF('1.연간시수표'!AM58,$BJ$9),COUNTIF('1.연간시수표'!AM58,$BJ$7),COUNTIF('1.연간시수표'!AM58,$BK$9),COUNTIF('1.연간시수표'!AM58,$BK$7),COUNTIF('1.연간시수표'!AM58,$BL$9),COUNTIF('1.연간시수표'!AM58,$BL$7),COUNTIF('1.연간시수표'!AM58,$BM$9),COUNTIF('1.연간시수표'!AM58,$BM$7)),$BF$6,IF(OR(COUNTIF('1.연간시수표'!AM58,$BO$9),COUNTIF('1.연간시수표'!AM58,$BO$7)),$BO$6,IF(OR(COUNTIF('1.연간시수표'!AM58,$BP$9),COUNTIF('1.연간시수표'!AM58,$BP$7)),$BP$6,IF(OR(COUNTIF('1.연간시수표'!AM58,$BQ$9),COUNTIF('1.연간시수표'!AM58,$BQ$7)),$BQ$6,IF(OR(COUNTIF('1.연간시수표'!AM58,$BR$9),COUNTIF('1.연간시수표'!AM58,$BR$7)),$BR$6,"_")))))))))))))))</f>
        <v>수학</v>
      </c>
      <c r="AN58" s="148" t="str">
        <f>IF(OR(COUNTIF('1.연간시수표'!AN58,$AT$9),COUNTIF('1.연간시수표'!AN58,$AT$7)),$AT$6,IF(OR(COUNTIF('1.연간시수표'!AN58,$AU$9),COUNTIF('1.연간시수표'!AN58,$AU$7)),$AU$6,IF(OR(COUNTIF('1.연간시수표'!AN58,$AV$9),COUNTIF('1.연간시수표'!AN58,$AV$7)),$AV$6,IF(OR(COUNTIF('1.연간시수표'!AN58,$AW$9),COUNTIF('1.연간시수표'!AN58,$AW$7)),$AW$6,IF(OR(COUNTIF('1.연간시수표'!AN58,$AX$9),COUNTIF('1.연간시수표'!AN58,$AX$7)),$AX$6,IF(OR(COUNTIF('1.연간시수표'!AN58,$AY$9),COUNTIF('1.연간시수표'!AN58,$AY$7)),$AY$6,IF(OR(COUNTIF('1.연간시수표'!AN58,$AZ$9),COUNTIF('1.연간시수표'!AN58,$AZ$7)),$AZ$6,IF(OR(COUNTIF('1.연간시수표'!AN58,$BA$9),COUNTIF('1.연간시수표'!AN58,$BA$7)),$BA$6,IF(OR(COUNTIF('1.연간시수표'!AN58,$BB$9),COUNTIF('1.연간시수표'!AN58,$BB$7)),$BB$6,IF(OR(COUNTIF('1.연간시수표'!AN58,$BC$9),COUNTIF('1.연간시수표'!AN58,$BC$7)),$BC$6,IF(OR(COUNTIF('1.연간시수표'!AN58,$BF$9),COUNTIF('1.연간시수표'!AN58,$BF$7),COUNTIF('1.연간시수표'!AN58,$BG$9),COUNTIF('1.연간시수표'!AN58,$BG$7),COUNTIF('1.연간시수표'!AN58,$BH$9),COUNTIF('1.연간시수표'!AN58,$BH$7),COUNTIF('1.연간시수표'!AN58,$BI$9),COUNTIF('1.연간시수표'!AN58,$BI$7),COUNTIF('1.연간시수표'!AN58,$BJ$9),COUNTIF('1.연간시수표'!AN58,$BJ$7),COUNTIF('1.연간시수표'!AN58,$BK$9),COUNTIF('1.연간시수표'!AN58,$BK$7),COUNTIF('1.연간시수표'!AN58,$BL$9),COUNTIF('1.연간시수표'!AN58,$BL$7),COUNTIF('1.연간시수표'!AN58,$BM$9),COUNTIF('1.연간시수표'!AN58,$BM$7)),$BF$6,IF(OR(COUNTIF('1.연간시수표'!AN58,$BO$9),COUNTIF('1.연간시수표'!AN58,$BO$7)),$BO$6,IF(OR(COUNTIF('1.연간시수표'!AN58,$BP$9),COUNTIF('1.연간시수표'!AN58,$BP$7)),$BP$6,IF(OR(COUNTIF('1.연간시수표'!AN58,$BQ$9),COUNTIF('1.연간시수표'!AN58,$BQ$7)),$BQ$6,IF(OR(COUNTIF('1.연간시수표'!AN58,$BR$9),COUNTIF('1.연간시수표'!AN58,$BR$7)),$BR$6,"_")))))))))))))))</f>
        <v>국어</v>
      </c>
      <c r="AO58" s="148" t="str">
        <f>IF(OR(COUNTIF('1.연간시수표'!AO58,$AT$9),COUNTIF('1.연간시수표'!AO58,$AT$7)),$AT$6,IF(OR(COUNTIF('1.연간시수표'!AO58,$AU$9),COUNTIF('1.연간시수표'!AO58,$AU$7)),$AU$6,IF(OR(COUNTIF('1.연간시수표'!AO58,$AV$9),COUNTIF('1.연간시수표'!AO58,$AV$7)),$AV$6,IF(OR(COUNTIF('1.연간시수표'!AO58,$AW$9),COUNTIF('1.연간시수표'!AO58,$AW$7)),$AW$6,IF(OR(COUNTIF('1.연간시수표'!AO58,$AX$9),COUNTIF('1.연간시수표'!AO58,$AX$7)),$AX$6,IF(OR(COUNTIF('1.연간시수표'!AO58,$AY$9),COUNTIF('1.연간시수표'!AO58,$AY$7)),$AY$6,IF(OR(COUNTIF('1.연간시수표'!AO58,$AZ$9),COUNTIF('1.연간시수표'!AO58,$AZ$7)),$AZ$6,IF(OR(COUNTIF('1.연간시수표'!AO58,$BA$9),COUNTIF('1.연간시수표'!AO58,$BA$7)),$BA$6,IF(OR(COUNTIF('1.연간시수표'!AO58,$BB$9),COUNTIF('1.연간시수표'!AO58,$BB$7)),$BB$6,IF(OR(COUNTIF('1.연간시수표'!AO58,$BC$9),COUNTIF('1.연간시수표'!AO58,$BC$7)),$BC$6,IF(OR(COUNTIF('1.연간시수표'!AO58,$BF$9),COUNTIF('1.연간시수표'!AO58,$BF$7),COUNTIF('1.연간시수표'!AO58,$BG$9),COUNTIF('1.연간시수표'!AO58,$BG$7),COUNTIF('1.연간시수표'!AO58,$BH$9),COUNTIF('1.연간시수표'!AO58,$BH$7),COUNTIF('1.연간시수표'!AO58,$BI$9),COUNTIF('1.연간시수표'!AO58,$BI$7),COUNTIF('1.연간시수표'!AO58,$BJ$9),COUNTIF('1.연간시수표'!AO58,$BJ$7),COUNTIF('1.연간시수표'!AO58,$BK$9),COUNTIF('1.연간시수표'!AO58,$BK$7),COUNTIF('1.연간시수표'!AO58,$BL$9),COUNTIF('1.연간시수표'!AO58,$BL$7),COUNTIF('1.연간시수표'!AO58,$BM$9),COUNTIF('1.연간시수표'!AO58,$BM$7)),$BF$6,IF(OR(COUNTIF('1.연간시수표'!AO58,$BO$9),COUNTIF('1.연간시수표'!AO58,$BO$7)),$BO$6,IF(OR(COUNTIF('1.연간시수표'!AO58,$BP$9),COUNTIF('1.연간시수표'!AO58,$BP$7)),$BP$6,IF(OR(COUNTIF('1.연간시수표'!AO58,$BQ$9),COUNTIF('1.연간시수표'!AO58,$BQ$7)),$BQ$6,IF(OR(COUNTIF('1.연간시수표'!AO58,$BR$9),COUNTIF('1.연간시수표'!AO58,$BR$7)),$BR$6,"_")))))))))))))))</f>
        <v>사회</v>
      </c>
      <c r="AP58" s="148" t="str">
        <f>IF(OR(COUNTIF('1.연간시수표'!AP58,$AT$9),COUNTIF('1.연간시수표'!AP58,$AT$7)),$AT$6,IF(OR(COUNTIF('1.연간시수표'!AP58,$AU$9),COUNTIF('1.연간시수표'!AP58,$AU$7)),$AU$6,IF(OR(COUNTIF('1.연간시수표'!AP58,$AV$9),COUNTIF('1.연간시수표'!AP58,$AV$7)),$AV$6,IF(OR(COUNTIF('1.연간시수표'!AP58,$AW$9),COUNTIF('1.연간시수표'!AP58,$AW$7)),$AW$6,IF(OR(COUNTIF('1.연간시수표'!AP58,$AX$9),COUNTIF('1.연간시수표'!AP58,$AX$7)),$AX$6,IF(OR(COUNTIF('1.연간시수표'!AP58,$AY$9),COUNTIF('1.연간시수표'!AP58,$AY$7)),$AY$6,IF(OR(COUNTIF('1.연간시수표'!AP58,$AZ$9),COUNTIF('1.연간시수표'!AP58,$AZ$7)),$AZ$6,IF(OR(COUNTIF('1.연간시수표'!AP58,$BA$9),COUNTIF('1.연간시수표'!AP58,$BA$7)),$BA$6,IF(OR(COUNTIF('1.연간시수표'!AP58,$BB$9),COUNTIF('1.연간시수표'!AP58,$BB$7)),$BB$6,IF(OR(COUNTIF('1.연간시수표'!AP58,$BC$9),COUNTIF('1.연간시수표'!AP58,$BC$7)),$BC$6,IF(OR(COUNTIF('1.연간시수표'!AP58,$BF$9),COUNTIF('1.연간시수표'!AP58,$BF$7),COUNTIF('1.연간시수표'!AP58,$BG$9),COUNTIF('1.연간시수표'!AP58,$BG$7),COUNTIF('1.연간시수표'!AP58,$BH$9),COUNTIF('1.연간시수표'!AP58,$BH$7),COUNTIF('1.연간시수표'!AP58,$BI$9),COUNTIF('1.연간시수표'!AP58,$BI$7),COUNTIF('1.연간시수표'!AP58,$BJ$9),COUNTIF('1.연간시수표'!AP58,$BJ$7),COUNTIF('1.연간시수표'!AP58,$BK$9),COUNTIF('1.연간시수표'!AP58,$BK$7),COUNTIF('1.연간시수표'!AP58,$BL$9),COUNTIF('1.연간시수표'!AP58,$BL$7),COUNTIF('1.연간시수표'!AP58,$BM$9),COUNTIF('1.연간시수표'!AP58,$BM$7)),$BF$6,IF(OR(COUNTIF('1.연간시수표'!AP58,$BO$9),COUNTIF('1.연간시수표'!AP58,$BO$7)),$BO$6,IF(OR(COUNTIF('1.연간시수표'!AP58,$BP$9),COUNTIF('1.연간시수표'!AP58,$BP$7)),$BP$6,IF(OR(COUNTIF('1.연간시수표'!AP58,$BQ$9),COUNTIF('1.연간시수표'!AP58,$BQ$7)),$BQ$6,IF(OR(COUNTIF('1.연간시수표'!AP58,$BR$9),COUNTIF('1.연간시수표'!AP58,$BR$7)),$BR$6,"_")))))))))))))))</f>
        <v>실과</v>
      </c>
      <c r="AQ58" s="148" t="str">
        <f>IF(OR(COUNTIF('1.연간시수표'!AQ58,$AT$9),COUNTIF('1.연간시수표'!AQ58,$AT$7)),$AT$6,IF(OR(COUNTIF('1.연간시수표'!AQ58,$AU$9),COUNTIF('1.연간시수표'!AQ58,$AU$7)),$AU$6,IF(OR(COUNTIF('1.연간시수표'!AQ58,$AV$9),COUNTIF('1.연간시수표'!AQ58,$AV$7)),$AV$6,IF(OR(COUNTIF('1.연간시수표'!AQ58,$AW$9),COUNTIF('1.연간시수표'!AQ58,$AW$7)),$AW$6,IF(OR(COUNTIF('1.연간시수표'!AQ58,$AX$9),COUNTIF('1.연간시수표'!AQ58,$AX$7)),$AX$6,IF(OR(COUNTIF('1.연간시수표'!AQ58,$AY$9),COUNTIF('1.연간시수표'!AQ58,$AY$7)),$AY$6,IF(OR(COUNTIF('1.연간시수표'!AQ58,$AZ$9),COUNTIF('1.연간시수표'!AQ58,$AZ$7)),$AZ$6,IF(OR(COUNTIF('1.연간시수표'!AQ58,$BA$9),COUNTIF('1.연간시수표'!AQ58,$BA$7)),$BA$6,IF(OR(COUNTIF('1.연간시수표'!AQ58,$BB$9),COUNTIF('1.연간시수표'!AQ58,$BB$7)),$BB$6,IF(OR(COUNTIF('1.연간시수표'!AQ58,$BC$9),COUNTIF('1.연간시수표'!AQ58,$BC$7)),$BC$6,IF(OR(COUNTIF('1.연간시수표'!AQ58,$BF$9),COUNTIF('1.연간시수표'!AQ58,$BF$7),COUNTIF('1.연간시수표'!AQ58,$BG$9),COUNTIF('1.연간시수표'!AQ58,$BG$7),COUNTIF('1.연간시수표'!AQ58,$BH$9),COUNTIF('1.연간시수표'!AQ58,$BH$7),COUNTIF('1.연간시수표'!AQ58,$BI$9),COUNTIF('1.연간시수표'!AQ58,$BI$7),COUNTIF('1.연간시수표'!AQ58,$BJ$9),COUNTIF('1.연간시수표'!AQ58,$BJ$7),COUNTIF('1.연간시수표'!AQ58,$BK$9),COUNTIF('1.연간시수표'!AQ58,$BK$7),COUNTIF('1.연간시수표'!AQ58,$BL$9),COUNTIF('1.연간시수표'!AQ58,$BL$7),COUNTIF('1.연간시수표'!AQ58,$BM$9),COUNTIF('1.연간시수표'!AQ58,$BM$7)),$BF$6,IF(OR(COUNTIF('1.연간시수표'!AQ58,$BO$9),COUNTIF('1.연간시수표'!AQ58,$BO$7)),$BO$6,IF(OR(COUNTIF('1.연간시수표'!AQ58,$BP$9),COUNTIF('1.연간시수표'!AQ58,$BP$7)),$BP$6,IF(OR(COUNTIF('1.연간시수표'!AQ58,$BQ$9),COUNTIF('1.연간시수표'!AQ58,$BQ$7)),$BQ$6,IF(OR(COUNTIF('1.연간시수표'!AQ58,$BR$9),COUNTIF('1.연간시수표'!AQ58,$BR$7)),$BR$6,"_")))))))))))))))</f>
        <v>_</v>
      </c>
      <c r="AR58" s="148" t="str">
        <f>IF(OR(COUNTIF('1.연간시수표'!AR58,$AT$9),COUNTIF('1.연간시수표'!AR58,$AT$7)),$AT$6,IF(OR(COUNTIF('1.연간시수표'!AR58,$AU$9),COUNTIF('1.연간시수표'!AR58,$AU$7)),$AU$6,IF(OR(COUNTIF('1.연간시수표'!AR58,$AV$9),COUNTIF('1.연간시수표'!AR58,$AV$7)),$AV$6,IF(OR(COUNTIF('1.연간시수표'!AR58,$AW$9),COUNTIF('1.연간시수표'!AR58,$AW$7)),$AW$6,IF(OR(COUNTIF('1.연간시수표'!AR58,$AX$9),COUNTIF('1.연간시수표'!AR58,$AX$7)),$AX$6,IF(OR(COUNTIF('1.연간시수표'!AR58,$AY$9),COUNTIF('1.연간시수표'!AR58,$AY$7)),$AY$6,IF(OR(COUNTIF('1.연간시수표'!AR58,$AZ$9),COUNTIF('1.연간시수표'!AR58,$AZ$7)),$AZ$6,IF(OR(COUNTIF('1.연간시수표'!AR58,$BA$9),COUNTIF('1.연간시수표'!AR58,$BA$7)),$BA$6,IF(OR(COUNTIF('1.연간시수표'!AR58,$BB$9),COUNTIF('1.연간시수표'!AR58,$BB$7)),$BB$6,IF(OR(COUNTIF('1.연간시수표'!AR58,$BC$9),COUNTIF('1.연간시수표'!AR58,$BC$7)),$BC$6,IF(OR(COUNTIF('1.연간시수표'!AR58,$BF$9),COUNTIF('1.연간시수표'!AR58,$BF$7),COUNTIF('1.연간시수표'!AR58,$BG$9),COUNTIF('1.연간시수표'!AR58,$BG$7),COUNTIF('1.연간시수표'!AR58,$BH$9),COUNTIF('1.연간시수표'!AR58,$BH$7),COUNTIF('1.연간시수표'!AR58,$BI$9),COUNTIF('1.연간시수표'!AR58,$BI$7),COUNTIF('1.연간시수표'!AR58,$BJ$9),COUNTIF('1.연간시수표'!AR58,$BJ$7),COUNTIF('1.연간시수표'!AR58,$BK$9),COUNTIF('1.연간시수표'!AR58,$BK$7),COUNTIF('1.연간시수표'!AR58,$BL$9),COUNTIF('1.연간시수표'!AR58,$BL$7),COUNTIF('1.연간시수표'!AR58,$BM$9),COUNTIF('1.연간시수표'!AR58,$BM$7)),$BF$6,IF(OR(COUNTIF('1.연간시수표'!AR58,$BO$9),COUNTIF('1.연간시수표'!AR58,$BO$7)),$BO$6,IF(OR(COUNTIF('1.연간시수표'!AR58,$BP$9),COUNTIF('1.연간시수표'!AR58,$BP$7)),$BP$6,IF(OR(COUNTIF('1.연간시수표'!AR58,$BQ$9),COUNTIF('1.연간시수표'!AR58,$BQ$7)),$BQ$6,IF(OR(COUNTIF('1.연간시수표'!AR58,$BR$9),COUNTIF('1.연간시수표'!AR58,$BR$7)),$BR$6,"_")))))))))))))))</f>
        <v>_</v>
      </c>
      <c r="BU58" s="32"/>
    </row>
    <row r="59" spans="2:73">
      <c r="B59" s="6"/>
      <c r="C59" s="79">
        <f>'1.연간시수표'!C59</f>
        <v>28</v>
      </c>
      <c r="D59" s="3"/>
      <c r="E59" s="148" t="str">
        <f>IF(OR(COUNTIF('1.연간시수표'!E59,$AT$9),COUNTIF('1.연간시수표'!E59,$AT$7)),$AT$6,IF(OR(COUNTIF('1.연간시수표'!E59,$AU$9),COUNTIF('1.연간시수표'!E59,$AU$7)),$AU$6,IF(OR(COUNTIF('1.연간시수표'!E59,$AV$9),COUNTIF('1.연간시수표'!E59,$AV$7)),$AV$6,IF(OR(COUNTIF('1.연간시수표'!E59,$AW$9),COUNTIF('1.연간시수표'!E59,$AW$7)),$AW$6,IF(OR(COUNTIF('1.연간시수표'!E59,$AX$9),COUNTIF('1.연간시수표'!E59,$AX$7)),$AX$6,IF(OR(COUNTIF('1.연간시수표'!E59,$AY$9),COUNTIF('1.연간시수표'!E59,$AY$7)),$AY$6,IF(OR(COUNTIF('1.연간시수표'!E59,$AZ$9),COUNTIF('1.연간시수표'!E59,$AZ$7)),$AZ$6,IF(OR(COUNTIF('1.연간시수표'!E59,$BA$9),COUNTIF('1.연간시수표'!E59,$BA$7)),$BA$6,IF(OR(COUNTIF('1.연간시수표'!E59,$BB$9),COUNTIF('1.연간시수표'!E59,$BB$7)),$BB$6,IF(OR(COUNTIF('1.연간시수표'!E59,$BC$9),COUNTIF('1.연간시수표'!E59,$BC$7)),$BC$6,IF(OR(COUNTIF('1.연간시수표'!E59,$BF$9),COUNTIF('1.연간시수표'!E59,$BF$7),COUNTIF('1.연간시수표'!E59,$BG$9),COUNTIF('1.연간시수표'!E59,$BG$7),COUNTIF('1.연간시수표'!E59,$BH$9),COUNTIF('1.연간시수표'!E59,$BH$7),COUNTIF('1.연간시수표'!E59,$BI$9),COUNTIF('1.연간시수표'!E59,$BI$7),COUNTIF('1.연간시수표'!E59,$BJ$9),COUNTIF('1.연간시수표'!E59,$BJ$7),COUNTIF('1.연간시수표'!E59,$BK$9),COUNTIF('1.연간시수표'!E59,$BK$7),COUNTIF('1.연간시수표'!E59,$BL$9),COUNTIF('1.연간시수표'!E59,$BL$7),COUNTIF('1.연간시수표'!E59,$BM$9),COUNTIF('1.연간시수표'!E59,$BM$7)),$BF$6,IF(OR(COUNTIF('1.연간시수표'!E59,$BO$9),COUNTIF('1.연간시수표'!E59,$BO$7)),$BO$6,IF(OR(COUNTIF('1.연간시수표'!E59,$BP$9),COUNTIF('1.연간시수표'!E59,$BP$7)),$BP$6,IF(OR(COUNTIF('1.연간시수표'!E59,$BQ$9),COUNTIF('1.연간시수표'!E59,$BQ$7)),$BQ$6,IF(OR(COUNTIF('1.연간시수표'!E59,$BR$9),COUNTIF('1.연간시수표'!E59,$BR$7)),$BR$6,"_")))))))))))))))</f>
        <v>국어</v>
      </c>
      <c r="F59" s="148" t="str">
        <f>IF(OR(COUNTIF('1.연간시수표'!F59,$AT$9),COUNTIF('1.연간시수표'!F59,$AT$7)),$AT$6,IF(OR(COUNTIF('1.연간시수표'!F59,$AU$9),COUNTIF('1.연간시수표'!F59,$AU$7)),$AU$6,IF(OR(COUNTIF('1.연간시수표'!F59,$AV$9),COUNTIF('1.연간시수표'!F59,$AV$7)),$AV$6,IF(OR(COUNTIF('1.연간시수표'!F59,$AW$9),COUNTIF('1.연간시수표'!F59,$AW$7)),$AW$6,IF(OR(COUNTIF('1.연간시수표'!F59,$AX$9),COUNTIF('1.연간시수표'!F59,$AX$7)),$AX$6,IF(OR(COUNTIF('1.연간시수표'!F59,$AY$9),COUNTIF('1.연간시수표'!F59,$AY$7)),$AY$6,IF(OR(COUNTIF('1.연간시수표'!F59,$AZ$9),COUNTIF('1.연간시수표'!F59,$AZ$7)),$AZ$6,IF(OR(COUNTIF('1.연간시수표'!F59,$BA$9),COUNTIF('1.연간시수표'!F59,$BA$7)),$BA$6,IF(OR(COUNTIF('1.연간시수표'!F59,$BB$9),COUNTIF('1.연간시수표'!F59,$BB$7)),$BB$6,IF(OR(COUNTIF('1.연간시수표'!F59,$BC$9),COUNTIF('1.연간시수표'!F59,$BC$7)),$BC$6,IF(OR(COUNTIF('1.연간시수표'!F59,$BF$9),COUNTIF('1.연간시수표'!F59,$BF$7),COUNTIF('1.연간시수표'!F59,$BG$9),COUNTIF('1.연간시수표'!F59,$BG$7),COUNTIF('1.연간시수표'!F59,$BH$9),COUNTIF('1.연간시수표'!F59,$BH$7),COUNTIF('1.연간시수표'!F59,$BI$9),COUNTIF('1.연간시수표'!F59,$BI$7),COUNTIF('1.연간시수표'!F59,$BJ$9),COUNTIF('1.연간시수표'!F59,$BJ$7),COUNTIF('1.연간시수표'!F59,$BK$9),COUNTIF('1.연간시수표'!F59,$BK$7),COUNTIF('1.연간시수표'!F59,$BL$9),COUNTIF('1.연간시수표'!F59,$BL$7),COUNTIF('1.연간시수표'!F59,$BM$9),COUNTIF('1.연간시수표'!F59,$BM$7)),$BF$6,IF(OR(COUNTIF('1.연간시수표'!F59,$BO$9),COUNTIF('1.연간시수표'!F59,$BO$7)),$BO$6,IF(OR(COUNTIF('1.연간시수표'!F59,$BP$9),COUNTIF('1.연간시수표'!F59,$BP$7)),$BP$6,IF(OR(COUNTIF('1.연간시수표'!F59,$BQ$9),COUNTIF('1.연간시수표'!F59,$BQ$7)),$BQ$6,IF(OR(COUNTIF('1.연간시수표'!F59,$BR$9),COUNTIF('1.연간시수표'!F59,$BR$7)),$BR$6,"_")))))))))))))))</f>
        <v>미술</v>
      </c>
      <c r="G59" s="148" t="str">
        <f>IF(OR(COUNTIF('1.연간시수표'!G59,$AT$9),COUNTIF('1.연간시수표'!G59,$AT$7)),$AT$6,IF(OR(COUNTIF('1.연간시수표'!G59,$AU$9),COUNTIF('1.연간시수표'!G59,$AU$7)),$AU$6,IF(OR(COUNTIF('1.연간시수표'!G59,$AV$9),COUNTIF('1.연간시수표'!G59,$AV$7)),$AV$6,IF(OR(COUNTIF('1.연간시수표'!G59,$AW$9),COUNTIF('1.연간시수표'!G59,$AW$7)),$AW$6,IF(OR(COUNTIF('1.연간시수표'!G59,$AX$9),COUNTIF('1.연간시수표'!G59,$AX$7)),$AX$6,IF(OR(COUNTIF('1.연간시수표'!G59,$AY$9),COUNTIF('1.연간시수표'!G59,$AY$7)),$AY$6,IF(OR(COUNTIF('1.연간시수표'!G59,$AZ$9),COUNTIF('1.연간시수표'!G59,$AZ$7)),$AZ$6,IF(OR(COUNTIF('1.연간시수표'!G59,$BA$9),COUNTIF('1.연간시수표'!G59,$BA$7)),$BA$6,IF(OR(COUNTIF('1.연간시수표'!G59,$BB$9),COUNTIF('1.연간시수표'!G59,$BB$7)),$BB$6,IF(OR(COUNTIF('1.연간시수표'!G59,$BC$9),COUNTIF('1.연간시수표'!G59,$BC$7)),$BC$6,IF(OR(COUNTIF('1.연간시수표'!G59,$BF$9),COUNTIF('1.연간시수표'!G59,$BF$7),COUNTIF('1.연간시수표'!G59,$BG$9),COUNTIF('1.연간시수표'!G59,$BG$7),COUNTIF('1.연간시수표'!G59,$BH$9),COUNTIF('1.연간시수표'!G59,$BH$7),COUNTIF('1.연간시수표'!G59,$BI$9),COUNTIF('1.연간시수표'!G59,$BI$7),COUNTIF('1.연간시수표'!G59,$BJ$9),COUNTIF('1.연간시수표'!G59,$BJ$7),COUNTIF('1.연간시수표'!G59,$BK$9),COUNTIF('1.연간시수표'!G59,$BK$7),COUNTIF('1.연간시수표'!G59,$BL$9),COUNTIF('1.연간시수표'!G59,$BL$7),COUNTIF('1.연간시수표'!G59,$BM$9),COUNTIF('1.연간시수표'!G59,$BM$7)),$BF$6,IF(OR(COUNTIF('1.연간시수표'!G59,$BO$9),COUNTIF('1.연간시수표'!G59,$BO$7)),$BO$6,IF(OR(COUNTIF('1.연간시수표'!G59,$BP$9),COUNTIF('1.연간시수표'!G59,$BP$7)),$BP$6,IF(OR(COUNTIF('1.연간시수표'!G59,$BQ$9),COUNTIF('1.연간시수표'!G59,$BQ$7)),$BQ$6,IF(OR(COUNTIF('1.연간시수표'!G59,$BR$9),COUNTIF('1.연간시수표'!G59,$BR$7)),$BR$6,"_")))))))))))))))</f>
        <v>미술</v>
      </c>
      <c r="H59" s="148" t="str">
        <f>IF(OR(COUNTIF('1.연간시수표'!H59,$AT$9),COUNTIF('1.연간시수표'!H59,$AT$7)),$AT$6,IF(OR(COUNTIF('1.연간시수표'!H59,$AU$9),COUNTIF('1.연간시수표'!H59,$AU$7)),$AU$6,IF(OR(COUNTIF('1.연간시수표'!H59,$AV$9),COUNTIF('1.연간시수표'!H59,$AV$7)),$AV$6,IF(OR(COUNTIF('1.연간시수표'!H59,$AW$9),COUNTIF('1.연간시수표'!H59,$AW$7)),$AW$6,IF(OR(COUNTIF('1.연간시수표'!H59,$AX$9),COUNTIF('1.연간시수표'!H59,$AX$7)),$AX$6,IF(OR(COUNTIF('1.연간시수표'!H59,$AY$9),COUNTIF('1.연간시수표'!H59,$AY$7)),$AY$6,IF(OR(COUNTIF('1.연간시수표'!H59,$AZ$9),COUNTIF('1.연간시수표'!H59,$AZ$7)),$AZ$6,IF(OR(COUNTIF('1.연간시수표'!H59,$BA$9),COUNTIF('1.연간시수표'!H59,$BA$7)),$BA$6,IF(OR(COUNTIF('1.연간시수표'!H59,$BB$9),COUNTIF('1.연간시수표'!H59,$BB$7)),$BB$6,IF(OR(COUNTIF('1.연간시수표'!H59,$BC$9),COUNTIF('1.연간시수표'!H59,$BC$7)),$BC$6,IF(OR(COUNTIF('1.연간시수표'!H59,$BF$9),COUNTIF('1.연간시수표'!H59,$BF$7),COUNTIF('1.연간시수표'!H59,$BG$9),COUNTIF('1.연간시수표'!H59,$BG$7),COUNTIF('1.연간시수표'!H59,$BH$9),COUNTIF('1.연간시수표'!H59,$BH$7),COUNTIF('1.연간시수표'!H59,$BI$9),COUNTIF('1.연간시수표'!H59,$BI$7),COUNTIF('1.연간시수표'!H59,$BJ$9),COUNTIF('1.연간시수표'!H59,$BJ$7),COUNTIF('1.연간시수표'!H59,$BK$9),COUNTIF('1.연간시수표'!H59,$BK$7),COUNTIF('1.연간시수표'!H59,$BL$9),COUNTIF('1.연간시수표'!H59,$BL$7),COUNTIF('1.연간시수표'!H59,$BM$9),COUNTIF('1.연간시수표'!H59,$BM$7)),$BF$6,IF(OR(COUNTIF('1.연간시수표'!H59,$BO$9),COUNTIF('1.연간시수표'!H59,$BO$7)),$BO$6,IF(OR(COUNTIF('1.연간시수표'!H59,$BP$9),COUNTIF('1.연간시수표'!H59,$BP$7)),$BP$6,IF(OR(COUNTIF('1.연간시수표'!H59,$BQ$9),COUNTIF('1.연간시수표'!H59,$BQ$7)),$BQ$6,IF(OR(COUNTIF('1.연간시수표'!H59,$BR$9),COUNTIF('1.연간시수표'!H59,$BR$7)),$BR$6,"_")))))))))))))))</f>
        <v>영어</v>
      </c>
      <c r="I59" s="148" t="str">
        <f>IF(OR(COUNTIF('1.연간시수표'!I59,$AT$9),COUNTIF('1.연간시수표'!I59,$AT$7)),$AT$6,IF(OR(COUNTIF('1.연간시수표'!I59,$AU$9),COUNTIF('1.연간시수표'!I59,$AU$7)),$AU$6,IF(OR(COUNTIF('1.연간시수표'!I59,$AV$9),COUNTIF('1.연간시수표'!I59,$AV$7)),$AV$6,IF(OR(COUNTIF('1.연간시수표'!I59,$AW$9),COUNTIF('1.연간시수표'!I59,$AW$7)),$AW$6,IF(OR(COUNTIF('1.연간시수표'!I59,$AX$9),COUNTIF('1.연간시수표'!I59,$AX$7)),$AX$6,IF(OR(COUNTIF('1.연간시수표'!I59,$AY$9),COUNTIF('1.연간시수표'!I59,$AY$7)),$AY$6,IF(OR(COUNTIF('1.연간시수표'!I59,$AZ$9),COUNTIF('1.연간시수표'!I59,$AZ$7)),$AZ$6,IF(OR(COUNTIF('1.연간시수표'!I59,$BA$9),COUNTIF('1.연간시수표'!I59,$BA$7)),$BA$6,IF(OR(COUNTIF('1.연간시수표'!I59,$BB$9),COUNTIF('1.연간시수표'!I59,$BB$7)),$BB$6,IF(OR(COUNTIF('1.연간시수표'!I59,$BC$9),COUNTIF('1.연간시수표'!I59,$BC$7)),$BC$6,IF(OR(COUNTIF('1.연간시수표'!I59,$BF$9),COUNTIF('1.연간시수표'!I59,$BF$7),COUNTIF('1.연간시수표'!I59,$BG$9),COUNTIF('1.연간시수표'!I59,$BG$7),COUNTIF('1.연간시수표'!I59,$BH$9),COUNTIF('1.연간시수표'!I59,$BH$7),COUNTIF('1.연간시수표'!I59,$BI$9),COUNTIF('1.연간시수표'!I59,$BI$7),COUNTIF('1.연간시수표'!I59,$BJ$9),COUNTIF('1.연간시수표'!I59,$BJ$7),COUNTIF('1.연간시수표'!I59,$BK$9),COUNTIF('1.연간시수표'!I59,$BK$7),COUNTIF('1.연간시수표'!I59,$BL$9),COUNTIF('1.연간시수표'!I59,$BL$7),COUNTIF('1.연간시수표'!I59,$BM$9),COUNTIF('1.연간시수표'!I59,$BM$7)),$BF$6,IF(OR(COUNTIF('1.연간시수표'!I59,$BO$9),COUNTIF('1.연간시수표'!I59,$BO$7)),$BO$6,IF(OR(COUNTIF('1.연간시수표'!I59,$BP$9),COUNTIF('1.연간시수표'!I59,$BP$7)),$BP$6,IF(OR(COUNTIF('1.연간시수표'!I59,$BQ$9),COUNTIF('1.연간시수표'!I59,$BQ$7)),$BQ$6,IF(OR(COUNTIF('1.연간시수표'!I59,$BR$9),COUNTIF('1.연간시수표'!I59,$BR$7)),$BR$6,"_")))))))))))))))</f>
        <v>수학</v>
      </c>
      <c r="J59" s="148" t="str">
        <f>IF(OR(COUNTIF('1.연간시수표'!J59,$AT$9),COUNTIF('1.연간시수표'!J59,$AT$7)),$AT$6,IF(OR(COUNTIF('1.연간시수표'!J59,$AU$9),COUNTIF('1.연간시수표'!J59,$AU$7)),$AU$6,IF(OR(COUNTIF('1.연간시수표'!J59,$AV$9),COUNTIF('1.연간시수표'!J59,$AV$7)),$AV$6,IF(OR(COUNTIF('1.연간시수표'!J59,$AW$9),COUNTIF('1.연간시수표'!J59,$AW$7)),$AW$6,IF(OR(COUNTIF('1.연간시수표'!J59,$AX$9),COUNTIF('1.연간시수표'!J59,$AX$7)),$AX$6,IF(OR(COUNTIF('1.연간시수표'!J59,$AY$9),COUNTIF('1.연간시수표'!J59,$AY$7)),$AY$6,IF(OR(COUNTIF('1.연간시수표'!J59,$AZ$9),COUNTIF('1.연간시수표'!J59,$AZ$7)),$AZ$6,IF(OR(COUNTIF('1.연간시수표'!J59,$BA$9),COUNTIF('1.연간시수표'!J59,$BA$7)),$BA$6,IF(OR(COUNTIF('1.연간시수표'!J59,$BB$9),COUNTIF('1.연간시수표'!J59,$BB$7)),$BB$6,IF(OR(COUNTIF('1.연간시수표'!J59,$BC$9),COUNTIF('1.연간시수표'!J59,$BC$7)),$BC$6,IF(OR(COUNTIF('1.연간시수표'!J59,$BF$9),COUNTIF('1.연간시수표'!J59,$BF$7),COUNTIF('1.연간시수표'!J59,$BG$9),COUNTIF('1.연간시수표'!J59,$BG$7),COUNTIF('1.연간시수표'!J59,$BH$9),COUNTIF('1.연간시수표'!J59,$BH$7),COUNTIF('1.연간시수표'!J59,$BI$9),COUNTIF('1.연간시수표'!J59,$BI$7),COUNTIF('1.연간시수표'!J59,$BJ$9),COUNTIF('1.연간시수표'!J59,$BJ$7),COUNTIF('1.연간시수표'!J59,$BK$9),COUNTIF('1.연간시수표'!J59,$BK$7),COUNTIF('1.연간시수표'!J59,$BL$9),COUNTIF('1.연간시수표'!J59,$BL$7),COUNTIF('1.연간시수표'!J59,$BM$9),COUNTIF('1.연간시수표'!J59,$BM$7)),$BF$6,IF(OR(COUNTIF('1.연간시수표'!J59,$BO$9),COUNTIF('1.연간시수표'!J59,$BO$7)),$BO$6,IF(OR(COUNTIF('1.연간시수표'!J59,$BP$9),COUNTIF('1.연간시수표'!J59,$BP$7)),$BP$6,IF(OR(COUNTIF('1.연간시수표'!J59,$BQ$9),COUNTIF('1.연간시수표'!J59,$BQ$7)),$BQ$6,IF(OR(COUNTIF('1.연간시수표'!J59,$BR$9),COUNTIF('1.연간시수표'!J59,$BR$7)),$BR$6,"_")))))))))))))))</f>
        <v>자율활동</v>
      </c>
      <c r="K59" s="148" t="str">
        <f>IF(OR(COUNTIF('1.연간시수표'!K59,$AT$9),COUNTIF('1.연간시수표'!K59,$AT$7)),$AT$6,IF(OR(COUNTIF('1.연간시수표'!K59,$AU$9),COUNTIF('1.연간시수표'!K59,$AU$7)),$AU$6,IF(OR(COUNTIF('1.연간시수표'!K59,$AV$9),COUNTIF('1.연간시수표'!K59,$AV$7)),$AV$6,IF(OR(COUNTIF('1.연간시수표'!K59,$AW$9),COUNTIF('1.연간시수표'!K59,$AW$7)),$AW$6,IF(OR(COUNTIF('1.연간시수표'!K59,$AX$9),COUNTIF('1.연간시수표'!K59,$AX$7)),$AX$6,IF(OR(COUNTIF('1.연간시수표'!K59,$AY$9),COUNTIF('1.연간시수표'!K59,$AY$7)),$AY$6,IF(OR(COUNTIF('1.연간시수표'!K59,$AZ$9),COUNTIF('1.연간시수표'!K59,$AZ$7)),$AZ$6,IF(OR(COUNTIF('1.연간시수표'!K59,$BA$9),COUNTIF('1.연간시수표'!K59,$BA$7)),$BA$6,IF(OR(COUNTIF('1.연간시수표'!K59,$BB$9),COUNTIF('1.연간시수표'!K59,$BB$7)),$BB$6,IF(OR(COUNTIF('1.연간시수표'!K59,$BC$9),COUNTIF('1.연간시수표'!K59,$BC$7)),$BC$6,IF(OR(COUNTIF('1.연간시수표'!K59,$BF$9),COUNTIF('1.연간시수표'!K59,$BF$7),COUNTIF('1.연간시수표'!K59,$BG$9),COUNTIF('1.연간시수표'!K59,$BG$7),COUNTIF('1.연간시수표'!K59,$BH$9),COUNTIF('1.연간시수표'!K59,$BH$7),COUNTIF('1.연간시수표'!K59,$BI$9),COUNTIF('1.연간시수표'!K59,$BI$7),COUNTIF('1.연간시수표'!K59,$BJ$9),COUNTIF('1.연간시수표'!K59,$BJ$7),COUNTIF('1.연간시수표'!K59,$BK$9),COUNTIF('1.연간시수표'!K59,$BK$7),COUNTIF('1.연간시수표'!K59,$BL$9),COUNTIF('1.연간시수표'!K59,$BL$7),COUNTIF('1.연간시수표'!K59,$BM$9),COUNTIF('1.연간시수표'!K59,$BM$7)),$BF$6,IF(OR(COUNTIF('1.연간시수표'!K59,$BO$9),COUNTIF('1.연간시수표'!K59,$BO$7)),$BO$6,IF(OR(COUNTIF('1.연간시수표'!K59,$BP$9),COUNTIF('1.연간시수표'!K59,$BP$7)),$BP$6,IF(OR(COUNTIF('1.연간시수표'!K59,$BQ$9),COUNTIF('1.연간시수표'!K59,$BQ$7)),$BQ$6,IF(OR(COUNTIF('1.연간시수표'!K59,$BR$9),COUNTIF('1.연간시수표'!K59,$BR$7)),$BR$6,"_")))))))))))))))</f>
        <v>_</v>
      </c>
      <c r="L59" s="148" t="str">
        <f>IF(OR(COUNTIF('1.연간시수표'!L59,$AT$9),COUNTIF('1.연간시수표'!L59,$AT$7)),$AT$6,IF(OR(COUNTIF('1.연간시수표'!L59,$AU$9),COUNTIF('1.연간시수표'!L59,$AU$7)),$AU$6,IF(OR(COUNTIF('1.연간시수표'!L59,$AV$9),COUNTIF('1.연간시수표'!L59,$AV$7)),$AV$6,IF(OR(COUNTIF('1.연간시수표'!L59,$AW$9),COUNTIF('1.연간시수표'!L59,$AW$7)),$AW$6,IF(OR(COUNTIF('1.연간시수표'!L59,$AX$9),COUNTIF('1.연간시수표'!L59,$AX$7)),$AX$6,IF(OR(COUNTIF('1.연간시수표'!L59,$AY$9),COUNTIF('1.연간시수표'!L59,$AY$7)),$AY$6,IF(OR(COUNTIF('1.연간시수표'!L59,$AZ$9),COUNTIF('1.연간시수표'!L59,$AZ$7)),$AZ$6,IF(OR(COUNTIF('1.연간시수표'!L59,$BA$9),COUNTIF('1.연간시수표'!L59,$BA$7)),$BA$6,IF(OR(COUNTIF('1.연간시수표'!L59,$BB$9),COUNTIF('1.연간시수표'!L59,$BB$7)),$BB$6,IF(OR(COUNTIF('1.연간시수표'!L59,$BC$9),COUNTIF('1.연간시수표'!L59,$BC$7)),$BC$6,IF(OR(COUNTIF('1.연간시수표'!L59,$BF$9),COUNTIF('1.연간시수표'!L59,$BF$7),COUNTIF('1.연간시수표'!L59,$BG$9),COUNTIF('1.연간시수표'!L59,$BG$7),COUNTIF('1.연간시수표'!L59,$BH$9),COUNTIF('1.연간시수표'!L59,$BH$7),COUNTIF('1.연간시수표'!L59,$BI$9),COUNTIF('1.연간시수표'!L59,$BI$7),COUNTIF('1.연간시수표'!L59,$BJ$9),COUNTIF('1.연간시수표'!L59,$BJ$7),COUNTIF('1.연간시수표'!L59,$BK$9),COUNTIF('1.연간시수표'!L59,$BK$7),COUNTIF('1.연간시수표'!L59,$BL$9),COUNTIF('1.연간시수표'!L59,$BL$7),COUNTIF('1.연간시수표'!L59,$BM$9),COUNTIF('1.연간시수표'!L59,$BM$7)),$BF$6,IF(OR(COUNTIF('1.연간시수표'!L59,$BO$9),COUNTIF('1.연간시수표'!L59,$BO$7)),$BO$6,IF(OR(COUNTIF('1.연간시수표'!L59,$BP$9),COUNTIF('1.연간시수표'!L59,$BP$7)),$BP$6,IF(OR(COUNTIF('1.연간시수표'!L59,$BQ$9),COUNTIF('1.연간시수표'!L59,$BQ$7)),$BQ$6,IF(OR(COUNTIF('1.연간시수표'!L59,$BR$9),COUNTIF('1.연간시수표'!L59,$BR$7)),$BR$6,"_")))))))))))))))</f>
        <v>_</v>
      </c>
      <c r="M59" s="148" t="str">
        <f>IF(OR(COUNTIF('1.연간시수표'!M59,$AT$9),COUNTIF('1.연간시수표'!M59,$AT$7)),$AT$6,IF(OR(COUNTIF('1.연간시수표'!M59,$AU$9),COUNTIF('1.연간시수표'!M59,$AU$7)),$AU$6,IF(OR(COUNTIF('1.연간시수표'!M59,$AV$9),COUNTIF('1.연간시수표'!M59,$AV$7)),$AV$6,IF(OR(COUNTIF('1.연간시수표'!M59,$AW$9),COUNTIF('1.연간시수표'!M59,$AW$7)),$AW$6,IF(OR(COUNTIF('1.연간시수표'!M59,$AX$9),COUNTIF('1.연간시수표'!M59,$AX$7)),$AX$6,IF(OR(COUNTIF('1.연간시수표'!M59,$AY$9),COUNTIF('1.연간시수표'!M59,$AY$7)),$AY$6,IF(OR(COUNTIF('1.연간시수표'!M59,$AZ$9),COUNTIF('1.연간시수표'!M59,$AZ$7)),$AZ$6,IF(OR(COUNTIF('1.연간시수표'!M59,$BA$9),COUNTIF('1.연간시수표'!M59,$BA$7)),$BA$6,IF(OR(COUNTIF('1.연간시수표'!M59,$BB$9),COUNTIF('1.연간시수표'!M59,$BB$7)),$BB$6,IF(OR(COUNTIF('1.연간시수표'!M59,$BC$9),COUNTIF('1.연간시수표'!M59,$BC$7)),$BC$6,IF(OR(COUNTIF('1.연간시수표'!M59,$BF$9),COUNTIF('1.연간시수표'!M59,$BF$7),COUNTIF('1.연간시수표'!M59,$BG$9),COUNTIF('1.연간시수표'!M59,$BG$7),COUNTIF('1.연간시수표'!M59,$BH$9),COUNTIF('1.연간시수표'!M59,$BH$7),COUNTIF('1.연간시수표'!M59,$BI$9),COUNTIF('1.연간시수표'!M59,$BI$7),COUNTIF('1.연간시수표'!M59,$BJ$9),COUNTIF('1.연간시수표'!M59,$BJ$7),COUNTIF('1.연간시수표'!M59,$BK$9),COUNTIF('1.연간시수표'!M59,$BK$7),COUNTIF('1.연간시수표'!M59,$BL$9),COUNTIF('1.연간시수표'!M59,$BL$7),COUNTIF('1.연간시수표'!M59,$BM$9),COUNTIF('1.연간시수표'!M59,$BM$7)),$BF$6,IF(OR(COUNTIF('1.연간시수표'!M59,$BO$9),COUNTIF('1.연간시수표'!M59,$BO$7)),$BO$6,IF(OR(COUNTIF('1.연간시수표'!M59,$BP$9),COUNTIF('1.연간시수표'!M59,$BP$7)),$BP$6,IF(OR(COUNTIF('1.연간시수표'!M59,$BQ$9),COUNTIF('1.연간시수표'!M59,$BQ$7)),$BQ$6,IF(OR(COUNTIF('1.연간시수표'!M59,$BR$9),COUNTIF('1.연간시수표'!M59,$BR$7)),$BR$6,"_")))))))))))))))</f>
        <v>국어</v>
      </c>
      <c r="N59" s="148" t="str">
        <f>IF(OR(COUNTIF('1.연간시수표'!N59,$AT$9),COUNTIF('1.연간시수표'!N59,$AT$7)),$AT$6,IF(OR(COUNTIF('1.연간시수표'!N59,$AU$9),COUNTIF('1.연간시수표'!N59,$AU$7)),$AU$6,IF(OR(COUNTIF('1.연간시수표'!N59,$AV$9),COUNTIF('1.연간시수표'!N59,$AV$7)),$AV$6,IF(OR(COUNTIF('1.연간시수표'!N59,$AW$9),COUNTIF('1.연간시수표'!N59,$AW$7)),$AW$6,IF(OR(COUNTIF('1.연간시수표'!N59,$AX$9),COUNTIF('1.연간시수표'!N59,$AX$7)),$AX$6,IF(OR(COUNTIF('1.연간시수표'!N59,$AY$9),COUNTIF('1.연간시수표'!N59,$AY$7)),$AY$6,IF(OR(COUNTIF('1.연간시수표'!N59,$AZ$9),COUNTIF('1.연간시수표'!N59,$AZ$7)),$AZ$6,IF(OR(COUNTIF('1.연간시수표'!N59,$BA$9),COUNTIF('1.연간시수표'!N59,$BA$7)),$BA$6,IF(OR(COUNTIF('1.연간시수표'!N59,$BB$9),COUNTIF('1.연간시수표'!N59,$BB$7)),$BB$6,IF(OR(COUNTIF('1.연간시수표'!N59,$BC$9),COUNTIF('1.연간시수표'!N59,$BC$7)),$BC$6,IF(OR(COUNTIF('1.연간시수표'!N59,$BF$9),COUNTIF('1.연간시수표'!N59,$BF$7),COUNTIF('1.연간시수표'!N59,$BG$9),COUNTIF('1.연간시수표'!N59,$BG$7),COUNTIF('1.연간시수표'!N59,$BH$9),COUNTIF('1.연간시수표'!N59,$BH$7),COUNTIF('1.연간시수표'!N59,$BI$9),COUNTIF('1.연간시수표'!N59,$BI$7),COUNTIF('1.연간시수표'!N59,$BJ$9),COUNTIF('1.연간시수표'!N59,$BJ$7),COUNTIF('1.연간시수표'!N59,$BK$9),COUNTIF('1.연간시수표'!N59,$BK$7),COUNTIF('1.연간시수표'!N59,$BL$9),COUNTIF('1.연간시수표'!N59,$BL$7),COUNTIF('1.연간시수표'!N59,$BM$9),COUNTIF('1.연간시수표'!N59,$BM$7)),$BF$6,IF(OR(COUNTIF('1.연간시수표'!N59,$BO$9),COUNTIF('1.연간시수표'!N59,$BO$7)),$BO$6,IF(OR(COUNTIF('1.연간시수표'!N59,$BP$9),COUNTIF('1.연간시수표'!N59,$BP$7)),$BP$6,IF(OR(COUNTIF('1.연간시수표'!N59,$BQ$9),COUNTIF('1.연간시수표'!N59,$BQ$7)),$BQ$6,IF(OR(COUNTIF('1.연간시수표'!N59,$BR$9),COUNTIF('1.연간시수표'!N59,$BR$7)),$BR$6,"_")))))))))))))))</f>
        <v>국어</v>
      </c>
      <c r="O59" s="148" t="str">
        <f>IF(OR(COUNTIF('1.연간시수표'!O59,$AT$9),COUNTIF('1.연간시수표'!O59,$AT$7)),$AT$6,IF(OR(COUNTIF('1.연간시수표'!O59,$AU$9),COUNTIF('1.연간시수표'!O59,$AU$7)),$AU$6,IF(OR(COUNTIF('1.연간시수표'!O59,$AV$9),COUNTIF('1.연간시수표'!O59,$AV$7)),$AV$6,IF(OR(COUNTIF('1.연간시수표'!O59,$AW$9),COUNTIF('1.연간시수표'!O59,$AW$7)),$AW$6,IF(OR(COUNTIF('1.연간시수표'!O59,$AX$9),COUNTIF('1.연간시수표'!O59,$AX$7)),$AX$6,IF(OR(COUNTIF('1.연간시수표'!O59,$AY$9),COUNTIF('1.연간시수표'!O59,$AY$7)),$AY$6,IF(OR(COUNTIF('1.연간시수표'!O59,$AZ$9),COUNTIF('1.연간시수표'!O59,$AZ$7)),$AZ$6,IF(OR(COUNTIF('1.연간시수표'!O59,$BA$9),COUNTIF('1.연간시수표'!O59,$BA$7)),$BA$6,IF(OR(COUNTIF('1.연간시수표'!O59,$BB$9),COUNTIF('1.연간시수표'!O59,$BB$7)),$BB$6,IF(OR(COUNTIF('1.연간시수표'!O59,$BC$9),COUNTIF('1.연간시수표'!O59,$BC$7)),$BC$6,IF(OR(COUNTIF('1.연간시수표'!O59,$BF$9),COUNTIF('1.연간시수표'!O59,$BF$7),COUNTIF('1.연간시수표'!O59,$BG$9),COUNTIF('1.연간시수표'!O59,$BG$7),COUNTIF('1.연간시수표'!O59,$BH$9),COUNTIF('1.연간시수표'!O59,$BH$7),COUNTIF('1.연간시수표'!O59,$BI$9),COUNTIF('1.연간시수표'!O59,$BI$7),COUNTIF('1.연간시수표'!O59,$BJ$9),COUNTIF('1.연간시수표'!O59,$BJ$7),COUNTIF('1.연간시수표'!O59,$BK$9),COUNTIF('1.연간시수표'!O59,$BK$7),COUNTIF('1.연간시수표'!O59,$BL$9),COUNTIF('1.연간시수표'!O59,$BL$7),COUNTIF('1.연간시수표'!O59,$BM$9),COUNTIF('1.연간시수표'!O59,$BM$7)),$BF$6,IF(OR(COUNTIF('1.연간시수표'!O59,$BO$9),COUNTIF('1.연간시수표'!O59,$BO$7)),$BO$6,IF(OR(COUNTIF('1.연간시수표'!O59,$BP$9),COUNTIF('1.연간시수표'!O59,$BP$7)),$BP$6,IF(OR(COUNTIF('1.연간시수표'!O59,$BQ$9),COUNTIF('1.연간시수표'!O59,$BQ$7)),$BQ$6,IF(OR(COUNTIF('1.연간시수표'!O59,$BR$9),COUNTIF('1.연간시수표'!O59,$BR$7)),$BR$6,"_")))))))))))))))</f>
        <v>사회</v>
      </c>
      <c r="P59" s="148" t="str">
        <f>IF(OR(COUNTIF('1.연간시수표'!P59,$AT$9),COUNTIF('1.연간시수표'!P59,$AT$7)),$AT$6,IF(OR(COUNTIF('1.연간시수표'!P59,$AU$9),COUNTIF('1.연간시수표'!P59,$AU$7)),$AU$6,IF(OR(COUNTIF('1.연간시수표'!P59,$AV$9),COUNTIF('1.연간시수표'!P59,$AV$7)),$AV$6,IF(OR(COUNTIF('1.연간시수표'!P59,$AW$9),COUNTIF('1.연간시수표'!P59,$AW$7)),$AW$6,IF(OR(COUNTIF('1.연간시수표'!P59,$AX$9),COUNTIF('1.연간시수표'!P59,$AX$7)),$AX$6,IF(OR(COUNTIF('1.연간시수표'!P59,$AY$9),COUNTIF('1.연간시수표'!P59,$AY$7)),$AY$6,IF(OR(COUNTIF('1.연간시수표'!P59,$AZ$9),COUNTIF('1.연간시수표'!P59,$AZ$7)),$AZ$6,IF(OR(COUNTIF('1.연간시수표'!P59,$BA$9),COUNTIF('1.연간시수표'!P59,$BA$7)),$BA$6,IF(OR(COUNTIF('1.연간시수표'!P59,$BB$9),COUNTIF('1.연간시수표'!P59,$BB$7)),$BB$6,IF(OR(COUNTIF('1.연간시수표'!P59,$BC$9),COUNTIF('1.연간시수표'!P59,$BC$7)),$BC$6,IF(OR(COUNTIF('1.연간시수표'!P59,$BF$9),COUNTIF('1.연간시수표'!P59,$BF$7),COUNTIF('1.연간시수표'!P59,$BG$9),COUNTIF('1.연간시수표'!P59,$BG$7),COUNTIF('1.연간시수표'!P59,$BH$9),COUNTIF('1.연간시수표'!P59,$BH$7),COUNTIF('1.연간시수표'!P59,$BI$9),COUNTIF('1.연간시수표'!P59,$BI$7),COUNTIF('1.연간시수표'!P59,$BJ$9),COUNTIF('1.연간시수표'!P59,$BJ$7),COUNTIF('1.연간시수표'!P59,$BK$9),COUNTIF('1.연간시수표'!P59,$BK$7),COUNTIF('1.연간시수표'!P59,$BL$9),COUNTIF('1.연간시수표'!P59,$BL$7),COUNTIF('1.연간시수표'!P59,$BM$9),COUNTIF('1.연간시수표'!P59,$BM$7)),$BF$6,IF(OR(COUNTIF('1.연간시수표'!P59,$BO$9),COUNTIF('1.연간시수표'!P59,$BO$7)),$BO$6,IF(OR(COUNTIF('1.연간시수표'!P59,$BP$9),COUNTIF('1.연간시수표'!P59,$BP$7)),$BP$6,IF(OR(COUNTIF('1.연간시수표'!P59,$BQ$9),COUNTIF('1.연간시수표'!P59,$BQ$7)),$BQ$6,IF(OR(COUNTIF('1.연간시수표'!P59,$BR$9),COUNTIF('1.연간시수표'!P59,$BR$7)),$BR$6,"_")))))))))))))))</f>
        <v>수학</v>
      </c>
      <c r="Q59" s="148" t="str">
        <f>IF(OR(COUNTIF('1.연간시수표'!Q59,$AT$9),COUNTIF('1.연간시수표'!Q59,$AT$7)),$AT$6,IF(OR(COUNTIF('1.연간시수표'!Q59,$AU$9),COUNTIF('1.연간시수표'!Q59,$AU$7)),$AU$6,IF(OR(COUNTIF('1.연간시수표'!Q59,$AV$9),COUNTIF('1.연간시수표'!Q59,$AV$7)),$AV$6,IF(OR(COUNTIF('1.연간시수표'!Q59,$AW$9),COUNTIF('1.연간시수표'!Q59,$AW$7)),$AW$6,IF(OR(COUNTIF('1.연간시수표'!Q59,$AX$9),COUNTIF('1.연간시수표'!Q59,$AX$7)),$AX$6,IF(OR(COUNTIF('1.연간시수표'!Q59,$AY$9),COUNTIF('1.연간시수표'!Q59,$AY$7)),$AY$6,IF(OR(COUNTIF('1.연간시수표'!Q59,$AZ$9),COUNTIF('1.연간시수표'!Q59,$AZ$7)),$AZ$6,IF(OR(COUNTIF('1.연간시수표'!Q59,$BA$9),COUNTIF('1.연간시수표'!Q59,$BA$7)),$BA$6,IF(OR(COUNTIF('1.연간시수표'!Q59,$BB$9),COUNTIF('1.연간시수표'!Q59,$BB$7)),$BB$6,IF(OR(COUNTIF('1.연간시수표'!Q59,$BC$9),COUNTIF('1.연간시수표'!Q59,$BC$7)),$BC$6,IF(OR(COUNTIF('1.연간시수표'!Q59,$BF$9),COUNTIF('1.연간시수표'!Q59,$BF$7),COUNTIF('1.연간시수표'!Q59,$BG$9),COUNTIF('1.연간시수표'!Q59,$BG$7),COUNTIF('1.연간시수표'!Q59,$BH$9),COUNTIF('1.연간시수표'!Q59,$BH$7),COUNTIF('1.연간시수표'!Q59,$BI$9),COUNTIF('1.연간시수표'!Q59,$BI$7),COUNTIF('1.연간시수표'!Q59,$BJ$9),COUNTIF('1.연간시수표'!Q59,$BJ$7),COUNTIF('1.연간시수표'!Q59,$BK$9),COUNTIF('1.연간시수표'!Q59,$BK$7),COUNTIF('1.연간시수표'!Q59,$BL$9),COUNTIF('1.연간시수표'!Q59,$BL$7),COUNTIF('1.연간시수표'!Q59,$BM$9),COUNTIF('1.연간시수표'!Q59,$BM$7)),$BF$6,IF(OR(COUNTIF('1.연간시수표'!Q59,$BO$9),COUNTIF('1.연간시수표'!Q59,$BO$7)),$BO$6,IF(OR(COUNTIF('1.연간시수표'!Q59,$BP$9),COUNTIF('1.연간시수표'!Q59,$BP$7)),$BP$6,IF(OR(COUNTIF('1.연간시수표'!Q59,$BQ$9),COUNTIF('1.연간시수표'!Q59,$BQ$7)),$BQ$6,IF(OR(COUNTIF('1.연간시수표'!Q59,$BR$9),COUNTIF('1.연간시수표'!Q59,$BR$7)),$BR$6,"_")))))))))))))))</f>
        <v>과학</v>
      </c>
      <c r="R59" s="148" t="str">
        <f>IF(OR(COUNTIF('1.연간시수표'!R59,$AT$9),COUNTIF('1.연간시수표'!R59,$AT$7)),$AT$6,IF(OR(COUNTIF('1.연간시수표'!R59,$AU$9),COUNTIF('1.연간시수표'!R59,$AU$7)),$AU$6,IF(OR(COUNTIF('1.연간시수표'!R59,$AV$9),COUNTIF('1.연간시수표'!R59,$AV$7)),$AV$6,IF(OR(COUNTIF('1.연간시수표'!R59,$AW$9),COUNTIF('1.연간시수표'!R59,$AW$7)),$AW$6,IF(OR(COUNTIF('1.연간시수표'!R59,$AX$9),COUNTIF('1.연간시수표'!R59,$AX$7)),$AX$6,IF(OR(COUNTIF('1.연간시수표'!R59,$AY$9),COUNTIF('1.연간시수표'!R59,$AY$7)),$AY$6,IF(OR(COUNTIF('1.연간시수표'!R59,$AZ$9),COUNTIF('1.연간시수표'!R59,$AZ$7)),$AZ$6,IF(OR(COUNTIF('1.연간시수표'!R59,$BA$9),COUNTIF('1.연간시수표'!R59,$BA$7)),$BA$6,IF(OR(COUNTIF('1.연간시수표'!R59,$BB$9),COUNTIF('1.연간시수표'!R59,$BB$7)),$BB$6,IF(OR(COUNTIF('1.연간시수표'!R59,$BC$9),COUNTIF('1.연간시수표'!R59,$BC$7)),$BC$6,IF(OR(COUNTIF('1.연간시수표'!R59,$BF$9),COUNTIF('1.연간시수표'!R59,$BF$7),COUNTIF('1.연간시수표'!R59,$BG$9),COUNTIF('1.연간시수표'!R59,$BG$7),COUNTIF('1.연간시수표'!R59,$BH$9),COUNTIF('1.연간시수표'!R59,$BH$7),COUNTIF('1.연간시수표'!R59,$BI$9),COUNTIF('1.연간시수표'!R59,$BI$7),COUNTIF('1.연간시수표'!R59,$BJ$9),COUNTIF('1.연간시수표'!R59,$BJ$7),COUNTIF('1.연간시수표'!R59,$BK$9),COUNTIF('1.연간시수표'!R59,$BK$7),COUNTIF('1.연간시수표'!R59,$BL$9),COUNTIF('1.연간시수표'!R59,$BL$7),COUNTIF('1.연간시수표'!R59,$BM$9),COUNTIF('1.연간시수표'!R59,$BM$7)),$BF$6,IF(OR(COUNTIF('1.연간시수표'!R59,$BO$9),COUNTIF('1.연간시수표'!R59,$BO$7)),$BO$6,IF(OR(COUNTIF('1.연간시수표'!R59,$BP$9),COUNTIF('1.연간시수표'!R59,$BP$7)),$BP$6,IF(OR(COUNTIF('1.연간시수표'!R59,$BQ$9),COUNTIF('1.연간시수표'!R59,$BQ$7)),$BQ$6,IF(OR(COUNTIF('1.연간시수표'!R59,$BR$9),COUNTIF('1.연간시수표'!R59,$BR$7)),$BR$6,"_")))))))))))))))</f>
        <v>실과</v>
      </c>
      <c r="S59" s="148" t="str">
        <f>IF(OR(COUNTIF('1.연간시수표'!S59,$AT$9),COUNTIF('1.연간시수표'!S59,$AT$7)),$AT$6,IF(OR(COUNTIF('1.연간시수표'!S59,$AU$9),COUNTIF('1.연간시수표'!S59,$AU$7)),$AU$6,IF(OR(COUNTIF('1.연간시수표'!S59,$AV$9),COUNTIF('1.연간시수표'!S59,$AV$7)),$AV$6,IF(OR(COUNTIF('1.연간시수표'!S59,$AW$9),COUNTIF('1.연간시수표'!S59,$AW$7)),$AW$6,IF(OR(COUNTIF('1.연간시수표'!S59,$AX$9),COUNTIF('1.연간시수표'!S59,$AX$7)),$AX$6,IF(OR(COUNTIF('1.연간시수표'!S59,$AY$9),COUNTIF('1.연간시수표'!S59,$AY$7)),$AY$6,IF(OR(COUNTIF('1.연간시수표'!S59,$AZ$9),COUNTIF('1.연간시수표'!S59,$AZ$7)),$AZ$6,IF(OR(COUNTIF('1.연간시수표'!S59,$BA$9),COUNTIF('1.연간시수표'!S59,$BA$7)),$BA$6,IF(OR(COUNTIF('1.연간시수표'!S59,$BB$9),COUNTIF('1.연간시수표'!S59,$BB$7)),$BB$6,IF(OR(COUNTIF('1.연간시수표'!S59,$BC$9),COUNTIF('1.연간시수표'!S59,$BC$7)),$BC$6,IF(OR(COUNTIF('1.연간시수표'!S59,$BF$9),COUNTIF('1.연간시수표'!S59,$BF$7),COUNTIF('1.연간시수표'!S59,$BG$9),COUNTIF('1.연간시수표'!S59,$BG$7),COUNTIF('1.연간시수표'!S59,$BH$9),COUNTIF('1.연간시수표'!S59,$BH$7),COUNTIF('1.연간시수표'!S59,$BI$9),COUNTIF('1.연간시수표'!S59,$BI$7),COUNTIF('1.연간시수표'!S59,$BJ$9),COUNTIF('1.연간시수표'!S59,$BJ$7),COUNTIF('1.연간시수표'!S59,$BK$9),COUNTIF('1.연간시수표'!S59,$BK$7),COUNTIF('1.연간시수표'!S59,$BL$9),COUNTIF('1.연간시수표'!S59,$BL$7),COUNTIF('1.연간시수표'!S59,$BM$9),COUNTIF('1.연간시수표'!S59,$BM$7)),$BF$6,IF(OR(COUNTIF('1.연간시수표'!S59,$BO$9),COUNTIF('1.연간시수표'!S59,$BO$7)),$BO$6,IF(OR(COUNTIF('1.연간시수표'!S59,$BP$9),COUNTIF('1.연간시수표'!S59,$BP$7)),$BP$6,IF(OR(COUNTIF('1.연간시수표'!S59,$BQ$9),COUNTIF('1.연간시수표'!S59,$BQ$7)),$BQ$6,IF(OR(COUNTIF('1.연간시수표'!S59,$BR$9),COUNTIF('1.연간시수표'!S59,$BR$7)),$BR$6,"_")))))))))))))))</f>
        <v>_</v>
      </c>
      <c r="T59" s="148" t="str">
        <f>IF(OR(COUNTIF('1.연간시수표'!T59,$AT$9),COUNTIF('1.연간시수표'!T59,$AT$7)),$AT$6,IF(OR(COUNTIF('1.연간시수표'!T59,$AU$9),COUNTIF('1.연간시수표'!T59,$AU$7)),$AU$6,IF(OR(COUNTIF('1.연간시수표'!T59,$AV$9),COUNTIF('1.연간시수표'!T59,$AV$7)),$AV$6,IF(OR(COUNTIF('1.연간시수표'!T59,$AW$9),COUNTIF('1.연간시수표'!T59,$AW$7)),$AW$6,IF(OR(COUNTIF('1.연간시수표'!T59,$AX$9),COUNTIF('1.연간시수표'!T59,$AX$7)),$AX$6,IF(OR(COUNTIF('1.연간시수표'!T59,$AY$9),COUNTIF('1.연간시수표'!T59,$AY$7)),$AY$6,IF(OR(COUNTIF('1.연간시수표'!T59,$AZ$9),COUNTIF('1.연간시수표'!T59,$AZ$7)),$AZ$6,IF(OR(COUNTIF('1.연간시수표'!T59,$BA$9),COUNTIF('1.연간시수표'!T59,$BA$7)),$BA$6,IF(OR(COUNTIF('1.연간시수표'!T59,$BB$9),COUNTIF('1.연간시수표'!T59,$BB$7)),$BB$6,IF(OR(COUNTIF('1.연간시수표'!T59,$BC$9),COUNTIF('1.연간시수표'!T59,$BC$7)),$BC$6,IF(OR(COUNTIF('1.연간시수표'!T59,$BF$9),COUNTIF('1.연간시수표'!T59,$BF$7),COUNTIF('1.연간시수표'!T59,$BG$9),COUNTIF('1.연간시수표'!T59,$BG$7),COUNTIF('1.연간시수표'!T59,$BH$9),COUNTIF('1.연간시수표'!T59,$BH$7),COUNTIF('1.연간시수표'!T59,$BI$9),COUNTIF('1.연간시수표'!T59,$BI$7),COUNTIF('1.연간시수표'!T59,$BJ$9),COUNTIF('1.연간시수표'!T59,$BJ$7),COUNTIF('1.연간시수표'!T59,$BK$9),COUNTIF('1.연간시수표'!T59,$BK$7),COUNTIF('1.연간시수표'!T59,$BL$9),COUNTIF('1.연간시수표'!T59,$BL$7),COUNTIF('1.연간시수표'!T59,$BM$9),COUNTIF('1.연간시수표'!T59,$BM$7)),$BF$6,IF(OR(COUNTIF('1.연간시수표'!T59,$BO$9),COUNTIF('1.연간시수표'!T59,$BO$7)),$BO$6,IF(OR(COUNTIF('1.연간시수표'!T59,$BP$9),COUNTIF('1.연간시수표'!T59,$BP$7)),$BP$6,IF(OR(COUNTIF('1.연간시수표'!T59,$BQ$9),COUNTIF('1.연간시수표'!T59,$BQ$7)),$BQ$6,IF(OR(COUNTIF('1.연간시수표'!T59,$BR$9),COUNTIF('1.연간시수표'!T59,$BR$7)),$BR$6,"_")))))))))))))))</f>
        <v>_</v>
      </c>
      <c r="U59" s="148" t="str">
        <f>IF(OR(COUNTIF('1.연간시수표'!U59,$AT$9),COUNTIF('1.연간시수표'!U59,$AT$7)),$AT$6,IF(OR(COUNTIF('1.연간시수표'!U59,$AU$9),COUNTIF('1.연간시수표'!U59,$AU$7)),$AU$6,IF(OR(COUNTIF('1.연간시수표'!U59,$AV$9),COUNTIF('1.연간시수표'!U59,$AV$7)),$AV$6,IF(OR(COUNTIF('1.연간시수표'!U59,$AW$9),COUNTIF('1.연간시수표'!U59,$AW$7)),$AW$6,IF(OR(COUNTIF('1.연간시수표'!U59,$AX$9),COUNTIF('1.연간시수표'!U59,$AX$7)),$AX$6,IF(OR(COUNTIF('1.연간시수표'!U59,$AY$9),COUNTIF('1.연간시수표'!U59,$AY$7)),$AY$6,IF(OR(COUNTIF('1.연간시수표'!U59,$AZ$9),COUNTIF('1.연간시수표'!U59,$AZ$7)),$AZ$6,IF(OR(COUNTIF('1.연간시수표'!U59,$BA$9),COUNTIF('1.연간시수표'!U59,$BA$7)),$BA$6,IF(OR(COUNTIF('1.연간시수표'!U59,$BB$9),COUNTIF('1.연간시수표'!U59,$BB$7)),$BB$6,IF(OR(COUNTIF('1.연간시수표'!U59,$BC$9),COUNTIF('1.연간시수표'!U59,$BC$7)),$BC$6,IF(OR(COUNTIF('1.연간시수표'!U59,$BF$9),COUNTIF('1.연간시수표'!U59,$BF$7),COUNTIF('1.연간시수표'!U59,$BG$9),COUNTIF('1.연간시수표'!U59,$BG$7),COUNTIF('1.연간시수표'!U59,$BH$9),COUNTIF('1.연간시수표'!U59,$BH$7),COUNTIF('1.연간시수표'!U59,$BI$9),COUNTIF('1.연간시수표'!U59,$BI$7),COUNTIF('1.연간시수표'!U59,$BJ$9),COUNTIF('1.연간시수표'!U59,$BJ$7),COUNTIF('1.연간시수표'!U59,$BK$9),COUNTIF('1.연간시수표'!U59,$BK$7),COUNTIF('1.연간시수표'!U59,$BL$9),COUNTIF('1.연간시수표'!U59,$BL$7),COUNTIF('1.연간시수표'!U59,$BM$9),COUNTIF('1.연간시수표'!U59,$BM$7)),$BF$6,IF(OR(COUNTIF('1.연간시수표'!U59,$BO$9),COUNTIF('1.연간시수표'!U59,$BO$7)),$BO$6,IF(OR(COUNTIF('1.연간시수표'!U59,$BP$9),COUNTIF('1.연간시수표'!U59,$BP$7)),$BP$6,IF(OR(COUNTIF('1.연간시수표'!U59,$BQ$9),COUNTIF('1.연간시수표'!U59,$BQ$7)),$BQ$6,IF(OR(COUNTIF('1.연간시수표'!U59,$BR$9),COUNTIF('1.연간시수표'!U59,$BR$7)),$BR$6,"_")))))))))))))))</f>
        <v>영어</v>
      </c>
      <c r="V59" s="148" t="str">
        <f>IF(OR(COUNTIF('1.연간시수표'!V59,$AT$9),COUNTIF('1.연간시수표'!V59,$AT$7)),$AT$6,IF(OR(COUNTIF('1.연간시수표'!V59,$AU$9),COUNTIF('1.연간시수표'!V59,$AU$7)),$AU$6,IF(OR(COUNTIF('1.연간시수표'!V59,$AV$9),COUNTIF('1.연간시수표'!V59,$AV$7)),$AV$6,IF(OR(COUNTIF('1.연간시수표'!V59,$AW$9),COUNTIF('1.연간시수표'!V59,$AW$7)),$AW$6,IF(OR(COUNTIF('1.연간시수표'!V59,$AX$9),COUNTIF('1.연간시수표'!V59,$AX$7)),$AX$6,IF(OR(COUNTIF('1.연간시수표'!V59,$AY$9),COUNTIF('1.연간시수표'!V59,$AY$7)),$AY$6,IF(OR(COUNTIF('1.연간시수표'!V59,$AZ$9),COUNTIF('1.연간시수표'!V59,$AZ$7)),$AZ$6,IF(OR(COUNTIF('1.연간시수표'!V59,$BA$9),COUNTIF('1.연간시수표'!V59,$BA$7)),$BA$6,IF(OR(COUNTIF('1.연간시수표'!V59,$BB$9),COUNTIF('1.연간시수표'!V59,$BB$7)),$BB$6,IF(OR(COUNTIF('1.연간시수표'!V59,$BC$9),COUNTIF('1.연간시수표'!V59,$BC$7)),$BC$6,IF(OR(COUNTIF('1.연간시수표'!V59,$BF$9),COUNTIF('1.연간시수표'!V59,$BF$7),COUNTIF('1.연간시수표'!V59,$BG$9),COUNTIF('1.연간시수표'!V59,$BG$7),COUNTIF('1.연간시수표'!V59,$BH$9),COUNTIF('1.연간시수표'!V59,$BH$7),COUNTIF('1.연간시수표'!V59,$BI$9),COUNTIF('1.연간시수표'!V59,$BI$7),COUNTIF('1.연간시수표'!V59,$BJ$9),COUNTIF('1.연간시수표'!V59,$BJ$7),COUNTIF('1.연간시수표'!V59,$BK$9),COUNTIF('1.연간시수표'!V59,$BK$7),COUNTIF('1.연간시수표'!V59,$BL$9),COUNTIF('1.연간시수표'!V59,$BL$7),COUNTIF('1.연간시수표'!V59,$BM$9),COUNTIF('1.연간시수표'!V59,$BM$7)),$BF$6,IF(OR(COUNTIF('1.연간시수표'!V59,$BO$9),COUNTIF('1.연간시수표'!V59,$BO$7)),$BO$6,IF(OR(COUNTIF('1.연간시수표'!V59,$BP$9),COUNTIF('1.연간시수표'!V59,$BP$7)),$BP$6,IF(OR(COUNTIF('1.연간시수표'!V59,$BQ$9),COUNTIF('1.연간시수표'!V59,$BQ$7)),$BQ$6,IF(OR(COUNTIF('1.연간시수표'!V59,$BR$9),COUNTIF('1.연간시수표'!V59,$BR$7)),$BR$6,"_")))))))))))))))</f>
        <v>과학</v>
      </c>
      <c r="W59" s="148" t="str">
        <f>IF(OR(COUNTIF('1.연간시수표'!W59,$AT$9),COUNTIF('1.연간시수표'!W59,$AT$7)),$AT$6,IF(OR(COUNTIF('1.연간시수표'!W59,$AU$9),COUNTIF('1.연간시수표'!W59,$AU$7)),$AU$6,IF(OR(COUNTIF('1.연간시수표'!W59,$AV$9),COUNTIF('1.연간시수표'!W59,$AV$7)),$AV$6,IF(OR(COUNTIF('1.연간시수표'!W59,$AW$9),COUNTIF('1.연간시수표'!W59,$AW$7)),$AW$6,IF(OR(COUNTIF('1.연간시수표'!W59,$AX$9),COUNTIF('1.연간시수표'!W59,$AX$7)),$AX$6,IF(OR(COUNTIF('1.연간시수표'!W59,$AY$9),COUNTIF('1.연간시수표'!W59,$AY$7)),$AY$6,IF(OR(COUNTIF('1.연간시수표'!W59,$AZ$9),COUNTIF('1.연간시수표'!W59,$AZ$7)),$AZ$6,IF(OR(COUNTIF('1.연간시수표'!W59,$BA$9),COUNTIF('1.연간시수표'!W59,$BA$7)),$BA$6,IF(OR(COUNTIF('1.연간시수표'!W59,$BB$9),COUNTIF('1.연간시수표'!W59,$BB$7)),$BB$6,IF(OR(COUNTIF('1.연간시수표'!W59,$BC$9),COUNTIF('1.연간시수표'!W59,$BC$7)),$BC$6,IF(OR(COUNTIF('1.연간시수표'!W59,$BF$9),COUNTIF('1.연간시수표'!W59,$BF$7),COUNTIF('1.연간시수표'!W59,$BG$9),COUNTIF('1.연간시수표'!W59,$BG$7),COUNTIF('1.연간시수표'!W59,$BH$9),COUNTIF('1.연간시수표'!W59,$BH$7),COUNTIF('1.연간시수표'!W59,$BI$9),COUNTIF('1.연간시수표'!W59,$BI$7),COUNTIF('1.연간시수표'!W59,$BJ$9),COUNTIF('1.연간시수표'!W59,$BJ$7),COUNTIF('1.연간시수표'!W59,$BK$9),COUNTIF('1.연간시수표'!W59,$BK$7),COUNTIF('1.연간시수표'!W59,$BL$9),COUNTIF('1.연간시수표'!W59,$BL$7),COUNTIF('1.연간시수표'!W59,$BM$9),COUNTIF('1.연간시수표'!W59,$BM$7)),$BF$6,IF(OR(COUNTIF('1.연간시수표'!W59,$BO$9),COUNTIF('1.연간시수표'!W59,$BO$7)),$BO$6,IF(OR(COUNTIF('1.연간시수표'!W59,$BP$9),COUNTIF('1.연간시수표'!W59,$BP$7)),$BP$6,IF(OR(COUNTIF('1.연간시수표'!W59,$BQ$9),COUNTIF('1.연간시수표'!W59,$BQ$7)),$BQ$6,IF(OR(COUNTIF('1.연간시수표'!W59,$BR$9),COUNTIF('1.연간시수표'!W59,$BR$7)),$BR$6,"_")))))))))))))))</f>
        <v>체육</v>
      </c>
      <c r="X59" s="148" t="str">
        <f>IF(OR(COUNTIF('1.연간시수표'!X59,$AT$9),COUNTIF('1.연간시수표'!X59,$AT$7)),$AT$6,IF(OR(COUNTIF('1.연간시수표'!X59,$AU$9),COUNTIF('1.연간시수표'!X59,$AU$7)),$AU$6,IF(OR(COUNTIF('1.연간시수표'!X59,$AV$9),COUNTIF('1.연간시수표'!X59,$AV$7)),$AV$6,IF(OR(COUNTIF('1.연간시수표'!X59,$AW$9),COUNTIF('1.연간시수표'!X59,$AW$7)),$AW$6,IF(OR(COUNTIF('1.연간시수표'!X59,$AX$9),COUNTIF('1.연간시수표'!X59,$AX$7)),$AX$6,IF(OR(COUNTIF('1.연간시수표'!X59,$AY$9),COUNTIF('1.연간시수표'!X59,$AY$7)),$AY$6,IF(OR(COUNTIF('1.연간시수표'!X59,$AZ$9),COUNTIF('1.연간시수표'!X59,$AZ$7)),$AZ$6,IF(OR(COUNTIF('1.연간시수표'!X59,$BA$9),COUNTIF('1.연간시수표'!X59,$BA$7)),$BA$6,IF(OR(COUNTIF('1.연간시수표'!X59,$BB$9),COUNTIF('1.연간시수표'!X59,$BB$7)),$BB$6,IF(OR(COUNTIF('1.연간시수표'!X59,$BC$9),COUNTIF('1.연간시수표'!X59,$BC$7)),$BC$6,IF(OR(COUNTIF('1.연간시수표'!X59,$BF$9),COUNTIF('1.연간시수표'!X59,$BF$7),COUNTIF('1.연간시수표'!X59,$BG$9),COUNTIF('1.연간시수표'!X59,$BG$7),COUNTIF('1.연간시수표'!X59,$BH$9),COUNTIF('1.연간시수표'!X59,$BH$7),COUNTIF('1.연간시수표'!X59,$BI$9),COUNTIF('1.연간시수표'!X59,$BI$7),COUNTIF('1.연간시수표'!X59,$BJ$9),COUNTIF('1.연간시수표'!X59,$BJ$7),COUNTIF('1.연간시수표'!X59,$BK$9),COUNTIF('1.연간시수표'!X59,$BK$7),COUNTIF('1.연간시수표'!X59,$BL$9),COUNTIF('1.연간시수표'!X59,$BL$7),COUNTIF('1.연간시수표'!X59,$BM$9),COUNTIF('1.연간시수표'!X59,$BM$7)),$BF$6,IF(OR(COUNTIF('1.연간시수표'!X59,$BO$9),COUNTIF('1.연간시수표'!X59,$BO$7)),$BO$6,IF(OR(COUNTIF('1.연간시수표'!X59,$BP$9),COUNTIF('1.연간시수표'!X59,$BP$7)),$BP$6,IF(OR(COUNTIF('1.연간시수표'!X59,$BQ$9),COUNTIF('1.연간시수표'!X59,$BQ$7)),$BQ$6,IF(OR(COUNTIF('1.연간시수표'!X59,$BR$9),COUNTIF('1.연간시수표'!X59,$BR$7)),$BR$6,"_")))))))))))))))</f>
        <v>음악</v>
      </c>
      <c r="Y59" s="148" t="str">
        <f>IF(OR(COUNTIF('1.연간시수표'!Y59,$AT$9),COUNTIF('1.연간시수표'!Y59,$AT$7)),$AT$6,IF(OR(COUNTIF('1.연간시수표'!Y59,$AU$9),COUNTIF('1.연간시수표'!Y59,$AU$7)),$AU$6,IF(OR(COUNTIF('1.연간시수표'!Y59,$AV$9),COUNTIF('1.연간시수표'!Y59,$AV$7)),$AV$6,IF(OR(COUNTIF('1.연간시수표'!Y59,$AW$9),COUNTIF('1.연간시수표'!Y59,$AW$7)),$AW$6,IF(OR(COUNTIF('1.연간시수표'!Y59,$AX$9),COUNTIF('1.연간시수표'!Y59,$AX$7)),$AX$6,IF(OR(COUNTIF('1.연간시수표'!Y59,$AY$9),COUNTIF('1.연간시수표'!Y59,$AY$7)),$AY$6,IF(OR(COUNTIF('1.연간시수표'!Y59,$AZ$9),COUNTIF('1.연간시수표'!Y59,$AZ$7)),$AZ$6,IF(OR(COUNTIF('1.연간시수표'!Y59,$BA$9),COUNTIF('1.연간시수표'!Y59,$BA$7)),$BA$6,IF(OR(COUNTIF('1.연간시수표'!Y59,$BB$9),COUNTIF('1.연간시수표'!Y59,$BB$7)),$BB$6,IF(OR(COUNTIF('1.연간시수표'!Y59,$BC$9),COUNTIF('1.연간시수표'!Y59,$BC$7)),$BC$6,IF(OR(COUNTIF('1.연간시수표'!Y59,$BF$9),COUNTIF('1.연간시수표'!Y59,$BF$7),COUNTIF('1.연간시수표'!Y59,$BG$9),COUNTIF('1.연간시수표'!Y59,$BG$7),COUNTIF('1.연간시수표'!Y59,$BH$9),COUNTIF('1.연간시수표'!Y59,$BH$7),COUNTIF('1.연간시수표'!Y59,$BI$9),COUNTIF('1.연간시수표'!Y59,$BI$7),COUNTIF('1.연간시수표'!Y59,$BJ$9),COUNTIF('1.연간시수표'!Y59,$BJ$7),COUNTIF('1.연간시수표'!Y59,$BK$9),COUNTIF('1.연간시수표'!Y59,$BK$7),COUNTIF('1.연간시수표'!Y59,$BL$9),COUNTIF('1.연간시수표'!Y59,$BL$7),COUNTIF('1.연간시수표'!Y59,$BM$9),COUNTIF('1.연간시수표'!Y59,$BM$7)),$BF$6,IF(OR(COUNTIF('1.연간시수표'!Y59,$BO$9),COUNTIF('1.연간시수표'!Y59,$BO$7)),$BO$6,IF(OR(COUNTIF('1.연간시수표'!Y59,$BP$9),COUNTIF('1.연간시수표'!Y59,$BP$7)),$BP$6,IF(OR(COUNTIF('1.연간시수표'!Y59,$BQ$9),COUNTIF('1.연간시수표'!Y59,$BQ$7)),$BQ$6,IF(OR(COUNTIF('1.연간시수표'!Y59,$BR$9),COUNTIF('1.연간시수표'!Y59,$BR$7)),$BR$6,"_")))))))))))))))</f>
        <v>도덕</v>
      </c>
      <c r="Z59" s="148" t="str">
        <f>IF(OR(COUNTIF('1.연간시수표'!Z59,$AT$9),COUNTIF('1.연간시수표'!Z59,$AT$7)),$AT$6,IF(OR(COUNTIF('1.연간시수표'!Z59,$AU$9),COUNTIF('1.연간시수표'!Z59,$AU$7)),$AU$6,IF(OR(COUNTIF('1.연간시수표'!Z59,$AV$9),COUNTIF('1.연간시수표'!Z59,$AV$7)),$AV$6,IF(OR(COUNTIF('1.연간시수표'!Z59,$AW$9),COUNTIF('1.연간시수표'!Z59,$AW$7)),$AW$6,IF(OR(COUNTIF('1.연간시수표'!Z59,$AX$9),COUNTIF('1.연간시수표'!Z59,$AX$7)),$AX$6,IF(OR(COUNTIF('1.연간시수표'!Z59,$AY$9),COUNTIF('1.연간시수표'!Z59,$AY$7)),$AY$6,IF(OR(COUNTIF('1.연간시수표'!Z59,$AZ$9),COUNTIF('1.연간시수표'!Z59,$AZ$7)),$AZ$6,IF(OR(COUNTIF('1.연간시수표'!Z59,$BA$9),COUNTIF('1.연간시수표'!Z59,$BA$7)),$BA$6,IF(OR(COUNTIF('1.연간시수표'!Z59,$BB$9),COUNTIF('1.연간시수표'!Z59,$BB$7)),$BB$6,IF(OR(COUNTIF('1.연간시수표'!Z59,$BC$9),COUNTIF('1.연간시수표'!Z59,$BC$7)),$BC$6,IF(OR(COUNTIF('1.연간시수표'!Z59,$BF$9),COUNTIF('1.연간시수표'!Z59,$BF$7),COUNTIF('1.연간시수표'!Z59,$BG$9),COUNTIF('1.연간시수표'!Z59,$BG$7),COUNTIF('1.연간시수표'!Z59,$BH$9),COUNTIF('1.연간시수표'!Z59,$BH$7),COUNTIF('1.연간시수표'!Z59,$BI$9),COUNTIF('1.연간시수표'!Z59,$BI$7),COUNTIF('1.연간시수표'!Z59,$BJ$9),COUNTIF('1.연간시수표'!Z59,$BJ$7),COUNTIF('1.연간시수표'!Z59,$BK$9),COUNTIF('1.연간시수표'!Z59,$BK$7),COUNTIF('1.연간시수표'!Z59,$BL$9),COUNTIF('1.연간시수표'!Z59,$BL$7),COUNTIF('1.연간시수표'!Z59,$BM$9),COUNTIF('1.연간시수표'!Z59,$BM$7)),$BF$6,IF(OR(COUNTIF('1.연간시수표'!Z59,$BO$9),COUNTIF('1.연간시수표'!Z59,$BO$7)),$BO$6,IF(OR(COUNTIF('1.연간시수표'!Z59,$BP$9),COUNTIF('1.연간시수표'!Z59,$BP$7)),$BP$6,IF(OR(COUNTIF('1.연간시수표'!Z59,$BQ$9),COUNTIF('1.연간시수표'!Z59,$BQ$7)),$BQ$6,IF(OR(COUNTIF('1.연간시수표'!Z59,$BR$9),COUNTIF('1.연간시수표'!Z59,$BR$7)),$BR$6,"_")))))))))))))))</f>
        <v>_</v>
      </c>
      <c r="AA59" s="148" t="str">
        <f>IF(OR(COUNTIF('1.연간시수표'!AA59,$AT$9),COUNTIF('1.연간시수표'!AA59,$AT$7)),$AT$6,IF(OR(COUNTIF('1.연간시수표'!AA59,$AU$9),COUNTIF('1.연간시수표'!AA59,$AU$7)),$AU$6,IF(OR(COUNTIF('1.연간시수표'!AA59,$AV$9),COUNTIF('1.연간시수표'!AA59,$AV$7)),$AV$6,IF(OR(COUNTIF('1.연간시수표'!AA59,$AW$9),COUNTIF('1.연간시수표'!AA59,$AW$7)),$AW$6,IF(OR(COUNTIF('1.연간시수표'!AA59,$AX$9),COUNTIF('1.연간시수표'!AA59,$AX$7)),$AX$6,IF(OR(COUNTIF('1.연간시수표'!AA59,$AY$9),COUNTIF('1.연간시수표'!AA59,$AY$7)),$AY$6,IF(OR(COUNTIF('1.연간시수표'!AA59,$AZ$9),COUNTIF('1.연간시수표'!AA59,$AZ$7)),$AZ$6,IF(OR(COUNTIF('1.연간시수표'!AA59,$BA$9),COUNTIF('1.연간시수표'!AA59,$BA$7)),$BA$6,IF(OR(COUNTIF('1.연간시수표'!AA59,$BB$9),COUNTIF('1.연간시수표'!AA59,$BB$7)),$BB$6,IF(OR(COUNTIF('1.연간시수표'!AA59,$BC$9),COUNTIF('1.연간시수표'!AA59,$BC$7)),$BC$6,IF(OR(COUNTIF('1.연간시수표'!AA59,$BF$9),COUNTIF('1.연간시수표'!AA59,$BF$7),COUNTIF('1.연간시수표'!AA59,$BG$9),COUNTIF('1.연간시수표'!AA59,$BG$7),COUNTIF('1.연간시수표'!AA59,$BH$9),COUNTIF('1.연간시수표'!AA59,$BH$7),COUNTIF('1.연간시수표'!AA59,$BI$9),COUNTIF('1.연간시수표'!AA59,$BI$7),COUNTIF('1.연간시수표'!AA59,$BJ$9),COUNTIF('1.연간시수표'!AA59,$BJ$7),COUNTIF('1.연간시수표'!AA59,$BK$9),COUNTIF('1.연간시수표'!AA59,$BK$7),COUNTIF('1.연간시수표'!AA59,$BL$9),COUNTIF('1.연간시수표'!AA59,$BL$7),COUNTIF('1.연간시수표'!AA59,$BM$9),COUNTIF('1.연간시수표'!AA59,$BM$7)),$BF$6,IF(OR(COUNTIF('1.연간시수표'!AA59,$BO$9),COUNTIF('1.연간시수표'!AA59,$BO$7)),$BO$6,IF(OR(COUNTIF('1.연간시수표'!AA59,$BP$9),COUNTIF('1.연간시수표'!AA59,$BP$7)),$BP$6,IF(OR(COUNTIF('1.연간시수표'!AA59,$BQ$9),COUNTIF('1.연간시수표'!AA59,$BQ$7)),$BQ$6,IF(OR(COUNTIF('1.연간시수표'!AA59,$BR$9),COUNTIF('1.연간시수표'!AA59,$BR$7)),$BR$6,"_")))))))))))))))</f>
        <v>_</v>
      </c>
      <c r="AB59" s="148" t="str">
        <f>IF(OR(COUNTIF('1.연간시수표'!AB59,$AT$9),COUNTIF('1.연간시수표'!AB59,$AT$7)),$AT$6,IF(OR(COUNTIF('1.연간시수표'!AB59,$AU$9),COUNTIF('1.연간시수표'!AB59,$AU$7)),$AU$6,IF(OR(COUNTIF('1.연간시수표'!AB59,$AV$9),COUNTIF('1.연간시수표'!AB59,$AV$7)),$AV$6,IF(OR(COUNTIF('1.연간시수표'!AB59,$AW$9),COUNTIF('1.연간시수표'!AB59,$AW$7)),$AW$6,IF(OR(COUNTIF('1.연간시수표'!AB59,$AX$9),COUNTIF('1.연간시수표'!AB59,$AX$7)),$AX$6,IF(OR(COUNTIF('1.연간시수표'!AB59,$AY$9),COUNTIF('1.연간시수표'!AB59,$AY$7)),$AY$6,IF(OR(COUNTIF('1.연간시수표'!AB59,$AZ$9),COUNTIF('1.연간시수표'!AB59,$AZ$7)),$AZ$6,IF(OR(COUNTIF('1.연간시수표'!AB59,$BA$9),COUNTIF('1.연간시수표'!AB59,$BA$7)),$BA$6,IF(OR(COUNTIF('1.연간시수표'!AB59,$BB$9),COUNTIF('1.연간시수표'!AB59,$BB$7)),$BB$6,IF(OR(COUNTIF('1.연간시수표'!AB59,$BC$9),COUNTIF('1.연간시수표'!AB59,$BC$7)),$BC$6,IF(OR(COUNTIF('1.연간시수표'!AB59,$BF$9),COUNTIF('1.연간시수표'!AB59,$BF$7),COUNTIF('1.연간시수표'!AB59,$BG$9),COUNTIF('1.연간시수표'!AB59,$BG$7),COUNTIF('1.연간시수표'!AB59,$BH$9),COUNTIF('1.연간시수표'!AB59,$BH$7),COUNTIF('1.연간시수표'!AB59,$BI$9),COUNTIF('1.연간시수표'!AB59,$BI$7),COUNTIF('1.연간시수표'!AB59,$BJ$9),COUNTIF('1.연간시수표'!AB59,$BJ$7),COUNTIF('1.연간시수표'!AB59,$BK$9),COUNTIF('1.연간시수표'!AB59,$BK$7),COUNTIF('1.연간시수표'!AB59,$BL$9),COUNTIF('1.연간시수표'!AB59,$BL$7),COUNTIF('1.연간시수표'!AB59,$BM$9),COUNTIF('1.연간시수표'!AB59,$BM$7)),$BF$6,IF(OR(COUNTIF('1.연간시수표'!AB59,$BO$9),COUNTIF('1.연간시수표'!AB59,$BO$7)),$BO$6,IF(OR(COUNTIF('1.연간시수표'!AB59,$BP$9),COUNTIF('1.연간시수표'!AB59,$BP$7)),$BP$6,IF(OR(COUNTIF('1.연간시수표'!AB59,$BQ$9),COUNTIF('1.연간시수표'!AB59,$BQ$7)),$BQ$6,IF(OR(COUNTIF('1.연간시수표'!AB59,$BR$9),COUNTIF('1.연간시수표'!AB59,$BR$7)),$BR$6,"_")))))))))))))))</f>
        <v>_</v>
      </c>
      <c r="AC59" s="148" t="str">
        <f>IF(OR(COUNTIF('1.연간시수표'!AC59,$AT$9),COUNTIF('1.연간시수표'!AC59,$AT$7)),$AT$6,IF(OR(COUNTIF('1.연간시수표'!AC59,$AU$9),COUNTIF('1.연간시수표'!AC59,$AU$7)),$AU$6,IF(OR(COUNTIF('1.연간시수표'!AC59,$AV$9),COUNTIF('1.연간시수표'!AC59,$AV$7)),$AV$6,IF(OR(COUNTIF('1.연간시수표'!AC59,$AW$9),COUNTIF('1.연간시수표'!AC59,$AW$7)),$AW$6,IF(OR(COUNTIF('1.연간시수표'!AC59,$AX$9),COUNTIF('1.연간시수표'!AC59,$AX$7)),$AX$6,IF(OR(COUNTIF('1.연간시수표'!AC59,$AY$9),COUNTIF('1.연간시수표'!AC59,$AY$7)),$AY$6,IF(OR(COUNTIF('1.연간시수표'!AC59,$AZ$9),COUNTIF('1.연간시수표'!AC59,$AZ$7)),$AZ$6,IF(OR(COUNTIF('1.연간시수표'!AC59,$BA$9),COUNTIF('1.연간시수표'!AC59,$BA$7)),$BA$6,IF(OR(COUNTIF('1.연간시수표'!AC59,$BB$9),COUNTIF('1.연간시수표'!AC59,$BB$7)),$BB$6,IF(OR(COUNTIF('1.연간시수표'!AC59,$BC$9),COUNTIF('1.연간시수표'!AC59,$BC$7)),$BC$6,IF(OR(COUNTIF('1.연간시수표'!AC59,$BF$9),COUNTIF('1.연간시수표'!AC59,$BF$7),COUNTIF('1.연간시수표'!AC59,$BG$9),COUNTIF('1.연간시수표'!AC59,$BG$7),COUNTIF('1.연간시수표'!AC59,$BH$9),COUNTIF('1.연간시수표'!AC59,$BH$7),COUNTIF('1.연간시수표'!AC59,$BI$9),COUNTIF('1.연간시수표'!AC59,$BI$7),COUNTIF('1.연간시수표'!AC59,$BJ$9),COUNTIF('1.연간시수표'!AC59,$BJ$7),COUNTIF('1.연간시수표'!AC59,$BK$9),COUNTIF('1.연간시수표'!AC59,$BK$7),COUNTIF('1.연간시수표'!AC59,$BL$9),COUNTIF('1.연간시수표'!AC59,$BL$7),COUNTIF('1.연간시수표'!AC59,$BM$9),COUNTIF('1.연간시수표'!AC59,$BM$7)),$BF$6,IF(OR(COUNTIF('1.연간시수표'!AC59,$BO$9),COUNTIF('1.연간시수표'!AC59,$BO$7)),$BO$6,IF(OR(COUNTIF('1.연간시수표'!AC59,$BP$9),COUNTIF('1.연간시수표'!AC59,$BP$7)),$BP$6,IF(OR(COUNTIF('1.연간시수표'!AC59,$BQ$9),COUNTIF('1.연간시수표'!AC59,$BQ$7)),$BQ$6,IF(OR(COUNTIF('1.연간시수표'!AC59,$BR$9),COUNTIF('1.연간시수표'!AC59,$BR$7)),$BR$6,"_")))))))))))))))</f>
        <v>국어</v>
      </c>
      <c r="AD59" s="148" t="str">
        <f>IF(OR(COUNTIF('1.연간시수표'!AD59,$AT$9),COUNTIF('1.연간시수표'!AD59,$AT$7)),$AT$6,IF(OR(COUNTIF('1.연간시수표'!AD59,$AU$9),COUNTIF('1.연간시수표'!AD59,$AU$7)),$AU$6,IF(OR(COUNTIF('1.연간시수표'!AD59,$AV$9),COUNTIF('1.연간시수표'!AD59,$AV$7)),$AV$6,IF(OR(COUNTIF('1.연간시수표'!AD59,$AW$9),COUNTIF('1.연간시수표'!AD59,$AW$7)),$AW$6,IF(OR(COUNTIF('1.연간시수표'!AD59,$AX$9),COUNTIF('1.연간시수표'!AD59,$AX$7)),$AX$6,IF(OR(COUNTIF('1.연간시수표'!AD59,$AY$9),COUNTIF('1.연간시수표'!AD59,$AY$7)),$AY$6,IF(OR(COUNTIF('1.연간시수표'!AD59,$AZ$9),COUNTIF('1.연간시수표'!AD59,$AZ$7)),$AZ$6,IF(OR(COUNTIF('1.연간시수표'!AD59,$BA$9),COUNTIF('1.연간시수표'!AD59,$BA$7)),$BA$6,IF(OR(COUNTIF('1.연간시수표'!AD59,$BB$9),COUNTIF('1.연간시수표'!AD59,$BB$7)),$BB$6,IF(OR(COUNTIF('1.연간시수표'!AD59,$BC$9),COUNTIF('1.연간시수표'!AD59,$BC$7)),$BC$6,IF(OR(COUNTIF('1.연간시수표'!AD59,$BF$9),COUNTIF('1.연간시수표'!AD59,$BF$7),COUNTIF('1.연간시수표'!AD59,$BG$9),COUNTIF('1.연간시수표'!AD59,$BG$7),COUNTIF('1.연간시수표'!AD59,$BH$9),COUNTIF('1.연간시수표'!AD59,$BH$7),COUNTIF('1.연간시수표'!AD59,$BI$9),COUNTIF('1.연간시수표'!AD59,$BI$7),COUNTIF('1.연간시수표'!AD59,$BJ$9),COUNTIF('1.연간시수표'!AD59,$BJ$7),COUNTIF('1.연간시수표'!AD59,$BK$9),COUNTIF('1.연간시수표'!AD59,$BK$7),COUNTIF('1.연간시수표'!AD59,$BL$9),COUNTIF('1.연간시수표'!AD59,$BL$7),COUNTIF('1.연간시수표'!AD59,$BM$9),COUNTIF('1.연간시수표'!AD59,$BM$7)),$BF$6,IF(OR(COUNTIF('1.연간시수표'!AD59,$BO$9),COUNTIF('1.연간시수표'!AD59,$BO$7)),$BO$6,IF(OR(COUNTIF('1.연간시수표'!AD59,$BP$9),COUNTIF('1.연간시수표'!AD59,$BP$7)),$BP$6,IF(OR(COUNTIF('1.연간시수표'!AD59,$BQ$9),COUNTIF('1.연간시수표'!AD59,$BQ$7)),$BQ$6,IF(OR(COUNTIF('1.연간시수표'!AD59,$BR$9),COUNTIF('1.연간시수표'!AD59,$BR$7)),$BR$6,"_")))))))))))))))</f>
        <v>자율활동</v>
      </c>
      <c r="AE59" s="148" t="str">
        <f>IF(OR(COUNTIF('1.연간시수표'!AE59,$AT$9),COUNTIF('1.연간시수표'!AE59,$AT$7)),$AT$6,IF(OR(COUNTIF('1.연간시수표'!AE59,$AU$9),COUNTIF('1.연간시수표'!AE59,$AU$7)),$AU$6,IF(OR(COUNTIF('1.연간시수표'!AE59,$AV$9),COUNTIF('1.연간시수표'!AE59,$AV$7)),$AV$6,IF(OR(COUNTIF('1.연간시수표'!AE59,$AW$9),COUNTIF('1.연간시수표'!AE59,$AW$7)),$AW$6,IF(OR(COUNTIF('1.연간시수표'!AE59,$AX$9),COUNTIF('1.연간시수표'!AE59,$AX$7)),$AX$6,IF(OR(COUNTIF('1.연간시수표'!AE59,$AY$9),COUNTIF('1.연간시수표'!AE59,$AY$7)),$AY$6,IF(OR(COUNTIF('1.연간시수표'!AE59,$AZ$9),COUNTIF('1.연간시수표'!AE59,$AZ$7)),$AZ$6,IF(OR(COUNTIF('1.연간시수표'!AE59,$BA$9),COUNTIF('1.연간시수표'!AE59,$BA$7)),$BA$6,IF(OR(COUNTIF('1.연간시수표'!AE59,$BB$9),COUNTIF('1.연간시수표'!AE59,$BB$7)),$BB$6,IF(OR(COUNTIF('1.연간시수표'!AE59,$BC$9),COUNTIF('1.연간시수표'!AE59,$BC$7)),$BC$6,IF(OR(COUNTIF('1.연간시수표'!AE59,$BF$9),COUNTIF('1.연간시수표'!AE59,$BF$7),COUNTIF('1.연간시수표'!AE59,$BG$9),COUNTIF('1.연간시수표'!AE59,$BG$7),COUNTIF('1.연간시수표'!AE59,$BH$9),COUNTIF('1.연간시수표'!AE59,$BH$7),COUNTIF('1.연간시수표'!AE59,$BI$9),COUNTIF('1.연간시수표'!AE59,$BI$7),COUNTIF('1.연간시수표'!AE59,$BJ$9),COUNTIF('1.연간시수표'!AE59,$BJ$7),COUNTIF('1.연간시수표'!AE59,$BK$9),COUNTIF('1.연간시수표'!AE59,$BK$7),COUNTIF('1.연간시수표'!AE59,$BL$9),COUNTIF('1.연간시수표'!AE59,$BL$7),COUNTIF('1.연간시수표'!AE59,$BM$9),COUNTIF('1.연간시수표'!AE59,$BM$7)),$BF$6,IF(OR(COUNTIF('1.연간시수표'!AE59,$BO$9),COUNTIF('1.연간시수표'!AE59,$BO$7)),$BO$6,IF(OR(COUNTIF('1.연간시수표'!AE59,$BP$9),COUNTIF('1.연간시수표'!AE59,$BP$7)),$BP$6,IF(OR(COUNTIF('1.연간시수표'!AE59,$BQ$9),COUNTIF('1.연간시수표'!AE59,$BQ$7)),$BQ$6,IF(OR(COUNTIF('1.연간시수표'!AE59,$BR$9),COUNTIF('1.연간시수표'!AE59,$BR$7)),$BR$6,"_")))))))))))))))</f>
        <v>사회</v>
      </c>
      <c r="AF59" s="148" t="str">
        <f>IF(OR(COUNTIF('1.연간시수표'!AF59,$AT$9),COUNTIF('1.연간시수표'!AF59,$AT$7)),$AT$6,IF(OR(COUNTIF('1.연간시수표'!AF59,$AU$9),COUNTIF('1.연간시수표'!AF59,$AU$7)),$AU$6,IF(OR(COUNTIF('1.연간시수표'!AF59,$AV$9),COUNTIF('1.연간시수표'!AF59,$AV$7)),$AV$6,IF(OR(COUNTIF('1.연간시수표'!AF59,$AW$9),COUNTIF('1.연간시수표'!AF59,$AW$7)),$AW$6,IF(OR(COUNTIF('1.연간시수표'!AF59,$AX$9),COUNTIF('1.연간시수표'!AF59,$AX$7)),$AX$6,IF(OR(COUNTIF('1.연간시수표'!AF59,$AY$9),COUNTIF('1.연간시수표'!AF59,$AY$7)),$AY$6,IF(OR(COUNTIF('1.연간시수표'!AF59,$AZ$9),COUNTIF('1.연간시수표'!AF59,$AZ$7)),$AZ$6,IF(OR(COUNTIF('1.연간시수표'!AF59,$BA$9),COUNTIF('1.연간시수표'!AF59,$BA$7)),$BA$6,IF(OR(COUNTIF('1.연간시수표'!AF59,$BB$9),COUNTIF('1.연간시수표'!AF59,$BB$7)),$BB$6,IF(OR(COUNTIF('1.연간시수표'!AF59,$BC$9),COUNTIF('1.연간시수표'!AF59,$BC$7)),$BC$6,IF(OR(COUNTIF('1.연간시수표'!AF59,$BF$9),COUNTIF('1.연간시수표'!AF59,$BF$7),COUNTIF('1.연간시수표'!AF59,$BG$9),COUNTIF('1.연간시수표'!AF59,$BG$7),COUNTIF('1.연간시수표'!AF59,$BH$9),COUNTIF('1.연간시수표'!AF59,$BH$7),COUNTIF('1.연간시수표'!AF59,$BI$9),COUNTIF('1.연간시수표'!AF59,$BI$7),COUNTIF('1.연간시수표'!AF59,$BJ$9),COUNTIF('1.연간시수표'!AF59,$BJ$7),COUNTIF('1.연간시수표'!AF59,$BK$9),COUNTIF('1.연간시수표'!AF59,$BK$7),COUNTIF('1.연간시수표'!AF59,$BL$9),COUNTIF('1.연간시수표'!AF59,$BL$7),COUNTIF('1.연간시수표'!AF59,$BM$9),COUNTIF('1.연간시수표'!AF59,$BM$7)),$BF$6,IF(OR(COUNTIF('1.연간시수표'!AF59,$BO$9),COUNTIF('1.연간시수표'!AF59,$BO$7)),$BO$6,IF(OR(COUNTIF('1.연간시수표'!AF59,$BP$9),COUNTIF('1.연간시수표'!AF59,$BP$7)),$BP$6,IF(OR(COUNTIF('1.연간시수표'!AF59,$BQ$9),COUNTIF('1.연간시수표'!AF59,$BQ$7)),$BQ$6,IF(OR(COUNTIF('1.연간시수표'!AF59,$BR$9),COUNTIF('1.연간시수표'!AF59,$BR$7)),$BR$6,"_")))))))))))))))</f>
        <v>영어</v>
      </c>
      <c r="AG59" s="148" t="str">
        <f>IF(OR(COUNTIF('1.연간시수표'!AG59,$AT$9),COUNTIF('1.연간시수표'!AG59,$AT$7)),$AT$6,IF(OR(COUNTIF('1.연간시수표'!AG59,$AU$9),COUNTIF('1.연간시수표'!AG59,$AU$7)),$AU$6,IF(OR(COUNTIF('1.연간시수표'!AG59,$AV$9),COUNTIF('1.연간시수표'!AG59,$AV$7)),$AV$6,IF(OR(COUNTIF('1.연간시수표'!AG59,$AW$9),COUNTIF('1.연간시수표'!AG59,$AW$7)),$AW$6,IF(OR(COUNTIF('1.연간시수표'!AG59,$AX$9),COUNTIF('1.연간시수표'!AG59,$AX$7)),$AX$6,IF(OR(COUNTIF('1.연간시수표'!AG59,$AY$9),COUNTIF('1.연간시수표'!AG59,$AY$7)),$AY$6,IF(OR(COUNTIF('1.연간시수표'!AG59,$AZ$9),COUNTIF('1.연간시수표'!AG59,$AZ$7)),$AZ$6,IF(OR(COUNTIF('1.연간시수표'!AG59,$BA$9),COUNTIF('1.연간시수표'!AG59,$BA$7)),$BA$6,IF(OR(COUNTIF('1.연간시수표'!AG59,$BB$9),COUNTIF('1.연간시수표'!AG59,$BB$7)),$BB$6,IF(OR(COUNTIF('1.연간시수표'!AG59,$BC$9),COUNTIF('1.연간시수표'!AG59,$BC$7)),$BC$6,IF(OR(COUNTIF('1.연간시수표'!AG59,$BF$9),COUNTIF('1.연간시수표'!AG59,$BF$7),COUNTIF('1.연간시수표'!AG59,$BG$9),COUNTIF('1.연간시수표'!AG59,$BG$7),COUNTIF('1.연간시수표'!AG59,$BH$9),COUNTIF('1.연간시수표'!AG59,$BH$7),COUNTIF('1.연간시수표'!AG59,$BI$9),COUNTIF('1.연간시수표'!AG59,$BI$7),COUNTIF('1.연간시수표'!AG59,$BJ$9),COUNTIF('1.연간시수표'!AG59,$BJ$7),COUNTIF('1.연간시수표'!AG59,$BK$9),COUNTIF('1.연간시수표'!AG59,$BK$7),COUNTIF('1.연간시수표'!AG59,$BL$9),COUNTIF('1.연간시수표'!AG59,$BL$7),COUNTIF('1.연간시수표'!AG59,$BM$9),COUNTIF('1.연간시수표'!AG59,$BM$7)),$BF$6,IF(OR(COUNTIF('1.연간시수표'!AG59,$BO$9),COUNTIF('1.연간시수표'!AG59,$BO$7)),$BO$6,IF(OR(COUNTIF('1.연간시수표'!AG59,$BP$9),COUNTIF('1.연간시수표'!AG59,$BP$7)),$BP$6,IF(OR(COUNTIF('1.연간시수표'!AG59,$BQ$9),COUNTIF('1.연간시수표'!AG59,$BQ$7)),$BQ$6,IF(OR(COUNTIF('1.연간시수표'!AG59,$BR$9),COUNTIF('1.연간시수표'!AG59,$BR$7)),$BR$6,"_")))))))))))))))</f>
        <v>동아리활동</v>
      </c>
      <c r="AH59" s="148" t="str">
        <f>IF(OR(COUNTIF('1.연간시수표'!AH59,$AT$9),COUNTIF('1.연간시수표'!AH59,$AT$7)),$AT$6,IF(OR(COUNTIF('1.연간시수표'!AH59,$AU$9),COUNTIF('1.연간시수표'!AH59,$AU$7)),$AU$6,IF(OR(COUNTIF('1.연간시수표'!AH59,$AV$9),COUNTIF('1.연간시수표'!AH59,$AV$7)),$AV$6,IF(OR(COUNTIF('1.연간시수표'!AH59,$AW$9),COUNTIF('1.연간시수표'!AH59,$AW$7)),$AW$6,IF(OR(COUNTIF('1.연간시수표'!AH59,$AX$9),COUNTIF('1.연간시수표'!AH59,$AX$7)),$AX$6,IF(OR(COUNTIF('1.연간시수표'!AH59,$AY$9),COUNTIF('1.연간시수표'!AH59,$AY$7)),$AY$6,IF(OR(COUNTIF('1.연간시수표'!AH59,$AZ$9),COUNTIF('1.연간시수표'!AH59,$AZ$7)),$AZ$6,IF(OR(COUNTIF('1.연간시수표'!AH59,$BA$9),COUNTIF('1.연간시수표'!AH59,$BA$7)),$BA$6,IF(OR(COUNTIF('1.연간시수표'!AH59,$BB$9),COUNTIF('1.연간시수표'!AH59,$BB$7)),$BB$6,IF(OR(COUNTIF('1.연간시수표'!AH59,$BC$9),COUNTIF('1.연간시수표'!AH59,$BC$7)),$BC$6,IF(OR(COUNTIF('1.연간시수표'!AH59,$BF$9),COUNTIF('1.연간시수표'!AH59,$BF$7),COUNTIF('1.연간시수표'!AH59,$BG$9),COUNTIF('1.연간시수표'!AH59,$BG$7),COUNTIF('1.연간시수표'!AH59,$BH$9),COUNTIF('1.연간시수표'!AH59,$BH$7),COUNTIF('1.연간시수표'!AH59,$BI$9),COUNTIF('1.연간시수표'!AH59,$BI$7),COUNTIF('1.연간시수표'!AH59,$BJ$9),COUNTIF('1.연간시수표'!AH59,$BJ$7),COUNTIF('1.연간시수표'!AH59,$BK$9),COUNTIF('1.연간시수표'!AH59,$BK$7),COUNTIF('1.연간시수표'!AH59,$BL$9),COUNTIF('1.연간시수표'!AH59,$BL$7),COUNTIF('1.연간시수표'!AH59,$BM$9),COUNTIF('1.연간시수표'!AH59,$BM$7)),$BF$6,IF(OR(COUNTIF('1.연간시수표'!AH59,$BO$9),COUNTIF('1.연간시수표'!AH59,$BO$7)),$BO$6,IF(OR(COUNTIF('1.연간시수표'!AH59,$BP$9),COUNTIF('1.연간시수표'!AH59,$BP$7)),$BP$6,IF(OR(COUNTIF('1.연간시수표'!AH59,$BQ$9),COUNTIF('1.연간시수표'!AH59,$BQ$7)),$BQ$6,IF(OR(COUNTIF('1.연간시수표'!AH59,$BR$9),COUNTIF('1.연간시수표'!AH59,$BR$7)),$BR$6,"_")))))))))))))))</f>
        <v>동아리활동</v>
      </c>
      <c r="AI59" s="148" t="str">
        <f>IF(OR(COUNTIF('1.연간시수표'!AI59,$AT$9),COUNTIF('1.연간시수표'!AI59,$AT$7)),$AT$6,IF(OR(COUNTIF('1.연간시수표'!AI59,$AU$9),COUNTIF('1.연간시수표'!AI59,$AU$7)),$AU$6,IF(OR(COUNTIF('1.연간시수표'!AI59,$AV$9),COUNTIF('1.연간시수표'!AI59,$AV$7)),$AV$6,IF(OR(COUNTIF('1.연간시수표'!AI59,$AW$9),COUNTIF('1.연간시수표'!AI59,$AW$7)),$AW$6,IF(OR(COUNTIF('1.연간시수표'!AI59,$AX$9),COUNTIF('1.연간시수표'!AI59,$AX$7)),$AX$6,IF(OR(COUNTIF('1.연간시수표'!AI59,$AY$9),COUNTIF('1.연간시수표'!AI59,$AY$7)),$AY$6,IF(OR(COUNTIF('1.연간시수표'!AI59,$AZ$9),COUNTIF('1.연간시수표'!AI59,$AZ$7)),$AZ$6,IF(OR(COUNTIF('1.연간시수표'!AI59,$BA$9),COUNTIF('1.연간시수표'!AI59,$BA$7)),$BA$6,IF(OR(COUNTIF('1.연간시수표'!AI59,$BB$9),COUNTIF('1.연간시수표'!AI59,$BB$7)),$BB$6,IF(OR(COUNTIF('1.연간시수표'!AI59,$BC$9),COUNTIF('1.연간시수표'!AI59,$BC$7)),$BC$6,IF(OR(COUNTIF('1.연간시수표'!AI59,$BF$9),COUNTIF('1.연간시수표'!AI59,$BF$7),COUNTIF('1.연간시수표'!AI59,$BG$9),COUNTIF('1.연간시수표'!AI59,$BG$7),COUNTIF('1.연간시수표'!AI59,$BH$9),COUNTIF('1.연간시수표'!AI59,$BH$7),COUNTIF('1.연간시수표'!AI59,$BI$9),COUNTIF('1.연간시수표'!AI59,$BI$7),COUNTIF('1.연간시수표'!AI59,$BJ$9),COUNTIF('1.연간시수표'!AI59,$BJ$7),COUNTIF('1.연간시수표'!AI59,$BK$9),COUNTIF('1.연간시수표'!AI59,$BK$7),COUNTIF('1.연간시수표'!AI59,$BL$9),COUNTIF('1.연간시수표'!AI59,$BL$7),COUNTIF('1.연간시수표'!AI59,$BM$9),COUNTIF('1.연간시수표'!AI59,$BM$7)),$BF$6,IF(OR(COUNTIF('1.연간시수표'!AI59,$BO$9),COUNTIF('1.연간시수표'!AI59,$BO$7)),$BO$6,IF(OR(COUNTIF('1.연간시수표'!AI59,$BP$9),COUNTIF('1.연간시수표'!AI59,$BP$7)),$BP$6,IF(OR(COUNTIF('1.연간시수표'!AI59,$BQ$9),COUNTIF('1.연간시수표'!AI59,$BQ$7)),$BQ$6,IF(OR(COUNTIF('1.연간시수표'!AI59,$BR$9),COUNTIF('1.연간시수표'!AI59,$BR$7)),$BR$6,"_")))))))))))))))</f>
        <v>_</v>
      </c>
      <c r="AJ59" s="148" t="str">
        <f>IF(OR(COUNTIF('1.연간시수표'!AJ59,$AT$9),COUNTIF('1.연간시수표'!AJ59,$AT$7)),$AT$6,IF(OR(COUNTIF('1.연간시수표'!AJ59,$AU$9),COUNTIF('1.연간시수표'!AJ59,$AU$7)),$AU$6,IF(OR(COUNTIF('1.연간시수표'!AJ59,$AV$9),COUNTIF('1.연간시수표'!AJ59,$AV$7)),$AV$6,IF(OR(COUNTIF('1.연간시수표'!AJ59,$AW$9),COUNTIF('1.연간시수표'!AJ59,$AW$7)),$AW$6,IF(OR(COUNTIF('1.연간시수표'!AJ59,$AX$9),COUNTIF('1.연간시수표'!AJ59,$AX$7)),$AX$6,IF(OR(COUNTIF('1.연간시수표'!AJ59,$AY$9),COUNTIF('1.연간시수표'!AJ59,$AY$7)),$AY$6,IF(OR(COUNTIF('1.연간시수표'!AJ59,$AZ$9),COUNTIF('1.연간시수표'!AJ59,$AZ$7)),$AZ$6,IF(OR(COUNTIF('1.연간시수표'!AJ59,$BA$9),COUNTIF('1.연간시수표'!AJ59,$BA$7)),$BA$6,IF(OR(COUNTIF('1.연간시수표'!AJ59,$BB$9),COUNTIF('1.연간시수표'!AJ59,$BB$7)),$BB$6,IF(OR(COUNTIF('1.연간시수표'!AJ59,$BC$9),COUNTIF('1.연간시수표'!AJ59,$BC$7)),$BC$6,IF(OR(COUNTIF('1.연간시수표'!AJ59,$BF$9),COUNTIF('1.연간시수표'!AJ59,$BF$7),COUNTIF('1.연간시수표'!AJ59,$BG$9),COUNTIF('1.연간시수표'!AJ59,$BG$7),COUNTIF('1.연간시수표'!AJ59,$BH$9),COUNTIF('1.연간시수표'!AJ59,$BH$7),COUNTIF('1.연간시수표'!AJ59,$BI$9),COUNTIF('1.연간시수표'!AJ59,$BI$7),COUNTIF('1.연간시수표'!AJ59,$BJ$9),COUNTIF('1.연간시수표'!AJ59,$BJ$7),COUNTIF('1.연간시수표'!AJ59,$BK$9),COUNTIF('1.연간시수표'!AJ59,$BK$7),COUNTIF('1.연간시수표'!AJ59,$BL$9),COUNTIF('1.연간시수표'!AJ59,$BL$7),COUNTIF('1.연간시수표'!AJ59,$BM$9),COUNTIF('1.연간시수표'!AJ59,$BM$7)),$BF$6,IF(OR(COUNTIF('1.연간시수표'!AJ59,$BO$9),COUNTIF('1.연간시수표'!AJ59,$BO$7)),$BO$6,IF(OR(COUNTIF('1.연간시수표'!AJ59,$BP$9),COUNTIF('1.연간시수표'!AJ59,$BP$7)),$BP$6,IF(OR(COUNTIF('1.연간시수표'!AJ59,$BQ$9),COUNTIF('1.연간시수표'!AJ59,$BQ$7)),$BQ$6,IF(OR(COUNTIF('1.연간시수표'!AJ59,$BR$9),COUNTIF('1.연간시수표'!AJ59,$BR$7)),$BR$6,"_")))))))))))))))</f>
        <v>_</v>
      </c>
      <c r="AK59" s="148" t="str">
        <f>IF(OR(COUNTIF('1.연간시수표'!AK59,$AT$9),COUNTIF('1.연간시수표'!AK59,$AT$7)),$AT$6,IF(OR(COUNTIF('1.연간시수표'!AK59,$AU$9),COUNTIF('1.연간시수표'!AK59,$AU$7)),$AU$6,IF(OR(COUNTIF('1.연간시수표'!AK59,$AV$9),COUNTIF('1.연간시수표'!AK59,$AV$7)),$AV$6,IF(OR(COUNTIF('1.연간시수표'!AK59,$AW$9),COUNTIF('1.연간시수표'!AK59,$AW$7)),$AW$6,IF(OR(COUNTIF('1.연간시수표'!AK59,$AX$9),COUNTIF('1.연간시수표'!AK59,$AX$7)),$AX$6,IF(OR(COUNTIF('1.연간시수표'!AK59,$AY$9),COUNTIF('1.연간시수표'!AK59,$AY$7)),$AY$6,IF(OR(COUNTIF('1.연간시수표'!AK59,$AZ$9),COUNTIF('1.연간시수표'!AK59,$AZ$7)),$AZ$6,IF(OR(COUNTIF('1.연간시수표'!AK59,$BA$9),COUNTIF('1.연간시수표'!AK59,$BA$7)),$BA$6,IF(OR(COUNTIF('1.연간시수표'!AK59,$BB$9),COUNTIF('1.연간시수표'!AK59,$BB$7)),$BB$6,IF(OR(COUNTIF('1.연간시수표'!AK59,$BC$9),COUNTIF('1.연간시수표'!AK59,$BC$7)),$BC$6,IF(OR(COUNTIF('1.연간시수표'!AK59,$BF$9),COUNTIF('1.연간시수표'!AK59,$BF$7),COUNTIF('1.연간시수표'!AK59,$BG$9),COUNTIF('1.연간시수표'!AK59,$BG$7),COUNTIF('1.연간시수표'!AK59,$BH$9),COUNTIF('1.연간시수표'!AK59,$BH$7),COUNTIF('1.연간시수표'!AK59,$BI$9),COUNTIF('1.연간시수표'!AK59,$BI$7),COUNTIF('1.연간시수표'!AK59,$BJ$9),COUNTIF('1.연간시수표'!AK59,$BJ$7),COUNTIF('1.연간시수표'!AK59,$BK$9),COUNTIF('1.연간시수표'!AK59,$BK$7),COUNTIF('1.연간시수표'!AK59,$BL$9),COUNTIF('1.연간시수표'!AK59,$BL$7),COUNTIF('1.연간시수표'!AK59,$BM$9),COUNTIF('1.연간시수표'!AK59,$BM$7)),$BF$6,IF(OR(COUNTIF('1.연간시수표'!AK59,$BO$9),COUNTIF('1.연간시수표'!AK59,$BO$7)),$BO$6,IF(OR(COUNTIF('1.연간시수표'!AK59,$BP$9),COUNTIF('1.연간시수표'!AK59,$BP$7)),$BP$6,IF(OR(COUNTIF('1.연간시수표'!AK59,$BQ$9),COUNTIF('1.연간시수표'!AK59,$BQ$7)),$BQ$6,IF(OR(COUNTIF('1.연간시수표'!AK59,$BR$9),COUNTIF('1.연간시수표'!AK59,$BR$7)),$BR$6,"_")))))))))))))))</f>
        <v>국어</v>
      </c>
      <c r="AL59" s="148" t="str">
        <f>IF(OR(COUNTIF('1.연간시수표'!AL59,$AT$9),COUNTIF('1.연간시수표'!AL59,$AT$7)),$AT$6,IF(OR(COUNTIF('1.연간시수표'!AL59,$AU$9),COUNTIF('1.연간시수표'!AL59,$AU$7)),$AU$6,IF(OR(COUNTIF('1.연간시수표'!AL59,$AV$9),COUNTIF('1.연간시수표'!AL59,$AV$7)),$AV$6,IF(OR(COUNTIF('1.연간시수표'!AL59,$AW$9),COUNTIF('1.연간시수표'!AL59,$AW$7)),$AW$6,IF(OR(COUNTIF('1.연간시수표'!AL59,$AX$9),COUNTIF('1.연간시수표'!AL59,$AX$7)),$AX$6,IF(OR(COUNTIF('1.연간시수표'!AL59,$AY$9),COUNTIF('1.연간시수표'!AL59,$AY$7)),$AY$6,IF(OR(COUNTIF('1.연간시수표'!AL59,$AZ$9),COUNTIF('1.연간시수표'!AL59,$AZ$7)),$AZ$6,IF(OR(COUNTIF('1.연간시수표'!AL59,$BA$9),COUNTIF('1.연간시수표'!AL59,$BA$7)),$BA$6,IF(OR(COUNTIF('1.연간시수표'!AL59,$BB$9),COUNTIF('1.연간시수표'!AL59,$BB$7)),$BB$6,IF(OR(COUNTIF('1.연간시수표'!AL59,$BC$9),COUNTIF('1.연간시수표'!AL59,$BC$7)),$BC$6,IF(OR(COUNTIF('1.연간시수표'!AL59,$BF$9),COUNTIF('1.연간시수표'!AL59,$BF$7),COUNTIF('1.연간시수표'!AL59,$BG$9),COUNTIF('1.연간시수표'!AL59,$BG$7),COUNTIF('1.연간시수표'!AL59,$BH$9),COUNTIF('1.연간시수표'!AL59,$BH$7),COUNTIF('1.연간시수표'!AL59,$BI$9),COUNTIF('1.연간시수표'!AL59,$BI$7),COUNTIF('1.연간시수표'!AL59,$BJ$9),COUNTIF('1.연간시수표'!AL59,$BJ$7),COUNTIF('1.연간시수표'!AL59,$BK$9),COUNTIF('1.연간시수표'!AL59,$BK$7),COUNTIF('1.연간시수표'!AL59,$BL$9),COUNTIF('1.연간시수표'!AL59,$BL$7),COUNTIF('1.연간시수표'!AL59,$BM$9),COUNTIF('1.연간시수표'!AL59,$BM$7)),$BF$6,IF(OR(COUNTIF('1.연간시수표'!AL59,$BO$9),COUNTIF('1.연간시수표'!AL59,$BO$7)),$BO$6,IF(OR(COUNTIF('1.연간시수표'!AL59,$BP$9),COUNTIF('1.연간시수표'!AL59,$BP$7)),$BP$6,IF(OR(COUNTIF('1.연간시수표'!AL59,$BQ$9),COUNTIF('1.연간시수표'!AL59,$BQ$7)),$BQ$6,IF(OR(COUNTIF('1.연간시수표'!AL59,$BR$9),COUNTIF('1.연간시수표'!AL59,$BR$7)),$BR$6,"_")))))))))))))))</f>
        <v>체육</v>
      </c>
      <c r="AM59" s="148" t="str">
        <f>IF(OR(COUNTIF('1.연간시수표'!AM59,$AT$9),COUNTIF('1.연간시수표'!AM59,$AT$7)),$AT$6,IF(OR(COUNTIF('1.연간시수표'!AM59,$AU$9),COUNTIF('1.연간시수표'!AM59,$AU$7)),$AU$6,IF(OR(COUNTIF('1.연간시수표'!AM59,$AV$9),COUNTIF('1.연간시수표'!AM59,$AV$7)),$AV$6,IF(OR(COUNTIF('1.연간시수표'!AM59,$AW$9),COUNTIF('1.연간시수표'!AM59,$AW$7)),$AW$6,IF(OR(COUNTIF('1.연간시수표'!AM59,$AX$9),COUNTIF('1.연간시수표'!AM59,$AX$7)),$AX$6,IF(OR(COUNTIF('1.연간시수표'!AM59,$AY$9),COUNTIF('1.연간시수표'!AM59,$AY$7)),$AY$6,IF(OR(COUNTIF('1.연간시수표'!AM59,$AZ$9),COUNTIF('1.연간시수표'!AM59,$AZ$7)),$AZ$6,IF(OR(COUNTIF('1.연간시수표'!AM59,$BA$9),COUNTIF('1.연간시수표'!AM59,$BA$7)),$BA$6,IF(OR(COUNTIF('1.연간시수표'!AM59,$BB$9),COUNTIF('1.연간시수표'!AM59,$BB$7)),$BB$6,IF(OR(COUNTIF('1.연간시수표'!AM59,$BC$9),COUNTIF('1.연간시수표'!AM59,$BC$7)),$BC$6,IF(OR(COUNTIF('1.연간시수표'!AM59,$BF$9),COUNTIF('1.연간시수표'!AM59,$BF$7),COUNTIF('1.연간시수표'!AM59,$BG$9),COUNTIF('1.연간시수표'!AM59,$BG$7),COUNTIF('1.연간시수표'!AM59,$BH$9),COUNTIF('1.연간시수표'!AM59,$BH$7),COUNTIF('1.연간시수표'!AM59,$BI$9),COUNTIF('1.연간시수표'!AM59,$BI$7),COUNTIF('1.연간시수표'!AM59,$BJ$9),COUNTIF('1.연간시수표'!AM59,$BJ$7),COUNTIF('1.연간시수표'!AM59,$BK$9),COUNTIF('1.연간시수표'!AM59,$BK$7),COUNTIF('1.연간시수표'!AM59,$BL$9),COUNTIF('1.연간시수표'!AM59,$BL$7),COUNTIF('1.연간시수표'!AM59,$BM$9),COUNTIF('1.연간시수표'!AM59,$BM$7)),$BF$6,IF(OR(COUNTIF('1.연간시수표'!AM59,$BO$9),COUNTIF('1.연간시수표'!AM59,$BO$7)),$BO$6,IF(OR(COUNTIF('1.연간시수표'!AM59,$BP$9),COUNTIF('1.연간시수표'!AM59,$BP$7)),$BP$6,IF(OR(COUNTIF('1.연간시수표'!AM59,$BQ$9),COUNTIF('1.연간시수표'!AM59,$BQ$7)),$BQ$6,IF(OR(COUNTIF('1.연간시수표'!AM59,$BR$9),COUNTIF('1.연간시수표'!AM59,$BR$7)),$BR$6,"_")))))))))))))))</f>
        <v>수학</v>
      </c>
      <c r="AN59" s="148" t="str">
        <f>IF(OR(COUNTIF('1.연간시수표'!AN59,$AT$9),COUNTIF('1.연간시수표'!AN59,$AT$7)),$AT$6,IF(OR(COUNTIF('1.연간시수표'!AN59,$AU$9),COUNTIF('1.연간시수표'!AN59,$AU$7)),$AU$6,IF(OR(COUNTIF('1.연간시수표'!AN59,$AV$9),COUNTIF('1.연간시수표'!AN59,$AV$7)),$AV$6,IF(OR(COUNTIF('1.연간시수표'!AN59,$AW$9),COUNTIF('1.연간시수표'!AN59,$AW$7)),$AW$6,IF(OR(COUNTIF('1.연간시수표'!AN59,$AX$9),COUNTIF('1.연간시수표'!AN59,$AX$7)),$AX$6,IF(OR(COUNTIF('1.연간시수표'!AN59,$AY$9),COUNTIF('1.연간시수표'!AN59,$AY$7)),$AY$6,IF(OR(COUNTIF('1.연간시수표'!AN59,$AZ$9),COUNTIF('1.연간시수표'!AN59,$AZ$7)),$AZ$6,IF(OR(COUNTIF('1.연간시수표'!AN59,$BA$9),COUNTIF('1.연간시수표'!AN59,$BA$7)),$BA$6,IF(OR(COUNTIF('1.연간시수표'!AN59,$BB$9),COUNTIF('1.연간시수표'!AN59,$BB$7)),$BB$6,IF(OR(COUNTIF('1.연간시수표'!AN59,$BC$9),COUNTIF('1.연간시수표'!AN59,$BC$7)),$BC$6,IF(OR(COUNTIF('1.연간시수표'!AN59,$BF$9),COUNTIF('1.연간시수표'!AN59,$BF$7),COUNTIF('1.연간시수표'!AN59,$BG$9),COUNTIF('1.연간시수표'!AN59,$BG$7),COUNTIF('1.연간시수표'!AN59,$BH$9),COUNTIF('1.연간시수표'!AN59,$BH$7),COUNTIF('1.연간시수표'!AN59,$BI$9),COUNTIF('1.연간시수표'!AN59,$BI$7),COUNTIF('1.연간시수표'!AN59,$BJ$9),COUNTIF('1.연간시수표'!AN59,$BJ$7),COUNTIF('1.연간시수표'!AN59,$BK$9),COUNTIF('1.연간시수표'!AN59,$BK$7),COUNTIF('1.연간시수표'!AN59,$BL$9),COUNTIF('1.연간시수표'!AN59,$BL$7),COUNTIF('1.연간시수표'!AN59,$BM$9),COUNTIF('1.연간시수표'!AN59,$BM$7)),$BF$6,IF(OR(COUNTIF('1.연간시수표'!AN59,$BO$9),COUNTIF('1.연간시수표'!AN59,$BO$7)),$BO$6,IF(OR(COUNTIF('1.연간시수표'!AN59,$BP$9),COUNTIF('1.연간시수표'!AN59,$BP$7)),$BP$6,IF(OR(COUNTIF('1.연간시수표'!AN59,$BQ$9),COUNTIF('1.연간시수표'!AN59,$BQ$7)),$BQ$6,IF(OR(COUNTIF('1.연간시수표'!AN59,$BR$9),COUNTIF('1.연간시수표'!AN59,$BR$7)),$BR$6,"_")))))))))))))))</f>
        <v>국어</v>
      </c>
      <c r="AO59" s="148" t="str">
        <f>IF(OR(COUNTIF('1.연간시수표'!AO59,$AT$9),COUNTIF('1.연간시수표'!AO59,$AT$7)),$AT$6,IF(OR(COUNTIF('1.연간시수표'!AO59,$AU$9),COUNTIF('1.연간시수표'!AO59,$AU$7)),$AU$6,IF(OR(COUNTIF('1.연간시수표'!AO59,$AV$9),COUNTIF('1.연간시수표'!AO59,$AV$7)),$AV$6,IF(OR(COUNTIF('1.연간시수표'!AO59,$AW$9),COUNTIF('1.연간시수표'!AO59,$AW$7)),$AW$6,IF(OR(COUNTIF('1.연간시수표'!AO59,$AX$9),COUNTIF('1.연간시수표'!AO59,$AX$7)),$AX$6,IF(OR(COUNTIF('1.연간시수표'!AO59,$AY$9),COUNTIF('1.연간시수표'!AO59,$AY$7)),$AY$6,IF(OR(COUNTIF('1.연간시수표'!AO59,$AZ$9),COUNTIF('1.연간시수표'!AO59,$AZ$7)),$AZ$6,IF(OR(COUNTIF('1.연간시수표'!AO59,$BA$9),COUNTIF('1.연간시수표'!AO59,$BA$7)),$BA$6,IF(OR(COUNTIF('1.연간시수표'!AO59,$BB$9),COUNTIF('1.연간시수표'!AO59,$BB$7)),$BB$6,IF(OR(COUNTIF('1.연간시수표'!AO59,$BC$9),COUNTIF('1.연간시수표'!AO59,$BC$7)),$BC$6,IF(OR(COUNTIF('1.연간시수표'!AO59,$BF$9),COUNTIF('1.연간시수표'!AO59,$BF$7),COUNTIF('1.연간시수표'!AO59,$BG$9),COUNTIF('1.연간시수표'!AO59,$BG$7),COUNTIF('1.연간시수표'!AO59,$BH$9),COUNTIF('1.연간시수표'!AO59,$BH$7),COUNTIF('1.연간시수표'!AO59,$BI$9),COUNTIF('1.연간시수표'!AO59,$BI$7),COUNTIF('1.연간시수표'!AO59,$BJ$9),COUNTIF('1.연간시수표'!AO59,$BJ$7),COUNTIF('1.연간시수표'!AO59,$BK$9),COUNTIF('1.연간시수표'!AO59,$BK$7),COUNTIF('1.연간시수표'!AO59,$BL$9),COUNTIF('1.연간시수표'!AO59,$BL$7),COUNTIF('1.연간시수표'!AO59,$BM$9),COUNTIF('1.연간시수표'!AO59,$BM$7)),$BF$6,IF(OR(COUNTIF('1.연간시수표'!AO59,$BO$9),COUNTIF('1.연간시수표'!AO59,$BO$7)),$BO$6,IF(OR(COUNTIF('1.연간시수표'!AO59,$BP$9),COUNTIF('1.연간시수표'!AO59,$BP$7)),$BP$6,IF(OR(COUNTIF('1.연간시수표'!AO59,$BQ$9),COUNTIF('1.연간시수표'!AO59,$BQ$7)),$BQ$6,IF(OR(COUNTIF('1.연간시수표'!AO59,$BR$9),COUNTIF('1.연간시수표'!AO59,$BR$7)),$BR$6,"_")))))))))))))))</f>
        <v>사회</v>
      </c>
      <c r="AP59" s="148" t="str">
        <f>IF(OR(COUNTIF('1.연간시수표'!AP59,$AT$9),COUNTIF('1.연간시수표'!AP59,$AT$7)),$AT$6,IF(OR(COUNTIF('1.연간시수표'!AP59,$AU$9),COUNTIF('1.연간시수표'!AP59,$AU$7)),$AU$6,IF(OR(COUNTIF('1.연간시수표'!AP59,$AV$9),COUNTIF('1.연간시수표'!AP59,$AV$7)),$AV$6,IF(OR(COUNTIF('1.연간시수표'!AP59,$AW$9),COUNTIF('1.연간시수표'!AP59,$AW$7)),$AW$6,IF(OR(COUNTIF('1.연간시수표'!AP59,$AX$9),COUNTIF('1.연간시수표'!AP59,$AX$7)),$AX$6,IF(OR(COUNTIF('1.연간시수표'!AP59,$AY$9),COUNTIF('1.연간시수표'!AP59,$AY$7)),$AY$6,IF(OR(COUNTIF('1.연간시수표'!AP59,$AZ$9),COUNTIF('1.연간시수표'!AP59,$AZ$7)),$AZ$6,IF(OR(COUNTIF('1.연간시수표'!AP59,$BA$9),COUNTIF('1.연간시수표'!AP59,$BA$7)),$BA$6,IF(OR(COUNTIF('1.연간시수표'!AP59,$BB$9),COUNTIF('1.연간시수표'!AP59,$BB$7)),$BB$6,IF(OR(COUNTIF('1.연간시수표'!AP59,$BC$9),COUNTIF('1.연간시수표'!AP59,$BC$7)),$BC$6,IF(OR(COUNTIF('1.연간시수표'!AP59,$BF$9),COUNTIF('1.연간시수표'!AP59,$BF$7),COUNTIF('1.연간시수표'!AP59,$BG$9),COUNTIF('1.연간시수표'!AP59,$BG$7),COUNTIF('1.연간시수표'!AP59,$BH$9),COUNTIF('1.연간시수표'!AP59,$BH$7),COUNTIF('1.연간시수표'!AP59,$BI$9),COUNTIF('1.연간시수표'!AP59,$BI$7),COUNTIF('1.연간시수표'!AP59,$BJ$9),COUNTIF('1.연간시수표'!AP59,$BJ$7),COUNTIF('1.연간시수표'!AP59,$BK$9),COUNTIF('1.연간시수표'!AP59,$BK$7),COUNTIF('1.연간시수표'!AP59,$BL$9),COUNTIF('1.연간시수표'!AP59,$BL$7),COUNTIF('1.연간시수표'!AP59,$BM$9),COUNTIF('1.연간시수표'!AP59,$BM$7)),$BF$6,IF(OR(COUNTIF('1.연간시수표'!AP59,$BO$9),COUNTIF('1.연간시수표'!AP59,$BO$7)),$BO$6,IF(OR(COUNTIF('1.연간시수표'!AP59,$BP$9),COUNTIF('1.연간시수표'!AP59,$BP$7)),$BP$6,IF(OR(COUNTIF('1.연간시수표'!AP59,$BQ$9),COUNTIF('1.연간시수표'!AP59,$BQ$7)),$BQ$6,IF(OR(COUNTIF('1.연간시수표'!AP59,$BR$9),COUNTIF('1.연간시수표'!AP59,$BR$7)),$BR$6,"_")))))))))))))))</f>
        <v>실과</v>
      </c>
      <c r="AQ59" s="148" t="str">
        <f>IF(OR(COUNTIF('1.연간시수표'!AQ59,$AT$9),COUNTIF('1.연간시수표'!AQ59,$AT$7)),$AT$6,IF(OR(COUNTIF('1.연간시수표'!AQ59,$AU$9),COUNTIF('1.연간시수표'!AQ59,$AU$7)),$AU$6,IF(OR(COUNTIF('1.연간시수표'!AQ59,$AV$9),COUNTIF('1.연간시수표'!AQ59,$AV$7)),$AV$6,IF(OR(COUNTIF('1.연간시수표'!AQ59,$AW$9),COUNTIF('1.연간시수표'!AQ59,$AW$7)),$AW$6,IF(OR(COUNTIF('1.연간시수표'!AQ59,$AX$9),COUNTIF('1.연간시수표'!AQ59,$AX$7)),$AX$6,IF(OR(COUNTIF('1.연간시수표'!AQ59,$AY$9),COUNTIF('1.연간시수표'!AQ59,$AY$7)),$AY$6,IF(OR(COUNTIF('1.연간시수표'!AQ59,$AZ$9),COUNTIF('1.연간시수표'!AQ59,$AZ$7)),$AZ$6,IF(OR(COUNTIF('1.연간시수표'!AQ59,$BA$9),COUNTIF('1.연간시수표'!AQ59,$BA$7)),$BA$6,IF(OR(COUNTIF('1.연간시수표'!AQ59,$BB$9),COUNTIF('1.연간시수표'!AQ59,$BB$7)),$BB$6,IF(OR(COUNTIF('1.연간시수표'!AQ59,$BC$9),COUNTIF('1.연간시수표'!AQ59,$BC$7)),$BC$6,IF(OR(COUNTIF('1.연간시수표'!AQ59,$BF$9),COUNTIF('1.연간시수표'!AQ59,$BF$7),COUNTIF('1.연간시수표'!AQ59,$BG$9),COUNTIF('1.연간시수표'!AQ59,$BG$7),COUNTIF('1.연간시수표'!AQ59,$BH$9),COUNTIF('1.연간시수표'!AQ59,$BH$7),COUNTIF('1.연간시수표'!AQ59,$BI$9),COUNTIF('1.연간시수표'!AQ59,$BI$7),COUNTIF('1.연간시수표'!AQ59,$BJ$9),COUNTIF('1.연간시수표'!AQ59,$BJ$7),COUNTIF('1.연간시수표'!AQ59,$BK$9),COUNTIF('1.연간시수표'!AQ59,$BK$7),COUNTIF('1.연간시수표'!AQ59,$BL$9),COUNTIF('1.연간시수표'!AQ59,$BL$7),COUNTIF('1.연간시수표'!AQ59,$BM$9),COUNTIF('1.연간시수표'!AQ59,$BM$7)),$BF$6,IF(OR(COUNTIF('1.연간시수표'!AQ59,$BO$9),COUNTIF('1.연간시수표'!AQ59,$BO$7)),$BO$6,IF(OR(COUNTIF('1.연간시수표'!AQ59,$BP$9),COUNTIF('1.연간시수표'!AQ59,$BP$7)),$BP$6,IF(OR(COUNTIF('1.연간시수표'!AQ59,$BQ$9),COUNTIF('1.연간시수표'!AQ59,$BQ$7)),$BQ$6,IF(OR(COUNTIF('1.연간시수표'!AQ59,$BR$9),COUNTIF('1.연간시수표'!AQ59,$BR$7)),$BR$6,"_")))))))))))))))</f>
        <v>_</v>
      </c>
      <c r="AR59" s="148" t="str">
        <f>IF(OR(COUNTIF('1.연간시수표'!AR59,$AT$9),COUNTIF('1.연간시수표'!AR59,$AT$7)),$AT$6,IF(OR(COUNTIF('1.연간시수표'!AR59,$AU$9),COUNTIF('1.연간시수표'!AR59,$AU$7)),$AU$6,IF(OR(COUNTIF('1.연간시수표'!AR59,$AV$9),COUNTIF('1.연간시수표'!AR59,$AV$7)),$AV$6,IF(OR(COUNTIF('1.연간시수표'!AR59,$AW$9),COUNTIF('1.연간시수표'!AR59,$AW$7)),$AW$6,IF(OR(COUNTIF('1.연간시수표'!AR59,$AX$9),COUNTIF('1.연간시수표'!AR59,$AX$7)),$AX$6,IF(OR(COUNTIF('1.연간시수표'!AR59,$AY$9),COUNTIF('1.연간시수표'!AR59,$AY$7)),$AY$6,IF(OR(COUNTIF('1.연간시수표'!AR59,$AZ$9),COUNTIF('1.연간시수표'!AR59,$AZ$7)),$AZ$6,IF(OR(COUNTIF('1.연간시수표'!AR59,$BA$9),COUNTIF('1.연간시수표'!AR59,$BA$7)),$BA$6,IF(OR(COUNTIF('1.연간시수표'!AR59,$BB$9),COUNTIF('1.연간시수표'!AR59,$BB$7)),$BB$6,IF(OR(COUNTIF('1.연간시수표'!AR59,$BC$9),COUNTIF('1.연간시수표'!AR59,$BC$7)),$BC$6,IF(OR(COUNTIF('1.연간시수표'!AR59,$BF$9),COUNTIF('1.연간시수표'!AR59,$BF$7),COUNTIF('1.연간시수표'!AR59,$BG$9),COUNTIF('1.연간시수표'!AR59,$BG$7),COUNTIF('1.연간시수표'!AR59,$BH$9),COUNTIF('1.연간시수표'!AR59,$BH$7),COUNTIF('1.연간시수표'!AR59,$BI$9),COUNTIF('1.연간시수표'!AR59,$BI$7),COUNTIF('1.연간시수표'!AR59,$BJ$9),COUNTIF('1.연간시수표'!AR59,$BJ$7),COUNTIF('1.연간시수표'!AR59,$BK$9),COUNTIF('1.연간시수표'!AR59,$BK$7),COUNTIF('1.연간시수표'!AR59,$BL$9),COUNTIF('1.연간시수표'!AR59,$BL$7),COUNTIF('1.연간시수표'!AR59,$BM$9),COUNTIF('1.연간시수표'!AR59,$BM$7)),$BF$6,IF(OR(COUNTIF('1.연간시수표'!AR59,$BO$9),COUNTIF('1.연간시수표'!AR59,$BO$7)),$BO$6,IF(OR(COUNTIF('1.연간시수표'!AR59,$BP$9),COUNTIF('1.연간시수표'!AR59,$BP$7)),$BP$6,IF(OR(COUNTIF('1.연간시수표'!AR59,$BQ$9),COUNTIF('1.연간시수표'!AR59,$BQ$7)),$BQ$6,IF(OR(COUNTIF('1.연간시수표'!AR59,$BR$9),COUNTIF('1.연간시수표'!AR59,$BR$7)),$BR$6,"_")))))))))))))))</f>
        <v>_</v>
      </c>
      <c r="BU59" s="32"/>
    </row>
    <row r="60" spans="2:73">
      <c r="B60" s="6"/>
      <c r="C60" s="79">
        <f>'1.연간시수표'!C60</f>
        <v>29</v>
      </c>
      <c r="D60" s="3"/>
      <c r="E60" s="148" t="str">
        <f>IF(OR(COUNTIF('1.연간시수표'!E60,$AT$9),COUNTIF('1.연간시수표'!E60,$AT$7)),$AT$6,IF(OR(COUNTIF('1.연간시수표'!E60,$AU$9),COUNTIF('1.연간시수표'!E60,$AU$7)),$AU$6,IF(OR(COUNTIF('1.연간시수표'!E60,$AV$9),COUNTIF('1.연간시수표'!E60,$AV$7)),$AV$6,IF(OR(COUNTIF('1.연간시수표'!E60,$AW$9),COUNTIF('1.연간시수표'!E60,$AW$7)),$AW$6,IF(OR(COUNTIF('1.연간시수표'!E60,$AX$9),COUNTIF('1.연간시수표'!E60,$AX$7)),$AX$6,IF(OR(COUNTIF('1.연간시수표'!E60,$AY$9),COUNTIF('1.연간시수표'!E60,$AY$7)),$AY$6,IF(OR(COUNTIF('1.연간시수표'!E60,$AZ$9),COUNTIF('1.연간시수표'!E60,$AZ$7)),$AZ$6,IF(OR(COUNTIF('1.연간시수표'!E60,$BA$9),COUNTIF('1.연간시수표'!E60,$BA$7)),$BA$6,IF(OR(COUNTIF('1.연간시수표'!E60,$BB$9),COUNTIF('1.연간시수표'!E60,$BB$7)),$BB$6,IF(OR(COUNTIF('1.연간시수표'!E60,$BC$9),COUNTIF('1.연간시수표'!E60,$BC$7)),$BC$6,IF(OR(COUNTIF('1.연간시수표'!E60,$BF$9),COUNTIF('1.연간시수표'!E60,$BF$7),COUNTIF('1.연간시수표'!E60,$BG$9),COUNTIF('1.연간시수표'!E60,$BG$7),COUNTIF('1.연간시수표'!E60,$BH$9),COUNTIF('1.연간시수표'!E60,$BH$7),COUNTIF('1.연간시수표'!E60,$BI$9),COUNTIF('1.연간시수표'!E60,$BI$7),COUNTIF('1.연간시수표'!E60,$BJ$9),COUNTIF('1.연간시수표'!E60,$BJ$7),COUNTIF('1.연간시수표'!E60,$BK$9),COUNTIF('1.연간시수표'!E60,$BK$7),COUNTIF('1.연간시수표'!E60,$BL$9),COUNTIF('1.연간시수표'!E60,$BL$7),COUNTIF('1.연간시수표'!E60,$BM$9),COUNTIF('1.연간시수표'!E60,$BM$7)),$BF$6,IF(OR(COUNTIF('1.연간시수표'!E60,$BO$9),COUNTIF('1.연간시수표'!E60,$BO$7)),$BO$6,IF(OR(COUNTIF('1.연간시수표'!E60,$BP$9),COUNTIF('1.연간시수표'!E60,$BP$7)),$BP$6,IF(OR(COUNTIF('1.연간시수표'!E60,$BQ$9),COUNTIF('1.연간시수표'!E60,$BQ$7)),$BQ$6,IF(OR(COUNTIF('1.연간시수표'!E60,$BR$9),COUNTIF('1.연간시수표'!E60,$BR$7)),$BR$6,"_")))))))))))))))</f>
        <v>국어</v>
      </c>
      <c r="F60" s="148" t="str">
        <f>IF(OR(COUNTIF('1.연간시수표'!F60,$AT$9),COUNTIF('1.연간시수표'!F60,$AT$7)),$AT$6,IF(OR(COUNTIF('1.연간시수표'!F60,$AU$9),COUNTIF('1.연간시수표'!F60,$AU$7)),$AU$6,IF(OR(COUNTIF('1.연간시수표'!F60,$AV$9),COUNTIF('1.연간시수표'!F60,$AV$7)),$AV$6,IF(OR(COUNTIF('1.연간시수표'!F60,$AW$9),COUNTIF('1.연간시수표'!F60,$AW$7)),$AW$6,IF(OR(COUNTIF('1.연간시수표'!F60,$AX$9),COUNTIF('1.연간시수표'!F60,$AX$7)),$AX$6,IF(OR(COUNTIF('1.연간시수표'!F60,$AY$9),COUNTIF('1.연간시수표'!F60,$AY$7)),$AY$6,IF(OR(COUNTIF('1.연간시수표'!F60,$AZ$9),COUNTIF('1.연간시수표'!F60,$AZ$7)),$AZ$6,IF(OR(COUNTIF('1.연간시수표'!F60,$BA$9),COUNTIF('1.연간시수표'!F60,$BA$7)),$BA$6,IF(OR(COUNTIF('1.연간시수표'!F60,$BB$9),COUNTIF('1.연간시수표'!F60,$BB$7)),$BB$6,IF(OR(COUNTIF('1.연간시수표'!F60,$BC$9),COUNTIF('1.연간시수표'!F60,$BC$7)),$BC$6,IF(OR(COUNTIF('1.연간시수표'!F60,$BF$9),COUNTIF('1.연간시수표'!F60,$BF$7),COUNTIF('1.연간시수표'!F60,$BG$9),COUNTIF('1.연간시수표'!F60,$BG$7),COUNTIF('1.연간시수표'!F60,$BH$9),COUNTIF('1.연간시수표'!F60,$BH$7),COUNTIF('1.연간시수표'!F60,$BI$9),COUNTIF('1.연간시수표'!F60,$BI$7),COUNTIF('1.연간시수표'!F60,$BJ$9),COUNTIF('1.연간시수표'!F60,$BJ$7),COUNTIF('1.연간시수표'!F60,$BK$9),COUNTIF('1.연간시수표'!F60,$BK$7),COUNTIF('1.연간시수표'!F60,$BL$9),COUNTIF('1.연간시수표'!F60,$BL$7),COUNTIF('1.연간시수표'!F60,$BM$9),COUNTIF('1.연간시수표'!F60,$BM$7)),$BF$6,IF(OR(COUNTIF('1.연간시수표'!F60,$BO$9),COUNTIF('1.연간시수표'!F60,$BO$7)),$BO$6,IF(OR(COUNTIF('1.연간시수표'!F60,$BP$9),COUNTIF('1.연간시수표'!F60,$BP$7)),$BP$6,IF(OR(COUNTIF('1.연간시수표'!F60,$BQ$9),COUNTIF('1.연간시수표'!F60,$BQ$7)),$BQ$6,IF(OR(COUNTIF('1.연간시수표'!F60,$BR$9),COUNTIF('1.연간시수표'!F60,$BR$7)),$BR$6,"_")))))))))))))))</f>
        <v>미술</v>
      </c>
      <c r="G60" s="148" t="str">
        <f>IF(OR(COUNTIF('1.연간시수표'!G60,$AT$9),COUNTIF('1.연간시수표'!G60,$AT$7)),$AT$6,IF(OR(COUNTIF('1.연간시수표'!G60,$AU$9),COUNTIF('1.연간시수표'!G60,$AU$7)),$AU$6,IF(OR(COUNTIF('1.연간시수표'!G60,$AV$9),COUNTIF('1.연간시수표'!G60,$AV$7)),$AV$6,IF(OR(COUNTIF('1.연간시수표'!G60,$AW$9),COUNTIF('1.연간시수표'!G60,$AW$7)),$AW$6,IF(OR(COUNTIF('1.연간시수표'!G60,$AX$9),COUNTIF('1.연간시수표'!G60,$AX$7)),$AX$6,IF(OR(COUNTIF('1.연간시수표'!G60,$AY$9),COUNTIF('1.연간시수표'!G60,$AY$7)),$AY$6,IF(OR(COUNTIF('1.연간시수표'!G60,$AZ$9),COUNTIF('1.연간시수표'!G60,$AZ$7)),$AZ$6,IF(OR(COUNTIF('1.연간시수표'!G60,$BA$9),COUNTIF('1.연간시수표'!G60,$BA$7)),$BA$6,IF(OR(COUNTIF('1.연간시수표'!G60,$BB$9),COUNTIF('1.연간시수표'!G60,$BB$7)),$BB$6,IF(OR(COUNTIF('1.연간시수표'!G60,$BC$9),COUNTIF('1.연간시수표'!G60,$BC$7)),$BC$6,IF(OR(COUNTIF('1.연간시수표'!G60,$BF$9),COUNTIF('1.연간시수표'!G60,$BF$7),COUNTIF('1.연간시수표'!G60,$BG$9),COUNTIF('1.연간시수표'!G60,$BG$7),COUNTIF('1.연간시수표'!G60,$BH$9),COUNTIF('1.연간시수표'!G60,$BH$7),COUNTIF('1.연간시수표'!G60,$BI$9),COUNTIF('1.연간시수표'!G60,$BI$7),COUNTIF('1.연간시수표'!G60,$BJ$9),COUNTIF('1.연간시수표'!G60,$BJ$7),COUNTIF('1.연간시수표'!G60,$BK$9),COUNTIF('1.연간시수표'!G60,$BK$7),COUNTIF('1.연간시수표'!G60,$BL$9),COUNTIF('1.연간시수표'!G60,$BL$7),COUNTIF('1.연간시수표'!G60,$BM$9),COUNTIF('1.연간시수표'!G60,$BM$7)),$BF$6,IF(OR(COUNTIF('1.연간시수표'!G60,$BO$9),COUNTIF('1.연간시수표'!G60,$BO$7)),$BO$6,IF(OR(COUNTIF('1.연간시수표'!G60,$BP$9),COUNTIF('1.연간시수표'!G60,$BP$7)),$BP$6,IF(OR(COUNTIF('1.연간시수표'!G60,$BQ$9),COUNTIF('1.연간시수표'!G60,$BQ$7)),$BQ$6,IF(OR(COUNTIF('1.연간시수표'!G60,$BR$9),COUNTIF('1.연간시수표'!G60,$BR$7)),$BR$6,"_")))))))))))))))</f>
        <v>미술</v>
      </c>
      <c r="H60" s="148" t="str">
        <f>IF(OR(COUNTIF('1.연간시수표'!H60,$AT$9),COUNTIF('1.연간시수표'!H60,$AT$7)),$AT$6,IF(OR(COUNTIF('1.연간시수표'!H60,$AU$9),COUNTIF('1.연간시수표'!H60,$AU$7)),$AU$6,IF(OR(COUNTIF('1.연간시수표'!H60,$AV$9),COUNTIF('1.연간시수표'!H60,$AV$7)),$AV$6,IF(OR(COUNTIF('1.연간시수표'!H60,$AW$9),COUNTIF('1.연간시수표'!H60,$AW$7)),$AW$6,IF(OR(COUNTIF('1.연간시수표'!H60,$AX$9),COUNTIF('1.연간시수표'!H60,$AX$7)),$AX$6,IF(OR(COUNTIF('1.연간시수표'!H60,$AY$9),COUNTIF('1.연간시수표'!H60,$AY$7)),$AY$6,IF(OR(COUNTIF('1.연간시수표'!H60,$AZ$9),COUNTIF('1.연간시수표'!H60,$AZ$7)),$AZ$6,IF(OR(COUNTIF('1.연간시수표'!H60,$BA$9),COUNTIF('1.연간시수표'!H60,$BA$7)),$BA$6,IF(OR(COUNTIF('1.연간시수표'!H60,$BB$9),COUNTIF('1.연간시수표'!H60,$BB$7)),$BB$6,IF(OR(COUNTIF('1.연간시수표'!H60,$BC$9),COUNTIF('1.연간시수표'!H60,$BC$7)),$BC$6,IF(OR(COUNTIF('1.연간시수표'!H60,$BF$9),COUNTIF('1.연간시수표'!H60,$BF$7),COUNTIF('1.연간시수표'!H60,$BG$9),COUNTIF('1.연간시수표'!H60,$BG$7),COUNTIF('1.연간시수표'!H60,$BH$9),COUNTIF('1.연간시수표'!H60,$BH$7),COUNTIF('1.연간시수표'!H60,$BI$9),COUNTIF('1.연간시수표'!H60,$BI$7),COUNTIF('1.연간시수표'!H60,$BJ$9),COUNTIF('1.연간시수표'!H60,$BJ$7),COUNTIF('1.연간시수표'!H60,$BK$9),COUNTIF('1.연간시수표'!H60,$BK$7),COUNTIF('1.연간시수표'!H60,$BL$9),COUNTIF('1.연간시수표'!H60,$BL$7),COUNTIF('1.연간시수표'!H60,$BM$9),COUNTIF('1.연간시수표'!H60,$BM$7)),$BF$6,IF(OR(COUNTIF('1.연간시수표'!H60,$BO$9),COUNTIF('1.연간시수표'!H60,$BO$7)),$BO$6,IF(OR(COUNTIF('1.연간시수표'!H60,$BP$9),COUNTIF('1.연간시수표'!H60,$BP$7)),$BP$6,IF(OR(COUNTIF('1.연간시수표'!H60,$BQ$9),COUNTIF('1.연간시수표'!H60,$BQ$7)),$BQ$6,IF(OR(COUNTIF('1.연간시수표'!H60,$BR$9),COUNTIF('1.연간시수표'!H60,$BR$7)),$BR$6,"_")))))))))))))))</f>
        <v>영어</v>
      </c>
      <c r="I60" s="148" t="str">
        <f>IF(OR(COUNTIF('1.연간시수표'!I60,$AT$9),COUNTIF('1.연간시수표'!I60,$AT$7)),$AT$6,IF(OR(COUNTIF('1.연간시수표'!I60,$AU$9),COUNTIF('1.연간시수표'!I60,$AU$7)),$AU$6,IF(OR(COUNTIF('1.연간시수표'!I60,$AV$9),COUNTIF('1.연간시수표'!I60,$AV$7)),$AV$6,IF(OR(COUNTIF('1.연간시수표'!I60,$AW$9),COUNTIF('1.연간시수표'!I60,$AW$7)),$AW$6,IF(OR(COUNTIF('1.연간시수표'!I60,$AX$9),COUNTIF('1.연간시수표'!I60,$AX$7)),$AX$6,IF(OR(COUNTIF('1.연간시수표'!I60,$AY$9),COUNTIF('1.연간시수표'!I60,$AY$7)),$AY$6,IF(OR(COUNTIF('1.연간시수표'!I60,$AZ$9),COUNTIF('1.연간시수표'!I60,$AZ$7)),$AZ$6,IF(OR(COUNTIF('1.연간시수표'!I60,$BA$9),COUNTIF('1.연간시수표'!I60,$BA$7)),$BA$6,IF(OR(COUNTIF('1.연간시수표'!I60,$BB$9),COUNTIF('1.연간시수표'!I60,$BB$7)),$BB$6,IF(OR(COUNTIF('1.연간시수표'!I60,$BC$9),COUNTIF('1.연간시수표'!I60,$BC$7)),$BC$6,IF(OR(COUNTIF('1.연간시수표'!I60,$BF$9),COUNTIF('1.연간시수표'!I60,$BF$7),COUNTIF('1.연간시수표'!I60,$BG$9),COUNTIF('1.연간시수표'!I60,$BG$7),COUNTIF('1.연간시수표'!I60,$BH$9),COUNTIF('1.연간시수표'!I60,$BH$7),COUNTIF('1.연간시수표'!I60,$BI$9),COUNTIF('1.연간시수표'!I60,$BI$7),COUNTIF('1.연간시수표'!I60,$BJ$9),COUNTIF('1.연간시수표'!I60,$BJ$7),COUNTIF('1.연간시수표'!I60,$BK$9),COUNTIF('1.연간시수표'!I60,$BK$7),COUNTIF('1.연간시수표'!I60,$BL$9),COUNTIF('1.연간시수표'!I60,$BL$7),COUNTIF('1.연간시수표'!I60,$BM$9),COUNTIF('1.연간시수표'!I60,$BM$7)),$BF$6,IF(OR(COUNTIF('1.연간시수표'!I60,$BO$9),COUNTIF('1.연간시수표'!I60,$BO$7)),$BO$6,IF(OR(COUNTIF('1.연간시수표'!I60,$BP$9),COUNTIF('1.연간시수표'!I60,$BP$7)),$BP$6,IF(OR(COUNTIF('1.연간시수표'!I60,$BQ$9),COUNTIF('1.연간시수표'!I60,$BQ$7)),$BQ$6,IF(OR(COUNTIF('1.연간시수표'!I60,$BR$9),COUNTIF('1.연간시수표'!I60,$BR$7)),$BR$6,"_")))))))))))))))</f>
        <v>수학</v>
      </c>
      <c r="J60" s="148" t="str">
        <f>IF(OR(COUNTIF('1.연간시수표'!J60,$AT$9),COUNTIF('1.연간시수표'!J60,$AT$7)),$AT$6,IF(OR(COUNTIF('1.연간시수표'!J60,$AU$9),COUNTIF('1.연간시수표'!J60,$AU$7)),$AU$6,IF(OR(COUNTIF('1.연간시수표'!J60,$AV$9),COUNTIF('1.연간시수표'!J60,$AV$7)),$AV$6,IF(OR(COUNTIF('1.연간시수표'!J60,$AW$9),COUNTIF('1.연간시수표'!J60,$AW$7)),$AW$6,IF(OR(COUNTIF('1.연간시수표'!J60,$AX$9),COUNTIF('1.연간시수표'!J60,$AX$7)),$AX$6,IF(OR(COUNTIF('1.연간시수표'!J60,$AY$9),COUNTIF('1.연간시수표'!J60,$AY$7)),$AY$6,IF(OR(COUNTIF('1.연간시수표'!J60,$AZ$9),COUNTIF('1.연간시수표'!J60,$AZ$7)),$AZ$6,IF(OR(COUNTIF('1.연간시수표'!J60,$BA$9),COUNTIF('1.연간시수표'!J60,$BA$7)),$BA$6,IF(OR(COUNTIF('1.연간시수표'!J60,$BB$9),COUNTIF('1.연간시수표'!J60,$BB$7)),$BB$6,IF(OR(COUNTIF('1.연간시수표'!J60,$BC$9),COUNTIF('1.연간시수표'!J60,$BC$7)),$BC$6,IF(OR(COUNTIF('1.연간시수표'!J60,$BF$9),COUNTIF('1.연간시수표'!J60,$BF$7),COUNTIF('1.연간시수표'!J60,$BG$9),COUNTIF('1.연간시수표'!J60,$BG$7),COUNTIF('1.연간시수표'!J60,$BH$9),COUNTIF('1.연간시수표'!J60,$BH$7),COUNTIF('1.연간시수표'!J60,$BI$9),COUNTIF('1.연간시수표'!J60,$BI$7),COUNTIF('1.연간시수표'!J60,$BJ$9),COUNTIF('1.연간시수표'!J60,$BJ$7),COUNTIF('1.연간시수표'!J60,$BK$9),COUNTIF('1.연간시수표'!J60,$BK$7),COUNTIF('1.연간시수표'!J60,$BL$9),COUNTIF('1.연간시수표'!J60,$BL$7),COUNTIF('1.연간시수표'!J60,$BM$9),COUNTIF('1.연간시수표'!J60,$BM$7)),$BF$6,IF(OR(COUNTIF('1.연간시수표'!J60,$BO$9),COUNTIF('1.연간시수표'!J60,$BO$7)),$BO$6,IF(OR(COUNTIF('1.연간시수표'!J60,$BP$9),COUNTIF('1.연간시수표'!J60,$BP$7)),$BP$6,IF(OR(COUNTIF('1.연간시수표'!J60,$BQ$9),COUNTIF('1.연간시수표'!J60,$BQ$7)),$BQ$6,IF(OR(COUNTIF('1.연간시수표'!J60,$BR$9),COUNTIF('1.연간시수표'!J60,$BR$7)),$BR$6,"_")))))))))))))))</f>
        <v>자율활동</v>
      </c>
      <c r="K60" s="148" t="str">
        <f>IF(OR(COUNTIF('1.연간시수표'!K60,$AT$9),COUNTIF('1.연간시수표'!K60,$AT$7)),$AT$6,IF(OR(COUNTIF('1.연간시수표'!K60,$AU$9),COUNTIF('1.연간시수표'!K60,$AU$7)),$AU$6,IF(OR(COUNTIF('1.연간시수표'!K60,$AV$9),COUNTIF('1.연간시수표'!K60,$AV$7)),$AV$6,IF(OR(COUNTIF('1.연간시수표'!K60,$AW$9),COUNTIF('1.연간시수표'!K60,$AW$7)),$AW$6,IF(OR(COUNTIF('1.연간시수표'!K60,$AX$9),COUNTIF('1.연간시수표'!K60,$AX$7)),$AX$6,IF(OR(COUNTIF('1.연간시수표'!K60,$AY$9),COUNTIF('1.연간시수표'!K60,$AY$7)),$AY$6,IF(OR(COUNTIF('1.연간시수표'!K60,$AZ$9),COUNTIF('1.연간시수표'!K60,$AZ$7)),$AZ$6,IF(OR(COUNTIF('1.연간시수표'!K60,$BA$9),COUNTIF('1.연간시수표'!K60,$BA$7)),$BA$6,IF(OR(COUNTIF('1.연간시수표'!K60,$BB$9),COUNTIF('1.연간시수표'!K60,$BB$7)),$BB$6,IF(OR(COUNTIF('1.연간시수표'!K60,$BC$9),COUNTIF('1.연간시수표'!K60,$BC$7)),$BC$6,IF(OR(COUNTIF('1.연간시수표'!K60,$BF$9),COUNTIF('1.연간시수표'!K60,$BF$7),COUNTIF('1.연간시수표'!K60,$BG$9),COUNTIF('1.연간시수표'!K60,$BG$7),COUNTIF('1.연간시수표'!K60,$BH$9),COUNTIF('1.연간시수표'!K60,$BH$7),COUNTIF('1.연간시수표'!K60,$BI$9),COUNTIF('1.연간시수표'!K60,$BI$7),COUNTIF('1.연간시수표'!K60,$BJ$9),COUNTIF('1.연간시수표'!K60,$BJ$7),COUNTIF('1.연간시수표'!K60,$BK$9),COUNTIF('1.연간시수표'!K60,$BK$7),COUNTIF('1.연간시수표'!K60,$BL$9),COUNTIF('1.연간시수표'!K60,$BL$7),COUNTIF('1.연간시수표'!K60,$BM$9),COUNTIF('1.연간시수표'!K60,$BM$7)),$BF$6,IF(OR(COUNTIF('1.연간시수표'!K60,$BO$9),COUNTIF('1.연간시수표'!K60,$BO$7)),$BO$6,IF(OR(COUNTIF('1.연간시수표'!K60,$BP$9),COUNTIF('1.연간시수표'!K60,$BP$7)),$BP$6,IF(OR(COUNTIF('1.연간시수표'!K60,$BQ$9),COUNTIF('1.연간시수표'!K60,$BQ$7)),$BQ$6,IF(OR(COUNTIF('1.연간시수표'!K60,$BR$9),COUNTIF('1.연간시수표'!K60,$BR$7)),$BR$6,"_")))))))))))))))</f>
        <v>_</v>
      </c>
      <c r="L60" s="148" t="str">
        <f>IF(OR(COUNTIF('1.연간시수표'!L60,$AT$9),COUNTIF('1.연간시수표'!L60,$AT$7)),$AT$6,IF(OR(COUNTIF('1.연간시수표'!L60,$AU$9),COUNTIF('1.연간시수표'!L60,$AU$7)),$AU$6,IF(OR(COUNTIF('1.연간시수표'!L60,$AV$9),COUNTIF('1.연간시수표'!L60,$AV$7)),$AV$6,IF(OR(COUNTIF('1.연간시수표'!L60,$AW$9),COUNTIF('1.연간시수표'!L60,$AW$7)),$AW$6,IF(OR(COUNTIF('1.연간시수표'!L60,$AX$9),COUNTIF('1.연간시수표'!L60,$AX$7)),$AX$6,IF(OR(COUNTIF('1.연간시수표'!L60,$AY$9),COUNTIF('1.연간시수표'!L60,$AY$7)),$AY$6,IF(OR(COUNTIF('1.연간시수표'!L60,$AZ$9),COUNTIF('1.연간시수표'!L60,$AZ$7)),$AZ$6,IF(OR(COUNTIF('1.연간시수표'!L60,$BA$9),COUNTIF('1.연간시수표'!L60,$BA$7)),$BA$6,IF(OR(COUNTIF('1.연간시수표'!L60,$BB$9),COUNTIF('1.연간시수표'!L60,$BB$7)),$BB$6,IF(OR(COUNTIF('1.연간시수표'!L60,$BC$9),COUNTIF('1.연간시수표'!L60,$BC$7)),$BC$6,IF(OR(COUNTIF('1.연간시수표'!L60,$BF$9),COUNTIF('1.연간시수표'!L60,$BF$7),COUNTIF('1.연간시수표'!L60,$BG$9),COUNTIF('1.연간시수표'!L60,$BG$7),COUNTIF('1.연간시수표'!L60,$BH$9),COUNTIF('1.연간시수표'!L60,$BH$7),COUNTIF('1.연간시수표'!L60,$BI$9),COUNTIF('1.연간시수표'!L60,$BI$7),COUNTIF('1.연간시수표'!L60,$BJ$9),COUNTIF('1.연간시수표'!L60,$BJ$7),COUNTIF('1.연간시수표'!L60,$BK$9),COUNTIF('1.연간시수표'!L60,$BK$7),COUNTIF('1.연간시수표'!L60,$BL$9),COUNTIF('1.연간시수표'!L60,$BL$7),COUNTIF('1.연간시수표'!L60,$BM$9),COUNTIF('1.연간시수표'!L60,$BM$7)),$BF$6,IF(OR(COUNTIF('1.연간시수표'!L60,$BO$9),COUNTIF('1.연간시수표'!L60,$BO$7)),$BO$6,IF(OR(COUNTIF('1.연간시수표'!L60,$BP$9),COUNTIF('1.연간시수표'!L60,$BP$7)),$BP$6,IF(OR(COUNTIF('1.연간시수표'!L60,$BQ$9),COUNTIF('1.연간시수표'!L60,$BQ$7)),$BQ$6,IF(OR(COUNTIF('1.연간시수표'!L60,$BR$9),COUNTIF('1.연간시수표'!L60,$BR$7)),$BR$6,"_")))))))))))))))</f>
        <v>_</v>
      </c>
      <c r="M60" s="148" t="str">
        <f>IF(OR(COUNTIF('1.연간시수표'!M60,$AT$9),COUNTIF('1.연간시수표'!M60,$AT$7)),$AT$6,IF(OR(COUNTIF('1.연간시수표'!M60,$AU$9),COUNTIF('1.연간시수표'!M60,$AU$7)),$AU$6,IF(OR(COUNTIF('1.연간시수표'!M60,$AV$9),COUNTIF('1.연간시수표'!M60,$AV$7)),$AV$6,IF(OR(COUNTIF('1.연간시수표'!M60,$AW$9),COUNTIF('1.연간시수표'!M60,$AW$7)),$AW$6,IF(OR(COUNTIF('1.연간시수표'!M60,$AX$9),COUNTIF('1.연간시수표'!M60,$AX$7)),$AX$6,IF(OR(COUNTIF('1.연간시수표'!M60,$AY$9),COUNTIF('1.연간시수표'!M60,$AY$7)),$AY$6,IF(OR(COUNTIF('1.연간시수표'!M60,$AZ$9),COUNTIF('1.연간시수표'!M60,$AZ$7)),$AZ$6,IF(OR(COUNTIF('1.연간시수표'!M60,$BA$9),COUNTIF('1.연간시수표'!M60,$BA$7)),$BA$6,IF(OR(COUNTIF('1.연간시수표'!M60,$BB$9),COUNTIF('1.연간시수표'!M60,$BB$7)),$BB$6,IF(OR(COUNTIF('1.연간시수표'!M60,$BC$9),COUNTIF('1.연간시수표'!M60,$BC$7)),$BC$6,IF(OR(COUNTIF('1.연간시수표'!M60,$BF$9),COUNTIF('1.연간시수표'!M60,$BF$7),COUNTIF('1.연간시수표'!M60,$BG$9),COUNTIF('1.연간시수표'!M60,$BG$7),COUNTIF('1.연간시수표'!M60,$BH$9),COUNTIF('1.연간시수표'!M60,$BH$7),COUNTIF('1.연간시수표'!M60,$BI$9),COUNTIF('1.연간시수표'!M60,$BI$7),COUNTIF('1.연간시수표'!M60,$BJ$9),COUNTIF('1.연간시수표'!M60,$BJ$7),COUNTIF('1.연간시수표'!M60,$BK$9),COUNTIF('1.연간시수표'!M60,$BK$7),COUNTIF('1.연간시수표'!M60,$BL$9),COUNTIF('1.연간시수표'!M60,$BL$7),COUNTIF('1.연간시수표'!M60,$BM$9),COUNTIF('1.연간시수표'!M60,$BM$7)),$BF$6,IF(OR(COUNTIF('1.연간시수표'!M60,$BO$9),COUNTIF('1.연간시수표'!M60,$BO$7)),$BO$6,IF(OR(COUNTIF('1.연간시수표'!M60,$BP$9),COUNTIF('1.연간시수표'!M60,$BP$7)),$BP$6,IF(OR(COUNTIF('1.연간시수표'!M60,$BQ$9),COUNTIF('1.연간시수표'!M60,$BQ$7)),$BQ$6,IF(OR(COUNTIF('1.연간시수표'!M60,$BR$9),COUNTIF('1.연간시수표'!M60,$BR$7)),$BR$6,"_")))))))))))))))</f>
        <v>국어</v>
      </c>
      <c r="N60" s="148" t="str">
        <f>IF(OR(COUNTIF('1.연간시수표'!N60,$AT$9),COUNTIF('1.연간시수표'!N60,$AT$7)),$AT$6,IF(OR(COUNTIF('1.연간시수표'!N60,$AU$9),COUNTIF('1.연간시수표'!N60,$AU$7)),$AU$6,IF(OR(COUNTIF('1.연간시수표'!N60,$AV$9),COUNTIF('1.연간시수표'!N60,$AV$7)),$AV$6,IF(OR(COUNTIF('1.연간시수표'!N60,$AW$9),COUNTIF('1.연간시수표'!N60,$AW$7)),$AW$6,IF(OR(COUNTIF('1.연간시수표'!N60,$AX$9),COUNTIF('1.연간시수표'!N60,$AX$7)),$AX$6,IF(OR(COUNTIF('1.연간시수표'!N60,$AY$9),COUNTIF('1.연간시수표'!N60,$AY$7)),$AY$6,IF(OR(COUNTIF('1.연간시수표'!N60,$AZ$9),COUNTIF('1.연간시수표'!N60,$AZ$7)),$AZ$6,IF(OR(COUNTIF('1.연간시수표'!N60,$BA$9),COUNTIF('1.연간시수표'!N60,$BA$7)),$BA$6,IF(OR(COUNTIF('1.연간시수표'!N60,$BB$9),COUNTIF('1.연간시수표'!N60,$BB$7)),$BB$6,IF(OR(COUNTIF('1.연간시수표'!N60,$BC$9),COUNTIF('1.연간시수표'!N60,$BC$7)),$BC$6,IF(OR(COUNTIF('1.연간시수표'!N60,$BF$9),COUNTIF('1.연간시수표'!N60,$BF$7),COUNTIF('1.연간시수표'!N60,$BG$9),COUNTIF('1.연간시수표'!N60,$BG$7),COUNTIF('1.연간시수표'!N60,$BH$9),COUNTIF('1.연간시수표'!N60,$BH$7),COUNTIF('1.연간시수표'!N60,$BI$9),COUNTIF('1.연간시수표'!N60,$BI$7),COUNTIF('1.연간시수표'!N60,$BJ$9),COUNTIF('1.연간시수표'!N60,$BJ$7),COUNTIF('1.연간시수표'!N60,$BK$9),COUNTIF('1.연간시수표'!N60,$BK$7),COUNTIF('1.연간시수표'!N60,$BL$9),COUNTIF('1.연간시수표'!N60,$BL$7),COUNTIF('1.연간시수표'!N60,$BM$9),COUNTIF('1.연간시수표'!N60,$BM$7)),$BF$6,IF(OR(COUNTIF('1.연간시수표'!N60,$BO$9),COUNTIF('1.연간시수표'!N60,$BO$7)),$BO$6,IF(OR(COUNTIF('1.연간시수표'!N60,$BP$9),COUNTIF('1.연간시수표'!N60,$BP$7)),$BP$6,IF(OR(COUNTIF('1.연간시수표'!N60,$BQ$9),COUNTIF('1.연간시수표'!N60,$BQ$7)),$BQ$6,IF(OR(COUNTIF('1.연간시수표'!N60,$BR$9),COUNTIF('1.연간시수표'!N60,$BR$7)),$BR$6,"_")))))))))))))))</f>
        <v>국어</v>
      </c>
      <c r="O60" s="148" t="str">
        <f>IF(OR(COUNTIF('1.연간시수표'!O60,$AT$9),COUNTIF('1.연간시수표'!O60,$AT$7)),$AT$6,IF(OR(COUNTIF('1.연간시수표'!O60,$AU$9),COUNTIF('1.연간시수표'!O60,$AU$7)),$AU$6,IF(OR(COUNTIF('1.연간시수표'!O60,$AV$9),COUNTIF('1.연간시수표'!O60,$AV$7)),$AV$6,IF(OR(COUNTIF('1.연간시수표'!O60,$AW$9),COUNTIF('1.연간시수표'!O60,$AW$7)),$AW$6,IF(OR(COUNTIF('1.연간시수표'!O60,$AX$9),COUNTIF('1.연간시수표'!O60,$AX$7)),$AX$6,IF(OR(COUNTIF('1.연간시수표'!O60,$AY$9),COUNTIF('1.연간시수표'!O60,$AY$7)),$AY$6,IF(OR(COUNTIF('1.연간시수표'!O60,$AZ$9),COUNTIF('1.연간시수표'!O60,$AZ$7)),$AZ$6,IF(OR(COUNTIF('1.연간시수표'!O60,$BA$9),COUNTIF('1.연간시수표'!O60,$BA$7)),$BA$6,IF(OR(COUNTIF('1.연간시수표'!O60,$BB$9),COUNTIF('1.연간시수표'!O60,$BB$7)),$BB$6,IF(OR(COUNTIF('1.연간시수표'!O60,$BC$9),COUNTIF('1.연간시수표'!O60,$BC$7)),$BC$6,IF(OR(COUNTIF('1.연간시수표'!O60,$BF$9),COUNTIF('1.연간시수표'!O60,$BF$7),COUNTIF('1.연간시수표'!O60,$BG$9),COUNTIF('1.연간시수표'!O60,$BG$7),COUNTIF('1.연간시수표'!O60,$BH$9),COUNTIF('1.연간시수표'!O60,$BH$7),COUNTIF('1.연간시수표'!O60,$BI$9),COUNTIF('1.연간시수표'!O60,$BI$7),COUNTIF('1.연간시수표'!O60,$BJ$9),COUNTIF('1.연간시수표'!O60,$BJ$7),COUNTIF('1.연간시수표'!O60,$BK$9),COUNTIF('1.연간시수표'!O60,$BK$7),COUNTIF('1.연간시수표'!O60,$BL$9),COUNTIF('1.연간시수표'!O60,$BL$7),COUNTIF('1.연간시수표'!O60,$BM$9),COUNTIF('1.연간시수표'!O60,$BM$7)),$BF$6,IF(OR(COUNTIF('1.연간시수표'!O60,$BO$9),COUNTIF('1.연간시수표'!O60,$BO$7)),$BO$6,IF(OR(COUNTIF('1.연간시수표'!O60,$BP$9),COUNTIF('1.연간시수표'!O60,$BP$7)),$BP$6,IF(OR(COUNTIF('1.연간시수표'!O60,$BQ$9),COUNTIF('1.연간시수표'!O60,$BQ$7)),$BQ$6,IF(OR(COUNTIF('1.연간시수표'!O60,$BR$9),COUNTIF('1.연간시수표'!O60,$BR$7)),$BR$6,"_")))))))))))))))</f>
        <v>사회</v>
      </c>
      <c r="P60" s="148" t="str">
        <f>IF(OR(COUNTIF('1.연간시수표'!P60,$AT$9),COUNTIF('1.연간시수표'!P60,$AT$7)),$AT$6,IF(OR(COUNTIF('1.연간시수표'!P60,$AU$9),COUNTIF('1.연간시수표'!P60,$AU$7)),$AU$6,IF(OR(COUNTIF('1.연간시수표'!P60,$AV$9),COUNTIF('1.연간시수표'!P60,$AV$7)),$AV$6,IF(OR(COUNTIF('1.연간시수표'!P60,$AW$9),COUNTIF('1.연간시수표'!P60,$AW$7)),$AW$6,IF(OR(COUNTIF('1.연간시수표'!P60,$AX$9),COUNTIF('1.연간시수표'!P60,$AX$7)),$AX$6,IF(OR(COUNTIF('1.연간시수표'!P60,$AY$9),COUNTIF('1.연간시수표'!P60,$AY$7)),$AY$6,IF(OR(COUNTIF('1.연간시수표'!P60,$AZ$9),COUNTIF('1.연간시수표'!P60,$AZ$7)),$AZ$6,IF(OR(COUNTIF('1.연간시수표'!P60,$BA$9),COUNTIF('1.연간시수표'!P60,$BA$7)),$BA$6,IF(OR(COUNTIF('1.연간시수표'!P60,$BB$9),COUNTIF('1.연간시수표'!P60,$BB$7)),$BB$6,IF(OR(COUNTIF('1.연간시수표'!P60,$BC$9),COUNTIF('1.연간시수표'!P60,$BC$7)),$BC$6,IF(OR(COUNTIF('1.연간시수표'!P60,$BF$9),COUNTIF('1.연간시수표'!P60,$BF$7),COUNTIF('1.연간시수표'!P60,$BG$9),COUNTIF('1.연간시수표'!P60,$BG$7),COUNTIF('1.연간시수표'!P60,$BH$9),COUNTIF('1.연간시수표'!P60,$BH$7),COUNTIF('1.연간시수표'!P60,$BI$9),COUNTIF('1.연간시수표'!P60,$BI$7),COUNTIF('1.연간시수표'!P60,$BJ$9),COUNTIF('1.연간시수표'!P60,$BJ$7),COUNTIF('1.연간시수표'!P60,$BK$9),COUNTIF('1.연간시수표'!P60,$BK$7),COUNTIF('1.연간시수표'!P60,$BL$9),COUNTIF('1.연간시수표'!P60,$BL$7),COUNTIF('1.연간시수표'!P60,$BM$9),COUNTIF('1.연간시수표'!P60,$BM$7)),$BF$6,IF(OR(COUNTIF('1.연간시수표'!P60,$BO$9),COUNTIF('1.연간시수표'!P60,$BO$7)),$BO$6,IF(OR(COUNTIF('1.연간시수표'!P60,$BP$9),COUNTIF('1.연간시수표'!P60,$BP$7)),$BP$6,IF(OR(COUNTIF('1.연간시수표'!P60,$BQ$9),COUNTIF('1.연간시수표'!P60,$BQ$7)),$BQ$6,IF(OR(COUNTIF('1.연간시수표'!P60,$BR$9),COUNTIF('1.연간시수표'!P60,$BR$7)),$BR$6,"_")))))))))))))))</f>
        <v>수학</v>
      </c>
      <c r="Q60" s="148" t="str">
        <f>IF(OR(COUNTIF('1.연간시수표'!Q60,$AT$9),COUNTIF('1.연간시수표'!Q60,$AT$7)),$AT$6,IF(OR(COUNTIF('1.연간시수표'!Q60,$AU$9),COUNTIF('1.연간시수표'!Q60,$AU$7)),$AU$6,IF(OR(COUNTIF('1.연간시수표'!Q60,$AV$9),COUNTIF('1.연간시수표'!Q60,$AV$7)),$AV$6,IF(OR(COUNTIF('1.연간시수표'!Q60,$AW$9),COUNTIF('1.연간시수표'!Q60,$AW$7)),$AW$6,IF(OR(COUNTIF('1.연간시수표'!Q60,$AX$9),COUNTIF('1.연간시수표'!Q60,$AX$7)),$AX$6,IF(OR(COUNTIF('1.연간시수표'!Q60,$AY$9),COUNTIF('1.연간시수표'!Q60,$AY$7)),$AY$6,IF(OR(COUNTIF('1.연간시수표'!Q60,$AZ$9),COUNTIF('1.연간시수표'!Q60,$AZ$7)),$AZ$6,IF(OR(COUNTIF('1.연간시수표'!Q60,$BA$9),COUNTIF('1.연간시수표'!Q60,$BA$7)),$BA$6,IF(OR(COUNTIF('1.연간시수표'!Q60,$BB$9),COUNTIF('1.연간시수표'!Q60,$BB$7)),$BB$6,IF(OR(COUNTIF('1.연간시수표'!Q60,$BC$9),COUNTIF('1.연간시수표'!Q60,$BC$7)),$BC$6,IF(OR(COUNTIF('1.연간시수표'!Q60,$BF$9),COUNTIF('1.연간시수표'!Q60,$BF$7),COUNTIF('1.연간시수표'!Q60,$BG$9),COUNTIF('1.연간시수표'!Q60,$BG$7),COUNTIF('1.연간시수표'!Q60,$BH$9),COUNTIF('1.연간시수표'!Q60,$BH$7),COUNTIF('1.연간시수표'!Q60,$BI$9),COUNTIF('1.연간시수표'!Q60,$BI$7),COUNTIF('1.연간시수표'!Q60,$BJ$9),COUNTIF('1.연간시수표'!Q60,$BJ$7),COUNTIF('1.연간시수표'!Q60,$BK$9),COUNTIF('1.연간시수표'!Q60,$BK$7),COUNTIF('1.연간시수표'!Q60,$BL$9),COUNTIF('1.연간시수표'!Q60,$BL$7),COUNTIF('1.연간시수표'!Q60,$BM$9),COUNTIF('1.연간시수표'!Q60,$BM$7)),$BF$6,IF(OR(COUNTIF('1.연간시수표'!Q60,$BO$9),COUNTIF('1.연간시수표'!Q60,$BO$7)),$BO$6,IF(OR(COUNTIF('1.연간시수표'!Q60,$BP$9),COUNTIF('1.연간시수표'!Q60,$BP$7)),$BP$6,IF(OR(COUNTIF('1.연간시수표'!Q60,$BQ$9),COUNTIF('1.연간시수표'!Q60,$BQ$7)),$BQ$6,IF(OR(COUNTIF('1.연간시수표'!Q60,$BR$9),COUNTIF('1.연간시수표'!Q60,$BR$7)),$BR$6,"_")))))))))))))))</f>
        <v>과학</v>
      </c>
      <c r="R60" s="148" t="str">
        <f>IF(OR(COUNTIF('1.연간시수표'!R60,$AT$9),COUNTIF('1.연간시수표'!R60,$AT$7)),$AT$6,IF(OR(COUNTIF('1.연간시수표'!R60,$AU$9),COUNTIF('1.연간시수표'!R60,$AU$7)),$AU$6,IF(OR(COUNTIF('1.연간시수표'!R60,$AV$9),COUNTIF('1.연간시수표'!R60,$AV$7)),$AV$6,IF(OR(COUNTIF('1.연간시수표'!R60,$AW$9),COUNTIF('1.연간시수표'!R60,$AW$7)),$AW$6,IF(OR(COUNTIF('1.연간시수표'!R60,$AX$9),COUNTIF('1.연간시수표'!R60,$AX$7)),$AX$6,IF(OR(COUNTIF('1.연간시수표'!R60,$AY$9),COUNTIF('1.연간시수표'!R60,$AY$7)),$AY$6,IF(OR(COUNTIF('1.연간시수표'!R60,$AZ$9),COUNTIF('1.연간시수표'!R60,$AZ$7)),$AZ$6,IF(OR(COUNTIF('1.연간시수표'!R60,$BA$9),COUNTIF('1.연간시수표'!R60,$BA$7)),$BA$6,IF(OR(COUNTIF('1.연간시수표'!R60,$BB$9),COUNTIF('1.연간시수표'!R60,$BB$7)),$BB$6,IF(OR(COUNTIF('1.연간시수표'!R60,$BC$9),COUNTIF('1.연간시수표'!R60,$BC$7)),$BC$6,IF(OR(COUNTIF('1.연간시수표'!R60,$BF$9),COUNTIF('1.연간시수표'!R60,$BF$7),COUNTIF('1.연간시수표'!R60,$BG$9),COUNTIF('1.연간시수표'!R60,$BG$7),COUNTIF('1.연간시수표'!R60,$BH$9),COUNTIF('1.연간시수표'!R60,$BH$7),COUNTIF('1.연간시수표'!R60,$BI$9),COUNTIF('1.연간시수표'!R60,$BI$7),COUNTIF('1.연간시수표'!R60,$BJ$9),COUNTIF('1.연간시수표'!R60,$BJ$7),COUNTIF('1.연간시수표'!R60,$BK$9),COUNTIF('1.연간시수표'!R60,$BK$7),COUNTIF('1.연간시수표'!R60,$BL$9),COUNTIF('1.연간시수표'!R60,$BL$7),COUNTIF('1.연간시수표'!R60,$BM$9),COUNTIF('1.연간시수표'!R60,$BM$7)),$BF$6,IF(OR(COUNTIF('1.연간시수표'!R60,$BO$9),COUNTIF('1.연간시수표'!R60,$BO$7)),$BO$6,IF(OR(COUNTIF('1.연간시수표'!R60,$BP$9),COUNTIF('1.연간시수표'!R60,$BP$7)),$BP$6,IF(OR(COUNTIF('1.연간시수표'!R60,$BQ$9),COUNTIF('1.연간시수표'!R60,$BQ$7)),$BQ$6,IF(OR(COUNTIF('1.연간시수표'!R60,$BR$9),COUNTIF('1.연간시수표'!R60,$BR$7)),$BR$6,"_")))))))))))))))</f>
        <v>실과</v>
      </c>
      <c r="S60" s="148" t="str">
        <f>IF(OR(COUNTIF('1.연간시수표'!S60,$AT$9),COUNTIF('1.연간시수표'!S60,$AT$7)),$AT$6,IF(OR(COUNTIF('1.연간시수표'!S60,$AU$9),COUNTIF('1.연간시수표'!S60,$AU$7)),$AU$6,IF(OR(COUNTIF('1.연간시수표'!S60,$AV$9),COUNTIF('1.연간시수표'!S60,$AV$7)),$AV$6,IF(OR(COUNTIF('1.연간시수표'!S60,$AW$9),COUNTIF('1.연간시수표'!S60,$AW$7)),$AW$6,IF(OR(COUNTIF('1.연간시수표'!S60,$AX$9),COUNTIF('1.연간시수표'!S60,$AX$7)),$AX$6,IF(OR(COUNTIF('1.연간시수표'!S60,$AY$9),COUNTIF('1.연간시수표'!S60,$AY$7)),$AY$6,IF(OR(COUNTIF('1.연간시수표'!S60,$AZ$9),COUNTIF('1.연간시수표'!S60,$AZ$7)),$AZ$6,IF(OR(COUNTIF('1.연간시수표'!S60,$BA$9),COUNTIF('1.연간시수표'!S60,$BA$7)),$BA$6,IF(OR(COUNTIF('1.연간시수표'!S60,$BB$9),COUNTIF('1.연간시수표'!S60,$BB$7)),$BB$6,IF(OR(COUNTIF('1.연간시수표'!S60,$BC$9),COUNTIF('1.연간시수표'!S60,$BC$7)),$BC$6,IF(OR(COUNTIF('1.연간시수표'!S60,$BF$9),COUNTIF('1.연간시수표'!S60,$BF$7),COUNTIF('1.연간시수표'!S60,$BG$9),COUNTIF('1.연간시수표'!S60,$BG$7),COUNTIF('1.연간시수표'!S60,$BH$9),COUNTIF('1.연간시수표'!S60,$BH$7),COUNTIF('1.연간시수표'!S60,$BI$9),COUNTIF('1.연간시수표'!S60,$BI$7),COUNTIF('1.연간시수표'!S60,$BJ$9),COUNTIF('1.연간시수표'!S60,$BJ$7),COUNTIF('1.연간시수표'!S60,$BK$9),COUNTIF('1.연간시수표'!S60,$BK$7),COUNTIF('1.연간시수표'!S60,$BL$9),COUNTIF('1.연간시수표'!S60,$BL$7),COUNTIF('1.연간시수표'!S60,$BM$9),COUNTIF('1.연간시수표'!S60,$BM$7)),$BF$6,IF(OR(COUNTIF('1.연간시수표'!S60,$BO$9),COUNTIF('1.연간시수표'!S60,$BO$7)),$BO$6,IF(OR(COUNTIF('1.연간시수표'!S60,$BP$9),COUNTIF('1.연간시수표'!S60,$BP$7)),$BP$6,IF(OR(COUNTIF('1.연간시수표'!S60,$BQ$9),COUNTIF('1.연간시수표'!S60,$BQ$7)),$BQ$6,IF(OR(COUNTIF('1.연간시수표'!S60,$BR$9),COUNTIF('1.연간시수표'!S60,$BR$7)),$BR$6,"_")))))))))))))))</f>
        <v>_</v>
      </c>
      <c r="T60" s="148" t="str">
        <f>IF(OR(COUNTIF('1.연간시수표'!T60,$AT$9),COUNTIF('1.연간시수표'!T60,$AT$7)),$AT$6,IF(OR(COUNTIF('1.연간시수표'!T60,$AU$9),COUNTIF('1.연간시수표'!T60,$AU$7)),$AU$6,IF(OR(COUNTIF('1.연간시수표'!T60,$AV$9),COUNTIF('1.연간시수표'!T60,$AV$7)),$AV$6,IF(OR(COUNTIF('1.연간시수표'!T60,$AW$9),COUNTIF('1.연간시수표'!T60,$AW$7)),$AW$6,IF(OR(COUNTIF('1.연간시수표'!T60,$AX$9),COUNTIF('1.연간시수표'!T60,$AX$7)),$AX$6,IF(OR(COUNTIF('1.연간시수표'!T60,$AY$9),COUNTIF('1.연간시수표'!T60,$AY$7)),$AY$6,IF(OR(COUNTIF('1.연간시수표'!T60,$AZ$9),COUNTIF('1.연간시수표'!T60,$AZ$7)),$AZ$6,IF(OR(COUNTIF('1.연간시수표'!T60,$BA$9),COUNTIF('1.연간시수표'!T60,$BA$7)),$BA$6,IF(OR(COUNTIF('1.연간시수표'!T60,$BB$9),COUNTIF('1.연간시수표'!T60,$BB$7)),$BB$6,IF(OR(COUNTIF('1.연간시수표'!T60,$BC$9),COUNTIF('1.연간시수표'!T60,$BC$7)),$BC$6,IF(OR(COUNTIF('1.연간시수표'!T60,$BF$9),COUNTIF('1.연간시수표'!T60,$BF$7),COUNTIF('1.연간시수표'!T60,$BG$9),COUNTIF('1.연간시수표'!T60,$BG$7),COUNTIF('1.연간시수표'!T60,$BH$9),COUNTIF('1.연간시수표'!T60,$BH$7),COUNTIF('1.연간시수표'!T60,$BI$9),COUNTIF('1.연간시수표'!T60,$BI$7),COUNTIF('1.연간시수표'!T60,$BJ$9),COUNTIF('1.연간시수표'!T60,$BJ$7),COUNTIF('1.연간시수표'!T60,$BK$9),COUNTIF('1.연간시수표'!T60,$BK$7),COUNTIF('1.연간시수표'!T60,$BL$9),COUNTIF('1.연간시수표'!T60,$BL$7),COUNTIF('1.연간시수표'!T60,$BM$9),COUNTIF('1.연간시수표'!T60,$BM$7)),$BF$6,IF(OR(COUNTIF('1.연간시수표'!T60,$BO$9),COUNTIF('1.연간시수표'!T60,$BO$7)),$BO$6,IF(OR(COUNTIF('1.연간시수표'!T60,$BP$9),COUNTIF('1.연간시수표'!T60,$BP$7)),$BP$6,IF(OR(COUNTIF('1.연간시수표'!T60,$BQ$9),COUNTIF('1.연간시수표'!T60,$BQ$7)),$BQ$6,IF(OR(COUNTIF('1.연간시수표'!T60,$BR$9),COUNTIF('1.연간시수표'!T60,$BR$7)),$BR$6,"_")))))))))))))))</f>
        <v>_</v>
      </c>
      <c r="U60" s="148" t="str">
        <f>IF(OR(COUNTIF('1.연간시수표'!U60,$AT$9),COUNTIF('1.연간시수표'!U60,$AT$7)),$AT$6,IF(OR(COUNTIF('1.연간시수표'!U60,$AU$9),COUNTIF('1.연간시수표'!U60,$AU$7)),$AU$6,IF(OR(COUNTIF('1.연간시수표'!U60,$AV$9),COUNTIF('1.연간시수표'!U60,$AV$7)),$AV$6,IF(OR(COUNTIF('1.연간시수표'!U60,$AW$9),COUNTIF('1.연간시수표'!U60,$AW$7)),$AW$6,IF(OR(COUNTIF('1.연간시수표'!U60,$AX$9),COUNTIF('1.연간시수표'!U60,$AX$7)),$AX$6,IF(OR(COUNTIF('1.연간시수표'!U60,$AY$9),COUNTIF('1.연간시수표'!U60,$AY$7)),$AY$6,IF(OR(COUNTIF('1.연간시수표'!U60,$AZ$9),COUNTIF('1.연간시수표'!U60,$AZ$7)),$AZ$6,IF(OR(COUNTIF('1.연간시수표'!U60,$BA$9),COUNTIF('1.연간시수표'!U60,$BA$7)),$BA$6,IF(OR(COUNTIF('1.연간시수표'!U60,$BB$9),COUNTIF('1.연간시수표'!U60,$BB$7)),$BB$6,IF(OR(COUNTIF('1.연간시수표'!U60,$BC$9),COUNTIF('1.연간시수표'!U60,$BC$7)),$BC$6,IF(OR(COUNTIF('1.연간시수표'!U60,$BF$9),COUNTIF('1.연간시수표'!U60,$BF$7),COUNTIF('1.연간시수표'!U60,$BG$9),COUNTIF('1.연간시수표'!U60,$BG$7),COUNTIF('1.연간시수표'!U60,$BH$9),COUNTIF('1.연간시수표'!U60,$BH$7),COUNTIF('1.연간시수표'!U60,$BI$9),COUNTIF('1.연간시수표'!U60,$BI$7),COUNTIF('1.연간시수표'!U60,$BJ$9),COUNTIF('1.연간시수표'!U60,$BJ$7),COUNTIF('1.연간시수표'!U60,$BK$9),COUNTIF('1.연간시수표'!U60,$BK$7),COUNTIF('1.연간시수표'!U60,$BL$9),COUNTIF('1.연간시수표'!U60,$BL$7),COUNTIF('1.연간시수표'!U60,$BM$9),COUNTIF('1.연간시수표'!U60,$BM$7)),$BF$6,IF(OR(COUNTIF('1.연간시수표'!U60,$BO$9),COUNTIF('1.연간시수표'!U60,$BO$7)),$BO$6,IF(OR(COUNTIF('1.연간시수표'!U60,$BP$9),COUNTIF('1.연간시수표'!U60,$BP$7)),$BP$6,IF(OR(COUNTIF('1.연간시수표'!U60,$BQ$9),COUNTIF('1.연간시수표'!U60,$BQ$7)),$BQ$6,IF(OR(COUNTIF('1.연간시수표'!U60,$BR$9),COUNTIF('1.연간시수표'!U60,$BR$7)),$BR$6,"_")))))))))))))))</f>
        <v>영어</v>
      </c>
      <c r="V60" s="148" t="str">
        <f>IF(OR(COUNTIF('1.연간시수표'!V60,$AT$9),COUNTIF('1.연간시수표'!V60,$AT$7)),$AT$6,IF(OR(COUNTIF('1.연간시수표'!V60,$AU$9),COUNTIF('1.연간시수표'!V60,$AU$7)),$AU$6,IF(OR(COUNTIF('1.연간시수표'!V60,$AV$9),COUNTIF('1.연간시수표'!V60,$AV$7)),$AV$6,IF(OR(COUNTIF('1.연간시수표'!V60,$AW$9),COUNTIF('1.연간시수표'!V60,$AW$7)),$AW$6,IF(OR(COUNTIF('1.연간시수표'!V60,$AX$9),COUNTIF('1.연간시수표'!V60,$AX$7)),$AX$6,IF(OR(COUNTIF('1.연간시수표'!V60,$AY$9),COUNTIF('1.연간시수표'!V60,$AY$7)),$AY$6,IF(OR(COUNTIF('1.연간시수표'!V60,$AZ$9),COUNTIF('1.연간시수표'!V60,$AZ$7)),$AZ$6,IF(OR(COUNTIF('1.연간시수표'!V60,$BA$9),COUNTIF('1.연간시수표'!V60,$BA$7)),$BA$6,IF(OR(COUNTIF('1.연간시수표'!V60,$BB$9),COUNTIF('1.연간시수표'!V60,$BB$7)),$BB$6,IF(OR(COUNTIF('1.연간시수표'!V60,$BC$9),COUNTIF('1.연간시수표'!V60,$BC$7)),$BC$6,IF(OR(COUNTIF('1.연간시수표'!V60,$BF$9),COUNTIF('1.연간시수표'!V60,$BF$7),COUNTIF('1.연간시수표'!V60,$BG$9),COUNTIF('1.연간시수표'!V60,$BG$7),COUNTIF('1.연간시수표'!V60,$BH$9),COUNTIF('1.연간시수표'!V60,$BH$7),COUNTIF('1.연간시수표'!V60,$BI$9),COUNTIF('1.연간시수표'!V60,$BI$7),COUNTIF('1.연간시수표'!V60,$BJ$9),COUNTIF('1.연간시수표'!V60,$BJ$7),COUNTIF('1.연간시수표'!V60,$BK$9),COUNTIF('1.연간시수표'!V60,$BK$7),COUNTIF('1.연간시수표'!V60,$BL$9),COUNTIF('1.연간시수표'!V60,$BL$7),COUNTIF('1.연간시수표'!V60,$BM$9),COUNTIF('1.연간시수표'!V60,$BM$7)),$BF$6,IF(OR(COUNTIF('1.연간시수표'!V60,$BO$9),COUNTIF('1.연간시수표'!V60,$BO$7)),$BO$6,IF(OR(COUNTIF('1.연간시수표'!V60,$BP$9),COUNTIF('1.연간시수표'!V60,$BP$7)),$BP$6,IF(OR(COUNTIF('1.연간시수표'!V60,$BQ$9),COUNTIF('1.연간시수표'!V60,$BQ$7)),$BQ$6,IF(OR(COUNTIF('1.연간시수표'!V60,$BR$9),COUNTIF('1.연간시수표'!V60,$BR$7)),$BR$6,"_")))))))))))))))</f>
        <v>과학</v>
      </c>
      <c r="W60" s="148" t="str">
        <f>IF(OR(COUNTIF('1.연간시수표'!W60,$AT$9),COUNTIF('1.연간시수표'!W60,$AT$7)),$AT$6,IF(OR(COUNTIF('1.연간시수표'!W60,$AU$9),COUNTIF('1.연간시수표'!W60,$AU$7)),$AU$6,IF(OR(COUNTIF('1.연간시수표'!W60,$AV$9),COUNTIF('1.연간시수표'!W60,$AV$7)),$AV$6,IF(OR(COUNTIF('1.연간시수표'!W60,$AW$9),COUNTIF('1.연간시수표'!W60,$AW$7)),$AW$6,IF(OR(COUNTIF('1.연간시수표'!W60,$AX$9),COUNTIF('1.연간시수표'!W60,$AX$7)),$AX$6,IF(OR(COUNTIF('1.연간시수표'!W60,$AY$9),COUNTIF('1.연간시수표'!W60,$AY$7)),$AY$6,IF(OR(COUNTIF('1.연간시수표'!W60,$AZ$9),COUNTIF('1.연간시수표'!W60,$AZ$7)),$AZ$6,IF(OR(COUNTIF('1.연간시수표'!W60,$BA$9),COUNTIF('1.연간시수표'!W60,$BA$7)),$BA$6,IF(OR(COUNTIF('1.연간시수표'!W60,$BB$9),COUNTIF('1.연간시수표'!W60,$BB$7)),$BB$6,IF(OR(COUNTIF('1.연간시수표'!W60,$BC$9),COUNTIF('1.연간시수표'!W60,$BC$7)),$BC$6,IF(OR(COUNTIF('1.연간시수표'!W60,$BF$9),COUNTIF('1.연간시수표'!W60,$BF$7),COUNTIF('1.연간시수표'!W60,$BG$9),COUNTIF('1.연간시수표'!W60,$BG$7),COUNTIF('1.연간시수표'!W60,$BH$9),COUNTIF('1.연간시수표'!W60,$BH$7),COUNTIF('1.연간시수표'!W60,$BI$9),COUNTIF('1.연간시수표'!W60,$BI$7),COUNTIF('1.연간시수표'!W60,$BJ$9),COUNTIF('1.연간시수표'!W60,$BJ$7),COUNTIF('1.연간시수표'!W60,$BK$9),COUNTIF('1.연간시수표'!W60,$BK$7),COUNTIF('1.연간시수표'!W60,$BL$9),COUNTIF('1.연간시수표'!W60,$BL$7),COUNTIF('1.연간시수표'!W60,$BM$9),COUNTIF('1.연간시수표'!W60,$BM$7)),$BF$6,IF(OR(COUNTIF('1.연간시수표'!W60,$BO$9),COUNTIF('1.연간시수표'!W60,$BO$7)),$BO$6,IF(OR(COUNTIF('1.연간시수표'!W60,$BP$9),COUNTIF('1.연간시수표'!W60,$BP$7)),$BP$6,IF(OR(COUNTIF('1.연간시수표'!W60,$BQ$9),COUNTIF('1.연간시수표'!W60,$BQ$7)),$BQ$6,IF(OR(COUNTIF('1.연간시수표'!W60,$BR$9),COUNTIF('1.연간시수표'!W60,$BR$7)),$BR$6,"_")))))))))))))))</f>
        <v>체육</v>
      </c>
      <c r="X60" s="148" t="str">
        <f>IF(OR(COUNTIF('1.연간시수표'!X60,$AT$9),COUNTIF('1.연간시수표'!X60,$AT$7)),$AT$6,IF(OR(COUNTIF('1.연간시수표'!X60,$AU$9),COUNTIF('1.연간시수표'!X60,$AU$7)),$AU$6,IF(OR(COUNTIF('1.연간시수표'!X60,$AV$9),COUNTIF('1.연간시수표'!X60,$AV$7)),$AV$6,IF(OR(COUNTIF('1.연간시수표'!X60,$AW$9),COUNTIF('1.연간시수표'!X60,$AW$7)),$AW$6,IF(OR(COUNTIF('1.연간시수표'!X60,$AX$9),COUNTIF('1.연간시수표'!X60,$AX$7)),$AX$6,IF(OR(COUNTIF('1.연간시수표'!X60,$AY$9),COUNTIF('1.연간시수표'!X60,$AY$7)),$AY$6,IF(OR(COUNTIF('1.연간시수표'!X60,$AZ$9),COUNTIF('1.연간시수표'!X60,$AZ$7)),$AZ$6,IF(OR(COUNTIF('1.연간시수표'!X60,$BA$9),COUNTIF('1.연간시수표'!X60,$BA$7)),$BA$6,IF(OR(COUNTIF('1.연간시수표'!X60,$BB$9),COUNTIF('1.연간시수표'!X60,$BB$7)),$BB$6,IF(OR(COUNTIF('1.연간시수표'!X60,$BC$9),COUNTIF('1.연간시수표'!X60,$BC$7)),$BC$6,IF(OR(COUNTIF('1.연간시수표'!X60,$BF$9),COUNTIF('1.연간시수표'!X60,$BF$7),COUNTIF('1.연간시수표'!X60,$BG$9),COUNTIF('1.연간시수표'!X60,$BG$7),COUNTIF('1.연간시수표'!X60,$BH$9),COUNTIF('1.연간시수표'!X60,$BH$7),COUNTIF('1.연간시수표'!X60,$BI$9),COUNTIF('1.연간시수표'!X60,$BI$7),COUNTIF('1.연간시수표'!X60,$BJ$9),COUNTIF('1.연간시수표'!X60,$BJ$7),COUNTIF('1.연간시수표'!X60,$BK$9),COUNTIF('1.연간시수표'!X60,$BK$7),COUNTIF('1.연간시수표'!X60,$BL$9),COUNTIF('1.연간시수표'!X60,$BL$7),COUNTIF('1.연간시수표'!X60,$BM$9),COUNTIF('1.연간시수표'!X60,$BM$7)),$BF$6,IF(OR(COUNTIF('1.연간시수표'!X60,$BO$9),COUNTIF('1.연간시수표'!X60,$BO$7)),$BO$6,IF(OR(COUNTIF('1.연간시수표'!X60,$BP$9),COUNTIF('1.연간시수표'!X60,$BP$7)),$BP$6,IF(OR(COUNTIF('1.연간시수표'!X60,$BQ$9),COUNTIF('1.연간시수표'!X60,$BQ$7)),$BQ$6,IF(OR(COUNTIF('1.연간시수표'!X60,$BR$9),COUNTIF('1.연간시수표'!X60,$BR$7)),$BR$6,"_")))))))))))))))</f>
        <v>음악</v>
      </c>
      <c r="Y60" s="148" t="str">
        <f>IF(OR(COUNTIF('1.연간시수표'!Y60,$AT$9),COUNTIF('1.연간시수표'!Y60,$AT$7)),$AT$6,IF(OR(COUNTIF('1.연간시수표'!Y60,$AU$9),COUNTIF('1.연간시수표'!Y60,$AU$7)),$AU$6,IF(OR(COUNTIF('1.연간시수표'!Y60,$AV$9),COUNTIF('1.연간시수표'!Y60,$AV$7)),$AV$6,IF(OR(COUNTIF('1.연간시수표'!Y60,$AW$9),COUNTIF('1.연간시수표'!Y60,$AW$7)),$AW$6,IF(OR(COUNTIF('1.연간시수표'!Y60,$AX$9),COUNTIF('1.연간시수표'!Y60,$AX$7)),$AX$6,IF(OR(COUNTIF('1.연간시수표'!Y60,$AY$9),COUNTIF('1.연간시수표'!Y60,$AY$7)),$AY$6,IF(OR(COUNTIF('1.연간시수표'!Y60,$AZ$9),COUNTIF('1.연간시수표'!Y60,$AZ$7)),$AZ$6,IF(OR(COUNTIF('1.연간시수표'!Y60,$BA$9),COUNTIF('1.연간시수표'!Y60,$BA$7)),$BA$6,IF(OR(COUNTIF('1.연간시수표'!Y60,$BB$9),COUNTIF('1.연간시수표'!Y60,$BB$7)),$BB$6,IF(OR(COUNTIF('1.연간시수표'!Y60,$BC$9),COUNTIF('1.연간시수표'!Y60,$BC$7)),$BC$6,IF(OR(COUNTIF('1.연간시수표'!Y60,$BF$9),COUNTIF('1.연간시수표'!Y60,$BF$7),COUNTIF('1.연간시수표'!Y60,$BG$9),COUNTIF('1.연간시수표'!Y60,$BG$7),COUNTIF('1.연간시수표'!Y60,$BH$9),COUNTIF('1.연간시수표'!Y60,$BH$7),COUNTIF('1.연간시수표'!Y60,$BI$9),COUNTIF('1.연간시수표'!Y60,$BI$7),COUNTIF('1.연간시수표'!Y60,$BJ$9),COUNTIF('1.연간시수표'!Y60,$BJ$7),COUNTIF('1.연간시수표'!Y60,$BK$9),COUNTIF('1.연간시수표'!Y60,$BK$7),COUNTIF('1.연간시수표'!Y60,$BL$9),COUNTIF('1.연간시수표'!Y60,$BL$7),COUNTIF('1.연간시수표'!Y60,$BM$9),COUNTIF('1.연간시수표'!Y60,$BM$7)),$BF$6,IF(OR(COUNTIF('1.연간시수표'!Y60,$BO$9),COUNTIF('1.연간시수표'!Y60,$BO$7)),$BO$6,IF(OR(COUNTIF('1.연간시수표'!Y60,$BP$9),COUNTIF('1.연간시수표'!Y60,$BP$7)),$BP$6,IF(OR(COUNTIF('1.연간시수표'!Y60,$BQ$9),COUNTIF('1.연간시수표'!Y60,$BQ$7)),$BQ$6,IF(OR(COUNTIF('1.연간시수표'!Y60,$BR$9),COUNTIF('1.연간시수표'!Y60,$BR$7)),$BR$6,"_")))))))))))))))</f>
        <v>도덕</v>
      </c>
      <c r="Z60" s="148" t="str">
        <f>IF(OR(COUNTIF('1.연간시수표'!Z60,$AT$9),COUNTIF('1.연간시수표'!Z60,$AT$7)),$AT$6,IF(OR(COUNTIF('1.연간시수표'!Z60,$AU$9),COUNTIF('1.연간시수표'!Z60,$AU$7)),$AU$6,IF(OR(COUNTIF('1.연간시수표'!Z60,$AV$9),COUNTIF('1.연간시수표'!Z60,$AV$7)),$AV$6,IF(OR(COUNTIF('1.연간시수표'!Z60,$AW$9),COUNTIF('1.연간시수표'!Z60,$AW$7)),$AW$6,IF(OR(COUNTIF('1.연간시수표'!Z60,$AX$9),COUNTIF('1.연간시수표'!Z60,$AX$7)),$AX$6,IF(OR(COUNTIF('1.연간시수표'!Z60,$AY$9),COUNTIF('1.연간시수표'!Z60,$AY$7)),$AY$6,IF(OR(COUNTIF('1.연간시수표'!Z60,$AZ$9),COUNTIF('1.연간시수표'!Z60,$AZ$7)),$AZ$6,IF(OR(COUNTIF('1.연간시수표'!Z60,$BA$9),COUNTIF('1.연간시수표'!Z60,$BA$7)),$BA$6,IF(OR(COUNTIF('1.연간시수표'!Z60,$BB$9),COUNTIF('1.연간시수표'!Z60,$BB$7)),$BB$6,IF(OR(COUNTIF('1.연간시수표'!Z60,$BC$9),COUNTIF('1.연간시수표'!Z60,$BC$7)),$BC$6,IF(OR(COUNTIF('1.연간시수표'!Z60,$BF$9),COUNTIF('1.연간시수표'!Z60,$BF$7),COUNTIF('1.연간시수표'!Z60,$BG$9),COUNTIF('1.연간시수표'!Z60,$BG$7),COUNTIF('1.연간시수표'!Z60,$BH$9),COUNTIF('1.연간시수표'!Z60,$BH$7),COUNTIF('1.연간시수표'!Z60,$BI$9),COUNTIF('1.연간시수표'!Z60,$BI$7),COUNTIF('1.연간시수표'!Z60,$BJ$9),COUNTIF('1.연간시수표'!Z60,$BJ$7),COUNTIF('1.연간시수표'!Z60,$BK$9),COUNTIF('1.연간시수표'!Z60,$BK$7),COUNTIF('1.연간시수표'!Z60,$BL$9),COUNTIF('1.연간시수표'!Z60,$BL$7),COUNTIF('1.연간시수표'!Z60,$BM$9),COUNTIF('1.연간시수표'!Z60,$BM$7)),$BF$6,IF(OR(COUNTIF('1.연간시수표'!Z60,$BO$9),COUNTIF('1.연간시수표'!Z60,$BO$7)),$BO$6,IF(OR(COUNTIF('1.연간시수표'!Z60,$BP$9),COUNTIF('1.연간시수표'!Z60,$BP$7)),$BP$6,IF(OR(COUNTIF('1.연간시수표'!Z60,$BQ$9),COUNTIF('1.연간시수표'!Z60,$BQ$7)),$BQ$6,IF(OR(COUNTIF('1.연간시수표'!Z60,$BR$9),COUNTIF('1.연간시수표'!Z60,$BR$7)),$BR$6,"_")))))))))))))))</f>
        <v>_</v>
      </c>
      <c r="AA60" s="148" t="str">
        <f>IF(OR(COUNTIF('1.연간시수표'!AA60,$AT$9),COUNTIF('1.연간시수표'!AA60,$AT$7)),$AT$6,IF(OR(COUNTIF('1.연간시수표'!AA60,$AU$9),COUNTIF('1.연간시수표'!AA60,$AU$7)),$AU$6,IF(OR(COUNTIF('1.연간시수표'!AA60,$AV$9),COUNTIF('1.연간시수표'!AA60,$AV$7)),$AV$6,IF(OR(COUNTIF('1.연간시수표'!AA60,$AW$9),COUNTIF('1.연간시수표'!AA60,$AW$7)),$AW$6,IF(OR(COUNTIF('1.연간시수표'!AA60,$AX$9),COUNTIF('1.연간시수표'!AA60,$AX$7)),$AX$6,IF(OR(COUNTIF('1.연간시수표'!AA60,$AY$9),COUNTIF('1.연간시수표'!AA60,$AY$7)),$AY$6,IF(OR(COUNTIF('1.연간시수표'!AA60,$AZ$9),COUNTIF('1.연간시수표'!AA60,$AZ$7)),$AZ$6,IF(OR(COUNTIF('1.연간시수표'!AA60,$BA$9),COUNTIF('1.연간시수표'!AA60,$BA$7)),$BA$6,IF(OR(COUNTIF('1.연간시수표'!AA60,$BB$9),COUNTIF('1.연간시수표'!AA60,$BB$7)),$BB$6,IF(OR(COUNTIF('1.연간시수표'!AA60,$BC$9),COUNTIF('1.연간시수표'!AA60,$BC$7)),$BC$6,IF(OR(COUNTIF('1.연간시수표'!AA60,$BF$9),COUNTIF('1.연간시수표'!AA60,$BF$7),COUNTIF('1.연간시수표'!AA60,$BG$9),COUNTIF('1.연간시수표'!AA60,$BG$7),COUNTIF('1.연간시수표'!AA60,$BH$9),COUNTIF('1.연간시수표'!AA60,$BH$7),COUNTIF('1.연간시수표'!AA60,$BI$9),COUNTIF('1.연간시수표'!AA60,$BI$7),COUNTIF('1.연간시수표'!AA60,$BJ$9),COUNTIF('1.연간시수표'!AA60,$BJ$7),COUNTIF('1.연간시수표'!AA60,$BK$9),COUNTIF('1.연간시수표'!AA60,$BK$7),COUNTIF('1.연간시수표'!AA60,$BL$9),COUNTIF('1.연간시수표'!AA60,$BL$7),COUNTIF('1.연간시수표'!AA60,$BM$9),COUNTIF('1.연간시수표'!AA60,$BM$7)),$BF$6,IF(OR(COUNTIF('1.연간시수표'!AA60,$BO$9),COUNTIF('1.연간시수표'!AA60,$BO$7)),$BO$6,IF(OR(COUNTIF('1.연간시수표'!AA60,$BP$9),COUNTIF('1.연간시수표'!AA60,$BP$7)),$BP$6,IF(OR(COUNTIF('1.연간시수표'!AA60,$BQ$9),COUNTIF('1.연간시수표'!AA60,$BQ$7)),$BQ$6,IF(OR(COUNTIF('1.연간시수표'!AA60,$BR$9),COUNTIF('1.연간시수표'!AA60,$BR$7)),$BR$6,"_")))))))))))))))</f>
        <v>_</v>
      </c>
      <c r="AB60" s="148" t="str">
        <f>IF(OR(COUNTIF('1.연간시수표'!AB60,$AT$9),COUNTIF('1.연간시수표'!AB60,$AT$7)),$AT$6,IF(OR(COUNTIF('1.연간시수표'!AB60,$AU$9),COUNTIF('1.연간시수표'!AB60,$AU$7)),$AU$6,IF(OR(COUNTIF('1.연간시수표'!AB60,$AV$9),COUNTIF('1.연간시수표'!AB60,$AV$7)),$AV$6,IF(OR(COUNTIF('1.연간시수표'!AB60,$AW$9),COUNTIF('1.연간시수표'!AB60,$AW$7)),$AW$6,IF(OR(COUNTIF('1.연간시수표'!AB60,$AX$9),COUNTIF('1.연간시수표'!AB60,$AX$7)),$AX$6,IF(OR(COUNTIF('1.연간시수표'!AB60,$AY$9),COUNTIF('1.연간시수표'!AB60,$AY$7)),$AY$6,IF(OR(COUNTIF('1.연간시수표'!AB60,$AZ$9),COUNTIF('1.연간시수표'!AB60,$AZ$7)),$AZ$6,IF(OR(COUNTIF('1.연간시수표'!AB60,$BA$9),COUNTIF('1.연간시수표'!AB60,$BA$7)),$BA$6,IF(OR(COUNTIF('1.연간시수표'!AB60,$BB$9),COUNTIF('1.연간시수표'!AB60,$BB$7)),$BB$6,IF(OR(COUNTIF('1.연간시수표'!AB60,$BC$9),COUNTIF('1.연간시수표'!AB60,$BC$7)),$BC$6,IF(OR(COUNTIF('1.연간시수표'!AB60,$BF$9),COUNTIF('1.연간시수표'!AB60,$BF$7),COUNTIF('1.연간시수표'!AB60,$BG$9),COUNTIF('1.연간시수표'!AB60,$BG$7),COUNTIF('1.연간시수표'!AB60,$BH$9),COUNTIF('1.연간시수표'!AB60,$BH$7),COUNTIF('1.연간시수표'!AB60,$BI$9),COUNTIF('1.연간시수표'!AB60,$BI$7),COUNTIF('1.연간시수표'!AB60,$BJ$9),COUNTIF('1.연간시수표'!AB60,$BJ$7),COUNTIF('1.연간시수표'!AB60,$BK$9),COUNTIF('1.연간시수표'!AB60,$BK$7),COUNTIF('1.연간시수표'!AB60,$BL$9),COUNTIF('1.연간시수표'!AB60,$BL$7),COUNTIF('1.연간시수표'!AB60,$BM$9),COUNTIF('1.연간시수표'!AB60,$BM$7)),$BF$6,IF(OR(COUNTIF('1.연간시수표'!AB60,$BO$9),COUNTIF('1.연간시수표'!AB60,$BO$7)),$BO$6,IF(OR(COUNTIF('1.연간시수표'!AB60,$BP$9),COUNTIF('1.연간시수표'!AB60,$BP$7)),$BP$6,IF(OR(COUNTIF('1.연간시수표'!AB60,$BQ$9),COUNTIF('1.연간시수표'!AB60,$BQ$7)),$BQ$6,IF(OR(COUNTIF('1.연간시수표'!AB60,$BR$9),COUNTIF('1.연간시수표'!AB60,$BR$7)),$BR$6,"_")))))))))))))))</f>
        <v>_</v>
      </c>
      <c r="AC60" s="148" t="str">
        <f>IF(OR(COUNTIF('1.연간시수표'!AC60,$AT$9),COUNTIF('1.연간시수표'!AC60,$AT$7)),$AT$6,IF(OR(COUNTIF('1.연간시수표'!AC60,$AU$9),COUNTIF('1.연간시수표'!AC60,$AU$7)),$AU$6,IF(OR(COUNTIF('1.연간시수표'!AC60,$AV$9),COUNTIF('1.연간시수표'!AC60,$AV$7)),$AV$6,IF(OR(COUNTIF('1.연간시수표'!AC60,$AW$9),COUNTIF('1.연간시수표'!AC60,$AW$7)),$AW$6,IF(OR(COUNTIF('1.연간시수표'!AC60,$AX$9),COUNTIF('1.연간시수표'!AC60,$AX$7)),$AX$6,IF(OR(COUNTIF('1.연간시수표'!AC60,$AY$9),COUNTIF('1.연간시수표'!AC60,$AY$7)),$AY$6,IF(OR(COUNTIF('1.연간시수표'!AC60,$AZ$9),COUNTIF('1.연간시수표'!AC60,$AZ$7)),$AZ$6,IF(OR(COUNTIF('1.연간시수표'!AC60,$BA$9),COUNTIF('1.연간시수표'!AC60,$BA$7)),$BA$6,IF(OR(COUNTIF('1.연간시수표'!AC60,$BB$9),COUNTIF('1.연간시수표'!AC60,$BB$7)),$BB$6,IF(OR(COUNTIF('1.연간시수표'!AC60,$BC$9),COUNTIF('1.연간시수표'!AC60,$BC$7)),$BC$6,IF(OR(COUNTIF('1.연간시수표'!AC60,$BF$9),COUNTIF('1.연간시수표'!AC60,$BF$7),COUNTIF('1.연간시수표'!AC60,$BG$9),COUNTIF('1.연간시수표'!AC60,$BG$7),COUNTIF('1.연간시수표'!AC60,$BH$9),COUNTIF('1.연간시수표'!AC60,$BH$7),COUNTIF('1.연간시수표'!AC60,$BI$9),COUNTIF('1.연간시수표'!AC60,$BI$7),COUNTIF('1.연간시수표'!AC60,$BJ$9),COUNTIF('1.연간시수표'!AC60,$BJ$7),COUNTIF('1.연간시수표'!AC60,$BK$9),COUNTIF('1.연간시수표'!AC60,$BK$7),COUNTIF('1.연간시수표'!AC60,$BL$9),COUNTIF('1.연간시수표'!AC60,$BL$7),COUNTIF('1.연간시수표'!AC60,$BM$9),COUNTIF('1.연간시수표'!AC60,$BM$7)),$BF$6,IF(OR(COUNTIF('1.연간시수표'!AC60,$BO$9),COUNTIF('1.연간시수표'!AC60,$BO$7)),$BO$6,IF(OR(COUNTIF('1.연간시수표'!AC60,$BP$9),COUNTIF('1.연간시수표'!AC60,$BP$7)),$BP$6,IF(OR(COUNTIF('1.연간시수표'!AC60,$BQ$9),COUNTIF('1.연간시수표'!AC60,$BQ$7)),$BQ$6,IF(OR(COUNTIF('1.연간시수표'!AC60,$BR$9),COUNTIF('1.연간시수표'!AC60,$BR$7)),$BR$6,"_")))))))))))))))</f>
        <v>봉사활동</v>
      </c>
      <c r="AD60" s="148" t="str">
        <f>IF(OR(COUNTIF('1.연간시수표'!AD60,$AT$9),COUNTIF('1.연간시수표'!AD60,$AT$7)),$AT$6,IF(OR(COUNTIF('1.연간시수표'!AD60,$AU$9),COUNTIF('1.연간시수표'!AD60,$AU$7)),$AU$6,IF(OR(COUNTIF('1.연간시수표'!AD60,$AV$9),COUNTIF('1.연간시수표'!AD60,$AV$7)),$AV$6,IF(OR(COUNTIF('1.연간시수표'!AD60,$AW$9),COUNTIF('1.연간시수표'!AD60,$AW$7)),$AW$6,IF(OR(COUNTIF('1.연간시수표'!AD60,$AX$9),COUNTIF('1.연간시수표'!AD60,$AX$7)),$AX$6,IF(OR(COUNTIF('1.연간시수표'!AD60,$AY$9),COUNTIF('1.연간시수표'!AD60,$AY$7)),$AY$6,IF(OR(COUNTIF('1.연간시수표'!AD60,$AZ$9),COUNTIF('1.연간시수표'!AD60,$AZ$7)),$AZ$6,IF(OR(COUNTIF('1.연간시수표'!AD60,$BA$9),COUNTIF('1.연간시수표'!AD60,$BA$7)),$BA$6,IF(OR(COUNTIF('1.연간시수표'!AD60,$BB$9),COUNTIF('1.연간시수표'!AD60,$BB$7)),$BB$6,IF(OR(COUNTIF('1.연간시수표'!AD60,$BC$9),COUNTIF('1.연간시수표'!AD60,$BC$7)),$BC$6,IF(OR(COUNTIF('1.연간시수표'!AD60,$BF$9),COUNTIF('1.연간시수표'!AD60,$BF$7),COUNTIF('1.연간시수표'!AD60,$BG$9),COUNTIF('1.연간시수표'!AD60,$BG$7),COUNTIF('1.연간시수표'!AD60,$BH$9),COUNTIF('1.연간시수표'!AD60,$BH$7),COUNTIF('1.연간시수표'!AD60,$BI$9),COUNTIF('1.연간시수표'!AD60,$BI$7),COUNTIF('1.연간시수표'!AD60,$BJ$9),COUNTIF('1.연간시수표'!AD60,$BJ$7),COUNTIF('1.연간시수표'!AD60,$BK$9),COUNTIF('1.연간시수표'!AD60,$BK$7),COUNTIF('1.연간시수표'!AD60,$BL$9),COUNTIF('1.연간시수표'!AD60,$BL$7),COUNTIF('1.연간시수표'!AD60,$BM$9),COUNTIF('1.연간시수표'!AD60,$BM$7)),$BF$6,IF(OR(COUNTIF('1.연간시수표'!AD60,$BO$9),COUNTIF('1.연간시수표'!AD60,$BO$7)),$BO$6,IF(OR(COUNTIF('1.연간시수표'!AD60,$BP$9),COUNTIF('1.연간시수표'!AD60,$BP$7)),$BP$6,IF(OR(COUNTIF('1.연간시수표'!AD60,$BQ$9),COUNTIF('1.연간시수표'!AD60,$BQ$7)),$BQ$6,IF(OR(COUNTIF('1.연간시수표'!AD60,$BR$9),COUNTIF('1.연간시수표'!AD60,$BR$7)),$BR$6,"_")))))))))))))))</f>
        <v>진로활동</v>
      </c>
      <c r="AE60" s="148" t="str">
        <f>IF(OR(COUNTIF('1.연간시수표'!AE60,$AT$9),COUNTIF('1.연간시수표'!AE60,$AT$7)),$AT$6,IF(OR(COUNTIF('1.연간시수표'!AE60,$AU$9),COUNTIF('1.연간시수표'!AE60,$AU$7)),$AU$6,IF(OR(COUNTIF('1.연간시수표'!AE60,$AV$9),COUNTIF('1.연간시수표'!AE60,$AV$7)),$AV$6,IF(OR(COUNTIF('1.연간시수표'!AE60,$AW$9),COUNTIF('1.연간시수표'!AE60,$AW$7)),$AW$6,IF(OR(COUNTIF('1.연간시수표'!AE60,$AX$9),COUNTIF('1.연간시수표'!AE60,$AX$7)),$AX$6,IF(OR(COUNTIF('1.연간시수표'!AE60,$AY$9),COUNTIF('1.연간시수표'!AE60,$AY$7)),$AY$6,IF(OR(COUNTIF('1.연간시수표'!AE60,$AZ$9),COUNTIF('1.연간시수표'!AE60,$AZ$7)),$AZ$6,IF(OR(COUNTIF('1.연간시수표'!AE60,$BA$9),COUNTIF('1.연간시수표'!AE60,$BA$7)),$BA$6,IF(OR(COUNTIF('1.연간시수표'!AE60,$BB$9),COUNTIF('1.연간시수표'!AE60,$BB$7)),$BB$6,IF(OR(COUNTIF('1.연간시수표'!AE60,$BC$9),COUNTIF('1.연간시수표'!AE60,$BC$7)),$BC$6,IF(OR(COUNTIF('1.연간시수표'!AE60,$BF$9),COUNTIF('1.연간시수표'!AE60,$BF$7),COUNTIF('1.연간시수표'!AE60,$BG$9),COUNTIF('1.연간시수표'!AE60,$BG$7),COUNTIF('1.연간시수표'!AE60,$BH$9),COUNTIF('1.연간시수표'!AE60,$BH$7),COUNTIF('1.연간시수표'!AE60,$BI$9),COUNTIF('1.연간시수표'!AE60,$BI$7),COUNTIF('1.연간시수표'!AE60,$BJ$9),COUNTIF('1.연간시수표'!AE60,$BJ$7),COUNTIF('1.연간시수표'!AE60,$BK$9),COUNTIF('1.연간시수표'!AE60,$BK$7),COUNTIF('1.연간시수표'!AE60,$BL$9),COUNTIF('1.연간시수표'!AE60,$BL$7),COUNTIF('1.연간시수표'!AE60,$BM$9),COUNTIF('1.연간시수표'!AE60,$BM$7)),$BF$6,IF(OR(COUNTIF('1.연간시수표'!AE60,$BO$9),COUNTIF('1.연간시수표'!AE60,$BO$7)),$BO$6,IF(OR(COUNTIF('1.연간시수표'!AE60,$BP$9),COUNTIF('1.연간시수표'!AE60,$BP$7)),$BP$6,IF(OR(COUNTIF('1.연간시수표'!AE60,$BQ$9),COUNTIF('1.연간시수표'!AE60,$BQ$7)),$BQ$6,IF(OR(COUNTIF('1.연간시수표'!AE60,$BR$9),COUNTIF('1.연간시수표'!AE60,$BR$7)),$BR$6,"_")))))))))))))))</f>
        <v>사회</v>
      </c>
      <c r="AF60" s="148" t="str">
        <f>IF(OR(COUNTIF('1.연간시수표'!AF60,$AT$9),COUNTIF('1.연간시수표'!AF60,$AT$7)),$AT$6,IF(OR(COUNTIF('1.연간시수표'!AF60,$AU$9),COUNTIF('1.연간시수표'!AF60,$AU$7)),$AU$6,IF(OR(COUNTIF('1.연간시수표'!AF60,$AV$9),COUNTIF('1.연간시수표'!AF60,$AV$7)),$AV$6,IF(OR(COUNTIF('1.연간시수표'!AF60,$AW$9),COUNTIF('1.연간시수표'!AF60,$AW$7)),$AW$6,IF(OR(COUNTIF('1.연간시수표'!AF60,$AX$9),COUNTIF('1.연간시수표'!AF60,$AX$7)),$AX$6,IF(OR(COUNTIF('1.연간시수표'!AF60,$AY$9),COUNTIF('1.연간시수표'!AF60,$AY$7)),$AY$6,IF(OR(COUNTIF('1.연간시수표'!AF60,$AZ$9),COUNTIF('1.연간시수표'!AF60,$AZ$7)),$AZ$6,IF(OR(COUNTIF('1.연간시수표'!AF60,$BA$9),COUNTIF('1.연간시수표'!AF60,$BA$7)),$BA$6,IF(OR(COUNTIF('1.연간시수표'!AF60,$BB$9),COUNTIF('1.연간시수표'!AF60,$BB$7)),$BB$6,IF(OR(COUNTIF('1.연간시수표'!AF60,$BC$9),COUNTIF('1.연간시수표'!AF60,$BC$7)),$BC$6,IF(OR(COUNTIF('1.연간시수표'!AF60,$BF$9),COUNTIF('1.연간시수표'!AF60,$BF$7),COUNTIF('1.연간시수표'!AF60,$BG$9),COUNTIF('1.연간시수표'!AF60,$BG$7),COUNTIF('1.연간시수표'!AF60,$BH$9),COUNTIF('1.연간시수표'!AF60,$BH$7),COUNTIF('1.연간시수표'!AF60,$BI$9),COUNTIF('1.연간시수표'!AF60,$BI$7),COUNTIF('1.연간시수표'!AF60,$BJ$9),COUNTIF('1.연간시수표'!AF60,$BJ$7),COUNTIF('1.연간시수표'!AF60,$BK$9),COUNTIF('1.연간시수표'!AF60,$BK$7),COUNTIF('1.연간시수표'!AF60,$BL$9),COUNTIF('1.연간시수표'!AF60,$BL$7),COUNTIF('1.연간시수표'!AF60,$BM$9),COUNTIF('1.연간시수표'!AF60,$BM$7)),$BF$6,IF(OR(COUNTIF('1.연간시수표'!AF60,$BO$9),COUNTIF('1.연간시수표'!AF60,$BO$7)),$BO$6,IF(OR(COUNTIF('1.연간시수표'!AF60,$BP$9),COUNTIF('1.연간시수표'!AF60,$BP$7)),$BP$6,IF(OR(COUNTIF('1.연간시수표'!AF60,$BQ$9),COUNTIF('1.연간시수표'!AF60,$BQ$7)),$BQ$6,IF(OR(COUNTIF('1.연간시수표'!AF60,$BR$9),COUNTIF('1.연간시수표'!AF60,$BR$7)),$BR$6,"_")))))))))))))))</f>
        <v>영어</v>
      </c>
      <c r="AG60" s="148" t="str">
        <f>IF(OR(COUNTIF('1.연간시수표'!AG60,$AT$9),COUNTIF('1.연간시수표'!AG60,$AT$7)),$AT$6,IF(OR(COUNTIF('1.연간시수표'!AG60,$AU$9),COUNTIF('1.연간시수표'!AG60,$AU$7)),$AU$6,IF(OR(COUNTIF('1.연간시수표'!AG60,$AV$9),COUNTIF('1.연간시수표'!AG60,$AV$7)),$AV$6,IF(OR(COUNTIF('1.연간시수표'!AG60,$AW$9),COUNTIF('1.연간시수표'!AG60,$AW$7)),$AW$6,IF(OR(COUNTIF('1.연간시수표'!AG60,$AX$9),COUNTIF('1.연간시수표'!AG60,$AX$7)),$AX$6,IF(OR(COUNTIF('1.연간시수표'!AG60,$AY$9),COUNTIF('1.연간시수표'!AG60,$AY$7)),$AY$6,IF(OR(COUNTIF('1.연간시수표'!AG60,$AZ$9),COUNTIF('1.연간시수표'!AG60,$AZ$7)),$AZ$6,IF(OR(COUNTIF('1.연간시수표'!AG60,$BA$9),COUNTIF('1.연간시수표'!AG60,$BA$7)),$BA$6,IF(OR(COUNTIF('1.연간시수표'!AG60,$BB$9),COUNTIF('1.연간시수표'!AG60,$BB$7)),$BB$6,IF(OR(COUNTIF('1.연간시수표'!AG60,$BC$9),COUNTIF('1.연간시수표'!AG60,$BC$7)),$BC$6,IF(OR(COUNTIF('1.연간시수표'!AG60,$BF$9),COUNTIF('1.연간시수표'!AG60,$BF$7),COUNTIF('1.연간시수표'!AG60,$BG$9),COUNTIF('1.연간시수표'!AG60,$BG$7),COUNTIF('1.연간시수표'!AG60,$BH$9),COUNTIF('1.연간시수표'!AG60,$BH$7),COUNTIF('1.연간시수표'!AG60,$BI$9),COUNTIF('1.연간시수표'!AG60,$BI$7),COUNTIF('1.연간시수표'!AG60,$BJ$9),COUNTIF('1.연간시수표'!AG60,$BJ$7),COUNTIF('1.연간시수표'!AG60,$BK$9),COUNTIF('1.연간시수표'!AG60,$BK$7),COUNTIF('1.연간시수표'!AG60,$BL$9),COUNTIF('1.연간시수표'!AG60,$BL$7),COUNTIF('1.연간시수표'!AG60,$BM$9),COUNTIF('1.연간시수표'!AG60,$BM$7)),$BF$6,IF(OR(COUNTIF('1.연간시수표'!AG60,$BO$9),COUNTIF('1.연간시수표'!AG60,$BO$7)),$BO$6,IF(OR(COUNTIF('1.연간시수표'!AG60,$BP$9),COUNTIF('1.연간시수표'!AG60,$BP$7)),$BP$6,IF(OR(COUNTIF('1.연간시수표'!AG60,$BQ$9),COUNTIF('1.연간시수표'!AG60,$BQ$7)),$BQ$6,IF(OR(COUNTIF('1.연간시수표'!AG60,$BR$9),COUNTIF('1.연간시수표'!AG60,$BR$7)),$BR$6,"_")))))))))))))))</f>
        <v>과학</v>
      </c>
      <c r="AH60" s="148" t="str">
        <f>IF(OR(COUNTIF('1.연간시수표'!AH60,$AT$9),COUNTIF('1.연간시수표'!AH60,$AT$7)),$AT$6,IF(OR(COUNTIF('1.연간시수표'!AH60,$AU$9),COUNTIF('1.연간시수표'!AH60,$AU$7)),$AU$6,IF(OR(COUNTIF('1.연간시수표'!AH60,$AV$9),COUNTIF('1.연간시수표'!AH60,$AV$7)),$AV$6,IF(OR(COUNTIF('1.연간시수표'!AH60,$AW$9),COUNTIF('1.연간시수표'!AH60,$AW$7)),$AW$6,IF(OR(COUNTIF('1.연간시수표'!AH60,$AX$9),COUNTIF('1.연간시수표'!AH60,$AX$7)),$AX$6,IF(OR(COUNTIF('1.연간시수표'!AH60,$AY$9),COUNTIF('1.연간시수표'!AH60,$AY$7)),$AY$6,IF(OR(COUNTIF('1.연간시수표'!AH60,$AZ$9),COUNTIF('1.연간시수표'!AH60,$AZ$7)),$AZ$6,IF(OR(COUNTIF('1.연간시수표'!AH60,$BA$9),COUNTIF('1.연간시수표'!AH60,$BA$7)),$BA$6,IF(OR(COUNTIF('1.연간시수표'!AH60,$BB$9),COUNTIF('1.연간시수표'!AH60,$BB$7)),$BB$6,IF(OR(COUNTIF('1.연간시수표'!AH60,$BC$9),COUNTIF('1.연간시수표'!AH60,$BC$7)),$BC$6,IF(OR(COUNTIF('1.연간시수표'!AH60,$BF$9),COUNTIF('1.연간시수표'!AH60,$BF$7),COUNTIF('1.연간시수표'!AH60,$BG$9),COUNTIF('1.연간시수표'!AH60,$BG$7),COUNTIF('1.연간시수표'!AH60,$BH$9),COUNTIF('1.연간시수표'!AH60,$BH$7),COUNTIF('1.연간시수표'!AH60,$BI$9),COUNTIF('1.연간시수표'!AH60,$BI$7),COUNTIF('1.연간시수표'!AH60,$BJ$9),COUNTIF('1.연간시수표'!AH60,$BJ$7),COUNTIF('1.연간시수표'!AH60,$BK$9),COUNTIF('1.연간시수표'!AH60,$BK$7),COUNTIF('1.연간시수표'!AH60,$BL$9),COUNTIF('1.연간시수표'!AH60,$BL$7),COUNTIF('1.연간시수표'!AH60,$BM$9),COUNTIF('1.연간시수표'!AH60,$BM$7)),$BF$6,IF(OR(COUNTIF('1.연간시수표'!AH60,$BO$9),COUNTIF('1.연간시수표'!AH60,$BO$7)),$BO$6,IF(OR(COUNTIF('1.연간시수표'!AH60,$BP$9),COUNTIF('1.연간시수표'!AH60,$BP$7)),$BP$6,IF(OR(COUNTIF('1.연간시수표'!AH60,$BQ$9),COUNTIF('1.연간시수표'!AH60,$BQ$7)),$BQ$6,IF(OR(COUNTIF('1.연간시수표'!AH60,$BR$9),COUNTIF('1.연간시수표'!AH60,$BR$7)),$BR$6,"_")))))))))))))))</f>
        <v>음악</v>
      </c>
      <c r="AI60" s="148" t="str">
        <f>IF(OR(COUNTIF('1.연간시수표'!AI60,$AT$9),COUNTIF('1.연간시수표'!AI60,$AT$7)),$AT$6,IF(OR(COUNTIF('1.연간시수표'!AI60,$AU$9),COUNTIF('1.연간시수표'!AI60,$AU$7)),$AU$6,IF(OR(COUNTIF('1.연간시수표'!AI60,$AV$9),COUNTIF('1.연간시수표'!AI60,$AV$7)),$AV$6,IF(OR(COUNTIF('1.연간시수표'!AI60,$AW$9),COUNTIF('1.연간시수표'!AI60,$AW$7)),$AW$6,IF(OR(COUNTIF('1.연간시수표'!AI60,$AX$9),COUNTIF('1.연간시수표'!AI60,$AX$7)),$AX$6,IF(OR(COUNTIF('1.연간시수표'!AI60,$AY$9),COUNTIF('1.연간시수표'!AI60,$AY$7)),$AY$6,IF(OR(COUNTIF('1.연간시수표'!AI60,$AZ$9),COUNTIF('1.연간시수표'!AI60,$AZ$7)),$AZ$6,IF(OR(COUNTIF('1.연간시수표'!AI60,$BA$9),COUNTIF('1.연간시수표'!AI60,$BA$7)),$BA$6,IF(OR(COUNTIF('1.연간시수표'!AI60,$BB$9),COUNTIF('1.연간시수표'!AI60,$BB$7)),$BB$6,IF(OR(COUNTIF('1.연간시수표'!AI60,$BC$9),COUNTIF('1.연간시수표'!AI60,$BC$7)),$BC$6,IF(OR(COUNTIF('1.연간시수표'!AI60,$BF$9),COUNTIF('1.연간시수표'!AI60,$BF$7),COUNTIF('1.연간시수표'!AI60,$BG$9),COUNTIF('1.연간시수표'!AI60,$BG$7),COUNTIF('1.연간시수표'!AI60,$BH$9),COUNTIF('1.연간시수표'!AI60,$BH$7),COUNTIF('1.연간시수표'!AI60,$BI$9),COUNTIF('1.연간시수표'!AI60,$BI$7),COUNTIF('1.연간시수표'!AI60,$BJ$9),COUNTIF('1.연간시수표'!AI60,$BJ$7),COUNTIF('1.연간시수표'!AI60,$BK$9),COUNTIF('1.연간시수표'!AI60,$BK$7),COUNTIF('1.연간시수표'!AI60,$BL$9),COUNTIF('1.연간시수표'!AI60,$BL$7),COUNTIF('1.연간시수표'!AI60,$BM$9),COUNTIF('1.연간시수표'!AI60,$BM$7)),$BF$6,IF(OR(COUNTIF('1.연간시수표'!AI60,$BO$9),COUNTIF('1.연간시수표'!AI60,$BO$7)),$BO$6,IF(OR(COUNTIF('1.연간시수표'!AI60,$BP$9),COUNTIF('1.연간시수표'!AI60,$BP$7)),$BP$6,IF(OR(COUNTIF('1.연간시수표'!AI60,$BQ$9),COUNTIF('1.연간시수표'!AI60,$BQ$7)),$BQ$6,IF(OR(COUNTIF('1.연간시수표'!AI60,$BR$9),COUNTIF('1.연간시수표'!AI60,$BR$7)),$BR$6,"_")))))))))))))))</f>
        <v>_</v>
      </c>
      <c r="AJ60" s="148" t="str">
        <f>IF(OR(COUNTIF('1.연간시수표'!AJ60,$AT$9),COUNTIF('1.연간시수표'!AJ60,$AT$7)),$AT$6,IF(OR(COUNTIF('1.연간시수표'!AJ60,$AU$9),COUNTIF('1.연간시수표'!AJ60,$AU$7)),$AU$6,IF(OR(COUNTIF('1.연간시수표'!AJ60,$AV$9),COUNTIF('1.연간시수표'!AJ60,$AV$7)),$AV$6,IF(OR(COUNTIF('1.연간시수표'!AJ60,$AW$9),COUNTIF('1.연간시수표'!AJ60,$AW$7)),$AW$6,IF(OR(COUNTIF('1.연간시수표'!AJ60,$AX$9),COUNTIF('1.연간시수표'!AJ60,$AX$7)),$AX$6,IF(OR(COUNTIF('1.연간시수표'!AJ60,$AY$9),COUNTIF('1.연간시수표'!AJ60,$AY$7)),$AY$6,IF(OR(COUNTIF('1.연간시수표'!AJ60,$AZ$9),COUNTIF('1.연간시수표'!AJ60,$AZ$7)),$AZ$6,IF(OR(COUNTIF('1.연간시수표'!AJ60,$BA$9),COUNTIF('1.연간시수표'!AJ60,$BA$7)),$BA$6,IF(OR(COUNTIF('1.연간시수표'!AJ60,$BB$9),COUNTIF('1.연간시수표'!AJ60,$BB$7)),$BB$6,IF(OR(COUNTIF('1.연간시수표'!AJ60,$BC$9),COUNTIF('1.연간시수표'!AJ60,$BC$7)),$BC$6,IF(OR(COUNTIF('1.연간시수표'!AJ60,$BF$9),COUNTIF('1.연간시수표'!AJ60,$BF$7),COUNTIF('1.연간시수표'!AJ60,$BG$9),COUNTIF('1.연간시수표'!AJ60,$BG$7),COUNTIF('1.연간시수표'!AJ60,$BH$9),COUNTIF('1.연간시수표'!AJ60,$BH$7),COUNTIF('1.연간시수표'!AJ60,$BI$9),COUNTIF('1.연간시수표'!AJ60,$BI$7),COUNTIF('1.연간시수표'!AJ60,$BJ$9),COUNTIF('1.연간시수표'!AJ60,$BJ$7),COUNTIF('1.연간시수표'!AJ60,$BK$9),COUNTIF('1.연간시수표'!AJ60,$BK$7),COUNTIF('1.연간시수표'!AJ60,$BL$9),COUNTIF('1.연간시수표'!AJ60,$BL$7),COUNTIF('1.연간시수표'!AJ60,$BM$9),COUNTIF('1.연간시수표'!AJ60,$BM$7)),$BF$6,IF(OR(COUNTIF('1.연간시수표'!AJ60,$BO$9),COUNTIF('1.연간시수표'!AJ60,$BO$7)),$BO$6,IF(OR(COUNTIF('1.연간시수표'!AJ60,$BP$9),COUNTIF('1.연간시수표'!AJ60,$BP$7)),$BP$6,IF(OR(COUNTIF('1.연간시수표'!AJ60,$BQ$9),COUNTIF('1.연간시수표'!AJ60,$BQ$7)),$BQ$6,IF(OR(COUNTIF('1.연간시수표'!AJ60,$BR$9),COUNTIF('1.연간시수표'!AJ60,$BR$7)),$BR$6,"_")))))))))))))))</f>
        <v>_</v>
      </c>
      <c r="AK60" s="148" t="str">
        <f>IF(OR(COUNTIF('1.연간시수표'!AK60,$AT$9),COUNTIF('1.연간시수표'!AK60,$AT$7)),$AT$6,IF(OR(COUNTIF('1.연간시수표'!AK60,$AU$9),COUNTIF('1.연간시수표'!AK60,$AU$7)),$AU$6,IF(OR(COUNTIF('1.연간시수표'!AK60,$AV$9),COUNTIF('1.연간시수표'!AK60,$AV$7)),$AV$6,IF(OR(COUNTIF('1.연간시수표'!AK60,$AW$9),COUNTIF('1.연간시수표'!AK60,$AW$7)),$AW$6,IF(OR(COUNTIF('1.연간시수표'!AK60,$AX$9),COUNTIF('1.연간시수표'!AK60,$AX$7)),$AX$6,IF(OR(COUNTIF('1.연간시수표'!AK60,$AY$9),COUNTIF('1.연간시수표'!AK60,$AY$7)),$AY$6,IF(OR(COUNTIF('1.연간시수표'!AK60,$AZ$9),COUNTIF('1.연간시수표'!AK60,$AZ$7)),$AZ$6,IF(OR(COUNTIF('1.연간시수표'!AK60,$BA$9),COUNTIF('1.연간시수표'!AK60,$BA$7)),$BA$6,IF(OR(COUNTIF('1.연간시수표'!AK60,$BB$9),COUNTIF('1.연간시수표'!AK60,$BB$7)),$BB$6,IF(OR(COUNTIF('1.연간시수표'!AK60,$BC$9),COUNTIF('1.연간시수표'!AK60,$BC$7)),$BC$6,IF(OR(COUNTIF('1.연간시수표'!AK60,$BF$9),COUNTIF('1.연간시수표'!AK60,$BF$7),COUNTIF('1.연간시수표'!AK60,$BG$9),COUNTIF('1.연간시수표'!AK60,$BG$7),COUNTIF('1.연간시수표'!AK60,$BH$9),COUNTIF('1.연간시수표'!AK60,$BH$7),COUNTIF('1.연간시수표'!AK60,$BI$9),COUNTIF('1.연간시수표'!AK60,$BI$7),COUNTIF('1.연간시수표'!AK60,$BJ$9),COUNTIF('1.연간시수표'!AK60,$BJ$7),COUNTIF('1.연간시수표'!AK60,$BK$9),COUNTIF('1.연간시수표'!AK60,$BK$7),COUNTIF('1.연간시수표'!AK60,$BL$9),COUNTIF('1.연간시수표'!AK60,$BL$7),COUNTIF('1.연간시수표'!AK60,$BM$9),COUNTIF('1.연간시수표'!AK60,$BM$7)),$BF$6,IF(OR(COUNTIF('1.연간시수표'!AK60,$BO$9),COUNTIF('1.연간시수표'!AK60,$BO$7)),$BO$6,IF(OR(COUNTIF('1.연간시수표'!AK60,$BP$9),COUNTIF('1.연간시수표'!AK60,$BP$7)),$BP$6,IF(OR(COUNTIF('1.연간시수표'!AK60,$BQ$9),COUNTIF('1.연간시수표'!AK60,$BQ$7)),$BQ$6,IF(OR(COUNTIF('1.연간시수표'!AK60,$BR$9),COUNTIF('1.연간시수표'!AK60,$BR$7)),$BR$6,"_")))))))))))))))</f>
        <v>국어</v>
      </c>
      <c r="AL60" s="148" t="str">
        <f>IF(OR(COUNTIF('1.연간시수표'!AL60,$AT$9),COUNTIF('1.연간시수표'!AL60,$AT$7)),$AT$6,IF(OR(COUNTIF('1.연간시수표'!AL60,$AU$9),COUNTIF('1.연간시수표'!AL60,$AU$7)),$AU$6,IF(OR(COUNTIF('1.연간시수표'!AL60,$AV$9),COUNTIF('1.연간시수표'!AL60,$AV$7)),$AV$6,IF(OR(COUNTIF('1.연간시수표'!AL60,$AW$9),COUNTIF('1.연간시수표'!AL60,$AW$7)),$AW$6,IF(OR(COUNTIF('1.연간시수표'!AL60,$AX$9),COUNTIF('1.연간시수표'!AL60,$AX$7)),$AX$6,IF(OR(COUNTIF('1.연간시수표'!AL60,$AY$9),COUNTIF('1.연간시수표'!AL60,$AY$7)),$AY$6,IF(OR(COUNTIF('1.연간시수표'!AL60,$AZ$9),COUNTIF('1.연간시수표'!AL60,$AZ$7)),$AZ$6,IF(OR(COUNTIF('1.연간시수표'!AL60,$BA$9),COUNTIF('1.연간시수표'!AL60,$BA$7)),$BA$6,IF(OR(COUNTIF('1.연간시수표'!AL60,$BB$9),COUNTIF('1.연간시수표'!AL60,$BB$7)),$BB$6,IF(OR(COUNTIF('1.연간시수표'!AL60,$BC$9),COUNTIF('1.연간시수표'!AL60,$BC$7)),$BC$6,IF(OR(COUNTIF('1.연간시수표'!AL60,$BF$9),COUNTIF('1.연간시수표'!AL60,$BF$7),COUNTIF('1.연간시수표'!AL60,$BG$9),COUNTIF('1.연간시수표'!AL60,$BG$7),COUNTIF('1.연간시수표'!AL60,$BH$9),COUNTIF('1.연간시수표'!AL60,$BH$7),COUNTIF('1.연간시수표'!AL60,$BI$9),COUNTIF('1.연간시수표'!AL60,$BI$7),COUNTIF('1.연간시수표'!AL60,$BJ$9),COUNTIF('1.연간시수표'!AL60,$BJ$7),COUNTIF('1.연간시수표'!AL60,$BK$9),COUNTIF('1.연간시수표'!AL60,$BK$7),COUNTIF('1.연간시수표'!AL60,$BL$9),COUNTIF('1.연간시수표'!AL60,$BL$7),COUNTIF('1.연간시수표'!AL60,$BM$9),COUNTIF('1.연간시수표'!AL60,$BM$7)),$BF$6,IF(OR(COUNTIF('1.연간시수표'!AL60,$BO$9),COUNTIF('1.연간시수표'!AL60,$BO$7)),$BO$6,IF(OR(COUNTIF('1.연간시수표'!AL60,$BP$9),COUNTIF('1.연간시수표'!AL60,$BP$7)),$BP$6,IF(OR(COUNTIF('1.연간시수표'!AL60,$BQ$9),COUNTIF('1.연간시수표'!AL60,$BQ$7)),$BQ$6,IF(OR(COUNTIF('1.연간시수표'!AL60,$BR$9),COUNTIF('1.연간시수표'!AL60,$BR$7)),$BR$6,"_")))))))))))))))</f>
        <v>체육</v>
      </c>
      <c r="AM60" s="148" t="str">
        <f>IF(OR(COUNTIF('1.연간시수표'!AM60,$AT$9),COUNTIF('1.연간시수표'!AM60,$AT$7)),$AT$6,IF(OR(COUNTIF('1.연간시수표'!AM60,$AU$9),COUNTIF('1.연간시수표'!AM60,$AU$7)),$AU$6,IF(OR(COUNTIF('1.연간시수표'!AM60,$AV$9),COUNTIF('1.연간시수표'!AM60,$AV$7)),$AV$6,IF(OR(COUNTIF('1.연간시수표'!AM60,$AW$9),COUNTIF('1.연간시수표'!AM60,$AW$7)),$AW$6,IF(OR(COUNTIF('1.연간시수표'!AM60,$AX$9),COUNTIF('1.연간시수표'!AM60,$AX$7)),$AX$6,IF(OR(COUNTIF('1.연간시수표'!AM60,$AY$9),COUNTIF('1.연간시수표'!AM60,$AY$7)),$AY$6,IF(OR(COUNTIF('1.연간시수표'!AM60,$AZ$9),COUNTIF('1.연간시수표'!AM60,$AZ$7)),$AZ$6,IF(OR(COUNTIF('1.연간시수표'!AM60,$BA$9),COUNTIF('1.연간시수표'!AM60,$BA$7)),$BA$6,IF(OR(COUNTIF('1.연간시수표'!AM60,$BB$9),COUNTIF('1.연간시수표'!AM60,$BB$7)),$BB$6,IF(OR(COUNTIF('1.연간시수표'!AM60,$BC$9),COUNTIF('1.연간시수표'!AM60,$BC$7)),$BC$6,IF(OR(COUNTIF('1.연간시수표'!AM60,$BF$9),COUNTIF('1.연간시수표'!AM60,$BF$7),COUNTIF('1.연간시수표'!AM60,$BG$9),COUNTIF('1.연간시수표'!AM60,$BG$7),COUNTIF('1.연간시수표'!AM60,$BH$9),COUNTIF('1.연간시수표'!AM60,$BH$7),COUNTIF('1.연간시수표'!AM60,$BI$9),COUNTIF('1.연간시수표'!AM60,$BI$7),COUNTIF('1.연간시수표'!AM60,$BJ$9),COUNTIF('1.연간시수표'!AM60,$BJ$7),COUNTIF('1.연간시수표'!AM60,$BK$9),COUNTIF('1.연간시수표'!AM60,$BK$7),COUNTIF('1.연간시수표'!AM60,$BL$9),COUNTIF('1.연간시수표'!AM60,$BL$7),COUNTIF('1.연간시수표'!AM60,$BM$9),COUNTIF('1.연간시수표'!AM60,$BM$7)),$BF$6,IF(OR(COUNTIF('1.연간시수표'!AM60,$BO$9),COUNTIF('1.연간시수표'!AM60,$BO$7)),$BO$6,IF(OR(COUNTIF('1.연간시수표'!AM60,$BP$9),COUNTIF('1.연간시수표'!AM60,$BP$7)),$BP$6,IF(OR(COUNTIF('1.연간시수표'!AM60,$BQ$9),COUNTIF('1.연간시수표'!AM60,$BQ$7)),$BQ$6,IF(OR(COUNTIF('1.연간시수표'!AM60,$BR$9),COUNTIF('1.연간시수표'!AM60,$BR$7)),$BR$6,"_")))))))))))))))</f>
        <v>수학</v>
      </c>
      <c r="AN60" s="148" t="str">
        <f>IF(OR(COUNTIF('1.연간시수표'!AN60,$AT$9),COUNTIF('1.연간시수표'!AN60,$AT$7)),$AT$6,IF(OR(COUNTIF('1.연간시수표'!AN60,$AU$9),COUNTIF('1.연간시수표'!AN60,$AU$7)),$AU$6,IF(OR(COUNTIF('1.연간시수표'!AN60,$AV$9),COUNTIF('1.연간시수표'!AN60,$AV$7)),$AV$6,IF(OR(COUNTIF('1.연간시수표'!AN60,$AW$9),COUNTIF('1.연간시수표'!AN60,$AW$7)),$AW$6,IF(OR(COUNTIF('1.연간시수표'!AN60,$AX$9),COUNTIF('1.연간시수표'!AN60,$AX$7)),$AX$6,IF(OR(COUNTIF('1.연간시수표'!AN60,$AY$9),COUNTIF('1.연간시수표'!AN60,$AY$7)),$AY$6,IF(OR(COUNTIF('1.연간시수표'!AN60,$AZ$9),COUNTIF('1.연간시수표'!AN60,$AZ$7)),$AZ$6,IF(OR(COUNTIF('1.연간시수표'!AN60,$BA$9),COUNTIF('1.연간시수표'!AN60,$BA$7)),$BA$6,IF(OR(COUNTIF('1.연간시수표'!AN60,$BB$9),COUNTIF('1.연간시수표'!AN60,$BB$7)),$BB$6,IF(OR(COUNTIF('1.연간시수표'!AN60,$BC$9),COUNTIF('1.연간시수표'!AN60,$BC$7)),$BC$6,IF(OR(COUNTIF('1.연간시수표'!AN60,$BF$9),COUNTIF('1.연간시수표'!AN60,$BF$7),COUNTIF('1.연간시수표'!AN60,$BG$9),COUNTIF('1.연간시수표'!AN60,$BG$7),COUNTIF('1.연간시수표'!AN60,$BH$9),COUNTIF('1.연간시수표'!AN60,$BH$7),COUNTIF('1.연간시수표'!AN60,$BI$9),COUNTIF('1.연간시수표'!AN60,$BI$7),COUNTIF('1.연간시수표'!AN60,$BJ$9),COUNTIF('1.연간시수표'!AN60,$BJ$7),COUNTIF('1.연간시수표'!AN60,$BK$9),COUNTIF('1.연간시수표'!AN60,$BK$7),COUNTIF('1.연간시수표'!AN60,$BL$9),COUNTIF('1.연간시수표'!AN60,$BL$7),COUNTIF('1.연간시수표'!AN60,$BM$9),COUNTIF('1.연간시수표'!AN60,$BM$7)),$BF$6,IF(OR(COUNTIF('1.연간시수표'!AN60,$BO$9),COUNTIF('1.연간시수표'!AN60,$BO$7)),$BO$6,IF(OR(COUNTIF('1.연간시수표'!AN60,$BP$9),COUNTIF('1.연간시수표'!AN60,$BP$7)),$BP$6,IF(OR(COUNTIF('1.연간시수표'!AN60,$BQ$9),COUNTIF('1.연간시수표'!AN60,$BQ$7)),$BQ$6,IF(OR(COUNTIF('1.연간시수표'!AN60,$BR$9),COUNTIF('1.연간시수표'!AN60,$BR$7)),$BR$6,"_")))))))))))))))</f>
        <v>국어</v>
      </c>
      <c r="AO60" s="148" t="str">
        <f>IF(OR(COUNTIF('1.연간시수표'!AO60,$AT$9),COUNTIF('1.연간시수표'!AO60,$AT$7)),$AT$6,IF(OR(COUNTIF('1.연간시수표'!AO60,$AU$9),COUNTIF('1.연간시수표'!AO60,$AU$7)),$AU$6,IF(OR(COUNTIF('1.연간시수표'!AO60,$AV$9),COUNTIF('1.연간시수표'!AO60,$AV$7)),$AV$6,IF(OR(COUNTIF('1.연간시수표'!AO60,$AW$9),COUNTIF('1.연간시수표'!AO60,$AW$7)),$AW$6,IF(OR(COUNTIF('1.연간시수표'!AO60,$AX$9),COUNTIF('1.연간시수표'!AO60,$AX$7)),$AX$6,IF(OR(COUNTIF('1.연간시수표'!AO60,$AY$9),COUNTIF('1.연간시수표'!AO60,$AY$7)),$AY$6,IF(OR(COUNTIF('1.연간시수표'!AO60,$AZ$9),COUNTIF('1.연간시수표'!AO60,$AZ$7)),$AZ$6,IF(OR(COUNTIF('1.연간시수표'!AO60,$BA$9),COUNTIF('1.연간시수표'!AO60,$BA$7)),$BA$6,IF(OR(COUNTIF('1.연간시수표'!AO60,$BB$9),COUNTIF('1.연간시수표'!AO60,$BB$7)),$BB$6,IF(OR(COUNTIF('1.연간시수표'!AO60,$BC$9),COUNTIF('1.연간시수표'!AO60,$BC$7)),$BC$6,IF(OR(COUNTIF('1.연간시수표'!AO60,$BF$9),COUNTIF('1.연간시수표'!AO60,$BF$7),COUNTIF('1.연간시수표'!AO60,$BG$9),COUNTIF('1.연간시수표'!AO60,$BG$7),COUNTIF('1.연간시수표'!AO60,$BH$9),COUNTIF('1.연간시수표'!AO60,$BH$7),COUNTIF('1.연간시수표'!AO60,$BI$9),COUNTIF('1.연간시수표'!AO60,$BI$7),COUNTIF('1.연간시수표'!AO60,$BJ$9),COUNTIF('1.연간시수표'!AO60,$BJ$7),COUNTIF('1.연간시수표'!AO60,$BK$9),COUNTIF('1.연간시수표'!AO60,$BK$7),COUNTIF('1.연간시수표'!AO60,$BL$9),COUNTIF('1.연간시수표'!AO60,$BL$7),COUNTIF('1.연간시수표'!AO60,$BM$9),COUNTIF('1.연간시수표'!AO60,$BM$7)),$BF$6,IF(OR(COUNTIF('1.연간시수표'!AO60,$BO$9),COUNTIF('1.연간시수표'!AO60,$BO$7)),$BO$6,IF(OR(COUNTIF('1.연간시수표'!AO60,$BP$9),COUNTIF('1.연간시수표'!AO60,$BP$7)),$BP$6,IF(OR(COUNTIF('1.연간시수표'!AO60,$BQ$9),COUNTIF('1.연간시수표'!AO60,$BQ$7)),$BQ$6,IF(OR(COUNTIF('1.연간시수표'!AO60,$BR$9),COUNTIF('1.연간시수표'!AO60,$BR$7)),$BR$6,"_")))))))))))))))</f>
        <v>사회</v>
      </c>
      <c r="AP60" s="148" t="str">
        <f>IF(OR(COUNTIF('1.연간시수표'!AP60,$AT$9),COUNTIF('1.연간시수표'!AP60,$AT$7)),$AT$6,IF(OR(COUNTIF('1.연간시수표'!AP60,$AU$9),COUNTIF('1.연간시수표'!AP60,$AU$7)),$AU$6,IF(OR(COUNTIF('1.연간시수표'!AP60,$AV$9),COUNTIF('1.연간시수표'!AP60,$AV$7)),$AV$6,IF(OR(COUNTIF('1.연간시수표'!AP60,$AW$9),COUNTIF('1.연간시수표'!AP60,$AW$7)),$AW$6,IF(OR(COUNTIF('1.연간시수표'!AP60,$AX$9),COUNTIF('1.연간시수표'!AP60,$AX$7)),$AX$6,IF(OR(COUNTIF('1.연간시수표'!AP60,$AY$9),COUNTIF('1.연간시수표'!AP60,$AY$7)),$AY$6,IF(OR(COUNTIF('1.연간시수표'!AP60,$AZ$9),COUNTIF('1.연간시수표'!AP60,$AZ$7)),$AZ$6,IF(OR(COUNTIF('1.연간시수표'!AP60,$BA$9),COUNTIF('1.연간시수표'!AP60,$BA$7)),$BA$6,IF(OR(COUNTIF('1.연간시수표'!AP60,$BB$9),COUNTIF('1.연간시수표'!AP60,$BB$7)),$BB$6,IF(OR(COUNTIF('1.연간시수표'!AP60,$BC$9),COUNTIF('1.연간시수표'!AP60,$BC$7)),$BC$6,IF(OR(COUNTIF('1.연간시수표'!AP60,$BF$9),COUNTIF('1.연간시수표'!AP60,$BF$7),COUNTIF('1.연간시수표'!AP60,$BG$9),COUNTIF('1.연간시수표'!AP60,$BG$7),COUNTIF('1.연간시수표'!AP60,$BH$9),COUNTIF('1.연간시수표'!AP60,$BH$7),COUNTIF('1.연간시수표'!AP60,$BI$9),COUNTIF('1.연간시수표'!AP60,$BI$7),COUNTIF('1.연간시수표'!AP60,$BJ$9),COUNTIF('1.연간시수표'!AP60,$BJ$7),COUNTIF('1.연간시수표'!AP60,$BK$9),COUNTIF('1.연간시수표'!AP60,$BK$7),COUNTIF('1.연간시수표'!AP60,$BL$9),COUNTIF('1.연간시수표'!AP60,$BL$7),COUNTIF('1.연간시수표'!AP60,$BM$9),COUNTIF('1.연간시수표'!AP60,$BM$7)),$BF$6,IF(OR(COUNTIF('1.연간시수표'!AP60,$BO$9),COUNTIF('1.연간시수표'!AP60,$BO$7)),$BO$6,IF(OR(COUNTIF('1.연간시수표'!AP60,$BP$9),COUNTIF('1.연간시수표'!AP60,$BP$7)),$BP$6,IF(OR(COUNTIF('1.연간시수표'!AP60,$BQ$9),COUNTIF('1.연간시수표'!AP60,$BQ$7)),$BQ$6,IF(OR(COUNTIF('1.연간시수표'!AP60,$BR$9),COUNTIF('1.연간시수표'!AP60,$BR$7)),$BR$6,"_")))))))))))))))</f>
        <v>실과</v>
      </c>
      <c r="AQ60" s="148" t="str">
        <f>IF(OR(COUNTIF('1.연간시수표'!AQ60,$AT$9),COUNTIF('1.연간시수표'!AQ60,$AT$7)),$AT$6,IF(OR(COUNTIF('1.연간시수표'!AQ60,$AU$9),COUNTIF('1.연간시수표'!AQ60,$AU$7)),$AU$6,IF(OR(COUNTIF('1.연간시수표'!AQ60,$AV$9),COUNTIF('1.연간시수표'!AQ60,$AV$7)),$AV$6,IF(OR(COUNTIF('1.연간시수표'!AQ60,$AW$9),COUNTIF('1.연간시수표'!AQ60,$AW$7)),$AW$6,IF(OR(COUNTIF('1.연간시수표'!AQ60,$AX$9),COUNTIF('1.연간시수표'!AQ60,$AX$7)),$AX$6,IF(OR(COUNTIF('1.연간시수표'!AQ60,$AY$9),COUNTIF('1.연간시수표'!AQ60,$AY$7)),$AY$6,IF(OR(COUNTIF('1.연간시수표'!AQ60,$AZ$9),COUNTIF('1.연간시수표'!AQ60,$AZ$7)),$AZ$6,IF(OR(COUNTIF('1.연간시수표'!AQ60,$BA$9),COUNTIF('1.연간시수표'!AQ60,$BA$7)),$BA$6,IF(OR(COUNTIF('1.연간시수표'!AQ60,$BB$9),COUNTIF('1.연간시수표'!AQ60,$BB$7)),$BB$6,IF(OR(COUNTIF('1.연간시수표'!AQ60,$BC$9),COUNTIF('1.연간시수표'!AQ60,$BC$7)),$BC$6,IF(OR(COUNTIF('1.연간시수표'!AQ60,$BF$9),COUNTIF('1.연간시수표'!AQ60,$BF$7),COUNTIF('1.연간시수표'!AQ60,$BG$9),COUNTIF('1.연간시수표'!AQ60,$BG$7),COUNTIF('1.연간시수표'!AQ60,$BH$9),COUNTIF('1.연간시수표'!AQ60,$BH$7),COUNTIF('1.연간시수표'!AQ60,$BI$9),COUNTIF('1.연간시수표'!AQ60,$BI$7),COUNTIF('1.연간시수표'!AQ60,$BJ$9),COUNTIF('1.연간시수표'!AQ60,$BJ$7),COUNTIF('1.연간시수표'!AQ60,$BK$9),COUNTIF('1.연간시수표'!AQ60,$BK$7),COUNTIF('1.연간시수표'!AQ60,$BL$9),COUNTIF('1.연간시수표'!AQ60,$BL$7),COUNTIF('1.연간시수표'!AQ60,$BM$9),COUNTIF('1.연간시수표'!AQ60,$BM$7)),$BF$6,IF(OR(COUNTIF('1.연간시수표'!AQ60,$BO$9),COUNTIF('1.연간시수표'!AQ60,$BO$7)),$BO$6,IF(OR(COUNTIF('1.연간시수표'!AQ60,$BP$9),COUNTIF('1.연간시수표'!AQ60,$BP$7)),$BP$6,IF(OR(COUNTIF('1.연간시수표'!AQ60,$BQ$9),COUNTIF('1.연간시수표'!AQ60,$BQ$7)),$BQ$6,IF(OR(COUNTIF('1.연간시수표'!AQ60,$BR$9),COUNTIF('1.연간시수표'!AQ60,$BR$7)),$BR$6,"_")))))))))))))))</f>
        <v>_</v>
      </c>
      <c r="AR60" s="148" t="str">
        <f>IF(OR(COUNTIF('1.연간시수표'!AR60,$AT$9),COUNTIF('1.연간시수표'!AR60,$AT$7)),$AT$6,IF(OR(COUNTIF('1.연간시수표'!AR60,$AU$9),COUNTIF('1.연간시수표'!AR60,$AU$7)),$AU$6,IF(OR(COUNTIF('1.연간시수표'!AR60,$AV$9),COUNTIF('1.연간시수표'!AR60,$AV$7)),$AV$6,IF(OR(COUNTIF('1.연간시수표'!AR60,$AW$9),COUNTIF('1.연간시수표'!AR60,$AW$7)),$AW$6,IF(OR(COUNTIF('1.연간시수표'!AR60,$AX$9),COUNTIF('1.연간시수표'!AR60,$AX$7)),$AX$6,IF(OR(COUNTIF('1.연간시수표'!AR60,$AY$9),COUNTIF('1.연간시수표'!AR60,$AY$7)),$AY$6,IF(OR(COUNTIF('1.연간시수표'!AR60,$AZ$9),COUNTIF('1.연간시수표'!AR60,$AZ$7)),$AZ$6,IF(OR(COUNTIF('1.연간시수표'!AR60,$BA$9),COUNTIF('1.연간시수표'!AR60,$BA$7)),$BA$6,IF(OR(COUNTIF('1.연간시수표'!AR60,$BB$9),COUNTIF('1.연간시수표'!AR60,$BB$7)),$BB$6,IF(OR(COUNTIF('1.연간시수표'!AR60,$BC$9),COUNTIF('1.연간시수표'!AR60,$BC$7)),$BC$6,IF(OR(COUNTIF('1.연간시수표'!AR60,$BF$9),COUNTIF('1.연간시수표'!AR60,$BF$7),COUNTIF('1.연간시수표'!AR60,$BG$9),COUNTIF('1.연간시수표'!AR60,$BG$7),COUNTIF('1.연간시수표'!AR60,$BH$9),COUNTIF('1.연간시수표'!AR60,$BH$7),COUNTIF('1.연간시수표'!AR60,$BI$9),COUNTIF('1.연간시수표'!AR60,$BI$7),COUNTIF('1.연간시수표'!AR60,$BJ$9),COUNTIF('1.연간시수표'!AR60,$BJ$7),COUNTIF('1.연간시수표'!AR60,$BK$9),COUNTIF('1.연간시수표'!AR60,$BK$7),COUNTIF('1.연간시수표'!AR60,$BL$9),COUNTIF('1.연간시수표'!AR60,$BL$7),COUNTIF('1.연간시수표'!AR60,$BM$9),COUNTIF('1.연간시수표'!AR60,$BM$7)),$BF$6,IF(OR(COUNTIF('1.연간시수표'!AR60,$BO$9),COUNTIF('1.연간시수표'!AR60,$BO$7)),$BO$6,IF(OR(COUNTIF('1.연간시수표'!AR60,$BP$9),COUNTIF('1.연간시수표'!AR60,$BP$7)),$BP$6,IF(OR(COUNTIF('1.연간시수표'!AR60,$BQ$9),COUNTIF('1.연간시수표'!AR60,$BQ$7)),$BQ$6,IF(OR(COUNTIF('1.연간시수표'!AR60,$BR$9),COUNTIF('1.연간시수표'!AR60,$BR$7)),$BR$6,"_")))))))))))))))</f>
        <v>_</v>
      </c>
      <c r="BU60" s="32"/>
    </row>
    <row r="61" spans="2:73">
      <c r="B61" s="6"/>
      <c r="C61" s="79">
        <f>'1.연간시수표'!C61</f>
        <v>30</v>
      </c>
      <c r="D61" s="3"/>
      <c r="E61" s="148" t="str">
        <f>IF(OR(COUNTIF('1.연간시수표'!E61,$AT$9),COUNTIF('1.연간시수표'!E61,$AT$7)),$AT$6,IF(OR(COUNTIF('1.연간시수표'!E61,$AU$9),COUNTIF('1.연간시수표'!E61,$AU$7)),$AU$6,IF(OR(COUNTIF('1.연간시수표'!E61,$AV$9),COUNTIF('1.연간시수표'!E61,$AV$7)),$AV$6,IF(OR(COUNTIF('1.연간시수표'!E61,$AW$9),COUNTIF('1.연간시수표'!E61,$AW$7)),$AW$6,IF(OR(COUNTIF('1.연간시수표'!E61,$AX$9),COUNTIF('1.연간시수표'!E61,$AX$7)),$AX$6,IF(OR(COUNTIF('1.연간시수표'!E61,$AY$9),COUNTIF('1.연간시수표'!E61,$AY$7)),$AY$6,IF(OR(COUNTIF('1.연간시수표'!E61,$AZ$9),COUNTIF('1.연간시수표'!E61,$AZ$7)),$AZ$6,IF(OR(COUNTIF('1.연간시수표'!E61,$BA$9),COUNTIF('1.연간시수표'!E61,$BA$7)),$BA$6,IF(OR(COUNTIF('1.연간시수표'!E61,$BB$9),COUNTIF('1.연간시수표'!E61,$BB$7)),$BB$6,IF(OR(COUNTIF('1.연간시수표'!E61,$BC$9),COUNTIF('1.연간시수표'!E61,$BC$7)),$BC$6,IF(OR(COUNTIF('1.연간시수표'!E61,$BF$9),COUNTIF('1.연간시수표'!E61,$BF$7),COUNTIF('1.연간시수표'!E61,$BG$9),COUNTIF('1.연간시수표'!E61,$BG$7),COUNTIF('1.연간시수표'!E61,$BH$9),COUNTIF('1.연간시수표'!E61,$BH$7),COUNTIF('1.연간시수표'!E61,$BI$9),COUNTIF('1.연간시수표'!E61,$BI$7),COUNTIF('1.연간시수표'!E61,$BJ$9),COUNTIF('1.연간시수표'!E61,$BJ$7),COUNTIF('1.연간시수표'!E61,$BK$9),COUNTIF('1.연간시수표'!E61,$BK$7),COUNTIF('1.연간시수표'!E61,$BL$9),COUNTIF('1.연간시수표'!E61,$BL$7),COUNTIF('1.연간시수표'!E61,$BM$9),COUNTIF('1.연간시수표'!E61,$BM$7)),$BF$6,IF(OR(COUNTIF('1.연간시수표'!E61,$BO$9),COUNTIF('1.연간시수표'!E61,$BO$7)),$BO$6,IF(OR(COUNTIF('1.연간시수표'!E61,$BP$9),COUNTIF('1.연간시수표'!E61,$BP$7)),$BP$6,IF(OR(COUNTIF('1.연간시수표'!E61,$BQ$9),COUNTIF('1.연간시수표'!E61,$BQ$7)),$BQ$6,IF(OR(COUNTIF('1.연간시수표'!E61,$BR$9),COUNTIF('1.연간시수표'!E61,$BR$7)),$BR$6,"_")))))))))))))))</f>
        <v>국어</v>
      </c>
      <c r="F61" s="148" t="str">
        <f>IF(OR(COUNTIF('1.연간시수표'!F61,$AT$9),COUNTIF('1.연간시수표'!F61,$AT$7)),$AT$6,IF(OR(COUNTIF('1.연간시수표'!F61,$AU$9),COUNTIF('1.연간시수표'!F61,$AU$7)),$AU$6,IF(OR(COUNTIF('1.연간시수표'!F61,$AV$9),COUNTIF('1.연간시수표'!F61,$AV$7)),$AV$6,IF(OR(COUNTIF('1.연간시수표'!F61,$AW$9),COUNTIF('1.연간시수표'!F61,$AW$7)),$AW$6,IF(OR(COUNTIF('1.연간시수표'!F61,$AX$9),COUNTIF('1.연간시수표'!F61,$AX$7)),$AX$6,IF(OR(COUNTIF('1.연간시수표'!F61,$AY$9),COUNTIF('1.연간시수표'!F61,$AY$7)),$AY$6,IF(OR(COUNTIF('1.연간시수표'!F61,$AZ$9),COUNTIF('1.연간시수표'!F61,$AZ$7)),$AZ$6,IF(OR(COUNTIF('1.연간시수표'!F61,$BA$9),COUNTIF('1.연간시수표'!F61,$BA$7)),$BA$6,IF(OR(COUNTIF('1.연간시수표'!F61,$BB$9),COUNTIF('1.연간시수표'!F61,$BB$7)),$BB$6,IF(OR(COUNTIF('1.연간시수표'!F61,$BC$9),COUNTIF('1.연간시수표'!F61,$BC$7)),$BC$6,IF(OR(COUNTIF('1.연간시수표'!F61,$BF$9),COUNTIF('1.연간시수표'!F61,$BF$7),COUNTIF('1.연간시수표'!F61,$BG$9),COUNTIF('1.연간시수표'!F61,$BG$7),COUNTIF('1.연간시수표'!F61,$BH$9),COUNTIF('1.연간시수표'!F61,$BH$7),COUNTIF('1.연간시수표'!F61,$BI$9),COUNTIF('1.연간시수표'!F61,$BI$7),COUNTIF('1.연간시수표'!F61,$BJ$9),COUNTIF('1.연간시수표'!F61,$BJ$7),COUNTIF('1.연간시수표'!F61,$BK$9),COUNTIF('1.연간시수표'!F61,$BK$7),COUNTIF('1.연간시수표'!F61,$BL$9),COUNTIF('1.연간시수표'!F61,$BL$7),COUNTIF('1.연간시수표'!F61,$BM$9),COUNTIF('1.연간시수표'!F61,$BM$7)),$BF$6,IF(OR(COUNTIF('1.연간시수표'!F61,$BO$9),COUNTIF('1.연간시수표'!F61,$BO$7)),$BO$6,IF(OR(COUNTIF('1.연간시수표'!F61,$BP$9),COUNTIF('1.연간시수표'!F61,$BP$7)),$BP$6,IF(OR(COUNTIF('1.연간시수표'!F61,$BQ$9),COUNTIF('1.연간시수표'!F61,$BQ$7)),$BQ$6,IF(OR(COUNTIF('1.연간시수표'!F61,$BR$9),COUNTIF('1.연간시수표'!F61,$BR$7)),$BR$6,"_")))))))))))))))</f>
        <v>미술</v>
      </c>
      <c r="G61" s="148" t="str">
        <f>IF(OR(COUNTIF('1.연간시수표'!G61,$AT$9),COUNTIF('1.연간시수표'!G61,$AT$7)),$AT$6,IF(OR(COUNTIF('1.연간시수표'!G61,$AU$9),COUNTIF('1.연간시수표'!G61,$AU$7)),$AU$6,IF(OR(COUNTIF('1.연간시수표'!G61,$AV$9),COUNTIF('1.연간시수표'!G61,$AV$7)),$AV$6,IF(OR(COUNTIF('1.연간시수표'!G61,$AW$9),COUNTIF('1.연간시수표'!G61,$AW$7)),$AW$6,IF(OR(COUNTIF('1.연간시수표'!G61,$AX$9),COUNTIF('1.연간시수표'!G61,$AX$7)),$AX$6,IF(OR(COUNTIF('1.연간시수표'!G61,$AY$9),COUNTIF('1.연간시수표'!G61,$AY$7)),$AY$6,IF(OR(COUNTIF('1.연간시수표'!G61,$AZ$9),COUNTIF('1.연간시수표'!G61,$AZ$7)),$AZ$6,IF(OR(COUNTIF('1.연간시수표'!G61,$BA$9),COUNTIF('1.연간시수표'!G61,$BA$7)),$BA$6,IF(OR(COUNTIF('1.연간시수표'!G61,$BB$9),COUNTIF('1.연간시수표'!G61,$BB$7)),$BB$6,IF(OR(COUNTIF('1.연간시수표'!G61,$BC$9),COUNTIF('1.연간시수표'!G61,$BC$7)),$BC$6,IF(OR(COUNTIF('1.연간시수표'!G61,$BF$9),COUNTIF('1.연간시수표'!G61,$BF$7),COUNTIF('1.연간시수표'!G61,$BG$9),COUNTIF('1.연간시수표'!G61,$BG$7),COUNTIF('1.연간시수표'!G61,$BH$9),COUNTIF('1.연간시수표'!G61,$BH$7),COUNTIF('1.연간시수표'!G61,$BI$9),COUNTIF('1.연간시수표'!G61,$BI$7),COUNTIF('1.연간시수표'!G61,$BJ$9),COUNTIF('1.연간시수표'!G61,$BJ$7),COUNTIF('1.연간시수표'!G61,$BK$9),COUNTIF('1.연간시수표'!G61,$BK$7),COUNTIF('1.연간시수표'!G61,$BL$9),COUNTIF('1.연간시수표'!G61,$BL$7),COUNTIF('1.연간시수표'!G61,$BM$9),COUNTIF('1.연간시수표'!G61,$BM$7)),$BF$6,IF(OR(COUNTIF('1.연간시수표'!G61,$BO$9),COUNTIF('1.연간시수표'!G61,$BO$7)),$BO$6,IF(OR(COUNTIF('1.연간시수표'!G61,$BP$9),COUNTIF('1.연간시수표'!G61,$BP$7)),$BP$6,IF(OR(COUNTIF('1.연간시수표'!G61,$BQ$9),COUNTIF('1.연간시수표'!G61,$BQ$7)),$BQ$6,IF(OR(COUNTIF('1.연간시수표'!G61,$BR$9),COUNTIF('1.연간시수표'!G61,$BR$7)),$BR$6,"_")))))))))))))))</f>
        <v>미술</v>
      </c>
      <c r="H61" s="148" t="str">
        <f>IF(OR(COUNTIF('1.연간시수표'!H61,$AT$9),COUNTIF('1.연간시수표'!H61,$AT$7)),$AT$6,IF(OR(COUNTIF('1.연간시수표'!H61,$AU$9),COUNTIF('1.연간시수표'!H61,$AU$7)),$AU$6,IF(OR(COUNTIF('1.연간시수표'!H61,$AV$9),COUNTIF('1.연간시수표'!H61,$AV$7)),$AV$6,IF(OR(COUNTIF('1.연간시수표'!H61,$AW$9),COUNTIF('1.연간시수표'!H61,$AW$7)),$AW$6,IF(OR(COUNTIF('1.연간시수표'!H61,$AX$9),COUNTIF('1.연간시수표'!H61,$AX$7)),$AX$6,IF(OR(COUNTIF('1.연간시수표'!H61,$AY$9),COUNTIF('1.연간시수표'!H61,$AY$7)),$AY$6,IF(OR(COUNTIF('1.연간시수표'!H61,$AZ$9),COUNTIF('1.연간시수표'!H61,$AZ$7)),$AZ$6,IF(OR(COUNTIF('1.연간시수표'!H61,$BA$9),COUNTIF('1.연간시수표'!H61,$BA$7)),$BA$6,IF(OR(COUNTIF('1.연간시수표'!H61,$BB$9),COUNTIF('1.연간시수표'!H61,$BB$7)),$BB$6,IF(OR(COUNTIF('1.연간시수표'!H61,$BC$9),COUNTIF('1.연간시수표'!H61,$BC$7)),$BC$6,IF(OR(COUNTIF('1.연간시수표'!H61,$BF$9),COUNTIF('1.연간시수표'!H61,$BF$7),COUNTIF('1.연간시수표'!H61,$BG$9),COUNTIF('1.연간시수표'!H61,$BG$7),COUNTIF('1.연간시수표'!H61,$BH$9),COUNTIF('1.연간시수표'!H61,$BH$7),COUNTIF('1.연간시수표'!H61,$BI$9),COUNTIF('1.연간시수표'!H61,$BI$7),COUNTIF('1.연간시수표'!H61,$BJ$9),COUNTIF('1.연간시수표'!H61,$BJ$7),COUNTIF('1.연간시수표'!H61,$BK$9),COUNTIF('1.연간시수표'!H61,$BK$7),COUNTIF('1.연간시수표'!H61,$BL$9),COUNTIF('1.연간시수표'!H61,$BL$7),COUNTIF('1.연간시수표'!H61,$BM$9),COUNTIF('1.연간시수표'!H61,$BM$7)),$BF$6,IF(OR(COUNTIF('1.연간시수표'!H61,$BO$9),COUNTIF('1.연간시수표'!H61,$BO$7)),$BO$6,IF(OR(COUNTIF('1.연간시수표'!H61,$BP$9),COUNTIF('1.연간시수표'!H61,$BP$7)),$BP$6,IF(OR(COUNTIF('1.연간시수표'!H61,$BQ$9),COUNTIF('1.연간시수표'!H61,$BQ$7)),$BQ$6,IF(OR(COUNTIF('1.연간시수표'!H61,$BR$9),COUNTIF('1.연간시수표'!H61,$BR$7)),$BR$6,"_")))))))))))))))</f>
        <v>영어</v>
      </c>
      <c r="I61" s="148" t="str">
        <f>IF(OR(COUNTIF('1.연간시수표'!I61,$AT$9),COUNTIF('1.연간시수표'!I61,$AT$7)),$AT$6,IF(OR(COUNTIF('1.연간시수표'!I61,$AU$9),COUNTIF('1.연간시수표'!I61,$AU$7)),$AU$6,IF(OR(COUNTIF('1.연간시수표'!I61,$AV$9),COUNTIF('1.연간시수표'!I61,$AV$7)),$AV$6,IF(OR(COUNTIF('1.연간시수표'!I61,$AW$9),COUNTIF('1.연간시수표'!I61,$AW$7)),$AW$6,IF(OR(COUNTIF('1.연간시수표'!I61,$AX$9),COUNTIF('1.연간시수표'!I61,$AX$7)),$AX$6,IF(OR(COUNTIF('1.연간시수표'!I61,$AY$9),COUNTIF('1.연간시수표'!I61,$AY$7)),$AY$6,IF(OR(COUNTIF('1.연간시수표'!I61,$AZ$9),COUNTIF('1.연간시수표'!I61,$AZ$7)),$AZ$6,IF(OR(COUNTIF('1.연간시수표'!I61,$BA$9),COUNTIF('1.연간시수표'!I61,$BA$7)),$BA$6,IF(OR(COUNTIF('1.연간시수표'!I61,$BB$9),COUNTIF('1.연간시수표'!I61,$BB$7)),$BB$6,IF(OR(COUNTIF('1.연간시수표'!I61,$BC$9),COUNTIF('1.연간시수표'!I61,$BC$7)),$BC$6,IF(OR(COUNTIF('1.연간시수표'!I61,$BF$9),COUNTIF('1.연간시수표'!I61,$BF$7),COUNTIF('1.연간시수표'!I61,$BG$9),COUNTIF('1.연간시수표'!I61,$BG$7),COUNTIF('1.연간시수표'!I61,$BH$9),COUNTIF('1.연간시수표'!I61,$BH$7),COUNTIF('1.연간시수표'!I61,$BI$9),COUNTIF('1.연간시수표'!I61,$BI$7),COUNTIF('1.연간시수표'!I61,$BJ$9),COUNTIF('1.연간시수표'!I61,$BJ$7),COUNTIF('1.연간시수표'!I61,$BK$9),COUNTIF('1.연간시수표'!I61,$BK$7),COUNTIF('1.연간시수표'!I61,$BL$9),COUNTIF('1.연간시수표'!I61,$BL$7),COUNTIF('1.연간시수표'!I61,$BM$9),COUNTIF('1.연간시수표'!I61,$BM$7)),$BF$6,IF(OR(COUNTIF('1.연간시수표'!I61,$BO$9),COUNTIF('1.연간시수표'!I61,$BO$7)),$BO$6,IF(OR(COUNTIF('1.연간시수표'!I61,$BP$9),COUNTIF('1.연간시수표'!I61,$BP$7)),$BP$6,IF(OR(COUNTIF('1.연간시수표'!I61,$BQ$9),COUNTIF('1.연간시수표'!I61,$BQ$7)),$BQ$6,IF(OR(COUNTIF('1.연간시수표'!I61,$BR$9),COUNTIF('1.연간시수표'!I61,$BR$7)),$BR$6,"_")))))))))))))))</f>
        <v>수학</v>
      </c>
      <c r="J61" s="148" t="str">
        <f>IF(OR(COUNTIF('1.연간시수표'!J61,$AT$9),COUNTIF('1.연간시수표'!J61,$AT$7)),$AT$6,IF(OR(COUNTIF('1.연간시수표'!J61,$AU$9),COUNTIF('1.연간시수표'!J61,$AU$7)),$AU$6,IF(OR(COUNTIF('1.연간시수표'!J61,$AV$9),COUNTIF('1.연간시수표'!J61,$AV$7)),$AV$6,IF(OR(COUNTIF('1.연간시수표'!J61,$AW$9),COUNTIF('1.연간시수표'!J61,$AW$7)),$AW$6,IF(OR(COUNTIF('1.연간시수표'!J61,$AX$9),COUNTIF('1.연간시수표'!J61,$AX$7)),$AX$6,IF(OR(COUNTIF('1.연간시수표'!J61,$AY$9),COUNTIF('1.연간시수표'!J61,$AY$7)),$AY$6,IF(OR(COUNTIF('1.연간시수표'!J61,$AZ$9),COUNTIF('1.연간시수표'!J61,$AZ$7)),$AZ$6,IF(OR(COUNTIF('1.연간시수표'!J61,$BA$9),COUNTIF('1.연간시수표'!J61,$BA$7)),$BA$6,IF(OR(COUNTIF('1.연간시수표'!J61,$BB$9),COUNTIF('1.연간시수표'!J61,$BB$7)),$BB$6,IF(OR(COUNTIF('1.연간시수표'!J61,$BC$9),COUNTIF('1.연간시수표'!J61,$BC$7)),$BC$6,IF(OR(COUNTIF('1.연간시수표'!J61,$BF$9),COUNTIF('1.연간시수표'!J61,$BF$7),COUNTIF('1.연간시수표'!J61,$BG$9),COUNTIF('1.연간시수표'!J61,$BG$7),COUNTIF('1.연간시수표'!J61,$BH$9),COUNTIF('1.연간시수표'!J61,$BH$7),COUNTIF('1.연간시수표'!J61,$BI$9),COUNTIF('1.연간시수표'!J61,$BI$7),COUNTIF('1.연간시수표'!J61,$BJ$9),COUNTIF('1.연간시수표'!J61,$BJ$7),COUNTIF('1.연간시수표'!J61,$BK$9),COUNTIF('1.연간시수표'!J61,$BK$7),COUNTIF('1.연간시수표'!J61,$BL$9),COUNTIF('1.연간시수표'!J61,$BL$7),COUNTIF('1.연간시수표'!J61,$BM$9),COUNTIF('1.연간시수표'!J61,$BM$7)),$BF$6,IF(OR(COUNTIF('1.연간시수표'!J61,$BO$9),COUNTIF('1.연간시수표'!J61,$BO$7)),$BO$6,IF(OR(COUNTIF('1.연간시수표'!J61,$BP$9),COUNTIF('1.연간시수표'!J61,$BP$7)),$BP$6,IF(OR(COUNTIF('1.연간시수표'!J61,$BQ$9),COUNTIF('1.연간시수표'!J61,$BQ$7)),$BQ$6,IF(OR(COUNTIF('1.연간시수표'!J61,$BR$9),COUNTIF('1.연간시수표'!J61,$BR$7)),$BR$6,"_")))))))))))))))</f>
        <v>자율활동</v>
      </c>
      <c r="K61" s="148" t="str">
        <f>IF(OR(COUNTIF('1.연간시수표'!K61,$AT$9),COUNTIF('1.연간시수표'!K61,$AT$7)),$AT$6,IF(OR(COUNTIF('1.연간시수표'!K61,$AU$9),COUNTIF('1.연간시수표'!K61,$AU$7)),$AU$6,IF(OR(COUNTIF('1.연간시수표'!K61,$AV$9),COUNTIF('1.연간시수표'!K61,$AV$7)),$AV$6,IF(OR(COUNTIF('1.연간시수표'!K61,$AW$9),COUNTIF('1.연간시수표'!K61,$AW$7)),$AW$6,IF(OR(COUNTIF('1.연간시수표'!K61,$AX$9),COUNTIF('1.연간시수표'!K61,$AX$7)),$AX$6,IF(OR(COUNTIF('1.연간시수표'!K61,$AY$9),COUNTIF('1.연간시수표'!K61,$AY$7)),$AY$6,IF(OR(COUNTIF('1.연간시수표'!K61,$AZ$9),COUNTIF('1.연간시수표'!K61,$AZ$7)),$AZ$6,IF(OR(COUNTIF('1.연간시수표'!K61,$BA$9),COUNTIF('1.연간시수표'!K61,$BA$7)),$BA$6,IF(OR(COUNTIF('1.연간시수표'!K61,$BB$9),COUNTIF('1.연간시수표'!K61,$BB$7)),$BB$6,IF(OR(COUNTIF('1.연간시수표'!K61,$BC$9),COUNTIF('1.연간시수표'!K61,$BC$7)),$BC$6,IF(OR(COUNTIF('1.연간시수표'!K61,$BF$9),COUNTIF('1.연간시수표'!K61,$BF$7),COUNTIF('1.연간시수표'!K61,$BG$9),COUNTIF('1.연간시수표'!K61,$BG$7),COUNTIF('1.연간시수표'!K61,$BH$9),COUNTIF('1.연간시수표'!K61,$BH$7),COUNTIF('1.연간시수표'!K61,$BI$9),COUNTIF('1.연간시수표'!K61,$BI$7),COUNTIF('1.연간시수표'!K61,$BJ$9),COUNTIF('1.연간시수표'!K61,$BJ$7),COUNTIF('1.연간시수표'!K61,$BK$9),COUNTIF('1.연간시수표'!K61,$BK$7),COUNTIF('1.연간시수표'!K61,$BL$9),COUNTIF('1.연간시수표'!K61,$BL$7),COUNTIF('1.연간시수표'!K61,$BM$9),COUNTIF('1.연간시수표'!K61,$BM$7)),$BF$6,IF(OR(COUNTIF('1.연간시수표'!K61,$BO$9),COUNTIF('1.연간시수표'!K61,$BO$7)),$BO$6,IF(OR(COUNTIF('1.연간시수표'!K61,$BP$9),COUNTIF('1.연간시수표'!K61,$BP$7)),$BP$6,IF(OR(COUNTIF('1.연간시수표'!K61,$BQ$9),COUNTIF('1.연간시수표'!K61,$BQ$7)),$BQ$6,IF(OR(COUNTIF('1.연간시수표'!K61,$BR$9),COUNTIF('1.연간시수표'!K61,$BR$7)),$BR$6,"_")))))))))))))))</f>
        <v>_</v>
      </c>
      <c r="L61" s="148" t="str">
        <f>IF(OR(COUNTIF('1.연간시수표'!L61,$AT$9),COUNTIF('1.연간시수표'!L61,$AT$7)),$AT$6,IF(OR(COUNTIF('1.연간시수표'!L61,$AU$9),COUNTIF('1.연간시수표'!L61,$AU$7)),$AU$6,IF(OR(COUNTIF('1.연간시수표'!L61,$AV$9),COUNTIF('1.연간시수표'!L61,$AV$7)),$AV$6,IF(OR(COUNTIF('1.연간시수표'!L61,$AW$9),COUNTIF('1.연간시수표'!L61,$AW$7)),$AW$6,IF(OR(COUNTIF('1.연간시수표'!L61,$AX$9),COUNTIF('1.연간시수표'!L61,$AX$7)),$AX$6,IF(OR(COUNTIF('1.연간시수표'!L61,$AY$9),COUNTIF('1.연간시수표'!L61,$AY$7)),$AY$6,IF(OR(COUNTIF('1.연간시수표'!L61,$AZ$9),COUNTIF('1.연간시수표'!L61,$AZ$7)),$AZ$6,IF(OR(COUNTIF('1.연간시수표'!L61,$BA$9),COUNTIF('1.연간시수표'!L61,$BA$7)),$BA$6,IF(OR(COUNTIF('1.연간시수표'!L61,$BB$9),COUNTIF('1.연간시수표'!L61,$BB$7)),$BB$6,IF(OR(COUNTIF('1.연간시수표'!L61,$BC$9),COUNTIF('1.연간시수표'!L61,$BC$7)),$BC$6,IF(OR(COUNTIF('1.연간시수표'!L61,$BF$9),COUNTIF('1.연간시수표'!L61,$BF$7),COUNTIF('1.연간시수표'!L61,$BG$9),COUNTIF('1.연간시수표'!L61,$BG$7),COUNTIF('1.연간시수표'!L61,$BH$9),COUNTIF('1.연간시수표'!L61,$BH$7),COUNTIF('1.연간시수표'!L61,$BI$9),COUNTIF('1.연간시수표'!L61,$BI$7),COUNTIF('1.연간시수표'!L61,$BJ$9),COUNTIF('1.연간시수표'!L61,$BJ$7),COUNTIF('1.연간시수표'!L61,$BK$9),COUNTIF('1.연간시수표'!L61,$BK$7),COUNTIF('1.연간시수표'!L61,$BL$9),COUNTIF('1.연간시수표'!L61,$BL$7),COUNTIF('1.연간시수표'!L61,$BM$9),COUNTIF('1.연간시수표'!L61,$BM$7)),$BF$6,IF(OR(COUNTIF('1.연간시수표'!L61,$BO$9),COUNTIF('1.연간시수표'!L61,$BO$7)),$BO$6,IF(OR(COUNTIF('1.연간시수표'!L61,$BP$9),COUNTIF('1.연간시수표'!L61,$BP$7)),$BP$6,IF(OR(COUNTIF('1.연간시수표'!L61,$BQ$9),COUNTIF('1.연간시수표'!L61,$BQ$7)),$BQ$6,IF(OR(COUNTIF('1.연간시수표'!L61,$BR$9),COUNTIF('1.연간시수표'!L61,$BR$7)),$BR$6,"_")))))))))))))))</f>
        <v>_</v>
      </c>
      <c r="M61" s="148" t="str">
        <f>IF(OR(COUNTIF('1.연간시수표'!M61,$AT$9),COUNTIF('1.연간시수표'!M61,$AT$7)),$AT$6,IF(OR(COUNTIF('1.연간시수표'!M61,$AU$9),COUNTIF('1.연간시수표'!M61,$AU$7)),$AU$6,IF(OR(COUNTIF('1.연간시수표'!M61,$AV$9),COUNTIF('1.연간시수표'!M61,$AV$7)),$AV$6,IF(OR(COUNTIF('1.연간시수표'!M61,$AW$9),COUNTIF('1.연간시수표'!M61,$AW$7)),$AW$6,IF(OR(COUNTIF('1.연간시수표'!M61,$AX$9),COUNTIF('1.연간시수표'!M61,$AX$7)),$AX$6,IF(OR(COUNTIF('1.연간시수표'!M61,$AY$9),COUNTIF('1.연간시수표'!M61,$AY$7)),$AY$6,IF(OR(COUNTIF('1.연간시수표'!M61,$AZ$9),COUNTIF('1.연간시수표'!M61,$AZ$7)),$AZ$6,IF(OR(COUNTIF('1.연간시수표'!M61,$BA$9),COUNTIF('1.연간시수표'!M61,$BA$7)),$BA$6,IF(OR(COUNTIF('1.연간시수표'!M61,$BB$9),COUNTIF('1.연간시수표'!M61,$BB$7)),$BB$6,IF(OR(COUNTIF('1.연간시수표'!M61,$BC$9),COUNTIF('1.연간시수표'!M61,$BC$7)),$BC$6,IF(OR(COUNTIF('1.연간시수표'!M61,$BF$9),COUNTIF('1.연간시수표'!M61,$BF$7),COUNTIF('1.연간시수표'!M61,$BG$9),COUNTIF('1.연간시수표'!M61,$BG$7),COUNTIF('1.연간시수표'!M61,$BH$9),COUNTIF('1.연간시수표'!M61,$BH$7),COUNTIF('1.연간시수표'!M61,$BI$9),COUNTIF('1.연간시수표'!M61,$BI$7),COUNTIF('1.연간시수표'!M61,$BJ$9),COUNTIF('1.연간시수표'!M61,$BJ$7),COUNTIF('1.연간시수표'!M61,$BK$9),COUNTIF('1.연간시수표'!M61,$BK$7),COUNTIF('1.연간시수표'!M61,$BL$9),COUNTIF('1.연간시수표'!M61,$BL$7),COUNTIF('1.연간시수표'!M61,$BM$9),COUNTIF('1.연간시수표'!M61,$BM$7)),$BF$6,IF(OR(COUNTIF('1.연간시수표'!M61,$BO$9),COUNTIF('1.연간시수표'!M61,$BO$7)),$BO$6,IF(OR(COUNTIF('1.연간시수표'!M61,$BP$9),COUNTIF('1.연간시수표'!M61,$BP$7)),$BP$6,IF(OR(COUNTIF('1.연간시수표'!M61,$BQ$9),COUNTIF('1.연간시수표'!M61,$BQ$7)),$BQ$6,IF(OR(COUNTIF('1.연간시수표'!M61,$BR$9),COUNTIF('1.연간시수표'!M61,$BR$7)),$BR$6,"_")))))))))))))))</f>
        <v>국어</v>
      </c>
      <c r="N61" s="148" t="str">
        <f>IF(OR(COUNTIF('1.연간시수표'!N61,$AT$9),COUNTIF('1.연간시수표'!N61,$AT$7)),$AT$6,IF(OR(COUNTIF('1.연간시수표'!N61,$AU$9),COUNTIF('1.연간시수표'!N61,$AU$7)),$AU$6,IF(OR(COUNTIF('1.연간시수표'!N61,$AV$9),COUNTIF('1.연간시수표'!N61,$AV$7)),$AV$6,IF(OR(COUNTIF('1.연간시수표'!N61,$AW$9),COUNTIF('1.연간시수표'!N61,$AW$7)),$AW$6,IF(OR(COUNTIF('1.연간시수표'!N61,$AX$9),COUNTIF('1.연간시수표'!N61,$AX$7)),$AX$6,IF(OR(COUNTIF('1.연간시수표'!N61,$AY$9),COUNTIF('1.연간시수표'!N61,$AY$7)),$AY$6,IF(OR(COUNTIF('1.연간시수표'!N61,$AZ$9),COUNTIF('1.연간시수표'!N61,$AZ$7)),$AZ$6,IF(OR(COUNTIF('1.연간시수표'!N61,$BA$9),COUNTIF('1.연간시수표'!N61,$BA$7)),$BA$6,IF(OR(COUNTIF('1.연간시수표'!N61,$BB$9),COUNTIF('1.연간시수표'!N61,$BB$7)),$BB$6,IF(OR(COUNTIF('1.연간시수표'!N61,$BC$9),COUNTIF('1.연간시수표'!N61,$BC$7)),$BC$6,IF(OR(COUNTIF('1.연간시수표'!N61,$BF$9),COUNTIF('1.연간시수표'!N61,$BF$7),COUNTIF('1.연간시수표'!N61,$BG$9),COUNTIF('1.연간시수표'!N61,$BG$7),COUNTIF('1.연간시수표'!N61,$BH$9),COUNTIF('1.연간시수표'!N61,$BH$7),COUNTIF('1.연간시수표'!N61,$BI$9),COUNTIF('1.연간시수표'!N61,$BI$7),COUNTIF('1.연간시수표'!N61,$BJ$9),COUNTIF('1.연간시수표'!N61,$BJ$7),COUNTIF('1.연간시수표'!N61,$BK$9),COUNTIF('1.연간시수표'!N61,$BK$7),COUNTIF('1.연간시수표'!N61,$BL$9),COUNTIF('1.연간시수표'!N61,$BL$7),COUNTIF('1.연간시수표'!N61,$BM$9),COUNTIF('1.연간시수표'!N61,$BM$7)),$BF$6,IF(OR(COUNTIF('1.연간시수표'!N61,$BO$9),COUNTIF('1.연간시수표'!N61,$BO$7)),$BO$6,IF(OR(COUNTIF('1.연간시수표'!N61,$BP$9),COUNTIF('1.연간시수표'!N61,$BP$7)),$BP$6,IF(OR(COUNTIF('1.연간시수표'!N61,$BQ$9),COUNTIF('1.연간시수표'!N61,$BQ$7)),$BQ$6,IF(OR(COUNTIF('1.연간시수표'!N61,$BR$9),COUNTIF('1.연간시수표'!N61,$BR$7)),$BR$6,"_")))))))))))))))</f>
        <v>국어</v>
      </c>
      <c r="O61" s="148" t="str">
        <f>IF(OR(COUNTIF('1.연간시수표'!O61,$AT$9),COUNTIF('1.연간시수표'!O61,$AT$7)),$AT$6,IF(OR(COUNTIF('1.연간시수표'!O61,$AU$9),COUNTIF('1.연간시수표'!O61,$AU$7)),$AU$6,IF(OR(COUNTIF('1.연간시수표'!O61,$AV$9),COUNTIF('1.연간시수표'!O61,$AV$7)),$AV$6,IF(OR(COUNTIF('1.연간시수표'!O61,$AW$9),COUNTIF('1.연간시수표'!O61,$AW$7)),$AW$6,IF(OR(COUNTIF('1.연간시수표'!O61,$AX$9),COUNTIF('1.연간시수표'!O61,$AX$7)),$AX$6,IF(OR(COUNTIF('1.연간시수표'!O61,$AY$9),COUNTIF('1.연간시수표'!O61,$AY$7)),$AY$6,IF(OR(COUNTIF('1.연간시수표'!O61,$AZ$9),COUNTIF('1.연간시수표'!O61,$AZ$7)),$AZ$6,IF(OR(COUNTIF('1.연간시수표'!O61,$BA$9),COUNTIF('1.연간시수표'!O61,$BA$7)),$BA$6,IF(OR(COUNTIF('1.연간시수표'!O61,$BB$9),COUNTIF('1.연간시수표'!O61,$BB$7)),$BB$6,IF(OR(COUNTIF('1.연간시수표'!O61,$BC$9),COUNTIF('1.연간시수표'!O61,$BC$7)),$BC$6,IF(OR(COUNTIF('1.연간시수표'!O61,$BF$9),COUNTIF('1.연간시수표'!O61,$BF$7),COUNTIF('1.연간시수표'!O61,$BG$9),COUNTIF('1.연간시수표'!O61,$BG$7),COUNTIF('1.연간시수표'!O61,$BH$9),COUNTIF('1.연간시수표'!O61,$BH$7),COUNTIF('1.연간시수표'!O61,$BI$9),COUNTIF('1.연간시수표'!O61,$BI$7),COUNTIF('1.연간시수표'!O61,$BJ$9),COUNTIF('1.연간시수표'!O61,$BJ$7),COUNTIF('1.연간시수표'!O61,$BK$9),COUNTIF('1.연간시수표'!O61,$BK$7),COUNTIF('1.연간시수표'!O61,$BL$9),COUNTIF('1.연간시수표'!O61,$BL$7),COUNTIF('1.연간시수표'!O61,$BM$9),COUNTIF('1.연간시수표'!O61,$BM$7)),$BF$6,IF(OR(COUNTIF('1.연간시수표'!O61,$BO$9),COUNTIF('1.연간시수표'!O61,$BO$7)),$BO$6,IF(OR(COUNTIF('1.연간시수표'!O61,$BP$9),COUNTIF('1.연간시수표'!O61,$BP$7)),$BP$6,IF(OR(COUNTIF('1.연간시수표'!O61,$BQ$9),COUNTIF('1.연간시수표'!O61,$BQ$7)),$BQ$6,IF(OR(COUNTIF('1.연간시수표'!O61,$BR$9),COUNTIF('1.연간시수표'!O61,$BR$7)),$BR$6,"_")))))))))))))))</f>
        <v>사회</v>
      </c>
      <c r="P61" s="148" t="str">
        <f>IF(OR(COUNTIF('1.연간시수표'!P61,$AT$9),COUNTIF('1.연간시수표'!P61,$AT$7)),$AT$6,IF(OR(COUNTIF('1.연간시수표'!P61,$AU$9),COUNTIF('1.연간시수표'!P61,$AU$7)),$AU$6,IF(OR(COUNTIF('1.연간시수표'!P61,$AV$9),COUNTIF('1.연간시수표'!P61,$AV$7)),$AV$6,IF(OR(COUNTIF('1.연간시수표'!P61,$AW$9),COUNTIF('1.연간시수표'!P61,$AW$7)),$AW$6,IF(OR(COUNTIF('1.연간시수표'!P61,$AX$9),COUNTIF('1.연간시수표'!P61,$AX$7)),$AX$6,IF(OR(COUNTIF('1.연간시수표'!P61,$AY$9),COUNTIF('1.연간시수표'!P61,$AY$7)),$AY$6,IF(OR(COUNTIF('1.연간시수표'!P61,$AZ$9),COUNTIF('1.연간시수표'!P61,$AZ$7)),$AZ$6,IF(OR(COUNTIF('1.연간시수표'!P61,$BA$9),COUNTIF('1.연간시수표'!P61,$BA$7)),$BA$6,IF(OR(COUNTIF('1.연간시수표'!P61,$BB$9),COUNTIF('1.연간시수표'!P61,$BB$7)),$BB$6,IF(OR(COUNTIF('1.연간시수표'!P61,$BC$9),COUNTIF('1.연간시수표'!P61,$BC$7)),$BC$6,IF(OR(COUNTIF('1.연간시수표'!P61,$BF$9),COUNTIF('1.연간시수표'!P61,$BF$7),COUNTIF('1.연간시수표'!P61,$BG$9),COUNTIF('1.연간시수표'!P61,$BG$7),COUNTIF('1.연간시수표'!P61,$BH$9),COUNTIF('1.연간시수표'!P61,$BH$7),COUNTIF('1.연간시수표'!P61,$BI$9),COUNTIF('1.연간시수표'!P61,$BI$7),COUNTIF('1.연간시수표'!P61,$BJ$9),COUNTIF('1.연간시수표'!P61,$BJ$7),COUNTIF('1.연간시수표'!P61,$BK$9),COUNTIF('1.연간시수표'!P61,$BK$7),COUNTIF('1.연간시수표'!P61,$BL$9),COUNTIF('1.연간시수표'!P61,$BL$7),COUNTIF('1.연간시수표'!P61,$BM$9),COUNTIF('1.연간시수표'!P61,$BM$7)),$BF$6,IF(OR(COUNTIF('1.연간시수표'!P61,$BO$9),COUNTIF('1.연간시수표'!P61,$BO$7)),$BO$6,IF(OR(COUNTIF('1.연간시수표'!P61,$BP$9),COUNTIF('1.연간시수표'!P61,$BP$7)),$BP$6,IF(OR(COUNTIF('1.연간시수표'!P61,$BQ$9),COUNTIF('1.연간시수표'!P61,$BQ$7)),$BQ$6,IF(OR(COUNTIF('1.연간시수표'!P61,$BR$9),COUNTIF('1.연간시수표'!P61,$BR$7)),$BR$6,"_")))))))))))))))</f>
        <v>수학</v>
      </c>
      <c r="Q61" s="148" t="str">
        <f>IF(OR(COUNTIF('1.연간시수표'!Q61,$AT$9),COUNTIF('1.연간시수표'!Q61,$AT$7)),$AT$6,IF(OR(COUNTIF('1.연간시수표'!Q61,$AU$9),COUNTIF('1.연간시수표'!Q61,$AU$7)),$AU$6,IF(OR(COUNTIF('1.연간시수표'!Q61,$AV$9),COUNTIF('1.연간시수표'!Q61,$AV$7)),$AV$6,IF(OR(COUNTIF('1.연간시수표'!Q61,$AW$9),COUNTIF('1.연간시수표'!Q61,$AW$7)),$AW$6,IF(OR(COUNTIF('1.연간시수표'!Q61,$AX$9),COUNTIF('1.연간시수표'!Q61,$AX$7)),$AX$6,IF(OR(COUNTIF('1.연간시수표'!Q61,$AY$9),COUNTIF('1.연간시수표'!Q61,$AY$7)),$AY$6,IF(OR(COUNTIF('1.연간시수표'!Q61,$AZ$9),COUNTIF('1.연간시수표'!Q61,$AZ$7)),$AZ$6,IF(OR(COUNTIF('1.연간시수표'!Q61,$BA$9),COUNTIF('1.연간시수표'!Q61,$BA$7)),$BA$6,IF(OR(COUNTIF('1.연간시수표'!Q61,$BB$9),COUNTIF('1.연간시수표'!Q61,$BB$7)),$BB$6,IF(OR(COUNTIF('1.연간시수표'!Q61,$BC$9),COUNTIF('1.연간시수표'!Q61,$BC$7)),$BC$6,IF(OR(COUNTIF('1.연간시수표'!Q61,$BF$9),COUNTIF('1.연간시수표'!Q61,$BF$7),COUNTIF('1.연간시수표'!Q61,$BG$9),COUNTIF('1.연간시수표'!Q61,$BG$7),COUNTIF('1.연간시수표'!Q61,$BH$9),COUNTIF('1.연간시수표'!Q61,$BH$7),COUNTIF('1.연간시수표'!Q61,$BI$9),COUNTIF('1.연간시수표'!Q61,$BI$7),COUNTIF('1.연간시수표'!Q61,$BJ$9),COUNTIF('1.연간시수표'!Q61,$BJ$7),COUNTIF('1.연간시수표'!Q61,$BK$9),COUNTIF('1.연간시수표'!Q61,$BK$7),COUNTIF('1.연간시수표'!Q61,$BL$9),COUNTIF('1.연간시수표'!Q61,$BL$7),COUNTIF('1.연간시수표'!Q61,$BM$9),COUNTIF('1.연간시수표'!Q61,$BM$7)),$BF$6,IF(OR(COUNTIF('1.연간시수표'!Q61,$BO$9),COUNTIF('1.연간시수표'!Q61,$BO$7)),$BO$6,IF(OR(COUNTIF('1.연간시수표'!Q61,$BP$9),COUNTIF('1.연간시수표'!Q61,$BP$7)),$BP$6,IF(OR(COUNTIF('1.연간시수표'!Q61,$BQ$9),COUNTIF('1.연간시수표'!Q61,$BQ$7)),$BQ$6,IF(OR(COUNTIF('1.연간시수표'!Q61,$BR$9),COUNTIF('1.연간시수표'!Q61,$BR$7)),$BR$6,"_")))))))))))))))</f>
        <v>과학</v>
      </c>
      <c r="R61" s="148" t="str">
        <f>IF(OR(COUNTIF('1.연간시수표'!R61,$AT$9),COUNTIF('1.연간시수표'!R61,$AT$7)),$AT$6,IF(OR(COUNTIF('1.연간시수표'!R61,$AU$9),COUNTIF('1.연간시수표'!R61,$AU$7)),$AU$6,IF(OR(COUNTIF('1.연간시수표'!R61,$AV$9),COUNTIF('1.연간시수표'!R61,$AV$7)),$AV$6,IF(OR(COUNTIF('1.연간시수표'!R61,$AW$9),COUNTIF('1.연간시수표'!R61,$AW$7)),$AW$6,IF(OR(COUNTIF('1.연간시수표'!R61,$AX$9),COUNTIF('1.연간시수표'!R61,$AX$7)),$AX$6,IF(OR(COUNTIF('1.연간시수표'!R61,$AY$9),COUNTIF('1.연간시수표'!R61,$AY$7)),$AY$6,IF(OR(COUNTIF('1.연간시수표'!R61,$AZ$9),COUNTIF('1.연간시수표'!R61,$AZ$7)),$AZ$6,IF(OR(COUNTIF('1.연간시수표'!R61,$BA$9),COUNTIF('1.연간시수표'!R61,$BA$7)),$BA$6,IF(OR(COUNTIF('1.연간시수표'!R61,$BB$9),COUNTIF('1.연간시수표'!R61,$BB$7)),$BB$6,IF(OR(COUNTIF('1.연간시수표'!R61,$BC$9),COUNTIF('1.연간시수표'!R61,$BC$7)),$BC$6,IF(OR(COUNTIF('1.연간시수표'!R61,$BF$9),COUNTIF('1.연간시수표'!R61,$BF$7),COUNTIF('1.연간시수표'!R61,$BG$9),COUNTIF('1.연간시수표'!R61,$BG$7),COUNTIF('1.연간시수표'!R61,$BH$9),COUNTIF('1.연간시수표'!R61,$BH$7),COUNTIF('1.연간시수표'!R61,$BI$9),COUNTIF('1.연간시수표'!R61,$BI$7),COUNTIF('1.연간시수표'!R61,$BJ$9),COUNTIF('1.연간시수표'!R61,$BJ$7),COUNTIF('1.연간시수표'!R61,$BK$9),COUNTIF('1.연간시수표'!R61,$BK$7),COUNTIF('1.연간시수표'!R61,$BL$9),COUNTIF('1.연간시수표'!R61,$BL$7),COUNTIF('1.연간시수표'!R61,$BM$9),COUNTIF('1.연간시수표'!R61,$BM$7)),$BF$6,IF(OR(COUNTIF('1.연간시수표'!R61,$BO$9),COUNTIF('1.연간시수표'!R61,$BO$7)),$BO$6,IF(OR(COUNTIF('1.연간시수표'!R61,$BP$9),COUNTIF('1.연간시수표'!R61,$BP$7)),$BP$6,IF(OR(COUNTIF('1.연간시수표'!R61,$BQ$9),COUNTIF('1.연간시수표'!R61,$BQ$7)),$BQ$6,IF(OR(COUNTIF('1.연간시수표'!R61,$BR$9),COUNTIF('1.연간시수표'!R61,$BR$7)),$BR$6,"_")))))))))))))))</f>
        <v>실과</v>
      </c>
      <c r="S61" s="148" t="str">
        <f>IF(OR(COUNTIF('1.연간시수표'!S61,$AT$9),COUNTIF('1.연간시수표'!S61,$AT$7)),$AT$6,IF(OR(COUNTIF('1.연간시수표'!S61,$AU$9),COUNTIF('1.연간시수표'!S61,$AU$7)),$AU$6,IF(OR(COUNTIF('1.연간시수표'!S61,$AV$9),COUNTIF('1.연간시수표'!S61,$AV$7)),$AV$6,IF(OR(COUNTIF('1.연간시수표'!S61,$AW$9),COUNTIF('1.연간시수표'!S61,$AW$7)),$AW$6,IF(OR(COUNTIF('1.연간시수표'!S61,$AX$9),COUNTIF('1.연간시수표'!S61,$AX$7)),$AX$6,IF(OR(COUNTIF('1.연간시수표'!S61,$AY$9),COUNTIF('1.연간시수표'!S61,$AY$7)),$AY$6,IF(OR(COUNTIF('1.연간시수표'!S61,$AZ$9),COUNTIF('1.연간시수표'!S61,$AZ$7)),$AZ$6,IF(OR(COUNTIF('1.연간시수표'!S61,$BA$9),COUNTIF('1.연간시수표'!S61,$BA$7)),$BA$6,IF(OR(COUNTIF('1.연간시수표'!S61,$BB$9),COUNTIF('1.연간시수표'!S61,$BB$7)),$BB$6,IF(OR(COUNTIF('1.연간시수표'!S61,$BC$9),COUNTIF('1.연간시수표'!S61,$BC$7)),$BC$6,IF(OR(COUNTIF('1.연간시수표'!S61,$BF$9),COUNTIF('1.연간시수표'!S61,$BF$7),COUNTIF('1.연간시수표'!S61,$BG$9),COUNTIF('1.연간시수표'!S61,$BG$7),COUNTIF('1.연간시수표'!S61,$BH$9),COUNTIF('1.연간시수표'!S61,$BH$7),COUNTIF('1.연간시수표'!S61,$BI$9),COUNTIF('1.연간시수표'!S61,$BI$7),COUNTIF('1.연간시수표'!S61,$BJ$9),COUNTIF('1.연간시수표'!S61,$BJ$7),COUNTIF('1.연간시수표'!S61,$BK$9),COUNTIF('1.연간시수표'!S61,$BK$7),COUNTIF('1.연간시수표'!S61,$BL$9),COUNTIF('1.연간시수표'!S61,$BL$7),COUNTIF('1.연간시수표'!S61,$BM$9),COUNTIF('1.연간시수표'!S61,$BM$7)),$BF$6,IF(OR(COUNTIF('1.연간시수표'!S61,$BO$9),COUNTIF('1.연간시수표'!S61,$BO$7)),$BO$6,IF(OR(COUNTIF('1.연간시수표'!S61,$BP$9),COUNTIF('1.연간시수표'!S61,$BP$7)),$BP$6,IF(OR(COUNTIF('1.연간시수표'!S61,$BQ$9),COUNTIF('1.연간시수표'!S61,$BQ$7)),$BQ$6,IF(OR(COUNTIF('1.연간시수표'!S61,$BR$9),COUNTIF('1.연간시수표'!S61,$BR$7)),$BR$6,"_")))))))))))))))</f>
        <v>_</v>
      </c>
      <c r="T61" s="148" t="str">
        <f>IF(OR(COUNTIF('1.연간시수표'!T61,$AT$9),COUNTIF('1.연간시수표'!T61,$AT$7)),$AT$6,IF(OR(COUNTIF('1.연간시수표'!T61,$AU$9),COUNTIF('1.연간시수표'!T61,$AU$7)),$AU$6,IF(OR(COUNTIF('1.연간시수표'!T61,$AV$9),COUNTIF('1.연간시수표'!T61,$AV$7)),$AV$6,IF(OR(COUNTIF('1.연간시수표'!T61,$AW$9),COUNTIF('1.연간시수표'!T61,$AW$7)),$AW$6,IF(OR(COUNTIF('1.연간시수표'!T61,$AX$9),COUNTIF('1.연간시수표'!T61,$AX$7)),$AX$6,IF(OR(COUNTIF('1.연간시수표'!T61,$AY$9),COUNTIF('1.연간시수표'!T61,$AY$7)),$AY$6,IF(OR(COUNTIF('1.연간시수표'!T61,$AZ$9),COUNTIF('1.연간시수표'!T61,$AZ$7)),$AZ$6,IF(OR(COUNTIF('1.연간시수표'!T61,$BA$9),COUNTIF('1.연간시수표'!T61,$BA$7)),$BA$6,IF(OR(COUNTIF('1.연간시수표'!T61,$BB$9),COUNTIF('1.연간시수표'!T61,$BB$7)),$BB$6,IF(OR(COUNTIF('1.연간시수표'!T61,$BC$9),COUNTIF('1.연간시수표'!T61,$BC$7)),$BC$6,IF(OR(COUNTIF('1.연간시수표'!T61,$BF$9),COUNTIF('1.연간시수표'!T61,$BF$7),COUNTIF('1.연간시수표'!T61,$BG$9),COUNTIF('1.연간시수표'!T61,$BG$7),COUNTIF('1.연간시수표'!T61,$BH$9),COUNTIF('1.연간시수표'!T61,$BH$7),COUNTIF('1.연간시수표'!T61,$BI$9),COUNTIF('1.연간시수표'!T61,$BI$7),COUNTIF('1.연간시수표'!T61,$BJ$9),COUNTIF('1.연간시수표'!T61,$BJ$7),COUNTIF('1.연간시수표'!T61,$BK$9),COUNTIF('1.연간시수표'!T61,$BK$7),COUNTIF('1.연간시수표'!T61,$BL$9),COUNTIF('1.연간시수표'!T61,$BL$7),COUNTIF('1.연간시수표'!T61,$BM$9),COUNTIF('1.연간시수표'!T61,$BM$7)),$BF$6,IF(OR(COUNTIF('1.연간시수표'!T61,$BO$9),COUNTIF('1.연간시수표'!T61,$BO$7)),$BO$6,IF(OR(COUNTIF('1.연간시수표'!T61,$BP$9),COUNTIF('1.연간시수표'!T61,$BP$7)),$BP$6,IF(OR(COUNTIF('1.연간시수표'!T61,$BQ$9),COUNTIF('1.연간시수표'!T61,$BQ$7)),$BQ$6,IF(OR(COUNTIF('1.연간시수표'!T61,$BR$9),COUNTIF('1.연간시수표'!T61,$BR$7)),$BR$6,"_")))))))))))))))</f>
        <v>_</v>
      </c>
      <c r="U61" s="148" t="str">
        <f>IF(OR(COUNTIF('1.연간시수표'!U61,$AT$9),COUNTIF('1.연간시수표'!U61,$AT$7)),$AT$6,IF(OR(COUNTIF('1.연간시수표'!U61,$AU$9),COUNTIF('1.연간시수표'!U61,$AU$7)),$AU$6,IF(OR(COUNTIF('1.연간시수표'!U61,$AV$9),COUNTIF('1.연간시수표'!U61,$AV$7)),$AV$6,IF(OR(COUNTIF('1.연간시수표'!U61,$AW$9),COUNTIF('1.연간시수표'!U61,$AW$7)),$AW$6,IF(OR(COUNTIF('1.연간시수표'!U61,$AX$9),COUNTIF('1.연간시수표'!U61,$AX$7)),$AX$6,IF(OR(COUNTIF('1.연간시수표'!U61,$AY$9),COUNTIF('1.연간시수표'!U61,$AY$7)),$AY$6,IF(OR(COUNTIF('1.연간시수표'!U61,$AZ$9),COUNTIF('1.연간시수표'!U61,$AZ$7)),$AZ$6,IF(OR(COUNTIF('1.연간시수표'!U61,$BA$9),COUNTIF('1.연간시수표'!U61,$BA$7)),$BA$6,IF(OR(COUNTIF('1.연간시수표'!U61,$BB$9),COUNTIF('1.연간시수표'!U61,$BB$7)),$BB$6,IF(OR(COUNTIF('1.연간시수표'!U61,$BC$9),COUNTIF('1.연간시수표'!U61,$BC$7)),$BC$6,IF(OR(COUNTIF('1.연간시수표'!U61,$BF$9),COUNTIF('1.연간시수표'!U61,$BF$7),COUNTIF('1.연간시수표'!U61,$BG$9),COUNTIF('1.연간시수표'!U61,$BG$7),COUNTIF('1.연간시수표'!U61,$BH$9),COUNTIF('1.연간시수표'!U61,$BH$7),COUNTIF('1.연간시수표'!U61,$BI$9),COUNTIF('1.연간시수표'!U61,$BI$7),COUNTIF('1.연간시수표'!U61,$BJ$9),COUNTIF('1.연간시수표'!U61,$BJ$7),COUNTIF('1.연간시수표'!U61,$BK$9),COUNTIF('1.연간시수표'!U61,$BK$7),COUNTIF('1.연간시수표'!U61,$BL$9),COUNTIF('1.연간시수표'!U61,$BL$7),COUNTIF('1.연간시수표'!U61,$BM$9),COUNTIF('1.연간시수표'!U61,$BM$7)),$BF$6,IF(OR(COUNTIF('1.연간시수표'!U61,$BO$9),COUNTIF('1.연간시수표'!U61,$BO$7)),$BO$6,IF(OR(COUNTIF('1.연간시수표'!U61,$BP$9),COUNTIF('1.연간시수표'!U61,$BP$7)),$BP$6,IF(OR(COUNTIF('1.연간시수표'!U61,$BQ$9),COUNTIF('1.연간시수표'!U61,$BQ$7)),$BQ$6,IF(OR(COUNTIF('1.연간시수표'!U61,$BR$9),COUNTIF('1.연간시수표'!U61,$BR$7)),$BR$6,"_")))))))))))))))</f>
        <v>영어</v>
      </c>
      <c r="V61" s="148" t="str">
        <f>IF(OR(COUNTIF('1.연간시수표'!V61,$AT$9),COUNTIF('1.연간시수표'!V61,$AT$7)),$AT$6,IF(OR(COUNTIF('1.연간시수표'!V61,$AU$9),COUNTIF('1.연간시수표'!V61,$AU$7)),$AU$6,IF(OR(COUNTIF('1.연간시수표'!V61,$AV$9),COUNTIF('1.연간시수표'!V61,$AV$7)),$AV$6,IF(OR(COUNTIF('1.연간시수표'!V61,$AW$9),COUNTIF('1.연간시수표'!V61,$AW$7)),$AW$6,IF(OR(COUNTIF('1.연간시수표'!V61,$AX$9),COUNTIF('1.연간시수표'!V61,$AX$7)),$AX$6,IF(OR(COUNTIF('1.연간시수표'!V61,$AY$9),COUNTIF('1.연간시수표'!V61,$AY$7)),$AY$6,IF(OR(COUNTIF('1.연간시수표'!V61,$AZ$9),COUNTIF('1.연간시수표'!V61,$AZ$7)),$AZ$6,IF(OR(COUNTIF('1.연간시수표'!V61,$BA$9),COUNTIF('1.연간시수표'!V61,$BA$7)),$BA$6,IF(OR(COUNTIF('1.연간시수표'!V61,$BB$9),COUNTIF('1.연간시수표'!V61,$BB$7)),$BB$6,IF(OR(COUNTIF('1.연간시수표'!V61,$BC$9),COUNTIF('1.연간시수표'!V61,$BC$7)),$BC$6,IF(OR(COUNTIF('1.연간시수표'!V61,$BF$9),COUNTIF('1.연간시수표'!V61,$BF$7),COUNTIF('1.연간시수표'!V61,$BG$9),COUNTIF('1.연간시수표'!V61,$BG$7),COUNTIF('1.연간시수표'!V61,$BH$9),COUNTIF('1.연간시수표'!V61,$BH$7),COUNTIF('1.연간시수표'!V61,$BI$9),COUNTIF('1.연간시수표'!V61,$BI$7),COUNTIF('1.연간시수표'!V61,$BJ$9),COUNTIF('1.연간시수표'!V61,$BJ$7),COUNTIF('1.연간시수표'!V61,$BK$9),COUNTIF('1.연간시수표'!V61,$BK$7),COUNTIF('1.연간시수표'!V61,$BL$9),COUNTIF('1.연간시수표'!V61,$BL$7),COUNTIF('1.연간시수표'!V61,$BM$9),COUNTIF('1.연간시수표'!V61,$BM$7)),$BF$6,IF(OR(COUNTIF('1.연간시수표'!V61,$BO$9),COUNTIF('1.연간시수표'!V61,$BO$7)),$BO$6,IF(OR(COUNTIF('1.연간시수표'!V61,$BP$9),COUNTIF('1.연간시수표'!V61,$BP$7)),$BP$6,IF(OR(COUNTIF('1.연간시수표'!V61,$BQ$9),COUNTIF('1.연간시수표'!V61,$BQ$7)),$BQ$6,IF(OR(COUNTIF('1.연간시수표'!V61,$BR$9),COUNTIF('1.연간시수표'!V61,$BR$7)),$BR$6,"_")))))))))))))))</f>
        <v>과학</v>
      </c>
      <c r="W61" s="148" t="str">
        <f>IF(OR(COUNTIF('1.연간시수표'!W61,$AT$9),COUNTIF('1.연간시수표'!W61,$AT$7)),$AT$6,IF(OR(COUNTIF('1.연간시수표'!W61,$AU$9),COUNTIF('1.연간시수표'!W61,$AU$7)),$AU$6,IF(OR(COUNTIF('1.연간시수표'!W61,$AV$9),COUNTIF('1.연간시수표'!W61,$AV$7)),$AV$6,IF(OR(COUNTIF('1.연간시수표'!W61,$AW$9),COUNTIF('1.연간시수표'!W61,$AW$7)),$AW$6,IF(OR(COUNTIF('1.연간시수표'!W61,$AX$9),COUNTIF('1.연간시수표'!W61,$AX$7)),$AX$6,IF(OR(COUNTIF('1.연간시수표'!W61,$AY$9),COUNTIF('1.연간시수표'!W61,$AY$7)),$AY$6,IF(OR(COUNTIF('1.연간시수표'!W61,$AZ$9),COUNTIF('1.연간시수표'!W61,$AZ$7)),$AZ$6,IF(OR(COUNTIF('1.연간시수표'!W61,$BA$9),COUNTIF('1.연간시수표'!W61,$BA$7)),$BA$6,IF(OR(COUNTIF('1.연간시수표'!W61,$BB$9),COUNTIF('1.연간시수표'!W61,$BB$7)),$BB$6,IF(OR(COUNTIF('1.연간시수표'!W61,$BC$9),COUNTIF('1.연간시수표'!W61,$BC$7)),$BC$6,IF(OR(COUNTIF('1.연간시수표'!W61,$BF$9),COUNTIF('1.연간시수표'!W61,$BF$7),COUNTIF('1.연간시수표'!W61,$BG$9),COUNTIF('1.연간시수표'!W61,$BG$7),COUNTIF('1.연간시수표'!W61,$BH$9),COUNTIF('1.연간시수표'!W61,$BH$7),COUNTIF('1.연간시수표'!W61,$BI$9),COUNTIF('1.연간시수표'!W61,$BI$7),COUNTIF('1.연간시수표'!W61,$BJ$9),COUNTIF('1.연간시수표'!W61,$BJ$7),COUNTIF('1.연간시수표'!W61,$BK$9),COUNTIF('1.연간시수표'!W61,$BK$7),COUNTIF('1.연간시수표'!W61,$BL$9),COUNTIF('1.연간시수표'!W61,$BL$7),COUNTIF('1.연간시수표'!W61,$BM$9),COUNTIF('1.연간시수표'!W61,$BM$7)),$BF$6,IF(OR(COUNTIF('1.연간시수표'!W61,$BO$9),COUNTIF('1.연간시수표'!W61,$BO$7)),$BO$6,IF(OR(COUNTIF('1.연간시수표'!W61,$BP$9),COUNTIF('1.연간시수표'!W61,$BP$7)),$BP$6,IF(OR(COUNTIF('1.연간시수표'!W61,$BQ$9),COUNTIF('1.연간시수표'!W61,$BQ$7)),$BQ$6,IF(OR(COUNTIF('1.연간시수표'!W61,$BR$9),COUNTIF('1.연간시수표'!W61,$BR$7)),$BR$6,"_")))))))))))))))</f>
        <v>체육</v>
      </c>
      <c r="X61" s="148" t="str">
        <f>IF(OR(COUNTIF('1.연간시수표'!X61,$AT$9),COUNTIF('1.연간시수표'!X61,$AT$7)),$AT$6,IF(OR(COUNTIF('1.연간시수표'!X61,$AU$9),COUNTIF('1.연간시수표'!X61,$AU$7)),$AU$6,IF(OR(COUNTIF('1.연간시수표'!X61,$AV$9),COUNTIF('1.연간시수표'!X61,$AV$7)),$AV$6,IF(OR(COUNTIF('1.연간시수표'!X61,$AW$9),COUNTIF('1.연간시수표'!X61,$AW$7)),$AW$6,IF(OR(COUNTIF('1.연간시수표'!X61,$AX$9),COUNTIF('1.연간시수표'!X61,$AX$7)),$AX$6,IF(OR(COUNTIF('1.연간시수표'!X61,$AY$9),COUNTIF('1.연간시수표'!X61,$AY$7)),$AY$6,IF(OR(COUNTIF('1.연간시수표'!X61,$AZ$9),COUNTIF('1.연간시수표'!X61,$AZ$7)),$AZ$6,IF(OR(COUNTIF('1.연간시수표'!X61,$BA$9),COUNTIF('1.연간시수표'!X61,$BA$7)),$BA$6,IF(OR(COUNTIF('1.연간시수표'!X61,$BB$9),COUNTIF('1.연간시수표'!X61,$BB$7)),$BB$6,IF(OR(COUNTIF('1.연간시수표'!X61,$BC$9),COUNTIF('1.연간시수표'!X61,$BC$7)),$BC$6,IF(OR(COUNTIF('1.연간시수표'!X61,$BF$9),COUNTIF('1.연간시수표'!X61,$BF$7),COUNTIF('1.연간시수표'!X61,$BG$9),COUNTIF('1.연간시수표'!X61,$BG$7),COUNTIF('1.연간시수표'!X61,$BH$9),COUNTIF('1.연간시수표'!X61,$BH$7),COUNTIF('1.연간시수표'!X61,$BI$9),COUNTIF('1.연간시수표'!X61,$BI$7),COUNTIF('1.연간시수표'!X61,$BJ$9),COUNTIF('1.연간시수표'!X61,$BJ$7),COUNTIF('1.연간시수표'!X61,$BK$9),COUNTIF('1.연간시수표'!X61,$BK$7),COUNTIF('1.연간시수표'!X61,$BL$9),COUNTIF('1.연간시수표'!X61,$BL$7),COUNTIF('1.연간시수표'!X61,$BM$9),COUNTIF('1.연간시수표'!X61,$BM$7)),$BF$6,IF(OR(COUNTIF('1.연간시수표'!X61,$BO$9),COUNTIF('1.연간시수표'!X61,$BO$7)),$BO$6,IF(OR(COUNTIF('1.연간시수표'!X61,$BP$9),COUNTIF('1.연간시수표'!X61,$BP$7)),$BP$6,IF(OR(COUNTIF('1.연간시수표'!X61,$BQ$9),COUNTIF('1.연간시수표'!X61,$BQ$7)),$BQ$6,IF(OR(COUNTIF('1.연간시수표'!X61,$BR$9),COUNTIF('1.연간시수표'!X61,$BR$7)),$BR$6,"_")))))))))))))))</f>
        <v>음악</v>
      </c>
      <c r="Y61" s="148" t="str">
        <f>IF(OR(COUNTIF('1.연간시수표'!Y61,$AT$9),COUNTIF('1.연간시수표'!Y61,$AT$7)),$AT$6,IF(OR(COUNTIF('1.연간시수표'!Y61,$AU$9),COUNTIF('1.연간시수표'!Y61,$AU$7)),$AU$6,IF(OR(COUNTIF('1.연간시수표'!Y61,$AV$9),COUNTIF('1.연간시수표'!Y61,$AV$7)),$AV$6,IF(OR(COUNTIF('1.연간시수표'!Y61,$AW$9),COUNTIF('1.연간시수표'!Y61,$AW$7)),$AW$6,IF(OR(COUNTIF('1.연간시수표'!Y61,$AX$9),COUNTIF('1.연간시수표'!Y61,$AX$7)),$AX$6,IF(OR(COUNTIF('1.연간시수표'!Y61,$AY$9),COUNTIF('1.연간시수표'!Y61,$AY$7)),$AY$6,IF(OR(COUNTIF('1.연간시수표'!Y61,$AZ$9),COUNTIF('1.연간시수표'!Y61,$AZ$7)),$AZ$6,IF(OR(COUNTIF('1.연간시수표'!Y61,$BA$9),COUNTIF('1.연간시수표'!Y61,$BA$7)),$BA$6,IF(OR(COUNTIF('1.연간시수표'!Y61,$BB$9),COUNTIF('1.연간시수표'!Y61,$BB$7)),$BB$6,IF(OR(COUNTIF('1.연간시수표'!Y61,$BC$9),COUNTIF('1.연간시수표'!Y61,$BC$7)),$BC$6,IF(OR(COUNTIF('1.연간시수표'!Y61,$BF$9),COUNTIF('1.연간시수표'!Y61,$BF$7),COUNTIF('1.연간시수표'!Y61,$BG$9),COUNTIF('1.연간시수표'!Y61,$BG$7),COUNTIF('1.연간시수표'!Y61,$BH$9),COUNTIF('1.연간시수표'!Y61,$BH$7),COUNTIF('1.연간시수표'!Y61,$BI$9),COUNTIF('1.연간시수표'!Y61,$BI$7),COUNTIF('1.연간시수표'!Y61,$BJ$9),COUNTIF('1.연간시수표'!Y61,$BJ$7),COUNTIF('1.연간시수표'!Y61,$BK$9),COUNTIF('1.연간시수표'!Y61,$BK$7),COUNTIF('1.연간시수표'!Y61,$BL$9),COUNTIF('1.연간시수표'!Y61,$BL$7),COUNTIF('1.연간시수표'!Y61,$BM$9),COUNTIF('1.연간시수표'!Y61,$BM$7)),$BF$6,IF(OR(COUNTIF('1.연간시수표'!Y61,$BO$9),COUNTIF('1.연간시수표'!Y61,$BO$7)),$BO$6,IF(OR(COUNTIF('1.연간시수표'!Y61,$BP$9),COUNTIF('1.연간시수표'!Y61,$BP$7)),$BP$6,IF(OR(COUNTIF('1.연간시수표'!Y61,$BQ$9),COUNTIF('1.연간시수표'!Y61,$BQ$7)),$BQ$6,IF(OR(COUNTIF('1.연간시수표'!Y61,$BR$9),COUNTIF('1.연간시수표'!Y61,$BR$7)),$BR$6,"_")))))))))))))))</f>
        <v>도덕</v>
      </c>
      <c r="Z61" s="148" t="str">
        <f>IF(OR(COUNTIF('1.연간시수표'!Z61,$AT$9),COUNTIF('1.연간시수표'!Z61,$AT$7)),$AT$6,IF(OR(COUNTIF('1.연간시수표'!Z61,$AU$9),COUNTIF('1.연간시수표'!Z61,$AU$7)),$AU$6,IF(OR(COUNTIF('1.연간시수표'!Z61,$AV$9),COUNTIF('1.연간시수표'!Z61,$AV$7)),$AV$6,IF(OR(COUNTIF('1.연간시수표'!Z61,$AW$9),COUNTIF('1.연간시수표'!Z61,$AW$7)),$AW$6,IF(OR(COUNTIF('1.연간시수표'!Z61,$AX$9),COUNTIF('1.연간시수표'!Z61,$AX$7)),$AX$6,IF(OR(COUNTIF('1.연간시수표'!Z61,$AY$9),COUNTIF('1.연간시수표'!Z61,$AY$7)),$AY$6,IF(OR(COUNTIF('1.연간시수표'!Z61,$AZ$9),COUNTIF('1.연간시수표'!Z61,$AZ$7)),$AZ$6,IF(OR(COUNTIF('1.연간시수표'!Z61,$BA$9),COUNTIF('1.연간시수표'!Z61,$BA$7)),$BA$6,IF(OR(COUNTIF('1.연간시수표'!Z61,$BB$9),COUNTIF('1.연간시수표'!Z61,$BB$7)),$BB$6,IF(OR(COUNTIF('1.연간시수표'!Z61,$BC$9),COUNTIF('1.연간시수표'!Z61,$BC$7)),$BC$6,IF(OR(COUNTIF('1.연간시수표'!Z61,$BF$9),COUNTIF('1.연간시수표'!Z61,$BF$7),COUNTIF('1.연간시수표'!Z61,$BG$9),COUNTIF('1.연간시수표'!Z61,$BG$7),COUNTIF('1.연간시수표'!Z61,$BH$9),COUNTIF('1.연간시수표'!Z61,$BH$7),COUNTIF('1.연간시수표'!Z61,$BI$9),COUNTIF('1.연간시수표'!Z61,$BI$7),COUNTIF('1.연간시수표'!Z61,$BJ$9),COUNTIF('1.연간시수표'!Z61,$BJ$7),COUNTIF('1.연간시수표'!Z61,$BK$9),COUNTIF('1.연간시수표'!Z61,$BK$7),COUNTIF('1.연간시수표'!Z61,$BL$9),COUNTIF('1.연간시수표'!Z61,$BL$7),COUNTIF('1.연간시수표'!Z61,$BM$9),COUNTIF('1.연간시수표'!Z61,$BM$7)),$BF$6,IF(OR(COUNTIF('1.연간시수표'!Z61,$BO$9),COUNTIF('1.연간시수표'!Z61,$BO$7)),$BO$6,IF(OR(COUNTIF('1.연간시수표'!Z61,$BP$9),COUNTIF('1.연간시수표'!Z61,$BP$7)),$BP$6,IF(OR(COUNTIF('1.연간시수표'!Z61,$BQ$9),COUNTIF('1.연간시수표'!Z61,$BQ$7)),$BQ$6,IF(OR(COUNTIF('1.연간시수표'!Z61,$BR$9),COUNTIF('1.연간시수표'!Z61,$BR$7)),$BR$6,"_")))))))))))))))</f>
        <v>_</v>
      </c>
      <c r="AA61" s="148" t="str">
        <f>IF(OR(COUNTIF('1.연간시수표'!AA61,$AT$9),COUNTIF('1.연간시수표'!AA61,$AT$7)),$AT$6,IF(OR(COUNTIF('1.연간시수표'!AA61,$AU$9),COUNTIF('1.연간시수표'!AA61,$AU$7)),$AU$6,IF(OR(COUNTIF('1.연간시수표'!AA61,$AV$9),COUNTIF('1.연간시수표'!AA61,$AV$7)),$AV$6,IF(OR(COUNTIF('1.연간시수표'!AA61,$AW$9),COUNTIF('1.연간시수표'!AA61,$AW$7)),$AW$6,IF(OR(COUNTIF('1.연간시수표'!AA61,$AX$9),COUNTIF('1.연간시수표'!AA61,$AX$7)),$AX$6,IF(OR(COUNTIF('1.연간시수표'!AA61,$AY$9),COUNTIF('1.연간시수표'!AA61,$AY$7)),$AY$6,IF(OR(COUNTIF('1.연간시수표'!AA61,$AZ$9),COUNTIF('1.연간시수표'!AA61,$AZ$7)),$AZ$6,IF(OR(COUNTIF('1.연간시수표'!AA61,$BA$9),COUNTIF('1.연간시수표'!AA61,$BA$7)),$BA$6,IF(OR(COUNTIF('1.연간시수표'!AA61,$BB$9),COUNTIF('1.연간시수표'!AA61,$BB$7)),$BB$6,IF(OR(COUNTIF('1.연간시수표'!AA61,$BC$9),COUNTIF('1.연간시수표'!AA61,$BC$7)),$BC$6,IF(OR(COUNTIF('1.연간시수표'!AA61,$BF$9),COUNTIF('1.연간시수표'!AA61,$BF$7),COUNTIF('1.연간시수표'!AA61,$BG$9),COUNTIF('1.연간시수표'!AA61,$BG$7),COUNTIF('1.연간시수표'!AA61,$BH$9),COUNTIF('1.연간시수표'!AA61,$BH$7),COUNTIF('1.연간시수표'!AA61,$BI$9),COUNTIF('1.연간시수표'!AA61,$BI$7),COUNTIF('1.연간시수표'!AA61,$BJ$9),COUNTIF('1.연간시수표'!AA61,$BJ$7),COUNTIF('1.연간시수표'!AA61,$BK$9),COUNTIF('1.연간시수표'!AA61,$BK$7),COUNTIF('1.연간시수표'!AA61,$BL$9),COUNTIF('1.연간시수표'!AA61,$BL$7),COUNTIF('1.연간시수표'!AA61,$BM$9),COUNTIF('1.연간시수표'!AA61,$BM$7)),$BF$6,IF(OR(COUNTIF('1.연간시수표'!AA61,$BO$9),COUNTIF('1.연간시수표'!AA61,$BO$7)),$BO$6,IF(OR(COUNTIF('1.연간시수표'!AA61,$BP$9),COUNTIF('1.연간시수표'!AA61,$BP$7)),$BP$6,IF(OR(COUNTIF('1.연간시수표'!AA61,$BQ$9),COUNTIF('1.연간시수표'!AA61,$BQ$7)),$BQ$6,IF(OR(COUNTIF('1.연간시수표'!AA61,$BR$9),COUNTIF('1.연간시수표'!AA61,$BR$7)),$BR$6,"_")))))))))))))))</f>
        <v>_</v>
      </c>
      <c r="AB61" s="148" t="str">
        <f>IF(OR(COUNTIF('1.연간시수표'!AB61,$AT$9),COUNTIF('1.연간시수표'!AB61,$AT$7)),$AT$6,IF(OR(COUNTIF('1.연간시수표'!AB61,$AU$9),COUNTIF('1.연간시수표'!AB61,$AU$7)),$AU$6,IF(OR(COUNTIF('1.연간시수표'!AB61,$AV$9),COUNTIF('1.연간시수표'!AB61,$AV$7)),$AV$6,IF(OR(COUNTIF('1.연간시수표'!AB61,$AW$9),COUNTIF('1.연간시수표'!AB61,$AW$7)),$AW$6,IF(OR(COUNTIF('1.연간시수표'!AB61,$AX$9),COUNTIF('1.연간시수표'!AB61,$AX$7)),$AX$6,IF(OR(COUNTIF('1.연간시수표'!AB61,$AY$9),COUNTIF('1.연간시수표'!AB61,$AY$7)),$AY$6,IF(OR(COUNTIF('1.연간시수표'!AB61,$AZ$9),COUNTIF('1.연간시수표'!AB61,$AZ$7)),$AZ$6,IF(OR(COUNTIF('1.연간시수표'!AB61,$BA$9),COUNTIF('1.연간시수표'!AB61,$BA$7)),$BA$6,IF(OR(COUNTIF('1.연간시수표'!AB61,$BB$9),COUNTIF('1.연간시수표'!AB61,$BB$7)),$BB$6,IF(OR(COUNTIF('1.연간시수표'!AB61,$BC$9),COUNTIF('1.연간시수표'!AB61,$BC$7)),$BC$6,IF(OR(COUNTIF('1.연간시수표'!AB61,$BF$9),COUNTIF('1.연간시수표'!AB61,$BF$7),COUNTIF('1.연간시수표'!AB61,$BG$9),COUNTIF('1.연간시수표'!AB61,$BG$7),COUNTIF('1.연간시수표'!AB61,$BH$9),COUNTIF('1.연간시수표'!AB61,$BH$7),COUNTIF('1.연간시수표'!AB61,$BI$9),COUNTIF('1.연간시수표'!AB61,$BI$7),COUNTIF('1.연간시수표'!AB61,$BJ$9),COUNTIF('1.연간시수표'!AB61,$BJ$7),COUNTIF('1.연간시수표'!AB61,$BK$9),COUNTIF('1.연간시수표'!AB61,$BK$7),COUNTIF('1.연간시수표'!AB61,$BL$9),COUNTIF('1.연간시수표'!AB61,$BL$7),COUNTIF('1.연간시수표'!AB61,$BM$9),COUNTIF('1.연간시수표'!AB61,$BM$7)),$BF$6,IF(OR(COUNTIF('1.연간시수표'!AB61,$BO$9),COUNTIF('1.연간시수표'!AB61,$BO$7)),$BO$6,IF(OR(COUNTIF('1.연간시수표'!AB61,$BP$9),COUNTIF('1.연간시수표'!AB61,$BP$7)),$BP$6,IF(OR(COUNTIF('1.연간시수표'!AB61,$BQ$9),COUNTIF('1.연간시수표'!AB61,$BQ$7)),$BQ$6,IF(OR(COUNTIF('1.연간시수표'!AB61,$BR$9),COUNTIF('1.연간시수표'!AB61,$BR$7)),$BR$6,"_")))))))))))))))</f>
        <v>_</v>
      </c>
      <c r="AC61" s="148" t="str">
        <f>IF(OR(COUNTIF('1.연간시수표'!AC61,$AT$9),COUNTIF('1.연간시수표'!AC61,$AT$7)),$AT$6,IF(OR(COUNTIF('1.연간시수표'!AC61,$AU$9),COUNTIF('1.연간시수표'!AC61,$AU$7)),$AU$6,IF(OR(COUNTIF('1.연간시수표'!AC61,$AV$9),COUNTIF('1.연간시수표'!AC61,$AV$7)),$AV$6,IF(OR(COUNTIF('1.연간시수표'!AC61,$AW$9),COUNTIF('1.연간시수표'!AC61,$AW$7)),$AW$6,IF(OR(COUNTIF('1.연간시수표'!AC61,$AX$9),COUNTIF('1.연간시수표'!AC61,$AX$7)),$AX$6,IF(OR(COUNTIF('1.연간시수표'!AC61,$AY$9),COUNTIF('1.연간시수표'!AC61,$AY$7)),$AY$6,IF(OR(COUNTIF('1.연간시수표'!AC61,$AZ$9),COUNTIF('1.연간시수표'!AC61,$AZ$7)),$AZ$6,IF(OR(COUNTIF('1.연간시수표'!AC61,$BA$9),COUNTIF('1.연간시수표'!AC61,$BA$7)),$BA$6,IF(OR(COUNTIF('1.연간시수표'!AC61,$BB$9),COUNTIF('1.연간시수표'!AC61,$BB$7)),$BB$6,IF(OR(COUNTIF('1.연간시수표'!AC61,$BC$9),COUNTIF('1.연간시수표'!AC61,$BC$7)),$BC$6,IF(OR(COUNTIF('1.연간시수표'!AC61,$BF$9),COUNTIF('1.연간시수표'!AC61,$BF$7),COUNTIF('1.연간시수표'!AC61,$BG$9),COUNTIF('1.연간시수표'!AC61,$BG$7),COUNTIF('1.연간시수표'!AC61,$BH$9),COUNTIF('1.연간시수표'!AC61,$BH$7),COUNTIF('1.연간시수표'!AC61,$BI$9),COUNTIF('1.연간시수표'!AC61,$BI$7),COUNTIF('1.연간시수표'!AC61,$BJ$9),COUNTIF('1.연간시수표'!AC61,$BJ$7),COUNTIF('1.연간시수표'!AC61,$BK$9),COUNTIF('1.연간시수표'!AC61,$BK$7),COUNTIF('1.연간시수표'!AC61,$BL$9),COUNTIF('1.연간시수표'!AC61,$BL$7),COUNTIF('1.연간시수표'!AC61,$BM$9),COUNTIF('1.연간시수표'!AC61,$BM$7)),$BF$6,IF(OR(COUNTIF('1.연간시수표'!AC61,$BO$9),COUNTIF('1.연간시수표'!AC61,$BO$7)),$BO$6,IF(OR(COUNTIF('1.연간시수표'!AC61,$BP$9),COUNTIF('1.연간시수표'!AC61,$BP$7)),$BP$6,IF(OR(COUNTIF('1.연간시수표'!AC61,$BQ$9),COUNTIF('1.연간시수표'!AC61,$BQ$7)),$BQ$6,IF(OR(COUNTIF('1.연간시수표'!AC61,$BR$9),COUNTIF('1.연간시수표'!AC61,$BR$7)),$BR$6,"_")))))))))))))))</f>
        <v>국어</v>
      </c>
      <c r="AD61" s="148" t="str">
        <f>IF(OR(COUNTIF('1.연간시수표'!AD61,$AT$9),COUNTIF('1.연간시수표'!AD61,$AT$7)),$AT$6,IF(OR(COUNTIF('1.연간시수표'!AD61,$AU$9),COUNTIF('1.연간시수표'!AD61,$AU$7)),$AU$6,IF(OR(COUNTIF('1.연간시수표'!AD61,$AV$9),COUNTIF('1.연간시수표'!AD61,$AV$7)),$AV$6,IF(OR(COUNTIF('1.연간시수표'!AD61,$AW$9),COUNTIF('1.연간시수표'!AD61,$AW$7)),$AW$6,IF(OR(COUNTIF('1.연간시수표'!AD61,$AX$9),COUNTIF('1.연간시수표'!AD61,$AX$7)),$AX$6,IF(OR(COUNTIF('1.연간시수표'!AD61,$AY$9),COUNTIF('1.연간시수표'!AD61,$AY$7)),$AY$6,IF(OR(COUNTIF('1.연간시수표'!AD61,$AZ$9),COUNTIF('1.연간시수표'!AD61,$AZ$7)),$AZ$6,IF(OR(COUNTIF('1.연간시수표'!AD61,$BA$9),COUNTIF('1.연간시수표'!AD61,$BA$7)),$BA$6,IF(OR(COUNTIF('1.연간시수표'!AD61,$BB$9),COUNTIF('1.연간시수표'!AD61,$BB$7)),$BB$6,IF(OR(COUNTIF('1.연간시수표'!AD61,$BC$9),COUNTIF('1.연간시수표'!AD61,$BC$7)),$BC$6,IF(OR(COUNTIF('1.연간시수표'!AD61,$BF$9),COUNTIF('1.연간시수표'!AD61,$BF$7),COUNTIF('1.연간시수표'!AD61,$BG$9),COUNTIF('1.연간시수표'!AD61,$BG$7),COUNTIF('1.연간시수표'!AD61,$BH$9),COUNTIF('1.연간시수표'!AD61,$BH$7),COUNTIF('1.연간시수표'!AD61,$BI$9),COUNTIF('1.연간시수표'!AD61,$BI$7),COUNTIF('1.연간시수표'!AD61,$BJ$9),COUNTIF('1.연간시수표'!AD61,$BJ$7),COUNTIF('1.연간시수표'!AD61,$BK$9),COUNTIF('1.연간시수표'!AD61,$BK$7),COUNTIF('1.연간시수표'!AD61,$BL$9),COUNTIF('1.연간시수표'!AD61,$BL$7),COUNTIF('1.연간시수표'!AD61,$BM$9),COUNTIF('1.연간시수표'!AD61,$BM$7)),$BF$6,IF(OR(COUNTIF('1.연간시수표'!AD61,$BO$9),COUNTIF('1.연간시수표'!AD61,$BO$7)),$BO$6,IF(OR(COUNTIF('1.연간시수표'!AD61,$BP$9),COUNTIF('1.연간시수표'!AD61,$BP$7)),$BP$6,IF(OR(COUNTIF('1.연간시수표'!AD61,$BQ$9),COUNTIF('1.연간시수표'!AD61,$BQ$7)),$BQ$6,IF(OR(COUNTIF('1.연간시수표'!AD61,$BR$9),COUNTIF('1.연간시수표'!AD61,$BR$7)),$BR$6,"_")))))))))))))))</f>
        <v>수학</v>
      </c>
      <c r="AE61" s="148" t="str">
        <f>IF(OR(COUNTIF('1.연간시수표'!AE61,$AT$9),COUNTIF('1.연간시수표'!AE61,$AT$7)),$AT$6,IF(OR(COUNTIF('1.연간시수표'!AE61,$AU$9),COUNTIF('1.연간시수표'!AE61,$AU$7)),$AU$6,IF(OR(COUNTIF('1.연간시수표'!AE61,$AV$9),COUNTIF('1.연간시수표'!AE61,$AV$7)),$AV$6,IF(OR(COUNTIF('1.연간시수표'!AE61,$AW$9),COUNTIF('1.연간시수표'!AE61,$AW$7)),$AW$6,IF(OR(COUNTIF('1.연간시수표'!AE61,$AX$9),COUNTIF('1.연간시수표'!AE61,$AX$7)),$AX$6,IF(OR(COUNTIF('1.연간시수표'!AE61,$AY$9),COUNTIF('1.연간시수표'!AE61,$AY$7)),$AY$6,IF(OR(COUNTIF('1.연간시수표'!AE61,$AZ$9),COUNTIF('1.연간시수표'!AE61,$AZ$7)),$AZ$6,IF(OR(COUNTIF('1.연간시수표'!AE61,$BA$9),COUNTIF('1.연간시수표'!AE61,$BA$7)),$BA$6,IF(OR(COUNTIF('1.연간시수표'!AE61,$BB$9),COUNTIF('1.연간시수표'!AE61,$BB$7)),$BB$6,IF(OR(COUNTIF('1.연간시수표'!AE61,$BC$9),COUNTIF('1.연간시수표'!AE61,$BC$7)),$BC$6,IF(OR(COUNTIF('1.연간시수표'!AE61,$BF$9),COUNTIF('1.연간시수표'!AE61,$BF$7),COUNTIF('1.연간시수표'!AE61,$BG$9),COUNTIF('1.연간시수표'!AE61,$BG$7),COUNTIF('1.연간시수표'!AE61,$BH$9),COUNTIF('1.연간시수표'!AE61,$BH$7),COUNTIF('1.연간시수표'!AE61,$BI$9),COUNTIF('1.연간시수표'!AE61,$BI$7),COUNTIF('1.연간시수표'!AE61,$BJ$9),COUNTIF('1.연간시수표'!AE61,$BJ$7),COUNTIF('1.연간시수표'!AE61,$BK$9),COUNTIF('1.연간시수표'!AE61,$BK$7),COUNTIF('1.연간시수표'!AE61,$BL$9),COUNTIF('1.연간시수표'!AE61,$BL$7),COUNTIF('1.연간시수표'!AE61,$BM$9),COUNTIF('1.연간시수표'!AE61,$BM$7)),$BF$6,IF(OR(COUNTIF('1.연간시수표'!AE61,$BO$9),COUNTIF('1.연간시수표'!AE61,$BO$7)),$BO$6,IF(OR(COUNTIF('1.연간시수표'!AE61,$BP$9),COUNTIF('1.연간시수표'!AE61,$BP$7)),$BP$6,IF(OR(COUNTIF('1.연간시수표'!AE61,$BQ$9),COUNTIF('1.연간시수표'!AE61,$BQ$7)),$BQ$6,IF(OR(COUNTIF('1.연간시수표'!AE61,$BR$9),COUNTIF('1.연간시수표'!AE61,$BR$7)),$BR$6,"_")))))))))))))))</f>
        <v>사회</v>
      </c>
      <c r="AF61" s="148" t="str">
        <f>IF(OR(COUNTIF('1.연간시수표'!AF61,$AT$9),COUNTIF('1.연간시수표'!AF61,$AT$7)),$AT$6,IF(OR(COUNTIF('1.연간시수표'!AF61,$AU$9),COUNTIF('1.연간시수표'!AF61,$AU$7)),$AU$6,IF(OR(COUNTIF('1.연간시수표'!AF61,$AV$9),COUNTIF('1.연간시수표'!AF61,$AV$7)),$AV$6,IF(OR(COUNTIF('1.연간시수표'!AF61,$AW$9),COUNTIF('1.연간시수표'!AF61,$AW$7)),$AW$6,IF(OR(COUNTIF('1.연간시수표'!AF61,$AX$9),COUNTIF('1.연간시수표'!AF61,$AX$7)),$AX$6,IF(OR(COUNTIF('1.연간시수표'!AF61,$AY$9),COUNTIF('1.연간시수표'!AF61,$AY$7)),$AY$6,IF(OR(COUNTIF('1.연간시수표'!AF61,$AZ$9),COUNTIF('1.연간시수표'!AF61,$AZ$7)),$AZ$6,IF(OR(COUNTIF('1.연간시수표'!AF61,$BA$9),COUNTIF('1.연간시수표'!AF61,$BA$7)),$BA$6,IF(OR(COUNTIF('1.연간시수표'!AF61,$BB$9),COUNTIF('1.연간시수표'!AF61,$BB$7)),$BB$6,IF(OR(COUNTIF('1.연간시수표'!AF61,$BC$9),COUNTIF('1.연간시수표'!AF61,$BC$7)),$BC$6,IF(OR(COUNTIF('1.연간시수표'!AF61,$BF$9),COUNTIF('1.연간시수표'!AF61,$BF$7),COUNTIF('1.연간시수표'!AF61,$BG$9),COUNTIF('1.연간시수표'!AF61,$BG$7),COUNTIF('1.연간시수표'!AF61,$BH$9),COUNTIF('1.연간시수표'!AF61,$BH$7),COUNTIF('1.연간시수표'!AF61,$BI$9),COUNTIF('1.연간시수표'!AF61,$BI$7),COUNTIF('1.연간시수표'!AF61,$BJ$9),COUNTIF('1.연간시수표'!AF61,$BJ$7),COUNTIF('1.연간시수표'!AF61,$BK$9),COUNTIF('1.연간시수표'!AF61,$BK$7),COUNTIF('1.연간시수표'!AF61,$BL$9),COUNTIF('1.연간시수표'!AF61,$BL$7),COUNTIF('1.연간시수표'!AF61,$BM$9),COUNTIF('1.연간시수표'!AF61,$BM$7)),$BF$6,IF(OR(COUNTIF('1.연간시수표'!AF61,$BO$9),COUNTIF('1.연간시수표'!AF61,$BO$7)),$BO$6,IF(OR(COUNTIF('1.연간시수표'!AF61,$BP$9),COUNTIF('1.연간시수표'!AF61,$BP$7)),$BP$6,IF(OR(COUNTIF('1.연간시수표'!AF61,$BQ$9),COUNTIF('1.연간시수표'!AF61,$BQ$7)),$BQ$6,IF(OR(COUNTIF('1.연간시수표'!AF61,$BR$9),COUNTIF('1.연간시수표'!AF61,$BR$7)),$BR$6,"_")))))))))))))))</f>
        <v>영어</v>
      </c>
      <c r="AG61" s="148" t="str">
        <f>IF(OR(COUNTIF('1.연간시수표'!AG61,$AT$9),COUNTIF('1.연간시수표'!AG61,$AT$7)),$AT$6,IF(OR(COUNTIF('1.연간시수표'!AG61,$AU$9),COUNTIF('1.연간시수표'!AG61,$AU$7)),$AU$6,IF(OR(COUNTIF('1.연간시수표'!AG61,$AV$9),COUNTIF('1.연간시수표'!AG61,$AV$7)),$AV$6,IF(OR(COUNTIF('1.연간시수표'!AG61,$AW$9),COUNTIF('1.연간시수표'!AG61,$AW$7)),$AW$6,IF(OR(COUNTIF('1.연간시수표'!AG61,$AX$9),COUNTIF('1.연간시수표'!AG61,$AX$7)),$AX$6,IF(OR(COUNTIF('1.연간시수표'!AG61,$AY$9),COUNTIF('1.연간시수표'!AG61,$AY$7)),$AY$6,IF(OR(COUNTIF('1.연간시수표'!AG61,$AZ$9),COUNTIF('1.연간시수표'!AG61,$AZ$7)),$AZ$6,IF(OR(COUNTIF('1.연간시수표'!AG61,$BA$9),COUNTIF('1.연간시수표'!AG61,$BA$7)),$BA$6,IF(OR(COUNTIF('1.연간시수표'!AG61,$BB$9),COUNTIF('1.연간시수표'!AG61,$BB$7)),$BB$6,IF(OR(COUNTIF('1.연간시수표'!AG61,$BC$9),COUNTIF('1.연간시수표'!AG61,$BC$7)),$BC$6,IF(OR(COUNTIF('1.연간시수표'!AG61,$BF$9),COUNTIF('1.연간시수표'!AG61,$BF$7),COUNTIF('1.연간시수표'!AG61,$BG$9),COUNTIF('1.연간시수표'!AG61,$BG$7),COUNTIF('1.연간시수표'!AG61,$BH$9),COUNTIF('1.연간시수표'!AG61,$BH$7),COUNTIF('1.연간시수표'!AG61,$BI$9),COUNTIF('1.연간시수표'!AG61,$BI$7),COUNTIF('1.연간시수표'!AG61,$BJ$9),COUNTIF('1.연간시수표'!AG61,$BJ$7),COUNTIF('1.연간시수표'!AG61,$BK$9),COUNTIF('1.연간시수표'!AG61,$BK$7),COUNTIF('1.연간시수표'!AG61,$BL$9),COUNTIF('1.연간시수표'!AG61,$BL$7),COUNTIF('1.연간시수표'!AG61,$BM$9),COUNTIF('1.연간시수표'!AG61,$BM$7)),$BF$6,IF(OR(COUNTIF('1.연간시수표'!AG61,$BO$9),COUNTIF('1.연간시수표'!AG61,$BO$7)),$BO$6,IF(OR(COUNTIF('1.연간시수표'!AG61,$BP$9),COUNTIF('1.연간시수표'!AG61,$BP$7)),$BP$6,IF(OR(COUNTIF('1.연간시수표'!AG61,$BQ$9),COUNTIF('1.연간시수표'!AG61,$BQ$7)),$BQ$6,IF(OR(COUNTIF('1.연간시수표'!AG61,$BR$9),COUNTIF('1.연간시수표'!AG61,$BR$7)),$BR$6,"_")))))))))))))))</f>
        <v>과학</v>
      </c>
      <c r="AH61" s="148" t="str">
        <f>IF(OR(COUNTIF('1.연간시수표'!AH61,$AT$9),COUNTIF('1.연간시수표'!AH61,$AT$7)),$AT$6,IF(OR(COUNTIF('1.연간시수표'!AH61,$AU$9),COUNTIF('1.연간시수표'!AH61,$AU$7)),$AU$6,IF(OR(COUNTIF('1.연간시수표'!AH61,$AV$9),COUNTIF('1.연간시수표'!AH61,$AV$7)),$AV$6,IF(OR(COUNTIF('1.연간시수표'!AH61,$AW$9),COUNTIF('1.연간시수표'!AH61,$AW$7)),$AW$6,IF(OR(COUNTIF('1.연간시수표'!AH61,$AX$9),COUNTIF('1.연간시수표'!AH61,$AX$7)),$AX$6,IF(OR(COUNTIF('1.연간시수표'!AH61,$AY$9),COUNTIF('1.연간시수표'!AH61,$AY$7)),$AY$6,IF(OR(COUNTIF('1.연간시수표'!AH61,$AZ$9),COUNTIF('1.연간시수표'!AH61,$AZ$7)),$AZ$6,IF(OR(COUNTIF('1.연간시수표'!AH61,$BA$9),COUNTIF('1.연간시수표'!AH61,$BA$7)),$BA$6,IF(OR(COUNTIF('1.연간시수표'!AH61,$BB$9),COUNTIF('1.연간시수표'!AH61,$BB$7)),$BB$6,IF(OR(COUNTIF('1.연간시수표'!AH61,$BC$9),COUNTIF('1.연간시수표'!AH61,$BC$7)),$BC$6,IF(OR(COUNTIF('1.연간시수표'!AH61,$BF$9),COUNTIF('1.연간시수표'!AH61,$BF$7),COUNTIF('1.연간시수표'!AH61,$BG$9),COUNTIF('1.연간시수표'!AH61,$BG$7),COUNTIF('1.연간시수표'!AH61,$BH$9),COUNTIF('1.연간시수표'!AH61,$BH$7),COUNTIF('1.연간시수표'!AH61,$BI$9),COUNTIF('1.연간시수표'!AH61,$BI$7),COUNTIF('1.연간시수표'!AH61,$BJ$9),COUNTIF('1.연간시수표'!AH61,$BJ$7),COUNTIF('1.연간시수표'!AH61,$BK$9),COUNTIF('1.연간시수표'!AH61,$BK$7),COUNTIF('1.연간시수표'!AH61,$BL$9),COUNTIF('1.연간시수표'!AH61,$BL$7),COUNTIF('1.연간시수표'!AH61,$BM$9),COUNTIF('1.연간시수표'!AH61,$BM$7)),$BF$6,IF(OR(COUNTIF('1.연간시수표'!AH61,$BO$9),COUNTIF('1.연간시수표'!AH61,$BO$7)),$BO$6,IF(OR(COUNTIF('1.연간시수표'!AH61,$BP$9),COUNTIF('1.연간시수표'!AH61,$BP$7)),$BP$6,IF(OR(COUNTIF('1.연간시수표'!AH61,$BQ$9),COUNTIF('1.연간시수표'!AH61,$BQ$7)),$BQ$6,IF(OR(COUNTIF('1.연간시수표'!AH61,$BR$9),COUNTIF('1.연간시수표'!AH61,$BR$7)),$BR$6,"_")))))))))))))))</f>
        <v>음악</v>
      </c>
      <c r="AI61" s="148" t="str">
        <f>IF(OR(COUNTIF('1.연간시수표'!AI61,$AT$9),COUNTIF('1.연간시수표'!AI61,$AT$7)),$AT$6,IF(OR(COUNTIF('1.연간시수표'!AI61,$AU$9),COUNTIF('1.연간시수표'!AI61,$AU$7)),$AU$6,IF(OR(COUNTIF('1.연간시수표'!AI61,$AV$9),COUNTIF('1.연간시수표'!AI61,$AV$7)),$AV$6,IF(OR(COUNTIF('1.연간시수표'!AI61,$AW$9),COUNTIF('1.연간시수표'!AI61,$AW$7)),$AW$6,IF(OR(COUNTIF('1.연간시수표'!AI61,$AX$9),COUNTIF('1.연간시수표'!AI61,$AX$7)),$AX$6,IF(OR(COUNTIF('1.연간시수표'!AI61,$AY$9),COUNTIF('1.연간시수표'!AI61,$AY$7)),$AY$6,IF(OR(COUNTIF('1.연간시수표'!AI61,$AZ$9),COUNTIF('1.연간시수표'!AI61,$AZ$7)),$AZ$6,IF(OR(COUNTIF('1.연간시수표'!AI61,$BA$9),COUNTIF('1.연간시수표'!AI61,$BA$7)),$BA$6,IF(OR(COUNTIF('1.연간시수표'!AI61,$BB$9),COUNTIF('1.연간시수표'!AI61,$BB$7)),$BB$6,IF(OR(COUNTIF('1.연간시수표'!AI61,$BC$9),COUNTIF('1.연간시수표'!AI61,$BC$7)),$BC$6,IF(OR(COUNTIF('1.연간시수표'!AI61,$BF$9),COUNTIF('1.연간시수표'!AI61,$BF$7),COUNTIF('1.연간시수표'!AI61,$BG$9),COUNTIF('1.연간시수표'!AI61,$BG$7),COUNTIF('1.연간시수표'!AI61,$BH$9),COUNTIF('1.연간시수표'!AI61,$BH$7),COUNTIF('1.연간시수표'!AI61,$BI$9),COUNTIF('1.연간시수표'!AI61,$BI$7),COUNTIF('1.연간시수표'!AI61,$BJ$9),COUNTIF('1.연간시수표'!AI61,$BJ$7),COUNTIF('1.연간시수표'!AI61,$BK$9),COUNTIF('1.연간시수표'!AI61,$BK$7),COUNTIF('1.연간시수표'!AI61,$BL$9),COUNTIF('1.연간시수표'!AI61,$BL$7),COUNTIF('1.연간시수표'!AI61,$BM$9),COUNTIF('1.연간시수표'!AI61,$BM$7)),$BF$6,IF(OR(COUNTIF('1.연간시수표'!AI61,$BO$9),COUNTIF('1.연간시수표'!AI61,$BO$7)),$BO$6,IF(OR(COUNTIF('1.연간시수표'!AI61,$BP$9),COUNTIF('1.연간시수표'!AI61,$BP$7)),$BP$6,IF(OR(COUNTIF('1.연간시수표'!AI61,$BQ$9),COUNTIF('1.연간시수표'!AI61,$BQ$7)),$BQ$6,IF(OR(COUNTIF('1.연간시수표'!AI61,$BR$9),COUNTIF('1.연간시수표'!AI61,$BR$7)),$BR$6,"_")))))))))))))))</f>
        <v>_</v>
      </c>
      <c r="AJ61" s="148" t="str">
        <f>IF(OR(COUNTIF('1.연간시수표'!AJ61,$AT$9),COUNTIF('1.연간시수표'!AJ61,$AT$7)),$AT$6,IF(OR(COUNTIF('1.연간시수표'!AJ61,$AU$9),COUNTIF('1.연간시수표'!AJ61,$AU$7)),$AU$6,IF(OR(COUNTIF('1.연간시수표'!AJ61,$AV$9),COUNTIF('1.연간시수표'!AJ61,$AV$7)),$AV$6,IF(OR(COUNTIF('1.연간시수표'!AJ61,$AW$9),COUNTIF('1.연간시수표'!AJ61,$AW$7)),$AW$6,IF(OR(COUNTIF('1.연간시수표'!AJ61,$AX$9),COUNTIF('1.연간시수표'!AJ61,$AX$7)),$AX$6,IF(OR(COUNTIF('1.연간시수표'!AJ61,$AY$9),COUNTIF('1.연간시수표'!AJ61,$AY$7)),$AY$6,IF(OR(COUNTIF('1.연간시수표'!AJ61,$AZ$9),COUNTIF('1.연간시수표'!AJ61,$AZ$7)),$AZ$6,IF(OR(COUNTIF('1.연간시수표'!AJ61,$BA$9),COUNTIF('1.연간시수표'!AJ61,$BA$7)),$BA$6,IF(OR(COUNTIF('1.연간시수표'!AJ61,$BB$9),COUNTIF('1.연간시수표'!AJ61,$BB$7)),$BB$6,IF(OR(COUNTIF('1.연간시수표'!AJ61,$BC$9),COUNTIF('1.연간시수표'!AJ61,$BC$7)),$BC$6,IF(OR(COUNTIF('1.연간시수표'!AJ61,$BF$9),COUNTIF('1.연간시수표'!AJ61,$BF$7),COUNTIF('1.연간시수표'!AJ61,$BG$9),COUNTIF('1.연간시수표'!AJ61,$BG$7),COUNTIF('1.연간시수표'!AJ61,$BH$9),COUNTIF('1.연간시수표'!AJ61,$BH$7),COUNTIF('1.연간시수표'!AJ61,$BI$9),COUNTIF('1.연간시수표'!AJ61,$BI$7),COUNTIF('1.연간시수표'!AJ61,$BJ$9),COUNTIF('1.연간시수표'!AJ61,$BJ$7),COUNTIF('1.연간시수표'!AJ61,$BK$9),COUNTIF('1.연간시수표'!AJ61,$BK$7),COUNTIF('1.연간시수표'!AJ61,$BL$9),COUNTIF('1.연간시수표'!AJ61,$BL$7),COUNTIF('1.연간시수표'!AJ61,$BM$9),COUNTIF('1.연간시수표'!AJ61,$BM$7)),$BF$6,IF(OR(COUNTIF('1.연간시수표'!AJ61,$BO$9),COUNTIF('1.연간시수표'!AJ61,$BO$7)),$BO$6,IF(OR(COUNTIF('1.연간시수표'!AJ61,$BP$9),COUNTIF('1.연간시수표'!AJ61,$BP$7)),$BP$6,IF(OR(COUNTIF('1.연간시수표'!AJ61,$BQ$9),COUNTIF('1.연간시수표'!AJ61,$BQ$7)),$BQ$6,IF(OR(COUNTIF('1.연간시수표'!AJ61,$BR$9),COUNTIF('1.연간시수표'!AJ61,$BR$7)),$BR$6,"_")))))))))))))))</f>
        <v>_</v>
      </c>
      <c r="AK61" s="148" t="str">
        <f>IF(OR(COUNTIF('1.연간시수표'!AK61,$AT$9),COUNTIF('1.연간시수표'!AK61,$AT$7)),$AT$6,IF(OR(COUNTIF('1.연간시수표'!AK61,$AU$9),COUNTIF('1.연간시수표'!AK61,$AU$7)),$AU$6,IF(OR(COUNTIF('1.연간시수표'!AK61,$AV$9),COUNTIF('1.연간시수표'!AK61,$AV$7)),$AV$6,IF(OR(COUNTIF('1.연간시수표'!AK61,$AW$9),COUNTIF('1.연간시수표'!AK61,$AW$7)),$AW$6,IF(OR(COUNTIF('1.연간시수표'!AK61,$AX$9),COUNTIF('1.연간시수표'!AK61,$AX$7)),$AX$6,IF(OR(COUNTIF('1.연간시수표'!AK61,$AY$9),COUNTIF('1.연간시수표'!AK61,$AY$7)),$AY$6,IF(OR(COUNTIF('1.연간시수표'!AK61,$AZ$9),COUNTIF('1.연간시수표'!AK61,$AZ$7)),$AZ$6,IF(OR(COUNTIF('1.연간시수표'!AK61,$BA$9),COUNTIF('1.연간시수표'!AK61,$BA$7)),$BA$6,IF(OR(COUNTIF('1.연간시수표'!AK61,$BB$9),COUNTIF('1.연간시수표'!AK61,$BB$7)),$BB$6,IF(OR(COUNTIF('1.연간시수표'!AK61,$BC$9),COUNTIF('1.연간시수표'!AK61,$BC$7)),$BC$6,IF(OR(COUNTIF('1.연간시수표'!AK61,$BF$9),COUNTIF('1.연간시수표'!AK61,$BF$7),COUNTIF('1.연간시수표'!AK61,$BG$9),COUNTIF('1.연간시수표'!AK61,$BG$7),COUNTIF('1.연간시수표'!AK61,$BH$9),COUNTIF('1.연간시수표'!AK61,$BH$7),COUNTIF('1.연간시수표'!AK61,$BI$9),COUNTIF('1.연간시수표'!AK61,$BI$7),COUNTIF('1.연간시수표'!AK61,$BJ$9),COUNTIF('1.연간시수표'!AK61,$BJ$7),COUNTIF('1.연간시수표'!AK61,$BK$9),COUNTIF('1.연간시수표'!AK61,$BK$7),COUNTIF('1.연간시수표'!AK61,$BL$9),COUNTIF('1.연간시수표'!AK61,$BL$7),COUNTIF('1.연간시수표'!AK61,$BM$9),COUNTIF('1.연간시수표'!AK61,$BM$7)),$BF$6,IF(OR(COUNTIF('1.연간시수표'!AK61,$BO$9),COUNTIF('1.연간시수표'!AK61,$BO$7)),$BO$6,IF(OR(COUNTIF('1.연간시수표'!AK61,$BP$9),COUNTIF('1.연간시수표'!AK61,$BP$7)),$BP$6,IF(OR(COUNTIF('1.연간시수표'!AK61,$BQ$9),COUNTIF('1.연간시수표'!AK61,$BQ$7)),$BQ$6,IF(OR(COUNTIF('1.연간시수표'!AK61,$BR$9),COUNTIF('1.연간시수표'!AK61,$BR$7)),$BR$6,"_")))))))))))))))</f>
        <v>국어</v>
      </c>
      <c r="AL61" s="148" t="str">
        <f>IF(OR(COUNTIF('1.연간시수표'!AL61,$AT$9),COUNTIF('1.연간시수표'!AL61,$AT$7)),$AT$6,IF(OR(COUNTIF('1.연간시수표'!AL61,$AU$9),COUNTIF('1.연간시수표'!AL61,$AU$7)),$AU$6,IF(OR(COUNTIF('1.연간시수표'!AL61,$AV$9),COUNTIF('1.연간시수표'!AL61,$AV$7)),$AV$6,IF(OR(COUNTIF('1.연간시수표'!AL61,$AW$9),COUNTIF('1.연간시수표'!AL61,$AW$7)),$AW$6,IF(OR(COUNTIF('1.연간시수표'!AL61,$AX$9),COUNTIF('1.연간시수표'!AL61,$AX$7)),$AX$6,IF(OR(COUNTIF('1.연간시수표'!AL61,$AY$9),COUNTIF('1.연간시수표'!AL61,$AY$7)),$AY$6,IF(OR(COUNTIF('1.연간시수표'!AL61,$AZ$9),COUNTIF('1.연간시수표'!AL61,$AZ$7)),$AZ$6,IF(OR(COUNTIF('1.연간시수표'!AL61,$BA$9),COUNTIF('1.연간시수표'!AL61,$BA$7)),$BA$6,IF(OR(COUNTIF('1.연간시수표'!AL61,$BB$9),COUNTIF('1.연간시수표'!AL61,$BB$7)),$BB$6,IF(OR(COUNTIF('1.연간시수표'!AL61,$BC$9),COUNTIF('1.연간시수표'!AL61,$BC$7)),$BC$6,IF(OR(COUNTIF('1.연간시수표'!AL61,$BF$9),COUNTIF('1.연간시수표'!AL61,$BF$7),COUNTIF('1.연간시수표'!AL61,$BG$9),COUNTIF('1.연간시수표'!AL61,$BG$7),COUNTIF('1.연간시수표'!AL61,$BH$9),COUNTIF('1.연간시수표'!AL61,$BH$7),COUNTIF('1.연간시수표'!AL61,$BI$9),COUNTIF('1.연간시수표'!AL61,$BI$7),COUNTIF('1.연간시수표'!AL61,$BJ$9),COUNTIF('1.연간시수표'!AL61,$BJ$7),COUNTIF('1.연간시수표'!AL61,$BK$9),COUNTIF('1.연간시수표'!AL61,$BK$7),COUNTIF('1.연간시수표'!AL61,$BL$9),COUNTIF('1.연간시수표'!AL61,$BL$7),COUNTIF('1.연간시수표'!AL61,$BM$9),COUNTIF('1.연간시수표'!AL61,$BM$7)),$BF$6,IF(OR(COUNTIF('1.연간시수표'!AL61,$BO$9),COUNTIF('1.연간시수표'!AL61,$BO$7)),$BO$6,IF(OR(COUNTIF('1.연간시수표'!AL61,$BP$9),COUNTIF('1.연간시수표'!AL61,$BP$7)),$BP$6,IF(OR(COUNTIF('1.연간시수표'!AL61,$BQ$9),COUNTIF('1.연간시수표'!AL61,$BQ$7)),$BQ$6,IF(OR(COUNTIF('1.연간시수표'!AL61,$BR$9),COUNTIF('1.연간시수표'!AL61,$BR$7)),$BR$6,"_")))))))))))))))</f>
        <v>체육</v>
      </c>
      <c r="AM61" s="148" t="str">
        <f>IF(OR(COUNTIF('1.연간시수표'!AM61,$AT$9),COUNTIF('1.연간시수표'!AM61,$AT$7)),$AT$6,IF(OR(COUNTIF('1.연간시수표'!AM61,$AU$9),COUNTIF('1.연간시수표'!AM61,$AU$7)),$AU$6,IF(OR(COUNTIF('1.연간시수표'!AM61,$AV$9),COUNTIF('1.연간시수표'!AM61,$AV$7)),$AV$6,IF(OR(COUNTIF('1.연간시수표'!AM61,$AW$9),COUNTIF('1.연간시수표'!AM61,$AW$7)),$AW$6,IF(OR(COUNTIF('1.연간시수표'!AM61,$AX$9),COUNTIF('1.연간시수표'!AM61,$AX$7)),$AX$6,IF(OR(COUNTIF('1.연간시수표'!AM61,$AY$9),COUNTIF('1.연간시수표'!AM61,$AY$7)),$AY$6,IF(OR(COUNTIF('1.연간시수표'!AM61,$AZ$9),COUNTIF('1.연간시수표'!AM61,$AZ$7)),$AZ$6,IF(OR(COUNTIF('1.연간시수표'!AM61,$BA$9),COUNTIF('1.연간시수표'!AM61,$BA$7)),$BA$6,IF(OR(COUNTIF('1.연간시수표'!AM61,$BB$9),COUNTIF('1.연간시수표'!AM61,$BB$7)),$BB$6,IF(OR(COUNTIF('1.연간시수표'!AM61,$BC$9),COUNTIF('1.연간시수표'!AM61,$BC$7)),$BC$6,IF(OR(COUNTIF('1.연간시수표'!AM61,$BF$9),COUNTIF('1.연간시수표'!AM61,$BF$7),COUNTIF('1.연간시수표'!AM61,$BG$9),COUNTIF('1.연간시수표'!AM61,$BG$7),COUNTIF('1.연간시수표'!AM61,$BH$9),COUNTIF('1.연간시수표'!AM61,$BH$7),COUNTIF('1.연간시수표'!AM61,$BI$9),COUNTIF('1.연간시수표'!AM61,$BI$7),COUNTIF('1.연간시수표'!AM61,$BJ$9),COUNTIF('1.연간시수표'!AM61,$BJ$7),COUNTIF('1.연간시수표'!AM61,$BK$9),COUNTIF('1.연간시수표'!AM61,$BK$7),COUNTIF('1.연간시수표'!AM61,$BL$9),COUNTIF('1.연간시수표'!AM61,$BL$7),COUNTIF('1.연간시수표'!AM61,$BM$9),COUNTIF('1.연간시수표'!AM61,$BM$7)),$BF$6,IF(OR(COUNTIF('1.연간시수표'!AM61,$BO$9),COUNTIF('1.연간시수표'!AM61,$BO$7)),$BO$6,IF(OR(COUNTIF('1.연간시수표'!AM61,$BP$9),COUNTIF('1.연간시수표'!AM61,$BP$7)),$BP$6,IF(OR(COUNTIF('1.연간시수표'!AM61,$BQ$9),COUNTIF('1.연간시수표'!AM61,$BQ$7)),$BQ$6,IF(OR(COUNTIF('1.연간시수표'!AM61,$BR$9),COUNTIF('1.연간시수표'!AM61,$BR$7)),$BR$6,"_")))))))))))))))</f>
        <v>수학</v>
      </c>
      <c r="AN61" s="148" t="str">
        <f>IF(OR(COUNTIF('1.연간시수표'!AN61,$AT$9),COUNTIF('1.연간시수표'!AN61,$AT$7)),$AT$6,IF(OR(COUNTIF('1.연간시수표'!AN61,$AU$9),COUNTIF('1.연간시수표'!AN61,$AU$7)),$AU$6,IF(OR(COUNTIF('1.연간시수표'!AN61,$AV$9),COUNTIF('1.연간시수표'!AN61,$AV$7)),$AV$6,IF(OR(COUNTIF('1.연간시수표'!AN61,$AW$9),COUNTIF('1.연간시수표'!AN61,$AW$7)),$AW$6,IF(OR(COUNTIF('1.연간시수표'!AN61,$AX$9),COUNTIF('1.연간시수표'!AN61,$AX$7)),$AX$6,IF(OR(COUNTIF('1.연간시수표'!AN61,$AY$9),COUNTIF('1.연간시수표'!AN61,$AY$7)),$AY$6,IF(OR(COUNTIF('1.연간시수표'!AN61,$AZ$9),COUNTIF('1.연간시수표'!AN61,$AZ$7)),$AZ$6,IF(OR(COUNTIF('1.연간시수표'!AN61,$BA$9),COUNTIF('1.연간시수표'!AN61,$BA$7)),$BA$6,IF(OR(COUNTIF('1.연간시수표'!AN61,$BB$9),COUNTIF('1.연간시수표'!AN61,$BB$7)),$BB$6,IF(OR(COUNTIF('1.연간시수표'!AN61,$BC$9),COUNTIF('1.연간시수표'!AN61,$BC$7)),$BC$6,IF(OR(COUNTIF('1.연간시수표'!AN61,$BF$9),COUNTIF('1.연간시수표'!AN61,$BF$7),COUNTIF('1.연간시수표'!AN61,$BG$9),COUNTIF('1.연간시수표'!AN61,$BG$7),COUNTIF('1.연간시수표'!AN61,$BH$9),COUNTIF('1.연간시수표'!AN61,$BH$7),COUNTIF('1.연간시수표'!AN61,$BI$9),COUNTIF('1.연간시수표'!AN61,$BI$7),COUNTIF('1.연간시수표'!AN61,$BJ$9),COUNTIF('1.연간시수표'!AN61,$BJ$7),COUNTIF('1.연간시수표'!AN61,$BK$9),COUNTIF('1.연간시수표'!AN61,$BK$7),COUNTIF('1.연간시수표'!AN61,$BL$9),COUNTIF('1.연간시수표'!AN61,$BL$7),COUNTIF('1.연간시수표'!AN61,$BM$9),COUNTIF('1.연간시수표'!AN61,$BM$7)),$BF$6,IF(OR(COUNTIF('1.연간시수표'!AN61,$BO$9),COUNTIF('1.연간시수표'!AN61,$BO$7)),$BO$6,IF(OR(COUNTIF('1.연간시수표'!AN61,$BP$9),COUNTIF('1.연간시수표'!AN61,$BP$7)),$BP$6,IF(OR(COUNTIF('1.연간시수표'!AN61,$BQ$9),COUNTIF('1.연간시수표'!AN61,$BQ$7)),$BQ$6,IF(OR(COUNTIF('1.연간시수표'!AN61,$BR$9),COUNTIF('1.연간시수표'!AN61,$BR$7)),$BR$6,"_")))))))))))))))</f>
        <v>국어</v>
      </c>
      <c r="AO61" s="148" t="str">
        <f>IF(OR(COUNTIF('1.연간시수표'!AO61,$AT$9),COUNTIF('1.연간시수표'!AO61,$AT$7)),$AT$6,IF(OR(COUNTIF('1.연간시수표'!AO61,$AU$9),COUNTIF('1.연간시수표'!AO61,$AU$7)),$AU$6,IF(OR(COUNTIF('1.연간시수표'!AO61,$AV$9),COUNTIF('1.연간시수표'!AO61,$AV$7)),$AV$6,IF(OR(COUNTIF('1.연간시수표'!AO61,$AW$9),COUNTIF('1.연간시수표'!AO61,$AW$7)),$AW$6,IF(OR(COUNTIF('1.연간시수표'!AO61,$AX$9),COUNTIF('1.연간시수표'!AO61,$AX$7)),$AX$6,IF(OR(COUNTIF('1.연간시수표'!AO61,$AY$9),COUNTIF('1.연간시수표'!AO61,$AY$7)),$AY$6,IF(OR(COUNTIF('1.연간시수표'!AO61,$AZ$9),COUNTIF('1.연간시수표'!AO61,$AZ$7)),$AZ$6,IF(OR(COUNTIF('1.연간시수표'!AO61,$BA$9),COUNTIF('1.연간시수표'!AO61,$BA$7)),$BA$6,IF(OR(COUNTIF('1.연간시수표'!AO61,$BB$9),COUNTIF('1.연간시수표'!AO61,$BB$7)),$BB$6,IF(OR(COUNTIF('1.연간시수표'!AO61,$BC$9),COUNTIF('1.연간시수표'!AO61,$BC$7)),$BC$6,IF(OR(COUNTIF('1.연간시수표'!AO61,$BF$9),COUNTIF('1.연간시수표'!AO61,$BF$7),COUNTIF('1.연간시수표'!AO61,$BG$9),COUNTIF('1.연간시수표'!AO61,$BG$7),COUNTIF('1.연간시수표'!AO61,$BH$9),COUNTIF('1.연간시수표'!AO61,$BH$7),COUNTIF('1.연간시수표'!AO61,$BI$9),COUNTIF('1.연간시수표'!AO61,$BI$7),COUNTIF('1.연간시수표'!AO61,$BJ$9),COUNTIF('1.연간시수표'!AO61,$BJ$7),COUNTIF('1.연간시수표'!AO61,$BK$9),COUNTIF('1.연간시수표'!AO61,$BK$7),COUNTIF('1.연간시수표'!AO61,$BL$9),COUNTIF('1.연간시수표'!AO61,$BL$7),COUNTIF('1.연간시수표'!AO61,$BM$9),COUNTIF('1.연간시수표'!AO61,$BM$7)),$BF$6,IF(OR(COUNTIF('1.연간시수표'!AO61,$BO$9),COUNTIF('1.연간시수표'!AO61,$BO$7)),$BO$6,IF(OR(COUNTIF('1.연간시수표'!AO61,$BP$9),COUNTIF('1.연간시수표'!AO61,$BP$7)),$BP$6,IF(OR(COUNTIF('1.연간시수표'!AO61,$BQ$9),COUNTIF('1.연간시수표'!AO61,$BQ$7)),$BQ$6,IF(OR(COUNTIF('1.연간시수표'!AO61,$BR$9),COUNTIF('1.연간시수표'!AO61,$BR$7)),$BR$6,"_")))))))))))))))</f>
        <v>사회</v>
      </c>
      <c r="AP61" s="148" t="str">
        <f>IF(OR(COUNTIF('1.연간시수표'!AP61,$AT$9),COUNTIF('1.연간시수표'!AP61,$AT$7)),$AT$6,IF(OR(COUNTIF('1.연간시수표'!AP61,$AU$9),COUNTIF('1.연간시수표'!AP61,$AU$7)),$AU$6,IF(OR(COUNTIF('1.연간시수표'!AP61,$AV$9),COUNTIF('1.연간시수표'!AP61,$AV$7)),$AV$6,IF(OR(COUNTIF('1.연간시수표'!AP61,$AW$9),COUNTIF('1.연간시수표'!AP61,$AW$7)),$AW$6,IF(OR(COUNTIF('1.연간시수표'!AP61,$AX$9),COUNTIF('1.연간시수표'!AP61,$AX$7)),$AX$6,IF(OR(COUNTIF('1.연간시수표'!AP61,$AY$9),COUNTIF('1.연간시수표'!AP61,$AY$7)),$AY$6,IF(OR(COUNTIF('1.연간시수표'!AP61,$AZ$9),COUNTIF('1.연간시수표'!AP61,$AZ$7)),$AZ$6,IF(OR(COUNTIF('1.연간시수표'!AP61,$BA$9),COUNTIF('1.연간시수표'!AP61,$BA$7)),$BA$6,IF(OR(COUNTIF('1.연간시수표'!AP61,$BB$9),COUNTIF('1.연간시수표'!AP61,$BB$7)),$BB$6,IF(OR(COUNTIF('1.연간시수표'!AP61,$BC$9),COUNTIF('1.연간시수표'!AP61,$BC$7)),$BC$6,IF(OR(COUNTIF('1.연간시수표'!AP61,$BF$9),COUNTIF('1.연간시수표'!AP61,$BF$7),COUNTIF('1.연간시수표'!AP61,$BG$9),COUNTIF('1.연간시수표'!AP61,$BG$7),COUNTIF('1.연간시수표'!AP61,$BH$9),COUNTIF('1.연간시수표'!AP61,$BH$7),COUNTIF('1.연간시수표'!AP61,$BI$9),COUNTIF('1.연간시수표'!AP61,$BI$7),COUNTIF('1.연간시수표'!AP61,$BJ$9),COUNTIF('1.연간시수표'!AP61,$BJ$7),COUNTIF('1.연간시수표'!AP61,$BK$9),COUNTIF('1.연간시수표'!AP61,$BK$7),COUNTIF('1.연간시수표'!AP61,$BL$9),COUNTIF('1.연간시수표'!AP61,$BL$7),COUNTIF('1.연간시수표'!AP61,$BM$9),COUNTIF('1.연간시수표'!AP61,$BM$7)),$BF$6,IF(OR(COUNTIF('1.연간시수표'!AP61,$BO$9),COUNTIF('1.연간시수표'!AP61,$BO$7)),$BO$6,IF(OR(COUNTIF('1.연간시수표'!AP61,$BP$9),COUNTIF('1.연간시수표'!AP61,$BP$7)),$BP$6,IF(OR(COUNTIF('1.연간시수표'!AP61,$BQ$9),COUNTIF('1.연간시수표'!AP61,$BQ$7)),$BQ$6,IF(OR(COUNTIF('1.연간시수표'!AP61,$BR$9),COUNTIF('1.연간시수표'!AP61,$BR$7)),$BR$6,"_")))))))))))))))</f>
        <v>실과</v>
      </c>
      <c r="AQ61" s="148" t="str">
        <f>IF(OR(COUNTIF('1.연간시수표'!AQ61,$AT$9),COUNTIF('1.연간시수표'!AQ61,$AT$7)),$AT$6,IF(OR(COUNTIF('1.연간시수표'!AQ61,$AU$9),COUNTIF('1.연간시수표'!AQ61,$AU$7)),$AU$6,IF(OR(COUNTIF('1.연간시수표'!AQ61,$AV$9),COUNTIF('1.연간시수표'!AQ61,$AV$7)),$AV$6,IF(OR(COUNTIF('1.연간시수표'!AQ61,$AW$9),COUNTIF('1.연간시수표'!AQ61,$AW$7)),$AW$6,IF(OR(COUNTIF('1.연간시수표'!AQ61,$AX$9),COUNTIF('1.연간시수표'!AQ61,$AX$7)),$AX$6,IF(OR(COUNTIF('1.연간시수표'!AQ61,$AY$9),COUNTIF('1.연간시수표'!AQ61,$AY$7)),$AY$6,IF(OR(COUNTIF('1.연간시수표'!AQ61,$AZ$9),COUNTIF('1.연간시수표'!AQ61,$AZ$7)),$AZ$6,IF(OR(COUNTIF('1.연간시수표'!AQ61,$BA$9),COUNTIF('1.연간시수표'!AQ61,$BA$7)),$BA$6,IF(OR(COUNTIF('1.연간시수표'!AQ61,$BB$9),COUNTIF('1.연간시수표'!AQ61,$BB$7)),$BB$6,IF(OR(COUNTIF('1.연간시수표'!AQ61,$BC$9),COUNTIF('1.연간시수표'!AQ61,$BC$7)),$BC$6,IF(OR(COUNTIF('1.연간시수표'!AQ61,$BF$9),COUNTIF('1.연간시수표'!AQ61,$BF$7),COUNTIF('1.연간시수표'!AQ61,$BG$9),COUNTIF('1.연간시수표'!AQ61,$BG$7),COUNTIF('1.연간시수표'!AQ61,$BH$9),COUNTIF('1.연간시수표'!AQ61,$BH$7),COUNTIF('1.연간시수표'!AQ61,$BI$9),COUNTIF('1.연간시수표'!AQ61,$BI$7),COUNTIF('1.연간시수표'!AQ61,$BJ$9),COUNTIF('1.연간시수표'!AQ61,$BJ$7),COUNTIF('1.연간시수표'!AQ61,$BK$9),COUNTIF('1.연간시수표'!AQ61,$BK$7),COUNTIF('1.연간시수표'!AQ61,$BL$9),COUNTIF('1.연간시수표'!AQ61,$BL$7),COUNTIF('1.연간시수표'!AQ61,$BM$9),COUNTIF('1.연간시수표'!AQ61,$BM$7)),$BF$6,IF(OR(COUNTIF('1.연간시수표'!AQ61,$BO$9),COUNTIF('1.연간시수표'!AQ61,$BO$7)),$BO$6,IF(OR(COUNTIF('1.연간시수표'!AQ61,$BP$9),COUNTIF('1.연간시수표'!AQ61,$BP$7)),$BP$6,IF(OR(COUNTIF('1.연간시수표'!AQ61,$BQ$9),COUNTIF('1.연간시수표'!AQ61,$BQ$7)),$BQ$6,IF(OR(COUNTIF('1.연간시수표'!AQ61,$BR$9),COUNTIF('1.연간시수표'!AQ61,$BR$7)),$BR$6,"_")))))))))))))))</f>
        <v>_</v>
      </c>
      <c r="AR61" s="148" t="str">
        <f>IF(OR(COUNTIF('1.연간시수표'!AR61,$AT$9),COUNTIF('1.연간시수표'!AR61,$AT$7)),$AT$6,IF(OR(COUNTIF('1.연간시수표'!AR61,$AU$9),COUNTIF('1.연간시수표'!AR61,$AU$7)),$AU$6,IF(OR(COUNTIF('1.연간시수표'!AR61,$AV$9),COUNTIF('1.연간시수표'!AR61,$AV$7)),$AV$6,IF(OR(COUNTIF('1.연간시수표'!AR61,$AW$9),COUNTIF('1.연간시수표'!AR61,$AW$7)),$AW$6,IF(OR(COUNTIF('1.연간시수표'!AR61,$AX$9),COUNTIF('1.연간시수표'!AR61,$AX$7)),$AX$6,IF(OR(COUNTIF('1.연간시수표'!AR61,$AY$9),COUNTIF('1.연간시수표'!AR61,$AY$7)),$AY$6,IF(OR(COUNTIF('1.연간시수표'!AR61,$AZ$9),COUNTIF('1.연간시수표'!AR61,$AZ$7)),$AZ$6,IF(OR(COUNTIF('1.연간시수표'!AR61,$BA$9),COUNTIF('1.연간시수표'!AR61,$BA$7)),$BA$6,IF(OR(COUNTIF('1.연간시수표'!AR61,$BB$9),COUNTIF('1.연간시수표'!AR61,$BB$7)),$BB$6,IF(OR(COUNTIF('1.연간시수표'!AR61,$BC$9),COUNTIF('1.연간시수표'!AR61,$BC$7)),$BC$6,IF(OR(COUNTIF('1.연간시수표'!AR61,$BF$9),COUNTIF('1.연간시수표'!AR61,$BF$7),COUNTIF('1.연간시수표'!AR61,$BG$9),COUNTIF('1.연간시수표'!AR61,$BG$7),COUNTIF('1.연간시수표'!AR61,$BH$9),COUNTIF('1.연간시수표'!AR61,$BH$7),COUNTIF('1.연간시수표'!AR61,$BI$9),COUNTIF('1.연간시수표'!AR61,$BI$7),COUNTIF('1.연간시수표'!AR61,$BJ$9),COUNTIF('1.연간시수표'!AR61,$BJ$7),COUNTIF('1.연간시수표'!AR61,$BK$9),COUNTIF('1.연간시수표'!AR61,$BK$7),COUNTIF('1.연간시수표'!AR61,$BL$9),COUNTIF('1.연간시수표'!AR61,$BL$7),COUNTIF('1.연간시수표'!AR61,$BM$9),COUNTIF('1.연간시수표'!AR61,$BM$7)),$BF$6,IF(OR(COUNTIF('1.연간시수표'!AR61,$BO$9),COUNTIF('1.연간시수표'!AR61,$BO$7)),$BO$6,IF(OR(COUNTIF('1.연간시수표'!AR61,$BP$9),COUNTIF('1.연간시수표'!AR61,$BP$7)),$BP$6,IF(OR(COUNTIF('1.연간시수표'!AR61,$BQ$9),COUNTIF('1.연간시수표'!AR61,$BQ$7)),$BQ$6,IF(OR(COUNTIF('1.연간시수표'!AR61,$BR$9),COUNTIF('1.연간시수표'!AR61,$BR$7)),$BR$6,"_")))))))))))))))</f>
        <v>_</v>
      </c>
      <c r="BU61" s="32"/>
    </row>
    <row r="62" spans="2:73">
      <c r="B62" s="6"/>
      <c r="C62" s="79">
        <f>'1.연간시수표'!C62</f>
        <v>31</v>
      </c>
      <c r="D62" s="3"/>
      <c r="E62" s="148" t="str">
        <f>IF(OR(COUNTIF('1.연간시수표'!E62,$AT$9),COUNTIF('1.연간시수표'!E62,$AT$7)),$AT$6,IF(OR(COUNTIF('1.연간시수표'!E62,$AU$9),COUNTIF('1.연간시수표'!E62,$AU$7)),$AU$6,IF(OR(COUNTIF('1.연간시수표'!E62,$AV$9),COUNTIF('1.연간시수표'!E62,$AV$7)),$AV$6,IF(OR(COUNTIF('1.연간시수표'!E62,$AW$9),COUNTIF('1.연간시수표'!E62,$AW$7)),$AW$6,IF(OR(COUNTIF('1.연간시수표'!E62,$AX$9),COUNTIF('1.연간시수표'!E62,$AX$7)),$AX$6,IF(OR(COUNTIF('1.연간시수표'!E62,$AY$9),COUNTIF('1.연간시수표'!E62,$AY$7)),$AY$6,IF(OR(COUNTIF('1.연간시수표'!E62,$AZ$9),COUNTIF('1.연간시수표'!E62,$AZ$7)),$AZ$6,IF(OR(COUNTIF('1.연간시수표'!E62,$BA$9),COUNTIF('1.연간시수표'!E62,$BA$7)),$BA$6,IF(OR(COUNTIF('1.연간시수표'!E62,$BB$9),COUNTIF('1.연간시수표'!E62,$BB$7)),$BB$6,IF(OR(COUNTIF('1.연간시수표'!E62,$BC$9),COUNTIF('1.연간시수표'!E62,$BC$7)),$BC$6,IF(OR(COUNTIF('1.연간시수표'!E62,$BF$9),COUNTIF('1.연간시수표'!E62,$BF$7),COUNTIF('1.연간시수표'!E62,$BG$9),COUNTIF('1.연간시수표'!E62,$BG$7),COUNTIF('1.연간시수표'!E62,$BH$9),COUNTIF('1.연간시수표'!E62,$BH$7),COUNTIF('1.연간시수표'!E62,$BI$9),COUNTIF('1.연간시수표'!E62,$BI$7),COUNTIF('1.연간시수표'!E62,$BJ$9),COUNTIF('1.연간시수표'!E62,$BJ$7),COUNTIF('1.연간시수표'!E62,$BK$9),COUNTIF('1.연간시수표'!E62,$BK$7),COUNTIF('1.연간시수표'!E62,$BL$9),COUNTIF('1.연간시수표'!E62,$BL$7),COUNTIF('1.연간시수표'!E62,$BM$9),COUNTIF('1.연간시수표'!E62,$BM$7)),$BF$6,IF(OR(COUNTIF('1.연간시수표'!E62,$BO$9),COUNTIF('1.연간시수표'!E62,$BO$7)),$BO$6,IF(OR(COUNTIF('1.연간시수표'!E62,$BP$9),COUNTIF('1.연간시수표'!E62,$BP$7)),$BP$6,IF(OR(COUNTIF('1.연간시수표'!E62,$BQ$9),COUNTIF('1.연간시수표'!E62,$BQ$7)),$BQ$6,IF(OR(COUNTIF('1.연간시수표'!E62,$BR$9),COUNTIF('1.연간시수표'!E62,$BR$7)),$BR$6,"_")))))))))))))))</f>
        <v>국어</v>
      </c>
      <c r="F62" s="148" t="str">
        <f>IF(OR(COUNTIF('1.연간시수표'!F62,$AT$9),COUNTIF('1.연간시수표'!F62,$AT$7)),$AT$6,IF(OR(COUNTIF('1.연간시수표'!F62,$AU$9),COUNTIF('1.연간시수표'!F62,$AU$7)),$AU$6,IF(OR(COUNTIF('1.연간시수표'!F62,$AV$9),COUNTIF('1.연간시수표'!F62,$AV$7)),$AV$6,IF(OR(COUNTIF('1.연간시수표'!F62,$AW$9),COUNTIF('1.연간시수표'!F62,$AW$7)),$AW$6,IF(OR(COUNTIF('1.연간시수표'!F62,$AX$9),COUNTIF('1.연간시수표'!F62,$AX$7)),$AX$6,IF(OR(COUNTIF('1.연간시수표'!F62,$AY$9),COUNTIF('1.연간시수표'!F62,$AY$7)),$AY$6,IF(OR(COUNTIF('1.연간시수표'!F62,$AZ$9),COUNTIF('1.연간시수표'!F62,$AZ$7)),$AZ$6,IF(OR(COUNTIF('1.연간시수표'!F62,$BA$9),COUNTIF('1.연간시수표'!F62,$BA$7)),$BA$6,IF(OR(COUNTIF('1.연간시수표'!F62,$BB$9),COUNTIF('1.연간시수표'!F62,$BB$7)),$BB$6,IF(OR(COUNTIF('1.연간시수표'!F62,$BC$9),COUNTIF('1.연간시수표'!F62,$BC$7)),$BC$6,IF(OR(COUNTIF('1.연간시수표'!F62,$BF$9),COUNTIF('1.연간시수표'!F62,$BF$7),COUNTIF('1.연간시수표'!F62,$BG$9),COUNTIF('1.연간시수표'!F62,$BG$7),COUNTIF('1.연간시수표'!F62,$BH$9),COUNTIF('1.연간시수표'!F62,$BH$7),COUNTIF('1.연간시수표'!F62,$BI$9),COUNTIF('1.연간시수표'!F62,$BI$7),COUNTIF('1.연간시수표'!F62,$BJ$9),COUNTIF('1.연간시수표'!F62,$BJ$7),COUNTIF('1.연간시수표'!F62,$BK$9),COUNTIF('1.연간시수표'!F62,$BK$7),COUNTIF('1.연간시수표'!F62,$BL$9),COUNTIF('1.연간시수표'!F62,$BL$7),COUNTIF('1.연간시수표'!F62,$BM$9),COUNTIF('1.연간시수표'!F62,$BM$7)),$BF$6,IF(OR(COUNTIF('1.연간시수표'!F62,$BO$9),COUNTIF('1.연간시수표'!F62,$BO$7)),$BO$6,IF(OR(COUNTIF('1.연간시수표'!F62,$BP$9),COUNTIF('1.연간시수표'!F62,$BP$7)),$BP$6,IF(OR(COUNTIF('1.연간시수표'!F62,$BQ$9),COUNTIF('1.연간시수표'!F62,$BQ$7)),$BQ$6,IF(OR(COUNTIF('1.연간시수표'!F62,$BR$9),COUNTIF('1.연간시수표'!F62,$BR$7)),$BR$6,"_")))))))))))))))</f>
        <v>미술</v>
      </c>
      <c r="G62" s="148" t="str">
        <f>IF(OR(COUNTIF('1.연간시수표'!G62,$AT$9),COUNTIF('1.연간시수표'!G62,$AT$7)),$AT$6,IF(OR(COUNTIF('1.연간시수표'!G62,$AU$9),COUNTIF('1.연간시수표'!G62,$AU$7)),$AU$6,IF(OR(COUNTIF('1.연간시수표'!G62,$AV$9),COUNTIF('1.연간시수표'!G62,$AV$7)),$AV$6,IF(OR(COUNTIF('1.연간시수표'!G62,$AW$9),COUNTIF('1.연간시수표'!G62,$AW$7)),$AW$6,IF(OR(COUNTIF('1.연간시수표'!G62,$AX$9),COUNTIF('1.연간시수표'!G62,$AX$7)),$AX$6,IF(OR(COUNTIF('1.연간시수표'!G62,$AY$9),COUNTIF('1.연간시수표'!G62,$AY$7)),$AY$6,IF(OR(COUNTIF('1.연간시수표'!G62,$AZ$9),COUNTIF('1.연간시수표'!G62,$AZ$7)),$AZ$6,IF(OR(COUNTIF('1.연간시수표'!G62,$BA$9),COUNTIF('1.연간시수표'!G62,$BA$7)),$BA$6,IF(OR(COUNTIF('1.연간시수표'!G62,$BB$9),COUNTIF('1.연간시수표'!G62,$BB$7)),$BB$6,IF(OR(COUNTIF('1.연간시수표'!G62,$BC$9),COUNTIF('1.연간시수표'!G62,$BC$7)),$BC$6,IF(OR(COUNTIF('1.연간시수표'!G62,$BF$9),COUNTIF('1.연간시수표'!G62,$BF$7),COUNTIF('1.연간시수표'!G62,$BG$9),COUNTIF('1.연간시수표'!G62,$BG$7),COUNTIF('1.연간시수표'!G62,$BH$9),COUNTIF('1.연간시수표'!G62,$BH$7),COUNTIF('1.연간시수표'!G62,$BI$9),COUNTIF('1.연간시수표'!G62,$BI$7),COUNTIF('1.연간시수표'!G62,$BJ$9),COUNTIF('1.연간시수표'!G62,$BJ$7),COUNTIF('1.연간시수표'!G62,$BK$9),COUNTIF('1.연간시수표'!G62,$BK$7),COUNTIF('1.연간시수표'!G62,$BL$9),COUNTIF('1.연간시수표'!G62,$BL$7),COUNTIF('1.연간시수표'!G62,$BM$9),COUNTIF('1.연간시수표'!G62,$BM$7)),$BF$6,IF(OR(COUNTIF('1.연간시수표'!G62,$BO$9),COUNTIF('1.연간시수표'!G62,$BO$7)),$BO$6,IF(OR(COUNTIF('1.연간시수표'!G62,$BP$9),COUNTIF('1.연간시수표'!G62,$BP$7)),$BP$6,IF(OR(COUNTIF('1.연간시수표'!G62,$BQ$9),COUNTIF('1.연간시수표'!G62,$BQ$7)),$BQ$6,IF(OR(COUNTIF('1.연간시수표'!G62,$BR$9),COUNTIF('1.연간시수표'!G62,$BR$7)),$BR$6,"_")))))))))))))))</f>
        <v>미술</v>
      </c>
      <c r="H62" s="148" t="str">
        <f>IF(OR(COUNTIF('1.연간시수표'!H62,$AT$9),COUNTIF('1.연간시수표'!H62,$AT$7)),$AT$6,IF(OR(COUNTIF('1.연간시수표'!H62,$AU$9),COUNTIF('1.연간시수표'!H62,$AU$7)),$AU$6,IF(OR(COUNTIF('1.연간시수표'!H62,$AV$9),COUNTIF('1.연간시수표'!H62,$AV$7)),$AV$6,IF(OR(COUNTIF('1.연간시수표'!H62,$AW$9),COUNTIF('1.연간시수표'!H62,$AW$7)),$AW$6,IF(OR(COUNTIF('1.연간시수표'!H62,$AX$9),COUNTIF('1.연간시수표'!H62,$AX$7)),$AX$6,IF(OR(COUNTIF('1.연간시수표'!H62,$AY$9),COUNTIF('1.연간시수표'!H62,$AY$7)),$AY$6,IF(OR(COUNTIF('1.연간시수표'!H62,$AZ$9),COUNTIF('1.연간시수표'!H62,$AZ$7)),$AZ$6,IF(OR(COUNTIF('1.연간시수표'!H62,$BA$9),COUNTIF('1.연간시수표'!H62,$BA$7)),$BA$6,IF(OR(COUNTIF('1.연간시수표'!H62,$BB$9),COUNTIF('1.연간시수표'!H62,$BB$7)),$BB$6,IF(OR(COUNTIF('1.연간시수표'!H62,$BC$9),COUNTIF('1.연간시수표'!H62,$BC$7)),$BC$6,IF(OR(COUNTIF('1.연간시수표'!H62,$BF$9),COUNTIF('1.연간시수표'!H62,$BF$7),COUNTIF('1.연간시수표'!H62,$BG$9),COUNTIF('1.연간시수표'!H62,$BG$7),COUNTIF('1.연간시수표'!H62,$BH$9),COUNTIF('1.연간시수표'!H62,$BH$7),COUNTIF('1.연간시수표'!H62,$BI$9),COUNTIF('1.연간시수표'!H62,$BI$7),COUNTIF('1.연간시수표'!H62,$BJ$9),COUNTIF('1.연간시수표'!H62,$BJ$7),COUNTIF('1.연간시수표'!H62,$BK$9),COUNTIF('1.연간시수표'!H62,$BK$7),COUNTIF('1.연간시수표'!H62,$BL$9),COUNTIF('1.연간시수표'!H62,$BL$7),COUNTIF('1.연간시수표'!H62,$BM$9),COUNTIF('1.연간시수표'!H62,$BM$7)),$BF$6,IF(OR(COUNTIF('1.연간시수표'!H62,$BO$9),COUNTIF('1.연간시수표'!H62,$BO$7)),$BO$6,IF(OR(COUNTIF('1.연간시수표'!H62,$BP$9),COUNTIF('1.연간시수표'!H62,$BP$7)),$BP$6,IF(OR(COUNTIF('1.연간시수표'!H62,$BQ$9),COUNTIF('1.연간시수표'!H62,$BQ$7)),$BQ$6,IF(OR(COUNTIF('1.연간시수표'!H62,$BR$9),COUNTIF('1.연간시수표'!H62,$BR$7)),$BR$6,"_")))))))))))))))</f>
        <v>영어</v>
      </c>
      <c r="I62" s="148" t="str">
        <f>IF(OR(COUNTIF('1.연간시수표'!I62,$AT$9),COUNTIF('1.연간시수표'!I62,$AT$7)),$AT$6,IF(OR(COUNTIF('1.연간시수표'!I62,$AU$9),COUNTIF('1.연간시수표'!I62,$AU$7)),$AU$6,IF(OR(COUNTIF('1.연간시수표'!I62,$AV$9),COUNTIF('1.연간시수표'!I62,$AV$7)),$AV$6,IF(OR(COUNTIF('1.연간시수표'!I62,$AW$9),COUNTIF('1.연간시수표'!I62,$AW$7)),$AW$6,IF(OR(COUNTIF('1.연간시수표'!I62,$AX$9),COUNTIF('1.연간시수표'!I62,$AX$7)),$AX$6,IF(OR(COUNTIF('1.연간시수표'!I62,$AY$9),COUNTIF('1.연간시수표'!I62,$AY$7)),$AY$6,IF(OR(COUNTIF('1.연간시수표'!I62,$AZ$9),COUNTIF('1.연간시수표'!I62,$AZ$7)),$AZ$6,IF(OR(COUNTIF('1.연간시수표'!I62,$BA$9),COUNTIF('1.연간시수표'!I62,$BA$7)),$BA$6,IF(OR(COUNTIF('1.연간시수표'!I62,$BB$9),COUNTIF('1.연간시수표'!I62,$BB$7)),$BB$6,IF(OR(COUNTIF('1.연간시수표'!I62,$BC$9),COUNTIF('1.연간시수표'!I62,$BC$7)),$BC$6,IF(OR(COUNTIF('1.연간시수표'!I62,$BF$9),COUNTIF('1.연간시수표'!I62,$BF$7),COUNTIF('1.연간시수표'!I62,$BG$9),COUNTIF('1.연간시수표'!I62,$BG$7),COUNTIF('1.연간시수표'!I62,$BH$9),COUNTIF('1.연간시수표'!I62,$BH$7),COUNTIF('1.연간시수표'!I62,$BI$9),COUNTIF('1.연간시수표'!I62,$BI$7),COUNTIF('1.연간시수표'!I62,$BJ$9),COUNTIF('1.연간시수표'!I62,$BJ$7),COUNTIF('1.연간시수표'!I62,$BK$9),COUNTIF('1.연간시수표'!I62,$BK$7),COUNTIF('1.연간시수표'!I62,$BL$9),COUNTIF('1.연간시수표'!I62,$BL$7),COUNTIF('1.연간시수표'!I62,$BM$9),COUNTIF('1.연간시수표'!I62,$BM$7)),$BF$6,IF(OR(COUNTIF('1.연간시수표'!I62,$BO$9),COUNTIF('1.연간시수표'!I62,$BO$7)),$BO$6,IF(OR(COUNTIF('1.연간시수표'!I62,$BP$9),COUNTIF('1.연간시수표'!I62,$BP$7)),$BP$6,IF(OR(COUNTIF('1.연간시수표'!I62,$BQ$9),COUNTIF('1.연간시수표'!I62,$BQ$7)),$BQ$6,IF(OR(COUNTIF('1.연간시수표'!I62,$BR$9),COUNTIF('1.연간시수표'!I62,$BR$7)),$BR$6,"_")))))))))))))))</f>
        <v>수학</v>
      </c>
      <c r="J62" s="148" t="str">
        <f>IF(OR(COUNTIF('1.연간시수표'!J62,$AT$9),COUNTIF('1.연간시수표'!J62,$AT$7)),$AT$6,IF(OR(COUNTIF('1.연간시수표'!J62,$AU$9),COUNTIF('1.연간시수표'!J62,$AU$7)),$AU$6,IF(OR(COUNTIF('1.연간시수표'!J62,$AV$9),COUNTIF('1.연간시수표'!J62,$AV$7)),$AV$6,IF(OR(COUNTIF('1.연간시수표'!J62,$AW$9),COUNTIF('1.연간시수표'!J62,$AW$7)),$AW$6,IF(OR(COUNTIF('1.연간시수표'!J62,$AX$9),COUNTIF('1.연간시수표'!J62,$AX$7)),$AX$6,IF(OR(COUNTIF('1.연간시수표'!J62,$AY$9),COUNTIF('1.연간시수표'!J62,$AY$7)),$AY$6,IF(OR(COUNTIF('1.연간시수표'!J62,$AZ$9),COUNTIF('1.연간시수표'!J62,$AZ$7)),$AZ$6,IF(OR(COUNTIF('1.연간시수표'!J62,$BA$9),COUNTIF('1.연간시수표'!J62,$BA$7)),$BA$6,IF(OR(COUNTIF('1.연간시수표'!J62,$BB$9),COUNTIF('1.연간시수표'!J62,$BB$7)),$BB$6,IF(OR(COUNTIF('1.연간시수표'!J62,$BC$9),COUNTIF('1.연간시수표'!J62,$BC$7)),$BC$6,IF(OR(COUNTIF('1.연간시수표'!J62,$BF$9),COUNTIF('1.연간시수표'!J62,$BF$7),COUNTIF('1.연간시수표'!J62,$BG$9),COUNTIF('1.연간시수표'!J62,$BG$7),COUNTIF('1.연간시수표'!J62,$BH$9),COUNTIF('1.연간시수표'!J62,$BH$7),COUNTIF('1.연간시수표'!J62,$BI$9),COUNTIF('1.연간시수표'!J62,$BI$7),COUNTIF('1.연간시수표'!J62,$BJ$9),COUNTIF('1.연간시수표'!J62,$BJ$7),COUNTIF('1.연간시수표'!J62,$BK$9),COUNTIF('1.연간시수표'!J62,$BK$7),COUNTIF('1.연간시수표'!J62,$BL$9),COUNTIF('1.연간시수표'!J62,$BL$7),COUNTIF('1.연간시수표'!J62,$BM$9),COUNTIF('1.연간시수표'!J62,$BM$7)),$BF$6,IF(OR(COUNTIF('1.연간시수표'!J62,$BO$9),COUNTIF('1.연간시수표'!J62,$BO$7)),$BO$6,IF(OR(COUNTIF('1.연간시수표'!J62,$BP$9),COUNTIF('1.연간시수표'!J62,$BP$7)),$BP$6,IF(OR(COUNTIF('1.연간시수표'!J62,$BQ$9),COUNTIF('1.연간시수표'!J62,$BQ$7)),$BQ$6,IF(OR(COUNTIF('1.연간시수표'!J62,$BR$9),COUNTIF('1.연간시수표'!J62,$BR$7)),$BR$6,"_")))))))))))))))</f>
        <v>자율활동</v>
      </c>
      <c r="K62" s="148" t="str">
        <f>IF(OR(COUNTIF('1.연간시수표'!K62,$AT$9),COUNTIF('1.연간시수표'!K62,$AT$7)),$AT$6,IF(OR(COUNTIF('1.연간시수표'!K62,$AU$9),COUNTIF('1.연간시수표'!K62,$AU$7)),$AU$6,IF(OR(COUNTIF('1.연간시수표'!K62,$AV$9),COUNTIF('1.연간시수표'!K62,$AV$7)),$AV$6,IF(OR(COUNTIF('1.연간시수표'!K62,$AW$9),COUNTIF('1.연간시수표'!K62,$AW$7)),$AW$6,IF(OR(COUNTIF('1.연간시수표'!K62,$AX$9),COUNTIF('1.연간시수표'!K62,$AX$7)),$AX$6,IF(OR(COUNTIF('1.연간시수표'!K62,$AY$9),COUNTIF('1.연간시수표'!K62,$AY$7)),$AY$6,IF(OR(COUNTIF('1.연간시수표'!K62,$AZ$9),COUNTIF('1.연간시수표'!K62,$AZ$7)),$AZ$6,IF(OR(COUNTIF('1.연간시수표'!K62,$BA$9),COUNTIF('1.연간시수표'!K62,$BA$7)),$BA$6,IF(OR(COUNTIF('1.연간시수표'!K62,$BB$9),COUNTIF('1.연간시수표'!K62,$BB$7)),$BB$6,IF(OR(COUNTIF('1.연간시수표'!K62,$BC$9),COUNTIF('1.연간시수표'!K62,$BC$7)),$BC$6,IF(OR(COUNTIF('1.연간시수표'!K62,$BF$9),COUNTIF('1.연간시수표'!K62,$BF$7),COUNTIF('1.연간시수표'!K62,$BG$9),COUNTIF('1.연간시수표'!K62,$BG$7),COUNTIF('1.연간시수표'!K62,$BH$9),COUNTIF('1.연간시수표'!K62,$BH$7),COUNTIF('1.연간시수표'!K62,$BI$9),COUNTIF('1.연간시수표'!K62,$BI$7),COUNTIF('1.연간시수표'!K62,$BJ$9),COUNTIF('1.연간시수표'!K62,$BJ$7),COUNTIF('1.연간시수표'!K62,$BK$9),COUNTIF('1.연간시수표'!K62,$BK$7),COUNTIF('1.연간시수표'!K62,$BL$9),COUNTIF('1.연간시수표'!K62,$BL$7),COUNTIF('1.연간시수표'!K62,$BM$9),COUNTIF('1.연간시수표'!K62,$BM$7)),$BF$6,IF(OR(COUNTIF('1.연간시수표'!K62,$BO$9),COUNTIF('1.연간시수표'!K62,$BO$7)),$BO$6,IF(OR(COUNTIF('1.연간시수표'!K62,$BP$9),COUNTIF('1.연간시수표'!K62,$BP$7)),$BP$6,IF(OR(COUNTIF('1.연간시수표'!K62,$BQ$9),COUNTIF('1.연간시수표'!K62,$BQ$7)),$BQ$6,IF(OR(COUNTIF('1.연간시수표'!K62,$BR$9),COUNTIF('1.연간시수표'!K62,$BR$7)),$BR$6,"_")))))))))))))))</f>
        <v>_</v>
      </c>
      <c r="L62" s="148" t="str">
        <f>IF(OR(COUNTIF('1.연간시수표'!L62,$AT$9),COUNTIF('1.연간시수표'!L62,$AT$7)),$AT$6,IF(OR(COUNTIF('1.연간시수표'!L62,$AU$9),COUNTIF('1.연간시수표'!L62,$AU$7)),$AU$6,IF(OR(COUNTIF('1.연간시수표'!L62,$AV$9),COUNTIF('1.연간시수표'!L62,$AV$7)),$AV$6,IF(OR(COUNTIF('1.연간시수표'!L62,$AW$9),COUNTIF('1.연간시수표'!L62,$AW$7)),$AW$6,IF(OR(COUNTIF('1.연간시수표'!L62,$AX$9),COUNTIF('1.연간시수표'!L62,$AX$7)),$AX$6,IF(OR(COUNTIF('1.연간시수표'!L62,$AY$9),COUNTIF('1.연간시수표'!L62,$AY$7)),$AY$6,IF(OR(COUNTIF('1.연간시수표'!L62,$AZ$9),COUNTIF('1.연간시수표'!L62,$AZ$7)),$AZ$6,IF(OR(COUNTIF('1.연간시수표'!L62,$BA$9),COUNTIF('1.연간시수표'!L62,$BA$7)),$BA$6,IF(OR(COUNTIF('1.연간시수표'!L62,$BB$9),COUNTIF('1.연간시수표'!L62,$BB$7)),$BB$6,IF(OR(COUNTIF('1.연간시수표'!L62,$BC$9),COUNTIF('1.연간시수표'!L62,$BC$7)),$BC$6,IF(OR(COUNTIF('1.연간시수표'!L62,$BF$9),COUNTIF('1.연간시수표'!L62,$BF$7),COUNTIF('1.연간시수표'!L62,$BG$9),COUNTIF('1.연간시수표'!L62,$BG$7),COUNTIF('1.연간시수표'!L62,$BH$9),COUNTIF('1.연간시수표'!L62,$BH$7),COUNTIF('1.연간시수표'!L62,$BI$9),COUNTIF('1.연간시수표'!L62,$BI$7),COUNTIF('1.연간시수표'!L62,$BJ$9),COUNTIF('1.연간시수표'!L62,$BJ$7),COUNTIF('1.연간시수표'!L62,$BK$9),COUNTIF('1.연간시수표'!L62,$BK$7),COUNTIF('1.연간시수표'!L62,$BL$9),COUNTIF('1.연간시수표'!L62,$BL$7),COUNTIF('1.연간시수표'!L62,$BM$9),COUNTIF('1.연간시수표'!L62,$BM$7)),$BF$6,IF(OR(COUNTIF('1.연간시수표'!L62,$BO$9),COUNTIF('1.연간시수표'!L62,$BO$7)),$BO$6,IF(OR(COUNTIF('1.연간시수표'!L62,$BP$9),COUNTIF('1.연간시수표'!L62,$BP$7)),$BP$6,IF(OR(COUNTIF('1.연간시수표'!L62,$BQ$9),COUNTIF('1.연간시수표'!L62,$BQ$7)),$BQ$6,IF(OR(COUNTIF('1.연간시수표'!L62,$BR$9),COUNTIF('1.연간시수표'!L62,$BR$7)),$BR$6,"_")))))))))))))))</f>
        <v>_</v>
      </c>
      <c r="M62" s="148" t="str">
        <f>IF(OR(COUNTIF('1.연간시수표'!M62,$AT$9),COUNTIF('1.연간시수표'!M62,$AT$7)),$AT$6,IF(OR(COUNTIF('1.연간시수표'!M62,$AU$9),COUNTIF('1.연간시수표'!M62,$AU$7)),$AU$6,IF(OR(COUNTIF('1.연간시수표'!M62,$AV$9),COUNTIF('1.연간시수표'!M62,$AV$7)),$AV$6,IF(OR(COUNTIF('1.연간시수표'!M62,$AW$9),COUNTIF('1.연간시수표'!M62,$AW$7)),$AW$6,IF(OR(COUNTIF('1.연간시수표'!M62,$AX$9),COUNTIF('1.연간시수표'!M62,$AX$7)),$AX$6,IF(OR(COUNTIF('1.연간시수표'!M62,$AY$9),COUNTIF('1.연간시수표'!M62,$AY$7)),$AY$6,IF(OR(COUNTIF('1.연간시수표'!M62,$AZ$9),COUNTIF('1.연간시수표'!M62,$AZ$7)),$AZ$6,IF(OR(COUNTIF('1.연간시수표'!M62,$BA$9),COUNTIF('1.연간시수표'!M62,$BA$7)),$BA$6,IF(OR(COUNTIF('1.연간시수표'!M62,$BB$9),COUNTIF('1.연간시수표'!M62,$BB$7)),$BB$6,IF(OR(COUNTIF('1.연간시수표'!M62,$BC$9),COUNTIF('1.연간시수표'!M62,$BC$7)),$BC$6,IF(OR(COUNTIF('1.연간시수표'!M62,$BF$9),COUNTIF('1.연간시수표'!M62,$BF$7),COUNTIF('1.연간시수표'!M62,$BG$9),COUNTIF('1.연간시수표'!M62,$BG$7),COUNTIF('1.연간시수표'!M62,$BH$9),COUNTIF('1.연간시수표'!M62,$BH$7),COUNTIF('1.연간시수표'!M62,$BI$9),COUNTIF('1.연간시수표'!M62,$BI$7),COUNTIF('1.연간시수표'!M62,$BJ$9),COUNTIF('1.연간시수표'!M62,$BJ$7),COUNTIF('1.연간시수표'!M62,$BK$9),COUNTIF('1.연간시수표'!M62,$BK$7),COUNTIF('1.연간시수표'!M62,$BL$9),COUNTIF('1.연간시수표'!M62,$BL$7),COUNTIF('1.연간시수표'!M62,$BM$9),COUNTIF('1.연간시수표'!M62,$BM$7)),$BF$6,IF(OR(COUNTIF('1.연간시수표'!M62,$BO$9),COUNTIF('1.연간시수표'!M62,$BO$7)),$BO$6,IF(OR(COUNTIF('1.연간시수표'!M62,$BP$9),COUNTIF('1.연간시수표'!M62,$BP$7)),$BP$6,IF(OR(COUNTIF('1.연간시수표'!M62,$BQ$9),COUNTIF('1.연간시수표'!M62,$BQ$7)),$BQ$6,IF(OR(COUNTIF('1.연간시수표'!M62,$BR$9),COUNTIF('1.연간시수표'!M62,$BR$7)),$BR$6,"_")))))))))))))))</f>
        <v>자율활동</v>
      </c>
      <c r="N62" s="148" t="str">
        <f>IF(OR(COUNTIF('1.연간시수표'!N62,$AT$9),COUNTIF('1.연간시수표'!N62,$AT$7)),$AT$6,IF(OR(COUNTIF('1.연간시수표'!N62,$AU$9),COUNTIF('1.연간시수표'!N62,$AU$7)),$AU$6,IF(OR(COUNTIF('1.연간시수표'!N62,$AV$9),COUNTIF('1.연간시수표'!N62,$AV$7)),$AV$6,IF(OR(COUNTIF('1.연간시수표'!N62,$AW$9),COUNTIF('1.연간시수표'!N62,$AW$7)),$AW$6,IF(OR(COUNTIF('1.연간시수표'!N62,$AX$9),COUNTIF('1.연간시수표'!N62,$AX$7)),$AX$6,IF(OR(COUNTIF('1.연간시수표'!N62,$AY$9),COUNTIF('1.연간시수표'!N62,$AY$7)),$AY$6,IF(OR(COUNTIF('1.연간시수표'!N62,$AZ$9),COUNTIF('1.연간시수표'!N62,$AZ$7)),$AZ$6,IF(OR(COUNTIF('1.연간시수표'!N62,$BA$9),COUNTIF('1.연간시수표'!N62,$BA$7)),$BA$6,IF(OR(COUNTIF('1.연간시수표'!N62,$BB$9),COUNTIF('1.연간시수표'!N62,$BB$7)),$BB$6,IF(OR(COUNTIF('1.연간시수표'!N62,$BC$9),COUNTIF('1.연간시수표'!N62,$BC$7)),$BC$6,IF(OR(COUNTIF('1.연간시수표'!N62,$BF$9),COUNTIF('1.연간시수표'!N62,$BF$7),COUNTIF('1.연간시수표'!N62,$BG$9),COUNTIF('1.연간시수표'!N62,$BG$7),COUNTIF('1.연간시수표'!N62,$BH$9),COUNTIF('1.연간시수표'!N62,$BH$7),COUNTIF('1.연간시수표'!N62,$BI$9),COUNTIF('1.연간시수표'!N62,$BI$7),COUNTIF('1.연간시수표'!N62,$BJ$9),COUNTIF('1.연간시수표'!N62,$BJ$7),COUNTIF('1.연간시수표'!N62,$BK$9),COUNTIF('1.연간시수표'!N62,$BK$7),COUNTIF('1.연간시수표'!N62,$BL$9),COUNTIF('1.연간시수표'!N62,$BL$7),COUNTIF('1.연간시수표'!N62,$BM$9),COUNTIF('1.연간시수표'!N62,$BM$7)),$BF$6,IF(OR(COUNTIF('1.연간시수표'!N62,$BO$9),COUNTIF('1.연간시수표'!N62,$BO$7)),$BO$6,IF(OR(COUNTIF('1.연간시수표'!N62,$BP$9),COUNTIF('1.연간시수표'!N62,$BP$7)),$BP$6,IF(OR(COUNTIF('1.연간시수표'!N62,$BQ$9),COUNTIF('1.연간시수표'!N62,$BQ$7)),$BQ$6,IF(OR(COUNTIF('1.연간시수표'!N62,$BR$9),COUNTIF('1.연간시수표'!N62,$BR$7)),$BR$6,"_")))))))))))))))</f>
        <v>자율활동</v>
      </c>
      <c r="O62" s="148" t="str">
        <f>IF(OR(COUNTIF('1.연간시수표'!O62,$AT$9),COUNTIF('1.연간시수표'!O62,$AT$7)),$AT$6,IF(OR(COUNTIF('1.연간시수표'!O62,$AU$9),COUNTIF('1.연간시수표'!O62,$AU$7)),$AU$6,IF(OR(COUNTIF('1.연간시수표'!O62,$AV$9),COUNTIF('1.연간시수표'!O62,$AV$7)),$AV$6,IF(OR(COUNTIF('1.연간시수표'!O62,$AW$9),COUNTIF('1.연간시수표'!O62,$AW$7)),$AW$6,IF(OR(COUNTIF('1.연간시수표'!O62,$AX$9),COUNTIF('1.연간시수표'!O62,$AX$7)),$AX$6,IF(OR(COUNTIF('1.연간시수표'!O62,$AY$9),COUNTIF('1.연간시수표'!O62,$AY$7)),$AY$6,IF(OR(COUNTIF('1.연간시수표'!O62,$AZ$9),COUNTIF('1.연간시수표'!O62,$AZ$7)),$AZ$6,IF(OR(COUNTIF('1.연간시수표'!O62,$BA$9),COUNTIF('1.연간시수표'!O62,$BA$7)),$BA$6,IF(OR(COUNTIF('1.연간시수표'!O62,$BB$9),COUNTIF('1.연간시수표'!O62,$BB$7)),$BB$6,IF(OR(COUNTIF('1.연간시수표'!O62,$BC$9),COUNTIF('1.연간시수표'!O62,$BC$7)),$BC$6,IF(OR(COUNTIF('1.연간시수표'!O62,$BF$9),COUNTIF('1.연간시수표'!O62,$BF$7),COUNTIF('1.연간시수표'!O62,$BG$9),COUNTIF('1.연간시수표'!O62,$BG$7),COUNTIF('1.연간시수표'!O62,$BH$9),COUNTIF('1.연간시수표'!O62,$BH$7),COUNTIF('1.연간시수표'!O62,$BI$9),COUNTIF('1.연간시수표'!O62,$BI$7),COUNTIF('1.연간시수표'!O62,$BJ$9),COUNTIF('1.연간시수표'!O62,$BJ$7),COUNTIF('1.연간시수표'!O62,$BK$9),COUNTIF('1.연간시수표'!O62,$BK$7),COUNTIF('1.연간시수표'!O62,$BL$9),COUNTIF('1.연간시수표'!O62,$BL$7),COUNTIF('1.연간시수표'!O62,$BM$9),COUNTIF('1.연간시수표'!O62,$BM$7)),$BF$6,IF(OR(COUNTIF('1.연간시수표'!O62,$BO$9),COUNTIF('1.연간시수표'!O62,$BO$7)),$BO$6,IF(OR(COUNTIF('1.연간시수표'!O62,$BP$9),COUNTIF('1.연간시수표'!O62,$BP$7)),$BP$6,IF(OR(COUNTIF('1.연간시수표'!O62,$BQ$9),COUNTIF('1.연간시수표'!O62,$BQ$7)),$BQ$6,IF(OR(COUNTIF('1.연간시수표'!O62,$BR$9),COUNTIF('1.연간시수표'!O62,$BR$7)),$BR$6,"_")))))))))))))))</f>
        <v>사회</v>
      </c>
      <c r="P62" s="148" t="str">
        <f>IF(OR(COUNTIF('1.연간시수표'!P62,$AT$9),COUNTIF('1.연간시수표'!P62,$AT$7)),$AT$6,IF(OR(COUNTIF('1.연간시수표'!P62,$AU$9),COUNTIF('1.연간시수표'!P62,$AU$7)),$AU$6,IF(OR(COUNTIF('1.연간시수표'!P62,$AV$9),COUNTIF('1.연간시수표'!P62,$AV$7)),$AV$6,IF(OR(COUNTIF('1.연간시수표'!P62,$AW$9),COUNTIF('1.연간시수표'!P62,$AW$7)),$AW$6,IF(OR(COUNTIF('1.연간시수표'!P62,$AX$9),COUNTIF('1.연간시수표'!P62,$AX$7)),$AX$6,IF(OR(COUNTIF('1.연간시수표'!P62,$AY$9),COUNTIF('1.연간시수표'!P62,$AY$7)),$AY$6,IF(OR(COUNTIF('1.연간시수표'!P62,$AZ$9),COUNTIF('1.연간시수표'!P62,$AZ$7)),$AZ$6,IF(OR(COUNTIF('1.연간시수표'!P62,$BA$9),COUNTIF('1.연간시수표'!P62,$BA$7)),$BA$6,IF(OR(COUNTIF('1.연간시수표'!P62,$BB$9),COUNTIF('1.연간시수표'!P62,$BB$7)),$BB$6,IF(OR(COUNTIF('1.연간시수표'!P62,$BC$9),COUNTIF('1.연간시수표'!P62,$BC$7)),$BC$6,IF(OR(COUNTIF('1.연간시수표'!P62,$BF$9),COUNTIF('1.연간시수표'!P62,$BF$7),COUNTIF('1.연간시수표'!P62,$BG$9),COUNTIF('1.연간시수표'!P62,$BG$7),COUNTIF('1.연간시수표'!P62,$BH$9),COUNTIF('1.연간시수표'!P62,$BH$7),COUNTIF('1.연간시수표'!P62,$BI$9),COUNTIF('1.연간시수표'!P62,$BI$7),COUNTIF('1.연간시수표'!P62,$BJ$9),COUNTIF('1.연간시수표'!P62,$BJ$7),COUNTIF('1.연간시수표'!P62,$BK$9),COUNTIF('1.연간시수표'!P62,$BK$7),COUNTIF('1.연간시수표'!P62,$BL$9),COUNTIF('1.연간시수표'!P62,$BL$7),COUNTIF('1.연간시수표'!P62,$BM$9),COUNTIF('1.연간시수표'!P62,$BM$7)),$BF$6,IF(OR(COUNTIF('1.연간시수표'!P62,$BO$9),COUNTIF('1.연간시수표'!P62,$BO$7)),$BO$6,IF(OR(COUNTIF('1.연간시수표'!P62,$BP$9),COUNTIF('1.연간시수표'!P62,$BP$7)),$BP$6,IF(OR(COUNTIF('1.연간시수표'!P62,$BQ$9),COUNTIF('1.연간시수표'!P62,$BQ$7)),$BQ$6,IF(OR(COUNTIF('1.연간시수표'!P62,$BR$9),COUNTIF('1.연간시수표'!P62,$BR$7)),$BR$6,"_")))))))))))))))</f>
        <v>수학</v>
      </c>
      <c r="Q62" s="148" t="str">
        <f>IF(OR(COUNTIF('1.연간시수표'!Q62,$AT$9),COUNTIF('1.연간시수표'!Q62,$AT$7)),$AT$6,IF(OR(COUNTIF('1.연간시수표'!Q62,$AU$9),COUNTIF('1.연간시수표'!Q62,$AU$7)),$AU$6,IF(OR(COUNTIF('1.연간시수표'!Q62,$AV$9),COUNTIF('1.연간시수표'!Q62,$AV$7)),$AV$6,IF(OR(COUNTIF('1.연간시수표'!Q62,$AW$9),COUNTIF('1.연간시수표'!Q62,$AW$7)),$AW$6,IF(OR(COUNTIF('1.연간시수표'!Q62,$AX$9),COUNTIF('1.연간시수표'!Q62,$AX$7)),$AX$6,IF(OR(COUNTIF('1.연간시수표'!Q62,$AY$9),COUNTIF('1.연간시수표'!Q62,$AY$7)),$AY$6,IF(OR(COUNTIF('1.연간시수표'!Q62,$AZ$9),COUNTIF('1.연간시수표'!Q62,$AZ$7)),$AZ$6,IF(OR(COUNTIF('1.연간시수표'!Q62,$BA$9),COUNTIF('1.연간시수표'!Q62,$BA$7)),$BA$6,IF(OR(COUNTIF('1.연간시수표'!Q62,$BB$9),COUNTIF('1.연간시수표'!Q62,$BB$7)),$BB$6,IF(OR(COUNTIF('1.연간시수표'!Q62,$BC$9),COUNTIF('1.연간시수표'!Q62,$BC$7)),$BC$6,IF(OR(COUNTIF('1.연간시수표'!Q62,$BF$9),COUNTIF('1.연간시수표'!Q62,$BF$7),COUNTIF('1.연간시수표'!Q62,$BG$9),COUNTIF('1.연간시수표'!Q62,$BG$7),COUNTIF('1.연간시수표'!Q62,$BH$9),COUNTIF('1.연간시수표'!Q62,$BH$7),COUNTIF('1.연간시수표'!Q62,$BI$9),COUNTIF('1.연간시수표'!Q62,$BI$7),COUNTIF('1.연간시수표'!Q62,$BJ$9),COUNTIF('1.연간시수표'!Q62,$BJ$7),COUNTIF('1.연간시수표'!Q62,$BK$9),COUNTIF('1.연간시수표'!Q62,$BK$7),COUNTIF('1.연간시수표'!Q62,$BL$9),COUNTIF('1.연간시수표'!Q62,$BL$7),COUNTIF('1.연간시수표'!Q62,$BM$9),COUNTIF('1.연간시수표'!Q62,$BM$7)),$BF$6,IF(OR(COUNTIF('1.연간시수표'!Q62,$BO$9),COUNTIF('1.연간시수표'!Q62,$BO$7)),$BO$6,IF(OR(COUNTIF('1.연간시수표'!Q62,$BP$9),COUNTIF('1.연간시수표'!Q62,$BP$7)),$BP$6,IF(OR(COUNTIF('1.연간시수표'!Q62,$BQ$9),COUNTIF('1.연간시수표'!Q62,$BQ$7)),$BQ$6,IF(OR(COUNTIF('1.연간시수표'!Q62,$BR$9),COUNTIF('1.연간시수표'!Q62,$BR$7)),$BR$6,"_")))))))))))))))</f>
        <v>과학</v>
      </c>
      <c r="R62" s="148" t="str">
        <f>IF(OR(COUNTIF('1.연간시수표'!R62,$AT$9),COUNTIF('1.연간시수표'!R62,$AT$7)),$AT$6,IF(OR(COUNTIF('1.연간시수표'!R62,$AU$9),COUNTIF('1.연간시수표'!R62,$AU$7)),$AU$6,IF(OR(COUNTIF('1.연간시수표'!R62,$AV$9),COUNTIF('1.연간시수표'!R62,$AV$7)),$AV$6,IF(OR(COUNTIF('1.연간시수표'!R62,$AW$9),COUNTIF('1.연간시수표'!R62,$AW$7)),$AW$6,IF(OR(COUNTIF('1.연간시수표'!R62,$AX$9),COUNTIF('1.연간시수표'!R62,$AX$7)),$AX$6,IF(OR(COUNTIF('1.연간시수표'!R62,$AY$9),COUNTIF('1.연간시수표'!R62,$AY$7)),$AY$6,IF(OR(COUNTIF('1.연간시수표'!R62,$AZ$9),COUNTIF('1.연간시수표'!R62,$AZ$7)),$AZ$6,IF(OR(COUNTIF('1.연간시수표'!R62,$BA$9),COUNTIF('1.연간시수표'!R62,$BA$7)),$BA$6,IF(OR(COUNTIF('1.연간시수표'!R62,$BB$9),COUNTIF('1.연간시수표'!R62,$BB$7)),$BB$6,IF(OR(COUNTIF('1.연간시수표'!R62,$BC$9),COUNTIF('1.연간시수표'!R62,$BC$7)),$BC$6,IF(OR(COUNTIF('1.연간시수표'!R62,$BF$9),COUNTIF('1.연간시수표'!R62,$BF$7),COUNTIF('1.연간시수표'!R62,$BG$9),COUNTIF('1.연간시수표'!R62,$BG$7),COUNTIF('1.연간시수표'!R62,$BH$9),COUNTIF('1.연간시수표'!R62,$BH$7),COUNTIF('1.연간시수표'!R62,$BI$9),COUNTIF('1.연간시수표'!R62,$BI$7),COUNTIF('1.연간시수표'!R62,$BJ$9),COUNTIF('1.연간시수표'!R62,$BJ$7),COUNTIF('1.연간시수표'!R62,$BK$9),COUNTIF('1.연간시수표'!R62,$BK$7),COUNTIF('1.연간시수표'!R62,$BL$9),COUNTIF('1.연간시수표'!R62,$BL$7),COUNTIF('1.연간시수표'!R62,$BM$9),COUNTIF('1.연간시수표'!R62,$BM$7)),$BF$6,IF(OR(COUNTIF('1.연간시수표'!R62,$BO$9),COUNTIF('1.연간시수표'!R62,$BO$7)),$BO$6,IF(OR(COUNTIF('1.연간시수표'!R62,$BP$9),COUNTIF('1.연간시수표'!R62,$BP$7)),$BP$6,IF(OR(COUNTIF('1.연간시수표'!R62,$BQ$9),COUNTIF('1.연간시수표'!R62,$BQ$7)),$BQ$6,IF(OR(COUNTIF('1.연간시수표'!R62,$BR$9),COUNTIF('1.연간시수표'!R62,$BR$7)),$BR$6,"_")))))))))))))))</f>
        <v>실과</v>
      </c>
      <c r="S62" s="148" t="str">
        <f>IF(OR(COUNTIF('1.연간시수표'!S62,$AT$9),COUNTIF('1.연간시수표'!S62,$AT$7)),$AT$6,IF(OR(COUNTIF('1.연간시수표'!S62,$AU$9),COUNTIF('1.연간시수표'!S62,$AU$7)),$AU$6,IF(OR(COUNTIF('1.연간시수표'!S62,$AV$9),COUNTIF('1.연간시수표'!S62,$AV$7)),$AV$6,IF(OR(COUNTIF('1.연간시수표'!S62,$AW$9),COUNTIF('1.연간시수표'!S62,$AW$7)),$AW$6,IF(OR(COUNTIF('1.연간시수표'!S62,$AX$9),COUNTIF('1.연간시수표'!S62,$AX$7)),$AX$6,IF(OR(COUNTIF('1.연간시수표'!S62,$AY$9),COUNTIF('1.연간시수표'!S62,$AY$7)),$AY$6,IF(OR(COUNTIF('1.연간시수표'!S62,$AZ$9),COUNTIF('1.연간시수표'!S62,$AZ$7)),$AZ$6,IF(OR(COUNTIF('1.연간시수표'!S62,$BA$9),COUNTIF('1.연간시수표'!S62,$BA$7)),$BA$6,IF(OR(COUNTIF('1.연간시수표'!S62,$BB$9),COUNTIF('1.연간시수표'!S62,$BB$7)),$BB$6,IF(OR(COUNTIF('1.연간시수표'!S62,$BC$9),COUNTIF('1.연간시수표'!S62,$BC$7)),$BC$6,IF(OR(COUNTIF('1.연간시수표'!S62,$BF$9),COUNTIF('1.연간시수표'!S62,$BF$7),COUNTIF('1.연간시수표'!S62,$BG$9),COUNTIF('1.연간시수표'!S62,$BG$7),COUNTIF('1.연간시수표'!S62,$BH$9),COUNTIF('1.연간시수표'!S62,$BH$7),COUNTIF('1.연간시수표'!S62,$BI$9),COUNTIF('1.연간시수표'!S62,$BI$7),COUNTIF('1.연간시수표'!S62,$BJ$9),COUNTIF('1.연간시수표'!S62,$BJ$7),COUNTIF('1.연간시수표'!S62,$BK$9),COUNTIF('1.연간시수표'!S62,$BK$7),COUNTIF('1.연간시수표'!S62,$BL$9),COUNTIF('1.연간시수표'!S62,$BL$7),COUNTIF('1.연간시수표'!S62,$BM$9),COUNTIF('1.연간시수표'!S62,$BM$7)),$BF$6,IF(OR(COUNTIF('1.연간시수표'!S62,$BO$9),COUNTIF('1.연간시수표'!S62,$BO$7)),$BO$6,IF(OR(COUNTIF('1.연간시수표'!S62,$BP$9),COUNTIF('1.연간시수표'!S62,$BP$7)),$BP$6,IF(OR(COUNTIF('1.연간시수표'!S62,$BQ$9),COUNTIF('1.연간시수표'!S62,$BQ$7)),$BQ$6,IF(OR(COUNTIF('1.연간시수표'!S62,$BR$9),COUNTIF('1.연간시수표'!S62,$BR$7)),$BR$6,"_")))))))))))))))</f>
        <v>_</v>
      </c>
      <c r="T62" s="148" t="str">
        <f>IF(OR(COUNTIF('1.연간시수표'!T62,$AT$9),COUNTIF('1.연간시수표'!T62,$AT$7)),$AT$6,IF(OR(COUNTIF('1.연간시수표'!T62,$AU$9),COUNTIF('1.연간시수표'!T62,$AU$7)),$AU$6,IF(OR(COUNTIF('1.연간시수표'!T62,$AV$9),COUNTIF('1.연간시수표'!T62,$AV$7)),$AV$6,IF(OR(COUNTIF('1.연간시수표'!T62,$AW$9),COUNTIF('1.연간시수표'!T62,$AW$7)),$AW$6,IF(OR(COUNTIF('1.연간시수표'!T62,$AX$9),COUNTIF('1.연간시수표'!T62,$AX$7)),$AX$6,IF(OR(COUNTIF('1.연간시수표'!T62,$AY$9),COUNTIF('1.연간시수표'!T62,$AY$7)),$AY$6,IF(OR(COUNTIF('1.연간시수표'!T62,$AZ$9),COUNTIF('1.연간시수표'!T62,$AZ$7)),$AZ$6,IF(OR(COUNTIF('1.연간시수표'!T62,$BA$9),COUNTIF('1.연간시수표'!T62,$BA$7)),$BA$6,IF(OR(COUNTIF('1.연간시수표'!T62,$BB$9),COUNTIF('1.연간시수표'!T62,$BB$7)),$BB$6,IF(OR(COUNTIF('1.연간시수표'!T62,$BC$9),COUNTIF('1.연간시수표'!T62,$BC$7)),$BC$6,IF(OR(COUNTIF('1.연간시수표'!T62,$BF$9),COUNTIF('1.연간시수표'!T62,$BF$7),COUNTIF('1.연간시수표'!T62,$BG$9),COUNTIF('1.연간시수표'!T62,$BG$7),COUNTIF('1.연간시수표'!T62,$BH$9),COUNTIF('1.연간시수표'!T62,$BH$7),COUNTIF('1.연간시수표'!T62,$BI$9),COUNTIF('1.연간시수표'!T62,$BI$7),COUNTIF('1.연간시수표'!T62,$BJ$9),COUNTIF('1.연간시수표'!T62,$BJ$7),COUNTIF('1.연간시수표'!T62,$BK$9),COUNTIF('1.연간시수표'!T62,$BK$7),COUNTIF('1.연간시수표'!T62,$BL$9),COUNTIF('1.연간시수표'!T62,$BL$7),COUNTIF('1.연간시수표'!T62,$BM$9),COUNTIF('1.연간시수표'!T62,$BM$7)),$BF$6,IF(OR(COUNTIF('1.연간시수표'!T62,$BO$9),COUNTIF('1.연간시수표'!T62,$BO$7)),$BO$6,IF(OR(COUNTIF('1.연간시수표'!T62,$BP$9),COUNTIF('1.연간시수표'!T62,$BP$7)),$BP$6,IF(OR(COUNTIF('1.연간시수표'!T62,$BQ$9),COUNTIF('1.연간시수표'!T62,$BQ$7)),$BQ$6,IF(OR(COUNTIF('1.연간시수표'!T62,$BR$9),COUNTIF('1.연간시수표'!T62,$BR$7)),$BR$6,"_")))))))))))))))</f>
        <v>_</v>
      </c>
      <c r="U62" s="148" t="str">
        <f>IF(OR(COUNTIF('1.연간시수표'!U62,$AT$9),COUNTIF('1.연간시수표'!U62,$AT$7)),$AT$6,IF(OR(COUNTIF('1.연간시수표'!U62,$AU$9),COUNTIF('1.연간시수표'!U62,$AU$7)),$AU$6,IF(OR(COUNTIF('1.연간시수표'!U62,$AV$9),COUNTIF('1.연간시수표'!U62,$AV$7)),$AV$6,IF(OR(COUNTIF('1.연간시수표'!U62,$AW$9),COUNTIF('1.연간시수표'!U62,$AW$7)),$AW$6,IF(OR(COUNTIF('1.연간시수표'!U62,$AX$9),COUNTIF('1.연간시수표'!U62,$AX$7)),$AX$6,IF(OR(COUNTIF('1.연간시수표'!U62,$AY$9),COUNTIF('1.연간시수표'!U62,$AY$7)),$AY$6,IF(OR(COUNTIF('1.연간시수표'!U62,$AZ$9),COUNTIF('1.연간시수표'!U62,$AZ$7)),$AZ$6,IF(OR(COUNTIF('1.연간시수표'!U62,$BA$9),COUNTIF('1.연간시수표'!U62,$BA$7)),$BA$6,IF(OR(COUNTIF('1.연간시수표'!U62,$BB$9),COUNTIF('1.연간시수표'!U62,$BB$7)),$BB$6,IF(OR(COUNTIF('1.연간시수표'!U62,$BC$9),COUNTIF('1.연간시수표'!U62,$BC$7)),$BC$6,IF(OR(COUNTIF('1.연간시수표'!U62,$BF$9),COUNTIF('1.연간시수표'!U62,$BF$7),COUNTIF('1.연간시수표'!U62,$BG$9),COUNTIF('1.연간시수표'!U62,$BG$7),COUNTIF('1.연간시수표'!U62,$BH$9),COUNTIF('1.연간시수표'!U62,$BH$7),COUNTIF('1.연간시수표'!U62,$BI$9),COUNTIF('1.연간시수표'!U62,$BI$7),COUNTIF('1.연간시수표'!U62,$BJ$9),COUNTIF('1.연간시수표'!U62,$BJ$7),COUNTIF('1.연간시수표'!U62,$BK$9),COUNTIF('1.연간시수표'!U62,$BK$7),COUNTIF('1.연간시수표'!U62,$BL$9),COUNTIF('1.연간시수표'!U62,$BL$7),COUNTIF('1.연간시수표'!U62,$BM$9),COUNTIF('1.연간시수표'!U62,$BM$7)),$BF$6,IF(OR(COUNTIF('1.연간시수표'!U62,$BO$9),COUNTIF('1.연간시수표'!U62,$BO$7)),$BO$6,IF(OR(COUNTIF('1.연간시수표'!U62,$BP$9),COUNTIF('1.연간시수표'!U62,$BP$7)),$BP$6,IF(OR(COUNTIF('1.연간시수표'!U62,$BQ$9),COUNTIF('1.연간시수표'!U62,$BQ$7)),$BQ$6,IF(OR(COUNTIF('1.연간시수표'!U62,$BR$9),COUNTIF('1.연간시수표'!U62,$BR$7)),$BR$6,"_")))))))))))))))</f>
        <v>영어</v>
      </c>
      <c r="V62" s="148" t="str">
        <f>IF(OR(COUNTIF('1.연간시수표'!V62,$AT$9),COUNTIF('1.연간시수표'!V62,$AT$7)),$AT$6,IF(OR(COUNTIF('1.연간시수표'!V62,$AU$9),COUNTIF('1.연간시수표'!V62,$AU$7)),$AU$6,IF(OR(COUNTIF('1.연간시수표'!V62,$AV$9),COUNTIF('1.연간시수표'!V62,$AV$7)),$AV$6,IF(OR(COUNTIF('1.연간시수표'!V62,$AW$9),COUNTIF('1.연간시수표'!V62,$AW$7)),$AW$6,IF(OR(COUNTIF('1.연간시수표'!V62,$AX$9),COUNTIF('1.연간시수표'!V62,$AX$7)),$AX$6,IF(OR(COUNTIF('1.연간시수표'!V62,$AY$9),COUNTIF('1.연간시수표'!V62,$AY$7)),$AY$6,IF(OR(COUNTIF('1.연간시수표'!V62,$AZ$9),COUNTIF('1.연간시수표'!V62,$AZ$7)),$AZ$6,IF(OR(COUNTIF('1.연간시수표'!V62,$BA$9),COUNTIF('1.연간시수표'!V62,$BA$7)),$BA$6,IF(OR(COUNTIF('1.연간시수표'!V62,$BB$9),COUNTIF('1.연간시수표'!V62,$BB$7)),$BB$6,IF(OR(COUNTIF('1.연간시수표'!V62,$BC$9),COUNTIF('1.연간시수표'!V62,$BC$7)),$BC$6,IF(OR(COUNTIF('1.연간시수표'!V62,$BF$9),COUNTIF('1.연간시수표'!V62,$BF$7),COUNTIF('1.연간시수표'!V62,$BG$9),COUNTIF('1.연간시수표'!V62,$BG$7),COUNTIF('1.연간시수표'!V62,$BH$9),COUNTIF('1.연간시수표'!V62,$BH$7),COUNTIF('1.연간시수표'!V62,$BI$9),COUNTIF('1.연간시수표'!V62,$BI$7),COUNTIF('1.연간시수표'!V62,$BJ$9),COUNTIF('1.연간시수표'!V62,$BJ$7),COUNTIF('1.연간시수표'!V62,$BK$9),COUNTIF('1.연간시수표'!V62,$BK$7),COUNTIF('1.연간시수표'!V62,$BL$9),COUNTIF('1.연간시수표'!V62,$BL$7),COUNTIF('1.연간시수표'!V62,$BM$9),COUNTIF('1.연간시수표'!V62,$BM$7)),$BF$6,IF(OR(COUNTIF('1.연간시수표'!V62,$BO$9),COUNTIF('1.연간시수표'!V62,$BO$7)),$BO$6,IF(OR(COUNTIF('1.연간시수표'!V62,$BP$9),COUNTIF('1.연간시수표'!V62,$BP$7)),$BP$6,IF(OR(COUNTIF('1.연간시수표'!V62,$BQ$9),COUNTIF('1.연간시수표'!V62,$BQ$7)),$BQ$6,IF(OR(COUNTIF('1.연간시수표'!V62,$BR$9),COUNTIF('1.연간시수표'!V62,$BR$7)),$BR$6,"_")))))))))))))))</f>
        <v>과학</v>
      </c>
      <c r="W62" s="148" t="str">
        <f>IF(OR(COUNTIF('1.연간시수표'!W62,$AT$9),COUNTIF('1.연간시수표'!W62,$AT$7)),$AT$6,IF(OR(COUNTIF('1.연간시수표'!W62,$AU$9),COUNTIF('1.연간시수표'!W62,$AU$7)),$AU$6,IF(OR(COUNTIF('1.연간시수표'!W62,$AV$9),COUNTIF('1.연간시수표'!W62,$AV$7)),$AV$6,IF(OR(COUNTIF('1.연간시수표'!W62,$AW$9),COUNTIF('1.연간시수표'!W62,$AW$7)),$AW$6,IF(OR(COUNTIF('1.연간시수표'!W62,$AX$9),COUNTIF('1.연간시수표'!W62,$AX$7)),$AX$6,IF(OR(COUNTIF('1.연간시수표'!W62,$AY$9),COUNTIF('1.연간시수표'!W62,$AY$7)),$AY$6,IF(OR(COUNTIF('1.연간시수표'!W62,$AZ$9),COUNTIF('1.연간시수표'!W62,$AZ$7)),$AZ$6,IF(OR(COUNTIF('1.연간시수표'!W62,$BA$9),COUNTIF('1.연간시수표'!W62,$BA$7)),$BA$6,IF(OR(COUNTIF('1.연간시수표'!W62,$BB$9),COUNTIF('1.연간시수표'!W62,$BB$7)),$BB$6,IF(OR(COUNTIF('1.연간시수표'!W62,$BC$9),COUNTIF('1.연간시수표'!W62,$BC$7)),$BC$6,IF(OR(COUNTIF('1.연간시수표'!W62,$BF$9),COUNTIF('1.연간시수표'!W62,$BF$7),COUNTIF('1.연간시수표'!W62,$BG$9),COUNTIF('1.연간시수표'!W62,$BG$7),COUNTIF('1.연간시수표'!W62,$BH$9),COUNTIF('1.연간시수표'!W62,$BH$7),COUNTIF('1.연간시수표'!W62,$BI$9),COUNTIF('1.연간시수표'!W62,$BI$7),COUNTIF('1.연간시수표'!W62,$BJ$9),COUNTIF('1.연간시수표'!W62,$BJ$7),COUNTIF('1.연간시수표'!W62,$BK$9),COUNTIF('1.연간시수표'!W62,$BK$7),COUNTIF('1.연간시수표'!W62,$BL$9),COUNTIF('1.연간시수표'!W62,$BL$7),COUNTIF('1.연간시수표'!W62,$BM$9),COUNTIF('1.연간시수표'!W62,$BM$7)),$BF$6,IF(OR(COUNTIF('1.연간시수표'!W62,$BO$9),COUNTIF('1.연간시수표'!W62,$BO$7)),$BO$6,IF(OR(COUNTIF('1.연간시수표'!W62,$BP$9),COUNTIF('1.연간시수표'!W62,$BP$7)),$BP$6,IF(OR(COUNTIF('1.연간시수표'!W62,$BQ$9),COUNTIF('1.연간시수표'!W62,$BQ$7)),$BQ$6,IF(OR(COUNTIF('1.연간시수표'!W62,$BR$9),COUNTIF('1.연간시수표'!W62,$BR$7)),$BR$6,"_")))))))))))))))</f>
        <v>체육</v>
      </c>
      <c r="X62" s="148" t="str">
        <f>IF(OR(COUNTIF('1.연간시수표'!X62,$AT$9),COUNTIF('1.연간시수표'!X62,$AT$7)),$AT$6,IF(OR(COUNTIF('1.연간시수표'!X62,$AU$9),COUNTIF('1.연간시수표'!X62,$AU$7)),$AU$6,IF(OR(COUNTIF('1.연간시수표'!X62,$AV$9),COUNTIF('1.연간시수표'!X62,$AV$7)),$AV$6,IF(OR(COUNTIF('1.연간시수표'!X62,$AW$9),COUNTIF('1.연간시수표'!X62,$AW$7)),$AW$6,IF(OR(COUNTIF('1.연간시수표'!X62,$AX$9),COUNTIF('1.연간시수표'!X62,$AX$7)),$AX$6,IF(OR(COUNTIF('1.연간시수표'!X62,$AY$9),COUNTIF('1.연간시수표'!X62,$AY$7)),$AY$6,IF(OR(COUNTIF('1.연간시수표'!X62,$AZ$9),COUNTIF('1.연간시수표'!X62,$AZ$7)),$AZ$6,IF(OR(COUNTIF('1.연간시수표'!X62,$BA$9),COUNTIF('1.연간시수표'!X62,$BA$7)),$BA$6,IF(OR(COUNTIF('1.연간시수표'!X62,$BB$9),COUNTIF('1.연간시수표'!X62,$BB$7)),$BB$6,IF(OR(COUNTIF('1.연간시수표'!X62,$BC$9),COUNTIF('1.연간시수표'!X62,$BC$7)),$BC$6,IF(OR(COUNTIF('1.연간시수표'!X62,$BF$9),COUNTIF('1.연간시수표'!X62,$BF$7),COUNTIF('1.연간시수표'!X62,$BG$9),COUNTIF('1.연간시수표'!X62,$BG$7),COUNTIF('1.연간시수표'!X62,$BH$9),COUNTIF('1.연간시수표'!X62,$BH$7),COUNTIF('1.연간시수표'!X62,$BI$9),COUNTIF('1.연간시수표'!X62,$BI$7),COUNTIF('1.연간시수표'!X62,$BJ$9),COUNTIF('1.연간시수표'!X62,$BJ$7),COUNTIF('1.연간시수표'!X62,$BK$9),COUNTIF('1.연간시수표'!X62,$BK$7),COUNTIF('1.연간시수표'!X62,$BL$9),COUNTIF('1.연간시수표'!X62,$BL$7),COUNTIF('1.연간시수표'!X62,$BM$9),COUNTIF('1.연간시수표'!X62,$BM$7)),$BF$6,IF(OR(COUNTIF('1.연간시수표'!X62,$BO$9),COUNTIF('1.연간시수표'!X62,$BO$7)),$BO$6,IF(OR(COUNTIF('1.연간시수표'!X62,$BP$9),COUNTIF('1.연간시수표'!X62,$BP$7)),$BP$6,IF(OR(COUNTIF('1.연간시수표'!X62,$BQ$9),COUNTIF('1.연간시수표'!X62,$BQ$7)),$BQ$6,IF(OR(COUNTIF('1.연간시수표'!X62,$BR$9),COUNTIF('1.연간시수표'!X62,$BR$7)),$BR$6,"_")))))))))))))))</f>
        <v>음악</v>
      </c>
      <c r="Y62" s="148" t="str">
        <f>IF(OR(COUNTIF('1.연간시수표'!Y62,$AT$9),COUNTIF('1.연간시수표'!Y62,$AT$7)),$AT$6,IF(OR(COUNTIF('1.연간시수표'!Y62,$AU$9),COUNTIF('1.연간시수표'!Y62,$AU$7)),$AU$6,IF(OR(COUNTIF('1.연간시수표'!Y62,$AV$9),COUNTIF('1.연간시수표'!Y62,$AV$7)),$AV$6,IF(OR(COUNTIF('1.연간시수표'!Y62,$AW$9),COUNTIF('1.연간시수표'!Y62,$AW$7)),$AW$6,IF(OR(COUNTIF('1.연간시수표'!Y62,$AX$9),COUNTIF('1.연간시수표'!Y62,$AX$7)),$AX$6,IF(OR(COUNTIF('1.연간시수표'!Y62,$AY$9),COUNTIF('1.연간시수표'!Y62,$AY$7)),$AY$6,IF(OR(COUNTIF('1.연간시수표'!Y62,$AZ$9),COUNTIF('1.연간시수표'!Y62,$AZ$7)),$AZ$6,IF(OR(COUNTIF('1.연간시수표'!Y62,$BA$9),COUNTIF('1.연간시수표'!Y62,$BA$7)),$BA$6,IF(OR(COUNTIF('1.연간시수표'!Y62,$BB$9),COUNTIF('1.연간시수표'!Y62,$BB$7)),$BB$6,IF(OR(COUNTIF('1.연간시수표'!Y62,$BC$9),COUNTIF('1.연간시수표'!Y62,$BC$7)),$BC$6,IF(OR(COUNTIF('1.연간시수표'!Y62,$BF$9),COUNTIF('1.연간시수표'!Y62,$BF$7),COUNTIF('1.연간시수표'!Y62,$BG$9),COUNTIF('1.연간시수표'!Y62,$BG$7),COUNTIF('1.연간시수표'!Y62,$BH$9),COUNTIF('1.연간시수표'!Y62,$BH$7),COUNTIF('1.연간시수표'!Y62,$BI$9),COUNTIF('1.연간시수표'!Y62,$BI$7),COUNTIF('1.연간시수표'!Y62,$BJ$9),COUNTIF('1.연간시수표'!Y62,$BJ$7),COUNTIF('1.연간시수표'!Y62,$BK$9),COUNTIF('1.연간시수표'!Y62,$BK$7),COUNTIF('1.연간시수표'!Y62,$BL$9),COUNTIF('1.연간시수표'!Y62,$BL$7),COUNTIF('1.연간시수표'!Y62,$BM$9),COUNTIF('1.연간시수표'!Y62,$BM$7)),$BF$6,IF(OR(COUNTIF('1.연간시수표'!Y62,$BO$9),COUNTIF('1.연간시수표'!Y62,$BO$7)),$BO$6,IF(OR(COUNTIF('1.연간시수표'!Y62,$BP$9),COUNTIF('1.연간시수표'!Y62,$BP$7)),$BP$6,IF(OR(COUNTIF('1.연간시수표'!Y62,$BQ$9),COUNTIF('1.연간시수표'!Y62,$BQ$7)),$BQ$6,IF(OR(COUNTIF('1.연간시수표'!Y62,$BR$9),COUNTIF('1.연간시수표'!Y62,$BR$7)),$BR$6,"_")))))))))))))))</f>
        <v>도덕</v>
      </c>
      <c r="Z62" s="148" t="str">
        <f>IF(OR(COUNTIF('1.연간시수표'!Z62,$AT$9),COUNTIF('1.연간시수표'!Z62,$AT$7)),$AT$6,IF(OR(COUNTIF('1.연간시수표'!Z62,$AU$9),COUNTIF('1.연간시수표'!Z62,$AU$7)),$AU$6,IF(OR(COUNTIF('1.연간시수표'!Z62,$AV$9),COUNTIF('1.연간시수표'!Z62,$AV$7)),$AV$6,IF(OR(COUNTIF('1.연간시수표'!Z62,$AW$9),COUNTIF('1.연간시수표'!Z62,$AW$7)),$AW$6,IF(OR(COUNTIF('1.연간시수표'!Z62,$AX$9),COUNTIF('1.연간시수표'!Z62,$AX$7)),$AX$6,IF(OR(COUNTIF('1.연간시수표'!Z62,$AY$9),COUNTIF('1.연간시수표'!Z62,$AY$7)),$AY$6,IF(OR(COUNTIF('1.연간시수표'!Z62,$AZ$9),COUNTIF('1.연간시수표'!Z62,$AZ$7)),$AZ$6,IF(OR(COUNTIF('1.연간시수표'!Z62,$BA$9),COUNTIF('1.연간시수표'!Z62,$BA$7)),$BA$6,IF(OR(COUNTIF('1.연간시수표'!Z62,$BB$9),COUNTIF('1.연간시수표'!Z62,$BB$7)),$BB$6,IF(OR(COUNTIF('1.연간시수표'!Z62,$BC$9),COUNTIF('1.연간시수표'!Z62,$BC$7)),$BC$6,IF(OR(COUNTIF('1.연간시수표'!Z62,$BF$9),COUNTIF('1.연간시수표'!Z62,$BF$7),COUNTIF('1.연간시수표'!Z62,$BG$9),COUNTIF('1.연간시수표'!Z62,$BG$7),COUNTIF('1.연간시수표'!Z62,$BH$9),COUNTIF('1.연간시수표'!Z62,$BH$7),COUNTIF('1.연간시수표'!Z62,$BI$9),COUNTIF('1.연간시수표'!Z62,$BI$7),COUNTIF('1.연간시수표'!Z62,$BJ$9),COUNTIF('1.연간시수표'!Z62,$BJ$7),COUNTIF('1.연간시수표'!Z62,$BK$9),COUNTIF('1.연간시수표'!Z62,$BK$7),COUNTIF('1.연간시수표'!Z62,$BL$9),COUNTIF('1.연간시수표'!Z62,$BL$7),COUNTIF('1.연간시수표'!Z62,$BM$9),COUNTIF('1.연간시수표'!Z62,$BM$7)),$BF$6,IF(OR(COUNTIF('1.연간시수표'!Z62,$BO$9),COUNTIF('1.연간시수표'!Z62,$BO$7)),$BO$6,IF(OR(COUNTIF('1.연간시수표'!Z62,$BP$9),COUNTIF('1.연간시수표'!Z62,$BP$7)),$BP$6,IF(OR(COUNTIF('1.연간시수표'!Z62,$BQ$9),COUNTIF('1.연간시수표'!Z62,$BQ$7)),$BQ$6,IF(OR(COUNTIF('1.연간시수표'!Z62,$BR$9),COUNTIF('1.연간시수표'!Z62,$BR$7)),$BR$6,"_")))))))))))))))</f>
        <v>_</v>
      </c>
      <c r="AA62" s="148" t="str">
        <f>IF(OR(COUNTIF('1.연간시수표'!AA62,$AT$9),COUNTIF('1.연간시수표'!AA62,$AT$7)),$AT$6,IF(OR(COUNTIF('1.연간시수표'!AA62,$AU$9),COUNTIF('1.연간시수표'!AA62,$AU$7)),$AU$6,IF(OR(COUNTIF('1.연간시수표'!AA62,$AV$9),COUNTIF('1.연간시수표'!AA62,$AV$7)),$AV$6,IF(OR(COUNTIF('1.연간시수표'!AA62,$AW$9),COUNTIF('1.연간시수표'!AA62,$AW$7)),$AW$6,IF(OR(COUNTIF('1.연간시수표'!AA62,$AX$9),COUNTIF('1.연간시수표'!AA62,$AX$7)),$AX$6,IF(OR(COUNTIF('1.연간시수표'!AA62,$AY$9),COUNTIF('1.연간시수표'!AA62,$AY$7)),$AY$6,IF(OR(COUNTIF('1.연간시수표'!AA62,$AZ$9),COUNTIF('1.연간시수표'!AA62,$AZ$7)),$AZ$6,IF(OR(COUNTIF('1.연간시수표'!AA62,$BA$9),COUNTIF('1.연간시수표'!AA62,$BA$7)),$BA$6,IF(OR(COUNTIF('1.연간시수표'!AA62,$BB$9),COUNTIF('1.연간시수표'!AA62,$BB$7)),$BB$6,IF(OR(COUNTIF('1.연간시수표'!AA62,$BC$9),COUNTIF('1.연간시수표'!AA62,$BC$7)),$BC$6,IF(OR(COUNTIF('1.연간시수표'!AA62,$BF$9),COUNTIF('1.연간시수표'!AA62,$BF$7),COUNTIF('1.연간시수표'!AA62,$BG$9),COUNTIF('1.연간시수표'!AA62,$BG$7),COUNTIF('1.연간시수표'!AA62,$BH$9),COUNTIF('1.연간시수표'!AA62,$BH$7),COUNTIF('1.연간시수표'!AA62,$BI$9),COUNTIF('1.연간시수표'!AA62,$BI$7),COUNTIF('1.연간시수표'!AA62,$BJ$9),COUNTIF('1.연간시수표'!AA62,$BJ$7),COUNTIF('1.연간시수표'!AA62,$BK$9),COUNTIF('1.연간시수표'!AA62,$BK$7),COUNTIF('1.연간시수표'!AA62,$BL$9),COUNTIF('1.연간시수표'!AA62,$BL$7),COUNTIF('1.연간시수표'!AA62,$BM$9),COUNTIF('1.연간시수표'!AA62,$BM$7)),$BF$6,IF(OR(COUNTIF('1.연간시수표'!AA62,$BO$9),COUNTIF('1.연간시수표'!AA62,$BO$7)),$BO$6,IF(OR(COUNTIF('1.연간시수표'!AA62,$BP$9),COUNTIF('1.연간시수표'!AA62,$BP$7)),$BP$6,IF(OR(COUNTIF('1.연간시수표'!AA62,$BQ$9),COUNTIF('1.연간시수표'!AA62,$BQ$7)),$BQ$6,IF(OR(COUNTIF('1.연간시수표'!AA62,$BR$9),COUNTIF('1.연간시수표'!AA62,$BR$7)),$BR$6,"_")))))))))))))))</f>
        <v>_</v>
      </c>
      <c r="AB62" s="148" t="str">
        <f>IF(OR(COUNTIF('1.연간시수표'!AB62,$AT$9),COUNTIF('1.연간시수표'!AB62,$AT$7)),$AT$6,IF(OR(COUNTIF('1.연간시수표'!AB62,$AU$9),COUNTIF('1.연간시수표'!AB62,$AU$7)),$AU$6,IF(OR(COUNTIF('1.연간시수표'!AB62,$AV$9),COUNTIF('1.연간시수표'!AB62,$AV$7)),$AV$6,IF(OR(COUNTIF('1.연간시수표'!AB62,$AW$9),COUNTIF('1.연간시수표'!AB62,$AW$7)),$AW$6,IF(OR(COUNTIF('1.연간시수표'!AB62,$AX$9),COUNTIF('1.연간시수표'!AB62,$AX$7)),$AX$6,IF(OR(COUNTIF('1.연간시수표'!AB62,$AY$9),COUNTIF('1.연간시수표'!AB62,$AY$7)),$AY$6,IF(OR(COUNTIF('1.연간시수표'!AB62,$AZ$9),COUNTIF('1.연간시수표'!AB62,$AZ$7)),$AZ$6,IF(OR(COUNTIF('1.연간시수표'!AB62,$BA$9),COUNTIF('1.연간시수표'!AB62,$BA$7)),$BA$6,IF(OR(COUNTIF('1.연간시수표'!AB62,$BB$9),COUNTIF('1.연간시수표'!AB62,$BB$7)),$BB$6,IF(OR(COUNTIF('1.연간시수표'!AB62,$BC$9),COUNTIF('1.연간시수표'!AB62,$BC$7)),$BC$6,IF(OR(COUNTIF('1.연간시수표'!AB62,$BF$9),COUNTIF('1.연간시수표'!AB62,$BF$7),COUNTIF('1.연간시수표'!AB62,$BG$9),COUNTIF('1.연간시수표'!AB62,$BG$7),COUNTIF('1.연간시수표'!AB62,$BH$9),COUNTIF('1.연간시수표'!AB62,$BH$7),COUNTIF('1.연간시수표'!AB62,$BI$9),COUNTIF('1.연간시수표'!AB62,$BI$7),COUNTIF('1.연간시수표'!AB62,$BJ$9),COUNTIF('1.연간시수표'!AB62,$BJ$7),COUNTIF('1.연간시수표'!AB62,$BK$9),COUNTIF('1.연간시수표'!AB62,$BK$7),COUNTIF('1.연간시수표'!AB62,$BL$9),COUNTIF('1.연간시수표'!AB62,$BL$7),COUNTIF('1.연간시수표'!AB62,$BM$9),COUNTIF('1.연간시수표'!AB62,$BM$7)),$BF$6,IF(OR(COUNTIF('1.연간시수표'!AB62,$BO$9),COUNTIF('1.연간시수표'!AB62,$BO$7)),$BO$6,IF(OR(COUNTIF('1.연간시수표'!AB62,$BP$9),COUNTIF('1.연간시수표'!AB62,$BP$7)),$BP$6,IF(OR(COUNTIF('1.연간시수표'!AB62,$BQ$9),COUNTIF('1.연간시수표'!AB62,$BQ$7)),$BQ$6,IF(OR(COUNTIF('1.연간시수표'!AB62,$BR$9),COUNTIF('1.연간시수표'!AB62,$BR$7)),$BR$6,"_")))))))))))))))</f>
        <v>_</v>
      </c>
      <c r="AC62" s="148" t="str">
        <f>IF(OR(COUNTIF('1.연간시수표'!AC62,$AT$9),COUNTIF('1.연간시수표'!AC62,$AT$7)),$AT$6,IF(OR(COUNTIF('1.연간시수표'!AC62,$AU$9),COUNTIF('1.연간시수표'!AC62,$AU$7)),$AU$6,IF(OR(COUNTIF('1.연간시수표'!AC62,$AV$9),COUNTIF('1.연간시수표'!AC62,$AV$7)),$AV$6,IF(OR(COUNTIF('1.연간시수표'!AC62,$AW$9),COUNTIF('1.연간시수표'!AC62,$AW$7)),$AW$6,IF(OR(COUNTIF('1.연간시수표'!AC62,$AX$9),COUNTIF('1.연간시수표'!AC62,$AX$7)),$AX$6,IF(OR(COUNTIF('1.연간시수표'!AC62,$AY$9),COUNTIF('1.연간시수표'!AC62,$AY$7)),$AY$6,IF(OR(COUNTIF('1.연간시수표'!AC62,$AZ$9),COUNTIF('1.연간시수표'!AC62,$AZ$7)),$AZ$6,IF(OR(COUNTIF('1.연간시수표'!AC62,$BA$9),COUNTIF('1.연간시수표'!AC62,$BA$7)),$BA$6,IF(OR(COUNTIF('1.연간시수표'!AC62,$BB$9),COUNTIF('1.연간시수표'!AC62,$BB$7)),$BB$6,IF(OR(COUNTIF('1.연간시수표'!AC62,$BC$9),COUNTIF('1.연간시수표'!AC62,$BC$7)),$BC$6,IF(OR(COUNTIF('1.연간시수표'!AC62,$BF$9),COUNTIF('1.연간시수표'!AC62,$BF$7),COUNTIF('1.연간시수표'!AC62,$BG$9),COUNTIF('1.연간시수표'!AC62,$BG$7),COUNTIF('1.연간시수표'!AC62,$BH$9),COUNTIF('1.연간시수표'!AC62,$BH$7),COUNTIF('1.연간시수표'!AC62,$BI$9),COUNTIF('1.연간시수표'!AC62,$BI$7),COUNTIF('1.연간시수표'!AC62,$BJ$9),COUNTIF('1.연간시수표'!AC62,$BJ$7),COUNTIF('1.연간시수표'!AC62,$BK$9),COUNTIF('1.연간시수표'!AC62,$BK$7),COUNTIF('1.연간시수표'!AC62,$BL$9),COUNTIF('1.연간시수표'!AC62,$BL$7),COUNTIF('1.연간시수표'!AC62,$BM$9),COUNTIF('1.연간시수표'!AC62,$BM$7)),$BF$6,IF(OR(COUNTIF('1.연간시수표'!AC62,$BO$9),COUNTIF('1.연간시수표'!AC62,$BO$7)),$BO$6,IF(OR(COUNTIF('1.연간시수표'!AC62,$BP$9),COUNTIF('1.연간시수표'!AC62,$BP$7)),$BP$6,IF(OR(COUNTIF('1.연간시수표'!AC62,$BQ$9),COUNTIF('1.연간시수표'!AC62,$BQ$7)),$BQ$6,IF(OR(COUNTIF('1.연간시수표'!AC62,$BR$9),COUNTIF('1.연간시수표'!AC62,$BR$7)),$BR$6,"_")))))))))))))))</f>
        <v>국어</v>
      </c>
      <c r="AD62" s="148" t="str">
        <f>IF(OR(COUNTIF('1.연간시수표'!AD62,$AT$9),COUNTIF('1.연간시수표'!AD62,$AT$7)),$AT$6,IF(OR(COUNTIF('1.연간시수표'!AD62,$AU$9),COUNTIF('1.연간시수표'!AD62,$AU$7)),$AU$6,IF(OR(COUNTIF('1.연간시수표'!AD62,$AV$9),COUNTIF('1.연간시수표'!AD62,$AV$7)),$AV$6,IF(OR(COUNTIF('1.연간시수표'!AD62,$AW$9),COUNTIF('1.연간시수표'!AD62,$AW$7)),$AW$6,IF(OR(COUNTIF('1.연간시수표'!AD62,$AX$9),COUNTIF('1.연간시수표'!AD62,$AX$7)),$AX$6,IF(OR(COUNTIF('1.연간시수표'!AD62,$AY$9),COUNTIF('1.연간시수표'!AD62,$AY$7)),$AY$6,IF(OR(COUNTIF('1.연간시수표'!AD62,$AZ$9),COUNTIF('1.연간시수표'!AD62,$AZ$7)),$AZ$6,IF(OR(COUNTIF('1.연간시수표'!AD62,$BA$9),COUNTIF('1.연간시수표'!AD62,$BA$7)),$BA$6,IF(OR(COUNTIF('1.연간시수표'!AD62,$BB$9),COUNTIF('1.연간시수표'!AD62,$BB$7)),$BB$6,IF(OR(COUNTIF('1.연간시수표'!AD62,$BC$9),COUNTIF('1.연간시수표'!AD62,$BC$7)),$BC$6,IF(OR(COUNTIF('1.연간시수표'!AD62,$BF$9),COUNTIF('1.연간시수표'!AD62,$BF$7),COUNTIF('1.연간시수표'!AD62,$BG$9),COUNTIF('1.연간시수표'!AD62,$BG$7),COUNTIF('1.연간시수표'!AD62,$BH$9),COUNTIF('1.연간시수표'!AD62,$BH$7),COUNTIF('1.연간시수표'!AD62,$BI$9),COUNTIF('1.연간시수표'!AD62,$BI$7),COUNTIF('1.연간시수표'!AD62,$BJ$9),COUNTIF('1.연간시수표'!AD62,$BJ$7),COUNTIF('1.연간시수표'!AD62,$BK$9),COUNTIF('1.연간시수표'!AD62,$BK$7),COUNTIF('1.연간시수표'!AD62,$BL$9),COUNTIF('1.연간시수표'!AD62,$BL$7),COUNTIF('1.연간시수표'!AD62,$BM$9),COUNTIF('1.연간시수표'!AD62,$BM$7)),$BF$6,IF(OR(COUNTIF('1.연간시수표'!AD62,$BO$9),COUNTIF('1.연간시수표'!AD62,$BO$7)),$BO$6,IF(OR(COUNTIF('1.연간시수표'!AD62,$BP$9),COUNTIF('1.연간시수표'!AD62,$BP$7)),$BP$6,IF(OR(COUNTIF('1.연간시수표'!AD62,$BQ$9),COUNTIF('1.연간시수표'!AD62,$BQ$7)),$BQ$6,IF(OR(COUNTIF('1.연간시수표'!AD62,$BR$9),COUNTIF('1.연간시수표'!AD62,$BR$7)),$BR$6,"_")))))))))))))))</f>
        <v>수학</v>
      </c>
      <c r="AE62" s="148" t="str">
        <f>IF(OR(COUNTIF('1.연간시수표'!AE62,$AT$9),COUNTIF('1.연간시수표'!AE62,$AT$7)),$AT$6,IF(OR(COUNTIF('1.연간시수표'!AE62,$AU$9),COUNTIF('1.연간시수표'!AE62,$AU$7)),$AU$6,IF(OR(COUNTIF('1.연간시수표'!AE62,$AV$9),COUNTIF('1.연간시수표'!AE62,$AV$7)),$AV$6,IF(OR(COUNTIF('1.연간시수표'!AE62,$AW$9),COUNTIF('1.연간시수표'!AE62,$AW$7)),$AW$6,IF(OR(COUNTIF('1.연간시수표'!AE62,$AX$9),COUNTIF('1.연간시수표'!AE62,$AX$7)),$AX$6,IF(OR(COUNTIF('1.연간시수표'!AE62,$AY$9),COUNTIF('1.연간시수표'!AE62,$AY$7)),$AY$6,IF(OR(COUNTIF('1.연간시수표'!AE62,$AZ$9),COUNTIF('1.연간시수표'!AE62,$AZ$7)),$AZ$6,IF(OR(COUNTIF('1.연간시수표'!AE62,$BA$9),COUNTIF('1.연간시수표'!AE62,$BA$7)),$BA$6,IF(OR(COUNTIF('1.연간시수표'!AE62,$BB$9),COUNTIF('1.연간시수표'!AE62,$BB$7)),$BB$6,IF(OR(COUNTIF('1.연간시수표'!AE62,$BC$9),COUNTIF('1.연간시수표'!AE62,$BC$7)),$BC$6,IF(OR(COUNTIF('1.연간시수표'!AE62,$BF$9),COUNTIF('1.연간시수표'!AE62,$BF$7),COUNTIF('1.연간시수표'!AE62,$BG$9),COUNTIF('1.연간시수표'!AE62,$BG$7),COUNTIF('1.연간시수표'!AE62,$BH$9),COUNTIF('1.연간시수표'!AE62,$BH$7),COUNTIF('1.연간시수표'!AE62,$BI$9),COUNTIF('1.연간시수표'!AE62,$BI$7),COUNTIF('1.연간시수표'!AE62,$BJ$9),COUNTIF('1.연간시수표'!AE62,$BJ$7),COUNTIF('1.연간시수표'!AE62,$BK$9),COUNTIF('1.연간시수표'!AE62,$BK$7),COUNTIF('1.연간시수표'!AE62,$BL$9),COUNTIF('1.연간시수표'!AE62,$BL$7),COUNTIF('1.연간시수표'!AE62,$BM$9),COUNTIF('1.연간시수표'!AE62,$BM$7)),$BF$6,IF(OR(COUNTIF('1.연간시수표'!AE62,$BO$9),COUNTIF('1.연간시수표'!AE62,$BO$7)),$BO$6,IF(OR(COUNTIF('1.연간시수표'!AE62,$BP$9),COUNTIF('1.연간시수표'!AE62,$BP$7)),$BP$6,IF(OR(COUNTIF('1.연간시수표'!AE62,$BQ$9),COUNTIF('1.연간시수표'!AE62,$BQ$7)),$BQ$6,IF(OR(COUNTIF('1.연간시수표'!AE62,$BR$9),COUNTIF('1.연간시수표'!AE62,$BR$7)),$BR$6,"_")))))))))))))))</f>
        <v>사회</v>
      </c>
      <c r="AF62" s="148" t="str">
        <f>IF(OR(COUNTIF('1.연간시수표'!AF62,$AT$9),COUNTIF('1.연간시수표'!AF62,$AT$7)),$AT$6,IF(OR(COUNTIF('1.연간시수표'!AF62,$AU$9),COUNTIF('1.연간시수표'!AF62,$AU$7)),$AU$6,IF(OR(COUNTIF('1.연간시수표'!AF62,$AV$9),COUNTIF('1.연간시수표'!AF62,$AV$7)),$AV$6,IF(OR(COUNTIF('1.연간시수표'!AF62,$AW$9),COUNTIF('1.연간시수표'!AF62,$AW$7)),$AW$6,IF(OR(COUNTIF('1.연간시수표'!AF62,$AX$9),COUNTIF('1.연간시수표'!AF62,$AX$7)),$AX$6,IF(OR(COUNTIF('1.연간시수표'!AF62,$AY$9),COUNTIF('1.연간시수표'!AF62,$AY$7)),$AY$6,IF(OR(COUNTIF('1.연간시수표'!AF62,$AZ$9),COUNTIF('1.연간시수표'!AF62,$AZ$7)),$AZ$6,IF(OR(COUNTIF('1.연간시수표'!AF62,$BA$9),COUNTIF('1.연간시수표'!AF62,$BA$7)),$BA$6,IF(OR(COUNTIF('1.연간시수표'!AF62,$BB$9),COUNTIF('1.연간시수표'!AF62,$BB$7)),$BB$6,IF(OR(COUNTIF('1.연간시수표'!AF62,$BC$9),COUNTIF('1.연간시수표'!AF62,$BC$7)),$BC$6,IF(OR(COUNTIF('1.연간시수표'!AF62,$BF$9),COUNTIF('1.연간시수표'!AF62,$BF$7),COUNTIF('1.연간시수표'!AF62,$BG$9),COUNTIF('1.연간시수표'!AF62,$BG$7),COUNTIF('1.연간시수표'!AF62,$BH$9),COUNTIF('1.연간시수표'!AF62,$BH$7),COUNTIF('1.연간시수표'!AF62,$BI$9),COUNTIF('1.연간시수표'!AF62,$BI$7),COUNTIF('1.연간시수표'!AF62,$BJ$9),COUNTIF('1.연간시수표'!AF62,$BJ$7),COUNTIF('1.연간시수표'!AF62,$BK$9),COUNTIF('1.연간시수표'!AF62,$BK$7),COUNTIF('1.연간시수표'!AF62,$BL$9),COUNTIF('1.연간시수표'!AF62,$BL$7),COUNTIF('1.연간시수표'!AF62,$BM$9),COUNTIF('1.연간시수표'!AF62,$BM$7)),$BF$6,IF(OR(COUNTIF('1.연간시수표'!AF62,$BO$9),COUNTIF('1.연간시수표'!AF62,$BO$7)),$BO$6,IF(OR(COUNTIF('1.연간시수표'!AF62,$BP$9),COUNTIF('1.연간시수표'!AF62,$BP$7)),$BP$6,IF(OR(COUNTIF('1.연간시수표'!AF62,$BQ$9),COUNTIF('1.연간시수표'!AF62,$BQ$7)),$BQ$6,IF(OR(COUNTIF('1.연간시수표'!AF62,$BR$9),COUNTIF('1.연간시수표'!AF62,$BR$7)),$BR$6,"_")))))))))))))))</f>
        <v>영어</v>
      </c>
      <c r="AG62" s="148" t="str">
        <f>IF(OR(COUNTIF('1.연간시수표'!AG62,$AT$9),COUNTIF('1.연간시수표'!AG62,$AT$7)),$AT$6,IF(OR(COUNTIF('1.연간시수표'!AG62,$AU$9),COUNTIF('1.연간시수표'!AG62,$AU$7)),$AU$6,IF(OR(COUNTIF('1.연간시수표'!AG62,$AV$9),COUNTIF('1.연간시수표'!AG62,$AV$7)),$AV$6,IF(OR(COUNTIF('1.연간시수표'!AG62,$AW$9),COUNTIF('1.연간시수표'!AG62,$AW$7)),$AW$6,IF(OR(COUNTIF('1.연간시수표'!AG62,$AX$9),COUNTIF('1.연간시수표'!AG62,$AX$7)),$AX$6,IF(OR(COUNTIF('1.연간시수표'!AG62,$AY$9),COUNTIF('1.연간시수표'!AG62,$AY$7)),$AY$6,IF(OR(COUNTIF('1.연간시수표'!AG62,$AZ$9),COUNTIF('1.연간시수표'!AG62,$AZ$7)),$AZ$6,IF(OR(COUNTIF('1.연간시수표'!AG62,$BA$9),COUNTIF('1.연간시수표'!AG62,$BA$7)),$BA$6,IF(OR(COUNTIF('1.연간시수표'!AG62,$BB$9),COUNTIF('1.연간시수표'!AG62,$BB$7)),$BB$6,IF(OR(COUNTIF('1.연간시수표'!AG62,$BC$9),COUNTIF('1.연간시수표'!AG62,$BC$7)),$BC$6,IF(OR(COUNTIF('1.연간시수표'!AG62,$BF$9),COUNTIF('1.연간시수표'!AG62,$BF$7),COUNTIF('1.연간시수표'!AG62,$BG$9),COUNTIF('1.연간시수표'!AG62,$BG$7),COUNTIF('1.연간시수표'!AG62,$BH$9),COUNTIF('1.연간시수표'!AG62,$BH$7),COUNTIF('1.연간시수표'!AG62,$BI$9),COUNTIF('1.연간시수표'!AG62,$BI$7),COUNTIF('1.연간시수표'!AG62,$BJ$9),COUNTIF('1.연간시수표'!AG62,$BJ$7),COUNTIF('1.연간시수표'!AG62,$BK$9),COUNTIF('1.연간시수표'!AG62,$BK$7),COUNTIF('1.연간시수표'!AG62,$BL$9),COUNTIF('1.연간시수표'!AG62,$BL$7),COUNTIF('1.연간시수표'!AG62,$BM$9),COUNTIF('1.연간시수표'!AG62,$BM$7)),$BF$6,IF(OR(COUNTIF('1.연간시수표'!AG62,$BO$9),COUNTIF('1.연간시수표'!AG62,$BO$7)),$BO$6,IF(OR(COUNTIF('1.연간시수표'!AG62,$BP$9),COUNTIF('1.연간시수표'!AG62,$BP$7)),$BP$6,IF(OR(COUNTIF('1.연간시수표'!AG62,$BQ$9),COUNTIF('1.연간시수표'!AG62,$BQ$7)),$BQ$6,IF(OR(COUNTIF('1.연간시수표'!AG62,$BR$9),COUNTIF('1.연간시수표'!AG62,$BR$7)),$BR$6,"_")))))))))))))))</f>
        <v>과학</v>
      </c>
      <c r="AH62" s="148" t="str">
        <f>IF(OR(COUNTIF('1.연간시수표'!AH62,$AT$9),COUNTIF('1.연간시수표'!AH62,$AT$7)),$AT$6,IF(OR(COUNTIF('1.연간시수표'!AH62,$AU$9),COUNTIF('1.연간시수표'!AH62,$AU$7)),$AU$6,IF(OR(COUNTIF('1.연간시수표'!AH62,$AV$9),COUNTIF('1.연간시수표'!AH62,$AV$7)),$AV$6,IF(OR(COUNTIF('1.연간시수표'!AH62,$AW$9),COUNTIF('1.연간시수표'!AH62,$AW$7)),$AW$6,IF(OR(COUNTIF('1.연간시수표'!AH62,$AX$9),COUNTIF('1.연간시수표'!AH62,$AX$7)),$AX$6,IF(OR(COUNTIF('1.연간시수표'!AH62,$AY$9),COUNTIF('1.연간시수표'!AH62,$AY$7)),$AY$6,IF(OR(COUNTIF('1.연간시수표'!AH62,$AZ$9),COUNTIF('1.연간시수표'!AH62,$AZ$7)),$AZ$6,IF(OR(COUNTIF('1.연간시수표'!AH62,$BA$9),COUNTIF('1.연간시수표'!AH62,$BA$7)),$BA$6,IF(OR(COUNTIF('1.연간시수표'!AH62,$BB$9),COUNTIF('1.연간시수표'!AH62,$BB$7)),$BB$6,IF(OR(COUNTIF('1.연간시수표'!AH62,$BC$9),COUNTIF('1.연간시수표'!AH62,$BC$7)),$BC$6,IF(OR(COUNTIF('1.연간시수표'!AH62,$BF$9),COUNTIF('1.연간시수표'!AH62,$BF$7),COUNTIF('1.연간시수표'!AH62,$BG$9),COUNTIF('1.연간시수표'!AH62,$BG$7),COUNTIF('1.연간시수표'!AH62,$BH$9),COUNTIF('1.연간시수표'!AH62,$BH$7),COUNTIF('1.연간시수표'!AH62,$BI$9),COUNTIF('1.연간시수표'!AH62,$BI$7),COUNTIF('1.연간시수표'!AH62,$BJ$9),COUNTIF('1.연간시수표'!AH62,$BJ$7),COUNTIF('1.연간시수표'!AH62,$BK$9),COUNTIF('1.연간시수표'!AH62,$BK$7),COUNTIF('1.연간시수표'!AH62,$BL$9),COUNTIF('1.연간시수표'!AH62,$BL$7),COUNTIF('1.연간시수표'!AH62,$BM$9),COUNTIF('1.연간시수표'!AH62,$BM$7)),$BF$6,IF(OR(COUNTIF('1.연간시수표'!AH62,$BO$9),COUNTIF('1.연간시수표'!AH62,$BO$7)),$BO$6,IF(OR(COUNTIF('1.연간시수표'!AH62,$BP$9),COUNTIF('1.연간시수표'!AH62,$BP$7)),$BP$6,IF(OR(COUNTIF('1.연간시수표'!AH62,$BQ$9),COUNTIF('1.연간시수표'!AH62,$BQ$7)),$BQ$6,IF(OR(COUNTIF('1.연간시수표'!AH62,$BR$9),COUNTIF('1.연간시수표'!AH62,$BR$7)),$BR$6,"_")))))))))))))))</f>
        <v>음악</v>
      </c>
      <c r="AI62" s="148" t="str">
        <f>IF(OR(COUNTIF('1.연간시수표'!AI62,$AT$9),COUNTIF('1.연간시수표'!AI62,$AT$7)),$AT$6,IF(OR(COUNTIF('1.연간시수표'!AI62,$AU$9),COUNTIF('1.연간시수표'!AI62,$AU$7)),$AU$6,IF(OR(COUNTIF('1.연간시수표'!AI62,$AV$9),COUNTIF('1.연간시수표'!AI62,$AV$7)),$AV$6,IF(OR(COUNTIF('1.연간시수표'!AI62,$AW$9),COUNTIF('1.연간시수표'!AI62,$AW$7)),$AW$6,IF(OR(COUNTIF('1.연간시수표'!AI62,$AX$9),COUNTIF('1.연간시수표'!AI62,$AX$7)),$AX$6,IF(OR(COUNTIF('1.연간시수표'!AI62,$AY$9),COUNTIF('1.연간시수표'!AI62,$AY$7)),$AY$6,IF(OR(COUNTIF('1.연간시수표'!AI62,$AZ$9),COUNTIF('1.연간시수표'!AI62,$AZ$7)),$AZ$6,IF(OR(COUNTIF('1.연간시수표'!AI62,$BA$9),COUNTIF('1.연간시수표'!AI62,$BA$7)),$BA$6,IF(OR(COUNTIF('1.연간시수표'!AI62,$BB$9),COUNTIF('1.연간시수표'!AI62,$BB$7)),$BB$6,IF(OR(COUNTIF('1.연간시수표'!AI62,$BC$9),COUNTIF('1.연간시수표'!AI62,$BC$7)),$BC$6,IF(OR(COUNTIF('1.연간시수표'!AI62,$BF$9),COUNTIF('1.연간시수표'!AI62,$BF$7),COUNTIF('1.연간시수표'!AI62,$BG$9),COUNTIF('1.연간시수표'!AI62,$BG$7),COUNTIF('1.연간시수표'!AI62,$BH$9),COUNTIF('1.연간시수표'!AI62,$BH$7),COUNTIF('1.연간시수표'!AI62,$BI$9),COUNTIF('1.연간시수표'!AI62,$BI$7),COUNTIF('1.연간시수표'!AI62,$BJ$9),COUNTIF('1.연간시수표'!AI62,$BJ$7),COUNTIF('1.연간시수표'!AI62,$BK$9),COUNTIF('1.연간시수표'!AI62,$BK$7),COUNTIF('1.연간시수표'!AI62,$BL$9),COUNTIF('1.연간시수표'!AI62,$BL$7),COUNTIF('1.연간시수표'!AI62,$BM$9),COUNTIF('1.연간시수표'!AI62,$BM$7)),$BF$6,IF(OR(COUNTIF('1.연간시수표'!AI62,$BO$9),COUNTIF('1.연간시수표'!AI62,$BO$7)),$BO$6,IF(OR(COUNTIF('1.연간시수표'!AI62,$BP$9),COUNTIF('1.연간시수표'!AI62,$BP$7)),$BP$6,IF(OR(COUNTIF('1.연간시수표'!AI62,$BQ$9),COUNTIF('1.연간시수표'!AI62,$BQ$7)),$BQ$6,IF(OR(COUNTIF('1.연간시수표'!AI62,$BR$9),COUNTIF('1.연간시수표'!AI62,$BR$7)),$BR$6,"_")))))))))))))))</f>
        <v>_</v>
      </c>
      <c r="AJ62" s="148" t="str">
        <f>IF(OR(COUNTIF('1.연간시수표'!AJ62,$AT$9),COUNTIF('1.연간시수표'!AJ62,$AT$7)),$AT$6,IF(OR(COUNTIF('1.연간시수표'!AJ62,$AU$9),COUNTIF('1.연간시수표'!AJ62,$AU$7)),$AU$6,IF(OR(COUNTIF('1.연간시수표'!AJ62,$AV$9),COUNTIF('1.연간시수표'!AJ62,$AV$7)),$AV$6,IF(OR(COUNTIF('1.연간시수표'!AJ62,$AW$9),COUNTIF('1.연간시수표'!AJ62,$AW$7)),$AW$6,IF(OR(COUNTIF('1.연간시수표'!AJ62,$AX$9),COUNTIF('1.연간시수표'!AJ62,$AX$7)),$AX$6,IF(OR(COUNTIF('1.연간시수표'!AJ62,$AY$9),COUNTIF('1.연간시수표'!AJ62,$AY$7)),$AY$6,IF(OR(COUNTIF('1.연간시수표'!AJ62,$AZ$9),COUNTIF('1.연간시수표'!AJ62,$AZ$7)),$AZ$6,IF(OR(COUNTIF('1.연간시수표'!AJ62,$BA$9),COUNTIF('1.연간시수표'!AJ62,$BA$7)),$BA$6,IF(OR(COUNTIF('1.연간시수표'!AJ62,$BB$9),COUNTIF('1.연간시수표'!AJ62,$BB$7)),$BB$6,IF(OR(COUNTIF('1.연간시수표'!AJ62,$BC$9),COUNTIF('1.연간시수표'!AJ62,$BC$7)),$BC$6,IF(OR(COUNTIF('1.연간시수표'!AJ62,$BF$9),COUNTIF('1.연간시수표'!AJ62,$BF$7),COUNTIF('1.연간시수표'!AJ62,$BG$9),COUNTIF('1.연간시수표'!AJ62,$BG$7),COUNTIF('1.연간시수표'!AJ62,$BH$9),COUNTIF('1.연간시수표'!AJ62,$BH$7),COUNTIF('1.연간시수표'!AJ62,$BI$9),COUNTIF('1.연간시수표'!AJ62,$BI$7),COUNTIF('1.연간시수표'!AJ62,$BJ$9),COUNTIF('1.연간시수표'!AJ62,$BJ$7),COUNTIF('1.연간시수표'!AJ62,$BK$9),COUNTIF('1.연간시수표'!AJ62,$BK$7),COUNTIF('1.연간시수표'!AJ62,$BL$9),COUNTIF('1.연간시수표'!AJ62,$BL$7),COUNTIF('1.연간시수표'!AJ62,$BM$9),COUNTIF('1.연간시수표'!AJ62,$BM$7)),$BF$6,IF(OR(COUNTIF('1.연간시수표'!AJ62,$BO$9),COUNTIF('1.연간시수표'!AJ62,$BO$7)),$BO$6,IF(OR(COUNTIF('1.연간시수표'!AJ62,$BP$9),COUNTIF('1.연간시수표'!AJ62,$BP$7)),$BP$6,IF(OR(COUNTIF('1.연간시수표'!AJ62,$BQ$9),COUNTIF('1.연간시수표'!AJ62,$BQ$7)),$BQ$6,IF(OR(COUNTIF('1.연간시수표'!AJ62,$BR$9),COUNTIF('1.연간시수표'!AJ62,$BR$7)),$BR$6,"_")))))))))))))))</f>
        <v>_</v>
      </c>
      <c r="AK62" s="148" t="str">
        <f>IF(OR(COUNTIF('1.연간시수표'!AK62,$AT$9),COUNTIF('1.연간시수표'!AK62,$AT$7)),$AT$6,IF(OR(COUNTIF('1.연간시수표'!AK62,$AU$9),COUNTIF('1.연간시수표'!AK62,$AU$7)),$AU$6,IF(OR(COUNTIF('1.연간시수표'!AK62,$AV$9),COUNTIF('1.연간시수표'!AK62,$AV$7)),$AV$6,IF(OR(COUNTIF('1.연간시수표'!AK62,$AW$9),COUNTIF('1.연간시수표'!AK62,$AW$7)),$AW$6,IF(OR(COUNTIF('1.연간시수표'!AK62,$AX$9),COUNTIF('1.연간시수표'!AK62,$AX$7)),$AX$6,IF(OR(COUNTIF('1.연간시수표'!AK62,$AY$9),COUNTIF('1.연간시수표'!AK62,$AY$7)),$AY$6,IF(OR(COUNTIF('1.연간시수표'!AK62,$AZ$9),COUNTIF('1.연간시수표'!AK62,$AZ$7)),$AZ$6,IF(OR(COUNTIF('1.연간시수표'!AK62,$BA$9),COUNTIF('1.연간시수표'!AK62,$BA$7)),$BA$6,IF(OR(COUNTIF('1.연간시수표'!AK62,$BB$9),COUNTIF('1.연간시수표'!AK62,$BB$7)),$BB$6,IF(OR(COUNTIF('1.연간시수표'!AK62,$BC$9),COUNTIF('1.연간시수표'!AK62,$BC$7)),$BC$6,IF(OR(COUNTIF('1.연간시수표'!AK62,$BF$9),COUNTIF('1.연간시수표'!AK62,$BF$7),COUNTIF('1.연간시수표'!AK62,$BG$9),COUNTIF('1.연간시수표'!AK62,$BG$7),COUNTIF('1.연간시수표'!AK62,$BH$9),COUNTIF('1.연간시수표'!AK62,$BH$7),COUNTIF('1.연간시수표'!AK62,$BI$9),COUNTIF('1.연간시수표'!AK62,$BI$7),COUNTIF('1.연간시수표'!AK62,$BJ$9),COUNTIF('1.연간시수표'!AK62,$BJ$7),COUNTIF('1.연간시수표'!AK62,$BK$9),COUNTIF('1.연간시수표'!AK62,$BK$7),COUNTIF('1.연간시수표'!AK62,$BL$9),COUNTIF('1.연간시수표'!AK62,$BL$7),COUNTIF('1.연간시수표'!AK62,$BM$9),COUNTIF('1.연간시수표'!AK62,$BM$7)),$BF$6,IF(OR(COUNTIF('1.연간시수표'!AK62,$BO$9),COUNTIF('1.연간시수표'!AK62,$BO$7)),$BO$6,IF(OR(COUNTIF('1.연간시수표'!AK62,$BP$9),COUNTIF('1.연간시수표'!AK62,$BP$7)),$BP$6,IF(OR(COUNTIF('1.연간시수표'!AK62,$BQ$9),COUNTIF('1.연간시수표'!AK62,$BQ$7)),$BQ$6,IF(OR(COUNTIF('1.연간시수표'!AK62,$BR$9),COUNTIF('1.연간시수표'!AK62,$BR$7)),$BR$6,"_")))))))))))))))</f>
        <v>국어</v>
      </c>
      <c r="AL62" s="148" t="str">
        <f>IF(OR(COUNTIF('1.연간시수표'!AL62,$AT$9),COUNTIF('1.연간시수표'!AL62,$AT$7)),$AT$6,IF(OR(COUNTIF('1.연간시수표'!AL62,$AU$9),COUNTIF('1.연간시수표'!AL62,$AU$7)),$AU$6,IF(OR(COUNTIF('1.연간시수표'!AL62,$AV$9),COUNTIF('1.연간시수표'!AL62,$AV$7)),$AV$6,IF(OR(COUNTIF('1.연간시수표'!AL62,$AW$9),COUNTIF('1.연간시수표'!AL62,$AW$7)),$AW$6,IF(OR(COUNTIF('1.연간시수표'!AL62,$AX$9),COUNTIF('1.연간시수표'!AL62,$AX$7)),$AX$6,IF(OR(COUNTIF('1.연간시수표'!AL62,$AY$9),COUNTIF('1.연간시수표'!AL62,$AY$7)),$AY$6,IF(OR(COUNTIF('1.연간시수표'!AL62,$AZ$9),COUNTIF('1.연간시수표'!AL62,$AZ$7)),$AZ$6,IF(OR(COUNTIF('1.연간시수표'!AL62,$BA$9),COUNTIF('1.연간시수표'!AL62,$BA$7)),$BA$6,IF(OR(COUNTIF('1.연간시수표'!AL62,$BB$9),COUNTIF('1.연간시수표'!AL62,$BB$7)),$BB$6,IF(OR(COUNTIF('1.연간시수표'!AL62,$BC$9),COUNTIF('1.연간시수표'!AL62,$BC$7)),$BC$6,IF(OR(COUNTIF('1.연간시수표'!AL62,$BF$9),COUNTIF('1.연간시수표'!AL62,$BF$7),COUNTIF('1.연간시수표'!AL62,$BG$9),COUNTIF('1.연간시수표'!AL62,$BG$7),COUNTIF('1.연간시수표'!AL62,$BH$9),COUNTIF('1.연간시수표'!AL62,$BH$7),COUNTIF('1.연간시수표'!AL62,$BI$9),COUNTIF('1.연간시수표'!AL62,$BI$7),COUNTIF('1.연간시수표'!AL62,$BJ$9),COUNTIF('1.연간시수표'!AL62,$BJ$7),COUNTIF('1.연간시수표'!AL62,$BK$9),COUNTIF('1.연간시수표'!AL62,$BK$7),COUNTIF('1.연간시수표'!AL62,$BL$9),COUNTIF('1.연간시수표'!AL62,$BL$7),COUNTIF('1.연간시수표'!AL62,$BM$9),COUNTIF('1.연간시수표'!AL62,$BM$7)),$BF$6,IF(OR(COUNTIF('1.연간시수표'!AL62,$BO$9),COUNTIF('1.연간시수표'!AL62,$BO$7)),$BO$6,IF(OR(COUNTIF('1.연간시수표'!AL62,$BP$9),COUNTIF('1.연간시수표'!AL62,$BP$7)),$BP$6,IF(OR(COUNTIF('1.연간시수표'!AL62,$BQ$9),COUNTIF('1.연간시수표'!AL62,$BQ$7)),$BQ$6,IF(OR(COUNTIF('1.연간시수표'!AL62,$BR$9),COUNTIF('1.연간시수표'!AL62,$BR$7)),$BR$6,"_")))))))))))))))</f>
        <v>체육</v>
      </c>
      <c r="AM62" s="148" t="str">
        <f>IF(OR(COUNTIF('1.연간시수표'!AM62,$AT$9),COUNTIF('1.연간시수표'!AM62,$AT$7)),$AT$6,IF(OR(COUNTIF('1.연간시수표'!AM62,$AU$9),COUNTIF('1.연간시수표'!AM62,$AU$7)),$AU$6,IF(OR(COUNTIF('1.연간시수표'!AM62,$AV$9),COUNTIF('1.연간시수표'!AM62,$AV$7)),$AV$6,IF(OR(COUNTIF('1.연간시수표'!AM62,$AW$9),COUNTIF('1.연간시수표'!AM62,$AW$7)),$AW$6,IF(OR(COUNTIF('1.연간시수표'!AM62,$AX$9),COUNTIF('1.연간시수표'!AM62,$AX$7)),$AX$6,IF(OR(COUNTIF('1.연간시수표'!AM62,$AY$9),COUNTIF('1.연간시수표'!AM62,$AY$7)),$AY$6,IF(OR(COUNTIF('1.연간시수표'!AM62,$AZ$9),COUNTIF('1.연간시수표'!AM62,$AZ$7)),$AZ$6,IF(OR(COUNTIF('1.연간시수표'!AM62,$BA$9),COUNTIF('1.연간시수표'!AM62,$BA$7)),$BA$6,IF(OR(COUNTIF('1.연간시수표'!AM62,$BB$9),COUNTIF('1.연간시수표'!AM62,$BB$7)),$BB$6,IF(OR(COUNTIF('1.연간시수표'!AM62,$BC$9),COUNTIF('1.연간시수표'!AM62,$BC$7)),$BC$6,IF(OR(COUNTIF('1.연간시수표'!AM62,$BF$9),COUNTIF('1.연간시수표'!AM62,$BF$7),COUNTIF('1.연간시수표'!AM62,$BG$9),COUNTIF('1.연간시수표'!AM62,$BG$7),COUNTIF('1.연간시수표'!AM62,$BH$9),COUNTIF('1.연간시수표'!AM62,$BH$7),COUNTIF('1.연간시수표'!AM62,$BI$9),COUNTIF('1.연간시수표'!AM62,$BI$7),COUNTIF('1.연간시수표'!AM62,$BJ$9),COUNTIF('1.연간시수표'!AM62,$BJ$7),COUNTIF('1.연간시수표'!AM62,$BK$9),COUNTIF('1.연간시수표'!AM62,$BK$7),COUNTIF('1.연간시수표'!AM62,$BL$9),COUNTIF('1.연간시수표'!AM62,$BL$7),COUNTIF('1.연간시수표'!AM62,$BM$9),COUNTIF('1.연간시수표'!AM62,$BM$7)),$BF$6,IF(OR(COUNTIF('1.연간시수표'!AM62,$BO$9),COUNTIF('1.연간시수표'!AM62,$BO$7)),$BO$6,IF(OR(COUNTIF('1.연간시수표'!AM62,$BP$9),COUNTIF('1.연간시수표'!AM62,$BP$7)),$BP$6,IF(OR(COUNTIF('1.연간시수표'!AM62,$BQ$9),COUNTIF('1.연간시수표'!AM62,$BQ$7)),$BQ$6,IF(OR(COUNTIF('1.연간시수표'!AM62,$BR$9),COUNTIF('1.연간시수표'!AM62,$BR$7)),$BR$6,"_")))))))))))))))</f>
        <v>수학</v>
      </c>
      <c r="AN62" s="148" t="str">
        <f>IF(OR(COUNTIF('1.연간시수표'!AN62,$AT$9),COUNTIF('1.연간시수표'!AN62,$AT$7)),$AT$6,IF(OR(COUNTIF('1.연간시수표'!AN62,$AU$9),COUNTIF('1.연간시수표'!AN62,$AU$7)),$AU$6,IF(OR(COUNTIF('1.연간시수표'!AN62,$AV$9),COUNTIF('1.연간시수표'!AN62,$AV$7)),$AV$6,IF(OR(COUNTIF('1.연간시수표'!AN62,$AW$9),COUNTIF('1.연간시수표'!AN62,$AW$7)),$AW$6,IF(OR(COUNTIF('1.연간시수표'!AN62,$AX$9),COUNTIF('1.연간시수표'!AN62,$AX$7)),$AX$6,IF(OR(COUNTIF('1.연간시수표'!AN62,$AY$9),COUNTIF('1.연간시수표'!AN62,$AY$7)),$AY$6,IF(OR(COUNTIF('1.연간시수표'!AN62,$AZ$9),COUNTIF('1.연간시수표'!AN62,$AZ$7)),$AZ$6,IF(OR(COUNTIF('1.연간시수표'!AN62,$BA$9),COUNTIF('1.연간시수표'!AN62,$BA$7)),$BA$6,IF(OR(COUNTIF('1.연간시수표'!AN62,$BB$9),COUNTIF('1.연간시수표'!AN62,$BB$7)),$BB$6,IF(OR(COUNTIF('1.연간시수표'!AN62,$BC$9),COUNTIF('1.연간시수표'!AN62,$BC$7)),$BC$6,IF(OR(COUNTIF('1.연간시수표'!AN62,$BF$9),COUNTIF('1.연간시수표'!AN62,$BF$7),COUNTIF('1.연간시수표'!AN62,$BG$9),COUNTIF('1.연간시수표'!AN62,$BG$7),COUNTIF('1.연간시수표'!AN62,$BH$9),COUNTIF('1.연간시수표'!AN62,$BH$7),COUNTIF('1.연간시수표'!AN62,$BI$9),COUNTIF('1.연간시수표'!AN62,$BI$7),COUNTIF('1.연간시수표'!AN62,$BJ$9),COUNTIF('1.연간시수표'!AN62,$BJ$7),COUNTIF('1.연간시수표'!AN62,$BK$9),COUNTIF('1.연간시수표'!AN62,$BK$7),COUNTIF('1.연간시수표'!AN62,$BL$9),COUNTIF('1.연간시수표'!AN62,$BL$7),COUNTIF('1.연간시수표'!AN62,$BM$9),COUNTIF('1.연간시수표'!AN62,$BM$7)),$BF$6,IF(OR(COUNTIF('1.연간시수표'!AN62,$BO$9),COUNTIF('1.연간시수표'!AN62,$BO$7)),$BO$6,IF(OR(COUNTIF('1.연간시수표'!AN62,$BP$9),COUNTIF('1.연간시수표'!AN62,$BP$7)),$BP$6,IF(OR(COUNTIF('1.연간시수표'!AN62,$BQ$9),COUNTIF('1.연간시수표'!AN62,$BQ$7)),$BQ$6,IF(OR(COUNTIF('1.연간시수표'!AN62,$BR$9),COUNTIF('1.연간시수표'!AN62,$BR$7)),$BR$6,"_")))))))))))))))</f>
        <v>국어</v>
      </c>
      <c r="AO62" s="148" t="str">
        <f>IF(OR(COUNTIF('1.연간시수표'!AO62,$AT$9),COUNTIF('1.연간시수표'!AO62,$AT$7)),$AT$6,IF(OR(COUNTIF('1.연간시수표'!AO62,$AU$9),COUNTIF('1.연간시수표'!AO62,$AU$7)),$AU$6,IF(OR(COUNTIF('1.연간시수표'!AO62,$AV$9),COUNTIF('1.연간시수표'!AO62,$AV$7)),$AV$6,IF(OR(COUNTIF('1.연간시수표'!AO62,$AW$9),COUNTIF('1.연간시수표'!AO62,$AW$7)),$AW$6,IF(OR(COUNTIF('1.연간시수표'!AO62,$AX$9),COUNTIF('1.연간시수표'!AO62,$AX$7)),$AX$6,IF(OR(COUNTIF('1.연간시수표'!AO62,$AY$9),COUNTIF('1.연간시수표'!AO62,$AY$7)),$AY$6,IF(OR(COUNTIF('1.연간시수표'!AO62,$AZ$9),COUNTIF('1.연간시수표'!AO62,$AZ$7)),$AZ$6,IF(OR(COUNTIF('1.연간시수표'!AO62,$BA$9),COUNTIF('1.연간시수표'!AO62,$BA$7)),$BA$6,IF(OR(COUNTIF('1.연간시수표'!AO62,$BB$9),COUNTIF('1.연간시수표'!AO62,$BB$7)),$BB$6,IF(OR(COUNTIF('1.연간시수표'!AO62,$BC$9),COUNTIF('1.연간시수표'!AO62,$BC$7)),$BC$6,IF(OR(COUNTIF('1.연간시수표'!AO62,$BF$9),COUNTIF('1.연간시수표'!AO62,$BF$7),COUNTIF('1.연간시수표'!AO62,$BG$9),COUNTIF('1.연간시수표'!AO62,$BG$7),COUNTIF('1.연간시수표'!AO62,$BH$9),COUNTIF('1.연간시수표'!AO62,$BH$7),COUNTIF('1.연간시수표'!AO62,$BI$9),COUNTIF('1.연간시수표'!AO62,$BI$7),COUNTIF('1.연간시수표'!AO62,$BJ$9),COUNTIF('1.연간시수표'!AO62,$BJ$7),COUNTIF('1.연간시수표'!AO62,$BK$9),COUNTIF('1.연간시수표'!AO62,$BK$7),COUNTIF('1.연간시수표'!AO62,$BL$9),COUNTIF('1.연간시수표'!AO62,$BL$7),COUNTIF('1.연간시수표'!AO62,$BM$9),COUNTIF('1.연간시수표'!AO62,$BM$7)),$BF$6,IF(OR(COUNTIF('1.연간시수표'!AO62,$BO$9),COUNTIF('1.연간시수표'!AO62,$BO$7)),$BO$6,IF(OR(COUNTIF('1.연간시수표'!AO62,$BP$9),COUNTIF('1.연간시수표'!AO62,$BP$7)),$BP$6,IF(OR(COUNTIF('1.연간시수표'!AO62,$BQ$9),COUNTIF('1.연간시수표'!AO62,$BQ$7)),$BQ$6,IF(OR(COUNTIF('1.연간시수표'!AO62,$BR$9),COUNTIF('1.연간시수표'!AO62,$BR$7)),$BR$6,"_")))))))))))))))</f>
        <v>사회</v>
      </c>
      <c r="AP62" s="148" t="str">
        <f>IF(OR(COUNTIF('1.연간시수표'!AP62,$AT$9),COUNTIF('1.연간시수표'!AP62,$AT$7)),$AT$6,IF(OR(COUNTIF('1.연간시수표'!AP62,$AU$9),COUNTIF('1.연간시수표'!AP62,$AU$7)),$AU$6,IF(OR(COUNTIF('1.연간시수표'!AP62,$AV$9),COUNTIF('1.연간시수표'!AP62,$AV$7)),$AV$6,IF(OR(COUNTIF('1.연간시수표'!AP62,$AW$9),COUNTIF('1.연간시수표'!AP62,$AW$7)),$AW$6,IF(OR(COUNTIF('1.연간시수표'!AP62,$AX$9),COUNTIF('1.연간시수표'!AP62,$AX$7)),$AX$6,IF(OR(COUNTIF('1.연간시수표'!AP62,$AY$9),COUNTIF('1.연간시수표'!AP62,$AY$7)),$AY$6,IF(OR(COUNTIF('1.연간시수표'!AP62,$AZ$9),COUNTIF('1.연간시수표'!AP62,$AZ$7)),$AZ$6,IF(OR(COUNTIF('1.연간시수표'!AP62,$BA$9),COUNTIF('1.연간시수표'!AP62,$BA$7)),$BA$6,IF(OR(COUNTIF('1.연간시수표'!AP62,$BB$9),COUNTIF('1.연간시수표'!AP62,$BB$7)),$BB$6,IF(OR(COUNTIF('1.연간시수표'!AP62,$BC$9),COUNTIF('1.연간시수표'!AP62,$BC$7)),$BC$6,IF(OR(COUNTIF('1.연간시수표'!AP62,$BF$9),COUNTIF('1.연간시수표'!AP62,$BF$7),COUNTIF('1.연간시수표'!AP62,$BG$9),COUNTIF('1.연간시수표'!AP62,$BG$7),COUNTIF('1.연간시수표'!AP62,$BH$9),COUNTIF('1.연간시수표'!AP62,$BH$7),COUNTIF('1.연간시수표'!AP62,$BI$9),COUNTIF('1.연간시수표'!AP62,$BI$7),COUNTIF('1.연간시수표'!AP62,$BJ$9),COUNTIF('1.연간시수표'!AP62,$BJ$7),COUNTIF('1.연간시수표'!AP62,$BK$9),COUNTIF('1.연간시수표'!AP62,$BK$7),COUNTIF('1.연간시수표'!AP62,$BL$9),COUNTIF('1.연간시수표'!AP62,$BL$7),COUNTIF('1.연간시수표'!AP62,$BM$9),COUNTIF('1.연간시수표'!AP62,$BM$7)),$BF$6,IF(OR(COUNTIF('1.연간시수표'!AP62,$BO$9),COUNTIF('1.연간시수표'!AP62,$BO$7)),$BO$6,IF(OR(COUNTIF('1.연간시수표'!AP62,$BP$9),COUNTIF('1.연간시수표'!AP62,$BP$7)),$BP$6,IF(OR(COUNTIF('1.연간시수표'!AP62,$BQ$9),COUNTIF('1.연간시수표'!AP62,$BQ$7)),$BQ$6,IF(OR(COUNTIF('1.연간시수표'!AP62,$BR$9),COUNTIF('1.연간시수표'!AP62,$BR$7)),$BR$6,"_")))))))))))))))</f>
        <v>실과</v>
      </c>
      <c r="AQ62" s="148" t="str">
        <f>IF(OR(COUNTIF('1.연간시수표'!AQ62,$AT$9),COUNTIF('1.연간시수표'!AQ62,$AT$7)),$AT$6,IF(OR(COUNTIF('1.연간시수표'!AQ62,$AU$9),COUNTIF('1.연간시수표'!AQ62,$AU$7)),$AU$6,IF(OR(COUNTIF('1.연간시수표'!AQ62,$AV$9),COUNTIF('1.연간시수표'!AQ62,$AV$7)),$AV$6,IF(OR(COUNTIF('1.연간시수표'!AQ62,$AW$9),COUNTIF('1.연간시수표'!AQ62,$AW$7)),$AW$6,IF(OR(COUNTIF('1.연간시수표'!AQ62,$AX$9),COUNTIF('1.연간시수표'!AQ62,$AX$7)),$AX$6,IF(OR(COUNTIF('1.연간시수표'!AQ62,$AY$9),COUNTIF('1.연간시수표'!AQ62,$AY$7)),$AY$6,IF(OR(COUNTIF('1.연간시수표'!AQ62,$AZ$9),COUNTIF('1.연간시수표'!AQ62,$AZ$7)),$AZ$6,IF(OR(COUNTIF('1.연간시수표'!AQ62,$BA$9),COUNTIF('1.연간시수표'!AQ62,$BA$7)),$BA$6,IF(OR(COUNTIF('1.연간시수표'!AQ62,$BB$9),COUNTIF('1.연간시수표'!AQ62,$BB$7)),$BB$6,IF(OR(COUNTIF('1.연간시수표'!AQ62,$BC$9),COUNTIF('1.연간시수표'!AQ62,$BC$7)),$BC$6,IF(OR(COUNTIF('1.연간시수표'!AQ62,$BF$9),COUNTIF('1.연간시수표'!AQ62,$BF$7),COUNTIF('1.연간시수표'!AQ62,$BG$9),COUNTIF('1.연간시수표'!AQ62,$BG$7),COUNTIF('1.연간시수표'!AQ62,$BH$9),COUNTIF('1.연간시수표'!AQ62,$BH$7),COUNTIF('1.연간시수표'!AQ62,$BI$9),COUNTIF('1.연간시수표'!AQ62,$BI$7),COUNTIF('1.연간시수표'!AQ62,$BJ$9),COUNTIF('1.연간시수표'!AQ62,$BJ$7),COUNTIF('1.연간시수표'!AQ62,$BK$9),COUNTIF('1.연간시수표'!AQ62,$BK$7),COUNTIF('1.연간시수표'!AQ62,$BL$9),COUNTIF('1.연간시수표'!AQ62,$BL$7),COUNTIF('1.연간시수표'!AQ62,$BM$9),COUNTIF('1.연간시수표'!AQ62,$BM$7)),$BF$6,IF(OR(COUNTIF('1.연간시수표'!AQ62,$BO$9),COUNTIF('1.연간시수표'!AQ62,$BO$7)),$BO$6,IF(OR(COUNTIF('1.연간시수표'!AQ62,$BP$9),COUNTIF('1.연간시수표'!AQ62,$BP$7)),$BP$6,IF(OR(COUNTIF('1.연간시수표'!AQ62,$BQ$9),COUNTIF('1.연간시수표'!AQ62,$BQ$7)),$BQ$6,IF(OR(COUNTIF('1.연간시수표'!AQ62,$BR$9),COUNTIF('1.연간시수표'!AQ62,$BR$7)),$BR$6,"_")))))))))))))))</f>
        <v>_</v>
      </c>
      <c r="AR62" s="148" t="str">
        <f>IF(OR(COUNTIF('1.연간시수표'!AR62,$AT$9),COUNTIF('1.연간시수표'!AR62,$AT$7)),$AT$6,IF(OR(COUNTIF('1.연간시수표'!AR62,$AU$9),COUNTIF('1.연간시수표'!AR62,$AU$7)),$AU$6,IF(OR(COUNTIF('1.연간시수표'!AR62,$AV$9),COUNTIF('1.연간시수표'!AR62,$AV$7)),$AV$6,IF(OR(COUNTIF('1.연간시수표'!AR62,$AW$9),COUNTIF('1.연간시수표'!AR62,$AW$7)),$AW$6,IF(OR(COUNTIF('1.연간시수표'!AR62,$AX$9),COUNTIF('1.연간시수표'!AR62,$AX$7)),$AX$6,IF(OR(COUNTIF('1.연간시수표'!AR62,$AY$9),COUNTIF('1.연간시수표'!AR62,$AY$7)),$AY$6,IF(OR(COUNTIF('1.연간시수표'!AR62,$AZ$9),COUNTIF('1.연간시수표'!AR62,$AZ$7)),$AZ$6,IF(OR(COUNTIF('1.연간시수표'!AR62,$BA$9),COUNTIF('1.연간시수표'!AR62,$BA$7)),$BA$6,IF(OR(COUNTIF('1.연간시수표'!AR62,$BB$9),COUNTIF('1.연간시수표'!AR62,$BB$7)),$BB$6,IF(OR(COUNTIF('1.연간시수표'!AR62,$BC$9),COUNTIF('1.연간시수표'!AR62,$BC$7)),$BC$6,IF(OR(COUNTIF('1.연간시수표'!AR62,$BF$9),COUNTIF('1.연간시수표'!AR62,$BF$7),COUNTIF('1.연간시수표'!AR62,$BG$9),COUNTIF('1.연간시수표'!AR62,$BG$7),COUNTIF('1.연간시수표'!AR62,$BH$9),COUNTIF('1.연간시수표'!AR62,$BH$7),COUNTIF('1.연간시수표'!AR62,$BI$9),COUNTIF('1.연간시수표'!AR62,$BI$7),COUNTIF('1.연간시수표'!AR62,$BJ$9),COUNTIF('1.연간시수표'!AR62,$BJ$7),COUNTIF('1.연간시수표'!AR62,$BK$9),COUNTIF('1.연간시수표'!AR62,$BK$7),COUNTIF('1.연간시수표'!AR62,$BL$9),COUNTIF('1.연간시수표'!AR62,$BL$7),COUNTIF('1.연간시수표'!AR62,$BM$9),COUNTIF('1.연간시수표'!AR62,$BM$7)),$BF$6,IF(OR(COUNTIF('1.연간시수표'!AR62,$BO$9),COUNTIF('1.연간시수표'!AR62,$BO$7)),$BO$6,IF(OR(COUNTIF('1.연간시수표'!AR62,$BP$9),COUNTIF('1.연간시수표'!AR62,$BP$7)),$BP$6,IF(OR(COUNTIF('1.연간시수표'!AR62,$BQ$9),COUNTIF('1.연간시수표'!AR62,$BQ$7)),$BQ$6,IF(OR(COUNTIF('1.연간시수표'!AR62,$BR$9),COUNTIF('1.연간시수표'!AR62,$BR$7)),$BR$6,"_")))))))))))))))</f>
        <v>_</v>
      </c>
      <c r="BU62" s="32"/>
    </row>
    <row r="63" spans="2:73">
      <c r="B63" s="6"/>
      <c r="C63" s="79">
        <f>'1.연간시수표'!C63</f>
        <v>32</v>
      </c>
      <c r="D63" s="3"/>
      <c r="E63" s="148" t="str">
        <f>IF(OR(COUNTIF('1.연간시수표'!E63,$AT$9),COUNTIF('1.연간시수표'!E63,$AT$7)),$AT$6,IF(OR(COUNTIF('1.연간시수표'!E63,$AU$9),COUNTIF('1.연간시수표'!E63,$AU$7)),$AU$6,IF(OR(COUNTIF('1.연간시수표'!E63,$AV$9),COUNTIF('1.연간시수표'!E63,$AV$7)),$AV$6,IF(OR(COUNTIF('1.연간시수표'!E63,$AW$9),COUNTIF('1.연간시수표'!E63,$AW$7)),$AW$6,IF(OR(COUNTIF('1.연간시수표'!E63,$AX$9),COUNTIF('1.연간시수표'!E63,$AX$7)),$AX$6,IF(OR(COUNTIF('1.연간시수표'!E63,$AY$9),COUNTIF('1.연간시수표'!E63,$AY$7)),$AY$6,IF(OR(COUNTIF('1.연간시수표'!E63,$AZ$9),COUNTIF('1.연간시수표'!E63,$AZ$7)),$AZ$6,IF(OR(COUNTIF('1.연간시수표'!E63,$BA$9),COUNTIF('1.연간시수표'!E63,$BA$7)),$BA$6,IF(OR(COUNTIF('1.연간시수표'!E63,$BB$9),COUNTIF('1.연간시수표'!E63,$BB$7)),$BB$6,IF(OR(COUNTIF('1.연간시수표'!E63,$BC$9),COUNTIF('1.연간시수표'!E63,$BC$7)),$BC$6,IF(OR(COUNTIF('1.연간시수표'!E63,$BF$9),COUNTIF('1.연간시수표'!E63,$BF$7),COUNTIF('1.연간시수표'!E63,$BG$9),COUNTIF('1.연간시수표'!E63,$BG$7),COUNTIF('1.연간시수표'!E63,$BH$9),COUNTIF('1.연간시수표'!E63,$BH$7),COUNTIF('1.연간시수표'!E63,$BI$9),COUNTIF('1.연간시수표'!E63,$BI$7),COUNTIF('1.연간시수표'!E63,$BJ$9),COUNTIF('1.연간시수표'!E63,$BJ$7),COUNTIF('1.연간시수표'!E63,$BK$9),COUNTIF('1.연간시수표'!E63,$BK$7),COUNTIF('1.연간시수표'!E63,$BL$9),COUNTIF('1.연간시수표'!E63,$BL$7),COUNTIF('1.연간시수표'!E63,$BM$9),COUNTIF('1.연간시수표'!E63,$BM$7)),$BF$6,IF(OR(COUNTIF('1.연간시수표'!E63,$BO$9),COUNTIF('1.연간시수표'!E63,$BO$7)),$BO$6,IF(OR(COUNTIF('1.연간시수표'!E63,$BP$9),COUNTIF('1.연간시수표'!E63,$BP$7)),$BP$6,IF(OR(COUNTIF('1.연간시수표'!E63,$BQ$9),COUNTIF('1.연간시수표'!E63,$BQ$7)),$BQ$6,IF(OR(COUNTIF('1.연간시수표'!E63,$BR$9),COUNTIF('1.연간시수표'!E63,$BR$7)),$BR$6,"_")))))))))))))))</f>
        <v>국어</v>
      </c>
      <c r="F63" s="148" t="str">
        <f>IF(OR(COUNTIF('1.연간시수표'!F63,$AT$9),COUNTIF('1.연간시수표'!F63,$AT$7)),$AT$6,IF(OR(COUNTIF('1.연간시수표'!F63,$AU$9),COUNTIF('1.연간시수표'!F63,$AU$7)),$AU$6,IF(OR(COUNTIF('1.연간시수표'!F63,$AV$9),COUNTIF('1.연간시수표'!F63,$AV$7)),$AV$6,IF(OR(COUNTIF('1.연간시수표'!F63,$AW$9),COUNTIF('1.연간시수표'!F63,$AW$7)),$AW$6,IF(OR(COUNTIF('1.연간시수표'!F63,$AX$9),COUNTIF('1.연간시수표'!F63,$AX$7)),$AX$6,IF(OR(COUNTIF('1.연간시수표'!F63,$AY$9),COUNTIF('1.연간시수표'!F63,$AY$7)),$AY$6,IF(OR(COUNTIF('1.연간시수표'!F63,$AZ$9),COUNTIF('1.연간시수표'!F63,$AZ$7)),$AZ$6,IF(OR(COUNTIF('1.연간시수표'!F63,$BA$9),COUNTIF('1.연간시수표'!F63,$BA$7)),$BA$6,IF(OR(COUNTIF('1.연간시수표'!F63,$BB$9),COUNTIF('1.연간시수표'!F63,$BB$7)),$BB$6,IF(OR(COUNTIF('1.연간시수표'!F63,$BC$9),COUNTIF('1.연간시수표'!F63,$BC$7)),$BC$6,IF(OR(COUNTIF('1.연간시수표'!F63,$BF$9),COUNTIF('1.연간시수표'!F63,$BF$7),COUNTIF('1.연간시수표'!F63,$BG$9),COUNTIF('1.연간시수표'!F63,$BG$7),COUNTIF('1.연간시수표'!F63,$BH$9),COUNTIF('1.연간시수표'!F63,$BH$7),COUNTIF('1.연간시수표'!F63,$BI$9),COUNTIF('1.연간시수표'!F63,$BI$7),COUNTIF('1.연간시수표'!F63,$BJ$9),COUNTIF('1.연간시수표'!F63,$BJ$7),COUNTIF('1.연간시수표'!F63,$BK$9),COUNTIF('1.연간시수표'!F63,$BK$7),COUNTIF('1.연간시수표'!F63,$BL$9),COUNTIF('1.연간시수표'!F63,$BL$7),COUNTIF('1.연간시수표'!F63,$BM$9),COUNTIF('1.연간시수표'!F63,$BM$7)),$BF$6,IF(OR(COUNTIF('1.연간시수표'!F63,$BO$9),COUNTIF('1.연간시수표'!F63,$BO$7)),$BO$6,IF(OR(COUNTIF('1.연간시수표'!F63,$BP$9),COUNTIF('1.연간시수표'!F63,$BP$7)),$BP$6,IF(OR(COUNTIF('1.연간시수표'!F63,$BQ$9),COUNTIF('1.연간시수표'!F63,$BQ$7)),$BQ$6,IF(OR(COUNTIF('1.연간시수표'!F63,$BR$9),COUNTIF('1.연간시수표'!F63,$BR$7)),$BR$6,"_")))))))))))))))</f>
        <v>미술</v>
      </c>
      <c r="G63" s="148" t="str">
        <f>IF(OR(COUNTIF('1.연간시수표'!G63,$AT$9),COUNTIF('1.연간시수표'!G63,$AT$7)),$AT$6,IF(OR(COUNTIF('1.연간시수표'!G63,$AU$9),COUNTIF('1.연간시수표'!G63,$AU$7)),$AU$6,IF(OR(COUNTIF('1.연간시수표'!G63,$AV$9),COUNTIF('1.연간시수표'!G63,$AV$7)),$AV$6,IF(OR(COUNTIF('1.연간시수표'!G63,$AW$9),COUNTIF('1.연간시수표'!G63,$AW$7)),$AW$6,IF(OR(COUNTIF('1.연간시수표'!G63,$AX$9),COUNTIF('1.연간시수표'!G63,$AX$7)),$AX$6,IF(OR(COUNTIF('1.연간시수표'!G63,$AY$9),COUNTIF('1.연간시수표'!G63,$AY$7)),$AY$6,IF(OR(COUNTIF('1.연간시수표'!G63,$AZ$9),COUNTIF('1.연간시수표'!G63,$AZ$7)),$AZ$6,IF(OR(COUNTIF('1.연간시수표'!G63,$BA$9),COUNTIF('1.연간시수표'!G63,$BA$7)),$BA$6,IF(OR(COUNTIF('1.연간시수표'!G63,$BB$9),COUNTIF('1.연간시수표'!G63,$BB$7)),$BB$6,IF(OR(COUNTIF('1.연간시수표'!G63,$BC$9),COUNTIF('1.연간시수표'!G63,$BC$7)),$BC$6,IF(OR(COUNTIF('1.연간시수표'!G63,$BF$9),COUNTIF('1.연간시수표'!G63,$BF$7),COUNTIF('1.연간시수표'!G63,$BG$9),COUNTIF('1.연간시수표'!G63,$BG$7),COUNTIF('1.연간시수표'!G63,$BH$9),COUNTIF('1.연간시수표'!G63,$BH$7),COUNTIF('1.연간시수표'!G63,$BI$9),COUNTIF('1.연간시수표'!G63,$BI$7),COUNTIF('1.연간시수표'!G63,$BJ$9),COUNTIF('1.연간시수표'!G63,$BJ$7),COUNTIF('1.연간시수표'!G63,$BK$9),COUNTIF('1.연간시수표'!G63,$BK$7),COUNTIF('1.연간시수표'!G63,$BL$9),COUNTIF('1.연간시수표'!G63,$BL$7),COUNTIF('1.연간시수표'!G63,$BM$9),COUNTIF('1.연간시수표'!G63,$BM$7)),$BF$6,IF(OR(COUNTIF('1.연간시수표'!G63,$BO$9),COUNTIF('1.연간시수표'!G63,$BO$7)),$BO$6,IF(OR(COUNTIF('1.연간시수표'!G63,$BP$9),COUNTIF('1.연간시수표'!G63,$BP$7)),$BP$6,IF(OR(COUNTIF('1.연간시수표'!G63,$BQ$9),COUNTIF('1.연간시수표'!G63,$BQ$7)),$BQ$6,IF(OR(COUNTIF('1.연간시수표'!G63,$BR$9),COUNTIF('1.연간시수표'!G63,$BR$7)),$BR$6,"_")))))))))))))))</f>
        <v>미술</v>
      </c>
      <c r="H63" s="148" t="str">
        <f>IF(OR(COUNTIF('1.연간시수표'!H63,$AT$9),COUNTIF('1.연간시수표'!H63,$AT$7)),$AT$6,IF(OR(COUNTIF('1.연간시수표'!H63,$AU$9),COUNTIF('1.연간시수표'!H63,$AU$7)),$AU$6,IF(OR(COUNTIF('1.연간시수표'!H63,$AV$9),COUNTIF('1.연간시수표'!H63,$AV$7)),$AV$6,IF(OR(COUNTIF('1.연간시수표'!H63,$AW$9),COUNTIF('1.연간시수표'!H63,$AW$7)),$AW$6,IF(OR(COUNTIF('1.연간시수표'!H63,$AX$9),COUNTIF('1.연간시수표'!H63,$AX$7)),$AX$6,IF(OR(COUNTIF('1.연간시수표'!H63,$AY$9),COUNTIF('1.연간시수표'!H63,$AY$7)),$AY$6,IF(OR(COUNTIF('1.연간시수표'!H63,$AZ$9),COUNTIF('1.연간시수표'!H63,$AZ$7)),$AZ$6,IF(OR(COUNTIF('1.연간시수표'!H63,$BA$9),COUNTIF('1.연간시수표'!H63,$BA$7)),$BA$6,IF(OR(COUNTIF('1.연간시수표'!H63,$BB$9),COUNTIF('1.연간시수표'!H63,$BB$7)),$BB$6,IF(OR(COUNTIF('1.연간시수표'!H63,$BC$9),COUNTIF('1.연간시수표'!H63,$BC$7)),$BC$6,IF(OR(COUNTIF('1.연간시수표'!H63,$BF$9),COUNTIF('1.연간시수표'!H63,$BF$7),COUNTIF('1.연간시수표'!H63,$BG$9),COUNTIF('1.연간시수표'!H63,$BG$7),COUNTIF('1.연간시수표'!H63,$BH$9),COUNTIF('1.연간시수표'!H63,$BH$7),COUNTIF('1.연간시수표'!H63,$BI$9),COUNTIF('1.연간시수표'!H63,$BI$7),COUNTIF('1.연간시수표'!H63,$BJ$9),COUNTIF('1.연간시수표'!H63,$BJ$7),COUNTIF('1.연간시수표'!H63,$BK$9),COUNTIF('1.연간시수표'!H63,$BK$7),COUNTIF('1.연간시수표'!H63,$BL$9),COUNTIF('1.연간시수표'!H63,$BL$7),COUNTIF('1.연간시수표'!H63,$BM$9),COUNTIF('1.연간시수표'!H63,$BM$7)),$BF$6,IF(OR(COUNTIF('1.연간시수표'!H63,$BO$9),COUNTIF('1.연간시수표'!H63,$BO$7)),$BO$6,IF(OR(COUNTIF('1.연간시수표'!H63,$BP$9),COUNTIF('1.연간시수표'!H63,$BP$7)),$BP$6,IF(OR(COUNTIF('1.연간시수표'!H63,$BQ$9),COUNTIF('1.연간시수표'!H63,$BQ$7)),$BQ$6,IF(OR(COUNTIF('1.연간시수표'!H63,$BR$9),COUNTIF('1.연간시수표'!H63,$BR$7)),$BR$6,"_")))))))))))))))</f>
        <v>영어</v>
      </c>
      <c r="I63" s="148" t="str">
        <f>IF(OR(COUNTIF('1.연간시수표'!I63,$AT$9),COUNTIF('1.연간시수표'!I63,$AT$7)),$AT$6,IF(OR(COUNTIF('1.연간시수표'!I63,$AU$9),COUNTIF('1.연간시수표'!I63,$AU$7)),$AU$6,IF(OR(COUNTIF('1.연간시수표'!I63,$AV$9),COUNTIF('1.연간시수표'!I63,$AV$7)),$AV$6,IF(OR(COUNTIF('1.연간시수표'!I63,$AW$9),COUNTIF('1.연간시수표'!I63,$AW$7)),$AW$6,IF(OR(COUNTIF('1.연간시수표'!I63,$AX$9),COUNTIF('1.연간시수표'!I63,$AX$7)),$AX$6,IF(OR(COUNTIF('1.연간시수표'!I63,$AY$9),COUNTIF('1.연간시수표'!I63,$AY$7)),$AY$6,IF(OR(COUNTIF('1.연간시수표'!I63,$AZ$9),COUNTIF('1.연간시수표'!I63,$AZ$7)),$AZ$6,IF(OR(COUNTIF('1.연간시수표'!I63,$BA$9),COUNTIF('1.연간시수표'!I63,$BA$7)),$BA$6,IF(OR(COUNTIF('1.연간시수표'!I63,$BB$9),COUNTIF('1.연간시수표'!I63,$BB$7)),$BB$6,IF(OR(COUNTIF('1.연간시수표'!I63,$BC$9),COUNTIF('1.연간시수표'!I63,$BC$7)),$BC$6,IF(OR(COUNTIF('1.연간시수표'!I63,$BF$9),COUNTIF('1.연간시수표'!I63,$BF$7),COUNTIF('1.연간시수표'!I63,$BG$9),COUNTIF('1.연간시수표'!I63,$BG$7),COUNTIF('1.연간시수표'!I63,$BH$9),COUNTIF('1.연간시수표'!I63,$BH$7),COUNTIF('1.연간시수표'!I63,$BI$9),COUNTIF('1.연간시수표'!I63,$BI$7),COUNTIF('1.연간시수표'!I63,$BJ$9),COUNTIF('1.연간시수표'!I63,$BJ$7),COUNTIF('1.연간시수표'!I63,$BK$9),COUNTIF('1.연간시수표'!I63,$BK$7),COUNTIF('1.연간시수표'!I63,$BL$9),COUNTIF('1.연간시수표'!I63,$BL$7),COUNTIF('1.연간시수표'!I63,$BM$9),COUNTIF('1.연간시수표'!I63,$BM$7)),$BF$6,IF(OR(COUNTIF('1.연간시수표'!I63,$BO$9),COUNTIF('1.연간시수표'!I63,$BO$7)),$BO$6,IF(OR(COUNTIF('1.연간시수표'!I63,$BP$9),COUNTIF('1.연간시수표'!I63,$BP$7)),$BP$6,IF(OR(COUNTIF('1.연간시수표'!I63,$BQ$9),COUNTIF('1.연간시수표'!I63,$BQ$7)),$BQ$6,IF(OR(COUNTIF('1.연간시수표'!I63,$BR$9),COUNTIF('1.연간시수표'!I63,$BR$7)),$BR$6,"_")))))))))))))))</f>
        <v>수학</v>
      </c>
      <c r="J63" s="148" t="str">
        <f>IF(OR(COUNTIF('1.연간시수표'!J63,$AT$9),COUNTIF('1.연간시수표'!J63,$AT$7)),$AT$6,IF(OR(COUNTIF('1.연간시수표'!J63,$AU$9),COUNTIF('1.연간시수표'!J63,$AU$7)),$AU$6,IF(OR(COUNTIF('1.연간시수표'!J63,$AV$9),COUNTIF('1.연간시수표'!J63,$AV$7)),$AV$6,IF(OR(COUNTIF('1.연간시수표'!J63,$AW$9),COUNTIF('1.연간시수표'!J63,$AW$7)),$AW$6,IF(OR(COUNTIF('1.연간시수표'!J63,$AX$9),COUNTIF('1.연간시수표'!J63,$AX$7)),$AX$6,IF(OR(COUNTIF('1.연간시수표'!J63,$AY$9),COUNTIF('1.연간시수표'!J63,$AY$7)),$AY$6,IF(OR(COUNTIF('1.연간시수표'!J63,$AZ$9),COUNTIF('1.연간시수표'!J63,$AZ$7)),$AZ$6,IF(OR(COUNTIF('1.연간시수표'!J63,$BA$9),COUNTIF('1.연간시수표'!J63,$BA$7)),$BA$6,IF(OR(COUNTIF('1.연간시수표'!J63,$BB$9),COUNTIF('1.연간시수표'!J63,$BB$7)),$BB$6,IF(OR(COUNTIF('1.연간시수표'!J63,$BC$9),COUNTIF('1.연간시수표'!J63,$BC$7)),$BC$6,IF(OR(COUNTIF('1.연간시수표'!J63,$BF$9),COUNTIF('1.연간시수표'!J63,$BF$7),COUNTIF('1.연간시수표'!J63,$BG$9),COUNTIF('1.연간시수표'!J63,$BG$7),COUNTIF('1.연간시수표'!J63,$BH$9),COUNTIF('1.연간시수표'!J63,$BH$7),COUNTIF('1.연간시수표'!J63,$BI$9),COUNTIF('1.연간시수표'!J63,$BI$7),COUNTIF('1.연간시수표'!J63,$BJ$9),COUNTIF('1.연간시수표'!J63,$BJ$7),COUNTIF('1.연간시수표'!J63,$BK$9),COUNTIF('1.연간시수표'!J63,$BK$7),COUNTIF('1.연간시수표'!J63,$BL$9),COUNTIF('1.연간시수표'!J63,$BL$7),COUNTIF('1.연간시수표'!J63,$BM$9),COUNTIF('1.연간시수표'!J63,$BM$7)),$BF$6,IF(OR(COUNTIF('1.연간시수표'!J63,$BO$9),COUNTIF('1.연간시수표'!J63,$BO$7)),$BO$6,IF(OR(COUNTIF('1.연간시수표'!J63,$BP$9),COUNTIF('1.연간시수표'!J63,$BP$7)),$BP$6,IF(OR(COUNTIF('1.연간시수표'!J63,$BQ$9),COUNTIF('1.연간시수표'!J63,$BQ$7)),$BQ$6,IF(OR(COUNTIF('1.연간시수표'!J63,$BR$9),COUNTIF('1.연간시수표'!J63,$BR$7)),$BR$6,"_")))))))))))))))</f>
        <v>자율활동</v>
      </c>
      <c r="K63" s="148" t="str">
        <f>IF(OR(COUNTIF('1.연간시수표'!K63,$AT$9),COUNTIF('1.연간시수표'!K63,$AT$7)),$AT$6,IF(OR(COUNTIF('1.연간시수표'!K63,$AU$9),COUNTIF('1.연간시수표'!K63,$AU$7)),$AU$6,IF(OR(COUNTIF('1.연간시수표'!K63,$AV$9),COUNTIF('1.연간시수표'!K63,$AV$7)),$AV$6,IF(OR(COUNTIF('1.연간시수표'!K63,$AW$9),COUNTIF('1.연간시수표'!K63,$AW$7)),$AW$6,IF(OR(COUNTIF('1.연간시수표'!K63,$AX$9),COUNTIF('1.연간시수표'!K63,$AX$7)),$AX$6,IF(OR(COUNTIF('1.연간시수표'!K63,$AY$9),COUNTIF('1.연간시수표'!K63,$AY$7)),$AY$6,IF(OR(COUNTIF('1.연간시수표'!K63,$AZ$9),COUNTIF('1.연간시수표'!K63,$AZ$7)),$AZ$6,IF(OR(COUNTIF('1.연간시수표'!K63,$BA$9),COUNTIF('1.연간시수표'!K63,$BA$7)),$BA$6,IF(OR(COUNTIF('1.연간시수표'!K63,$BB$9),COUNTIF('1.연간시수표'!K63,$BB$7)),$BB$6,IF(OR(COUNTIF('1.연간시수표'!K63,$BC$9),COUNTIF('1.연간시수표'!K63,$BC$7)),$BC$6,IF(OR(COUNTIF('1.연간시수표'!K63,$BF$9),COUNTIF('1.연간시수표'!K63,$BF$7),COUNTIF('1.연간시수표'!K63,$BG$9),COUNTIF('1.연간시수표'!K63,$BG$7),COUNTIF('1.연간시수표'!K63,$BH$9),COUNTIF('1.연간시수표'!K63,$BH$7),COUNTIF('1.연간시수표'!K63,$BI$9),COUNTIF('1.연간시수표'!K63,$BI$7),COUNTIF('1.연간시수표'!K63,$BJ$9),COUNTIF('1.연간시수표'!K63,$BJ$7),COUNTIF('1.연간시수표'!K63,$BK$9),COUNTIF('1.연간시수표'!K63,$BK$7),COUNTIF('1.연간시수표'!K63,$BL$9),COUNTIF('1.연간시수표'!K63,$BL$7),COUNTIF('1.연간시수표'!K63,$BM$9),COUNTIF('1.연간시수표'!K63,$BM$7)),$BF$6,IF(OR(COUNTIF('1.연간시수표'!K63,$BO$9),COUNTIF('1.연간시수표'!K63,$BO$7)),$BO$6,IF(OR(COUNTIF('1.연간시수표'!K63,$BP$9),COUNTIF('1.연간시수표'!K63,$BP$7)),$BP$6,IF(OR(COUNTIF('1.연간시수표'!K63,$BQ$9),COUNTIF('1.연간시수표'!K63,$BQ$7)),$BQ$6,IF(OR(COUNTIF('1.연간시수표'!K63,$BR$9),COUNTIF('1.연간시수표'!K63,$BR$7)),$BR$6,"_")))))))))))))))</f>
        <v>_</v>
      </c>
      <c r="L63" s="148" t="str">
        <f>IF(OR(COUNTIF('1.연간시수표'!L63,$AT$9),COUNTIF('1.연간시수표'!L63,$AT$7)),$AT$6,IF(OR(COUNTIF('1.연간시수표'!L63,$AU$9),COUNTIF('1.연간시수표'!L63,$AU$7)),$AU$6,IF(OR(COUNTIF('1.연간시수표'!L63,$AV$9),COUNTIF('1.연간시수표'!L63,$AV$7)),$AV$6,IF(OR(COUNTIF('1.연간시수표'!L63,$AW$9),COUNTIF('1.연간시수표'!L63,$AW$7)),$AW$6,IF(OR(COUNTIF('1.연간시수표'!L63,$AX$9),COUNTIF('1.연간시수표'!L63,$AX$7)),$AX$6,IF(OR(COUNTIF('1.연간시수표'!L63,$AY$9),COUNTIF('1.연간시수표'!L63,$AY$7)),$AY$6,IF(OR(COUNTIF('1.연간시수표'!L63,$AZ$9),COUNTIF('1.연간시수표'!L63,$AZ$7)),$AZ$6,IF(OR(COUNTIF('1.연간시수표'!L63,$BA$9),COUNTIF('1.연간시수표'!L63,$BA$7)),$BA$6,IF(OR(COUNTIF('1.연간시수표'!L63,$BB$9),COUNTIF('1.연간시수표'!L63,$BB$7)),$BB$6,IF(OR(COUNTIF('1.연간시수표'!L63,$BC$9),COUNTIF('1.연간시수표'!L63,$BC$7)),$BC$6,IF(OR(COUNTIF('1.연간시수표'!L63,$BF$9),COUNTIF('1.연간시수표'!L63,$BF$7),COUNTIF('1.연간시수표'!L63,$BG$9),COUNTIF('1.연간시수표'!L63,$BG$7),COUNTIF('1.연간시수표'!L63,$BH$9),COUNTIF('1.연간시수표'!L63,$BH$7),COUNTIF('1.연간시수표'!L63,$BI$9),COUNTIF('1.연간시수표'!L63,$BI$7),COUNTIF('1.연간시수표'!L63,$BJ$9),COUNTIF('1.연간시수표'!L63,$BJ$7),COUNTIF('1.연간시수표'!L63,$BK$9),COUNTIF('1.연간시수표'!L63,$BK$7),COUNTIF('1.연간시수표'!L63,$BL$9),COUNTIF('1.연간시수표'!L63,$BL$7),COUNTIF('1.연간시수표'!L63,$BM$9),COUNTIF('1.연간시수표'!L63,$BM$7)),$BF$6,IF(OR(COUNTIF('1.연간시수표'!L63,$BO$9),COUNTIF('1.연간시수표'!L63,$BO$7)),$BO$6,IF(OR(COUNTIF('1.연간시수표'!L63,$BP$9),COUNTIF('1.연간시수표'!L63,$BP$7)),$BP$6,IF(OR(COUNTIF('1.연간시수표'!L63,$BQ$9),COUNTIF('1.연간시수표'!L63,$BQ$7)),$BQ$6,IF(OR(COUNTIF('1.연간시수표'!L63,$BR$9),COUNTIF('1.연간시수표'!L63,$BR$7)),$BR$6,"_")))))))))))))))</f>
        <v>_</v>
      </c>
      <c r="M63" s="148" t="str">
        <f>IF(OR(COUNTIF('1.연간시수표'!M63,$AT$9),COUNTIF('1.연간시수표'!M63,$AT$7)),$AT$6,IF(OR(COUNTIF('1.연간시수표'!M63,$AU$9),COUNTIF('1.연간시수표'!M63,$AU$7)),$AU$6,IF(OR(COUNTIF('1.연간시수표'!M63,$AV$9),COUNTIF('1.연간시수표'!M63,$AV$7)),$AV$6,IF(OR(COUNTIF('1.연간시수표'!M63,$AW$9),COUNTIF('1.연간시수표'!M63,$AW$7)),$AW$6,IF(OR(COUNTIF('1.연간시수표'!M63,$AX$9),COUNTIF('1.연간시수표'!M63,$AX$7)),$AX$6,IF(OR(COUNTIF('1.연간시수표'!M63,$AY$9),COUNTIF('1.연간시수표'!M63,$AY$7)),$AY$6,IF(OR(COUNTIF('1.연간시수표'!M63,$AZ$9),COUNTIF('1.연간시수표'!M63,$AZ$7)),$AZ$6,IF(OR(COUNTIF('1.연간시수표'!M63,$BA$9),COUNTIF('1.연간시수표'!M63,$BA$7)),$BA$6,IF(OR(COUNTIF('1.연간시수표'!M63,$BB$9),COUNTIF('1.연간시수표'!M63,$BB$7)),$BB$6,IF(OR(COUNTIF('1.연간시수표'!M63,$BC$9),COUNTIF('1.연간시수표'!M63,$BC$7)),$BC$6,IF(OR(COUNTIF('1.연간시수표'!M63,$BF$9),COUNTIF('1.연간시수표'!M63,$BF$7),COUNTIF('1.연간시수표'!M63,$BG$9),COUNTIF('1.연간시수표'!M63,$BG$7),COUNTIF('1.연간시수표'!M63,$BH$9),COUNTIF('1.연간시수표'!M63,$BH$7),COUNTIF('1.연간시수표'!M63,$BI$9),COUNTIF('1.연간시수표'!M63,$BI$7),COUNTIF('1.연간시수표'!M63,$BJ$9),COUNTIF('1.연간시수표'!M63,$BJ$7),COUNTIF('1.연간시수표'!M63,$BK$9),COUNTIF('1.연간시수표'!M63,$BK$7),COUNTIF('1.연간시수표'!M63,$BL$9),COUNTIF('1.연간시수표'!M63,$BL$7),COUNTIF('1.연간시수표'!M63,$BM$9),COUNTIF('1.연간시수표'!M63,$BM$7)),$BF$6,IF(OR(COUNTIF('1.연간시수표'!M63,$BO$9),COUNTIF('1.연간시수표'!M63,$BO$7)),$BO$6,IF(OR(COUNTIF('1.연간시수표'!M63,$BP$9),COUNTIF('1.연간시수표'!M63,$BP$7)),$BP$6,IF(OR(COUNTIF('1.연간시수표'!M63,$BQ$9),COUNTIF('1.연간시수표'!M63,$BQ$7)),$BQ$6,IF(OR(COUNTIF('1.연간시수표'!M63,$BR$9),COUNTIF('1.연간시수표'!M63,$BR$7)),$BR$6,"_")))))))))))))))</f>
        <v>국어</v>
      </c>
      <c r="N63" s="148" t="str">
        <f>IF(OR(COUNTIF('1.연간시수표'!N63,$AT$9),COUNTIF('1.연간시수표'!N63,$AT$7)),$AT$6,IF(OR(COUNTIF('1.연간시수표'!N63,$AU$9),COUNTIF('1.연간시수표'!N63,$AU$7)),$AU$6,IF(OR(COUNTIF('1.연간시수표'!N63,$AV$9),COUNTIF('1.연간시수표'!N63,$AV$7)),$AV$6,IF(OR(COUNTIF('1.연간시수표'!N63,$AW$9),COUNTIF('1.연간시수표'!N63,$AW$7)),$AW$6,IF(OR(COUNTIF('1.연간시수표'!N63,$AX$9),COUNTIF('1.연간시수표'!N63,$AX$7)),$AX$6,IF(OR(COUNTIF('1.연간시수표'!N63,$AY$9),COUNTIF('1.연간시수표'!N63,$AY$7)),$AY$6,IF(OR(COUNTIF('1.연간시수표'!N63,$AZ$9),COUNTIF('1.연간시수표'!N63,$AZ$7)),$AZ$6,IF(OR(COUNTIF('1.연간시수표'!N63,$BA$9),COUNTIF('1.연간시수표'!N63,$BA$7)),$BA$6,IF(OR(COUNTIF('1.연간시수표'!N63,$BB$9),COUNTIF('1.연간시수표'!N63,$BB$7)),$BB$6,IF(OR(COUNTIF('1.연간시수표'!N63,$BC$9),COUNTIF('1.연간시수표'!N63,$BC$7)),$BC$6,IF(OR(COUNTIF('1.연간시수표'!N63,$BF$9),COUNTIF('1.연간시수표'!N63,$BF$7),COUNTIF('1.연간시수표'!N63,$BG$9),COUNTIF('1.연간시수표'!N63,$BG$7),COUNTIF('1.연간시수표'!N63,$BH$9),COUNTIF('1.연간시수표'!N63,$BH$7),COUNTIF('1.연간시수표'!N63,$BI$9),COUNTIF('1.연간시수표'!N63,$BI$7),COUNTIF('1.연간시수표'!N63,$BJ$9),COUNTIF('1.연간시수표'!N63,$BJ$7),COUNTIF('1.연간시수표'!N63,$BK$9),COUNTIF('1.연간시수표'!N63,$BK$7),COUNTIF('1.연간시수표'!N63,$BL$9),COUNTIF('1.연간시수표'!N63,$BL$7),COUNTIF('1.연간시수표'!N63,$BM$9),COUNTIF('1.연간시수표'!N63,$BM$7)),$BF$6,IF(OR(COUNTIF('1.연간시수표'!N63,$BO$9),COUNTIF('1.연간시수표'!N63,$BO$7)),$BO$6,IF(OR(COUNTIF('1.연간시수표'!N63,$BP$9),COUNTIF('1.연간시수표'!N63,$BP$7)),$BP$6,IF(OR(COUNTIF('1.연간시수표'!N63,$BQ$9),COUNTIF('1.연간시수표'!N63,$BQ$7)),$BQ$6,IF(OR(COUNTIF('1.연간시수표'!N63,$BR$9),COUNTIF('1.연간시수표'!N63,$BR$7)),$BR$6,"_")))))))))))))))</f>
        <v>국어</v>
      </c>
      <c r="O63" s="148" t="str">
        <f>IF(OR(COUNTIF('1.연간시수표'!O63,$AT$9),COUNTIF('1.연간시수표'!O63,$AT$7)),$AT$6,IF(OR(COUNTIF('1.연간시수표'!O63,$AU$9),COUNTIF('1.연간시수표'!O63,$AU$7)),$AU$6,IF(OR(COUNTIF('1.연간시수표'!O63,$AV$9),COUNTIF('1.연간시수표'!O63,$AV$7)),$AV$6,IF(OR(COUNTIF('1.연간시수표'!O63,$AW$9),COUNTIF('1.연간시수표'!O63,$AW$7)),$AW$6,IF(OR(COUNTIF('1.연간시수표'!O63,$AX$9),COUNTIF('1.연간시수표'!O63,$AX$7)),$AX$6,IF(OR(COUNTIF('1.연간시수표'!O63,$AY$9),COUNTIF('1.연간시수표'!O63,$AY$7)),$AY$6,IF(OR(COUNTIF('1.연간시수표'!O63,$AZ$9),COUNTIF('1.연간시수표'!O63,$AZ$7)),$AZ$6,IF(OR(COUNTIF('1.연간시수표'!O63,$BA$9),COUNTIF('1.연간시수표'!O63,$BA$7)),$BA$6,IF(OR(COUNTIF('1.연간시수표'!O63,$BB$9),COUNTIF('1.연간시수표'!O63,$BB$7)),$BB$6,IF(OR(COUNTIF('1.연간시수표'!O63,$BC$9),COUNTIF('1.연간시수표'!O63,$BC$7)),$BC$6,IF(OR(COUNTIF('1.연간시수표'!O63,$BF$9),COUNTIF('1.연간시수표'!O63,$BF$7),COUNTIF('1.연간시수표'!O63,$BG$9),COUNTIF('1.연간시수표'!O63,$BG$7),COUNTIF('1.연간시수표'!O63,$BH$9),COUNTIF('1.연간시수표'!O63,$BH$7),COUNTIF('1.연간시수표'!O63,$BI$9),COUNTIF('1.연간시수표'!O63,$BI$7),COUNTIF('1.연간시수표'!O63,$BJ$9),COUNTIF('1.연간시수표'!O63,$BJ$7),COUNTIF('1.연간시수표'!O63,$BK$9),COUNTIF('1.연간시수표'!O63,$BK$7),COUNTIF('1.연간시수표'!O63,$BL$9),COUNTIF('1.연간시수표'!O63,$BL$7),COUNTIF('1.연간시수표'!O63,$BM$9),COUNTIF('1.연간시수표'!O63,$BM$7)),$BF$6,IF(OR(COUNTIF('1.연간시수표'!O63,$BO$9),COUNTIF('1.연간시수표'!O63,$BO$7)),$BO$6,IF(OR(COUNTIF('1.연간시수표'!O63,$BP$9),COUNTIF('1.연간시수표'!O63,$BP$7)),$BP$6,IF(OR(COUNTIF('1.연간시수표'!O63,$BQ$9),COUNTIF('1.연간시수표'!O63,$BQ$7)),$BQ$6,IF(OR(COUNTIF('1.연간시수표'!O63,$BR$9),COUNTIF('1.연간시수표'!O63,$BR$7)),$BR$6,"_")))))))))))))))</f>
        <v>사회</v>
      </c>
      <c r="P63" s="148" t="str">
        <f>IF(OR(COUNTIF('1.연간시수표'!P63,$AT$9),COUNTIF('1.연간시수표'!P63,$AT$7)),$AT$6,IF(OR(COUNTIF('1.연간시수표'!P63,$AU$9),COUNTIF('1.연간시수표'!P63,$AU$7)),$AU$6,IF(OR(COUNTIF('1.연간시수표'!P63,$AV$9),COUNTIF('1.연간시수표'!P63,$AV$7)),$AV$6,IF(OR(COUNTIF('1.연간시수표'!P63,$AW$9),COUNTIF('1.연간시수표'!P63,$AW$7)),$AW$6,IF(OR(COUNTIF('1.연간시수표'!P63,$AX$9),COUNTIF('1.연간시수표'!P63,$AX$7)),$AX$6,IF(OR(COUNTIF('1.연간시수표'!P63,$AY$9),COUNTIF('1.연간시수표'!P63,$AY$7)),$AY$6,IF(OR(COUNTIF('1.연간시수표'!P63,$AZ$9),COUNTIF('1.연간시수표'!P63,$AZ$7)),$AZ$6,IF(OR(COUNTIF('1.연간시수표'!P63,$BA$9),COUNTIF('1.연간시수표'!P63,$BA$7)),$BA$6,IF(OR(COUNTIF('1.연간시수표'!P63,$BB$9),COUNTIF('1.연간시수표'!P63,$BB$7)),$BB$6,IF(OR(COUNTIF('1.연간시수표'!P63,$BC$9),COUNTIF('1.연간시수표'!P63,$BC$7)),$BC$6,IF(OR(COUNTIF('1.연간시수표'!P63,$BF$9),COUNTIF('1.연간시수표'!P63,$BF$7),COUNTIF('1.연간시수표'!P63,$BG$9),COUNTIF('1.연간시수표'!P63,$BG$7),COUNTIF('1.연간시수표'!P63,$BH$9),COUNTIF('1.연간시수표'!P63,$BH$7),COUNTIF('1.연간시수표'!P63,$BI$9),COUNTIF('1.연간시수표'!P63,$BI$7),COUNTIF('1.연간시수표'!P63,$BJ$9),COUNTIF('1.연간시수표'!P63,$BJ$7),COUNTIF('1.연간시수표'!P63,$BK$9),COUNTIF('1.연간시수표'!P63,$BK$7),COUNTIF('1.연간시수표'!P63,$BL$9),COUNTIF('1.연간시수표'!P63,$BL$7),COUNTIF('1.연간시수표'!P63,$BM$9),COUNTIF('1.연간시수표'!P63,$BM$7)),$BF$6,IF(OR(COUNTIF('1.연간시수표'!P63,$BO$9),COUNTIF('1.연간시수표'!P63,$BO$7)),$BO$6,IF(OR(COUNTIF('1.연간시수표'!P63,$BP$9),COUNTIF('1.연간시수표'!P63,$BP$7)),$BP$6,IF(OR(COUNTIF('1.연간시수표'!P63,$BQ$9),COUNTIF('1.연간시수표'!P63,$BQ$7)),$BQ$6,IF(OR(COUNTIF('1.연간시수표'!P63,$BR$9),COUNTIF('1.연간시수표'!P63,$BR$7)),$BR$6,"_")))))))))))))))</f>
        <v>수학</v>
      </c>
      <c r="Q63" s="148" t="str">
        <f>IF(OR(COUNTIF('1.연간시수표'!Q63,$AT$9),COUNTIF('1.연간시수표'!Q63,$AT$7)),$AT$6,IF(OR(COUNTIF('1.연간시수표'!Q63,$AU$9),COUNTIF('1.연간시수표'!Q63,$AU$7)),$AU$6,IF(OR(COUNTIF('1.연간시수표'!Q63,$AV$9),COUNTIF('1.연간시수표'!Q63,$AV$7)),$AV$6,IF(OR(COUNTIF('1.연간시수표'!Q63,$AW$9),COUNTIF('1.연간시수표'!Q63,$AW$7)),$AW$6,IF(OR(COUNTIF('1.연간시수표'!Q63,$AX$9),COUNTIF('1.연간시수표'!Q63,$AX$7)),$AX$6,IF(OR(COUNTIF('1.연간시수표'!Q63,$AY$9),COUNTIF('1.연간시수표'!Q63,$AY$7)),$AY$6,IF(OR(COUNTIF('1.연간시수표'!Q63,$AZ$9),COUNTIF('1.연간시수표'!Q63,$AZ$7)),$AZ$6,IF(OR(COUNTIF('1.연간시수표'!Q63,$BA$9),COUNTIF('1.연간시수표'!Q63,$BA$7)),$BA$6,IF(OR(COUNTIF('1.연간시수표'!Q63,$BB$9),COUNTIF('1.연간시수표'!Q63,$BB$7)),$BB$6,IF(OR(COUNTIF('1.연간시수표'!Q63,$BC$9),COUNTIF('1.연간시수표'!Q63,$BC$7)),$BC$6,IF(OR(COUNTIF('1.연간시수표'!Q63,$BF$9),COUNTIF('1.연간시수표'!Q63,$BF$7),COUNTIF('1.연간시수표'!Q63,$BG$9),COUNTIF('1.연간시수표'!Q63,$BG$7),COUNTIF('1.연간시수표'!Q63,$BH$9),COUNTIF('1.연간시수표'!Q63,$BH$7),COUNTIF('1.연간시수표'!Q63,$BI$9),COUNTIF('1.연간시수표'!Q63,$BI$7),COUNTIF('1.연간시수표'!Q63,$BJ$9),COUNTIF('1.연간시수표'!Q63,$BJ$7),COUNTIF('1.연간시수표'!Q63,$BK$9),COUNTIF('1.연간시수표'!Q63,$BK$7),COUNTIF('1.연간시수표'!Q63,$BL$9),COUNTIF('1.연간시수표'!Q63,$BL$7),COUNTIF('1.연간시수표'!Q63,$BM$9),COUNTIF('1.연간시수표'!Q63,$BM$7)),$BF$6,IF(OR(COUNTIF('1.연간시수표'!Q63,$BO$9),COUNTIF('1.연간시수표'!Q63,$BO$7)),$BO$6,IF(OR(COUNTIF('1.연간시수표'!Q63,$BP$9),COUNTIF('1.연간시수표'!Q63,$BP$7)),$BP$6,IF(OR(COUNTIF('1.연간시수표'!Q63,$BQ$9),COUNTIF('1.연간시수표'!Q63,$BQ$7)),$BQ$6,IF(OR(COUNTIF('1.연간시수표'!Q63,$BR$9),COUNTIF('1.연간시수표'!Q63,$BR$7)),$BR$6,"_")))))))))))))))</f>
        <v>과학</v>
      </c>
      <c r="R63" s="148" t="str">
        <f>IF(OR(COUNTIF('1.연간시수표'!R63,$AT$9),COUNTIF('1.연간시수표'!R63,$AT$7)),$AT$6,IF(OR(COUNTIF('1.연간시수표'!R63,$AU$9),COUNTIF('1.연간시수표'!R63,$AU$7)),$AU$6,IF(OR(COUNTIF('1.연간시수표'!R63,$AV$9),COUNTIF('1.연간시수표'!R63,$AV$7)),$AV$6,IF(OR(COUNTIF('1.연간시수표'!R63,$AW$9),COUNTIF('1.연간시수표'!R63,$AW$7)),$AW$6,IF(OR(COUNTIF('1.연간시수표'!R63,$AX$9),COUNTIF('1.연간시수표'!R63,$AX$7)),$AX$6,IF(OR(COUNTIF('1.연간시수표'!R63,$AY$9),COUNTIF('1.연간시수표'!R63,$AY$7)),$AY$6,IF(OR(COUNTIF('1.연간시수표'!R63,$AZ$9),COUNTIF('1.연간시수표'!R63,$AZ$7)),$AZ$6,IF(OR(COUNTIF('1.연간시수표'!R63,$BA$9),COUNTIF('1.연간시수표'!R63,$BA$7)),$BA$6,IF(OR(COUNTIF('1.연간시수표'!R63,$BB$9),COUNTIF('1.연간시수표'!R63,$BB$7)),$BB$6,IF(OR(COUNTIF('1.연간시수표'!R63,$BC$9),COUNTIF('1.연간시수표'!R63,$BC$7)),$BC$6,IF(OR(COUNTIF('1.연간시수표'!R63,$BF$9),COUNTIF('1.연간시수표'!R63,$BF$7),COUNTIF('1.연간시수표'!R63,$BG$9),COUNTIF('1.연간시수표'!R63,$BG$7),COUNTIF('1.연간시수표'!R63,$BH$9),COUNTIF('1.연간시수표'!R63,$BH$7),COUNTIF('1.연간시수표'!R63,$BI$9),COUNTIF('1.연간시수표'!R63,$BI$7),COUNTIF('1.연간시수표'!R63,$BJ$9),COUNTIF('1.연간시수표'!R63,$BJ$7),COUNTIF('1.연간시수표'!R63,$BK$9),COUNTIF('1.연간시수표'!R63,$BK$7),COUNTIF('1.연간시수표'!R63,$BL$9),COUNTIF('1.연간시수표'!R63,$BL$7),COUNTIF('1.연간시수표'!R63,$BM$9),COUNTIF('1.연간시수표'!R63,$BM$7)),$BF$6,IF(OR(COUNTIF('1.연간시수표'!R63,$BO$9),COUNTIF('1.연간시수표'!R63,$BO$7)),$BO$6,IF(OR(COUNTIF('1.연간시수표'!R63,$BP$9),COUNTIF('1.연간시수표'!R63,$BP$7)),$BP$6,IF(OR(COUNTIF('1.연간시수표'!R63,$BQ$9),COUNTIF('1.연간시수표'!R63,$BQ$7)),$BQ$6,IF(OR(COUNTIF('1.연간시수표'!R63,$BR$9),COUNTIF('1.연간시수표'!R63,$BR$7)),$BR$6,"_")))))))))))))))</f>
        <v>실과</v>
      </c>
      <c r="S63" s="148" t="str">
        <f>IF(OR(COUNTIF('1.연간시수표'!S63,$AT$9),COUNTIF('1.연간시수표'!S63,$AT$7)),$AT$6,IF(OR(COUNTIF('1.연간시수표'!S63,$AU$9),COUNTIF('1.연간시수표'!S63,$AU$7)),$AU$6,IF(OR(COUNTIF('1.연간시수표'!S63,$AV$9),COUNTIF('1.연간시수표'!S63,$AV$7)),$AV$6,IF(OR(COUNTIF('1.연간시수표'!S63,$AW$9),COUNTIF('1.연간시수표'!S63,$AW$7)),$AW$6,IF(OR(COUNTIF('1.연간시수표'!S63,$AX$9),COUNTIF('1.연간시수표'!S63,$AX$7)),$AX$6,IF(OR(COUNTIF('1.연간시수표'!S63,$AY$9),COUNTIF('1.연간시수표'!S63,$AY$7)),$AY$6,IF(OR(COUNTIF('1.연간시수표'!S63,$AZ$9),COUNTIF('1.연간시수표'!S63,$AZ$7)),$AZ$6,IF(OR(COUNTIF('1.연간시수표'!S63,$BA$9),COUNTIF('1.연간시수표'!S63,$BA$7)),$BA$6,IF(OR(COUNTIF('1.연간시수표'!S63,$BB$9),COUNTIF('1.연간시수표'!S63,$BB$7)),$BB$6,IF(OR(COUNTIF('1.연간시수표'!S63,$BC$9),COUNTIF('1.연간시수표'!S63,$BC$7)),$BC$6,IF(OR(COUNTIF('1.연간시수표'!S63,$BF$9),COUNTIF('1.연간시수표'!S63,$BF$7),COUNTIF('1.연간시수표'!S63,$BG$9),COUNTIF('1.연간시수표'!S63,$BG$7),COUNTIF('1.연간시수표'!S63,$BH$9),COUNTIF('1.연간시수표'!S63,$BH$7),COUNTIF('1.연간시수표'!S63,$BI$9),COUNTIF('1.연간시수표'!S63,$BI$7),COUNTIF('1.연간시수표'!S63,$BJ$9),COUNTIF('1.연간시수표'!S63,$BJ$7),COUNTIF('1.연간시수표'!S63,$BK$9),COUNTIF('1.연간시수표'!S63,$BK$7),COUNTIF('1.연간시수표'!S63,$BL$9),COUNTIF('1.연간시수표'!S63,$BL$7),COUNTIF('1.연간시수표'!S63,$BM$9),COUNTIF('1.연간시수표'!S63,$BM$7)),$BF$6,IF(OR(COUNTIF('1.연간시수표'!S63,$BO$9),COUNTIF('1.연간시수표'!S63,$BO$7)),$BO$6,IF(OR(COUNTIF('1.연간시수표'!S63,$BP$9),COUNTIF('1.연간시수표'!S63,$BP$7)),$BP$6,IF(OR(COUNTIF('1.연간시수표'!S63,$BQ$9),COUNTIF('1.연간시수표'!S63,$BQ$7)),$BQ$6,IF(OR(COUNTIF('1.연간시수표'!S63,$BR$9),COUNTIF('1.연간시수표'!S63,$BR$7)),$BR$6,"_")))))))))))))))</f>
        <v>_</v>
      </c>
      <c r="T63" s="148" t="str">
        <f>IF(OR(COUNTIF('1.연간시수표'!T63,$AT$9),COUNTIF('1.연간시수표'!T63,$AT$7)),$AT$6,IF(OR(COUNTIF('1.연간시수표'!T63,$AU$9),COUNTIF('1.연간시수표'!T63,$AU$7)),$AU$6,IF(OR(COUNTIF('1.연간시수표'!T63,$AV$9),COUNTIF('1.연간시수표'!T63,$AV$7)),$AV$6,IF(OR(COUNTIF('1.연간시수표'!T63,$AW$9),COUNTIF('1.연간시수표'!T63,$AW$7)),$AW$6,IF(OR(COUNTIF('1.연간시수표'!T63,$AX$9),COUNTIF('1.연간시수표'!T63,$AX$7)),$AX$6,IF(OR(COUNTIF('1.연간시수표'!T63,$AY$9),COUNTIF('1.연간시수표'!T63,$AY$7)),$AY$6,IF(OR(COUNTIF('1.연간시수표'!T63,$AZ$9),COUNTIF('1.연간시수표'!T63,$AZ$7)),$AZ$6,IF(OR(COUNTIF('1.연간시수표'!T63,$BA$9),COUNTIF('1.연간시수표'!T63,$BA$7)),$BA$6,IF(OR(COUNTIF('1.연간시수표'!T63,$BB$9),COUNTIF('1.연간시수표'!T63,$BB$7)),$BB$6,IF(OR(COUNTIF('1.연간시수표'!T63,$BC$9),COUNTIF('1.연간시수표'!T63,$BC$7)),$BC$6,IF(OR(COUNTIF('1.연간시수표'!T63,$BF$9),COUNTIF('1.연간시수표'!T63,$BF$7),COUNTIF('1.연간시수표'!T63,$BG$9),COUNTIF('1.연간시수표'!T63,$BG$7),COUNTIF('1.연간시수표'!T63,$BH$9),COUNTIF('1.연간시수표'!T63,$BH$7),COUNTIF('1.연간시수표'!T63,$BI$9),COUNTIF('1.연간시수표'!T63,$BI$7),COUNTIF('1.연간시수표'!T63,$BJ$9),COUNTIF('1.연간시수표'!T63,$BJ$7),COUNTIF('1.연간시수표'!T63,$BK$9),COUNTIF('1.연간시수표'!T63,$BK$7),COUNTIF('1.연간시수표'!T63,$BL$9),COUNTIF('1.연간시수표'!T63,$BL$7),COUNTIF('1.연간시수표'!T63,$BM$9),COUNTIF('1.연간시수표'!T63,$BM$7)),$BF$6,IF(OR(COUNTIF('1.연간시수표'!T63,$BO$9),COUNTIF('1.연간시수표'!T63,$BO$7)),$BO$6,IF(OR(COUNTIF('1.연간시수표'!T63,$BP$9),COUNTIF('1.연간시수표'!T63,$BP$7)),$BP$6,IF(OR(COUNTIF('1.연간시수표'!T63,$BQ$9),COUNTIF('1.연간시수표'!T63,$BQ$7)),$BQ$6,IF(OR(COUNTIF('1.연간시수표'!T63,$BR$9),COUNTIF('1.연간시수표'!T63,$BR$7)),$BR$6,"_")))))))))))))))</f>
        <v>_</v>
      </c>
      <c r="U63" s="148" t="str">
        <f>IF(OR(COUNTIF('1.연간시수표'!U63,$AT$9),COUNTIF('1.연간시수표'!U63,$AT$7)),$AT$6,IF(OR(COUNTIF('1.연간시수표'!U63,$AU$9),COUNTIF('1.연간시수표'!U63,$AU$7)),$AU$6,IF(OR(COUNTIF('1.연간시수표'!U63,$AV$9),COUNTIF('1.연간시수표'!U63,$AV$7)),$AV$6,IF(OR(COUNTIF('1.연간시수표'!U63,$AW$9),COUNTIF('1.연간시수표'!U63,$AW$7)),$AW$6,IF(OR(COUNTIF('1.연간시수표'!U63,$AX$9),COUNTIF('1.연간시수표'!U63,$AX$7)),$AX$6,IF(OR(COUNTIF('1.연간시수표'!U63,$AY$9),COUNTIF('1.연간시수표'!U63,$AY$7)),$AY$6,IF(OR(COUNTIF('1.연간시수표'!U63,$AZ$9),COUNTIF('1.연간시수표'!U63,$AZ$7)),$AZ$6,IF(OR(COUNTIF('1.연간시수표'!U63,$BA$9),COUNTIF('1.연간시수표'!U63,$BA$7)),$BA$6,IF(OR(COUNTIF('1.연간시수표'!U63,$BB$9),COUNTIF('1.연간시수표'!U63,$BB$7)),$BB$6,IF(OR(COUNTIF('1.연간시수표'!U63,$BC$9),COUNTIF('1.연간시수표'!U63,$BC$7)),$BC$6,IF(OR(COUNTIF('1.연간시수표'!U63,$BF$9),COUNTIF('1.연간시수표'!U63,$BF$7),COUNTIF('1.연간시수표'!U63,$BG$9),COUNTIF('1.연간시수표'!U63,$BG$7),COUNTIF('1.연간시수표'!U63,$BH$9),COUNTIF('1.연간시수표'!U63,$BH$7),COUNTIF('1.연간시수표'!U63,$BI$9),COUNTIF('1.연간시수표'!U63,$BI$7),COUNTIF('1.연간시수표'!U63,$BJ$9),COUNTIF('1.연간시수표'!U63,$BJ$7),COUNTIF('1.연간시수표'!U63,$BK$9),COUNTIF('1.연간시수표'!U63,$BK$7),COUNTIF('1.연간시수표'!U63,$BL$9),COUNTIF('1.연간시수표'!U63,$BL$7),COUNTIF('1.연간시수표'!U63,$BM$9),COUNTIF('1.연간시수표'!U63,$BM$7)),$BF$6,IF(OR(COUNTIF('1.연간시수표'!U63,$BO$9),COUNTIF('1.연간시수표'!U63,$BO$7)),$BO$6,IF(OR(COUNTIF('1.연간시수표'!U63,$BP$9),COUNTIF('1.연간시수표'!U63,$BP$7)),$BP$6,IF(OR(COUNTIF('1.연간시수표'!U63,$BQ$9),COUNTIF('1.연간시수표'!U63,$BQ$7)),$BQ$6,IF(OR(COUNTIF('1.연간시수표'!U63,$BR$9),COUNTIF('1.연간시수표'!U63,$BR$7)),$BR$6,"_")))))))))))))))</f>
        <v>영어</v>
      </c>
      <c r="V63" s="148" t="str">
        <f>IF(OR(COUNTIF('1.연간시수표'!V63,$AT$9),COUNTIF('1.연간시수표'!V63,$AT$7)),$AT$6,IF(OR(COUNTIF('1.연간시수표'!V63,$AU$9),COUNTIF('1.연간시수표'!V63,$AU$7)),$AU$6,IF(OR(COUNTIF('1.연간시수표'!V63,$AV$9),COUNTIF('1.연간시수표'!V63,$AV$7)),$AV$6,IF(OR(COUNTIF('1.연간시수표'!V63,$AW$9),COUNTIF('1.연간시수표'!V63,$AW$7)),$AW$6,IF(OR(COUNTIF('1.연간시수표'!V63,$AX$9),COUNTIF('1.연간시수표'!V63,$AX$7)),$AX$6,IF(OR(COUNTIF('1.연간시수표'!V63,$AY$9),COUNTIF('1.연간시수표'!V63,$AY$7)),$AY$6,IF(OR(COUNTIF('1.연간시수표'!V63,$AZ$9),COUNTIF('1.연간시수표'!V63,$AZ$7)),$AZ$6,IF(OR(COUNTIF('1.연간시수표'!V63,$BA$9),COUNTIF('1.연간시수표'!V63,$BA$7)),$BA$6,IF(OR(COUNTIF('1.연간시수표'!V63,$BB$9),COUNTIF('1.연간시수표'!V63,$BB$7)),$BB$6,IF(OR(COUNTIF('1.연간시수표'!V63,$BC$9),COUNTIF('1.연간시수표'!V63,$BC$7)),$BC$6,IF(OR(COUNTIF('1.연간시수표'!V63,$BF$9),COUNTIF('1.연간시수표'!V63,$BF$7),COUNTIF('1.연간시수표'!V63,$BG$9),COUNTIF('1.연간시수표'!V63,$BG$7),COUNTIF('1.연간시수표'!V63,$BH$9),COUNTIF('1.연간시수표'!V63,$BH$7),COUNTIF('1.연간시수표'!V63,$BI$9),COUNTIF('1.연간시수표'!V63,$BI$7),COUNTIF('1.연간시수표'!V63,$BJ$9),COUNTIF('1.연간시수표'!V63,$BJ$7),COUNTIF('1.연간시수표'!V63,$BK$9),COUNTIF('1.연간시수표'!V63,$BK$7),COUNTIF('1.연간시수표'!V63,$BL$9),COUNTIF('1.연간시수표'!V63,$BL$7),COUNTIF('1.연간시수표'!V63,$BM$9),COUNTIF('1.연간시수표'!V63,$BM$7)),$BF$6,IF(OR(COUNTIF('1.연간시수표'!V63,$BO$9),COUNTIF('1.연간시수표'!V63,$BO$7)),$BO$6,IF(OR(COUNTIF('1.연간시수표'!V63,$BP$9),COUNTIF('1.연간시수표'!V63,$BP$7)),$BP$6,IF(OR(COUNTIF('1.연간시수표'!V63,$BQ$9),COUNTIF('1.연간시수표'!V63,$BQ$7)),$BQ$6,IF(OR(COUNTIF('1.연간시수표'!V63,$BR$9),COUNTIF('1.연간시수표'!V63,$BR$7)),$BR$6,"_")))))))))))))))</f>
        <v>과학</v>
      </c>
      <c r="W63" s="148" t="str">
        <f>IF(OR(COUNTIF('1.연간시수표'!W63,$AT$9),COUNTIF('1.연간시수표'!W63,$AT$7)),$AT$6,IF(OR(COUNTIF('1.연간시수표'!W63,$AU$9),COUNTIF('1.연간시수표'!W63,$AU$7)),$AU$6,IF(OR(COUNTIF('1.연간시수표'!W63,$AV$9),COUNTIF('1.연간시수표'!W63,$AV$7)),$AV$6,IF(OR(COUNTIF('1.연간시수표'!W63,$AW$9),COUNTIF('1.연간시수표'!W63,$AW$7)),$AW$6,IF(OR(COUNTIF('1.연간시수표'!W63,$AX$9),COUNTIF('1.연간시수표'!W63,$AX$7)),$AX$6,IF(OR(COUNTIF('1.연간시수표'!W63,$AY$9),COUNTIF('1.연간시수표'!W63,$AY$7)),$AY$6,IF(OR(COUNTIF('1.연간시수표'!W63,$AZ$9),COUNTIF('1.연간시수표'!W63,$AZ$7)),$AZ$6,IF(OR(COUNTIF('1.연간시수표'!W63,$BA$9),COUNTIF('1.연간시수표'!W63,$BA$7)),$BA$6,IF(OR(COUNTIF('1.연간시수표'!W63,$BB$9),COUNTIF('1.연간시수표'!W63,$BB$7)),$BB$6,IF(OR(COUNTIF('1.연간시수표'!W63,$BC$9),COUNTIF('1.연간시수표'!W63,$BC$7)),$BC$6,IF(OR(COUNTIF('1.연간시수표'!W63,$BF$9),COUNTIF('1.연간시수표'!W63,$BF$7),COUNTIF('1.연간시수표'!W63,$BG$9),COUNTIF('1.연간시수표'!W63,$BG$7),COUNTIF('1.연간시수표'!W63,$BH$9),COUNTIF('1.연간시수표'!W63,$BH$7),COUNTIF('1.연간시수표'!W63,$BI$9),COUNTIF('1.연간시수표'!W63,$BI$7),COUNTIF('1.연간시수표'!W63,$BJ$9),COUNTIF('1.연간시수표'!W63,$BJ$7),COUNTIF('1.연간시수표'!W63,$BK$9),COUNTIF('1.연간시수표'!W63,$BK$7),COUNTIF('1.연간시수표'!W63,$BL$9),COUNTIF('1.연간시수표'!W63,$BL$7),COUNTIF('1.연간시수표'!W63,$BM$9),COUNTIF('1.연간시수표'!W63,$BM$7)),$BF$6,IF(OR(COUNTIF('1.연간시수표'!W63,$BO$9),COUNTIF('1.연간시수표'!W63,$BO$7)),$BO$6,IF(OR(COUNTIF('1.연간시수표'!W63,$BP$9),COUNTIF('1.연간시수표'!W63,$BP$7)),$BP$6,IF(OR(COUNTIF('1.연간시수표'!W63,$BQ$9),COUNTIF('1.연간시수표'!W63,$BQ$7)),$BQ$6,IF(OR(COUNTIF('1.연간시수표'!W63,$BR$9),COUNTIF('1.연간시수표'!W63,$BR$7)),$BR$6,"_")))))))))))))))</f>
        <v>체육</v>
      </c>
      <c r="X63" s="148" t="str">
        <f>IF(OR(COUNTIF('1.연간시수표'!X63,$AT$9),COUNTIF('1.연간시수표'!X63,$AT$7)),$AT$6,IF(OR(COUNTIF('1.연간시수표'!X63,$AU$9),COUNTIF('1.연간시수표'!X63,$AU$7)),$AU$6,IF(OR(COUNTIF('1.연간시수표'!X63,$AV$9),COUNTIF('1.연간시수표'!X63,$AV$7)),$AV$6,IF(OR(COUNTIF('1.연간시수표'!X63,$AW$9),COUNTIF('1.연간시수표'!X63,$AW$7)),$AW$6,IF(OR(COUNTIF('1.연간시수표'!X63,$AX$9),COUNTIF('1.연간시수표'!X63,$AX$7)),$AX$6,IF(OR(COUNTIF('1.연간시수표'!X63,$AY$9),COUNTIF('1.연간시수표'!X63,$AY$7)),$AY$6,IF(OR(COUNTIF('1.연간시수표'!X63,$AZ$9),COUNTIF('1.연간시수표'!X63,$AZ$7)),$AZ$6,IF(OR(COUNTIF('1.연간시수표'!X63,$BA$9),COUNTIF('1.연간시수표'!X63,$BA$7)),$BA$6,IF(OR(COUNTIF('1.연간시수표'!X63,$BB$9),COUNTIF('1.연간시수표'!X63,$BB$7)),$BB$6,IF(OR(COUNTIF('1.연간시수표'!X63,$BC$9),COUNTIF('1.연간시수표'!X63,$BC$7)),$BC$6,IF(OR(COUNTIF('1.연간시수표'!X63,$BF$9),COUNTIF('1.연간시수표'!X63,$BF$7),COUNTIF('1.연간시수표'!X63,$BG$9),COUNTIF('1.연간시수표'!X63,$BG$7),COUNTIF('1.연간시수표'!X63,$BH$9),COUNTIF('1.연간시수표'!X63,$BH$7),COUNTIF('1.연간시수표'!X63,$BI$9),COUNTIF('1.연간시수표'!X63,$BI$7),COUNTIF('1.연간시수표'!X63,$BJ$9),COUNTIF('1.연간시수표'!X63,$BJ$7),COUNTIF('1.연간시수표'!X63,$BK$9),COUNTIF('1.연간시수표'!X63,$BK$7),COUNTIF('1.연간시수표'!X63,$BL$9),COUNTIF('1.연간시수표'!X63,$BL$7),COUNTIF('1.연간시수표'!X63,$BM$9),COUNTIF('1.연간시수표'!X63,$BM$7)),$BF$6,IF(OR(COUNTIF('1.연간시수표'!X63,$BO$9),COUNTIF('1.연간시수표'!X63,$BO$7)),$BO$6,IF(OR(COUNTIF('1.연간시수표'!X63,$BP$9),COUNTIF('1.연간시수표'!X63,$BP$7)),$BP$6,IF(OR(COUNTIF('1.연간시수표'!X63,$BQ$9),COUNTIF('1.연간시수표'!X63,$BQ$7)),$BQ$6,IF(OR(COUNTIF('1.연간시수표'!X63,$BR$9),COUNTIF('1.연간시수표'!X63,$BR$7)),$BR$6,"_")))))))))))))))</f>
        <v>음악</v>
      </c>
      <c r="Y63" s="148" t="str">
        <f>IF(OR(COUNTIF('1.연간시수표'!Y63,$AT$9),COUNTIF('1.연간시수표'!Y63,$AT$7)),$AT$6,IF(OR(COUNTIF('1.연간시수표'!Y63,$AU$9),COUNTIF('1.연간시수표'!Y63,$AU$7)),$AU$6,IF(OR(COUNTIF('1.연간시수표'!Y63,$AV$9),COUNTIF('1.연간시수표'!Y63,$AV$7)),$AV$6,IF(OR(COUNTIF('1.연간시수표'!Y63,$AW$9),COUNTIF('1.연간시수표'!Y63,$AW$7)),$AW$6,IF(OR(COUNTIF('1.연간시수표'!Y63,$AX$9),COUNTIF('1.연간시수표'!Y63,$AX$7)),$AX$6,IF(OR(COUNTIF('1.연간시수표'!Y63,$AY$9),COUNTIF('1.연간시수표'!Y63,$AY$7)),$AY$6,IF(OR(COUNTIF('1.연간시수표'!Y63,$AZ$9),COUNTIF('1.연간시수표'!Y63,$AZ$7)),$AZ$6,IF(OR(COUNTIF('1.연간시수표'!Y63,$BA$9),COUNTIF('1.연간시수표'!Y63,$BA$7)),$BA$6,IF(OR(COUNTIF('1.연간시수표'!Y63,$BB$9),COUNTIF('1.연간시수표'!Y63,$BB$7)),$BB$6,IF(OR(COUNTIF('1.연간시수표'!Y63,$BC$9),COUNTIF('1.연간시수표'!Y63,$BC$7)),$BC$6,IF(OR(COUNTIF('1.연간시수표'!Y63,$BF$9),COUNTIF('1.연간시수표'!Y63,$BF$7),COUNTIF('1.연간시수표'!Y63,$BG$9),COUNTIF('1.연간시수표'!Y63,$BG$7),COUNTIF('1.연간시수표'!Y63,$BH$9),COUNTIF('1.연간시수표'!Y63,$BH$7),COUNTIF('1.연간시수표'!Y63,$BI$9),COUNTIF('1.연간시수표'!Y63,$BI$7),COUNTIF('1.연간시수표'!Y63,$BJ$9),COUNTIF('1.연간시수표'!Y63,$BJ$7),COUNTIF('1.연간시수표'!Y63,$BK$9),COUNTIF('1.연간시수표'!Y63,$BK$7),COUNTIF('1.연간시수표'!Y63,$BL$9),COUNTIF('1.연간시수표'!Y63,$BL$7),COUNTIF('1.연간시수표'!Y63,$BM$9),COUNTIF('1.연간시수표'!Y63,$BM$7)),$BF$6,IF(OR(COUNTIF('1.연간시수표'!Y63,$BO$9),COUNTIF('1.연간시수표'!Y63,$BO$7)),$BO$6,IF(OR(COUNTIF('1.연간시수표'!Y63,$BP$9),COUNTIF('1.연간시수표'!Y63,$BP$7)),$BP$6,IF(OR(COUNTIF('1.연간시수표'!Y63,$BQ$9),COUNTIF('1.연간시수표'!Y63,$BQ$7)),$BQ$6,IF(OR(COUNTIF('1.연간시수표'!Y63,$BR$9),COUNTIF('1.연간시수표'!Y63,$BR$7)),$BR$6,"_")))))))))))))))</f>
        <v>도덕</v>
      </c>
      <c r="Z63" s="148" t="str">
        <f>IF(OR(COUNTIF('1.연간시수표'!Z63,$AT$9),COUNTIF('1.연간시수표'!Z63,$AT$7)),$AT$6,IF(OR(COUNTIF('1.연간시수표'!Z63,$AU$9),COUNTIF('1.연간시수표'!Z63,$AU$7)),$AU$6,IF(OR(COUNTIF('1.연간시수표'!Z63,$AV$9),COUNTIF('1.연간시수표'!Z63,$AV$7)),$AV$6,IF(OR(COUNTIF('1.연간시수표'!Z63,$AW$9),COUNTIF('1.연간시수표'!Z63,$AW$7)),$AW$6,IF(OR(COUNTIF('1.연간시수표'!Z63,$AX$9),COUNTIF('1.연간시수표'!Z63,$AX$7)),$AX$6,IF(OR(COUNTIF('1.연간시수표'!Z63,$AY$9),COUNTIF('1.연간시수표'!Z63,$AY$7)),$AY$6,IF(OR(COUNTIF('1.연간시수표'!Z63,$AZ$9),COUNTIF('1.연간시수표'!Z63,$AZ$7)),$AZ$6,IF(OR(COUNTIF('1.연간시수표'!Z63,$BA$9),COUNTIF('1.연간시수표'!Z63,$BA$7)),$BA$6,IF(OR(COUNTIF('1.연간시수표'!Z63,$BB$9),COUNTIF('1.연간시수표'!Z63,$BB$7)),$BB$6,IF(OR(COUNTIF('1.연간시수표'!Z63,$BC$9),COUNTIF('1.연간시수표'!Z63,$BC$7)),$BC$6,IF(OR(COUNTIF('1.연간시수표'!Z63,$BF$9),COUNTIF('1.연간시수표'!Z63,$BF$7),COUNTIF('1.연간시수표'!Z63,$BG$9),COUNTIF('1.연간시수표'!Z63,$BG$7),COUNTIF('1.연간시수표'!Z63,$BH$9),COUNTIF('1.연간시수표'!Z63,$BH$7),COUNTIF('1.연간시수표'!Z63,$BI$9),COUNTIF('1.연간시수표'!Z63,$BI$7),COUNTIF('1.연간시수표'!Z63,$BJ$9),COUNTIF('1.연간시수표'!Z63,$BJ$7),COUNTIF('1.연간시수표'!Z63,$BK$9),COUNTIF('1.연간시수표'!Z63,$BK$7),COUNTIF('1.연간시수표'!Z63,$BL$9),COUNTIF('1.연간시수표'!Z63,$BL$7),COUNTIF('1.연간시수표'!Z63,$BM$9),COUNTIF('1.연간시수표'!Z63,$BM$7)),$BF$6,IF(OR(COUNTIF('1.연간시수표'!Z63,$BO$9),COUNTIF('1.연간시수표'!Z63,$BO$7)),$BO$6,IF(OR(COUNTIF('1.연간시수표'!Z63,$BP$9),COUNTIF('1.연간시수표'!Z63,$BP$7)),$BP$6,IF(OR(COUNTIF('1.연간시수표'!Z63,$BQ$9),COUNTIF('1.연간시수표'!Z63,$BQ$7)),$BQ$6,IF(OR(COUNTIF('1.연간시수표'!Z63,$BR$9),COUNTIF('1.연간시수표'!Z63,$BR$7)),$BR$6,"_")))))))))))))))</f>
        <v>_</v>
      </c>
      <c r="AA63" s="148" t="str">
        <f>IF(OR(COUNTIF('1.연간시수표'!AA63,$AT$9),COUNTIF('1.연간시수표'!AA63,$AT$7)),$AT$6,IF(OR(COUNTIF('1.연간시수표'!AA63,$AU$9),COUNTIF('1.연간시수표'!AA63,$AU$7)),$AU$6,IF(OR(COUNTIF('1.연간시수표'!AA63,$AV$9),COUNTIF('1.연간시수표'!AA63,$AV$7)),$AV$6,IF(OR(COUNTIF('1.연간시수표'!AA63,$AW$9),COUNTIF('1.연간시수표'!AA63,$AW$7)),$AW$6,IF(OR(COUNTIF('1.연간시수표'!AA63,$AX$9),COUNTIF('1.연간시수표'!AA63,$AX$7)),$AX$6,IF(OR(COUNTIF('1.연간시수표'!AA63,$AY$9),COUNTIF('1.연간시수표'!AA63,$AY$7)),$AY$6,IF(OR(COUNTIF('1.연간시수표'!AA63,$AZ$9),COUNTIF('1.연간시수표'!AA63,$AZ$7)),$AZ$6,IF(OR(COUNTIF('1.연간시수표'!AA63,$BA$9),COUNTIF('1.연간시수표'!AA63,$BA$7)),$BA$6,IF(OR(COUNTIF('1.연간시수표'!AA63,$BB$9),COUNTIF('1.연간시수표'!AA63,$BB$7)),$BB$6,IF(OR(COUNTIF('1.연간시수표'!AA63,$BC$9),COUNTIF('1.연간시수표'!AA63,$BC$7)),$BC$6,IF(OR(COUNTIF('1.연간시수표'!AA63,$BF$9),COUNTIF('1.연간시수표'!AA63,$BF$7),COUNTIF('1.연간시수표'!AA63,$BG$9),COUNTIF('1.연간시수표'!AA63,$BG$7),COUNTIF('1.연간시수표'!AA63,$BH$9),COUNTIF('1.연간시수표'!AA63,$BH$7),COUNTIF('1.연간시수표'!AA63,$BI$9),COUNTIF('1.연간시수표'!AA63,$BI$7),COUNTIF('1.연간시수표'!AA63,$BJ$9),COUNTIF('1.연간시수표'!AA63,$BJ$7),COUNTIF('1.연간시수표'!AA63,$BK$9),COUNTIF('1.연간시수표'!AA63,$BK$7),COUNTIF('1.연간시수표'!AA63,$BL$9),COUNTIF('1.연간시수표'!AA63,$BL$7),COUNTIF('1.연간시수표'!AA63,$BM$9),COUNTIF('1.연간시수표'!AA63,$BM$7)),$BF$6,IF(OR(COUNTIF('1.연간시수표'!AA63,$BO$9),COUNTIF('1.연간시수표'!AA63,$BO$7)),$BO$6,IF(OR(COUNTIF('1.연간시수표'!AA63,$BP$9),COUNTIF('1.연간시수표'!AA63,$BP$7)),$BP$6,IF(OR(COUNTIF('1.연간시수표'!AA63,$BQ$9),COUNTIF('1.연간시수표'!AA63,$BQ$7)),$BQ$6,IF(OR(COUNTIF('1.연간시수표'!AA63,$BR$9),COUNTIF('1.연간시수표'!AA63,$BR$7)),$BR$6,"_")))))))))))))))</f>
        <v>_</v>
      </c>
      <c r="AB63" s="148" t="str">
        <f>IF(OR(COUNTIF('1.연간시수표'!AB63,$AT$9),COUNTIF('1.연간시수표'!AB63,$AT$7)),$AT$6,IF(OR(COUNTIF('1.연간시수표'!AB63,$AU$9),COUNTIF('1.연간시수표'!AB63,$AU$7)),$AU$6,IF(OR(COUNTIF('1.연간시수표'!AB63,$AV$9),COUNTIF('1.연간시수표'!AB63,$AV$7)),$AV$6,IF(OR(COUNTIF('1.연간시수표'!AB63,$AW$9),COUNTIF('1.연간시수표'!AB63,$AW$7)),$AW$6,IF(OR(COUNTIF('1.연간시수표'!AB63,$AX$9),COUNTIF('1.연간시수표'!AB63,$AX$7)),$AX$6,IF(OR(COUNTIF('1.연간시수표'!AB63,$AY$9),COUNTIF('1.연간시수표'!AB63,$AY$7)),$AY$6,IF(OR(COUNTIF('1.연간시수표'!AB63,$AZ$9),COUNTIF('1.연간시수표'!AB63,$AZ$7)),$AZ$6,IF(OR(COUNTIF('1.연간시수표'!AB63,$BA$9),COUNTIF('1.연간시수표'!AB63,$BA$7)),$BA$6,IF(OR(COUNTIF('1.연간시수표'!AB63,$BB$9),COUNTIF('1.연간시수표'!AB63,$BB$7)),$BB$6,IF(OR(COUNTIF('1.연간시수표'!AB63,$BC$9),COUNTIF('1.연간시수표'!AB63,$BC$7)),$BC$6,IF(OR(COUNTIF('1.연간시수표'!AB63,$BF$9),COUNTIF('1.연간시수표'!AB63,$BF$7),COUNTIF('1.연간시수표'!AB63,$BG$9),COUNTIF('1.연간시수표'!AB63,$BG$7),COUNTIF('1.연간시수표'!AB63,$BH$9),COUNTIF('1.연간시수표'!AB63,$BH$7),COUNTIF('1.연간시수표'!AB63,$BI$9),COUNTIF('1.연간시수표'!AB63,$BI$7),COUNTIF('1.연간시수표'!AB63,$BJ$9),COUNTIF('1.연간시수표'!AB63,$BJ$7),COUNTIF('1.연간시수표'!AB63,$BK$9),COUNTIF('1.연간시수표'!AB63,$BK$7),COUNTIF('1.연간시수표'!AB63,$BL$9),COUNTIF('1.연간시수표'!AB63,$BL$7),COUNTIF('1.연간시수표'!AB63,$BM$9),COUNTIF('1.연간시수표'!AB63,$BM$7)),$BF$6,IF(OR(COUNTIF('1.연간시수표'!AB63,$BO$9),COUNTIF('1.연간시수표'!AB63,$BO$7)),$BO$6,IF(OR(COUNTIF('1.연간시수표'!AB63,$BP$9),COUNTIF('1.연간시수표'!AB63,$BP$7)),$BP$6,IF(OR(COUNTIF('1.연간시수표'!AB63,$BQ$9),COUNTIF('1.연간시수표'!AB63,$BQ$7)),$BQ$6,IF(OR(COUNTIF('1.연간시수표'!AB63,$BR$9),COUNTIF('1.연간시수표'!AB63,$BR$7)),$BR$6,"_")))))))))))))))</f>
        <v>_</v>
      </c>
      <c r="AC63" s="148" t="str">
        <f>IF(OR(COUNTIF('1.연간시수표'!AC63,$AT$9),COUNTIF('1.연간시수표'!AC63,$AT$7)),$AT$6,IF(OR(COUNTIF('1.연간시수표'!AC63,$AU$9),COUNTIF('1.연간시수표'!AC63,$AU$7)),$AU$6,IF(OR(COUNTIF('1.연간시수표'!AC63,$AV$9),COUNTIF('1.연간시수표'!AC63,$AV$7)),$AV$6,IF(OR(COUNTIF('1.연간시수표'!AC63,$AW$9),COUNTIF('1.연간시수표'!AC63,$AW$7)),$AW$6,IF(OR(COUNTIF('1.연간시수표'!AC63,$AX$9),COUNTIF('1.연간시수표'!AC63,$AX$7)),$AX$6,IF(OR(COUNTIF('1.연간시수표'!AC63,$AY$9),COUNTIF('1.연간시수표'!AC63,$AY$7)),$AY$6,IF(OR(COUNTIF('1.연간시수표'!AC63,$AZ$9),COUNTIF('1.연간시수표'!AC63,$AZ$7)),$AZ$6,IF(OR(COUNTIF('1.연간시수표'!AC63,$BA$9),COUNTIF('1.연간시수표'!AC63,$BA$7)),$BA$6,IF(OR(COUNTIF('1.연간시수표'!AC63,$BB$9),COUNTIF('1.연간시수표'!AC63,$BB$7)),$BB$6,IF(OR(COUNTIF('1.연간시수표'!AC63,$BC$9),COUNTIF('1.연간시수표'!AC63,$BC$7)),$BC$6,IF(OR(COUNTIF('1.연간시수표'!AC63,$BF$9),COUNTIF('1.연간시수표'!AC63,$BF$7),COUNTIF('1.연간시수표'!AC63,$BG$9),COUNTIF('1.연간시수표'!AC63,$BG$7),COUNTIF('1.연간시수표'!AC63,$BH$9),COUNTIF('1.연간시수표'!AC63,$BH$7),COUNTIF('1.연간시수표'!AC63,$BI$9),COUNTIF('1.연간시수표'!AC63,$BI$7),COUNTIF('1.연간시수표'!AC63,$BJ$9),COUNTIF('1.연간시수표'!AC63,$BJ$7),COUNTIF('1.연간시수표'!AC63,$BK$9),COUNTIF('1.연간시수표'!AC63,$BK$7),COUNTIF('1.연간시수표'!AC63,$BL$9),COUNTIF('1.연간시수표'!AC63,$BL$7),COUNTIF('1.연간시수표'!AC63,$BM$9),COUNTIF('1.연간시수표'!AC63,$BM$7)),$BF$6,IF(OR(COUNTIF('1.연간시수표'!AC63,$BO$9),COUNTIF('1.연간시수표'!AC63,$BO$7)),$BO$6,IF(OR(COUNTIF('1.연간시수표'!AC63,$BP$9),COUNTIF('1.연간시수표'!AC63,$BP$7)),$BP$6,IF(OR(COUNTIF('1.연간시수표'!AC63,$BQ$9),COUNTIF('1.연간시수표'!AC63,$BQ$7)),$BQ$6,IF(OR(COUNTIF('1.연간시수표'!AC63,$BR$9),COUNTIF('1.연간시수표'!AC63,$BR$7)),$BR$6,"_")))))))))))))))</f>
        <v>_</v>
      </c>
      <c r="AD63" s="148" t="str">
        <f>IF(OR(COUNTIF('1.연간시수표'!AD63,$AT$9),COUNTIF('1.연간시수표'!AD63,$AT$7)),$AT$6,IF(OR(COUNTIF('1.연간시수표'!AD63,$AU$9),COUNTIF('1.연간시수표'!AD63,$AU$7)),$AU$6,IF(OR(COUNTIF('1.연간시수표'!AD63,$AV$9),COUNTIF('1.연간시수표'!AD63,$AV$7)),$AV$6,IF(OR(COUNTIF('1.연간시수표'!AD63,$AW$9),COUNTIF('1.연간시수표'!AD63,$AW$7)),$AW$6,IF(OR(COUNTIF('1.연간시수표'!AD63,$AX$9),COUNTIF('1.연간시수표'!AD63,$AX$7)),$AX$6,IF(OR(COUNTIF('1.연간시수표'!AD63,$AY$9),COUNTIF('1.연간시수표'!AD63,$AY$7)),$AY$6,IF(OR(COUNTIF('1.연간시수표'!AD63,$AZ$9),COUNTIF('1.연간시수표'!AD63,$AZ$7)),$AZ$6,IF(OR(COUNTIF('1.연간시수표'!AD63,$BA$9),COUNTIF('1.연간시수표'!AD63,$BA$7)),$BA$6,IF(OR(COUNTIF('1.연간시수표'!AD63,$BB$9),COUNTIF('1.연간시수표'!AD63,$BB$7)),$BB$6,IF(OR(COUNTIF('1.연간시수표'!AD63,$BC$9),COUNTIF('1.연간시수표'!AD63,$BC$7)),$BC$6,IF(OR(COUNTIF('1.연간시수표'!AD63,$BF$9),COUNTIF('1.연간시수표'!AD63,$BF$7),COUNTIF('1.연간시수표'!AD63,$BG$9),COUNTIF('1.연간시수표'!AD63,$BG$7),COUNTIF('1.연간시수표'!AD63,$BH$9),COUNTIF('1.연간시수표'!AD63,$BH$7),COUNTIF('1.연간시수표'!AD63,$BI$9),COUNTIF('1.연간시수표'!AD63,$BI$7),COUNTIF('1.연간시수표'!AD63,$BJ$9),COUNTIF('1.연간시수표'!AD63,$BJ$7),COUNTIF('1.연간시수표'!AD63,$BK$9),COUNTIF('1.연간시수표'!AD63,$BK$7),COUNTIF('1.연간시수표'!AD63,$BL$9),COUNTIF('1.연간시수표'!AD63,$BL$7),COUNTIF('1.연간시수표'!AD63,$BM$9),COUNTIF('1.연간시수표'!AD63,$BM$7)),$BF$6,IF(OR(COUNTIF('1.연간시수표'!AD63,$BO$9),COUNTIF('1.연간시수표'!AD63,$BO$7)),$BO$6,IF(OR(COUNTIF('1.연간시수표'!AD63,$BP$9),COUNTIF('1.연간시수표'!AD63,$BP$7)),$BP$6,IF(OR(COUNTIF('1.연간시수표'!AD63,$BQ$9),COUNTIF('1.연간시수표'!AD63,$BQ$7)),$BQ$6,IF(OR(COUNTIF('1.연간시수표'!AD63,$BR$9),COUNTIF('1.연간시수표'!AD63,$BR$7)),$BR$6,"_")))))))))))))))</f>
        <v>수학</v>
      </c>
      <c r="AE63" s="148" t="str">
        <f>IF(OR(COUNTIF('1.연간시수표'!AE63,$AT$9),COUNTIF('1.연간시수표'!AE63,$AT$7)),$AT$6,IF(OR(COUNTIF('1.연간시수표'!AE63,$AU$9),COUNTIF('1.연간시수표'!AE63,$AU$7)),$AU$6,IF(OR(COUNTIF('1.연간시수표'!AE63,$AV$9),COUNTIF('1.연간시수표'!AE63,$AV$7)),$AV$6,IF(OR(COUNTIF('1.연간시수표'!AE63,$AW$9),COUNTIF('1.연간시수표'!AE63,$AW$7)),$AW$6,IF(OR(COUNTIF('1.연간시수표'!AE63,$AX$9),COUNTIF('1.연간시수표'!AE63,$AX$7)),$AX$6,IF(OR(COUNTIF('1.연간시수표'!AE63,$AY$9),COUNTIF('1.연간시수표'!AE63,$AY$7)),$AY$6,IF(OR(COUNTIF('1.연간시수표'!AE63,$AZ$9),COUNTIF('1.연간시수표'!AE63,$AZ$7)),$AZ$6,IF(OR(COUNTIF('1.연간시수표'!AE63,$BA$9),COUNTIF('1.연간시수표'!AE63,$BA$7)),$BA$6,IF(OR(COUNTIF('1.연간시수표'!AE63,$BB$9),COUNTIF('1.연간시수표'!AE63,$BB$7)),$BB$6,IF(OR(COUNTIF('1.연간시수표'!AE63,$BC$9),COUNTIF('1.연간시수표'!AE63,$BC$7)),$BC$6,IF(OR(COUNTIF('1.연간시수표'!AE63,$BF$9),COUNTIF('1.연간시수표'!AE63,$BF$7),COUNTIF('1.연간시수표'!AE63,$BG$9),COUNTIF('1.연간시수표'!AE63,$BG$7),COUNTIF('1.연간시수표'!AE63,$BH$9),COUNTIF('1.연간시수표'!AE63,$BH$7),COUNTIF('1.연간시수표'!AE63,$BI$9),COUNTIF('1.연간시수표'!AE63,$BI$7),COUNTIF('1.연간시수표'!AE63,$BJ$9),COUNTIF('1.연간시수표'!AE63,$BJ$7),COUNTIF('1.연간시수표'!AE63,$BK$9),COUNTIF('1.연간시수표'!AE63,$BK$7),COUNTIF('1.연간시수표'!AE63,$BL$9),COUNTIF('1.연간시수표'!AE63,$BL$7),COUNTIF('1.연간시수표'!AE63,$BM$9),COUNTIF('1.연간시수표'!AE63,$BM$7)),$BF$6,IF(OR(COUNTIF('1.연간시수표'!AE63,$BO$9),COUNTIF('1.연간시수표'!AE63,$BO$7)),$BO$6,IF(OR(COUNTIF('1.연간시수표'!AE63,$BP$9),COUNTIF('1.연간시수표'!AE63,$BP$7)),$BP$6,IF(OR(COUNTIF('1.연간시수표'!AE63,$BQ$9),COUNTIF('1.연간시수표'!AE63,$BQ$7)),$BQ$6,IF(OR(COUNTIF('1.연간시수표'!AE63,$BR$9),COUNTIF('1.연간시수표'!AE63,$BR$7)),$BR$6,"_")))))))))))))))</f>
        <v>사회</v>
      </c>
      <c r="AF63" s="148" t="str">
        <f>IF(OR(COUNTIF('1.연간시수표'!AF63,$AT$9),COUNTIF('1.연간시수표'!AF63,$AT$7)),$AT$6,IF(OR(COUNTIF('1.연간시수표'!AF63,$AU$9),COUNTIF('1.연간시수표'!AF63,$AU$7)),$AU$6,IF(OR(COUNTIF('1.연간시수표'!AF63,$AV$9),COUNTIF('1.연간시수표'!AF63,$AV$7)),$AV$6,IF(OR(COUNTIF('1.연간시수표'!AF63,$AW$9),COUNTIF('1.연간시수표'!AF63,$AW$7)),$AW$6,IF(OR(COUNTIF('1.연간시수표'!AF63,$AX$9),COUNTIF('1.연간시수표'!AF63,$AX$7)),$AX$6,IF(OR(COUNTIF('1.연간시수표'!AF63,$AY$9),COUNTIF('1.연간시수표'!AF63,$AY$7)),$AY$6,IF(OR(COUNTIF('1.연간시수표'!AF63,$AZ$9),COUNTIF('1.연간시수표'!AF63,$AZ$7)),$AZ$6,IF(OR(COUNTIF('1.연간시수표'!AF63,$BA$9),COUNTIF('1.연간시수표'!AF63,$BA$7)),$BA$6,IF(OR(COUNTIF('1.연간시수표'!AF63,$BB$9),COUNTIF('1.연간시수표'!AF63,$BB$7)),$BB$6,IF(OR(COUNTIF('1.연간시수표'!AF63,$BC$9),COUNTIF('1.연간시수표'!AF63,$BC$7)),$BC$6,IF(OR(COUNTIF('1.연간시수표'!AF63,$BF$9),COUNTIF('1.연간시수표'!AF63,$BF$7),COUNTIF('1.연간시수표'!AF63,$BG$9),COUNTIF('1.연간시수표'!AF63,$BG$7),COUNTIF('1.연간시수표'!AF63,$BH$9),COUNTIF('1.연간시수표'!AF63,$BH$7),COUNTIF('1.연간시수표'!AF63,$BI$9),COUNTIF('1.연간시수표'!AF63,$BI$7),COUNTIF('1.연간시수표'!AF63,$BJ$9),COUNTIF('1.연간시수표'!AF63,$BJ$7),COUNTIF('1.연간시수표'!AF63,$BK$9),COUNTIF('1.연간시수표'!AF63,$BK$7),COUNTIF('1.연간시수표'!AF63,$BL$9),COUNTIF('1.연간시수표'!AF63,$BL$7),COUNTIF('1.연간시수표'!AF63,$BM$9),COUNTIF('1.연간시수표'!AF63,$BM$7)),$BF$6,IF(OR(COUNTIF('1.연간시수표'!AF63,$BO$9),COUNTIF('1.연간시수표'!AF63,$BO$7)),$BO$6,IF(OR(COUNTIF('1.연간시수표'!AF63,$BP$9),COUNTIF('1.연간시수표'!AF63,$BP$7)),$BP$6,IF(OR(COUNTIF('1.연간시수표'!AF63,$BQ$9),COUNTIF('1.연간시수표'!AF63,$BQ$7)),$BQ$6,IF(OR(COUNTIF('1.연간시수표'!AF63,$BR$9),COUNTIF('1.연간시수표'!AF63,$BR$7)),$BR$6,"_")))))))))))))))</f>
        <v>영어</v>
      </c>
      <c r="AG63" s="148" t="str">
        <f>IF(OR(COUNTIF('1.연간시수표'!AG63,$AT$9),COUNTIF('1.연간시수표'!AG63,$AT$7)),$AT$6,IF(OR(COUNTIF('1.연간시수표'!AG63,$AU$9),COUNTIF('1.연간시수표'!AG63,$AU$7)),$AU$6,IF(OR(COUNTIF('1.연간시수표'!AG63,$AV$9),COUNTIF('1.연간시수표'!AG63,$AV$7)),$AV$6,IF(OR(COUNTIF('1.연간시수표'!AG63,$AW$9),COUNTIF('1.연간시수표'!AG63,$AW$7)),$AW$6,IF(OR(COUNTIF('1.연간시수표'!AG63,$AX$9),COUNTIF('1.연간시수표'!AG63,$AX$7)),$AX$6,IF(OR(COUNTIF('1.연간시수표'!AG63,$AY$9),COUNTIF('1.연간시수표'!AG63,$AY$7)),$AY$6,IF(OR(COUNTIF('1.연간시수표'!AG63,$AZ$9),COUNTIF('1.연간시수표'!AG63,$AZ$7)),$AZ$6,IF(OR(COUNTIF('1.연간시수표'!AG63,$BA$9),COUNTIF('1.연간시수표'!AG63,$BA$7)),$BA$6,IF(OR(COUNTIF('1.연간시수표'!AG63,$BB$9),COUNTIF('1.연간시수표'!AG63,$BB$7)),$BB$6,IF(OR(COUNTIF('1.연간시수표'!AG63,$BC$9),COUNTIF('1.연간시수표'!AG63,$BC$7)),$BC$6,IF(OR(COUNTIF('1.연간시수표'!AG63,$BF$9),COUNTIF('1.연간시수표'!AG63,$BF$7),COUNTIF('1.연간시수표'!AG63,$BG$9),COUNTIF('1.연간시수표'!AG63,$BG$7),COUNTIF('1.연간시수표'!AG63,$BH$9),COUNTIF('1.연간시수표'!AG63,$BH$7),COUNTIF('1.연간시수표'!AG63,$BI$9),COUNTIF('1.연간시수표'!AG63,$BI$7),COUNTIF('1.연간시수표'!AG63,$BJ$9),COUNTIF('1.연간시수표'!AG63,$BJ$7),COUNTIF('1.연간시수표'!AG63,$BK$9),COUNTIF('1.연간시수표'!AG63,$BK$7),COUNTIF('1.연간시수표'!AG63,$BL$9),COUNTIF('1.연간시수표'!AG63,$BL$7),COUNTIF('1.연간시수표'!AG63,$BM$9),COUNTIF('1.연간시수표'!AG63,$BM$7)),$BF$6,IF(OR(COUNTIF('1.연간시수표'!AG63,$BO$9),COUNTIF('1.연간시수표'!AG63,$BO$7)),$BO$6,IF(OR(COUNTIF('1.연간시수표'!AG63,$BP$9),COUNTIF('1.연간시수표'!AG63,$BP$7)),$BP$6,IF(OR(COUNTIF('1.연간시수표'!AG63,$BQ$9),COUNTIF('1.연간시수표'!AG63,$BQ$7)),$BQ$6,IF(OR(COUNTIF('1.연간시수표'!AG63,$BR$9),COUNTIF('1.연간시수표'!AG63,$BR$7)),$BR$6,"_")))))))))))))))</f>
        <v>동아리활동</v>
      </c>
      <c r="AH63" s="148" t="str">
        <f>IF(OR(COUNTIF('1.연간시수표'!AH63,$AT$9),COUNTIF('1.연간시수표'!AH63,$AT$7)),$AT$6,IF(OR(COUNTIF('1.연간시수표'!AH63,$AU$9),COUNTIF('1.연간시수표'!AH63,$AU$7)),$AU$6,IF(OR(COUNTIF('1.연간시수표'!AH63,$AV$9),COUNTIF('1.연간시수표'!AH63,$AV$7)),$AV$6,IF(OR(COUNTIF('1.연간시수표'!AH63,$AW$9),COUNTIF('1.연간시수표'!AH63,$AW$7)),$AW$6,IF(OR(COUNTIF('1.연간시수표'!AH63,$AX$9),COUNTIF('1.연간시수표'!AH63,$AX$7)),$AX$6,IF(OR(COUNTIF('1.연간시수표'!AH63,$AY$9),COUNTIF('1.연간시수표'!AH63,$AY$7)),$AY$6,IF(OR(COUNTIF('1.연간시수표'!AH63,$AZ$9),COUNTIF('1.연간시수표'!AH63,$AZ$7)),$AZ$6,IF(OR(COUNTIF('1.연간시수표'!AH63,$BA$9),COUNTIF('1.연간시수표'!AH63,$BA$7)),$BA$6,IF(OR(COUNTIF('1.연간시수표'!AH63,$BB$9),COUNTIF('1.연간시수표'!AH63,$BB$7)),$BB$6,IF(OR(COUNTIF('1.연간시수표'!AH63,$BC$9),COUNTIF('1.연간시수표'!AH63,$BC$7)),$BC$6,IF(OR(COUNTIF('1.연간시수표'!AH63,$BF$9),COUNTIF('1.연간시수표'!AH63,$BF$7),COUNTIF('1.연간시수표'!AH63,$BG$9),COUNTIF('1.연간시수표'!AH63,$BG$7),COUNTIF('1.연간시수표'!AH63,$BH$9),COUNTIF('1.연간시수표'!AH63,$BH$7),COUNTIF('1.연간시수표'!AH63,$BI$9),COUNTIF('1.연간시수표'!AH63,$BI$7),COUNTIF('1.연간시수표'!AH63,$BJ$9),COUNTIF('1.연간시수표'!AH63,$BJ$7),COUNTIF('1.연간시수표'!AH63,$BK$9),COUNTIF('1.연간시수표'!AH63,$BK$7),COUNTIF('1.연간시수표'!AH63,$BL$9),COUNTIF('1.연간시수표'!AH63,$BL$7),COUNTIF('1.연간시수표'!AH63,$BM$9),COUNTIF('1.연간시수표'!AH63,$BM$7)),$BF$6,IF(OR(COUNTIF('1.연간시수표'!AH63,$BO$9),COUNTIF('1.연간시수표'!AH63,$BO$7)),$BO$6,IF(OR(COUNTIF('1.연간시수표'!AH63,$BP$9),COUNTIF('1.연간시수표'!AH63,$BP$7)),$BP$6,IF(OR(COUNTIF('1.연간시수표'!AH63,$BQ$9),COUNTIF('1.연간시수표'!AH63,$BQ$7)),$BQ$6,IF(OR(COUNTIF('1.연간시수표'!AH63,$BR$9),COUNTIF('1.연간시수표'!AH63,$BR$7)),$BR$6,"_")))))))))))))))</f>
        <v>동아리활동</v>
      </c>
      <c r="AI63" s="148" t="str">
        <f>IF(OR(COUNTIF('1.연간시수표'!AI63,$AT$9),COUNTIF('1.연간시수표'!AI63,$AT$7)),$AT$6,IF(OR(COUNTIF('1.연간시수표'!AI63,$AU$9),COUNTIF('1.연간시수표'!AI63,$AU$7)),$AU$6,IF(OR(COUNTIF('1.연간시수표'!AI63,$AV$9),COUNTIF('1.연간시수표'!AI63,$AV$7)),$AV$6,IF(OR(COUNTIF('1.연간시수표'!AI63,$AW$9),COUNTIF('1.연간시수표'!AI63,$AW$7)),$AW$6,IF(OR(COUNTIF('1.연간시수표'!AI63,$AX$9),COUNTIF('1.연간시수표'!AI63,$AX$7)),$AX$6,IF(OR(COUNTIF('1.연간시수표'!AI63,$AY$9),COUNTIF('1.연간시수표'!AI63,$AY$7)),$AY$6,IF(OR(COUNTIF('1.연간시수표'!AI63,$AZ$9),COUNTIF('1.연간시수표'!AI63,$AZ$7)),$AZ$6,IF(OR(COUNTIF('1.연간시수표'!AI63,$BA$9),COUNTIF('1.연간시수표'!AI63,$BA$7)),$BA$6,IF(OR(COUNTIF('1.연간시수표'!AI63,$BB$9),COUNTIF('1.연간시수표'!AI63,$BB$7)),$BB$6,IF(OR(COUNTIF('1.연간시수표'!AI63,$BC$9),COUNTIF('1.연간시수표'!AI63,$BC$7)),$BC$6,IF(OR(COUNTIF('1.연간시수표'!AI63,$BF$9),COUNTIF('1.연간시수표'!AI63,$BF$7),COUNTIF('1.연간시수표'!AI63,$BG$9),COUNTIF('1.연간시수표'!AI63,$BG$7),COUNTIF('1.연간시수표'!AI63,$BH$9),COUNTIF('1.연간시수표'!AI63,$BH$7),COUNTIF('1.연간시수표'!AI63,$BI$9),COUNTIF('1.연간시수표'!AI63,$BI$7),COUNTIF('1.연간시수표'!AI63,$BJ$9),COUNTIF('1.연간시수표'!AI63,$BJ$7),COUNTIF('1.연간시수표'!AI63,$BK$9),COUNTIF('1.연간시수표'!AI63,$BK$7),COUNTIF('1.연간시수표'!AI63,$BL$9),COUNTIF('1.연간시수표'!AI63,$BL$7),COUNTIF('1.연간시수표'!AI63,$BM$9),COUNTIF('1.연간시수표'!AI63,$BM$7)),$BF$6,IF(OR(COUNTIF('1.연간시수표'!AI63,$BO$9),COUNTIF('1.연간시수표'!AI63,$BO$7)),$BO$6,IF(OR(COUNTIF('1.연간시수표'!AI63,$BP$9),COUNTIF('1.연간시수표'!AI63,$BP$7)),$BP$6,IF(OR(COUNTIF('1.연간시수표'!AI63,$BQ$9),COUNTIF('1.연간시수표'!AI63,$BQ$7)),$BQ$6,IF(OR(COUNTIF('1.연간시수표'!AI63,$BR$9),COUNTIF('1.연간시수표'!AI63,$BR$7)),$BR$6,"_")))))))))))))))</f>
        <v>_</v>
      </c>
      <c r="AJ63" s="148" t="str">
        <f>IF(OR(COUNTIF('1.연간시수표'!AJ63,$AT$9),COUNTIF('1.연간시수표'!AJ63,$AT$7)),$AT$6,IF(OR(COUNTIF('1.연간시수표'!AJ63,$AU$9),COUNTIF('1.연간시수표'!AJ63,$AU$7)),$AU$6,IF(OR(COUNTIF('1.연간시수표'!AJ63,$AV$9),COUNTIF('1.연간시수표'!AJ63,$AV$7)),$AV$6,IF(OR(COUNTIF('1.연간시수표'!AJ63,$AW$9),COUNTIF('1.연간시수표'!AJ63,$AW$7)),$AW$6,IF(OR(COUNTIF('1.연간시수표'!AJ63,$AX$9),COUNTIF('1.연간시수표'!AJ63,$AX$7)),$AX$6,IF(OR(COUNTIF('1.연간시수표'!AJ63,$AY$9),COUNTIF('1.연간시수표'!AJ63,$AY$7)),$AY$6,IF(OR(COUNTIF('1.연간시수표'!AJ63,$AZ$9),COUNTIF('1.연간시수표'!AJ63,$AZ$7)),$AZ$6,IF(OR(COUNTIF('1.연간시수표'!AJ63,$BA$9),COUNTIF('1.연간시수표'!AJ63,$BA$7)),$BA$6,IF(OR(COUNTIF('1.연간시수표'!AJ63,$BB$9),COUNTIF('1.연간시수표'!AJ63,$BB$7)),$BB$6,IF(OR(COUNTIF('1.연간시수표'!AJ63,$BC$9),COUNTIF('1.연간시수표'!AJ63,$BC$7)),$BC$6,IF(OR(COUNTIF('1.연간시수표'!AJ63,$BF$9),COUNTIF('1.연간시수표'!AJ63,$BF$7),COUNTIF('1.연간시수표'!AJ63,$BG$9),COUNTIF('1.연간시수표'!AJ63,$BG$7),COUNTIF('1.연간시수표'!AJ63,$BH$9),COUNTIF('1.연간시수표'!AJ63,$BH$7),COUNTIF('1.연간시수표'!AJ63,$BI$9),COUNTIF('1.연간시수표'!AJ63,$BI$7),COUNTIF('1.연간시수표'!AJ63,$BJ$9),COUNTIF('1.연간시수표'!AJ63,$BJ$7),COUNTIF('1.연간시수표'!AJ63,$BK$9),COUNTIF('1.연간시수표'!AJ63,$BK$7),COUNTIF('1.연간시수표'!AJ63,$BL$9),COUNTIF('1.연간시수표'!AJ63,$BL$7),COUNTIF('1.연간시수표'!AJ63,$BM$9),COUNTIF('1.연간시수표'!AJ63,$BM$7)),$BF$6,IF(OR(COUNTIF('1.연간시수표'!AJ63,$BO$9),COUNTIF('1.연간시수표'!AJ63,$BO$7)),$BO$6,IF(OR(COUNTIF('1.연간시수표'!AJ63,$BP$9),COUNTIF('1.연간시수표'!AJ63,$BP$7)),$BP$6,IF(OR(COUNTIF('1.연간시수표'!AJ63,$BQ$9),COUNTIF('1.연간시수표'!AJ63,$BQ$7)),$BQ$6,IF(OR(COUNTIF('1.연간시수표'!AJ63,$BR$9),COUNTIF('1.연간시수표'!AJ63,$BR$7)),$BR$6,"_")))))))))))))))</f>
        <v>_</v>
      </c>
      <c r="AK63" s="148" t="str">
        <f>IF(OR(COUNTIF('1.연간시수표'!AK63,$AT$9),COUNTIF('1.연간시수표'!AK63,$AT$7)),$AT$6,IF(OR(COUNTIF('1.연간시수표'!AK63,$AU$9),COUNTIF('1.연간시수표'!AK63,$AU$7)),$AU$6,IF(OR(COUNTIF('1.연간시수표'!AK63,$AV$9),COUNTIF('1.연간시수표'!AK63,$AV$7)),$AV$6,IF(OR(COUNTIF('1.연간시수표'!AK63,$AW$9),COUNTIF('1.연간시수표'!AK63,$AW$7)),$AW$6,IF(OR(COUNTIF('1.연간시수표'!AK63,$AX$9),COUNTIF('1.연간시수표'!AK63,$AX$7)),$AX$6,IF(OR(COUNTIF('1.연간시수표'!AK63,$AY$9),COUNTIF('1.연간시수표'!AK63,$AY$7)),$AY$6,IF(OR(COUNTIF('1.연간시수표'!AK63,$AZ$9),COUNTIF('1.연간시수표'!AK63,$AZ$7)),$AZ$6,IF(OR(COUNTIF('1.연간시수표'!AK63,$BA$9),COUNTIF('1.연간시수표'!AK63,$BA$7)),$BA$6,IF(OR(COUNTIF('1.연간시수표'!AK63,$BB$9),COUNTIF('1.연간시수표'!AK63,$BB$7)),$BB$6,IF(OR(COUNTIF('1.연간시수표'!AK63,$BC$9),COUNTIF('1.연간시수표'!AK63,$BC$7)),$BC$6,IF(OR(COUNTIF('1.연간시수표'!AK63,$BF$9),COUNTIF('1.연간시수표'!AK63,$BF$7),COUNTIF('1.연간시수표'!AK63,$BG$9),COUNTIF('1.연간시수표'!AK63,$BG$7),COUNTIF('1.연간시수표'!AK63,$BH$9),COUNTIF('1.연간시수표'!AK63,$BH$7),COUNTIF('1.연간시수표'!AK63,$BI$9),COUNTIF('1.연간시수표'!AK63,$BI$7),COUNTIF('1.연간시수표'!AK63,$BJ$9),COUNTIF('1.연간시수표'!AK63,$BJ$7),COUNTIF('1.연간시수표'!AK63,$BK$9),COUNTIF('1.연간시수표'!AK63,$BK$7),COUNTIF('1.연간시수표'!AK63,$BL$9),COUNTIF('1.연간시수표'!AK63,$BL$7),COUNTIF('1.연간시수표'!AK63,$BM$9),COUNTIF('1.연간시수표'!AK63,$BM$7)),$BF$6,IF(OR(COUNTIF('1.연간시수표'!AK63,$BO$9),COUNTIF('1.연간시수표'!AK63,$BO$7)),$BO$6,IF(OR(COUNTIF('1.연간시수표'!AK63,$BP$9),COUNTIF('1.연간시수표'!AK63,$BP$7)),$BP$6,IF(OR(COUNTIF('1.연간시수표'!AK63,$BQ$9),COUNTIF('1.연간시수표'!AK63,$BQ$7)),$BQ$6,IF(OR(COUNTIF('1.연간시수표'!AK63,$BR$9),COUNTIF('1.연간시수표'!AK63,$BR$7)),$BR$6,"_")))))))))))))))</f>
        <v>국어</v>
      </c>
      <c r="AL63" s="148" t="str">
        <f>IF(OR(COUNTIF('1.연간시수표'!AL63,$AT$9),COUNTIF('1.연간시수표'!AL63,$AT$7)),$AT$6,IF(OR(COUNTIF('1.연간시수표'!AL63,$AU$9),COUNTIF('1.연간시수표'!AL63,$AU$7)),$AU$6,IF(OR(COUNTIF('1.연간시수표'!AL63,$AV$9),COUNTIF('1.연간시수표'!AL63,$AV$7)),$AV$6,IF(OR(COUNTIF('1.연간시수표'!AL63,$AW$9),COUNTIF('1.연간시수표'!AL63,$AW$7)),$AW$6,IF(OR(COUNTIF('1.연간시수표'!AL63,$AX$9),COUNTIF('1.연간시수표'!AL63,$AX$7)),$AX$6,IF(OR(COUNTIF('1.연간시수표'!AL63,$AY$9),COUNTIF('1.연간시수표'!AL63,$AY$7)),$AY$6,IF(OR(COUNTIF('1.연간시수표'!AL63,$AZ$9),COUNTIF('1.연간시수표'!AL63,$AZ$7)),$AZ$6,IF(OR(COUNTIF('1.연간시수표'!AL63,$BA$9),COUNTIF('1.연간시수표'!AL63,$BA$7)),$BA$6,IF(OR(COUNTIF('1.연간시수표'!AL63,$BB$9),COUNTIF('1.연간시수표'!AL63,$BB$7)),$BB$6,IF(OR(COUNTIF('1.연간시수표'!AL63,$BC$9),COUNTIF('1.연간시수표'!AL63,$BC$7)),$BC$6,IF(OR(COUNTIF('1.연간시수표'!AL63,$BF$9),COUNTIF('1.연간시수표'!AL63,$BF$7),COUNTIF('1.연간시수표'!AL63,$BG$9),COUNTIF('1.연간시수표'!AL63,$BG$7),COUNTIF('1.연간시수표'!AL63,$BH$9),COUNTIF('1.연간시수표'!AL63,$BH$7),COUNTIF('1.연간시수표'!AL63,$BI$9),COUNTIF('1.연간시수표'!AL63,$BI$7),COUNTIF('1.연간시수표'!AL63,$BJ$9),COUNTIF('1.연간시수표'!AL63,$BJ$7),COUNTIF('1.연간시수표'!AL63,$BK$9),COUNTIF('1.연간시수표'!AL63,$BK$7),COUNTIF('1.연간시수표'!AL63,$BL$9),COUNTIF('1.연간시수표'!AL63,$BL$7),COUNTIF('1.연간시수표'!AL63,$BM$9),COUNTIF('1.연간시수표'!AL63,$BM$7)),$BF$6,IF(OR(COUNTIF('1.연간시수표'!AL63,$BO$9),COUNTIF('1.연간시수표'!AL63,$BO$7)),$BO$6,IF(OR(COUNTIF('1.연간시수표'!AL63,$BP$9),COUNTIF('1.연간시수표'!AL63,$BP$7)),$BP$6,IF(OR(COUNTIF('1.연간시수표'!AL63,$BQ$9),COUNTIF('1.연간시수표'!AL63,$BQ$7)),$BQ$6,IF(OR(COUNTIF('1.연간시수표'!AL63,$BR$9),COUNTIF('1.연간시수표'!AL63,$BR$7)),$BR$6,"_")))))))))))))))</f>
        <v>체육</v>
      </c>
      <c r="AM63" s="148" t="str">
        <f>IF(OR(COUNTIF('1.연간시수표'!AM63,$AT$9),COUNTIF('1.연간시수표'!AM63,$AT$7)),$AT$6,IF(OR(COUNTIF('1.연간시수표'!AM63,$AU$9),COUNTIF('1.연간시수표'!AM63,$AU$7)),$AU$6,IF(OR(COUNTIF('1.연간시수표'!AM63,$AV$9),COUNTIF('1.연간시수표'!AM63,$AV$7)),$AV$6,IF(OR(COUNTIF('1.연간시수표'!AM63,$AW$9),COUNTIF('1.연간시수표'!AM63,$AW$7)),$AW$6,IF(OR(COUNTIF('1.연간시수표'!AM63,$AX$9),COUNTIF('1.연간시수표'!AM63,$AX$7)),$AX$6,IF(OR(COUNTIF('1.연간시수표'!AM63,$AY$9),COUNTIF('1.연간시수표'!AM63,$AY$7)),$AY$6,IF(OR(COUNTIF('1.연간시수표'!AM63,$AZ$9),COUNTIF('1.연간시수표'!AM63,$AZ$7)),$AZ$6,IF(OR(COUNTIF('1.연간시수표'!AM63,$BA$9),COUNTIF('1.연간시수표'!AM63,$BA$7)),$BA$6,IF(OR(COUNTIF('1.연간시수표'!AM63,$BB$9),COUNTIF('1.연간시수표'!AM63,$BB$7)),$BB$6,IF(OR(COUNTIF('1.연간시수표'!AM63,$BC$9),COUNTIF('1.연간시수표'!AM63,$BC$7)),$BC$6,IF(OR(COUNTIF('1.연간시수표'!AM63,$BF$9),COUNTIF('1.연간시수표'!AM63,$BF$7),COUNTIF('1.연간시수표'!AM63,$BG$9),COUNTIF('1.연간시수표'!AM63,$BG$7),COUNTIF('1.연간시수표'!AM63,$BH$9),COUNTIF('1.연간시수표'!AM63,$BH$7),COUNTIF('1.연간시수표'!AM63,$BI$9),COUNTIF('1.연간시수표'!AM63,$BI$7),COUNTIF('1.연간시수표'!AM63,$BJ$9),COUNTIF('1.연간시수표'!AM63,$BJ$7),COUNTIF('1.연간시수표'!AM63,$BK$9),COUNTIF('1.연간시수표'!AM63,$BK$7),COUNTIF('1.연간시수표'!AM63,$BL$9),COUNTIF('1.연간시수표'!AM63,$BL$7),COUNTIF('1.연간시수표'!AM63,$BM$9),COUNTIF('1.연간시수표'!AM63,$BM$7)),$BF$6,IF(OR(COUNTIF('1.연간시수표'!AM63,$BO$9),COUNTIF('1.연간시수표'!AM63,$BO$7)),$BO$6,IF(OR(COUNTIF('1.연간시수표'!AM63,$BP$9),COUNTIF('1.연간시수표'!AM63,$BP$7)),$BP$6,IF(OR(COUNTIF('1.연간시수표'!AM63,$BQ$9),COUNTIF('1.연간시수표'!AM63,$BQ$7)),$BQ$6,IF(OR(COUNTIF('1.연간시수표'!AM63,$BR$9),COUNTIF('1.연간시수표'!AM63,$BR$7)),$BR$6,"_")))))))))))))))</f>
        <v>수학</v>
      </c>
      <c r="AN63" s="148" t="str">
        <f>IF(OR(COUNTIF('1.연간시수표'!AN63,$AT$9),COUNTIF('1.연간시수표'!AN63,$AT$7)),$AT$6,IF(OR(COUNTIF('1.연간시수표'!AN63,$AU$9),COUNTIF('1.연간시수표'!AN63,$AU$7)),$AU$6,IF(OR(COUNTIF('1.연간시수표'!AN63,$AV$9),COUNTIF('1.연간시수표'!AN63,$AV$7)),$AV$6,IF(OR(COUNTIF('1.연간시수표'!AN63,$AW$9),COUNTIF('1.연간시수표'!AN63,$AW$7)),$AW$6,IF(OR(COUNTIF('1.연간시수표'!AN63,$AX$9),COUNTIF('1.연간시수표'!AN63,$AX$7)),$AX$6,IF(OR(COUNTIF('1.연간시수표'!AN63,$AY$9),COUNTIF('1.연간시수표'!AN63,$AY$7)),$AY$6,IF(OR(COUNTIF('1.연간시수표'!AN63,$AZ$9),COUNTIF('1.연간시수표'!AN63,$AZ$7)),$AZ$6,IF(OR(COUNTIF('1.연간시수표'!AN63,$BA$9),COUNTIF('1.연간시수표'!AN63,$BA$7)),$BA$6,IF(OR(COUNTIF('1.연간시수표'!AN63,$BB$9),COUNTIF('1.연간시수표'!AN63,$BB$7)),$BB$6,IF(OR(COUNTIF('1.연간시수표'!AN63,$BC$9),COUNTIF('1.연간시수표'!AN63,$BC$7)),$BC$6,IF(OR(COUNTIF('1.연간시수표'!AN63,$BF$9),COUNTIF('1.연간시수표'!AN63,$BF$7),COUNTIF('1.연간시수표'!AN63,$BG$9),COUNTIF('1.연간시수표'!AN63,$BG$7),COUNTIF('1.연간시수표'!AN63,$BH$9),COUNTIF('1.연간시수표'!AN63,$BH$7),COUNTIF('1.연간시수표'!AN63,$BI$9),COUNTIF('1.연간시수표'!AN63,$BI$7),COUNTIF('1.연간시수표'!AN63,$BJ$9),COUNTIF('1.연간시수표'!AN63,$BJ$7),COUNTIF('1.연간시수표'!AN63,$BK$9),COUNTIF('1.연간시수표'!AN63,$BK$7),COUNTIF('1.연간시수표'!AN63,$BL$9),COUNTIF('1.연간시수표'!AN63,$BL$7),COUNTIF('1.연간시수표'!AN63,$BM$9),COUNTIF('1.연간시수표'!AN63,$BM$7)),$BF$6,IF(OR(COUNTIF('1.연간시수표'!AN63,$BO$9),COUNTIF('1.연간시수표'!AN63,$BO$7)),$BO$6,IF(OR(COUNTIF('1.연간시수표'!AN63,$BP$9),COUNTIF('1.연간시수표'!AN63,$BP$7)),$BP$6,IF(OR(COUNTIF('1.연간시수표'!AN63,$BQ$9),COUNTIF('1.연간시수표'!AN63,$BQ$7)),$BQ$6,IF(OR(COUNTIF('1.연간시수표'!AN63,$BR$9),COUNTIF('1.연간시수표'!AN63,$BR$7)),$BR$6,"_")))))))))))))))</f>
        <v>국어</v>
      </c>
      <c r="AO63" s="148" t="str">
        <f>IF(OR(COUNTIF('1.연간시수표'!AO63,$AT$9),COUNTIF('1.연간시수표'!AO63,$AT$7)),$AT$6,IF(OR(COUNTIF('1.연간시수표'!AO63,$AU$9),COUNTIF('1.연간시수표'!AO63,$AU$7)),$AU$6,IF(OR(COUNTIF('1.연간시수표'!AO63,$AV$9),COUNTIF('1.연간시수표'!AO63,$AV$7)),$AV$6,IF(OR(COUNTIF('1.연간시수표'!AO63,$AW$9),COUNTIF('1.연간시수표'!AO63,$AW$7)),$AW$6,IF(OR(COUNTIF('1.연간시수표'!AO63,$AX$9),COUNTIF('1.연간시수표'!AO63,$AX$7)),$AX$6,IF(OR(COUNTIF('1.연간시수표'!AO63,$AY$9),COUNTIF('1.연간시수표'!AO63,$AY$7)),$AY$6,IF(OR(COUNTIF('1.연간시수표'!AO63,$AZ$9),COUNTIF('1.연간시수표'!AO63,$AZ$7)),$AZ$6,IF(OR(COUNTIF('1.연간시수표'!AO63,$BA$9),COUNTIF('1.연간시수표'!AO63,$BA$7)),$BA$6,IF(OR(COUNTIF('1.연간시수표'!AO63,$BB$9),COUNTIF('1.연간시수표'!AO63,$BB$7)),$BB$6,IF(OR(COUNTIF('1.연간시수표'!AO63,$BC$9),COUNTIF('1.연간시수표'!AO63,$BC$7)),$BC$6,IF(OR(COUNTIF('1.연간시수표'!AO63,$BF$9),COUNTIF('1.연간시수표'!AO63,$BF$7),COUNTIF('1.연간시수표'!AO63,$BG$9),COUNTIF('1.연간시수표'!AO63,$BG$7),COUNTIF('1.연간시수표'!AO63,$BH$9),COUNTIF('1.연간시수표'!AO63,$BH$7),COUNTIF('1.연간시수표'!AO63,$BI$9),COUNTIF('1.연간시수표'!AO63,$BI$7),COUNTIF('1.연간시수표'!AO63,$BJ$9),COUNTIF('1.연간시수표'!AO63,$BJ$7),COUNTIF('1.연간시수표'!AO63,$BK$9),COUNTIF('1.연간시수표'!AO63,$BK$7),COUNTIF('1.연간시수표'!AO63,$BL$9),COUNTIF('1.연간시수표'!AO63,$BL$7),COUNTIF('1.연간시수표'!AO63,$BM$9),COUNTIF('1.연간시수표'!AO63,$BM$7)),$BF$6,IF(OR(COUNTIF('1.연간시수표'!AO63,$BO$9),COUNTIF('1.연간시수표'!AO63,$BO$7)),$BO$6,IF(OR(COUNTIF('1.연간시수표'!AO63,$BP$9),COUNTIF('1.연간시수표'!AO63,$BP$7)),$BP$6,IF(OR(COUNTIF('1.연간시수표'!AO63,$BQ$9),COUNTIF('1.연간시수표'!AO63,$BQ$7)),$BQ$6,IF(OR(COUNTIF('1.연간시수표'!AO63,$BR$9),COUNTIF('1.연간시수표'!AO63,$BR$7)),$BR$6,"_")))))))))))))))</f>
        <v>사회</v>
      </c>
      <c r="AP63" s="148" t="str">
        <f>IF(OR(COUNTIF('1.연간시수표'!AP63,$AT$9),COUNTIF('1.연간시수표'!AP63,$AT$7)),$AT$6,IF(OR(COUNTIF('1.연간시수표'!AP63,$AU$9),COUNTIF('1.연간시수표'!AP63,$AU$7)),$AU$6,IF(OR(COUNTIF('1.연간시수표'!AP63,$AV$9),COUNTIF('1.연간시수표'!AP63,$AV$7)),$AV$6,IF(OR(COUNTIF('1.연간시수표'!AP63,$AW$9),COUNTIF('1.연간시수표'!AP63,$AW$7)),$AW$6,IF(OR(COUNTIF('1.연간시수표'!AP63,$AX$9),COUNTIF('1.연간시수표'!AP63,$AX$7)),$AX$6,IF(OR(COUNTIF('1.연간시수표'!AP63,$AY$9),COUNTIF('1.연간시수표'!AP63,$AY$7)),$AY$6,IF(OR(COUNTIF('1.연간시수표'!AP63,$AZ$9),COUNTIF('1.연간시수표'!AP63,$AZ$7)),$AZ$6,IF(OR(COUNTIF('1.연간시수표'!AP63,$BA$9),COUNTIF('1.연간시수표'!AP63,$BA$7)),$BA$6,IF(OR(COUNTIF('1.연간시수표'!AP63,$BB$9),COUNTIF('1.연간시수표'!AP63,$BB$7)),$BB$6,IF(OR(COUNTIF('1.연간시수표'!AP63,$BC$9),COUNTIF('1.연간시수표'!AP63,$BC$7)),$BC$6,IF(OR(COUNTIF('1.연간시수표'!AP63,$BF$9),COUNTIF('1.연간시수표'!AP63,$BF$7),COUNTIF('1.연간시수표'!AP63,$BG$9),COUNTIF('1.연간시수표'!AP63,$BG$7),COUNTIF('1.연간시수표'!AP63,$BH$9),COUNTIF('1.연간시수표'!AP63,$BH$7),COUNTIF('1.연간시수표'!AP63,$BI$9),COUNTIF('1.연간시수표'!AP63,$BI$7),COUNTIF('1.연간시수표'!AP63,$BJ$9),COUNTIF('1.연간시수표'!AP63,$BJ$7),COUNTIF('1.연간시수표'!AP63,$BK$9),COUNTIF('1.연간시수표'!AP63,$BK$7),COUNTIF('1.연간시수표'!AP63,$BL$9),COUNTIF('1.연간시수표'!AP63,$BL$7),COUNTIF('1.연간시수표'!AP63,$BM$9),COUNTIF('1.연간시수표'!AP63,$BM$7)),$BF$6,IF(OR(COUNTIF('1.연간시수표'!AP63,$BO$9),COUNTIF('1.연간시수표'!AP63,$BO$7)),$BO$6,IF(OR(COUNTIF('1.연간시수표'!AP63,$BP$9),COUNTIF('1.연간시수표'!AP63,$BP$7)),$BP$6,IF(OR(COUNTIF('1.연간시수표'!AP63,$BQ$9),COUNTIF('1.연간시수표'!AP63,$BQ$7)),$BQ$6,IF(OR(COUNTIF('1.연간시수표'!AP63,$BR$9),COUNTIF('1.연간시수표'!AP63,$BR$7)),$BR$6,"_")))))))))))))))</f>
        <v>실과</v>
      </c>
      <c r="AQ63" s="148" t="str">
        <f>IF(OR(COUNTIF('1.연간시수표'!AQ63,$AT$9),COUNTIF('1.연간시수표'!AQ63,$AT$7)),$AT$6,IF(OR(COUNTIF('1.연간시수표'!AQ63,$AU$9),COUNTIF('1.연간시수표'!AQ63,$AU$7)),$AU$6,IF(OR(COUNTIF('1.연간시수표'!AQ63,$AV$9),COUNTIF('1.연간시수표'!AQ63,$AV$7)),$AV$6,IF(OR(COUNTIF('1.연간시수표'!AQ63,$AW$9),COUNTIF('1.연간시수표'!AQ63,$AW$7)),$AW$6,IF(OR(COUNTIF('1.연간시수표'!AQ63,$AX$9),COUNTIF('1.연간시수표'!AQ63,$AX$7)),$AX$6,IF(OR(COUNTIF('1.연간시수표'!AQ63,$AY$9),COUNTIF('1.연간시수표'!AQ63,$AY$7)),$AY$6,IF(OR(COUNTIF('1.연간시수표'!AQ63,$AZ$9),COUNTIF('1.연간시수표'!AQ63,$AZ$7)),$AZ$6,IF(OR(COUNTIF('1.연간시수표'!AQ63,$BA$9),COUNTIF('1.연간시수표'!AQ63,$BA$7)),$BA$6,IF(OR(COUNTIF('1.연간시수표'!AQ63,$BB$9),COUNTIF('1.연간시수표'!AQ63,$BB$7)),$BB$6,IF(OR(COUNTIF('1.연간시수표'!AQ63,$BC$9),COUNTIF('1.연간시수표'!AQ63,$BC$7)),$BC$6,IF(OR(COUNTIF('1.연간시수표'!AQ63,$BF$9),COUNTIF('1.연간시수표'!AQ63,$BF$7),COUNTIF('1.연간시수표'!AQ63,$BG$9),COUNTIF('1.연간시수표'!AQ63,$BG$7),COUNTIF('1.연간시수표'!AQ63,$BH$9),COUNTIF('1.연간시수표'!AQ63,$BH$7),COUNTIF('1.연간시수표'!AQ63,$BI$9),COUNTIF('1.연간시수표'!AQ63,$BI$7),COUNTIF('1.연간시수표'!AQ63,$BJ$9),COUNTIF('1.연간시수표'!AQ63,$BJ$7),COUNTIF('1.연간시수표'!AQ63,$BK$9),COUNTIF('1.연간시수표'!AQ63,$BK$7),COUNTIF('1.연간시수표'!AQ63,$BL$9),COUNTIF('1.연간시수표'!AQ63,$BL$7),COUNTIF('1.연간시수표'!AQ63,$BM$9),COUNTIF('1.연간시수표'!AQ63,$BM$7)),$BF$6,IF(OR(COUNTIF('1.연간시수표'!AQ63,$BO$9),COUNTIF('1.연간시수표'!AQ63,$BO$7)),$BO$6,IF(OR(COUNTIF('1.연간시수표'!AQ63,$BP$9),COUNTIF('1.연간시수표'!AQ63,$BP$7)),$BP$6,IF(OR(COUNTIF('1.연간시수표'!AQ63,$BQ$9),COUNTIF('1.연간시수표'!AQ63,$BQ$7)),$BQ$6,IF(OR(COUNTIF('1.연간시수표'!AQ63,$BR$9),COUNTIF('1.연간시수표'!AQ63,$BR$7)),$BR$6,"_")))))))))))))))</f>
        <v>_</v>
      </c>
      <c r="AR63" s="148" t="str">
        <f>IF(OR(COUNTIF('1.연간시수표'!AR63,$AT$9),COUNTIF('1.연간시수표'!AR63,$AT$7)),$AT$6,IF(OR(COUNTIF('1.연간시수표'!AR63,$AU$9),COUNTIF('1.연간시수표'!AR63,$AU$7)),$AU$6,IF(OR(COUNTIF('1.연간시수표'!AR63,$AV$9),COUNTIF('1.연간시수표'!AR63,$AV$7)),$AV$6,IF(OR(COUNTIF('1.연간시수표'!AR63,$AW$9),COUNTIF('1.연간시수표'!AR63,$AW$7)),$AW$6,IF(OR(COUNTIF('1.연간시수표'!AR63,$AX$9),COUNTIF('1.연간시수표'!AR63,$AX$7)),$AX$6,IF(OR(COUNTIF('1.연간시수표'!AR63,$AY$9),COUNTIF('1.연간시수표'!AR63,$AY$7)),$AY$6,IF(OR(COUNTIF('1.연간시수표'!AR63,$AZ$9),COUNTIF('1.연간시수표'!AR63,$AZ$7)),$AZ$6,IF(OR(COUNTIF('1.연간시수표'!AR63,$BA$9),COUNTIF('1.연간시수표'!AR63,$BA$7)),$BA$6,IF(OR(COUNTIF('1.연간시수표'!AR63,$BB$9),COUNTIF('1.연간시수표'!AR63,$BB$7)),$BB$6,IF(OR(COUNTIF('1.연간시수표'!AR63,$BC$9),COUNTIF('1.연간시수표'!AR63,$BC$7)),$BC$6,IF(OR(COUNTIF('1.연간시수표'!AR63,$BF$9),COUNTIF('1.연간시수표'!AR63,$BF$7),COUNTIF('1.연간시수표'!AR63,$BG$9),COUNTIF('1.연간시수표'!AR63,$BG$7),COUNTIF('1.연간시수표'!AR63,$BH$9),COUNTIF('1.연간시수표'!AR63,$BH$7),COUNTIF('1.연간시수표'!AR63,$BI$9),COUNTIF('1.연간시수표'!AR63,$BI$7),COUNTIF('1.연간시수표'!AR63,$BJ$9),COUNTIF('1.연간시수표'!AR63,$BJ$7),COUNTIF('1.연간시수표'!AR63,$BK$9),COUNTIF('1.연간시수표'!AR63,$BK$7),COUNTIF('1.연간시수표'!AR63,$BL$9),COUNTIF('1.연간시수표'!AR63,$BL$7),COUNTIF('1.연간시수표'!AR63,$BM$9),COUNTIF('1.연간시수표'!AR63,$BM$7)),$BF$6,IF(OR(COUNTIF('1.연간시수표'!AR63,$BO$9),COUNTIF('1.연간시수표'!AR63,$BO$7)),$BO$6,IF(OR(COUNTIF('1.연간시수표'!AR63,$BP$9),COUNTIF('1.연간시수표'!AR63,$BP$7)),$BP$6,IF(OR(COUNTIF('1.연간시수표'!AR63,$BQ$9),COUNTIF('1.연간시수표'!AR63,$BQ$7)),$BQ$6,IF(OR(COUNTIF('1.연간시수표'!AR63,$BR$9),COUNTIF('1.연간시수표'!AR63,$BR$7)),$BR$6,"_")))))))))))))))</f>
        <v>_</v>
      </c>
      <c r="BU63" s="32"/>
    </row>
    <row r="64" spans="2:73">
      <c r="B64" s="6"/>
      <c r="C64" s="79">
        <f>'1.연간시수표'!C64</f>
        <v>33</v>
      </c>
      <c r="D64" s="3"/>
      <c r="E64" s="148" t="str">
        <f>IF(OR(COUNTIF('1.연간시수표'!E64,$AT$9),COUNTIF('1.연간시수표'!E64,$AT$7)),$AT$6,IF(OR(COUNTIF('1.연간시수표'!E64,$AU$9),COUNTIF('1.연간시수표'!E64,$AU$7)),$AU$6,IF(OR(COUNTIF('1.연간시수표'!E64,$AV$9),COUNTIF('1.연간시수표'!E64,$AV$7)),$AV$6,IF(OR(COUNTIF('1.연간시수표'!E64,$AW$9),COUNTIF('1.연간시수표'!E64,$AW$7)),$AW$6,IF(OR(COUNTIF('1.연간시수표'!E64,$AX$9),COUNTIF('1.연간시수표'!E64,$AX$7)),$AX$6,IF(OR(COUNTIF('1.연간시수표'!E64,$AY$9),COUNTIF('1.연간시수표'!E64,$AY$7)),$AY$6,IF(OR(COUNTIF('1.연간시수표'!E64,$AZ$9),COUNTIF('1.연간시수표'!E64,$AZ$7)),$AZ$6,IF(OR(COUNTIF('1.연간시수표'!E64,$BA$9),COUNTIF('1.연간시수표'!E64,$BA$7)),$BA$6,IF(OR(COUNTIF('1.연간시수표'!E64,$BB$9),COUNTIF('1.연간시수표'!E64,$BB$7)),$BB$6,IF(OR(COUNTIF('1.연간시수표'!E64,$BC$9),COUNTIF('1.연간시수표'!E64,$BC$7)),$BC$6,IF(OR(COUNTIF('1.연간시수표'!E64,$BF$9),COUNTIF('1.연간시수표'!E64,$BF$7),COUNTIF('1.연간시수표'!E64,$BG$9),COUNTIF('1.연간시수표'!E64,$BG$7),COUNTIF('1.연간시수표'!E64,$BH$9),COUNTIF('1.연간시수표'!E64,$BH$7),COUNTIF('1.연간시수표'!E64,$BI$9),COUNTIF('1.연간시수표'!E64,$BI$7),COUNTIF('1.연간시수표'!E64,$BJ$9),COUNTIF('1.연간시수표'!E64,$BJ$7),COUNTIF('1.연간시수표'!E64,$BK$9),COUNTIF('1.연간시수표'!E64,$BK$7),COUNTIF('1.연간시수표'!E64,$BL$9),COUNTIF('1.연간시수표'!E64,$BL$7),COUNTIF('1.연간시수표'!E64,$BM$9),COUNTIF('1.연간시수표'!E64,$BM$7)),$BF$6,IF(OR(COUNTIF('1.연간시수표'!E64,$BO$9),COUNTIF('1.연간시수표'!E64,$BO$7)),$BO$6,IF(OR(COUNTIF('1.연간시수표'!E64,$BP$9),COUNTIF('1.연간시수표'!E64,$BP$7)),$BP$6,IF(OR(COUNTIF('1.연간시수표'!E64,$BQ$9),COUNTIF('1.연간시수표'!E64,$BQ$7)),$BQ$6,IF(OR(COUNTIF('1.연간시수표'!E64,$BR$9),COUNTIF('1.연간시수표'!E64,$BR$7)),$BR$6,"_")))))))))))))))</f>
        <v>국어</v>
      </c>
      <c r="F64" s="148" t="str">
        <f>IF(OR(COUNTIF('1.연간시수표'!F64,$AT$9),COUNTIF('1.연간시수표'!F64,$AT$7)),$AT$6,IF(OR(COUNTIF('1.연간시수표'!F64,$AU$9),COUNTIF('1.연간시수표'!F64,$AU$7)),$AU$6,IF(OR(COUNTIF('1.연간시수표'!F64,$AV$9),COUNTIF('1.연간시수표'!F64,$AV$7)),$AV$6,IF(OR(COUNTIF('1.연간시수표'!F64,$AW$9),COUNTIF('1.연간시수표'!F64,$AW$7)),$AW$6,IF(OR(COUNTIF('1.연간시수표'!F64,$AX$9),COUNTIF('1.연간시수표'!F64,$AX$7)),$AX$6,IF(OR(COUNTIF('1.연간시수표'!F64,$AY$9),COUNTIF('1.연간시수표'!F64,$AY$7)),$AY$6,IF(OR(COUNTIF('1.연간시수표'!F64,$AZ$9),COUNTIF('1.연간시수표'!F64,$AZ$7)),$AZ$6,IF(OR(COUNTIF('1.연간시수표'!F64,$BA$9),COUNTIF('1.연간시수표'!F64,$BA$7)),$BA$6,IF(OR(COUNTIF('1.연간시수표'!F64,$BB$9),COUNTIF('1.연간시수표'!F64,$BB$7)),$BB$6,IF(OR(COUNTIF('1.연간시수표'!F64,$BC$9),COUNTIF('1.연간시수표'!F64,$BC$7)),$BC$6,IF(OR(COUNTIF('1.연간시수표'!F64,$BF$9),COUNTIF('1.연간시수표'!F64,$BF$7),COUNTIF('1.연간시수표'!F64,$BG$9),COUNTIF('1.연간시수표'!F64,$BG$7),COUNTIF('1.연간시수표'!F64,$BH$9),COUNTIF('1.연간시수표'!F64,$BH$7),COUNTIF('1.연간시수표'!F64,$BI$9),COUNTIF('1.연간시수표'!F64,$BI$7),COUNTIF('1.연간시수표'!F64,$BJ$9),COUNTIF('1.연간시수표'!F64,$BJ$7),COUNTIF('1.연간시수표'!F64,$BK$9),COUNTIF('1.연간시수표'!F64,$BK$7),COUNTIF('1.연간시수표'!F64,$BL$9),COUNTIF('1.연간시수표'!F64,$BL$7),COUNTIF('1.연간시수표'!F64,$BM$9),COUNTIF('1.연간시수표'!F64,$BM$7)),$BF$6,IF(OR(COUNTIF('1.연간시수표'!F64,$BO$9),COUNTIF('1.연간시수표'!F64,$BO$7)),$BO$6,IF(OR(COUNTIF('1.연간시수표'!F64,$BP$9),COUNTIF('1.연간시수표'!F64,$BP$7)),$BP$6,IF(OR(COUNTIF('1.연간시수표'!F64,$BQ$9),COUNTIF('1.연간시수표'!F64,$BQ$7)),$BQ$6,IF(OR(COUNTIF('1.연간시수표'!F64,$BR$9),COUNTIF('1.연간시수표'!F64,$BR$7)),$BR$6,"_")))))))))))))))</f>
        <v>미술</v>
      </c>
      <c r="G64" s="148" t="str">
        <f>IF(OR(COUNTIF('1.연간시수표'!G64,$AT$9),COUNTIF('1.연간시수표'!G64,$AT$7)),$AT$6,IF(OR(COUNTIF('1.연간시수표'!G64,$AU$9),COUNTIF('1.연간시수표'!G64,$AU$7)),$AU$6,IF(OR(COUNTIF('1.연간시수표'!G64,$AV$9),COUNTIF('1.연간시수표'!G64,$AV$7)),$AV$6,IF(OR(COUNTIF('1.연간시수표'!G64,$AW$9),COUNTIF('1.연간시수표'!G64,$AW$7)),$AW$6,IF(OR(COUNTIF('1.연간시수표'!G64,$AX$9),COUNTIF('1.연간시수표'!G64,$AX$7)),$AX$6,IF(OR(COUNTIF('1.연간시수표'!G64,$AY$9),COUNTIF('1.연간시수표'!G64,$AY$7)),$AY$6,IF(OR(COUNTIF('1.연간시수표'!G64,$AZ$9),COUNTIF('1.연간시수표'!G64,$AZ$7)),$AZ$6,IF(OR(COUNTIF('1.연간시수표'!G64,$BA$9),COUNTIF('1.연간시수표'!G64,$BA$7)),$BA$6,IF(OR(COUNTIF('1.연간시수표'!G64,$BB$9),COUNTIF('1.연간시수표'!G64,$BB$7)),$BB$6,IF(OR(COUNTIF('1.연간시수표'!G64,$BC$9),COUNTIF('1.연간시수표'!G64,$BC$7)),$BC$6,IF(OR(COUNTIF('1.연간시수표'!G64,$BF$9),COUNTIF('1.연간시수표'!G64,$BF$7),COUNTIF('1.연간시수표'!G64,$BG$9),COUNTIF('1.연간시수표'!G64,$BG$7),COUNTIF('1.연간시수표'!G64,$BH$9),COUNTIF('1.연간시수표'!G64,$BH$7),COUNTIF('1.연간시수표'!G64,$BI$9),COUNTIF('1.연간시수표'!G64,$BI$7),COUNTIF('1.연간시수표'!G64,$BJ$9),COUNTIF('1.연간시수표'!G64,$BJ$7),COUNTIF('1.연간시수표'!G64,$BK$9),COUNTIF('1.연간시수표'!G64,$BK$7),COUNTIF('1.연간시수표'!G64,$BL$9),COUNTIF('1.연간시수표'!G64,$BL$7),COUNTIF('1.연간시수표'!G64,$BM$9),COUNTIF('1.연간시수표'!G64,$BM$7)),$BF$6,IF(OR(COUNTIF('1.연간시수표'!G64,$BO$9),COUNTIF('1.연간시수표'!G64,$BO$7)),$BO$6,IF(OR(COUNTIF('1.연간시수표'!G64,$BP$9),COUNTIF('1.연간시수표'!G64,$BP$7)),$BP$6,IF(OR(COUNTIF('1.연간시수표'!G64,$BQ$9),COUNTIF('1.연간시수표'!G64,$BQ$7)),$BQ$6,IF(OR(COUNTIF('1.연간시수표'!G64,$BR$9),COUNTIF('1.연간시수표'!G64,$BR$7)),$BR$6,"_")))))))))))))))</f>
        <v>미술</v>
      </c>
      <c r="H64" s="148" t="str">
        <f>IF(OR(COUNTIF('1.연간시수표'!H64,$AT$9),COUNTIF('1.연간시수표'!H64,$AT$7)),$AT$6,IF(OR(COUNTIF('1.연간시수표'!H64,$AU$9),COUNTIF('1.연간시수표'!H64,$AU$7)),$AU$6,IF(OR(COUNTIF('1.연간시수표'!H64,$AV$9),COUNTIF('1.연간시수표'!H64,$AV$7)),$AV$6,IF(OR(COUNTIF('1.연간시수표'!H64,$AW$9),COUNTIF('1.연간시수표'!H64,$AW$7)),$AW$6,IF(OR(COUNTIF('1.연간시수표'!H64,$AX$9),COUNTIF('1.연간시수표'!H64,$AX$7)),$AX$6,IF(OR(COUNTIF('1.연간시수표'!H64,$AY$9),COUNTIF('1.연간시수표'!H64,$AY$7)),$AY$6,IF(OR(COUNTIF('1.연간시수표'!H64,$AZ$9),COUNTIF('1.연간시수표'!H64,$AZ$7)),$AZ$6,IF(OR(COUNTIF('1.연간시수표'!H64,$BA$9),COUNTIF('1.연간시수표'!H64,$BA$7)),$BA$6,IF(OR(COUNTIF('1.연간시수표'!H64,$BB$9),COUNTIF('1.연간시수표'!H64,$BB$7)),$BB$6,IF(OR(COUNTIF('1.연간시수표'!H64,$BC$9),COUNTIF('1.연간시수표'!H64,$BC$7)),$BC$6,IF(OR(COUNTIF('1.연간시수표'!H64,$BF$9),COUNTIF('1.연간시수표'!H64,$BF$7),COUNTIF('1.연간시수표'!H64,$BG$9),COUNTIF('1.연간시수표'!H64,$BG$7),COUNTIF('1.연간시수표'!H64,$BH$9),COUNTIF('1.연간시수표'!H64,$BH$7),COUNTIF('1.연간시수표'!H64,$BI$9),COUNTIF('1.연간시수표'!H64,$BI$7),COUNTIF('1.연간시수표'!H64,$BJ$9),COUNTIF('1.연간시수표'!H64,$BJ$7),COUNTIF('1.연간시수표'!H64,$BK$9),COUNTIF('1.연간시수표'!H64,$BK$7),COUNTIF('1.연간시수표'!H64,$BL$9),COUNTIF('1.연간시수표'!H64,$BL$7),COUNTIF('1.연간시수표'!H64,$BM$9),COUNTIF('1.연간시수표'!H64,$BM$7)),$BF$6,IF(OR(COUNTIF('1.연간시수표'!H64,$BO$9),COUNTIF('1.연간시수표'!H64,$BO$7)),$BO$6,IF(OR(COUNTIF('1.연간시수표'!H64,$BP$9),COUNTIF('1.연간시수표'!H64,$BP$7)),$BP$6,IF(OR(COUNTIF('1.연간시수표'!H64,$BQ$9),COUNTIF('1.연간시수표'!H64,$BQ$7)),$BQ$6,IF(OR(COUNTIF('1.연간시수표'!H64,$BR$9),COUNTIF('1.연간시수표'!H64,$BR$7)),$BR$6,"_")))))))))))))))</f>
        <v>영어</v>
      </c>
      <c r="I64" s="148" t="str">
        <f>IF(OR(COUNTIF('1.연간시수표'!I64,$AT$9),COUNTIF('1.연간시수표'!I64,$AT$7)),$AT$6,IF(OR(COUNTIF('1.연간시수표'!I64,$AU$9),COUNTIF('1.연간시수표'!I64,$AU$7)),$AU$6,IF(OR(COUNTIF('1.연간시수표'!I64,$AV$9),COUNTIF('1.연간시수표'!I64,$AV$7)),$AV$6,IF(OR(COUNTIF('1.연간시수표'!I64,$AW$9),COUNTIF('1.연간시수표'!I64,$AW$7)),$AW$6,IF(OR(COUNTIF('1.연간시수표'!I64,$AX$9),COUNTIF('1.연간시수표'!I64,$AX$7)),$AX$6,IF(OR(COUNTIF('1.연간시수표'!I64,$AY$9),COUNTIF('1.연간시수표'!I64,$AY$7)),$AY$6,IF(OR(COUNTIF('1.연간시수표'!I64,$AZ$9),COUNTIF('1.연간시수표'!I64,$AZ$7)),$AZ$6,IF(OR(COUNTIF('1.연간시수표'!I64,$BA$9),COUNTIF('1.연간시수표'!I64,$BA$7)),$BA$6,IF(OR(COUNTIF('1.연간시수표'!I64,$BB$9),COUNTIF('1.연간시수표'!I64,$BB$7)),$BB$6,IF(OR(COUNTIF('1.연간시수표'!I64,$BC$9),COUNTIF('1.연간시수표'!I64,$BC$7)),$BC$6,IF(OR(COUNTIF('1.연간시수표'!I64,$BF$9),COUNTIF('1.연간시수표'!I64,$BF$7),COUNTIF('1.연간시수표'!I64,$BG$9),COUNTIF('1.연간시수표'!I64,$BG$7),COUNTIF('1.연간시수표'!I64,$BH$9),COUNTIF('1.연간시수표'!I64,$BH$7),COUNTIF('1.연간시수표'!I64,$BI$9),COUNTIF('1.연간시수표'!I64,$BI$7),COUNTIF('1.연간시수표'!I64,$BJ$9),COUNTIF('1.연간시수표'!I64,$BJ$7),COUNTIF('1.연간시수표'!I64,$BK$9),COUNTIF('1.연간시수표'!I64,$BK$7),COUNTIF('1.연간시수표'!I64,$BL$9),COUNTIF('1.연간시수표'!I64,$BL$7),COUNTIF('1.연간시수표'!I64,$BM$9),COUNTIF('1.연간시수표'!I64,$BM$7)),$BF$6,IF(OR(COUNTIF('1.연간시수표'!I64,$BO$9),COUNTIF('1.연간시수표'!I64,$BO$7)),$BO$6,IF(OR(COUNTIF('1.연간시수표'!I64,$BP$9),COUNTIF('1.연간시수표'!I64,$BP$7)),$BP$6,IF(OR(COUNTIF('1.연간시수표'!I64,$BQ$9),COUNTIF('1.연간시수표'!I64,$BQ$7)),$BQ$6,IF(OR(COUNTIF('1.연간시수표'!I64,$BR$9),COUNTIF('1.연간시수표'!I64,$BR$7)),$BR$6,"_")))))))))))))))</f>
        <v>수학</v>
      </c>
      <c r="J64" s="148" t="str">
        <f>IF(OR(COUNTIF('1.연간시수표'!J64,$AT$9),COUNTIF('1.연간시수표'!J64,$AT$7)),$AT$6,IF(OR(COUNTIF('1.연간시수표'!J64,$AU$9),COUNTIF('1.연간시수표'!J64,$AU$7)),$AU$6,IF(OR(COUNTIF('1.연간시수표'!J64,$AV$9),COUNTIF('1.연간시수표'!J64,$AV$7)),$AV$6,IF(OR(COUNTIF('1.연간시수표'!J64,$AW$9),COUNTIF('1.연간시수표'!J64,$AW$7)),$AW$6,IF(OR(COUNTIF('1.연간시수표'!J64,$AX$9),COUNTIF('1.연간시수표'!J64,$AX$7)),$AX$6,IF(OR(COUNTIF('1.연간시수표'!J64,$AY$9),COUNTIF('1.연간시수표'!J64,$AY$7)),$AY$6,IF(OR(COUNTIF('1.연간시수표'!J64,$AZ$9),COUNTIF('1.연간시수표'!J64,$AZ$7)),$AZ$6,IF(OR(COUNTIF('1.연간시수표'!J64,$BA$9),COUNTIF('1.연간시수표'!J64,$BA$7)),$BA$6,IF(OR(COUNTIF('1.연간시수표'!J64,$BB$9),COUNTIF('1.연간시수표'!J64,$BB$7)),$BB$6,IF(OR(COUNTIF('1.연간시수표'!J64,$BC$9),COUNTIF('1.연간시수표'!J64,$BC$7)),$BC$6,IF(OR(COUNTIF('1.연간시수표'!J64,$BF$9),COUNTIF('1.연간시수표'!J64,$BF$7),COUNTIF('1.연간시수표'!J64,$BG$9),COUNTIF('1.연간시수표'!J64,$BG$7),COUNTIF('1.연간시수표'!J64,$BH$9),COUNTIF('1.연간시수표'!J64,$BH$7),COUNTIF('1.연간시수표'!J64,$BI$9),COUNTIF('1.연간시수표'!J64,$BI$7),COUNTIF('1.연간시수표'!J64,$BJ$9),COUNTIF('1.연간시수표'!J64,$BJ$7),COUNTIF('1.연간시수표'!J64,$BK$9),COUNTIF('1.연간시수표'!J64,$BK$7),COUNTIF('1.연간시수표'!J64,$BL$9),COUNTIF('1.연간시수표'!J64,$BL$7),COUNTIF('1.연간시수표'!J64,$BM$9),COUNTIF('1.연간시수표'!J64,$BM$7)),$BF$6,IF(OR(COUNTIF('1.연간시수표'!J64,$BO$9),COUNTIF('1.연간시수표'!J64,$BO$7)),$BO$6,IF(OR(COUNTIF('1.연간시수표'!J64,$BP$9),COUNTIF('1.연간시수표'!J64,$BP$7)),$BP$6,IF(OR(COUNTIF('1.연간시수표'!J64,$BQ$9),COUNTIF('1.연간시수표'!J64,$BQ$7)),$BQ$6,IF(OR(COUNTIF('1.연간시수표'!J64,$BR$9),COUNTIF('1.연간시수표'!J64,$BR$7)),$BR$6,"_")))))))))))))))</f>
        <v>자율활동</v>
      </c>
      <c r="K64" s="148" t="str">
        <f>IF(OR(COUNTIF('1.연간시수표'!K64,$AT$9),COUNTIF('1.연간시수표'!K64,$AT$7)),$AT$6,IF(OR(COUNTIF('1.연간시수표'!K64,$AU$9),COUNTIF('1.연간시수표'!K64,$AU$7)),$AU$6,IF(OR(COUNTIF('1.연간시수표'!K64,$AV$9),COUNTIF('1.연간시수표'!K64,$AV$7)),$AV$6,IF(OR(COUNTIF('1.연간시수표'!K64,$AW$9),COUNTIF('1.연간시수표'!K64,$AW$7)),$AW$6,IF(OR(COUNTIF('1.연간시수표'!K64,$AX$9),COUNTIF('1.연간시수표'!K64,$AX$7)),$AX$6,IF(OR(COUNTIF('1.연간시수표'!K64,$AY$9),COUNTIF('1.연간시수표'!K64,$AY$7)),$AY$6,IF(OR(COUNTIF('1.연간시수표'!K64,$AZ$9),COUNTIF('1.연간시수표'!K64,$AZ$7)),$AZ$6,IF(OR(COUNTIF('1.연간시수표'!K64,$BA$9),COUNTIF('1.연간시수표'!K64,$BA$7)),$BA$6,IF(OR(COUNTIF('1.연간시수표'!K64,$BB$9),COUNTIF('1.연간시수표'!K64,$BB$7)),$BB$6,IF(OR(COUNTIF('1.연간시수표'!K64,$BC$9),COUNTIF('1.연간시수표'!K64,$BC$7)),$BC$6,IF(OR(COUNTIF('1.연간시수표'!K64,$BF$9),COUNTIF('1.연간시수표'!K64,$BF$7),COUNTIF('1.연간시수표'!K64,$BG$9),COUNTIF('1.연간시수표'!K64,$BG$7),COUNTIF('1.연간시수표'!K64,$BH$9),COUNTIF('1.연간시수표'!K64,$BH$7),COUNTIF('1.연간시수표'!K64,$BI$9),COUNTIF('1.연간시수표'!K64,$BI$7),COUNTIF('1.연간시수표'!K64,$BJ$9),COUNTIF('1.연간시수표'!K64,$BJ$7),COUNTIF('1.연간시수표'!K64,$BK$9),COUNTIF('1.연간시수표'!K64,$BK$7),COUNTIF('1.연간시수표'!K64,$BL$9),COUNTIF('1.연간시수표'!K64,$BL$7),COUNTIF('1.연간시수표'!K64,$BM$9),COUNTIF('1.연간시수표'!K64,$BM$7)),$BF$6,IF(OR(COUNTIF('1.연간시수표'!K64,$BO$9),COUNTIF('1.연간시수표'!K64,$BO$7)),$BO$6,IF(OR(COUNTIF('1.연간시수표'!K64,$BP$9),COUNTIF('1.연간시수표'!K64,$BP$7)),$BP$6,IF(OR(COUNTIF('1.연간시수표'!K64,$BQ$9),COUNTIF('1.연간시수표'!K64,$BQ$7)),$BQ$6,IF(OR(COUNTIF('1.연간시수표'!K64,$BR$9),COUNTIF('1.연간시수표'!K64,$BR$7)),$BR$6,"_")))))))))))))))</f>
        <v>_</v>
      </c>
      <c r="L64" s="148" t="str">
        <f>IF(OR(COUNTIF('1.연간시수표'!L64,$AT$9),COUNTIF('1.연간시수표'!L64,$AT$7)),$AT$6,IF(OR(COUNTIF('1.연간시수표'!L64,$AU$9),COUNTIF('1.연간시수표'!L64,$AU$7)),$AU$6,IF(OR(COUNTIF('1.연간시수표'!L64,$AV$9),COUNTIF('1.연간시수표'!L64,$AV$7)),$AV$6,IF(OR(COUNTIF('1.연간시수표'!L64,$AW$9),COUNTIF('1.연간시수표'!L64,$AW$7)),$AW$6,IF(OR(COUNTIF('1.연간시수표'!L64,$AX$9),COUNTIF('1.연간시수표'!L64,$AX$7)),$AX$6,IF(OR(COUNTIF('1.연간시수표'!L64,$AY$9),COUNTIF('1.연간시수표'!L64,$AY$7)),$AY$6,IF(OR(COUNTIF('1.연간시수표'!L64,$AZ$9),COUNTIF('1.연간시수표'!L64,$AZ$7)),$AZ$6,IF(OR(COUNTIF('1.연간시수표'!L64,$BA$9),COUNTIF('1.연간시수표'!L64,$BA$7)),$BA$6,IF(OR(COUNTIF('1.연간시수표'!L64,$BB$9),COUNTIF('1.연간시수표'!L64,$BB$7)),$BB$6,IF(OR(COUNTIF('1.연간시수표'!L64,$BC$9),COUNTIF('1.연간시수표'!L64,$BC$7)),$BC$6,IF(OR(COUNTIF('1.연간시수표'!L64,$BF$9),COUNTIF('1.연간시수표'!L64,$BF$7),COUNTIF('1.연간시수표'!L64,$BG$9),COUNTIF('1.연간시수표'!L64,$BG$7),COUNTIF('1.연간시수표'!L64,$BH$9),COUNTIF('1.연간시수표'!L64,$BH$7),COUNTIF('1.연간시수표'!L64,$BI$9),COUNTIF('1.연간시수표'!L64,$BI$7),COUNTIF('1.연간시수표'!L64,$BJ$9),COUNTIF('1.연간시수표'!L64,$BJ$7),COUNTIF('1.연간시수표'!L64,$BK$9),COUNTIF('1.연간시수표'!L64,$BK$7),COUNTIF('1.연간시수표'!L64,$BL$9),COUNTIF('1.연간시수표'!L64,$BL$7),COUNTIF('1.연간시수표'!L64,$BM$9),COUNTIF('1.연간시수표'!L64,$BM$7)),$BF$6,IF(OR(COUNTIF('1.연간시수표'!L64,$BO$9),COUNTIF('1.연간시수표'!L64,$BO$7)),$BO$6,IF(OR(COUNTIF('1.연간시수표'!L64,$BP$9),COUNTIF('1.연간시수표'!L64,$BP$7)),$BP$6,IF(OR(COUNTIF('1.연간시수표'!L64,$BQ$9),COUNTIF('1.연간시수표'!L64,$BQ$7)),$BQ$6,IF(OR(COUNTIF('1.연간시수표'!L64,$BR$9),COUNTIF('1.연간시수표'!L64,$BR$7)),$BR$6,"_")))))))))))))))</f>
        <v>_</v>
      </c>
      <c r="M64" s="148" t="str">
        <f>IF(OR(COUNTIF('1.연간시수표'!M64,$AT$9),COUNTIF('1.연간시수표'!M64,$AT$7)),$AT$6,IF(OR(COUNTIF('1.연간시수표'!M64,$AU$9),COUNTIF('1.연간시수표'!M64,$AU$7)),$AU$6,IF(OR(COUNTIF('1.연간시수표'!M64,$AV$9),COUNTIF('1.연간시수표'!M64,$AV$7)),$AV$6,IF(OR(COUNTIF('1.연간시수표'!M64,$AW$9),COUNTIF('1.연간시수표'!M64,$AW$7)),$AW$6,IF(OR(COUNTIF('1.연간시수표'!M64,$AX$9),COUNTIF('1.연간시수표'!M64,$AX$7)),$AX$6,IF(OR(COUNTIF('1.연간시수표'!M64,$AY$9),COUNTIF('1.연간시수표'!M64,$AY$7)),$AY$6,IF(OR(COUNTIF('1.연간시수표'!M64,$AZ$9),COUNTIF('1.연간시수표'!M64,$AZ$7)),$AZ$6,IF(OR(COUNTIF('1.연간시수표'!M64,$BA$9),COUNTIF('1.연간시수표'!M64,$BA$7)),$BA$6,IF(OR(COUNTIF('1.연간시수표'!M64,$BB$9),COUNTIF('1.연간시수표'!M64,$BB$7)),$BB$6,IF(OR(COUNTIF('1.연간시수표'!M64,$BC$9),COUNTIF('1.연간시수표'!M64,$BC$7)),$BC$6,IF(OR(COUNTIF('1.연간시수표'!M64,$BF$9),COUNTIF('1.연간시수표'!M64,$BF$7),COUNTIF('1.연간시수표'!M64,$BG$9),COUNTIF('1.연간시수표'!M64,$BG$7),COUNTIF('1.연간시수표'!M64,$BH$9),COUNTIF('1.연간시수표'!M64,$BH$7),COUNTIF('1.연간시수표'!M64,$BI$9),COUNTIF('1.연간시수표'!M64,$BI$7),COUNTIF('1.연간시수표'!M64,$BJ$9),COUNTIF('1.연간시수표'!M64,$BJ$7),COUNTIF('1.연간시수표'!M64,$BK$9),COUNTIF('1.연간시수표'!M64,$BK$7),COUNTIF('1.연간시수표'!M64,$BL$9),COUNTIF('1.연간시수표'!M64,$BL$7),COUNTIF('1.연간시수표'!M64,$BM$9),COUNTIF('1.연간시수표'!M64,$BM$7)),$BF$6,IF(OR(COUNTIF('1.연간시수표'!M64,$BO$9),COUNTIF('1.연간시수표'!M64,$BO$7)),$BO$6,IF(OR(COUNTIF('1.연간시수표'!M64,$BP$9),COUNTIF('1.연간시수표'!M64,$BP$7)),$BP$6,IF(OR(COUNTIF('1.연간시수표'!M64,$BQ$9),COUNTIF('1.연간시수표'!M64,$BQ$7)),$BQ$6,IF(OR(COUNTIF('1.연간시수표'!M64,$BR$9),COUNTIF('1.연간시수표'!M64,$BR$7)),$BR$6,"_")))))))))))))))</f>
        <v>진로활동</v>
      </c>
      <c r="N64" s="148" t="str">
        <f>IF(OR(COUNTIF('1.연간시수표'!N64,$AT$9),COUNTIF('1.연간시수표'!N64,$AT$7)),$AT$6,IF(OR(COUNTIF('1.연간시수표'!N64,$AU$9),COUNTIF('1.연간시수표'!N64,$AU$7)),$AU$6,IF(OR(COUNTIF('1.연간시수표'!N64,$AV$9),COUNTIF('1.연간시수표'!N64,$AV$7)),$AV$6,IF(OR(COUNTIF('1.연간시수표'!N64,$AW$9),COUNTIF('1.연간시수표'!N64,$AW$7)),$AW$6,IF(OR(COUNTIF('1.연간시수표'!N64,$AX$9),COUNTIF('1.연간시수표'!N64,$AX$7)),$AX$6,IF(OR(COUNTIF('1.연간시수표'!N64,$AY$9),COUNTIF('1.연간시수표'!N64,$AY$7)),$AY$6,IF(OR(COUNTIF('1.연간시수표'!N64,$AZ$9),COUNTIF('1.연간시수표'!N64,$AZ$7)),$AZ$6,IF(OR(COUNTIF('1.연간시수표'!N64,$BA$9),COUNTIF('1.연간시수표'!N64,$BA$7)),$BA$6,IF(OR(COUNTIF('1.연간시수표'!N64,$BB$9),COUNTIF('1.연간시수표'!N64,$BB$7)),$BB$6,IF(OR(COUNTIF('1.연간시수표'!N64,$BC$9),COUNTIF('1.연간시수표'!N64,$BC$7)),$BC$6,IF(OR(COUNTIF('1.연간시수표'!N64,$BF$9),COUNTIF('1.연간시수표'!N64,$BF$7),COUNTIF('1.연간시수표'!N64,$BG$9),COUNTIF('1.연간시수표'!N64,$BG$7),COUNTIF('1.연간시수표'!N64,$BH$9),COUNTIF('1.연간시수표'!N64,$BH$7),COUNTIF('1.연간시수표'!N64,$BI$9),COUNTIF('1.연간시수표'!N64,$BI$7),COUNTIF('1.연간시수표'!N64,$BJ$9),COUNTIF('1.연간시수표'!N64,$BJ$7),COUNTIF('1.연간시수표'!N64,$BK$9),COUNTIF('1.연간시수표'!N64,$BK$7),COUNTIF('1.연간시수표'!N64,$BL$9),COUNTIF('1.연간시수표'!N64,$BL$7),COUNTIF('1.연간시수표'!N64,$BM$9),COUNTIF('1.연간시수표'!N64,$BM$7)),$BF$6,IF(OR(COUNTIF('1.연간시수표'!N64,$BO$9),COUNTIF('1.연간시수표'!N64,$BO$7)),$BO$6,IF(OR(COUNTIF('1.연간시수표'!N64,$BP$9),COUNTIF('1.연간시수표'!N64,$BP$7)),$BP$6,IF(OR(COUNTIF('1.연간시수표'!N64,$BQ$9),COUNTIF('1.연간시수표'!N64,$BQ$7)),$BQ$6,IF(OR(COUNTIF('1.연간시수표'!N64,$BR$9),COUNTIF('1.연간시수표'!N64,$BR$7)),$BR$6,"_")))))))))))))))</f>
        <v>국어</v>
      </c>
      <c r="O64" s="148" t="str">
        <f>IF(OR(COUNTIF('1.연간시수표'!O64,$AT$9),COUNTIF('1.연간시수표'!O64,$AT$7)),$AT$6,IF(OR(COUNTIF('1.연간시수표'!O64,$AU$9),COUNTIF('1.연간시수표'!O64,$AU$7)),$AU$6,IF(OR(COUNTIF('1.연간시수표'!O64,$AV$9),COUNTIF('1.연간시수표'!O64,$AV$7)),$AV$6,IF(OR(COUNTIF('1.연간시수표'!O64,$AW$9),COUNTIF('1.연간시수표'!O64,$AW$7)),$AW$6,IF(OR(COUNTIF('1.연간시수표'!O64,$AX$9),COUNTIF('1.연간시수표'!O64,$AX$7)),$AX$6,IF(OR(COUNTIF('1.연간시수표'!O64,$AY$9),COUNTIF('1.연간시수표'!O64,$AY$7)),$AY$6,IF(OR(COUNTIF('1.연간시수표'!O64,$AZ$9),COUNTIF('1.연간시수표'!O64,$AZ$7)),$AZ$6,IF(OR(COUNTIF('1.연간시수표'!O64,$BA$9),COUNTIF('1.연간시수표'!O64,$BA$7)),$BA$6,IF(OR(COUNTIF('1.연간시수표'!O64,$BB$9),COUNTIF('1.연간시수표'!O64,$BB$7)),$BB$6,IF(OR(COUNTIF('1.연간시수표'!O64,$BC$9),COUNTIF('1.연간시수표'!O64,$BC$7)),$BC$6,IF(OR(COUNTIF('1.연간시수표'!O64,$BF$9),COUNTIF('1.연간시수표'!O64,$BF$7),COUNTIF('1.연간시수표'!O64,$BG$9),COUNTIF('1.연간시수표'!O64,$BG$7),COUNTIF('1.연간시수표'!O64,$BH$9),COUNTIF('1.연간시수표'!O64,$BH$7),COUNTIF('1.연간시수표'!O64,$BI$9),COUNTIF('1.연간시수표'!O64,$BI$7),COUNTIF('1.연간시수표'!O64,$BJ$9),COUNTIF('1.연간시수표'!O64,$BJ$7),COUNTIF('1.연간시수표'!O64,$BK$9),COUNTIF('1.연간시수표'!O64,$BK$7),COUNTIF('1.연간시수표'!O64,$BL$9),COUNTIF('1.연간시수표'!O64,$BL$7),COUNTIF('1.연간시수표'!O64,$BM$9),COUNTIF('1.연간시수표'!O64,$BM$7)),$BF$6,IF(OR(COUNTIF('1.연간시수표'!O64,$BO$9),COUNTIF('1.연간시수표'!O64,$BO$7)),$BO$6,IF(OR(COUNTIF('1.연간시수표'!O64,$BP$9),COUNTIF('1.연간시수표'!O64,$BP$7)),$BP$6,IF(OR(COUNTIF('1.연간시수표'!O64,$BQ$9),COUNTIF('1.연간시수표'!O64,$BQ$7)),$BQ$6,IF(OR(COUNTIF('1.연간시수표'!O64,$BR$9),COUNTIF('1.연간시수표'!O64,$BR$7)),$BR$6,"_")))))))))))))))</f>
        <v>사회</v>
      </c>
      <c r="P64" s="148" t="str">
        <f>IF(OR(COUNTIF('1.연간시수표'!P64,$AT$9),COUNTIF('1.연간시수표'!P64,$AT$7)),$AT$6,IF(OR(COUNTIF('1.연간시수표'!P64,$AU$9),COUNTIF('1.연간시수표'!P64,$AU$7)),$AU$6,IF(OR(COUNTIF('1.연간시수표'!P64,$AV$9),COUNTIF('1.연간시수표'!P64,$AV$7)),$AV$6,IF(OR(COUNTIF('1.연간시수표'!P64,$AW$9),COUNTIF('1.연간시수표'!P64,$AW$7)),$AW$6,IF(OR(COUNTIF('1.연간시수표'!P64,$AX$9),COUNTIF('1.연간시수표'!P64,$AX$7)),$AX$6,IF(OR(COUNTIF('1.연간시수표'!P64,$AY$9),COUNTIF('1.연간시수표'!P64,$AY$7)),$AY$6,IF(OR(COUNTIF('1.연간시수표'!P64,$AZ$9),COUNTIF('1.연간시수표'!P64,$AZ$7)),$AZ$6,IF(OR(COUNTIF('1.연간시수표'!P64,$BA$9),COUNTIF('1.연간시수표'!P64,$BA$7)),$BA$6,IF(OR(COUNTIF('1.연간시수표'!P64,$BB$9),COUNTIF('1.연간시수표'!P64,$BB$7)),$BB$6,IF(OR(COUNTIF('1.연간시수표'!P64,$BC$9),COUNTIF('1.연간시수표'!P64,$BC$7)),$BC$6,IF(OR(COUNTIF('1.연간시수표'!P64,$BF$9),COUNTIF('1.연간시수표'!P64,$BF$7),COUNTIF('1.연간시수표'!P64,$BG$9),COUNTIF('1.연간시수표'!P64,$BG$7),COUNTIF('1.연간시수표'!P64,$BH$9),COUNTIF('1.연간시수표'!P64,$BH$7),COUNTIF('1.연간시수표'!P64,$BI$9),COUNTIF('1.연간시수표'!P64,$BI$7),COUNTIF('1.연간시수표'!P64,$BJ$9),COUNTIF('1.연간시수표'!P64,$BJ$7),COUNTIF('1.연간시수표'!P64,$BK$9),COUNTIF('1.연간시수표'!P64,$BK$7),COUNTIF('1.연간시수표'!P64,$BL$9),COUNTIF('1.연간시수표'!P64,$BL$7),COUNTIF('1.연간시수표'!P64,$BM$9),COUNTIF('1.연간시수표'!P64,$BM$7)),$BF$6,IF(OR(COUNTIF('1.연간시수표'!P64,$BO$9),COUNTIF('1.연간시수표'!P64,$BO$7)),$BO$6,IF(OR(COUNTIF('1.연간시수표'!P64,$BP$9),COUNTIF('1.연간시수표'!P64,$BP$7)),$BP$6,IF(OR(COUNTIF('1.연간시수표'!P64,$BQ$9),COUNTIF('1.연간시수표'!P64,$BQ$7)),$BQ$6,IF(OR(COUNTIF('1.연간시수표'!P64,$BR$9),COUNTIF('1.연간시수표'!P64,$BR$7)),$BR$6,"_")))))))))))))))</f>
        <v>수학</v>
      </c>
      <c r="Q64" s="148" t="str">
        <f>IF(OR(COUNTIF('1.연간시수표'!Q64,$AT$9),COUNTIF('1.연간시수표'!Q64,$AT$7)),$AT$6,IF(OR(COUNTIF('1.연간시수표'!Q64,$AU$9),COUNTIF('1.연간시수표'!Q64,$AU$7)),$AU$6,IF(OR(COUNTIF('1.연간시수표'!Q64,$AV$9),COUNTIF('1.연간시수표'!Q64,$AV$7)),$AV$6,IF(OR(COUNTIF('1.연간시수표'!Q64,$AW$9),COUNTIF('1.연간시수표'!Q64,$AW$7)),$AW$6,IF(OR(COUNTIF('1.연간시수표'!Q64,$AX$9),COUNTIF('1.연간시수표'!Q64,$AX$7)),$AX$6,IF(OR(COUNTIF('1.연간시수표'!Q64,$AY$9),COUNTIF('1.연간시수표'!Q64,$AY$7)),$AY$6,IF(OR(COUNTIF('1.연간시수표'!Q64,$AZ$9),COUNTIF('1.연간시수표'!Q64,$AZ$7)),$AZ$6,IF(OR(COUNTIF('1.연간시수표'!Q64,$BA$9),COUNTIF('1.연간시수표'!Q64,$BA$7)),$BA$6,IF(OR(COUNTIF('1.연간시수표'!Q64,$BB$9),COUNTIF('1.연간시수표'!Q64,$BB$7)),$BB$6,IF(OR(COUNTIF('1.연간시수표'!Q64,$BC$9),COUNTIF('1.연간시수표'!Q64,$BC$7)),$BC$6,IF(OR(COUNTIF('1.연간시수표'!Q64,$BF$9),COUNTIF('1.연간시수표'!Q64,$BF$7),COUNTIF('1.연간시수표'!Q64,$BG$9),COUNTIF('1.연간시수표'!Q64,$BG$7),COUNTIF('1.연간시수표'!Q64,$BH$9),COUNTIF('1.연간시수표'!Q64,$BH$7),COUNTIF('1.연간시수표'!Q64,$BI$9),COUNTIF('1.연간시수표'!Q64,$BI$7),COUNTIF('1.연간시수표'!Q64,$BJ$9),COUNTIF('1.연간시수표'!Q64,$BJ$7),COUNTIF('1.연간시수표'!Q64,$BK$9),COUNTIF('1.연간시수표'!Q64,$BK$7),COUNTIF('1.연간시수표'!Q64,$BL$9),COUNTIF('1.연간시수표'!Q64,$BL$7),COUNTIF('1.연간시수표'!Q64,$BM$9),COUNTIF('1.연간시수표'!Q64,$BM$7)),$BF$6,IF(OR(COUNTIF('1.연간시수표'!Q64,$BO$9),COUNTIF('1.연간시수표'!Q64,$BO$7)),$BO$6,IF(OR(COUNTIF('1.연간시수표'!Q64,$BP$9),COUNTIF('1.연간시수표'!Q64,$BP$7)),$BP$6,IF(OR(COUNTIF('1.연간시수표'!Q64,$BQ$9),COUNTIF('1.연간시수표'!Q64,$BQ$7)),$BQ$6,IF(OR(COUNTIF('1.연간시수표'!Q64,$BR$9),COUNTIF('1.연간시수표'!Q64,$BR$7)),$BR$6,"_")))))))))))))))</f>
        <v>과학</v>
      </c>
      <c r="R64" s="148" t="str">
        <f>IF(OR(COUNTIF('1.연간시수표'!R64,$AT$9),COUNTIF('1.연간시수표'!R64,$AT$7)),$AT$6,IF(OR(COUNTIF('1.연간시수표'!R64,$AU$9),COUNTIF('1.연간시수표'!R64,$AU$7)),$AU$6,IF(OR(COUNTIF('1.연간시수표'!R64,$AV$9),COUNTIF('1.연간시수표'!R64,$AV$7)),$AV$6,IF(OR(COUNTIF('1.연간시수표'!R64,$AW$9),COUNTIF('1.연간시수표'!R64,$AW$7)),$AW$6,IF(OR(COUNTIF('1.연간시수표'!R64,$AX$9),COUNTIF('1.연간시수표'!R64,$AX$7)),$AX$6,IF(OR(COUNTIF('1.연간시수표'!R64,$AY$9),COUNTIF('1.연간시수표'!R64,$AY$7)),$AY$6,IF(OR(COUNTIF('1.연간시수표'!R64,$AZ$9),COUNTIF('1.연간시수표'!R64,$AZ$7)),$AZ$6,IF(OR(COUNTIF('1.연간시수표'!R64,$BA$9),COUNTIF('1.연간시수표'!R64,$BA$7)),$BA$6,IF(OR(COUNTIF('1.연간시수표'!R64,$BB$9),COUNTIF('1.연간시수표'!R64,$BB$7)),$BB$6,IF(OR(COUNTIF('1.연간시수표'!R64,$BC$9),COUNTIF('1.연간시수표'!R64,$BC$7)),$BC$6,IF(OR(COUNTIF('1.연간시수표'!R64,$BF$9),COUNTIF('1.연간시수표'!R64,$BF$7),COUNTIF('1.연간시수표'!R64,$BG$9),COUNTIF('1.연간시수표'!R64,$BG$7),COUNTIF('1.연간시수표'!R64,$BH$9),COUNTIF('1.연간시수표'!R64,$BH$7),COUNTIF('1.연간시수표'!R64,$BI$9),COUNTIF('1.연간시수표'!R64,$BI$7),COUNTIF('1.연간시수표'!R64,$BJ$9),COUNTIF('1.연간시수표'!R64,$BJ$7),COUNTIF('1.연간시수표'!R64,$BK$9),COUNTIF('1.연간시수표'!R64,$BK$7),COUNTIF('1.연간시수표'!R64,$BL$9),COUNTIF('1.연간시수표'!R64,$BL$7),COUNTIF('1.연간시수표'!R64,$BM$9),COUNTIF('1.연간시수표'!R64,$BM$7)),$BF$6,IF(OR(COUNTIF('1.연간시수표'!R64,$BO$9),COUNTIF('1.연간시수표'!R64,$BO$7)),$BO$6,IF(OR(COUNTIF('1.연간시수표'!R64,$BP$9),COUNTIF('1.연간시수표'!R64,$BP$7)),$BP$6,IF(OR(COUNTIF('1.연간시수표'!R64,$BQ$9),COUNTIF('1.연간시수표'!R64,$BQ$7)),$BQ$6,IF(OR(COUNTIF('1.연간시수표'!R64,$BR$9),COUNTIF('1.연간시수표'!R64,$BR$7)),$BR$6,"_")))))))))))))))</f>
        <v>실과</v>
      </c>
      <c r="S64" s="148" t="str">
        <f>IF(OR(COUNTIF('1.연간시수표'!S64,$AT$9),COUNTIF('1.연간시수표'!S64,$AT$7)),$AT$6,IF(OR(COUNTIF('1.연간시수표'!S64,$AU$9),COUNTIF('1.연간시수표'!S64,$AU$7)),$AU$6,IF(OR(COUNTIF('1.연간시수표'!S64,$AV$9),COUNTIF('1.연간시수표'!S64,$AV$7)),$AV$6,IF(OR(COUNTIF('1.연간시수표'!S64,$AW$9),COUNTIF('1.연간시수표'!S64,$AW$7)),$AW$6,IF(OR(COUNTIF('1.연간시수표'!S64,$AX$9),COUNTIF('1.연간시수표'!S64,$AX$7)),$AX$6,IF(OR(COUNTIF('1.연간시수표'!S64,$AY$9),COUNTIF('1.연간시수표'!S64,$AY$7)),$AY$6,IF(OR(COUNTIF('1.연간시수표'!S64,$AZ$9),COUNTIF('1.연간시수표'!S64,$AZ$7)),$AZ$6,IF(OR(COUNTIF('1.연간시수표'!S64,$BA$9),COUNTIF('1.연간시수표'!S64,$BA$7)),$BA$6,IF(OR(COUNTIF('1.연간시수표'!S64,$BB$9),COUNTIF('1.연간시수표'!S64,$BB$7)),$BB$6,IF(OR(COUNTIF('1.연간시수표'!S64,$BC$9),COUNTIF('1.연간시수표'!S64,$BC$7)),$BC$6,IF(OR(COUNTIF('1.연간시수표'!S64,$BF$9),COUNTIF('1.연간시수표'!S64,$BF$7),COUNTIF('1.연간시수표'!S64,$BG$9),COUNTIF('1.연간시수표'!S64,$BG$7),COUNTIF('1.연간시수표'!S64,$BH$9),COUNTIF('1.연간시수표'!S64,$BH$7),COUNTIF('1.연간시수표'!S64,$BI$9),COUNTIF('1.연간시수표'!S64,$BI$7),COUNTIF('1.연간시수표'!S64,$BJ$9),COUNTIF('1.연간시수표'!S64,$BJ$7),COUNTIF('1.연간시수표'!S64,$BK$9),COUNTIF('1.연간시수표'!S64,$BK$7),COUNTIF('1.연간시수표'!S64,$BL$9),COUNTIF('1.연간시수표'!S64,$BL$7),COUNTIF('1.연간시수표'!S64,$BM$9),COUNTIF('1.연간시수표'!S64,$BM$7)),$BF$6,IF(OR(COUNTIF('1.연간시수표'!S64,$BO$9),COUNTIF('1.연간시수표'!S64,$BO$7)),$BO$6,IF(OR(COUNTIF('1.연간시수표'!S64,$BP$9),COUNTIF('1.연간시수표'!S64,$BP$7)),$BP$6,IF(OR(COUNTIF('1.연간시수표'!S64,$BQ$9),COUNTIF('1.연간시수표'!S64,$BQ$7)),$BQ$6,IF(OR(COUNTIF('1.연간시수표'!S64,$BR$9),COUNTIF('1.연간시수표'!S64,$BR$7)),$BR$6,"_")))))))))))))))</f>
        <v>_</v>
      </c>
      <c r="T64" s="148" t="str">
        <f>IF(OR(COUNTIF('1.연간시수표'!T64,$AT$9),COUNTIF('1.연간시수표'!T64,$AT$7)),$AT$6,IF(OR(COUNTIF('1.연간시수표'!T64,$AU$9),COUNTIF('1.연간시수표'!T64,$AU$7)),$AU$6,IF(OR(COUNTIF('1.연간시수표'!T64,$AV$9),COUNTIF('1.연간시수표'!T64,$AV$7)),$AV$6,IF(OR(COUNTIF('1.연간시수표'!T64,$AW$9),COUNTIF('1.연간시수표'!T64,$AW$7)),$AW$6,IF(OR(COUNTIF('1.연간시수표'!T64,$AX$9),COUNTIF('1.연간시수표'!T64,$AX$7)),$AX$6,IF(OR(COUNTIF('1.연간시수표'!T64,$AY$9),COUNTIF('1.연간시수표'!T64,$AY$7)),$AY$6,IF(OR(COUNTIF('1.연간시수표'!T64,$AZ$9),COUNTIF('1.연간시수표'!T64,$AZ$7)),$AZ$6,IF(OR(COUNTIF('1.연간시수표'!T64,$BA$9),COUNTIF('1.연간시수표'!T64,$BA$7)),$BA$6,IF(OR(COUNTIF('1.연간시수표'!T64,$BB$9),COUNTIF('1.연간시수표'!T64,$BB$7)),$BB$6,IF(OR(COUNTIF('1.연간시수표'!T64,$BC$9),COUNTIF('1.연간시수표'!T64,$BC$7)),$BC$6,IF(OR(COUNTIF('1.연간시수표'!T64,$BF$9),COUNTIF('1.연간시수표'!T64,$BF$7),COUNTIF('1.연간시수표'!T64,$BG$9),COUNTIF('1.연간시수표'!T64,$BG$7),COUNTIF('1.연간시수표'!T64,$BH$9),COUNTIF('1.연간시수표'!T64,$BH$7),COUNTIF('1.연간시수표'!T64,$BI$9),COUNTIF('1.연간시수표'!T64,$BI$7),COUNTIF('1.연간시수표'!T64,$BJ$9),COUNTIF('1.연간시수표'!T64,$BJ$7),COUNTIF('1.연간시수표'!T64,$BK$9),COUNTIF('1.연간시수표'!T64,$BK$7),COUNTIF('1.연간시수표'!T64,$BL$9),COUNTIF('1.연간시수표'!T64,$BL$7),COUNTIF('1.연간시수표'!T64,$BM$9),COUNTIF('1.연간시수표'!T64,$BM$7)),$BF$6,IF(OR(COUNTIF('1.연간시수표'!T64,$BO$9),COUNTIF('1.연간시수표'!T64,$BO$7)),$BO$6,IF(OR(COUNTIF('1.연간시수표'!T64,$BP$9),COUNTIF('1.연간시수표'!T64,$BP$7)),$BP$6,IF(OR(COUNTIF('1.연간시수표'!T64,$BQ$9),COUNTIF('1.연간시수표'!T64,$BQ$7)),$BQ$6,IF(OR(COUNTIF('1.연간시수표'!T64,$BR$9),COUNTIF('1.연간시수표'!T64,$BR$7)),$BR$6,"_")))))))))))))))</f>
        <v>_</v>
      </c>
      <c r="U64" s="148" t="str">
        <f>IF(OR(COUNTIF('1.연간시수표'!U64,$AT$9),COUNTIF('1.연간시수표'!U64,$AT$7)),$AT$6,IF(OR(COUNTIF('1.연간시수표'!U64,$AU$9),COUNTIF('1.연간시수표'!U64,$AU$7)),$AU$6,IF(OR(COUNTIF('1.연간시수표'!U64,$AV$9),COUNTIF('1.연간시수표'!U64,$AV$7)),$AV$6,IF(OR(COUNTIF('1.연간시수표'!U64,$AW$9),COUNTIF('1.연간시수표'!U64,$AW$7)),$AW$6,IF(OR(COUNTIF('1.연간시수표'!U64,$AX$9),COUNTIF('1.연간시수표'!U64,$AX$7)),$AX$6,IF(OR(COUNTIF('1.연간시수표'!U64,$AY$9),COUNTIF('1.연간시수표'!U64,$AY$7)),$AY$6,IF(OR(COUNTIF('1.연간시수표'!U64,$AZ$9),COUNTIF('1.연간시수표'!U64,$AZ$7)),$AZ$6,IF(OR(COUNTIF('1.연간시수표'!U64,$BA$9),COUNTIF('1.연간시수표'!U64,$BA$7)),$BA$6,IF(OR(COUNTIF('1.연간시수표'!U64,$BB$9),COUNTIF('1.연간시수표'!U64,$BB$7)),$BB$6,IF(OR(COUNTIF('1.연간시수표'!U64,$BC$9),COUNTIF('1.연간시수표'!U64,$BC$7)),$BC$6,IF(OR(COUNTIF('1.연간시수표'!U64,$BF$9),COUNTIF('1.연간시수표'!U64,$BF$7),COUNTIF('1.연간시수표'!U64,$BG$9),COUNTIF('1.연간시수표'!U64,$BG$7),COUNTIF('1.연간시수표'!U64,$BH$9),COUNTIF('1.연간시수표'!U64,$BH$7),COUNTIF('1.연간시수표'!U64,$BI$9),COUNTIF('1.연간시수표'!U64,$BI$7),COUNTIF('1.연간시수표'!U64,$BJ$9),COUNTIF('1.연간시수표'!U64,$BJ$7),COUNTIF('1.연간시수표'!U64,$BK$9),COUNTIF('1.연간시수표'!U64,$BK$7),COUNTIF('1.연간시수표'!U64,$BL$9),COUNTIF('1.연간시수표'!U64,$BL$7),COUNTIF('1.연간시수표'!U64,$BM$9),COUNTIF('1.연간시수표'!U64,$BM$7)),$BF$6,IF(OR(COUNTIF('1.연간시수표'!U64,$BO$9),COUNTIF('1.연간시수표'!U64,$BO$7)),$BO$6,IF(OR(COUNTIF('1.연간시수표'!U64,$BP$9),COUNTIF('1.연간시수표'!U64,$BP$7)),$BP$6,IF(OR(COUNTIF('1.연간시수표'!U64,$BQ$9),COUNTIF('1.연간시수표'!U64,$BQ$7)),$BQ$6,IF(OR(COUNTIF('1.연간시수표'!U64,$BR$9),COUNTIF('1.연간시수표'!U64,$BR$7)),$BR$6,"_")))))))))))))))</f>
        <v>영어</v>
      </c>
      <c r="V64" s="148" t="str">
        <f>IF(OR(COUNTIF('1.연간시수표'!V64,$AT$9),COUNTIF('1.연간시수표'!V64,$AT$7)),$AT$6,IF(OR(COUNTIF('1.연간시수표'!V64,$AU$9),COUNTIF('1.연간시수표'!V64,$AU$7)),$AU$6,IF(OR(COUNTIF('1.연간시수표'!V64,$AV$9),COUNTIF('1.연간시수표'!V64,$AV$7)),$AV$6,IF(OR(COUNTIF('1.연간시수표'!V64,$AW$9),COUNTIF('1.연간시수표'!V64,$AW$7)),$AW$6,IF(OR(COUNTIF('1.연간시수표'!V64,$AX$9),COUNTIF('1.연간시수표'!V64,$AX$7)),$AX$6,IF(OR(COUNTIF('1.연간시수표'!V64,$AY$9),COUNTIF('1.연간시수표'!V64,$AY$7)),$AY$6,IF(OR(COUNTIF('1.연간시수표'!V64,$AZ$9),COUNTIF('1.연간시수표'!V64,$AZ$7)),$AZ$6,IF(OR(COUNTIF('1.연간시수표'!V64,$BA$9),COUNTIF('1.연간시수표'!V64,$BA$7)),$BA$6,IF(OR(COUNTIF('1.연간시수표'!V64,$BB$9),COUNTIF('1.연간시수표'!V64,$BB$7)),$BB$6,IF(OR(COUNTIF('1.연간시수표'!V64,$BC$9),COUNTIF('1.연간시수표'!V64,$BC$7)),$BC$6,IF(OR(COUNTIF('1.연간시수표'!V64,$BF$9),COUNTIF('1.연간시수표'!V64,$BF$7),COUNTIF('1.연간시수표'!V64,$BG$9),COUNTIF('1.연간시수표'!V64,$BG$7),COUNTIF('1.연간시수표'!V64,$BH$9),COUNTIF('1.연간시수표'!V64,$BH$7),COUNTIF('1.연간시수표'!V64,$BI$9),COUNTIF('1.연간시수표'!V64,$BI$7),COUNTIF('1.연간시수표'!V64,$BJ$9),COUNTIF('1.연간시수표'!V64,$BJ$7),COUNTIF('1.연간시수표'!V64,$BK$9),COUNTIF('1.연간시수표'!V64,$BK$7),COUNTIF('1.연간시수표'!V64,$BL$9),COUNTIF('1.연간시수표'!V64,$BL$7),COUNTIF('1.연간시수표'!V64,$BM$9),COUNTIF('1.연간시수표'!V64,$BM$7)),$BF$6,IF(OR(COUNTIF('1.연간시수표'!V64,$BO$9),COUNTIF('1.연간시수표'!V64,$BO$7)),$BO$6,IF(OR(COUNTIF('1.연간시수표'!V64,$BP$9),COUNTIF('1.연간시수표'!V64,$BP$7)),$BP$6,IF(OR(COUNTIF('1.연간시수표'!V64,$BQ$9),COUNTIF('1.연간시수표'!V64,$BQ$7)),$BQ$6,IF(OR(COUNTIF('1.연간시수표'!V64,$BR$9),COUNTIF('1.연간시수표'!V64,$BR$7)),$BR$6,"_")))))))))))))))</f>
        <v>과학</v>
      </c>
      <c r="W64" s="148" t="str">
        <f>IF(OR(COUNTIF('1.연간시수표'!W64,$AT$9),COUNTIF('1.연간시수표'!W64,$AT$7)),$AT$6,IF(OR(COUNTIF('1.연간시수표'!W64,$AU$9),COUNTIF('1.연간시수표'!W64,$AU$7)),$AU$6,IF(OR(COUNTIF('1.연간시수표'!W64,$AV$9),COUNTIF('1.연간시수표'!W64,$AV$7)),$AV$6,IF(OR(COUNTIF('1.연간시수표'!W64,$AW$9),COUNTIF('1.연간시수표'!W64,$AW$7)),$AW$6,IF(OR(COUNTIF('1.연간시수표'!W64,$AX$9),COUNTIF('1.연간시수표'!W64,$AX$7)),$AX$6,IF(OR(COUNTIF('1.연간시수표'!W64,$AY$9),COUNTIF('1.연간시수표'!W64,$AY$7)),$AY$6,IF(OR(COUNTIF('1.연간시수표'!W64,$AZ$9),COUNTIF('1.연간시수표'!W64,$AZ$7)),$AZ$6,IF(OR(COUNTIF('1.연간시수표'!W64,$BA$9),COUNTIF('1.연간시수표'!W64,$BA$7)),$BA$6,IF(OR(COUNTIF('1.연간시수표'!W64,$BB$9),COUNTIF('1.연간시수표'!W64,$BB$7)),$BB$6,IF(OR(COUNTIF('1.연간시수표'!W64,$BC$9),COUNTIF('1.연간시수표'!W64,$BC$7)),$BC$6,IF(OR(COUNTIF('1.연간시수표'!W64,$BF$9),COUNTIF('1.연간시수표'!W64,$BF$7),COUNTIF('1.연간시수표'!W64,$BG$9),COUNTIF('1.연간시수표'!W64,$BG$7),COUNTIF('1.연간시수표'!W64,$BH$9),COUNTIF('1.연간시수표'!W64,$BH$7),COUNTIF('1.연간시수표'!W64,$BI$9),COUNTIF('1.연간시수표'!W64,$BI$7),COUNTIF('1.연간시수표'!W64,$BJ$9),COUNTIF('1.연간시수표'!W64,$BJ$7),COUNTIF('1.연간시수표'!W64,$BK$9),COUNTIF('1.연간시수표'!W64,$BK$7),COUNTIF('1.연간시수표'!W64,$BL$9),COUNTIF('1.연간시수표'!W64,$BL$7),COUNTIF('1.연간시수표'!W64,$BM$9),COUNTIF('1.연간시수표'!W64,$BM$7)),$BF$6,IF(OR(COUNTIF('1.연간시수표'!W64,$BO$9),COUNTIF('1.연간시수표'!W64,$BO$7)),$BO$6,IF(OR(COUNTIF('1.연간시수표'!W64,$BP$9),COUNTIF('1.연간시수표'!W64,$BP$7)),$BP$6,IF(OR(COUNTIF('1.연간시수표'!W64,$BQ$9),COUNTIF('1.연간시수표'!W64,$BQ$7)),$BQ$6,IF(OR(COUNTIF('1.연간시수표'!W64,$BR$9),COUNTIF('1.연간시수표'!W64,$BR$7)),$BR$6,"_")))))))))))))))</f>
        <v>체육</v>
      </c>
      <c r="X64" s="148" t="str">
        <f>IF(OR(COUNTIF('1.연간시수표'!X64,$AT$9),COUNTIF('1.연간시수표'!X64,$AT$7)),$AT$6,IF(OR(COUNTIF('1.연간시수표'!X64,$AU$9),COUNTIF('1.연간시수표'!X64,$AU$7)),$AU$6,IF(OR(COUNTIF('1.연간시수표'!X64,$AV$9),COUNTIF('1.연간시수표'!X64,$AV$7)),$AV$6,IF(OR(COUNTIF('1.연간시수표'!X64,$AW$9),COUNTIF('1.연간시수표'!X64,$AW$7)),$AW$6,IF(OR(COUNTIF('1.연간시수표'!X64,$AX$9),COUNTIF('1.연간시수표'!X64,$AX$7)),$AX$6,IF(OR(COUNTIF('1.연간시수표'!X64,$AY$9),COUNTIF('1.연간시수표'!X64,$AY$7)),$AY$6,IF(OR(COUNTIF('1.연간시수표'!X64,$AZ$9),COUNTIF('1.연간시수표'!X64,$AZ$7)),$AZ$6,IF(OR(COUNTIF('1.연간시수표'!X64,$BA$9),COUNTIF('1.연간시수표'!X64,$BA$7)),$BA$6,IF(OR(COUNTIF('1.연간시수표'!X64,$BB$9),COUNTIF('1.연간시수표'!X64,$BB$7)),$BB$6,IF(OR(COUNTIF('1.연간시수표'!X64,$BC$9),COUNTIF('1.연간시수표'!X64,$BC$7)),$BC$6,IF(OR(COUNTIF('1.연간시수표'!X64,$BF$9),COUNTIF('1.연간시수표'!X64,$BF$7),COUNTIF('1.연간시수표'!X64,$BG$9),COUNTIF('1.연간시수표'!X64,$BG$7),COUNTIF('1.연간시수표'!X64,$BH$9),COUNTIF('1.연간시수표'!X64,$BH$7),COUNTIF('1.연간시수표'!X64,$BI$9),COUNTIF('1.연간시수표'!X64,$BI$7),COUNTIF('1.연간시수표'!X64,$BJ$9),COUNTIF('1.연간시수표'!X64,$BJ$7),COUNTIF('1.연간시수표'!X64,$BK$9),COUNTIF('1.연간시수표'!X64,$BK$7),COUNTIF('1.연간시수표'!X64,$BL$9),COUNTIF('1.연간시수표'!X64,$BL$7),COUNTIF('1.연간시수표'!X64,$BM$9),COUNTIF('1.연간시수표'!X64,$BM$7)),$BF$6,IF(OR(COUNTIF('1.연간시수표'!X64,$BO$9),COUNTIF('1.연간시수표'!X64,$BO$7)),$BO$6,IF(OR(COUNTIF('1.연간시수표'!X64,$BP$9),COUNTIF('1.연간시수표'!X64,$BP$7)),$BP$6,IF(OR(COUNTIF('1.연간시수표'!X64,$BQ$9),COUNTIF('1.연간시수표'!X64,$BQ$7)),$BQ$6,IF(OR(COUNTIF('1.연간시수표'!X64,$BR$9),COUNTIF('1.연간시수표'!X64,$BR$7)),$BR$6,"_")))))))))))))))</f>
        <v>음악</v>
      </c>
      <c r="Y64" s="148" t="str">
        <f>IF(OR(COUNTIF('1.연간시수표'!Y64,$AT$9),COUNTIF('1.연간시수표'!Y64,$AT$7)),$AT$6,IF(OR(COUNTIF('1.연간시수표'!Y64,$AU$9),COUNTIF('1.연간시수표'!Y64,$AU$7)),$AU$6,IF(OR(COUNTIF('1.연간시수표'!Y64,$AV$9),COUNTIF('1.연간시수표'!Y64,$AV$7)),$AV$6,IF(OR(COUNTIF('1.연간시수표'!Y64,$AW$9),COUNTIF('1.연간시수표'!Y64,$AW$7)),$AW$6,IF(OR(COUNTIF('1.연간시수표'!Y64,$AX$9),COUNTIF('1.연간시수표'!Y64,$AX$7)),$AX$6,IF(OR(COUNTIF('1.연간시수표'!Y64,$AY$9),COUNTIF('1.연간시수표'!Y64,$AY$7)),$AY$6,IF(OR(COUNTIF('1.연간시수표'!Y64,$AZ$9),COUNTIF('1.연간시수표'!Y64,$AZ$7)),$AZ$6,IF(OR(COUNTIF('1.연간시수표'!Y64,$BA$9),COUNTIF('1.연간시수표'!Y64,$BA$7)),$BA$6,IF(OR(COUNTIF('1.연간시수표'!Y64,$BB$9),COUNTIF('1.연간시수표'!Y64,$BB$7)),$BB$6,IF(OR(COUNTIF('1.연간시수표'!Y64,$BC$9),COUNTIF('1.연간시수표'!Y64,$BC$7)),$BC$6,IF(OR(COUNTIF('1.연간시수표'!Y64,$BF$9),COUNTIF('1.연간시수표'!Y64,$BF$7),COUNTIF('1.연간시수표'!Y64,$BG$9),COUNTIF('1.연간시수표'!Y64,$BG$7),COUNTIF('1.연간시수표'!Y64,$BH$9),COUNTIF('1.연간시수표'!Y64,$BH$7),COUNTIF('1.연간시수표'!Y64,$BI$9),COUNTIF('1.연간시수표'!Y64,$BI$7),COUNTIF('1.연간시수표'!Y64,$BJ$9),COUNTIF('1.연간시수표'!Y64,$BJ$7),COUNTIF('1.연간시수표'!Y64,$BK$9),COUNTIF('1.연간시수표'!Y64,$BK$7),COUNTIF('1.연간시수표'!Y64,$BL$9),COUNTIF('1.연간시수표'!Y64,$BL$7),COUNTIF('1.연간시수표'!Y64,$BM$9),COUNTIF('1.연간시수표'!Y64,$BM$7)),$BF$6,IF(OR(COUNTIF('1.연간시수표'!Y64,$BO$9),COUNTIF('1.연간시수표'!Y64,$BO$7)),$BO$6,IF(OR(COUNTIF('1.연간시수표'!Y64,$BP$9),COUNTIF('1.연간시수표'!Y64,$BP$7)),$BP$6,IF(OR(COUNTIF('1.연간시수표'!Y64,$BQ$9),COUNTIF('1.연간시수표'!Y64,$BQ$7)),$BQ$6,IF(OR(COUNTIF('1.연간시수표'!Y64,$BR$9),COUNTIF('1.연간시수표'!Y64,$BR$7)),$BR$6,"_")))))))))))))))</f>
        <v>도덕</v>
      </c>
      <c r="Z64" s="148" t="str">
        <f>IF(OR(COUNTIF('1.연간시수표'!Z64,$AT$9),COUNTIF('1.연간시수표'!Z64,$AT$7)),$AT$6,IF(OR(COUNTIF('1.연간시수표'!Z64,$AU$9),COUNTIF('1.연간시수표'!Z64,$AU$7)),$AU$6,IF(OR(COUNTIF('1.연간시수표'!Z64,$AV$9),COUNTIF('1.연간시수표'!Z64,$AV$7)),$AV$6,IF(OR(COUNTIF('1.연간시수표'!Z64,$AW$9),COUNTIF('1.연간시수표'!Z64,$AW$7)),$AW$6,IF(OR(COUNTIF('1.연간시수표'!Z64,$AX$9),COUNTIF('1.연간시수표'!Z64,$AX$7)),$AX$6,IF(OR(COUNTIF('1.연간시수표'!Z64,$AY$9),COUNTIF('1.연간시수표'!Z64,$AY$7)),$AY$6,IF(OR(COUNTIF('1.연간시수표'!Z64,$AZ$9),COUNTIF('1.연간시수표'!Z64,$AZ$7)),$AZ$6,IF(OR(COUNTIF('1.연간시수표'!Z64,$BA$9),COUNTIF('1.연간시수표'!Z64,$BA$7)),$BA$6,IF(OR(COUNTIF('1.연간시수표'!Z64,$BB$9),COUNTIF('1.연간시수표'!Z64,$BB$7)),$BB$6,IF(OR(COUNTIF('1.연간시수표'!Z64,$BC$9),COUNTIF('1.연간시수표'!Z64,$BC$7)),$BC$6,IF(OR(COUNTIF('1.연간시수표'!Z64,$BF$9),COUNTIF('1.연간시수표'!Z64,$BF$7),COUNTIF('1.연간시수표'!Z64,$BG$9),COUNTIF('1.연간시수표'!Z64,$BG$7),COUNTIF('1.연간시수표'!Z64,$BH$9),COUNTIF('1.연간시수표'!Z64,$BH$7),COUNTIF('1.연간시수표'!Z64,$BI$9),COUNTIF('1.연간시수표'!Z64,$BI$7),COUNTIF('1.연간시수표'!Z64,$BJ$9),COUNTIF('1.연간시수표'!Z64,$BJ$7),COUNTIF('1.연간시수표'!Z64,$BK$9),COUNTIF('1.연간시수표'!Z64,$BK$7),COUNTIF('1.연간시수표'!Z64,$BL$9),COUNTIF('1.연간시수표'!Z64,$BL$7),COUNTIF('1.연간시수표'!Z64,$BM$9),COUNTIF('1.연간시수표'!Z64,$BM$7)),$BF$6,IF(OR(COUNTIF('1.연간시수표'!Z64,$BO$9),COUNTIF('1.연간시수표'!Z64,$BO$7)),$BO$6,IF(OR(COUNTIF('1.연간시수표'!Z64,$BP$9),COUNTIF('1.연간시수표'!Z64,$BP$7)),$BP$6,IF(OR(COUNTIF('1.연간시수표'!Z64,$BQ$9),COUNTIF('1.연간시수표'!Z64,$BQ$7)),$BQ$6,IF(OR(COUNTIF('1.연간시수표'!Z64,$BR$9),COUNTIF('1.연간시수표'!Z64,$BR$7)),$BR$6,"_")))))))))))))))</f>
        <v>_</v>
      </c>
      <c r="AA64" s="148" t="str">
        <f>IF(OR(COUNTIF('1.연간시수표'!AA64,$AT$9),COUNTIF('1.연간시수표'!AA64,$AT$7)),$AT$6,IF(OR(COUNTIF('1.연간시수표'!AA64,$AU$9),COUNTIF('1.연간시수표'!AA64,$AU$7)),$AU$6,IF(OR(COUNTIF('1.연간시수표'!AA64,$AV$9),COUNTIF('1.연간시수표'!AA64,$AV$7)),$AV$6,IF(OR(COUNTIF('1.연간시수표'!AA64,$AW$9),COUNTIF('1.연간시수표'!AA64,$AW$7)),$AW$6,IF(OR(COUNTIF('1.연간시수표'!AA64,$AX$9),COUNTIF('1.연간시수표'!AA64,$AX$7)),$AX$6,IF(OR(COUNTIF('1.연간시수표'!AA64,$AY$9),COUNTIF('1.연간시수표'!AA64,$AY$7)),$AY$6,IF(OR(COUNTIF('1.연간시수표'!AA64,$AZ$9),COUNTIF('1.연간시수표'!AA64,$AZ$7)),$AZ$6,IF(OR(COUNTIF('1.연간시수표'!AA64,$BA$9),COUNTIF('1.연간시수표'!AA64,$BA$7)),$BA$6,IF(OR(COUNTIF('1.연간시수표'!AA64,$BB$9),COUNTIF('1.연간시수표'!AA64,$BB$7)),$BB$6,IF(OR(COUNTIF('1.연간시수표'!AA64,$BC$9),COUNTIF('1.연간시수표'!AA64,$BC$7)),$BC$6,IF(OR(COUNTIF('1.연간시수표'!AA64,$BF$9),COUNTIF('1.연간시수표'!AA64,$BF$7),COUNTIF('1.연간시수표'!AA64,$BG$9),COUNTIF('1.연간시수표'!AA64,$BG$7),COUNTIF('1.연간시수표'!AA64,$BH$9),COUNTIF('1.연간시수표'!AA64,$BH$7),COUNTIF('1.연간시수표'!AA64,$BI$9),COUNTIF('1.연간시수표'!AA64,$BI$7),COUNTIF('1.연간시수표'!AA64,$BJ$9),COUNTIF('1.연간시수표'!AA64,$BJ$7),COUNTIF('1.연간시수표'!AA64,$BK$9),COUNTIF('1.연간시수표'!AA64,$BK$7),COUNTIF('1.연간시수표'!AA64,$BL$9),COUNTIF('1.연간시수표'!AA64,$BL$7),COUNTIF('1.연간시수표'!AA64,$BM$9),COUNTIF('1.연간시수표'!AA64,$BM$7)),$BF$6,IF(OR(COUNTIF('1.연간시수표'!AA64,$BO$9),COUNTIF('1.연간시수표'!AA64,$BO$7)),$BO$6,IF(OR(COUNTIF('1.연간시수표'!AA64,$BP$9),COUNTIF('1.연간시수표'!AA64,$BP$7)),$BP$6,IF(OR(COUNTIF('1.연간시수표'!AA64,$BQ$9),COUNTIF('1.연간시수표'!AA64,$BQ$7)),$BQ$6,IF(OR(COUNTIF('1.연간시수표'!AA64,$BR$9),COUNTIF('1.연간시수표'!AA64,$BR$7)),$BR$6,"_")))))))))))))))</f>
        <v>_</v>
      </c>
      <c r="AB64" s="148" t="str">
        <f>IF(OR(COUNTIF('1.연간시수표'!AB64,$AT$9),COUNTIF('1.연간시수표'!AB64,$AT$7)),$AT$6,IF(OR(COUNTIF('1.연간시수표'!AB64,$AU$9),COUNTIF('1.연간시수표'!AB64,$AU$7)),$AU$6,IF(OR(COUNTIF('1.연간시수표'!AB64,$AV$9),COUNTIF('1.연간시수표'!AB64,$AV$7)),$AV$6,IF(OR(COUNTIF('1.연간시수표'!AB64,$AW$9),COUNTIF('1.연간시수표'!AB64,$AW$7)),$AW$6,IF(OR(COUNTIF('1.연간시수표'!AB64,$AX$9),COUNTIF('1.연간시수표'!AB64,$AX$7)),$AX$6,IF(OR(COUNTIF('1.연간시수표'!AB64,$AY$9),COUNTIF('1.연간시수표'!AB64,$AY$7)),$AY$6,IF(OR(COUNTIF('1.연간시수표'!AB64,$AZ$9),COUNTIF('1.연간시수표'!AB64,$AZ$7)),$AZ$6,IF(OR(COUNTIF('1.연간시수표'!AB64,$BA$9),COUNTIF('1.연간시수표'!AB64,$BA$7)),$BA$6,IF(OR(COUNTIF('1.연간시수표'!AB64,$BB$9),COUNTIF('1.연간시수표'!AB64,$BB$7)),$BB$6,IF(OR(COUNTIF('1.연간시수표'!AB64,$BC$9),COUNTIF('1.연간시수표'!AB64,$BC$7)),$BC$6,IF(OR(COUNTIF('1.연간시수표'!AB64,$BF$9),COUNTIF('1.연간시수표'!AB64,$BF$7),COUNTIF('1.연간시수표'!AB64,$BG$9),COUNTIF('1.연간시수표'!AB64,$BG$7),COUNTIF('1.연간시수표'!AB64,$BH$9),COUNTIF('1.연간시수표'!AB64,$BH$7),COUNTIF('1.연간시수표'!AB64,$BI$9),COUNTIF('1.연간시수표'!AB64,$BI$7),COUNTIF('1.연간시수표'!AB64,$BJ$9),COUNTIF('1.연간시수표'!AB64,$BJ$7),COUNTIF('1.연간시수표'!AB64,$BK$9),COUNTIF('1.연간시수표'!AB64,$BK$7),COUNTIF('1.연간시수표'!AB64,$BL$9),COUNTIF('1.연간시수표'!AB64,$BL$7),COUNTIF('1.연간시수표'!AB64,$BM$9),COUNTIF('1.연간시수표'!AB64,$BM$7)),$BF$6,IF(OR(COUNTIF('1.연간시수표'!AB64,$BO$9),COUNTIF('1.연간시수표'!AB64,$BO$7)),$BO$6,IF(OR(COUNTIF('1.연간시수표'!AB64,$BP$9),COUNTIF('1.연간시수표'!AB64,$BP$7)),$BP$6,IF(OR(COUNTIF('1.연간시수표'!AB64,$BQ$9),COUNTIF('1.연간시수표'!AB64,$BQ$7)),$BQ$6,IF(OR(COUNTIF('1.연간시수표'!AB64,$BR$9),COUNTIF('1.연간시수표'!AB64,$BR$7)),$BR$6,"_")))))))))))))))</f>
        <v>_</v>
      </c>
      <c r="AC64" s="148" t="str">
        <f>IF(OR(COUNTIF('1.연간시수표'!AC64,$AT$9),COUNTIF('1.연간시수표'!AC64,$AT$7)),$AT$6,IF(OR(COUNTIF('1.연간시수표'!AC64,$AU$9),COUNTIF('1.연간시수표'!AC64,$AU$7)),$AU$6,IF(OR(COUNTIF('1.연간시수표'!AC64,$AV$9),COUNTIF('1.연간시수표'!AC64,$AV$7)),$AV$6,IF(OR(COUNTIF('1.연간시수표'!AC64,$AW$9),COUNTIF('1.연간시수표'!AC64,$AW$7)),$AW$6,IF(OR(COUNTIF('1.연간시수표'!AC64,$AX$9),COUNTIF('1.연간시수표'!AC64,$AX$7)),$AX$6,IF(OR(COUNTIF('1.연간시수표'!AC64,$AY$9),COUNTIF('1.연간시수표'!AC64,$AY$7)),$AY$6,IF(OR(COUNTIF('1.연간시수표'!AC64,$AZ$9),COUNTIF('1.연간시수표'!AC64,$AZ$7)),$AZ$6,IF(OR(COUNTIF('1.연간시수표'!AC64,$BA$9),COUNTIF('1.연간시수표'!AC64,$BA$7)),$BA$6,IF(OR(COUNTIF('1.연간시수표'!AC64,$BB$9),COUNTIF('1.연간시수표'!AC64,$BB$7)),$BB$6,IF(OR(COUNTIF('1.연간시수표'!AC64,$BC$9),COUNTIF('1.연간시수표'!AC64,$BC$7)),$BC$6,IF(OR(COUNTIF('1.연간시수표'!AC64,$BF$9),COUNTIF('1.연간시수표'!AC64,$BF$7),COUNTIF('1.연간시수표'!AC64,$BG$9),COUNTIF('1.연간시수표'!AC64,$BG$7),COUNTIF('1.연간시수표'!AC64,$BH$9),COUNTIF('1.연간시수표'!AC64,$BH$7),COUNTIF('1.연간시수표'!AC64,$BI$9),COUNTIF('1.연간시수표'!AC64,$BI$7),COUNTIF('1.연간시수표'!AC64,$BJ$9),COUNTIF('1.연간시수표'!AC64,$BJ$7),COUNTIF('1.연간시수표'!AC64,$BK$9),COUNTIF('1.연간시수표'!AC64,$BK$7),COUNTIF('1.연간시수표'!AC64,$BL$9),COUNTIF('1.연간시수표'!AC64,$BL$7),COUNTIF('1.연간시수표'!AC64,$BM$9),COUNTIF('1.연간시수표'!AC64,$BM$7)),$BF$6,IF(OR(COUNTIF('1.연간시수표'!AC64,$BO$9),COUNTIF('1.연간시수표'!AC64,$BO$7)),$BO$6,IF(OR(COUNTIF('1.연간시수표'!AC64,$BP$9),COUNTIF('1.연간시수표'!AC64,$BP$7)),$BP$6,IF(OR(COUNTIF('1.연간시수표'!AC64,$BQ$9),COUNTIF('1.연간시수표'!AC64,$BQ$7)),$BQ$6,IF(OR(COUNTIF('1.연간시수표'!AC64,$BR$9),COUNTIF('1.연간시수표'!AC64,$BR$7)),$BR$6,"_")))))))))))))))</f>
        <v>국어</v>
      </c>
      <c r="AD64" s="148" t="str">
        <f>IF(OR(COUNTIF('1.연간시수표'!AD64,$AT$9),COUNTIF('1.연간시수표'!AD64,$AT$7)),$AT$6,IF(OR(COUNTIF('1.연간시수표'!AD64,$AU$9),COUNTIF('1.연간시수표'!AD64,$AU$7)),$AU$6,IF(OR(COUNTIF('1.연간시수표'!AD64,$AV$9),COUNTIF('1.연간시수표'!AD64,$AV$7)),$AV$6,IF(OR(COUNTIF('1.연간시수표'!AD64,$AW$9),COUNTIF('1.연간시수표'!AD64,$AW$7)),$AW$6,IF(OR(COUNTIF('1.연간시수표'!AD64,$AX$9),COUNTIF('1.연간시수표'!AD64,$AX$7)),$AX$6,IF(OR(COUNTIF('1.연간시수표'!AD64,$AY$9),COUNTIF('1.연간시수표'!AD64,$AY$7)),$AY$6,IF(OR(COUNTIF('1.연간시수표'!AD64,$AZ$9),COUNTIF('1.연간시수표'!AD64,$AZ$7)),$AZ$6,IF(OR(COUNTIF('1.연간시수표'!AD64,$BA$9),COUNTIF('1.연간시수표'!AD64,$BA$7)),$BA$6,IF(OR(COUNTIF('1.연간시수표'!AD64,$BB$9),COUNTIF('1.연간시수표'!AD64,$BB$7)),$BB$6,IF(OR(COUNTIF('1.연간시수표'!AD64,$BC$9),COUNTIF('1.연간시수표'!AD64,$BC$7)),$BC$6,IF(OR(COUNTIF('1.연간시수표'!AD64,$BF$9),COUNTIF('1.연간시수표'!AD64,$BF$7),COUNTIF('1.연간시수표'!AD64,$BG$9),COUNTIF('1.연간시수표'!AD64,$BG$7),COUNTIF('1.연간시수표'!AD64,$BH$9),COUNTIF('1.연간시수표'!AD64,$BH$7),COUNTIF('1.연간시수표'!AD64,$BI$9),COUNTIF('1.연간시수표'!AD64,$BI$7),COUNTIF('1.연간시수표'!AD64,$BJ$9),COUNTIF('1.연간시수표'!AD64,$BJ$7),COUNTIF('1.연간시수표'!AD64,$BK$9),COUNTIF('1.연간시수표'!AD64,$BK$7),COUNTIF('1.연간시수표'!AD64,$BL$9),COUNTIF('1.연간시수표'!AD64,$BL$7),COUNTIF('1.연간시수표'!AD64,$BM$9),COUNTIF('1.연간시수표'!AD64,$BM$7)),$BF$6,IF(OR(COUNTIF('1.연간시수표'!AD64,$BO$9),COUNTIF('1.연간시수표'!AD64,$BO$7)),$BO$6,IF(OR(COUNTIF('1.연간시수표'!AD64,$BP$9),COUNTIF('1.연간시수표'!AD64,$BP$7)),$BP$6,IF(OR(COUNTIF('1.연간시수표'!AD64,$BQ$9),COUNTIF('1.연간시수표'!AD64,$BQ$7)),$BQ$6,IF(OR(COUNTIF('1.연간시수표'!AD64,$BR$9),COUNTIF('1.연간시수표'!AD64,$BR$7)),$BR$6,"_")))))))))))))))</f>
        <v>수학</v>
      </c>
      <c r="AE64" s="148" t="str">
        <f>IF(OR(COUNTIF('1.연간시수표'!AE64,$AT$9),COUNTIF('1.연간시수표'!AE64,$AT$7)),$AT$6,IF(OR(COUNTIF('1.연간시수표'!AE64,$AU$9),COUNTIF('1.연간시수표'!AE64,$AU$7)),$AU$6,IF(OR(COUNTIF('1.연간시수표'!AE64,$AV$9),COUNTIF('1.연간시수표'!AE64,$AV$7)),$AV$6,IF(OR(COUNTIF('1.연간시수표'!AE64,$AW$9),COUNTIF('1.연간시수표'!AE64,$AW$7)),$AW$6,IF(OR(COUNTIF('1.연간시수표'!AE64,$AX$9),COUNTIF('1.연간시수표'!AE64,$AX$7)),$AX$6,IF(OR(COUNTIF('1.연간시수표'!AE64,$AY$9),COUNTIF('1.연간시수표'!AE64,$AY$7)),$AY$6,IF(OR(COUNTIF('1.연간시수표'!AE64,$AZ$9),COUNTIF('1.연간시수표'!AE64,$AZ$7)),$AZ$6,IF(OR(COUNTIF('1.연간시수표'!AE64,$BA$9),COUNTIF('1.연간시수표'!AE64,$BA$7)),$BA$6,IF(OR(COUNTIF('1.연간시수표'!AE64,$BB$9),COUNTIF('1.연간시수표'!AE64,$BB$7)),$BB$6,IF(OR(COUNTIF('1.연간시수표'!AE64,$BC$9),COUNTIF('1.연간시수표'!AE64,$BC$7)),$BC$6,IF(OR(COUNTIF('1.연간시수표'!AE64,$BF$9),COUNTIF('1.연간시수표'!AE64,$BF$7),COUNTIF('1.연간시수표'!AE64,$BG$9),COUNTIF('1.연간시수표'!AE64,$BG$7),COUNTIF('1.연간시수표'!AE64,$BH$9),COUNTIF('1.연간시수표'!AE64,$BH$7),COUNTIF('1.연간시수표'!AE64,$BI$9),COUNTIF('1.연간시수표'!AE64,$BI$7),COUNTIF('1.연간시수표'!AE64,$BJ$9),COUNTIF('1.연간시수표'!AE64,$BJ$7),COUNTIF('1.연간시수표'!AE64,$BK$9),COUNTIF('1.연간시수표'!AE64,$BK$7),COUNTIF('1.연간시수표'!AE64,$BL$9),COUNTIF('1.연간시수표'!AE64,$BL$7),COUNTIF('1.연간시수표'!AE64,$BM$9),COUNTIF('1.연간시수표'!AE64,$BM$7)),$BF$6,IF(OR(COUNTIF('1.연간시수표'!AE64,$BO$9),COUNTIF('1.연간시수표'!AE64,$BO$7)),$BO$6,IF(OR(COUNTIF('1.연간시수표'!AE64,$BP$9),COUNTIF('1.연간시수표'!AE64,$BP$7)),$BP$6,IF(OR(COUNTIF('1.연간시수표'!AE64,$BQ$9),COUNTIF('1.연간시수표'!AE64,$BQ$7)),$BQ$6,IF(OR(COUNTIF('1.연간시수표'!AE64,$BR$9),COUNTIF('1.연간시수표'!AE64,$BR$7)),$BR$6,"_")))))))))))))))</f>
        <v>사회</v>
      </c>
      <c r="AF64" s="148" t="str">
        <f>IF(OR(COUNTIF('1.연간시수표'!AF64,$AT$9),COUNTIF('1.연간시수표'!AF64,$AT$7)),$AT$6,IF(OR(COUNTIF('1.연간시수표'!AF64,$AU$9),COUNTIF('1.연간시수표'!AF64,$AU$7)),$AU$6,IF(OR(COUNTIF('1.연간시수표'!AF64,$AV$9),COUNTIF('1.연간시수표'!AF64,$AV$7)),$AV$6,IF(OR(COUNTIF('1.연간시수표'!AF64,$AW$9),COUNTIF('1.연간시수표'!AF64,$AW$7)),$AW$6,IF(OR(COUNTIF('1.연간시수표'!AF64,$AX$9),COUNTIF('1.연간시수표'!AF64,$AX$7)),$AX$6,IF(OR(COUNTIF('1.연간시수표'!AF64,$AY$9),COUNTIF('1.연간시수표'!AF64,$AY$7)),$AY$6,IF(OR(COUNTIF('1.연간시수표'!AF64,$AZ$9),COUNTIF('1.연간시수표'!AF64,$AZ$7)),$AZ$6,IF(OR(COUNTIF('1.연간시수표'!AF64,$BA$9),COUNTIF('1.연간시수표'!AF64,$BA$7)),$BA$6,IF(OR(COUNTIF('1.연간시수표'!AF64,$BB$9),COUNTIF('1.연간시수표'!AF64,$BB$7)),$BB$6,IF(OR(COUNTIF('1.연간시수표'!AF64,$BC$9),COUNTIF('1.연간시수표'!AF64,$BC$7)),$BC$6,IF(OR(COUNTIF('1.연간시수표'!AF64,$BF$9),COUNTIF('1.연간시수표'!AF64,$BF$7),COUNTIF('1.연간시수표'!AF64,$BG$9),COUNTIF('1.연간시수표'!AF64,$BG$7),COUNTIF('1.연간시수표'!AF64,$BH$9),COUNTIF('1.연간시수표'!AF64,$BH$7),COUNTIF('1.연간시수표'!AF64,$BI$9),COUNTIF('1.연간시수표'!AF64,$BI$7),COUNTIF('1.연간시수표'!AF64,$BJ$9),COUNTIF('1.연간시수표'!AF64,$BJ$7),COUNTIF('1.연간시수표'!AF64,$BK$9),COUNTIF('1.연간시수표'!AF64,$BK$7),COUNTIF('1.연간시수표'!AF64,$BL$9),COUNTIF('1.연간시수표'!AF64,$BL$7),COUNTIF('1.연간시수표'!AF64,$BM$9),COUNTIF('1.연간시수표'!AF64,$BM$7)),$BF$6,IF(OR(COUNTIF('1.연간시수표'!AF64,$BO$9),COUNTIF('1.연간시수표'!AF64,$BO$7)),$BO$6,IF(OR(COUNTIF('1.연간시수표'!AF64,$BP$9),COUNTIF('1.연간시수표'!AF64,$BP$7)),$BP$6,IF(OR(COUNTIF('1.연간시수표'!AF64,$BQ$9),COUNTIF('1.연간시수표'!AF64,$BQ$7)),$BQ$6,IF(OR(COUNTIF('1.연간시수표'!AF64,$BR$9),COUNTIF('1.연간시수표'!AF64,$BR$7)),$BR$6,"_")))))))))))))))</f>
        <v>영어</v>
      </c>
      <c r="AG64" s="148" t="str">
        <f>IF(OR(COUNTIF('1.연간시수표'!AG64,$AT$9),COUNTIF('1.연간시수표'!AG64,$AT$7)),$AT$6,IF(OR(COUNTIF('1.연간시수표'!AG64,$AU$9),COUNTIF('1.연간시수표'!AG64,$AU$7)),$AU$6,IF(OR(COUNTIF('1.연간시수표'!AG64,$AV$9),COUNTIF('1.연간시수표'!AG64,$AV$7)),$AV$6,IF(OR(COUNTIF('1.연간시수표'!AG64,$AW$9),COUNTIF('1.연간시수표'!AG64,$AW$7)),$AW$6,IF(OR(COUNTIF('1.연간시수표'!AG64,$AX$9),COUNTIF('1.연간시수표'!AG64,$AX$7)),$AX$6,IF(OR(COUNTIF('1.연간시수표'!AG64,$AY$9),COUNTIF('1.연간시수표'!AG64,$AY$7)),$AY$6,IF(OR(COUNTIF('1.연간시수표'!AG64,$AZ$9),COUNTIF('1.연간시수표'!AG64,$AZ$7)),$AZ$6,IF(OR(COUNTIF('1.연간시수표'!AG64,$BA$9),COUNTIF('1.연간시수표'!AG64,$BA$7)),$BA$6,IF(OR(COUNTIF('1.연간시수표'!AG64,$BB$9),COUNTIF('1.연간시수표'!AG64,$BB$7)),$BB$6,IF(OR(COUNTIF('1.연간시수표'!AG64,$BC$9),COUNTIF('1.연간시수표'!AG64,$BC$7)),$BC$6,IF(OR(COUNTIF('1.연간시수표'!AG64,$BF$9),COUNTIF('1.연간시수표'!AG64,$BF$7),COUNTIF('1.연간시수표'!AG64,$BG$9),COUNTIF('1.연간시수표'!AG64,$BG$7),COUNTIF('1.연간시수표'!AG64,$BH$9),COUNTIF('1.연간시수표'!AG64,$BH$7),COUNTIF('1.연간시수표'!AG64,$BI$9),COUNTIF('1.연간시수표'!AG64,$BI$7),COUNTIF('1.연간시수표'!AG64,$BJ$9),COUNTIF('1.연간시수표'!AG64,$BJ$7),COUNTIF('1.연간시수표'!AG64,$BK$9),COUNTIF('1.연간시수표'!AG64,$BK$7),COUNTIF('1.연간시수표'!AG64,$BL$9),COUNTIF('1.연간시수표'!AG64,$BL$7),COUNTIF('1.연간시수표'!AG64,$BM$9),COUNTIF('1.연간시수표'!AG64,$BM$7)),$BF$6,IF(OR(COUNTIF('1.연간시수표'!AG64,$BO$9),COUNTIF('1.연간시수표'!AG64,$BO$7)),$BO$6,IF(OR(COUNTIF('1.연간시수표'!AG64,$BP$9),COUNTIF('1.연간시수표'!AG64,$BP$7)),$BP$6,IF(OR(COUNTIF('1.연간시수표'!AG64,$BQ$9),COUNTIF('1.연간시수표'!AG64,$BQ$7)),$BQ$6,IF(OR(COUNTIF('1.연간시수표'!AG64,$BR$9),COUNTIF('1.연간시수표'!AG64,$BR$7)),$BR$6,"_")))))))))))))))</f>
        <v>동아리활동</v>
      </c>
      <c r="AH64" s="148" t="str">
        <f>IF(OR(COUNTIF('1.연간시수표'!AH64,$AT$9),COUNTIF('1.연간시수표'!AH64,$AT$7)),$AT$6,IF(OR(COUNTIF('1.연간시수표'!AH64,$AU$9),COUNTIF('1.연간시수표'!AH64,$AU$7)),$AU$6,IF(OR(COUNTIF('1.연간시수표'!AH64,$AV$9),COUNTIF('1.연간시수표'!AH64,$AV$7)),$AV$6,IF(OR(COUNTIF('1.연간시수표'!AH64,$AW$9),COUNTIF('1.연간시수표'!AH64,$AW$7)),$AW$6,IF(OR(COUNTIF('1.연간시수표'!AH64,$AX$9),COUNTIF('1.연간시수표'!AH64,$AX$7)),$AX$6,IF(OR(COUNTIF('1.연간시수표'!AH64,$AY$9),COUNTIF('1.연간시수표'!AH64,$AY$7)),$AY$6,IF(OR(COUNTIF('1.연간시수표'!AH64,$AZ$9),COUNTIF('1.연간시수표'!AH64,$AZ$7)),$AZ$6,IF(OR(COUNTIF('1.연간시수표'!AH64,$BA$9),COUNTIF('1.연간시수표'!AH64,$BA$7)),$BA$6,IF(OR(COUNTIF('1.연간시수표'!AH64,$BB$9),COUNTIF('1.연간시수표'!AH64,$BB$7)),$BB$6,IF(OR(COUNTIF('1.연간시수표'!AH64,$BC$9),COUNTIF('1.연간시수표'!AH64,$BC$7)),$BC$6,IF(OR(COUNTIF('1.연간시수표'!AH64,$BF$9),COUNTIF('1.연간시수표'!AH64,$BF$7),COUNTIF('1.연간시수표'!AH64,$BG$9),COUNTIF('1.연간시수표'!AH64,$BG$7),COUNTIF('1.연간시수표'!AH64,$BH$9),COUNTIF('1.연간시수표'!AH64,$BH$7),COUNTIF('1.연간시수표'!AH64,$BI$9),COUNTIF('1.연간시수표'!AH64,$BI$7),COUNTIF('1.연간시수표'!AH64,$BJ$9),COUNTIF('1.연간시수표'!AH64,$BJ$7),COUNTIF('1.연간시수표'!AH64,$BK$9),COUNTIF('1.연간시수표'!AH64,$BK$7),COUNTIF('1.연간시수표'!AH64,$BL$9),COUNTIF('1.연간시수표'!AH64,$BL$7),COUNTIF('1.연간시수표'!AH64,$BM$9),COUNTIF('1.연간시수표'!AH64,$BM$7)),$BF$6,IF(OR(COUNTIF('1.연간시수표'!AH64,$BO$9),COUNTIF('1.연간시수표'!AH64,$BO$7)),$BO$6,IF(OR(COUNTIF('1.연간시수표'!AH64,$BP$9),COUNTIF('1.연간시수표'!AH64,$BP$7)),$BP$6,IF(OR(COUNTIF('1.연간시수표'!AH64,$BQ$9),COUNTIF('1.연간시수표'!AH64,$BQ$7)),$BQ$6,IF(OR(COUNTIF('1.연간시수표'!AH64,$BR$9),COUNTIF('1.연간시수표'!AH64,$BR$7)),$BR$6,"_")))))))))))))))</f>
        <v>동아리활동</v>
      </c>
      <c r="AI64" s="148" t="str">
        <f>IF(OR(COUNTIF('1.연간시수표'!AI64,$AT$9),COUNTIF('1.연간시수표'!AI64,$AT$7)),$AT$6,IF(OR(COUNTIF('1.연간시수표'!AI64,$AU$9),COUNTIF('1.연간시수표'!AI64,$AU$7)),$AU$6,IF(OR(COUNTIF('1.연간시수표'!AI64,$AV$9),COUNTIF('1.연간시수표'!AI64,$AV$7)),$AV$6,IF(OR(COUNTIF('1.연간시수표'!AI64,$AW$9),COUNTIF('1.연간시수표'!AI64,$AW$7)),$AW$6,IF(OR(COUNTIF('1.연간시수표'!AI64,$AX$9),COUNTIF('1.연간시수표'!AI64,$AX$7)),$AX$6,IF(OR(COUNTIF('1.연간시수표'!AI64,$AY$9),COUNTIF('1.연간시수표'!AI64,$AY$7)),$AY$6,IF(OR(COUNTIF('1.연간시수표'!AI64,$AZ$9),COUNTIF('1.연간시수표'!AI64,$AZ$7)),$AZ$6,IF(OR(COUNTIF('1.연간시수표'!AI64,$BA$9),COUNTIF('1.연간시수표'!AI64,$BA$7)),$BA$6,IF(OR(COUNTIF('1.연간시수표'!AI64,$BB$9),COUNTIF('1.연간시수표'!AI64,$BB$7)),$BB$6,IF(OR(COUNTIF('1.연간시수표'!AI64,$BC$9),COUNTIF('1.연간시수표'!AI64,$BC$7)),$BC$6,IF(OR(COUNTIF('1.연간시수표'!AI64,$BF$9),COUNTIF('1.연간시수표'!AI64,$BF$7),COUNTIF('1.연간시수표'!AI64,$BG$9),COUNTIF('1.연간시수표'!AI64,$BG$7),COUNTIF('1.연간시수표'!AI64,$BH$9),COUNTIF('1.연간시수표'!AI64,$BH$7),COUNTIF('1.연간시수표'!AI64,$BI$9),COUNTIF('1.연간시수표'!AI64,$BI$7),COUNTIF('1.연간시수표'!AI64,$BJ$9),COUNTIF('1.연간시수표'!AI64,$BJ$7),COUNTIF('1.연간시수표'!AI64,$BK$9),COUNTIF('1.연간시수표'!AI64,$BK$7),COUNTIF('1.연간시수표'!AI64,$BL$9),COUNTIF('1.연간시수표'!AI64,$BL$7),COUNTIF('1.연간시수표'!AI64,$BM$9),COUNTIF('1.연간시수표'!AI64,$BM$7)),$BF$6,IF(OR(COUNTIF('1.연간시수표'!AI64,$BO$9),COUNTIF('1.연간시수표'!AI64,$BO$7)),$BO$6,IF(OR(COUNTIF('1.연간시수표'!AI64,$BP$9),COUNTIF('1.연간시수표'!AI64,$BP$7)),$BP$6,IF(OR(COUNTIF('1.연간시수표'!AI64,$BQ$9),COUNTIF('1.연간시수표'!AI64,$BQ$7)),$BQ$6,IF(OR(COUNTIF('1.연간시수표'!AI64,$BR$9),COUNTIF('1.연간시수표'!AI64,$BR$7)),$BR$6,"_")))))))))))))))</f>
        <v>_</v>
      </c>
      <c r="AJ64" s="148" t="str">
        <f>IF(OR(COUNTIF('1.연간시수표'!AJ64,$AT$9),COUNTIF('1.연간시수표'!AJ64,$AT$7)),$AT$6,IF(OR(COUNTIF('1.연간시수표'!AJ64,$AU$9),COUNTIF('1.연간시수표'!AJ64,$AU$7)),$AU$6,IF(OR(COUNTIF('1.연간시수표'!AJ64,$AV$9),COUNTIF('1.연간시수표'!AJ64,$AV$7)),$AV$6,IF(OR(COUNTIF('1.연간시수표'!AJ64,$AW$9),COUNTIF('1.연간시수표'!AJ64,$AW$7)),$AW$6,IF(OR(COUNTIF('1.연간시수표'!AJ64,$AX$9),COUNTIF('1.연간시수표'!AJ64,$AX$7)),$AX$6,IF(OR(COUNTIF('1.연간시수표'!AJ64,$AY$9),COUNTIF('1.연간시수표'!AJ64,$AY$7)),$AY$6,IF(OR(COUNTIF('1.연간시수표'!AJ64,$AZ$9),COUNTIF('1.연간시수표'!AJ64,$AZ$7)),$AZ$6,IF(OR(COUNTIF('1.연간시수표'!AJ64,$BA$9),COUNTIF('1.연간시수표'!AJ64,$BA$7)),$BA$6,IF(OR(COUNTIF('1.연간시수표'!AJ64,$BB$9),COUNTIF('1.연간시수표'!AJ64,$BB$7)),$BB$6,IF(OR(COUNTIF('1.연간시수표'!AJ64,$BC$9),COUNTIF('1.연간시수표'!AJ64,$BC$7)),$BC$6,IF(OR(COUNTIF('1.연간시수표'!AJ64,$BF$9),COUNTIF('1.연간시수표'!AJ64,$BF$7),COUNTIF('1.연간시수표'!AJ64,$BG$9),COUNTIF('1.연간시수표'!AJ64,$BG$7),COUNTIF('1.연간시수표'!AJ64,$BH$9),COUNTIF('1.연간시수표'!AJ64,$BH$7),COUNTIF('1.연간시수표'!AJ64,$BI$9),COUNTIF('1.연간시수표'!AJ64,$BI$7),COUNTIF('1.연간시수표'!AJ64,$BJ$9),COUNTIF('1.연간시수표'!AJ64,$BJ$7),COUNTIF('1.연간시수표'!AJ64,$BK$9),COUNTIF('1.연간시수표'!AJ64,$BK$7),COUNTIF('1.연간시수표'!AJ64,$BL$9),COUNTIF('1.연간시수표'!AJ64,$BL$7),COUNTIF('1.연간시수표'!AJ64,$BM$9),COUNTIF('1.연간시수표'!AJ64,$BM$7)),$BF$6,IF(OR(COUNTIF('1.연간시수표'!AJ64,$BO$9),COUNTIF('1.연간시수표'!AJ64,$BO$7)),$BO$6,IF(OR(COUNTIF('1.연간시수표'!AJ64,$BP$9),COUNTIF('1.연간시수표'!AJ64,$BP$7)),$BP$6,IF(OR(COUNTIF('1.연간시수표'!AJ64,$BQ$9),COUNTIF('1.연간시수표'!AJ64,$BQ$7)),$BQ$6,IF(OR(COUNTIF('1.연간시수표'!AJ64,$BR$9),COUNTIF('1.연간시수표'!AJ64,$BR$7)),$BR$6,"_")))))))))))))))</f>
        <v>_</v>
      </c>
      <c r="AK64" s="148" t="str">
        <f>IF(OR(COUNTIF('1.연간시수표'!AK64,$AT$9),COUNTIF('1.연간시수표'!AK64,$AT$7)),$AT$6,IF(OR(COUNTIF('1.연간시수표'!AK64,$AU$9),COUNTIF('1.연간시수표'!AK64,$AU$7)),$AU$6,IF(OR(COUNTIF('1.연간시수표'!AK64,$AV$9),COUNTIF('1.연간시수표'!AK64,$AV$7)),$AV$6,IF(OR(COUNTIF('1.연간시수표'!AK64,$AW$9),COUNTIF('1.연간시수표'!AK64,$AW$7)),$AW$6,IF(OR(COUNTIF('1.연간시수표'!AK64,$AX$9),COUNTIF('1.연간시수표'!AK64,$AX$7)),$AX$6,IF(OR(COUNTIF('1.연간시수표'!AK64,$AY$9),COUNTIF('1.연간시수표'!AK64,$AY$7)),$AY$6,IF(OR(COUNTIF('1.연간시수표'!AK64,$AZ$9),COUNTIF('1.연간시수표'!AK64,$AZ$7)),$AZ$6,IF(OR(COUNTIF('1.연간시수표'!AK64,$BA$9),COUNTIF('1.연간시수표'!AK64,$BA$7)),$BA$6,IF(OR(COUNTIF('1.연간시수표'!AK64,$BB$9),COUNTIF('1.연간시수표'!AK64,$BB$7)),$BB$6,IF(OR(COUNTIF('1.연간시수표'!AK64,$BC$9),COUNTIF('1.연간시수표'!AK64,$BC$7)),$BC$6,IF(OR(COUNTIF('1.연간시수표'!AK64,$BF$9),COUNTIF('1.연간시수표'!AK64,$BF$7),COUNTIF('1.연간시수표'!AK64,$BG$9),COUNTIF('1.연간시수표'!AK64,$BG$7),COUNTIF('1.연간시수표'!AK64,$BH$9),COUNTIF('1.연간시수표'!AK64,$BH$7),COUNTIF('1.연간시수표'!AK64,$BI$9),COUNTIF('1.연간시수표'!AK64,$BI$7),COUNTIF('1.연간시수표'!AK64,$BJ$9),COUNTIF('1.연간시수표'!AK64,$BJ$7),COUNTIF('1.연간시수표'!AK64,$BK$9),COUNTIF('1.연간시수표'!AK64,$BK$7),COUNTIF('1.연간시수표'!AK64,$BL$9),COUNTIF('1.연간시수표'!AK64,$BL$7),COUNTIF('1.연간시수표'!AK64,$BM$9),COUNTIF('1.연간시수표'!AK64,$BM$7)),$BF$6,IF(OR(COUNTIF('1.연간시수표'!AK64,$BO$9),COUNTIF('1.연간시수표'!AK64,$BO$7)),$BO$6,IF(OR(COUNTIF('1.연간시수표'!AK64,$BP$9),COUNTIF('1.연간시수표'!AK64,$BP$7)),$BP$6,IF(OR(COUNTIF('1.연간시수표'!AK64,$BQ$9),COUNTIF('1.연간시수표'!AK64,$BQ$7)),$BQ$6,IF(OR(COUNTIF('1.연간시수표'!AK64,$BR$9),COUNTIF('1.연간시수표'!AK64,$BR$7)),$BR$6,"_")))))))))))))))</f>
        <v>국어</v>
      </c>
      <c r="AL64" s="148" t="str">
        <f>IF(OR(COUNTIF('1.연간시수표'!AL64,$AT$9),COUNTIF('1.연간시수표'!AL64,$AT$7)),$AT$6,IF(OR(COUNTIF('1.연간시수표'!AL64,$AU$9),COUNTIF('1.연간시수표'!AL64,$AU$7)),$AU$6,IF(OR(COUNTIF('1.연간시수표'!AL64,$AV$9),COUNTIF('1.연간시수표'!AL64,$AV$7)),$AV$6,IF(OR(COUNTIF('1.연간시수표'!AL64,$AW$9),COUNTIF('1.연간시수표'!AL64,$AW$7)),$AW$6,IF(OR(COUNTIF('1.연간시수표'!AL64,$AX$9),COUNTIF('1.연간시수표'!AL64,$AX$7)),$AX$6,IF(OR(COUNTIF('1.연간시수표'!AL64,$AY$9),COUNTIF('1.연간시수표'!AL64,$AY$7)),$AY$6,IF(OR(COUNTIF('1.연간시수표'!AL64,$AZ$9),COUNTIF('1.연간시수표'!AL64,$AZ$7)),$AZ$6,IF(OR(COUNTIF('1.연간시수표'!AL64,$BA$9),COUNTIF('1.연간시수표'!AL64,$BA$7)),$BA$6,IF(OR(COUNTIF('1.연간시수표'!AL64,$BB$9),COUNTIF('1.연간시수표'!AL64,$BB$7)),$BB$6,IF(OR(COUNTIF('1.연간시수표'!AL64,$BC$9),COUNTIF('1.연간시수표'!AL64,$BC$7)),$BC$6,IF(OR(COUNTIF('1.연간시수표'!AL64,$BF$9),COUNTIF('1.연간시수표'!AL64,$BF$7),COUNTIF('1.연간시수표'!AL64,$BG$9),COUNTIF('1.연간시수표'!AL64,$BG$7),COUNTIF('1.연간시수표'!AL64,$BH$9),COUNTIF('1.연간시수표'!AL64,$BH$7),COUNTIF('1.연간시수표'!AL64,$BI$9),COUNTIF('1.연간시수표'!AL64,$BI$7),COUNTIF('1.연간시수표'!AL64,$BJ$9),COUNTIF('1.연간시수표'!AL64,$BJ$7),COUNTIF('1.연간시수표'!AL64,$BK$9),COUNTIF('1.연간시수표'!AL64,$BK$7),COUNTIF('1.연간시수표'!AL64,$BL$9),COUNTIF('1.연간시수표'!AL64,$BL$7),COUNTIF('1.연간시수표'!AL64,$BM$9),COUNTIF('1.연간시수표'!AL64,$BM$7)),$BF$6,IF(OR(COUNTIF('1.연간시수표'!AL64,$BO$9),COUNTIF('1.연간시수표'!AL64,$BO$7)),$BO$6,IF(OR(COUNTIF('1.연간시수표'!AL64,$BP$9),COUNTIF('1.연간시수표'!AL64,$BP$7)),$BP$6,IF(OR(COUNTIF('1.연간시수표'!AL64,$BQ$9),COUNTIF('1.연간시수표'!AL64,$BQ$7)),$BQ$6,IF(OR(COUNTIF('1.연간시수표'!AL64,$BR$9),COUNTIF('1.연간시수표'!AL64,$BR$7)),$BR$6,"_")))))))))))))))</f>
        <v>체육</v>
      </c>
      <c r="AM64" s="148" t="str">
        <f>IF(OR(COUNTIF('1.연간시수표'!AM64,$AT$9),COUNTIF('1.연간시수표'!AM64,$AT$7)),$AT$6,IF(OR(COUNTIF('1.연간시수표'!AM64,$AU$9),COUNTIF('1.연간시수표'!AM64,$AU$7)),$AU$6,IF(OR(COUNTIF('1.연간시수표'!AM64,$AV$9),COUNTIF('1.연간시수표'!AM64,$AV$7)),$AV$6,IF(OR(COUNTIF('1.연간시수표'!AM64,$AW$9),COUNTIF('1.연간시수표'!AM64,$AW$7)),$AW$6,IF(OR(COUNTIF('1.연간시수표'!AM64,$AX$9),COUNTIF('1.연간시수표'!AM64,$AX$7)),$AX$6,IF(OR(COUNTIF('1.연간시수표'!AM64,$AY$9),COUNTIF('1.연간시수표'!AM64,$AY$7)),$AY$6,IF(OR(COUNTIF('1.연간시수표'!AM64,$AZ$9),COUNTIF('1.연간시수표'!AM64,$AZ$7)),$AZ$6,IF(OR(COUNTIF('1.연간시수표'!AM64,$BA$9),COUNTIF('1.연간시수표'!AM64,$BA$7)),$BA$6,IF(OR(COUNTIF('1.연간시수표'!AM64,$BB$9),COUNTIF('1.연간시수표'!AM64,$BB$7)),$BB$6,IF(OR(COUNTIF('1.연간시수표'!AM64,$BC$9),COUNTIF('1.연간시수표'!AM64,$BC$7)),$BC$6,IF(OR(COUNTIF('1.연간시수표'!AM64,$BF$9),COUNTIF('1.연간시수표'!AM64,$BF$7),COUNTIF('1.연간시수표'!AM64,$BG$9),COUNTIF('1.연간시수표'!AM64,$BG$7),COUNTIF('1.연간시수표'!AM64,$BH$9),COUNTIF('1.연간시수표'!AM64,$BH$7),COUNTIF('1.연간시수표'!AM64,$BI$9),COUNTIF('1.연간시수표'!AM64,$BI$7),COUNTIF('1.연간시수표'!AM64,$BJ$9),COUNTIF('1.연간시수표'!AM64,$BJ$7),COUNTIF('1.연간시수표'!AM64,$BK$9),COUNTIF('1.연간시수표'!AM64,$BK$7),COUNTIF('1.연간시수표'!AM64,$BL$9),COUNTIF('1.연간시수표'!AM64,$BL$7),COUNTIF('1.연간시수표'!AM64,$BM$9),COUNTIF('1.연간시수표'!AM64,$BM$7)),$BF$6,IF(OR(COUNTIF('1.연간시수표'!AM64,$BO$9),COUNTIF('1.연간시수표'!AM64,$BO$7)),$BO$6,IF(OR(COUNTIF('1.연간시수표'!AM64,$BP$9),COUNTIF('1.연간시수표'!AM64,$BP$7)),$BP$6,IF(OR(COUNTIF('1.연간시수표'!AM64,$BQ$9),COUNTIF('1.연간시수표'!AM64,$BQ$7)),$BQ$6,IF(OR(COUNTIF('1.연간시수표'!AM64,$BR$9),COUNTIF('1.연간시수표'!AM64,$BR$7)),$BR$6,"_")))))))))))))))</f>
        <v>수학</v>
      </c>
      <c r="AN64" s="148" t="str">
        <f>IF(OR(COUNTIF('1.연간시수표'!AN64,$AT$9),COUNTIF('1.연간시수표'!AN64,$AT$7)),$AT$6,IF(OR(COUNTIF('1.연간시수표'!AN64,$AU$9),COUNTIF('1.연간시수표'!AN64,$AU$7)),$AU$6,IF(OR(COUNTIF('1.연간시수표'!AN64,$AV$9),COUNTIF('1.연간시수표'!AN64,$AV$7)),$AV$6,IF(OR(COUNTIF('1.연간시수표'!AN64,$AW$9),COUNTIF('1.연간시수표'!AN64,$AW$7)),$AW$6,IF(OR(COUNTIF('1.연간시수표'!AN64,$AX$9),COUNTIF('1.연간시수표'!AN64,$AX$7)),$AX$6,IF(OR(COUNTIF('1.연간시수표'!AN64,$AY$9),COUNTIF('1.연간시수표'!AN64,$AY$7)),$AY$6,IF(OR(COUNTIF('1.연간시수표'!AN64,$AZ$9),COUNTIF('1.연간시수표'!AN64,$AZ$7)),$AZ$6,IF(OR(COUNTIF('1.연간시수표'!AN64,$BA$9),COUNTIF('1.연간시수표'!AN64,$BA$7)),$BA$6,IF(OR(COUNTIF('1.연간시수표'!AN64,$BB$9),COUNTIF('1.연간시수표'!AN64,$BB$7)),$BB$6,IF(OR(COUNTIF('1.연간시수표'!AN64,$BC$9),COUNTIF('1.연간시수표'!AN64,$BC$7)),$BC$6,IF(OR(COUNTIF('1.연간시수표'!AN64,$BF$9),COUNTIF('1.연간시수표'!AN64,$BF$7),COUNTIF('1.연간시수표'!AN64,$BG$9),COUNTIF('1.연간시수표'!AN64,$BG$7),COUNTIF('1.연간시수표'!AN64,$BH$9),COUNTIF('1.연간시수표'!AN64,$BH$7),COUNTIF('1.연간시수표'!AN64,$BI$9),COUNTIF('1.연간시수표'!AN64,$BI$7),COUNTIF('1.연간시수표'!AN64,$BJ$9),COUNTIF('1.연간시수표'!AN64,$BJ$7),COUNTIF('1.연간시수표'!AN64,$BK$9),COUNTIF('1.연간시수표'!AN64,$BK$7),COUNTIF('1.연간시수표'!AN64,$BL$9),COUNTIF('1.연간시수표'!AN64,$BL$7),COUNTIF('1.연간시수표'!AN64,$BM$9),COUNTIF('1.연간시수표'!AN64,$BM$7)),$BF$6,IF(OR(COUNTIF('1.연간시수표'!AN64,$BO$9),COUNTIF('1.연간시수표'!AN64,$BO$7)),$BO$6,IF(OR(COUNTIF('1.연간시수표'!AN64,$BP$9),COUNTIF('1.연간시수표'!AN64,$BP$7)),$BP$6,IF(OR(COUNTIF('1.연간시수표'!AN64,$BQ$9),COUNTIF('1.연간시수표'!AN64,$BQ$7)),$BQ$6,IF(OR(COUNTIF('1.연간시수표'!AN64,$BR$9),COUNTIF('1.연간시수표'!AN64,$BR$7)),$BR$6,"_")))))))))))))))</f>
        <v>국어</v>
      </c>
      <c r="AO64" s="148" t="str">
        <f>IF(OR(COUNTIF('1.연간시수표'!AO64,$AT$9),COUNTIF('1.연간시수표'!AO64,$AT$7)),$AT$6,IF(OR(COUNTIF('1.연간시수표'!AO64,$AU$9),COUNTIF('1.연간시수표'!AO64,$AU$7)),$AU$6,IF(OR(COUNTIF('1.연간시수표'!AO64,$AV$9),COUNTIF('1.연간시수표'!AO64,$AV$7)),$AV$6,IF(OR(COUNTIF('1.연간시수표'!AO64,$AW$9),COUNTIF('1.연간시수표'!AO64,$AW$7)),$AW$6,IF(OR(COUNTIF('1.연간시수표'!AO64,$AX$9),COUNTIF('1.연간시수표'!AO64,$AX$7)),$AX$6,IF(OR(COUNTIF('1.연간시수표'!AO64,$AY$9),COUNTIF('1.연간시수표'!AO64,$AY$7)),$AY$6,IF(OR(COUNTIF('1.연간시수표'!AO64,$AZ$9),COUNTIF('1.연간시수표'!AO64,$AZ$7)),$AZ$6,IF(OR(COUNTIF('1.연간시수표'!AO64,$BA$9),COUNTIF('1.연간시수표'!AO64,$BA$7)),$BA$6,IF(OR(COUNTIF('1.연간시수표'!AO64,$BB$9),COUNTIF('1.연간시수표'!AO64,$BB$7)),$BB$6,IF(OR(COUNTIF('1.연간시수표'!AO64,$BC$9),COUNTIF('1.연간시수표'!AO64,$BC$7)),$BC$6,IF(OR(COUNTIF('1.연간시수표'!AO64,$BF$9),COUNTIF('1.연간시수표'!AO64,$BF$7),COUNTIF('1.연간시수표'!AO64,$BG$9),COUNTIF('1.연간시수표'!AO64,$BG$7),COUNTIF('1.연간시수표'!AO64,$BH$9),COUNTIF('1.연간시수표'!AO64,$BH$7),COUNTIF('1.연간시수표'!AO64,$BI$9),COUNTIF('1.연간시수표'!AO64,$BI$7),COUNTIF('1.연간시수표'!AO64,$BJ$9),COUNTIF('1.연간시수표'!AO64,$BJ$7),COUNTIF('1.연간시수표'!AO64,$BK$9),COUNTIF('1.연간시수표'!AO64,$BK$7),COUNTIF('1.연간시수표'!AO64,$BL$9),COUNTIF('1.연간시수표'!AO64,$BL$7),COUNTIF('1.연간시수표'!AO64,$BM$9),COUNTIF('1.연간시수표'!AO64,$BM$7)),$BF$6,IF(OR(COUNTIF('1.연간시수표'!AO64,$BO$9),COUNTIF('1.연간시수표'!AO64,$BO$7)),$BO$6,IF(OR(COUNTIF('1.연간시수표'!AO64,$BP$9),COUNTIF('1.연간시수표'!AO64,$BP$7)),$BP$6,IF(OR(COUNTIF('1.연간시수표'!AO64,$BQ$9),COUNTIF('1.연간시수표'!AO64,$BQ$7)),$BQ$6,IF(OR(COUNTIF('1.연간시수표'!AO64,$BR$9),COUNTIF('1.연간시수표'!AO64,$BR$7)),$BR$6,"_")))))))))))))))</f>
        <v>사회</v>
      </c>
      <c r="AP64" s="148" t="str">
        <f>IF(OR(COUNTIF('1.연간시수표'!AP64,$AT$9),COUNTIF('1.연간시수표'!AP64,$AT$7)),$AT$6,IF(OR(COUNTIF('1.연간시수표'!AP64,$AU$9),COUNTIF('1.연간시수표'!AP64,$AU$7)),$AU$6,IF(OR(COUNTIF('1.연간시수표'!AP64,$AV$9),COUNTIF('1.연간시수표'!AP64,$AV$7)),$AV$6,IF(OR(COUNTIF('1.연간시수표'!AP64,$AW$9),COUNTIF('1.연간시수표'!AP64,$AW$7)),$AW$6,IF(OR(COUNTIF('1.연간시수표'!AP64,$AX$9),COUNTIF('1.연간시수표'!AP64,$AX$7)),$AX$6,IF(OR(COUNTIF('1.연간시수표'!AP64,$AY$9),COUNTIF('1.연간시수표'!AP64,$AY$7)),$AY$6,IF(OR(COUNTIF('1.연간시수표'!AP64,$AZ$9),COUNTIF('1.연간시수표'!AP64,$AZ$7)),$AZ$6,IF(OR(COUNTIF('1.연간시수표'!AP64,$BA$9),COUNTIF('1.연간시수표'!AP64,$BA$7)),$BA$6,IF(OR(COUNTIF('1.연간시수표'!AP64,$BB$9),COUNTIF('1.연간시수표'!AP64,$BB$7)),$BB$6,IF(OR(COUNTIF('1.연간시수표'!AP64,$BC$9),COUNTIF('1.연간시수표'!AP64,$BC$7)),$BC$6,IF(OR(COUNTIF('1.연간시수표'!AP64,$BF$9),COUNTIF('1.연간시수표'!AP64,$BF$7),COUNTIF('1.연간시수표'!AP64,$BG$9),COUNTIF('1.연간시수표'!AP64,$BG$7),COUNTIF('1.연간시수표'!AP64,$BH$9),COUNTIF('1.연간시수표'!AP64,$BH$7),COUNTIF('1.연간시수표'!AP64,$BI$9),COUNTIF('1.연간시수표'!AP64,$BI$7),COUNTIF('1.연간시수표'!AP64,$BJ$9),COUNTIF('1.연간시수표'!AP64,$BJ$7),COUNTIF('1.연간시수표'!AP64,$BK$9),COUNTIF('1.연간시수표'!AP64,$BK$7),COUNTIF('1.연간시수표'!AP64,$BL$9),COUNTIF('1.연간시수표'!AP64,$BL$7),COUNTIF('1.연간시수표'!AP64,$BM$9),COUNTIF('1.연간시수표'!AP64,$BM$7)),$BF$6,IF(OR(COUNTIF('1.연간시수표'!AP64,$BO$9),COUNTIF('1.연간시수표'!AP64,$BO$7)),$BO$6,IF(OR(COUNTIF('1.연간시수표'!AP64,$BP$9),COUNTIF('1.연간시수표'!AP64,$BP$7)),$BP$6,IF(OR(COUNTIF('1.연간시수표'!AP64,$BQ$9),COUNTIF('1.연간시수표'!AP64,$BQ$7)),$BQ$6,IF(OR(COUNTIF('1.연간시수표'!AP64,$BR$9),COUNTIF('1.연간시수표'!AP64,$BR$7)),$BR$6,"_")))))))))))))))</f>
        <v>실과</v>
      </c>
      <c r="AQ64" s="148" t="str">
        <f>IF(OR(COUNTIF('1.연간시수표'!AQ64,$AT$9),COUNTIF('1.연간시수표'!AQ64,$AT$7)),$AT$6,IF(OR(COUNTIF('1.연간시수표'!AQ64,$AU$9),COUNTIF('1.연간시수표'!AQ64,$AU$7)),$AU$6,IF(OR(COUNTIF('1.연간시수표'!AQ64,$AV$9),COUNTIF('1.연간시수표'!AQ64,$AV$7)),$AV$6,IF(OR(COUNTIF('1.연간시수표'!AQ64,$AW$9),COUNTIF('1.연간시수표'!AQ64,$AW$7)),$AW$6,IF(OR(COUNTIF('1.연간시수표'!AQ64,$AX$9),COUNTIF('1.연간시수표'!AQ64,$AX$7)),$AX$6,IF(OR(COUNTIF('1.연간시수표'!AQ64,$AY$9),COUNTIF('1.연간시수표'!AQ64,$AY$7)),$AY$6,IF(OR(COUNTIF('1.연간시수표'!AQ64,$AZ$9),COUNTIF('1.연간시수표'!AQ64,$AZ$7)),$AZ$6,IF(OR(COUNTIF('1.연간시수표'!AQ64,$BA$9),COUNTIF('1.연간시수표'!AQ64,$BA$7)),$BA$6,IF(OR(COUNTIF('1.연간시수표'!AQ64,$BB$9),COUNTIF('1.연간시수표'!AQ64,$BB$7)),$BB$6,IF(OR(COUNTIF('1.연간시수표'!AQ64,$BC$9),COUNTIF('1.연간시수표'!AQ64,$BC$7)),$BC$6,IF(OR(COUNTIF('1.연간시수표'!AQ64,$BF$9),COUNTIF('1.연간시수표'!AQ64,$BF$7),COUNTIF('1.연간시수표'!AQ64,$BG$9),COUNTIF('1.연간시수표'!AQ64,$BG$7),COUNTIF('1.연간시수표'!AQ64,$BH$9),COUNTIF('1.연간시수표'!AQ64,$BH$7),COUNTIF('1.연간시수표'!AQ64,$BI$9),COUNTIF('1.연간시수표'!AQ64,$BI$7),COUNTIF('1.연간시수표'!AQ64,$BJ$9),COUNTIF('1.연간시수표'!AQ64,$BJ$7),COUNTIF('1.연간시수표'!AQ64,$BK$9),COUNTIF('1.연간시수표'!AQ64,$BK$7),COUNTIF('1.연간시수표'!AQ64,$BL$9),COUNTIF('1.연간시수표'!AQ64,$BL$7),COUNTIF('1.연간시수표'!AQ64,$BM$9),COUNTIF('1.연간시수표'!AQ64,$BM$7)),$BF$6,IF(OR(COUNTIF('1.연간시수표'!AQ64,$BO$9),COUNTIF('1.연간시수표'!AQ64,$BO$7)),$BO$6,IF(OR(COUNTIF('1.연간시수표'!AQ64,$BP$9),COUNTIF('1.연간시수표'!AQ64,$BP$7)),$BP$6,IF(OR(COUNTIF('1.연간시수표'!AQ64,$BQ$9),COUNTIF('1.연간시수표'!AQ64,$BQ$7)),$BQ$6,IF(OR(COUNTIF('1.연간시수표'!AQ64,$BR$9),COUNTIF('1.연간시수표'!AQ64,$BR$7)),$BR$6,"_")))))))))))))))</f>
        <v>_</v>
      </c>
      <c r="AR64" s="148" t="str">
        <f>IF(OR(COUNTIF('1.연간시수표'!AR64,$AT$9),COUNTIF('1.연간시수표'!AR64,$AT$7)),$AT$6,IF(OR(COUNTIF('1.연간시수표'!AR64,$AU$9),COUNTIF('1.연간시수표'!AR64,$AU$7)),$AU$6,IF(OR(COUNTIF('1.연간시수표'!AR64,$AV$9),COUNTIF('1.연간시수표'!AR64,$AV$7)),$AV$6,IF(OR(COUNTIF('1.연간시수표'!AR64,$AW$9),COUNTIF('1.연간시수표'!AR64,$AW$7)),$AW$6,IF(OR(COUNTIF('1.연간시수표'!AR64,$AX$9),COUNTIF('1.연간시수표'!AR64,$AX$7)),$AX$6,IF(OR(COUNTIF('1.연간시수표'!AR64,$AY$9),COUNTIF('1.연간시수표'!AR64,$AY$7)),$AY$6,IF(OR(COUNTIF('1.연간시수표'!AR64,$AZ$9),COUNTIF('1.연간시수표'!AR64,$AZ$7)),$AZ$6,IF(OR(COUNTIF('1.연간시수표'!AR64,$BA$9),COUNTIF('1.연간시수표'!AR64,$BA$7)),$BA$6,IF(OR(COUNTIF('1.연간시수표'!AR64,$BB$9),COUNTIF('1.연간시수표'!AR64,$BB$7)),$BB$6,IF(OR(COUNTIF('1.연간시수표'!AR64,$BC$9),COUNTIF('1.연간시수표'!AR64,$BC$7)),$BC$6,IF(OR(COUNTIF('1.연간시수표'!AR64,$BF$9),COUNTIF('1.연간시수표'!AR64,$BF$7),COUNTIF('1.연간시수표'!AR64,$BG$9),COUNTIF('1.연간시수표'!AR64,$BG$7),COUNTIF('1.연간시수표'!AR64,$BH$9),COUNTIF('1.연간시수표'!AR64,$BH$7),COUNTIF('1.연간시수표'!AR64,$BI$9),COUNTIF('1.연간시수표'!AR64,$BI$7),COUNTIF('1.연간시수표'!AR64,$BJ$9),COUNTIF('1.연간시수표'!AR64,$BJ$7),COUNTIF('1.연간시수표'!AR64,$BK$9),COUNTIF('1.연간시수표'!AR64,$BK$7),COUNTIF('1.연간시수표'!AR64,$BL$9),COUNTIF('1.연간시수표'!AR64,$BL$7),COUNTIF('1.연간시수표'!AR64,$BM$9),COUNTIF('1.연간시수표'!AR64,$BM$7)),$BF$6,IF(OR(COUNTIF('1.연간시수표'!AR64,$BO$9),COUNTIF('1.연간시수표'!AR64,$BO$7)),$BO$6,IF(OR(COUNTIF('1.연간시수표'!AR64,$BP$9),COUNTIF('1.연간시수표'!AR64,$BP$7)),$BP$6,IF(OR(COUNTIF('1.연간시수표'!AR64,$BQ$9),COUNTIF('1.연간시수표'!AR64,$BQ$7)),$BQ$6,IF(OR(COUNTIF('1.연간시수표'!AR64,$BR$9),COUNTIF('1.연간시수표'!AR64,$BR$7)),$BR$6,"_")))))))))))))))</f>
        <v>_</v>
      </c>
    </row>
    <row r="65" spans="2:44">
      <c r="B65" s="6"/>
      <c r="C65" s="79">
        <f>'1.연간시수표'!C65</f>
        <v>34</v>
      </c>
      <c r="D65" s="3"/>
      <c r="E65" s="148" t="str">
        <f>IF(OR(COUNTIF('1.연간시수표'!E65,$AT$9),COUNTIF('1.연간시수표'!E65,$AT$7)),$AT$6,IF(OR(COUNTIF('1.연간시수표'!E65,$AU$9),COUNTIF('1.연간시수표'!E65,$AU$7)),$AU$6,IF(OR(COUNTIF('1.연간시수표'!E65,$AV$9),COUNTIF('1.연간시수표'!E65,$AV$7)),$AV$6,IF(OR(COUNTIF('1.연간시수표'!E65,$AW$9),COUNTIF('1.연간시수표'!E65,$AW$7)),$AW$6,IF(OR(COUNTIF('1.연간시수표'!E65,$AX$9),COUNTIF('1.연간시수표'!E65,$AX$7)),$AX$6,IF(OR(COUNTIF('1.연간시수표'!E65,$AY$9),COUNTIF('1.연간시수표'!E65,$AY$7)),$AY$6,IF(OR(COUNTIF('1.연간시수표'!E65,$AZ$9),COUNTIF('1.연간시수표'!E65,$AZ$7)),$AZ$6,IF(OR(COUNTIF('1.연간시수표'!E65,$BA$9),COUNTIF('1.연간시수표'!E65,$BA$7)),$BA$6,IF(OR(COUNTIF('1.연간시수표'!E65,$BB$9),COUNTIF('1.연간시수표'!E65,$BB$7)),$BB$6,IF(OR(COUNTIF('1.연간시수표'!E65,$BC$9),COUNTIF('1.연간시수표'!E65,$BC$7)),$BC$6,IF(OR(COUNTIF('1.연간시수표'!E65,$BF$9),COUNTIF('1.연간시수표'!E65,$BF$7),COUNTIF('1.연간시수표'!E65,$BG$9),COUNTIF('1.연간시수표'!E65,$BG$7),COUNTIF('1.연간시수표'!E65,$BH$9),COUNTIF('1.연간시수표'!E65,$BH$7),COUNTIF('1.연간시수표'!E65,$BI$9),COUNTIF('1.연간시수표'!E65,$BI$7),COUNTIF('1.연간시수표'!E65,$BJ$9),COUNTIF('1.연간시수표'!E65,$BJ$7),COUNTIF('1.연간시수표'!E65,$BK$9),COUNTIF('1.연간시수표'!E65,$BK$7),COUNTIF('1.연간시수표'!E65,$BL$9),COUNTIF('1.연간시수표'!E65,$BL$7),COUNTIF('1.연간시수표'!E65,$BM$9),COUNTIF('1.연간시수표'!E65,$BM$7)),$BF$6,IF(OR(COUNTIF('1.연간시수표'!E65,$BO$9),COUNTIF('1.연간시수표'!E65,$BO$7)),$BO$6,IF(OR(COUNTIF('1.연간시수표'!E65,$BP$9),COUNTIF('1.연간시수표'!E65,$BP$7)),$BP$6,IF(OR(COUNTIF('1.연간시수표'!E65,$BQ$9),COUNTIF('1.연간시수표'!E65,$BQ$7)),$BQ$6,IF(OR(COUNTIF('1.연간시수표'!E65,$BR$9),COUNTIF('1.연간시수표'!E65,$BR$7)),$BR$6,"_")))))))))))))))</f>
        <v>국어</v>
      </c>
      <c r="F65" s="148" t="str">
        <f>IF(OR(COUNTIF('1.연간시수표'!F65,$AT$9),COUNTIF('1.연간시수표'!F65,$AT$7)),$AT$6,IF(OR(COUNTIF('1.연간시수표'!F65,$AU$9),COUNTIF('1.연간시수표'!F65,$AU$7)),$AU$6,IF(OR(COUNTIF('1.연간시수표'!F65,$AV$9),COUNTIF('1.연간시수표'!F65,$AV$7)),$AV$6,IF(OR(COUNTIF('1.연간시수표'!F65,$AW$9),COUNTIF('1.연간시수표'!F65,$AW$7)),$AW$6,IF(OR(COUNTIF('1.연간시수표'!F65,$AX$9),COUNTIF('1.연간시수표'!F65,$AX$7)),$AX$6,IF(OR(COUNTIF('1.연간시수표'!F65,$AY$9),COUNTIF('1.연간시수표'!F65,$AY$7)),$AY$6,IF(OR(COUNTIF('1.연간시수표'!F65,$AZ$9),COUNTIF('1.연간시수표'!F65,$AZ$7)),$AZ$6,IF(OR(COUNTIF('1.연간시수표'!F65,$BA$9),COUNTIF('1.연간시수표'!F65,$BA$7)),$BA$6,IF(OR(COUNTIF('1.연간시수표'!F65,$BB$9),COUNTIF('1.연간시수표'!F65,$BB$7)),$BB$6,IF(OR(COUNTIF('1.연간시수표'!F65,$BC$9),COUNTIF('1.연간시수표'!F65,$BC$7)),$BC$6,IF(OR(COUNTIF('1.연간시수표'!F65,$BF$9),COUNTIF('1.연간시수표'!F65,$BF$7),COUNTIF('1.연간시수표'!F65,$BG$9),COUNTIF('1.연간시수표'!F65,$BG$7),COUNTIF('1.연간시수표'!F65,$BH$9),COUNTIF('1.연간시수표'!F65,$BH$7),COUNTIF('1.연간시수표'!F65,$BI$9),COUNTIF('1.연간시수표'!F65,$BI$7),COUNTIF('1.연간시수표'!F65,$BJ$9),COUNTIF('1.연간시수표'!F65,$BJ$7),COUNTIF('1.연간시수표'!F65,$BK$9),COUNTIF('1.연간시수표'!F65,$BK$7),COUNTIF('1.연간시수표'!F65,$BL$9),COUNTIF('1.연간시수표'!F65,$BL$7),COUNTIF('1.연간시수표'!F65,$BM$9),COUNTIF('1.연간시수표'!F65,$BM$7)),$BF$6,IF(OR(COUNTIF('1.연간시수표'!F65,$BO$9),COUNTIF('1.연간시수표'!F65,$BO$7)),$BO$6,IF(OR(COUNTIF('1.연간시수표'!F65,$BP$9),COUNTIF('1.연간시수표'!F65,$BP$7)),$BP$6,IF(OR(COUNTIF('1.연간시수표'!F65,$BQ$9),COUNTIF('1.연간시수표'!F65,$BQ$7)),$BQ$6,IF(OR(COUNTIF('1.연간시수표'!F65,$BR$9),COUNTIF('1.연간시수표'!F65,$BR$7)),$BR$6,"_")))))))))))))))</f>
        <v>미술</v>
      </c>
      <c r="G65" s="148" t="str">
        <f>IF(OR(COUNTIF('1.연간시수표'!G65,$AT$9),COUNTIF('1.연간시수표'!G65,$AT$7)),$AT$6,IF(OR(COUNTIF('1.연간시수표'!G65,$AU$9),COUNTIF('1.연간시수표'!G65,$AU$7)),$AU$6,IF(OR(COUNTIF('1.연간시수표'!G65,$AV$9),COUNTIF('1.연간시수표'!G65,$AV$7)),$AV$6,IF(OR(COUNTIF('1.연간시수표'!G65,$AW$9),COUNTIF('1.연간시수표'!G65,$AW$7)),$AW$6,IF(OR(COUNTIF('1.연간시수표'!G65,$AX$9),COUNTIF('1.연간시수표'!G65,$AX$7)),$AX$6,IF(OR(COUNTIF('1.연간시수표'!G65,$AY$9),COUNTIF('1.연간시수표'!G65,$AY$7)),$AY$6,IF(OR(COUNTIF('1.연간시수표'!G65,$AZ$9),COUNTIF('1.연간시수표'!G65,$AZ$7)),$AZ$6,IF(OR(COUNTIF('1.연간시수표'!G65,$BA$9),COUNTIF('1.연간시수표'!G65,$BA$7)),$BA$6,IF(OR(COUNTIF('1.연간시수표'!G65,$BB$9),COUNTIF('1.연간시수표'!G65,$BB$7)),$BB$6,IF(OR(COUNTIF('1.연간시수표'!G65,$BC$9),COUNTIF('1.연간시수표'!G65,$BC$7)),$BC$6,IF(OR(COUNTIF('1.연간시수표'!G65,$BF$9),COUNTIF('1.연간시수표'!G65,$BF$7),COUNTIF('1.연간시수표'!G65,$BG$9),COUNTIF('1.연간시수표'!G65,$BG$7),COUNTIF('1.연간시수표'!G65,$BH$9),COUNTIF('1.연간시수표'!G65,$BH$7),COUNTIF('1.연간시수표'!G65,$BI$9),COUNTIF('1.연간시수표'!G65,$BI$7),COUNTIF('1.연간시수표'!G65,$BJ$9),COUNTIF('1.연간시수표'!G65,$BJ$7),COUNTIF('1.연간시수표'!G65,$BK$9),COUNTIF('1.연간시수표'!G65,$BK$7),COUNTIF('1.연간시수표'!G65,$BL$9),COUNTIF('1.연간시수표'!G65,$BL$7),COUNTIF('1.연간시수표'!G65,$BM$9),COUNTIF('1.연간시수표'!G65,$BM$7)),$BF$6,IF(OR(COUNTIF('1.연간시수표'!G65,$BO$9),COUNTIF('1.연간시수표'!G65,$BO$7)),$BO$6,IF(OR(COUNTIF('1.연간시수표'!G65,$BP$9),COUNTIF('1.연간시수표'!G65,$BP$7)),$BP$6,IF(OR(COUNTIF('1.연간시수표'!G65,$BQ$9),COUNTIF('1.연간시수표'!G65,$BQ$7)),$BQ$6,IF(OR(COUNTIF('1.연간시수표'!G65,$BR$9),COUNTIF('1.연간시수표'!G65,$BR$7)),$BR$6,"_")))))))))))))))</f>
        <v>미술</v>
      </c>
      <c r="H65" s="148" t="str">
        <f>IF(OR(COUNTIF('1.연간시수표'!H65,$AT$9),COUNTIF('1.연간시수표'!H65,$AT$7)),$AT$6,IF(OR(COUNTIF('1.연간시수표'!H65,$AU$9),COUNTIF('1.연간시수표'!H65,$AU$7)),$AU$6,IF(OR(COUNTIF('1.연간시수표'!H65,$AV$9),COUNTIF('1.연간시수표'!H65,$AV$7)),$AV$6,IF(OR(COUNTIF('1.연간시수표'!H65,$AW$9),COUNTIF('1.연간시수표'!H65,$AW$7)),$AW$6,IF(OR(COUNTIF('1.연간시수표'!H65,$AX$9),COUNTIF('1.연간시수표'!H65,$AX$7)),$AX$6,IF(OR(COUNTIF('1.연간시수표'!H65,$AY$9),COUNTIF('1.연간시수표'!H65,$AY$7)),$AY$6,IF(OR(COUNTIF('1.연간시수표'!H65,$AZ$9),COUNTIF('1.연간시수표'!H65,$AZ$7)),$AZ$6,IF(OR(COUNTIF('1.연간시수표'!H65,$BA$9),COUNTIF('1.연간시수표'!H65,$BA$7)),$BA$6,IF(OR(COUNTIF('1.연간시수표'!H65,$BB$9),COUNTIF('1.연간시수표'!H65,$BB$7)),$BB$6,IF(OR(COUNTIF('1.연간시수표'!H65,$BC$9),COUNTIF('1.연간시수표'!H65,$BC$7)),$BC$6,IF(OR(COUNTIF('1.연간시수표'!H65,$BF$9),COUNTIF('1.연간시수표'!H65,$BF$7),COUNTIF('1.연간시수표'!H65,$BG$9),COUNTIF('1.연간시수표'!H65,$BG$7),COUNTIF('1.연간시수표'!H65,$BH$9),COUNTIF('1.연간시수표'!H65,$BH$7),COUNTIF('1.연간시수표'!H65,$BI$9),COUNTIF('1.연간시수표'!H65,$BI$7),COUNTIF('1.연간시수표'!H65,$BJ$9),COUNTIF('1.연간시수표'!H65,$BJ$7),COUNTIF('1.연간시수표'!H65,$BK$9),COUNTIF('1.연간시수표'!H65,$BK$7),COUNTIF('1.연간시수표'!H65,$BL$9),COUNTIF('1.연간시수표'!H65,$BL$7),COUNTIF('1.연간시수표'!H65,$BM$9),COUNTIF('1.연간시수표'!H65,$BM$7)),$BF$6,IF(OR(COUNTIF('1.연간시수표'!H65,$BO$9),COUNTIF('1.연간시수표'!H65,$BO$7)),$BO$6,IF(OR(COUNTIF('1.연간시수표'!H65,$BP$9),COUNTIF('1.연간시수표'!H65,$BP$7)),$BP$6,IF(OR(COUNTIF('1.연간시수표'!H65,$BQ$9),COUNTIF('1.연간시수표'!H65,$BQ$7)),$BQ$6,IF(OR(COUNTIF('1.연간시수표'!H65,$BR$9),COUNTIF('1.연간시수표'!H65,$BR$7)),$BR$6,"_")))))))))))))))</f>
        <v>영어</v>
      </c>
      <c r="I65" s="148" t="str">
        <f>IF(OR(COUNTIF('1.연간시수표'!I65,$AT$9),COUNTIF('1.연간시수표'!I65,$AT$7)),$AT$6,IF(OR(COUNTIF('1.연간시수표'!I65,$AU$9),COUNTIF('1.연간시수표'!I65,$AU$7)),$AU$6,IF(OR(COUNTIF('1.연간시수표'!I65,$AV$9),COUNTIF('1.연간시수표'!I65,$AV$7)),$AV$6,IF(OR(COUNTIF('1.연간시수표'!I65,$AW$9),COUNTIF('1.연간시수표'!I65,$AW$7)),$AW$6,IF(OR(COUNTIF('1.연간시수표'!I65,$AX$9),COUNTIF('1.연간시수표'!I65,$AX$7)),$AX$6,IF(OR(COUNTIF('1.연간시수표'!I65,$AY$9),COUNTIF('1.연간시수표'!I65,$AY$7)),$AY$6,IF(OR(COUNTIF('1.연간시수표'!I65,$AZ$9),COUNTIF('1.연간시수표'!I65,$AZ$7)),$AZ$6,IF(OR(COUNTIF('1.연간시수표'!I65,$BA$9),COUNTIF('1.연간시수표'!I65,$BA$7)),$BA$6,IF(OR(COUNTIF('1.연간시수표'!I65,$BB$9),COUNTIF('1.연간시수표'!I65,$BB$7)),$BB$6,IF(OR(COUNTIF('1.연간시수표'!I65,$BC$9),COUNTIF('1.연간시수표'!I65,$BC$7)),$BC$6,IF(OR(COUNTIF('1.연간시수표'!I65,$BF$9),COUNTIF('1.연간시수표'!I65,$BF$7),COUNTIF('1.연간시수표'!I65,$BG$9),COUNTIF('1.연간시수표'!I65,$BG$7),COUNTIF('1.연간시수표'!I65,$BH$9),COUNTIF('1.연간시수표'!I65,$BH$7),COUNTIF('1.연간시수표'!I65,$BI$9),COUNTIF('1.연간시수표'!I65,$BI$7),COUNTIF('1.연간시수표'!I65,$BJ$9),COUNTIF('1.연간시수표'!I65,$BJ$7),COUNTIF('1.연간시수표'!I65,$BK$9),COUNTIF('1.연간시수표'!I65,$BK$7),COUNTIF('1.연간시수표'!I65,$BL$9),COUNTIF('1.연간시수표'!I65,$BL$7),COUNTIF('1.연간시수표'!I65,$BM$9),COUNTIF('1.연간시수표'!I65,$BM$7)),$BF$6,IF(OR(COUNTIF('1.연간시수표'!I65,$BO$9),COUNTIF('1.연간시수표'!I65,$BO$7)),$BO$6,IF(OR(COUNTIF('1.연간시수표'!I65,$BP$9),COUNTIF('1.연간시수표'!I65,$BP$7)),$BP$6,IF(OR(COUNTIF('1.연간시수표'!I65,$BQ$9),COUNTIF('1.연간시수표'!I65,$BQ$7)),$BQ$6,IF(OR(COUNTIF('1.연간시수표'!I65,$BR$9),COUNTIF('1.연간시수표'!I65,$BR$7)),$BR$6,"_")))))))))))))))</f>
        <v>수학</v>
      </c>
      <c r="J65" s="148" t="str">
        <f>IF(OR(COUNTIF('1.연간시수표'!J65,$AT$9),COUNTIF('1.연간시수표'!J65,$AT$7)),$AT$6,IF(OR(COUNTIF('1.연간시수표'!J65,$AU$9),COUNTIF('1.연간시수표'!J65,$AU$7)),$AU$6,IF(OR(COUNTIF('1.연간시수표'!J65,$AV$9),COUNTIF('1.연간시수표'!J65,$AV$7)),$AV$6,IF(OR(COUNTIF('1.연간시수표'!J65,$AW$9),COUNTIF('1.연간시수표'!J65,$AW$7)),$AW$6,IF(OR(COUNTIF('1.연간시수표'!J65,$AX$9),COUNTIF('1.연간시수표'!J65,$AX$7)),$AX$6,IF(OR(COUNTIF('1.연간시수표'!J65,$AY$9),COUNTIF('1.연간시수표'!J65,$AY$7)),$AY$6,IF(OR(COUNTIF('1.연간시수표'!J65,$AZ$9),COUNTIF('1.연간시수표'!J65,$AZ$7)),$AZ$6,IF(OR(COUNTIF('1.연간시수표'!J65,$BA$9),COUNTIF('1.연간시수표'!J65,$BA$7)),$BA$6,IF(OR(COUNTIF('1.연간시수표'!J65,$BB$9),COUNTIF('1.연간시수표'!J65,$BB$7)),$BB$6,IF(OR(COUNTIF('1.연간시수표'!J65,$BC$9),COUNTIF('1.연간시수표'!J65,$BC$7)),$BC$6,IF(OR(COUNTIF('1.연간시수표'!J65,$BF$9),COUNTIF('1.연간시수표'!J65,$BF$7),COUNTIF('1.연간시수표'!J65,$BG$9),COUNTIF('1.연간시수표'!J65,$BG$7),COUNTIF('1.연간시수표'!J65,$BH$9),COUNTIF('1.연간시수표'!J65,$BH$7),COUNTIF('1.연간시수표'!J65,$BI$9),COUNTIF('1.연간시수표'!J65,$BI$7),COUNTIF('1.연간시수표'!J65,$BJ$9),COUNTIF('1.연간시수표'!J65,$BJ$7),COUNTIF('1.연간시수표'!J65,$BK$9),COUNTIF('1.연간시수표'!J65,$BK$7),COUNTIF('1.연간시수표'!J65,$BL$9),COUNTIF('1.연간시수표'!J65,$BL$7),COUNTIF('1.연간시수표'!J65,$BM$9),COUNTIF('1.연간시수표'!J65,$BM$7)),$BF$6,IF(OR(COUNTIF('1.연간시수표'!J65,$BO$9),COUNTIF('1.연간시수표'!J65,$BO$7)),$BO$6,IF(OR(COUNTIF('1.연간시수표'!J65,$BP$9),COUNTIF('1.연간시수표'!J65,$BP$7)),$BP$6,IF(OR(COUNTIF('1.연간시수표'!J65,$BQ$9),COUNTIF('1.연간시수표'!J65,$BQ$7)),$BQ$6,IF(OR(COUNTIF('1.연간시수표'!J65,$BR$9),COUNTIF('1.연간시수표'!J65,$BR$7)),$BR$6,"_")))))))))))))))</f>
        <v>자율활동</v>
      </c>
      <c r="K65" s="148" t="str">
        <f>IF(OR(COUNTIF('1.연간시수표'!K65,$AT$9),COUNTIF('1.연간시수표'!K65,$AT$7)),$AT$6,IF(OR(COUNTIF('1.연간시수표'!K65,$AU$9),COUNTIF('1.연간시수표'!K65,$AU$7)),$AU$6,IF(OR(COUNTIF('1.연간시수표'!K65,$AV$9),COUNTIF('1.연간시수표'!K65,$AV$7)),$AV$6,IF(OR(COUNTIF('1.연간시수표'!K65,$AW$9),COUNTIF('1.연간시수표'!K65,$AW$7)),$AW$6,IF(OR(COUNTIF('1.연간시수표'!K65,$AX$9),COUNTIF('1.연간시수표'!K65,$AX$7)),$AX$6,IF(OR(COUNTIF('1.연간시수표'!K65,$AY$9),COUNTIF('1.연간시수표'!K65,$AY$7)),$AY$6,IF(OR(COUNTIF('1.연간시수표'!K65,$AZ$9),COUNTIF('1.연간시수표'!K65,$AZ$7)),$AZ$6,IF(OR(COUNTIF('1.연간시수표'!K65,$BA$9),COUNTIF('1.연간시수표'!K65,$BA$7)),$BA$6,IF(OR(COUNTIF('1.연간시수표'!K65,$BB$9),COUNTIF('1.연간시수표'!K65,$BB$7)),$BB$6,IF(OR(COUNTIF('1.연간시수표'!K65,$BC$9),COUNTIF('1.연간시수표'!K65,$BC$7)),$BC$6,IF(OR(COUNTIF('1.연간시수표'!K65,$BF$9),COUNTIF('1.연간시수표'!K65,$BF$7),COUNTIF('1.연간시수표'!K65,$BG$9),COUNTIF('1.연간시수표'!K65,$BG$7),COUNTIF('1.연간시수표'!K65,$BH$9),COUNTIF('1.연간시수표'!K65,$BH$7),COUNTIF('1.연간시수표'!K65,$BI$9),COUNTIF('1.연간시수표'!K65,$BI$7),COUNTIF('1.연간시수표'!K65,$BJ$9),COUNTIF('1.연간시수표'!K65,$BJ$7),COUNTIF('1.연간시수표'!K65,$BK$9),COUNTIF('1.연간시수표'!K65,$BK$7),COUNTIF('1.연간시수표'!K65,$BL$9),COUNTIF('1.연간시수표'!K65,$BL$7),COUNTIF('1.연간시수표'!K65,$BM$9),COUNTIF('1.연간시수표'!K65,$BM$7)),$BF$6,IF(OR(COUNTIF('1.연간시수표'!K65,$BO$9),COUNTIF('1.연간시수표'!K65,$BO$7)),$BO$6,IF(OR(COUNTIF('1.연간시수표'!K65,$BP$9),COUNTIF('1.연간시수표'!K65,$BP$7)),$BP$6,IF(OR(COUNTIF('1.연간시수표'!K65,$BQ$9),COUNTIF('1.연간시수표'!K65,$BQ$7)),$BQ$6,IF(OR(COUNTIF('1.연간시수표'!K65,$BR$9),COUNTIF('1.연간시수표'!K65,$BR$7)),$BR$6,"_")))))))))))))))</f>
        <v>_</v>
      </c>
      <c r="L65" s="148" t="str">
        <f>IF(OR(COUNTIF('1.연간시수표'!L65,$AT$9),COUNTIF('1.연간시수표'!L65,$AT$7)),$AT$6,IF(OR(COUNTIF('1.연간시수표'!L65,$AU$9),COUNTIF('1.연간시수표'!L65,$AU$7)),$AU$6,IF(OR(COUNTIF('1.연간시수표'!L65,$AV$9),COUNTIF('1.연간시수표'!L65,$AV$7)),$AV$6,IF(OR(COUNTIF('1.연간시수표'!L65,$AW$9),COUNTIF('1.연간시수표'!L65,$AW$7)),$AW$6,IF(OR(COUNTIF('1.연간시수표'!L65,$AX$9),COUNTIF('1.연간시수표'!L65,$AX$7)),$AX$6,IF(OR(COUNTIF('1.연간시수표'!L65,$AY$9),COUNTIF('1.연간시수표'!L65,$AY$7)),$AY$6,IF(OR(COUNTIF('1.연간시수표'!L65,$AZ$9),COUNTIF('1.연간시수표'!L65,$AZ$7)),$AZ$6,IF(OR(COUNTIF('1.연간시수표'!L65,$BA$9),COUNTIF('1.연간시수표'!L65,$BA$7)),$BA$6,IF(OR(COUNTIF('1.연간시수표'!L65,$BB$9),COUNTIF('1.연간시수표'!L65,$BB$7)),$BB$6,IF(OR(COUNTIF('1.연간시수표'!L65,$BC$9),COUNTIF('1.연간시수표'!L65,$BC$7)),$BC$6,IF(OR(COUNTIF('1.연간시수표'!L65,$BF$9),COUNTIF('1.연간시수표'!L65,$BF$7),COUNTIF('1.연간시수표'!L65,$BG$9),COUNTIF('1.연간시수표'!L65,$BG$7),COUNTIF('1.연간시수표'!L65,$BH$9),COUNTIF('1.연간시수표'!L65,$BH$7),COUNTIF('1.연간시수표'!L65,$BI$9),COUNTIF('1.연간시수표'!L65,$BI$7),COUNTIF('1.연간시수표'!L65,$BJ$9),COUNTIF('1.연간시수표'!L65,$BJ$7),COUNTIF('1.연간시수표'!L65,$BK$9),COUNTIF('1.연간시수표'!L65,$BK$7),COUNTIF('1.연간시수표'!L65,$BL$9),COUNTIF('1.연간시수표'!L65,$BL$7),COUNTIF('1.연간시수표'!L65,$BM$9),COUNTIF('1.연간시수표'!L65,$BM$7)),$BF$6,IF(OR(COUNTIF('1.연간시수표'!L65,$BO$9),COUNTIF('1.연간시수표'!L65,$BO$7)),$BO$6,IF(OR(COUNTIF('1.연간시수표'!L65,$BP$9),COUNTIF('1.연간시수표'!L65,$BP$7)),$BP$6,IF(OR(COUNTIF('1.연간시수표'!L65,$BQ$9),COUNTIF('1.연간시수표'!L65,$BQ$7)),$BQ$6,IF(OR(COUNTIF('1.연간시수표'!L65,$BR$9),COUNTIF('1.연간시수표'!L65,$BR$7)),$BR$6,"_")))))))))))))))</f>
        <v>_</v>
      </c>
      <c r="M65" s="148" t="str">
        <f>IF(OR(COUNTIF('1.연간시수표'!M65,$AT$9),COUNTIF('1.연간시수표'!M65,$AT$7)),$AT$6,IF(OR(COUNTIF('1.연간시수표'!M65,$AU$9),COUNTIF('1.연간시수표'!M65,$AU$7)),$AU$6,IF(OR(COUNTIF('1.연간시수표'!M65,$AV$9),COUNTIF('1.연간시수표'!M65,$AV$7)),$AV$6,IF(OR(COUNTIF('1.연간시수표'!M65,$AW$9),COUNTIF('1.연간시수표'!M65,$AW$7)),$AW$6,IF(OR(COUNTIF('1.연간시수표'!M65,$AX$9),COUNTIF('1.연간시수표'!M65,$AX$7)),$AX$6,IF(OR(COUNTIF('1.연간시수표'!M65,$AY$9),COUNTIF('1.연간시수표'!M65,$AY$7)),$AY$6,IF(OR(COUNTIF('1.연간시수표'!M65,$AZ$9),COUNTIF('1.연간시수표'!M65,$AZ$7)),$AZ$6,IF(OR(COUNTIF('1.연간시수표'!M65,$BA$9),COUNTIF('1.연간시수표'!M65,$BA$7)),$BA$6,IF(OR(COUNTIF('1.연간시수표'!M65,$BB$9),COUNTIF('1.연간시수표'!M65,$BB$7)),$BB$6,IF(OR(COUNTIF('1.연간시수표'!M65,$BC$9),COUNTIF('1.연간시수표'!M65,$BC$7)),$BC$6,IF(OR(COUNTIF('1.연간시수표'!M65,$BF$9),COUNTIF('1.연간시수표'!M65,$BF$7),COUNTIF('1.연간시수표'!M65,$BG$9),COUNTIF('1.연간시수표'!M65,$BG$7),COUNTIF('1.연간시수표'!M65,$BH$9),COUNTIF('1.연간시수표'!M65,$BH$7),COUNTIF('1.연간시수표'!M65,$BI$9),COUNTIF('1.연간시수표'!M65,$BI$7),COUNTIF('1.연간시수표'!M65,$BJ$9),COUNTIF('1.연간시수표'!M65,$BJ$7),COUNTIF('1.연간시수표'!M65,$BK$9),COUNTIF('1.연간시수표'!M65,$BK$7),COUNTIF('1.연간시수표'!M65,$BL$9),COUNTIF('1.연간시수표'!M65,$BL$7),COUNTIF('1.연간시수표'!M65,$BM$9),COUNTIF('1.연간시수표'!M65,$BM$7)),$BF$6,IF(OR(COUNTIF('1.연간시수표'!M65,$BO$9),COUNTIF('1.연간시수표'!M65,$BO$7)),$BO$6,IF(OR(COUNTIF('1.연간시수표'!M65,$BP$9),COUNTIF('1.연간시수표'!M65,$BP$7)),$BP$6,IF(OR(COUNTIF('1.연간시수표'!M65,$BQ$9),COUNTIF('1.연간시수표'!M65,$BQ$7)),$BQ$6,IF(OR(COUNTIF('1.연간시수표'!M65,$BR$9),COUNTIF('1.연간시수표'!M65,$BR$7)),$BR$6,"_")))))))))))))))</f>
        <v>자율활동</v>
      </c>
      <c r="N65" s="148" t="str">
        <f>IF(OR(COUNTIF('1.연간시수표'!N65,$AT$9),COUNTIF('1.연간시수표'!N65,$AT$7)),$AT$6,IF(OR(COUNTIF('1.연간시수표'!N65,$AU$9),COUNTIF('1.연간시수표'!N65,$AU$7)),$AU$6,IF(OR(COUNTIF('1.연간시수표'!N65,$AV$9),COUNTIF('1.연간시수표'!N65,$AV$7)),$AV$6,IF(OR(COUNTIF('1.연간시수표'!N65,$AW$9),COUNTIF('1.연간시수표'!N65,$AW$7)),$AW$6,IF(OR(COUNTIF('1.연간시수표'!N65,$AX$9),COUNTIF('1.연간시수표'!N65,$AX$7)),$AX$6,IF(OR(COUNTIF('1.연간시수표'!N65,$AY$9),COUNTIF('1.연간시수표'!N65,$AY$7)),$AY$6,IF(OR(COUNTIF('1.연간시수표'!N65,$AZ$9),COUNTIF('1.연간시수표'!N65,$AZ$7)),$AZ$6,IF(OR(COUNTIF('1.연간시수표'!N65,$BA$9),COUNTIF('1.연간시수표'!N65,$BA$7)),$BA$6,IF(OR(COUNTIF('1.연간시수표'!N65,$BB$9),COUNTIF('1.연간시수표'!N65,$BB$7)),$BB$6,IF(OR(COUNTIF('1.연간시수표'!N65,$BC$9),COUNTIF('1.연간시수표'!N65,$BC$7)),$BC$6,IF(OR(COUNTIF('1.연간시수표'!N65,$BF$9),COUNTIF('1.연간시수표'!N65,$BF$7),COUNTIF('1.연간시수표'!N65,$BG$9),COUNTIF('1.연간시수표'!N65,$BG$7),COUNTIF('1.연간시수표'!N65,$BH$9),COUNTIF('1.연간시수표'!N65,$BH$7),COUNTIF('1.연간시수표'!N65,$BI$9),COUNTIF('1.연간시수표'!N65,$BI$7),COUNTIF('1.연간시수표'!N65,$BJ$9),COUNTIF('1.연간시수표'!N65,$BJ$7),COUNTIF('1.연간시수표'!N65,$BK$9),COUNTIF('1.연간시수표'!N65,$BK$7),COUNTIF('1.연간시수표'!N65,$BL$9),COUNTIF('1.연간시수표'!N65,$BL$7),COUNTIF('1.연간시수표'!N65,$BM$9),COUNTIF('1.연간시수표'!N65,$BM$7)),$BF$6,IF(OR(COUNTIF('1.연간시수표'!N65,$BO$9),COUNTIF('1.연간시수표'!N65,$BO$7)),$BO$6,IF(OR(COUNTIF('1.연간시수표'!N65,$BP$9),COUNTIF('1.연간시수표'!N65,$BP$7)),$BP$6,IF(OR(COUNTIF('1.연간시수표'!N65,$BQ$9),COUNTIF('1.연간시수표'!N65,$BQ$7)),$BQ$6,IF(OR(COUNTIF('1.연간시수표'!N65,$BR$9),COUNTIF('1.연간시수표'!N65,$BR$7)),$BR$6,"_")))))))))))))))</f>
        <v>자율활동</v>
      </c>
      <c r="O65" s="148" t="str">
        <f>IF(OR(COUNTIF('1.연간시수표'!O65,$AT$9),COUNTIF('1.연간시수표'!O65,$AT$7)),$AT$6,IF(OR(COUNTIF('1.연간시수표'!O65,$AU$9),COUNTIF('1.연간시수표'!O65,$AU$7)),$AU$6,IF(OR(COUNTIF('1.연간시수표'!O65,$AV$9),COUNTIF('1.연간시수표'!O65,$AV$7)),$AV$6,IF(OR(COUNTIF('1.연간시수표'!O65,$AW$9),COUNTIF('1.연간시수표'!O65,$AW$7)),$AW$6,IF(OR(COUNTIF('1.연간시수표'!O65,$AX$9),COUNTIF('1.연간시수표'!O65,$AX$7)),$AX$6,IF(OR(COUNTIF('1.연간시수표'!O65,$AY$9),COUNTIF('1.연간시수표'!O65,$AY$7)),$AY$6,IF(OR(COUNTIF('1.연간시수표'!O65,$AZ$9),COUNTIF('1.연간시수표'!O65,$AZ$7)),$AZ$6,IF(OR(COUNTIF('1.연간시수표'!O65,$BA$9),COUNTIF('1.연간시수표'!O65,$BA$7)),$BA$6,IF(OR(COUNTIF('1.연간시수표'!O65,$BB$9),COUNTIF('1.연간시수표'!O65,$BB$7)),$BB$6,IF(OR(COUNTIF('1.연간시수표'!O65,$BC$9),COUNTIF('1.연간시수표'!O65,$BC$7)),$BC$6,IF(OR(COUNTIF('1.연간시수표'!O65,$BF$9),COUNTIF('1.연간시수표'!O65,$BF$7),COUNTIF('1.연간시수표'!O65,$BG$9),COUNTIF('1.연간시수표'!O65,$BG$7),COUNTIF('1.연간시수표'!O65,$BH$9),COUNTIF('1.연간시수표'!O65,$BH$7),COUNTIF('1.연간시수표'!O65,$BI$9),COUNTIF('1.연간시수표'!O65,$BI$7),COUNTIF('1.연간시수표'!O65,$BJ$9),COUNTIF('1.연간시수표'!O65,$BJ$7),COUNTIF('1.연간시수표'!O65,$BK$9),COUNTIF('1.연간시수표'!O65,$BK$7),COUNTIF('1.연간시수표'!O65,$BL$9),COUNTIF('1.연간시수표'!O65,$BL$7),COUNTIF('1.연간시수표'!O65,$BM$9),COUNTIF('1.연간시수표'!O65,$BM$7)),$BF$6,IF(OR(COUNTIF('1.연간시수표'!O65,$BO$9),COUNTIF('1.연간시수표'!O65,$BO$7)),$BO$6,IF(OR(COUNTIF('1.연간시수표'!O65,$BP$9),COUNTIF('1.연간시수표'!O65,$BP$7)),$BP$6,IF(OR(COUNTIF('1.연간시수표'!O65,$BQ$9),COUNTIF('1.연간시수표'!O65,$BQ$7)),$BQ$6,IF(OR(COUNTIF('1.연간시수표'!O65,$BR$9),COUNTIF('1.연간시수표'!O65,$BR$7)),$BR$6,"_")))))))))))))))</f>
        <v>사회</v>
      </c>
      <c r="P65" s="148" t="str">
        <f>IF(OR(COUNTIF('1.연간시수표'!P65,$AT$9),COUNTIF('1.연간시수표'!P65,$AT$7)),$AT$6,IF(OR(COUNTIF('1.연간시수표'!P65,$AU$9),COUNTIF('1.연간시수표'!P65,$AU$7)),$AU$6,IF(OR(COUNTIF('1.연간시수표'!P65,$AV$9),COUNTIF('1.연간시수표'!P65,$AV$7)),$AV$6,IF(OR(COUNTIF('1.연간시수표'!P65,$AW$9),COUNTIF('1.연간시수표'!P65,$AW$7)),$AW$6,IF(OR(COUNTIF('1.연간시수표'!P65,$AX$9),COUNTIF('1.연간시수표'!P65,$AX$7)),$AX$6,IF(OR(COUNTIF('1.연간시수표'!P65,$AY$9),COUNTIF('1.연간시수표'!P65,$AY$7)),$AY$6,IF(OR(COUNTIF('1.연간시수표'!P65,$AZ$9),COUNTIF('1.연간시수표'!P65,$AZ$7)),$AZ$6,IF(OR(COUNTIF('1.연간시수표'!P65,$BA$9),COUNTIF('1.연간시수표'!P65,$BA$7)),$BA$6,IF(OR(COUNTIF('1.연간시수표'!P65,$BB$9),COUNTIF('1.연간시수표'!P65,$BB$7)),$BB$6,IF(OR(COUNTIF('1.연간시수표'!P65,$BC$9),COUNTIF('1.연간시수표'!P65,$BC$7)),$BC$6,IF(OR(COUNTIF('1.연간시수표'!P65,$BF$9),COUNTIF('1.연간시수표'!P65,$BF$7),COUNTIF('1.연간시수표'!P65,$BG$9),COUNTIF('1.연간시수표'!P65,$BG$7),COUNTIF('1.연간시수표'!P65,$BH$9),COUNTIF('1.연간시수표'!P65,$BH$7),COUNTIF('1.연간시수표'!P65,$BI$9),COUNTIF('1.연간시수표'!P65,$BI$7),COUNTIF('1.연간시수표'!P65,$BJ$9),COUNTIF('1.연간시수표'!P65,$BJ$7),COUNTIF('1.연간시수표'!P65,$BK$9),COUNTIF('1.연간시수표'!P65,$BK$7),COUNTIF('1.연간시수표'!P65,$BL$9),COUNTIF('1.연간시수표'!P65,$BL$7),COUNTIF('1.연간시수표'!P65,$BM$9),COUNTIF('1.연간시수표'!P65,$BM$7)),$BF$6,IF(OR(COUNTIF('1.연간시수표'!P65,$BO$9),COUNTIF('1.연간시수표'!P65,$BO$7)),$BO$6,IF(OR(COUNTIF('1.연간시수표'!P65,$BP$9),COUNTIF('1.연간시수표'!P65,$BP$7)),$BP$6,IF(OR(COUNTIF('1.연간시수표'!P65,$BQ$9),COUNTIF('1.연간시수표'!P65,$BQ$7)),$BQ$6,IF(OR(COUNTIF('1.연간시수표'!P65,$BR$9),COUNTIF('1.연간시수표'!P65,$BR$7)),$BR$6,"_")))))))))))))))</f>
        <v>수학</v>
      </c>
      <c r="Q65" s="148" t="str">
        <f>IF(OR(COUNTIF('1.연간시수표'!Q65,$AT$9),COUNTIF('1.연간시수표'!Q65,$AT$7)),$AT$6,IF(OR(COUNTIF('1.연간시수표'!Q65,$AU$9),COUNTIF('1.연간시수표'!Q65,$AU$7)),$AU$6,IF(OR(COUNTIF('1.연간시수표'!Q65,$AV$9),COUNTIF('1.연간시수표'!Q65,$AV$7)),$AV$6,IF(OR(COUNTIF('1.연간시수표'!Q65,$AW$9),COUNTIF('1.연간시수표'!Q65,$AW$7)),$AW$6,IF(OR(COUNTIF('1.연간시수표'!Q65,$AX$9),COUNTIF('1.연간시수표'!Q65,$AX$7)),$AX$6,IF(OR(COUNTIF('1.연간시수표'!Q65,$AY$9),COUNTIF('1.연간시수표'!Q65,$AY$7)),$AY$6,IF(OR(COUNTIF('1.연간시수표'!Q65,$AZ$9),COUNTIF('1.연간시수표'!Q65,$AZ$7)),$AZ$6,IF(OR(COUNTIF('1.연간시수표'!Q65,$BA$9),COUNTIF('1.연간시수표'!Q65,$BA$7)),$BA$6,IF(OR(COUNTIF('1.연간시수표'!Q65,$BB$9),COUNTIF('1.연간시수표'!Q65,$BB$7)),$BB$6,IF(OR(COUNTIF('1.연간시수표'!Q65,$BC$9),COUNTIF('1.연간시수표'!Q65,$BC$7)),$BC$6,IF(OR(COUNTIF('1.연간시수표'!Q65,$BF$9),COUNTIF('1.연간시수표'!Q65,$BF$7),COUNTIF('1.연간시수표'!Q65,$BG$9),COUNTIF('1.연간시수표'!Q65,$BG$7),COUNTIF('1.연간시수표'!Q65,$BH$9),COUNTIF('1.연간시수표'!Q65,$BH$7),COUNTIF('1.연간시수표'!Q65,$BI$9),COUNTIF('1.연간시수표'!Q65,$BI$7),COUNTIF('1.연간시수표'!Q65,$BJ$9),COUNTIF('1.연간시수표'!Q65,$BJ$7),COUNTIF('1.연간시수표'!Q65,$BK$9),COUNTIF('1.연간시수표'!Q65,$BK$7),COUNTIF('1.연간시수표'!Q65,$BL$9),COUNTIF('1.연간시수표'!Q65,$BL$7),COUNTIF('1.연간시수표'!Q65,$BM$9),COUNTIF('1.연간시수표'!Q65,$BM$7)),$BF$6,IF(OR(COUNTIF('1.연간시수표'!Q65,$BO$9),COUNTIF('1.연간시수표'!Q65,$BO$7)),$BO$6,IF(OR(COUNTIF('1.연간시수표'!Q65,$BP$9),COUNTIF('1.연간시수표'!Q65,$BP$7)),$BP$6,IF(OR(COUNTIF('1.연간시수표'!Q65,$BQ$9),COUNTIF('1.연간시수표'!Q65,$BQ$7)),$BQ$6,IF(OR(COUNTIF('1.연간시수표'!Q65,$BR$9),COUNTIF('1.연간시수표'!Q65,$BR$7)),$BR$6,"_")))))))))))))))</f>
        <v>과학</v>
      </c>
      <c r="R65" s="148" t="str">
        <f>IF(OR(COUNTIF('1.연간시수표'!R65,$AT$9),COUNTIF('1.연간시수표'!R65,$AT$7)),$AT$6,IF(OR(COUNTIF('1.연간시수표'!R65,$AU$9),COUNTIF('1.연간시수표'!R65,$AU$7)),$AU$6,IF(OR(COUNTIF('1.연간시수표'!R65,$AV$9),COUNTIF('1.연간시수표'!R65,$AV$7)),$AV$6,IF(OR(COUNTIF('1.연간시수표'!R65,$AW$9),COUNTIF('1.연간시수표'!R65,$AW$7)),$AW$6,IF(OR(COUNTIF('1.연간시수표'!R65,$AX$9),COUNTIF('1.연간시수표'!R65,$AX$7)),$AX$6,IF(OR(COUNTIF('1.연간시수표'!R65,$AY$9),COUNTIF('1.연간시수표'!R65,$AY$7)),$AY$6,IF(OR(COUNTIF('1.연간시수표'!R65,$AZ$9),COUNTIF('1.연간시수표'!R65,$AZ$7)),$AZ$6,IF(OR(COUNTIF('1.연간시수표'!R65,$BA$9),COUNTIF('1.연간시수표'!R65,$BA$7)),$BA$6,IF(OR(COUNTIF('1.연간시수표'!R65,$BB$9),COUNTIF('1.연간시수표'!R65,$BB$7)),$BB$6,IF(OR(COUNTIF('1.연간시수표'!R65,$BC$9),COUNTIF('1.연간시수표'!R65,$BC$7)),$BC$6,IF(OR(COUNTIF('1.연간시수표'!R65,$BF$9),COUNTIF('1.연간시수표'!R65,$BF$7),COUNTIF('1.연간시수표'!R65,$BG$9),COUNTIF('1.연간시수표'!R65,$BG$7),COUNTIF('1.연간시수표'!R65,$BH$9),COUNTIF('1.연간시수표'!R65,$BH$7),COUNTIF('1.연간시수표'!R65,$BI$9),COUNTIF('1.연간시수표'!R65,$BI$7),COUNTIF('1.연간시수표'!R65,$BJ$9),COUNTIF('1.연간시수표'!R65,$BJ$7),COUNTIF('1.연간시수표'!R65,$BK$9),COUNTIF('1.연간시수표'!R65,$BK$7),COUNTIF('1.연간시수표'!R65,$BL$9),COUNTIF('1.연간시수표'!R65,$BL$7),COUNTIF('1.연간시수표'!R65,$BM$9),COUNTIF('1.연간시수표'!R65,$BM$7)),$BF$6,IF(OR(COUNTIF('1.연간시수표'!R65,$BO$9),COUNTIF('1.연간시수표'!R65,$BO$7)),$BO$6,IF(OR(COUNTIF('1.연간시수표'!R65,$BP$9),COUNTIF('1.연간시수표'!R65,$BP$7)),$BP$6,IF(OR(COUNTIF('1.연간시수표'!R65,$BQ$9),COUNTIF('1.연간시수표'!R65,$BQ$7)),$BQ$6,IF(OR(COUNTIF('1.연간시수표'!R65,$BR$9),COUNTIF('1.연간시수표'!R65,$BR$7)),$BR$6,"_")))))))))))))))</f>
        <v>실과</v>
      </c>
      <c r="S65" s="148" t="str">
        <f>IF(OR(COUNTIF('1.연간시수표'!S65,$AT$9),COUNTIF('1.연간시수표'!S65,$AT$7)),$AT$6,IF(OR(COUNTIF('1.연간시수표'!S65,$AU$9),COUNTIF('1.연간시수표'!S65,$AU$7)),$AU$6,IF(OR(COUNTIF('1.연간시수표'!S65,$AV$9),COUNTIF('1.연간시수표'!S65,$AV$7)),$AV$6,IF(OR(COUNTIF('1.연간시수표'!S65,$AW$9),COUNTIF('1.연간시수표'!S65,$AW$7)),$AW$6,IF(OR(COUNTIF('1.연간시수표'!S65,$AX$9),COUNTIF('1.연간시수표'!S65,$AX$7)),$AX$6,IF(OR(COUNTIF('1.연간시수표'!S65,$AY$9),COUNTIF('1.연간시수표'!S65,$AY$7)),$AY$6,IF(OR(COUNTIF('1.연간시수표'!S65,$AZ$9),COUNTIF('1.연간시수표'!S65,$AZ$7)),$AZ$6,IF(OR(COUNTIF('1.연간시수표'!S65,$BA$9),COUNTIF('1.연간시수표'!S65,$BA$7)),$BA$6,IF(OR(COUNTIF('1.연간시수표'!S65,$BB$9),COUNTIF('1.연간시수표'!S65,$BB$7)),$BB$6,IF(OR(COUNTIF('1.연간시수표'!S65,$BC$9),COUNTIF('1.연간시수표'!S65,$BC$7)),$BC$6,IF(OR(COUNTIF('1.연간시수표'!S65,$BF$9),COUNTIF('1.연간시수표'!S65,$BF$7),COUNTIF('1.연간시수표'!S65,$BG$9),COUNTIF('1.연간시수표'!S65,$BG$7),COUNTIF('1.연간시수표'!S65,$BH$9),COUNTIF('1.연간시수표'!S65,$BH$7),COUNTIF('1.연간시수표'!S65,$BI$9),COUNTIF('1.연간시수표'!S65,$BI$7),COUNTIF('1.연간시수표'!S65,$BJ$9),COUNTIF('1.연간시수표'!S65,$BJ$7),COUNTIF('1.연간시수표'!S65,$BK$9),COUNTIF('1.연간시수표'!S65,$BK$7),COUNTIF('1.연간시수표'!S65,$BL$9),COUNTIF('1.연간시수표'!S65,$BL$7),COUNTIF('1.연간시수표'!S65,$BM$9),COUNTIF('1.연간시수표'!S65,$BM$7)),$BF$6,IF(OR(COUNTIF('1.연간시수표'!S65,$BO$9),COUNTIF('1.연간시수표'!S65,$BO$7)),$BO$6,IF(OR(COUNTIF('1.연간시수표'!S65,$BP$9),COUNTIF('1.연간시수표'!S65,$BP$7)),$BP$6,IF(OR(COUNTIF('1.연간시수표'!S65,$BQ$9),COUNTIF('1.연간시수표'!S65,$BQ$7)),$BQ$6,IF(OR(COUNTIF('1.연간시수표'!S65,$BR$9),COUNTIF('1.연간시수표'!S65,$BR$7)),$BR$6,"_")))))))))))))))</f>
        <v>_</v>
      </c>
      <c r="T65" s="148" t="str">
        <f>IF(OR(COUNTIF('1.연간시수표'!T65,$AT$9),COUNTIF('1.연간시수표'!T65,$AT$7)),$AT$6,IF(OR(COUNTIF('1.연간시수표'!T65,$AU$9),COUNTIF('1.연간시수표'!T65,$AU$7)),$AU$6,IF(OR(COUNTIF('1.연간시수표'!T65,$AV$9),COUNTIF('1.연간시수표'!T65,$AV$7)),$AV$6,IF(OR(COUNTIF('1.연간시수표'!T65,$AW$9),COUNTIF('1.연간시수표'!T65,$AW$7)),$AW$6,IF(OR(COUNTIF('1.연간시수표'!T65,$AX$9),COUNTIF('1.연간시수표'!T65,$AX$7)),$AX$6,IF(OR(COUNTIF('1.연간시수표'!T65,$AY$9),COUNTIF('1.연간시수표'!T65,$AY$7)),$AY$6,IF(OR(COUNTIF('1.연간시수표'!T65,$AZ$9),COUNTIF('1.연간시수표'!T65,$AZ$7)),$AZ$6,IF(OR(COUNTIF('1.연간시수표'!T65,$BA$9),COUNTIF('1.연간시수표'!T65,$BA$7)),$BA$6,IF(OR(COUNTIF('1.연간시수표'!T65,$BB$9),COUNTIF('1.연간시수표'!T65,$BB$7)),$BB$6,IF(OR(COUNTIF('1.연간시수표'!T65,$BC$9),COUNTIF('1.연간시수표'!T65,$BC$7)),$BC$6,IF(OR(COUNTIF('1.연간시수표'!T65,$BF$9),COUNTIF('1.연간시수표'!T65,$BF$7),COUNTIF('1.연간시수표'!T65,$BG$9),COUNTIF('1.연간시수표'!T65,$BG$7),COUNTIF('1.연간시수표'!T65,$BH$9),COUNTIF('1.연간시수표'!T65,$BH$7),COUNTIF('1.연간시수표'!T65,$BI$9),COUNTIF('1.연간시수표'!T65,$BI$7),COUNTIF('1.연간시수표'!T65,$BJ$9),COUNTIF('1.연간시수표'!T65,$BJ$7),COUNTIF('1.연간시수표'!T65,$BK$9),COUNTIF('1.연간시수표'!T65,$BK$7),COUNTIF('1.연간시수표'!T65,$BL$9),COUNTIF('1.연간시수표'!T65,$BL$7),COUNTIF('1.연간시수표'!T65,$BM$9),COUNTIF('1.연간시수표'!T65,$BM$7)),$BF$6,IF(OR(COUNTIF('1.연간시수표'!T65,$BO$9),COUNTIF('1.연간시수표'!T65,$BO$7)),$BO$6,IF(OR(COUNTIF('1.연간시수표'!T65,$BP$9),COUNTIF('1.연간시수표'!T65,$BP$7)),$BP$6,IF(OR(COUNTIF('1.연간시수표'!T65,$BQ$9),COUNTIF('1.연간시수표'!T65,$BQ$7)),$BQ$6,IF(OR(COUNTIF('1.연간시수표'!T65,$BR$9),COUNTIF('1.연간시수표'!T65,$BR$7)),$BR$6,"_")))))))))))))))</f>
        <v>_</v>
      </c>
      <c r="U65" s="148" t="str">
        <f>IF(OR(COUNTIF('1.연간시수표'!U65,$AT$9),COUNTIF('1.연간시수표'!U65,$AT$7)),$AT$6,IF(OR(COUNTIF('1.연간시수표'!U65,$AU$9),COUNTIF('1.연간시수표'!U65,$AU$7)),$AU$6,IF(OR(COUNTIF('1.연간시수표'!U65,$AV$9),COUNTIF('1.연간시수표'!U65,$AV$7)),$AV$6,IF(OR(COUNTIF('1.연간시수표'!U65,$AW$9),COUNTIF('1.연간시수표'!U65,$AW$7)),$AW$6,IF(OR(COUNTIF('1.연간시수표'!U65,$AX$9),COUNTIF('1.연간시수표'!U65,$AX$7)),$AX$6,IF(OR(COUNTIF('1.연간시수표'!U65,$AY$9),COUNTIF('1.연간시수표'!U65,$AY$7)),$AY$6,IF(OR(COUNTIF('1.연간시수표'!U65,$AZ$9),COUNTIF('1.연간시수표'!U65,$AZ$7)),$AZ$6,IF(OR(COUNTIF('1.연간시수표'!U65,$BA$9),COUNTIF('1.연간시수표'!U65,$BA$7)),$BA$6,IF(OR(COUNTIF('1.연간시수표'!U65,$BB$9),COUNTIF('1.연간시수표'!U65,$BB$7)),$BB$6,IF(OR(COUNTIF('1.연간시수표'!U65,$BC$9),COUNTIF('1.연간시수표'!U65,$BC$7)),$BC$6,IF(OR(COUNTIF('1.연간시수표'!U65,$BF$9),COUNTIF('1.연간시수표'!U65,$BF$7),COUNTIF('1.연간시수표'!U65,$BG$9),COUNTIF('1.연간시수표'!U65,$BG$7),COUNTIF('1.연간시수표'!U65,$BH$9),COUNTIF('1.연간시수표'!U65,$BH$7),COUNTIF('1.연간시수표'!U65,$BI$9),COUNTIF('1.연간시수표'!U65,$BI$7),COUNTIF('1.연간시수표'!U65,$BJ$9),COUNTIF('1.연간시수표'!U65,$BJ$7),COUNTIF('1.연간시수표'!U65,$BK$9),COUNTIF('1.연간시수표'!U65,$BK$7),COUNTIF('1.연간시수표'!U65,$BL$9),COUNTIF('1.연간시수표'!U65,$BL$7),COUNTIF('1.연간시수표'!U65,$BM$9),COUNTIF('1.연간시수표'!U65,$BM$7)),$BF$6,IF(OR(COUNTIF('1.연간시수표'!U65,$BO$9),COUNTIF('1.연간시수표'!U65,$BO$7)),$BO$6,IF(OR(COUNTIF('1.연간시수표'!U65,$BP$9),COUNTIF('1.연간시수표'!U65,$BP$7)),$BP$6,IF(OR(COUNTIF('1.연간시수표'!U65,$BQ$9),COUNTIF('1.연간시수표'!U65,$BQ$7)),$BQ$6,IF(OR(COUNTIF('1.연간시수표'!U65,$BR$9),COUNTIF('1.연간시수표'!U65,$BR$7)),$BR$6,"_")))))))))))))))</f>
        <v>영어</v>
      </c>
      <c r="V65" s="148" t="str">
        <f>IF(OR(COUNTIF('1.연간시수표'!V65,$AT$9),COUNTIF('1.연간시수표'!V65,$AT$7)),$AT$6,IF(OR(COUNTIF('1.연간시수표'!V65,$AU$9),COUNTIF('1.연간시수표'!V65,$AU$7)),$AU$6,IF(OR(COUNTIF('1.연간시수표'!V65,$AV$9),COUNTIF('1.연간시수표'!V65,$AV$7)),$AV$6,IF(OR(COUNTIF('1.연간시수표'!V65,$AW$9),COUNTIF('1.연간시수표'!V65,$AW$7)),$AW$6,IF(OR(COUNTIF('1.연간시수표'!V65,$AX$9),COUNTIF('1.연간시수표'!V65,$AX$7)),$AX$6,IF(OR(COUNTIF('1.연간시수표'!V65,$AY$9),COUNTIF('1.연간시수표'!V65,$AY$7)),$AY$6,IF(OR(COUNTIF('1.연간시수표'!V65,$AZ$9),COUNTIF('1.연간시수표'!V65,$AZ$7)),$AZ$6,IF(OR(COUNTIF('1.연간시수표'!V65,$BA$9),COUNTIF('1.연간시수표'!V65,$BA$7)),$BA$6,IF(OR(COUNTIF('1.연간시수표'!V65,$BB$9),COUNTIF('1.연간시수표'!V65,$BB$7)),$BB$6,IF(OR(COUNTIF('1.연간시수표'!V65,$BC$9),COUNTIF('1.연간시수표'!V65,$BC$7)),$BC$6,IF(OR(COUNTIF('1.연간시수표'!V65,$BF$9),COUNTIF('1.연간시수표'!V65,$BF$7),COUNTIF('1.연간시수표'!V65,$BG$9),COUNTIF('1.연간시수표'!V65,$BG$7),COUNTIF('1.연간시수표'!V65,$BH$9),COUNTIF('1.연간시수표'!V65,$BH$7),COUNTIF('1.연간시수표'!V65,$BI$9),COUNTIF('1.연간시수표'!V65,$BI$7),COUNTIF('1.연간시수표'!V65,$BJ$9),COUNTIF('1.연간시수표'!V65,$BJ$7),COUNTIF('1.연간시수표'!V65,$BK$9),COUNTIF('1.연간시수표'!V65,$BK$7),COUNTIF('1.연간시수표'!V65,$BL$9),COUNTIF('1.연간시수표'!V65,$BL$7),COUNTIF('1.연간시수표'!V65,$BM$9),COUNTIF('1.연간시수표'!V65,$BM$7)),$BF$6,IF(OR(COUNTIF('1.연간시수표'!V65,$BO$9),COUNTIF('1.연간시수표'!V65,$BO$7)),$BO$6,IF(OR(COUNTIF('1.연간시수표'!V65,$BP$9),COUNTIF('1.연간시수표'!V65,$BP$7)),$BP$6,IF(OR(COUNTIF('1.연간시수표'!V65,$BQ$9),COUNTIF('1.연간시수표'!V65,$BQ$7)),$BQ$6,IF(OR(COUNTIF('1.연간시수표'!V65,$BR$9),COUNTIF('1.연간시수표'!V65,$BR$7)),$BR$6,"_")))))))))))))))</f>
        <v>과학</v>
      </c>
      <c r="W65" s="148" t="str">
        <f>IF(OR(COUNTIF('1.연간시수표'!W65,$AT$9),COUNTIF('1.연간시수표'!W65,$AT$7)),$AT$6,IF(OR(COUNTIF('1.연간시수표'!W65,$AU$9),COUNTIF('1.연간시수표'!W65,$AU$7)),$AU$6,IF(OR(COUNTIF('1.연간시수표'!W65,$AV$9),COUNTIF('1.연간시수표'!W65,$AV$7)),$AV$6,IF(OR(COUNTIF('1.연간시수표'!W65,$AW$9),COUNTIF('1.연간시수표'!W65,$AW$7)),$AW$6,IF(OR(COUNTIF('1.연간시수표'!W65,$AX$9),COUNTIF('1.연간시수표'!W65,$AX$7)),$AX$6,IF(OR(COUNTIF('1.연간시수표'!W65,$AY$9),COUNTIF('1.연간시수표'!W65,$AY$7)),$AY$6,IF(OR(COUNTIF('1.연간시수표'!W65,$AZ$9),COUNTIF('1.연간시수표'!W65,$AZ$7)),$AZ$6,IF(OR(COUNTIF('1.연간시수표'!W65,$BA$9),COUNTIF('1.연간시수표'!W65,$BA$7)),$BA$6,IF(OR(COUNTIF('1.연간시수표'!W65,$BB$9),COUNTIF('1.연간시수표'!W65,$BB$7)),$BB$6,IF(OR(COUNTIF('1.연간시수표'!W65,$BC$9),COUNTIF('1.연간시수표'!W65,$BC$7)),$BC$6,IF(OR(COUNTIF('1.연간시수표'!W65,$BF$9),COUNTIF('1.연간시수표'!W65,$BF$7),COUNTIF('1.연간시수표'!W65,$BG$9),COUNTIF('1.연간시수표'!W65,$BG$7),COUNTIF('1.연간시수표'!W65,$BH$9),COUNTIF('1.연간시수표'!W65,$BH$7),COUNTIF('1.연간시수표'!W65,$BI$9),COUNTIF('1.연간시수표'!W65,$BI$7),COUNTIF('1.연간시수표'!W65,$BJ$9),COUNTIF('1.연간시수표'!W65,$BJ$7),COUNTIF('1.연간시수표'!W65,$BK$9),COUNTIF('1.연간시수표'!W65,$BK$7),COUNTIF('1.연간시수표'!W65,$BL$9),COUNTIF('1.연간시수표'!W65,$BL$7),COUNTIF('1.연간시수표'!W65,$BM$9),COUNTIF('1.연간시수표'!W65,$BM$7)),$BF$6,IF(OR(COUNTIF('1.연간시수표'!W65,$BO$9),COUNTIF('1.연간시수표'!W65,$BO$7)),$BO$6,IF(OR(COUNTIF('1.연간시수표'!W65,$BP$9),COUNTIF('1.연간시수표'!W65,$BP$7)),$BP$6,IF(OR(COUNTIF('1.연간시수표'!W65,$BQ$9),COUNTIF('1.연간시수표'!W65,$BQ$7)),$BQ$6,IF(OR(COUNTIF('1.연간시수표'!W65,$BR$9),COUNTIF('1.연간시수표'!W65,$BR$7)),$BR$6,"_")))))))))))))))</f>
        <v>체육</v>
      </c>
      <c r="X65" s="148" t="str">
        <f>IF(OR(COUNTIF('1.연간시수표'!X65,$AT$9),COUNTIF('1.연간시수표'!X65,$AT$7)),$AT$6,IF(OR(COUNTIF('1.연간시수표'!X65,$AU$9),COUNTIF('1.연간시수표'!X65,$AU$7)),$AU$6,IF(OR(COUNTIF('1.연간시수표'!X65,$AV$9),COUNTIF('1.연간시수표'!X65,$AV$7)),$AV$6,IF(OR(COUNTIF('1.연간시수표'!X65,$AW$9),COUNTIF('1.연간시수표'!X65,$AW$7)),$AW$6,IF(OR(COUNTIF('1.연간시수표'!X65,$AX$9),COUNTIF('1.연간시수표'!X65,$AX$7)),$AX$6,IF(OR(COUNTIF('1.연간시수표'!X65,$AY$9),COUNTIF('1.연간시수표'!X65,$AY$7)),$AY$6,IF(OR(COUNTIF('1.연간시수표'!X65,$AZ$9),COUNTIF('1.연간시수표'!X65,$AZ$7)),$AZ$6,IF(OR(COUNTIF('1.연간시수표'!X65,$BA$9),COUNTIF('1.연간시수표'!X65,$BA$7)),$BA$6,IF(OR(COUNTIF('1.연간시수표'!X65,$BB$9),COUNTIF('1.연간시수표'!X65,$BB$7)),$BB$6,IF(OR(COUNTIF('1.연간시수표'!X65,$BC$9),COUNTIF('1.연간시수표'!X65,$BC$7)),$BC$6,IF(OR(COUNTIF('1.연간시수표'!X65,$BF$9),COUNTIF('1.연간시수표'!X65,$BF$7),COUNTIF('1.연간시수표'!X65,$BG$9),COUNTIF('1.연간시수표'!X65,$BG$7),COUNTIF('1.연간시수표'!X65,$BH$9),COUNTIF('1.연간시수표'!X65,$BH$7),COUNTIF('1.연간시수표'!X65,$BI$9),COUNTIF('1.연간시수표'!X65,$BI$7),COUNTIF('1.연간시수표'!X65,$BJ$9),COUNTIF('1.연간시수표'!X65,$BJ$7),COUNTIF('1.연간시수표'!X65,$BK$9),COUNTIF('1.연간시수표'!X65,$BK$7),COUNTIF('1.연간시수표'!X65,$BL$9),COUNTIF('1.연간시수표'!X65,$BL$7),COUNTIF('1.연간시수표'!X65,$BM$9),COUNTIF('1.연간시수표'!X65,$BM$7)),$BF$6,IF(OR(COUNTIF('1.연간시수표'!X65,$BO$9),COUNTIF('1.연간시수표'!X65,$BO$7)),$BO$6,IF(OR(COUNTIF('1.연간시수표'!X65,$BP$9),COUNTIF('1.연간시수표'!X65,$BP$7)),$BP$6,IF(OR(COUNTIF('1.연간시수표'!X65,$BQ$9),COUNTIF('1.연간시수표'!X65,$BQ$7)),$BQ$6,IF(OR(COUNTIF('1.연간시수표'!X65,$BR$9),COUNTIF('1.연간시수표'!X65,$BR$7)),$BR$6,"_")))))))))))))))</f>
        <v>음악</v>
      </c>
      <c r="Y65" s="148" t="str">
        <f>IF(OR(COUNTIF('1.연간시수표'!Y65,$AT$9),COUNTIF('1.연간시수표'!Y65,$AT$7)),$AT$6,IF(OR(COUNTIF('1.연간시수표'!Y65,$AU$9),COUNTIF('1.연간시수표'!Y65,$AU$7)),$AU$6,IF(OR(COUNTIF('1.연간시수표'!Y65,$AV$9),COUNTIF('1.연간시수표'!Y65,$AV$7)),$AV$6,IF(OR(COUNTIF('1.연간시수표'!Y65,$AW$9),COUNTIF('1.연간시수표'!Y65,$AW$7)),$AW$6,IF(OR(COUNTIF('1.연간시수표'!Y65,$AX$9),COUNTIF('1.연간시수표'!Y65,$AX$7)),$AX$6,IF(OR(COUNTIF('1.연간시수표'!Y65,$AY$9),COUNTIF('1.연간시수표'!Y65,$AY$7)),$AY$6,IF(OR(COUNTIF('1.연간시수표'!Y65,$AZ$9),COUNTIF('1.연간시수표'!Y65,$AZ$7)),$AZ$6,IF(OR(COUNTIF('1.연간시수표'!Y65,$BA$9),COUNTIF('1.연간시수표'!Y65,$BA$7)),$BA$6,IF(OR(COUNTIF('1.연간시수표'!Y65,$BB$9),COUNTIF('1.연간시수표'!Y65,$BB$7)),$BB$6,IF(OR(COUNTIF('1.연간시수표'!Y65,$BC$9),COUNTIF('1.연간시수표'!Y65,$BC$7)),$BC$6,IF(OR(COUNTIF('1.연간시수표'!Y65,$BF$9),COUNTIF('1.연간시수표'!Y65,$BF$7),COUNTIF('1.연간시수표'!Y65,$BG$9),COUNTIF('1.연간시수표'!Y65,$BG$7),COUNTIF('1.연간시수표'!Y65,$BH$9),COUNTIF('1.연간시수표'!Y65,$BH$7),COUNTIF('1.연간시수표'!Y65,$BI$9),COUNTIF('1.연간시수표'!Y65,$BI$7),COUNTIF('1.연간시수표'!Y65,$BJ$9),COUNTIF('1.연간시수표'!Y65,$BJ$7),COUNTIF('1.연간시수표'!Y65,$BK$9),COUNTIF('1.연간시수표'!Y65,$BK$7),COUNTIF('1.연간시수표'!Y65,$BL$9),COUNTIF('1.연간시수표'!Y65,$BL$7),COUNTIF('1.연간시수표'!Y65,$BM$9),COUNTIF('1.연간시수표'!Y65,$BM$7)),$BF$6,IF(OR(COUNTIF('1.연간시수표'!Y65,$BO$9),COUNTIF('1.연간시수표'!Y65,$BO$7)),$BO$6,IF(OR(COUNTIF('1.연간시수표'!Y65,$BP$9),COUNTIF('1.연간시수표'!Y65,$BP$7)),$BP$6,IF(OR(COUNTIF('1.연간시수표'!Y65,$BQ$9),COUNTIF('1.연간시수표'!Y65,$BQ$7)),$BQ$6,IF(OR(COUNTIF('1.연간시수표'!Y65,$BR$9),COUNTIF('1.연간시수표'!Y65,$BR$7)),$BR$6,"_")))))))))))))))</f>
        <v>도덕</v>
      </c>
      <c r="Z65" s="148" t="str">
        <f>IF(OR(COUNTIF('1.연간시수표'!Z65,$AT$9),COUNTIF('1.연간시수표'!Z65,$AT$7)),$AT$6,IF(OR(COUNTIF('1.연간시수표'!Z65,$AU$9),COUNTIF('1.연간시수표'!Z65,$AU$7)),$AU$6,IF(OR(COUNTIF('1.연간시수표'!Z65,$AV$9),COUNTIF('1.연간시수표'!Z65,$AV$7)),$AV$6,IF(OR(COUNTIF('1.연간시수표'!Z65,$AW$9),COUNTIF('1.연간시수표'!Z65,$AW$7)),$AW$6,IF(OR(COUNTIF('1.연간시수표'!Z65,$AX$9),COUNTIF('1.연간시수표'!Z65,$AX$7)),$AX$6,IF(OR(COUNTIF('1.연간시수표'!Z65,$AY$9),COUNTIF('1.연간시수표'!Z65,$AY$7)),$AY$6,IF(OR(COUNTIF('1.연간시수표'!Z65,$AZ$9),COUNTIF('1.연간시수표'!Z65,$AZ$7)),$AZ$6,IF(OR(COUNTIF('1.연간시수표'!Z65,$BA$9),COUNTIF('1.연간시수표'!Z65,$BA$7)),$BA$6,IF(OR(COUNTIF('1.연간시수표'!Z65,$BB$9),COUNTIF('1.연간시수표'!Z65,$BB$7)),$BB$6,IF(OR(COUNTIF('1.연간시수표'!Z65,$BC$9),COUNTIF('1.연간시수표'!Z65,$BC$7)),$BC$6,IF(OR(COUNTIF('1.연간시수표'!Z65,$BF$9),COUNTIF('1.연간시수표'!Z65,$BF$7),COUNTIF('1.연간시수표'!Z65,$BG$9),COUNTIF('1.연간시수표'!Z65,$BG$7),COUNTIF('1.연간시수표'!Z65,$BH$9),COUNTIF('1.연간시수표'!Z65,$BH$7),COUNTIF('1.연간시수표'!Z65,$BI$9),COUNTIF('1.연간시수표'!Z65,$BI$7),COUNTIF('1.연간시수표'!Z65,$BJ$9),COUNTIF('1.연간시수표'!Z65,$BJ$7),COUNTIF('1.연간시수표'!Z65,$BK$9),COUNTIF('1.연간시수표'!Z65,$BK$7),COUNTIF('1.연간시수표'!Z65,$BL$9),COUNTIF('1.연간시수표'!Z65,$BL$7),COUNTIF('1.연간시수표'!Z65,$BM$9),COUNTIF('1.연간시수표'!Z65,$BM$7)),$BF$6,IF(OR(COUNTIF('1.연간시수표'!Z65,$BO$9),COUNTIF('1.연간시수표'!Z65,$BO$7)),$BO$6,IF(OR(COUNTIF('1.연간시수표'!Z65,$BP$9),COUNTIF('1.연간시수표'!Z65,$BP$7)),$BP$6,IF(OR(COUNTIF('1.연간시수표'!Z65,$BQ$9),COUNTIF('1.연간시수표'!Z65,$BQ$7)),$BQ$6,IF(OR(COUNTIF('1.연간시수표'!Z65,$BR$9),COUNTIF('1.연간시수표'!Z65,$BR$7)),$BR$6,"_")))))))))))))))</f>
        <v>_</v>
      </c>
      <c r="AA65" s="148" t="str">
        <f>IF(OR(COUNTIF('1.연간시수표'!AA65,$AT$9),COUNTIF('1.연간시수표'!AA65,$AT$7)),$AT$6,IF(OR(COUNTIF('1.연간시수표'!AA65,$AU$9),COUNTIF('1.연간시수표'!AA65,$AU$7)),$AU$6,IF(OR(COUNTIF('1.연간시수표'!AA65,$AV$9),COUNTIF('1.연간시수표'!AA65,$AV$7)),$AV$6,IF(OR(COUNTIF('1.연간시수표'!AA65,$AW$9),COUNTIF('1.연간시수표'!AA65,$AW$7)),$AW$6,IF(OR(COUNTIF('1.연간시수표'!AA65,$AX$9),COUNTIF('1.연간시수표'!AA65,$AX$7)),$AX$6,IF(OR(COUNTIF('1.연간시수표'!AA65,$AY$9),COUNTIF('1.연간시수표'!AA65,$AY$7)),$AY$6,IF(OR(COUNTIF('1.연간시수표'!AA65,$AZ$9),COUNTIF('1.연간시수표'!AA65,$AZ$7)),$AZ$6,IF(OR(COUNTIF('1.연간시수표'!AA65,$BA$9),COUNTIF('1.연간시수표'!AA65,$BA$7)),$BA$6,IF(OR(COUNTIF('1.연간시수표'!AA65,$BB$9),COUNTIF('1.연간시수표'!AA65,$BB$7)),$BB$6,IF(OR(COUNTIF('1.연간시수표'!AA65,$BC$9),COUNTIF('1.연간시수표'!AA65,$BC$7)),$BC$6,IF(OR(COUNTIF('1.연간시수표'!AA65,$BF$9),COUNTIF('1.연간시수표'!AA65,$BF$7),COUNTIF('1.연간시수표'!AA65,$BG$9),COUNTIF('1.연간시수표'!AA65,$BG$7),COUNTIF('1.연간시수표'!AA65,$BH$9),COUNTIF('1.연간시수표'!AA65,$BH$7),COUNTIF('1.연간시수표'!AA65,$BI$9),COUNTIF('1.연간시수표'!AA65,$BI$7),COUNTIF('1.연간시수표'!AA65,$BJ$9),COUNTIF('1.연간시수표'!AA65,$BJ$7),COUNTIF('1.연간시수표'!AA65,$BK$9),COUNTIF('1.연간시수표'!AA65,$BK$7),COUNTIF('1.연간시수표'!AA65,$BL$9),COUNTIF('1.연간시수표'!AA65,$BL$7),COUNTIF('1.연간시수표'!AA65,$BM$9),COUNTIF('1.연간시수표'!AA65,$BM$7)),$BF$6,IF(OR(COUNTIF('1.연간시수표'!AA65,$BO$9),COUNTIF('1.연간시수표'!AA65,$BO$7)),$BO$6,IF(OR(COUNTIF('1.연간시수표'!AA65,$BP$9),COUNTIF('1.연간시수표'!AA65,$BP$7)),$BP$6,IF(OR(COUNTIF('1.연간시수표'!AA65,$BQ$9),COUNTIF('1.연간시수표'!AA65,$BQ$7)),$BQ$6,IF(OR(COUNTIF('1.연간시수표'!AA65,$BR$9),COUNTIF('1.연간시수표'!AA65,$BR$7)),$BR$6,"_")))))))))))))))</f>
        <v>_</v>
      </c>
      <c r="AB65" s="148" t="str">
        <f>IF(OR(COUNTIF('1.연간시수표'!AB65,$AT$9),COUNTIF('1.연간시수표'!AB65,$AT$7)),$AT$6,IF(OR(COUNTIF('1.연간시수표'!AB65,$AU$9),COUNTIF('1.연간시수표'!AB65,$AU$7)),$AU$6,IF(OR(COUNTIF('1.연간시수표'!AB65,$AV$9),COUNTIF('1.연간시수표'!AB65,$AV$7)),$AV$6,IF(OR(COUNTIF('1.연간시수표'!AB65,$AW$9),COUNTIF('1.연간시수표'!AB65,$AW$7)),$AW$6,IF(OR(COUNTIF('1.연간시수표'!AB65,$AX$9),COUNTIF('1.연간시수표'!AB65,$AX$7)),$AX$6,IF(OR(COUNTIF('1.연간시수표'!AB65,$AY$9),COUNTIF('1.연간시수표'!AB65,$AY$7)),$AY$6,IF(OR(COUNTIF('1.연간시수표'!AB65,$AZ$9),COUNTIF('1.연간시수표'!AB65,$AZ$7)),$AZ$6,IF(OR(COUNTIF('1.연간시수표'!AB65,$BA$9),COUNTIF('1.연간시수표'!AB65,$BA$7)),$BA$6,IF(OR(COUNTIF('1.연간시수표'!AB65,$BB$9),COUNTIF('1.연간시수표'!AB65,$BB$7)),$BB$6,IF(OR(COUNTIF('1.연간시수표'!AB65,$BC$9),COUNTIF('1.연간시수표'!AB65,$BC$7)),$BC$6,IF(OR(COUNTIF('1.연간시수표'!AB65,$BF$9),COUNTIF('1.연간시수표'!AB65,$BF$7),COUNTIF('1.연간시수표'!AB65,$BG$9),COUNTIF('1.연간시수표'!AB65,$BG$7),COUNTIF('1.연간시수표'!AB65,$BH$9),COUNTIF('1.연간시수표'!AB65,$BH$7),COUNTIF('1.연간시수표'!AB65,$BI$9),COUNTIF('1.연간시수표'!AB65,$BI$7),COUNTIF('1.연간시수표'!AB65,$BJ$9),COUNTIF('1.연간시수표'!AB65,$BJ$7),COUNTIF('1.연간시수표'!AB65,$BK$9),COUNTIF('1.연간시수표'!AB65,$BK$7),COUNTIF('1.연간시수표'!AB65,$BL$9),COUNTIF('1.연간시수표'!AB65,$BL$7),COUNTIF('1.연간시수표'!AB65,$BM$9),COUNTIF('1.연간시수표'!AB65,$BM$7)),$BF$6,IF(OR(COUNTIF('1.연간시수표'!AB65,$BO$9),COUNTIF('1.연간시수표'!AB65,$BO$7)),$BO$6,IF(OR(COUNTIF('1.연간시수표'!AB65,$BP$9),COUNTIF('1.연간시수표'!AB65,$BP$7)),$BP$6,IF(OR(COUNTIF('1.연간시수표'!AB65,$BQ$9),COUNTIF('1.연간시수표'!AB65,$BQ$7)),$BQ$6,IF(OR(COUNTIF('1.연간시수표'!AB65,$BR$9),COUNTIF('1.연간시수표'!AB65,$BR$7)),$BR$6,"_")))))))))))))))</f>
        <v>_</v>
      </c>
      <c r="AC65" s="148" t="str">
        <f>IF(OR(COUNTIF('1.연간시수표'!AC65,$AT$9),COUNTIF('1.연간시수표'!AC65,$AT$7)),$AT$6,IF(OR(COUNTIF('1.연간시수표'!AC65,$AU$9),COUNTIF('1.연간시수표'!AC65,$AU$7)),$AU$6,IF(OR(COUNTIF('1.연간시수표'!AC65,$AV$9),COUNTIF('1.연간시수표'!AC65,$AV$7)),$AV$6,IF(OR(COUNTIF('1.연간시수표'!AC65,$AW$9),COUNTIF('1.연간시수표'!AC65,$AW$7)),$AW$6,IF(OR(COUNTIF('1.연간시수표'!AC65,$AX$9),COUNTIF('1.연간시수표'!AC65,$AX$7)),$AX$6,IF(OR(COUNTIF('1.연간시수표'!AC65,$AY$9),COUNTIF('1.연간시수표'!AC65,$AY$7)),$AY$6,IF(OR(COUNTIF('1.연간시수표'!AC65,$AZ$9),COUNTIF('1.연간시수표'!AC65,$AZ$7)),$AZ$6,IF(OR(COUNTIF('1.연간시수표'!AC65,$BA$9),COUNTIF('1.연간시수표'!AC65,$BA$7)),$BA$6,IF(OR(COUNTIF('1.연간시수표'!AC65,$BB$9),COUNTIF('1.연간시수표'!AC65,$BB$7)),$BB$6,IF(OR(COUNTIF('1.연간시수표'!AC65,$BC$9),COUNTIF('1.연간시수표'!AC65,$BC$7)),$BC$6,IF(OR(COUNTIF('1.연간시수표'!AC65,$BF$9),COUNTIF('1.연간시수표'!AC65,$BF$7),COUNTIF('1.연간시수표'!AC65,$BG$9),COUNTIF('1.연간시수표'!AC65,$BG$7),COUNTIF('1.연간시수표'!AC65,$BH$9),COUNTIF('1.연간시수표'!AC65,$BH$7),COUNTIF('1.연간시수표'!AC65,$BI$9),COUNTIF('1.연간시수표'!AC65,$BI$7),COUNTIF('1.연간시수표'!AC65,$BJ$9),COUNTIF('1.연간시수표'!AC65,$BJ$7),COUNTIF('1.연간시수표'!AC65,$BK$9),COUNTIF('1.연간시수표'!AC65,$BK$7),COUNTIF('1.연간시수표'!AC65,$BL$9),COUNTIF('1.연간시수표'!AC65,$BL$7),COUNTIF('1.연간시수표'!AC65,$BM$9),COUNTIF('1.연간시수표'!AC65,$BM$7)),$BF$6,IF(OR(COUNTIF('1.연간시수표'!AC65,$BO$9),COUNTIF('1.연간시수표'!AC65,$BO$7)),$BO$6,IF(OR(COUNTIF('1.연간시수표'!AC65,$BP$9),COUNTIF('1.연간시수표'!AC65,$BP$7)),$BP$6,IF(OR(COUNTIF('1.연간시수표'!AC65,$BQ$9),COUNTIF('1.연간시수표'!AC65,$BQ$7)),$BQ$6,IF(OR(COUNTIF('1.연간시수표'!AC65,$BR$9),COUNTIF('1.연간시수표'!AC65,$BR$7)),$BR$6,"_")))))))))))))))</f>
        <v>국어</v>
      </c>
      <c r="AD65" s="148" t="str">
        <f>IF(OR(COUNTIF('1.연간시수표'!AD65,$AT$9),COUNTIF('1.연간시수표'!AD65,$AT$7)),$AT$6,IF(OR(COUNTIF('1.연간시수표'!AD65,$AU$9),COUNTIF('1.연간시수표'!AD65,$AU$7)),$AU$6,IF(OR(COUNTIF('1.연간시수표'!AD65,$AV$9),COUNTIF('1.연간시수표'!AD65,$AV$7)),$AV$6,IF(OR(COUNTIF('1.연간시수표'!AD65,$AW$9),COUNTIF('1.연간시수표'!AD65,$AW$7)),$AW$6,IF(OR(COUNTIF('1.연간시수표'!AD65,$AX$9),COUNTIF('1.연간시수표'!AD65,$AX$7)),$AX$6,IF(OR(COUNTIF('1.연간시수표'!AD65,$AY$9),COUNTIF('1.연간시수표'!AD65,$AY$7)),$AY$6,IF(OR(COUNTIF('1.연간시수표'!AD65,$AZ$9),COUNTIF('1.연간시수표'!AD65,$AZ$7)),$AZ$6,IF(OR(COUNTIF('1.연간시수표'!AD65,$BA$9),COUNTIF('1.연간시수표'!AD65,$BA$7)),$BA$6,IF(OR(COUNTIF('1.연간시수표'!AD65,$BB$9),COUNTIF('1.연간시수표'!AD65,$BB$7)),$BB$6,IF(OR(COUNTIF('1.연간시수표'!AD65,$BC$9),COUNTIF('1.연간시수표'!AD65,$BC$7)),$BC$6,IF(OR(COUNTIF('1.연간시수표'!AD65,$BF$9),COUNTIF('1.연간시수표'!AD65,$BF$7),COUNTIF('1.연간시수표'!AD65,$BG$9),COUNTIF('1.연간시수표'!AD65,$BG$7),COUNTIF('1.연간시수표'!AD65,$BH$9),COUNTIF('1.연간시수표'!AD65,$BH$7),COUNTIF('1.연간시수표'!AD65,$BI$9),COUNTIF('1.연간시수표'!AD65,$BI$7),COUNTIF('1.연간시수표'!AD65,$BJ$9),COUNTIF('1.연간시수표'!AD65,$BJ$7),COUNTIF('1.연간시수표'!AD65,$BK$9),COUNTIF('1.연간시수표'!AD65,$BK$7),COUNTIF('1.연간시수표'!AD65,$BL$9),COUNTIF('1.연간시수표'!AD65,$BL$7),COUNTIF('1.연간시수표'!AD65,$BM$9),COUNTIF('1.연간시수표'!AD65,$BM$7)),$BF$6,IF(OR(COUNTIF('1.연간시수표'!AD65,$BO$9),COUNTIF('1.연간시수표'!AD65,$BO$7)),$BO$6,IF(OR(COUNTIF('1.연간시수표'!AD65,$BP$9),COUNTIF('1.연간시수표'!AD65,$BP$7)),$BP$6,IF(OR(COUNTIF('1.연간시수표'!AD65,$BQ$9),COUNTIF('1.연간시수표'!AD65,$BQ$7)),$BQ$6,IF(OR(COUNTIF('1.연간시수표'!AD65,$BR$9),COUNTIF('1.연간시수표'!AD65,$BR$7)),$BR$6,"_")))))))))))))))</f>
        <v>수학</v>
      </c>
      <c r="AE65" s="148" t="str">
        <f>IF(OR(COUNTIF('1.연간시수표'!AE65,$AT$9),COUNTIF('1.연간시수표'!AE65,$AT$7)),$AT$6,IF(OR(COUNTIF('1.연간시수표'!AE65,$AU$9),COUNTIF('1.연간시수표'!AE65,$AU$7)),$AU$6,IF(OR(COUNTIF('1.연간시수표'!AE65,$AV$9),COUNTIF('1.연간시수표'!AE65,$AV$7)),$AV$6,IF(OR(COUNTIF('1.연간시수표'!AE65,$AW$9),COUNTIF('1.연간시수표'!AE65,$AW$7)),$AW$6,IF(OR(COUNTIF('1.연간시수표'!AE65,$AX$9),COUNTIF('1.연간시수표'!AE65,$AX$7)),$AX$6,IF(OR(COUNTIF('1.연간시수표'!AE65,$AY$9),COUNTIF('1.연간시수표'!AE65,$AY$7)),$AY$6,IF(OR(COUNTIF('1.연간시수표'!AE65,$AZ$9),COUNTIF('1.연간시수표'!AE65,$AZ$7)),$AZ$6,IF(OR(COUNTIF('1.연간시수표'!AE65,$BA$9),COUNTIF('1.연간시수표'!AE65,$BA$7)),$BA$6,IF(OR(COUNTIF('1.연간시수표'!AE65,$BB$9),COUNTIF('1.연간시수표'!AE65,$BB$7)),$BB$6,IF(OR(COUNTIF('1.연간시수표'!AE65,$BC$9),COUNTIF('1.연간시수표'!AE65,$BC$7)),$BC$6,IF(OR(COUNTIF('1.연간시수표'!AE65,$BF$9),COUNTIF('1.연간시수표'!AE65,$BF$7),COUNTIF('1.연간시수표'!AE65,$BG$9),COUNTIF('1.연간시수표'!AE65,$BG$7),COUNTIF('1.연간시수표'!AE65,$BH$9),COUNTIF('1.연간시수표'!AE65,$BH$7),COUNTIF('1.연간시수표'!AE65,$BI$9),COUNTIF('1.연간시수표'!AE65,$BI$7),COUNTIF('1.연간시수표'!AE65,$BJ$9),COUNTIF('1.연간시수표'!AE65,$BJ$7),COUNTIF('1.연간시수표'!AE65,$BK$9),COUNTIF('1.연간시수표'!AE65,$BK$7),COUNTIF('1.연간시수표'!AE65,$BL$9),COUNTIF('1.연간시수표'!AE65,$BL$7),COUNTIF('1.연간시수표'!AE65,$BM$9),COUNTIF('1.연간시수표'!AE65,$BM$7)),$BF$6,IF(OR(COUNTIF('1.연간시수표'!AE65,$BO$9),COUNTIF('1.연간시수표'!AE65,$BO$7)),$BO$6,IF(OR(COUNTIF('1.연간시수표'!AE65,$BP$9),COUNTIF('1.연간시수표'!AE65,$BP$7)),$BP$6,IF(OR(COUNTIF('1.연간시수표'!AE65,$BQ$9),COUNTIF('1.연간시수표'!AE65,$BQ$7)),$BQ$6,IF(OR(COUNTIF('1.연간시수표'!AE65,$BR$9),COUNTIF('1.연간시수표'!AE65,$BR$7)),$BR$6,"_")))))))))))))))</f>
        <v>사회</v>
      </c>
      <c r="AF65" s="148" t="str">
        <f>IF(OR(COUNTIF('1.연간시수표'!AF65,$AT$9),COUNTIF('1.연간시수표'!AF65,$AT$7)),$AT$6,IF(OR(COUNTIF('1.연간시수표'!AF65,$AU$9),COUNTIF('1.연간시수표'!AF65,$AU$7)),$AU$6,IF(OR(COUNTIF('1.연간시수표'!AF65,$AV$9),COUNTIF('1.연간시수표'!AF65,$AV$7)),$AV$6,IF(OR(COUNTIF('1.연간시수표'!AF65,$AW$9),COUNTIF('1.연간시수표'!AF65,$AW$7)),$AW$6,IF(OR(COUNTIF('1.연간시수표'!AF65,$AX$9),COUNTIF('1.연간시수표'!AF65,$AX$7)),$AX$6,IF(OR(COUNTIF('1.연간시수표'!AF65,$AY$9),COUNTIF('1.연간시수표'!AF65,$AY$7)),$AY$6,IF(OR(COUNTIF('1.연간시수표'!AF65,$AZ$9),COUNTIF('1.연간시수표'!AF65,$AZ$7)),$AZ$6,IF(OR(COUNTIF('1.연간시수표'!AF65,$BA$9),COUNTIF('1.연간시수표'!AF65,$BA$7)),$BA$6,IF(OR(COUNTIF('1.연간시수표'!AF65,$BB$9),COUNTIF('1.연간시수표'!AF65,$BB$7)),$BB$6,IF(OR(COUNTIF('1.연간시수표'!AF65,$BC$9),COUNTIF('1.연간시수표'!AF65,$BC$7)),$BC$6,IF(OR(COUNTIF('1.연간시수표'!AF65,$BF$9),COUNTIF('1.연간시수표'!AF65,$BF$7),COUNTIF('1.연간시수표'!AF65,$BG$9),COUNTIF('1.연간시수표'!AF65,$BG$7),COUNTIF('1.연간시수표'!AF65,$BH$9),COUNTIF('1.연간시수표'!AF65,$BH$7),COUNTIF('1.연간시수표'!AF65,$BI$9),COUNTIF('1.연간시수표'!AF65,$BI$7),COUNTIF('1.연간시수표'!AF65,$BJ$9),COUNTIF('1.연간시수표'!AF65,$BJ$7),COUNTIF('1.연간시수표'!AF65,$BK$9),COUNTIF('1.연간시수표'!AF65,$BK$7),COUNTIF('1.연간시수표'!AF65,$BL$9),COUNTIF('1.연간시수표'!AF65,$BL$7),COUNTIF('1.연간시수표'!AF65,$BM$9),COUNTIF('1.연간시수표'!AF65,$BM$7)),$BF$6,IF(OR(COUNTIF('1.연간시수표'!AF65,$BO$9),COUNTIF('1.연간시수표'!AF65,$BO$7)),$BO$6,IF(OR(COUNTIF('1.연간시수표'!AF65,$BP$9),COUNTIF('1.연간시수표'!AF65,$BP$7)),$BP$6,IF(OR(COUNTIF('1.연간시수표'!AF65,$BQ$9),COUNTIF('1.연간시수표'!AF65,$BQ$7)),$BQ$6,IF(OR(COUNTIF('1.연간시수표'!AF65,$BR$9),COUNTIF('1.연간시수표'!AF65,$BR$7)),$BR$6,"_")))))))))))))))</f>
        <v>영어</v>
      </c>
      <c r="AG65" s="148" t="str">
        <f>IF(OR(COUNTIF('1.연간시수표'!AG65,$AT$9),COUNTIF('1.연간시수표'!AG65,$AT$7)),$AT$6,IF(OR(COUNTIF('1.연간시수표'!AG65,$AU$9),COUNTIF('1.연간시수표'!AG65,$AU$7)),$AU$6,IF(OR(COUNTIF('1.연간시수표'!AG65,$AV$9),COUNTIF('1.연간시수표'!AG65,$AV$7)),$AV$6,IF(OR(COUNTIF('1.연간시수표'!AG65,$AW$9),COUNTIF('1.연간시수표'!AG65,$AW$7)),$AW$6,IF(OR(COUNTIF('1.연간시수표'!AG65,$AX$9),COUNTIF('1.연간시수표'!AG65,$AX$7)),$AX$6,IF(OR(COUNTIF('1.연간시수표'!AG65,$AY$9),COUNTIF('1.연간시수표'!AG65,$AY$7)),$AY$6,IF(OR(COUNTIF('1.연간시수표'!AG65,$AZ$9),COUNTIF('1.연간시수표'!AG65,$AZ$7)),$AZ$6,IF(OR(COUNTIF('1.연간시수표'!AG65,$BA$9),COUNTIF('1.연간시수표'!AG65,$BA$7)),$BA$6,IF(OR(COUNTIF('1.연간시수표'!AG65,$BB$9),COUNTIF('1.연간시수표'!AG65,$BB$7)),$BB$6,IF(OR(COUNTIF('1.연간시수표'!AG65,$BC$9),COUNTIF('1.연간시수표'!AG65,$BC$7)),$BC$6,IF(OR(COUNTIF('1.연간시수표'!AG65,$BF$9),COUNTIF('1.연간시수표'!AG65,$BF$7),COUNTIF('1.연간시수표'!AG65,$BG$9),COUNTIF('1.연간시수표'!AG65,$BG$7),COUNTIF('1.연간시수표'!AG65,$BH$9),COUNTIF('1.연간시수표'!AG65,$BH$7),COUNTIF('1.연간시수표'!AG65,$BI$9),COUNTIF('1.연간시수표'!AG65,$BI$7),COUNTIF('1.연간시수표'!AG65,$BJ$9),COUNTIF('1.연간시수표'!AG65,$BJ$7),COUNTIF('1.연간시수표'!AG65,$BK$9),COUNTIF('1.연간시수표'!AG65,$BK$7),COUNTIF('1.연간시수표'!AG65,$BL$9),COUNTIF('1.연간시수표'!AG65,$BL$7),COUNTIF('1.연간시수표'!AG65,$BM$9),COUNTIF('1.연간시수표'!AG65,$BM$7)),$BF$6,IF(OR(COUNTIF('1.연간시수표'!AG65,$BO$9),COUNTIF('1.연간시수표'!AG65,$BO$7)),$BO$6,IF(OR(COUNTIF('1.연간시수표'!AG65,$BP$9),COUNTIF('1.연간시수표'!AG65,$BP$7)),$BP$6,IF(OR(COUNTIF('1.연간시수표'!AG65,$BQ$9),COUNTIF('1.연간시수표'!AG65,$BQ$7)),$BQ$6,IF(OR(COUNTIF('1.연간시수표'!AG65,$BR$9),COUNTIF('1.연간시수표'!AG65,$BR$7)),$BR$6,"_")))))))))))))))</f>
        <v>과학</v>
      </c>
      <c r="AH65" s="148" t="str">
        <f>IF(OR(COUNTIF('1.연간시수표'!AH65,$AT$9),COUNTIF('1.연간시수표'!AH65,$AT$7)),$AT$6,IF(OR(COUNTIF('1.연간시수표'!AH65,$AU$9),COUNTIF('1.연간시수표'!AH65,$AU$7)),$AU$6,IF(OR(COUNTIF('1.연간시수표'!AH65,$AV$9),COUNTIF('1.연간시수표'!AH65,$AV$7)),$AV$6,IF(OR(COUNTIF('1.연간시수표'!AH65,$AW$9),COUNTIF('1.연간시수표'!AH65,$AW$7)),$AW$6,IF(OR(COUNTIF('1.연간시수표'!AH65,$AX$9),COUNTIF('1.연간시수표'!AH65,$AX$7)),$AX$6,IF(OR(COUNTIF('1.연간시수표'!AH65,$AY$9),COUNTIF('1.연간시수표'!AH65,$AY$7)),$AY$6,IF(OR(COUNTIF('1.연간시수표'!AH65,$AZ$9),COUNTIF('1.연간시수표'!AH65,$AZ$7)),$AZ$6,IF(OR(COUNTIF('1.연간시수표'!AH65,$BA$9),COUNTIF('1.연간시수표'!AH65,$BA$7)),$BA$6,IF(OR(COUNTIF('1.연간시수표'!AH65,$BB$9),COUNTIF('1.연간시수표'!AH65,$BB$7)),$BB$6,IF(OR(COUNTIF('1.연간시수표'!AH65,$BC$9),COUNTIF('1.연간시수표'!AH65,$BC$7)),$BC$6,IF(OR(COUNTIF('1.연간시수표'!AH65,$BF$9),COUNTIF('1.연간시수표'!AH65,$BF$7),COUNTIF('1.연간시수표'!AH65,$BG$9),COUNTIF('1.연간시수표'!AH65,$BG$7),COUNTIF('1.연간시수표'!AH65,$BH$9),COUNTIF('1.연간시수표'!AH65,$BH$7),COUNTIF('1.연간시수표'!AH65,$BI$9),COUNTIF('1.연간시수표'!AH65,$BI$7),COUNTIF('1.연간시수표'!AH65,$BJ$9),COUNTIF('1.연간시수표'!AH65,$BJ$7),COUNTIF('1.연간시수표'!AH65,$BK$9),COUNTIF('1.연간시수표'!AH65,$BK$7),COUNTIF('1.연간시수표'!AH65,$BL$9),COUNTIF('1.연간시수표'!AH65,$BL$7),COUNTIF('1.연간시수표'!AH65,$BM$9),COUNTIF('1.연간시수표'!AH65,$BM$7)),$BF$6,IF(OR(COUNTIF('1.연간시수표'!AH65,$BO$9),COUNTIF('1.연간시수표'!AH65,$BO$7)),$BO$6,IF(OR(COUNTIF('1.연간시수표'!AH65,$BP$9),COUNTIF('1.연간시수표'!AH65,$BP$7)),$BP$6,IF(OR(COUNTIF('1.연간시수표'!AH65,$BQ$9),COUNTIF('1.연간시수표'!AH65,$BQ$7)),$BQ$6,IF(OR(COUNTIF('1.연간시수표'!AH65,$BR$9),COUNTIF('1.연간시수표'!AH65,$BR$7)),$BR$6,"_")))))))))))))))</f>
        <v>음악</v>
      </c>
      <c r="AI65" s="148" t="str">
        <f>IF(OR(COUNTIF('1.연간시수표'!AI65,$AT$9),COUNTIF('1.연간시수표'!AI65,$AT$7)),$AT$6,IF(OR(COUNTIF('1.연간시수표'!AI65,$AU$9),COUNTIF('1.연간시수표'!AI65,$AU$7)),$AU$6,IF(OR(COUNTIF('1.연간시수표'!AI65,$AV$9),COUNTIF('1.연간시수표'!AI65,$AV$7)),$AV$6,IF(OR(COUNTIF('1.연간시수표'!AI65,$AW$9),COUNTIF('1.연간시수표'!AI65,$AW$7)),$AW$6,IF(OR(COUNTIF('1.연간시수표'!AI65,$AX$9),COUNTIF('1.연간시수표'!AI65,$AX$7)),$AX$6,IF(OR(COUNTIF('1.연간시수표'!AI65,$AY$9),COUNTIF('1.연간시수표'!AI65,$AY$7)),$AY$6,IF(OR(COUNTIF('1.연간시수표'!AI65,$AZ$9),COUNTIF('1.연간시수표'!AI65,$AZ$7)),$AZ$6,IF(OR(COUNTIF('1.연간시수표'!AI65,$BA$9),COUNTIF('1.연간시수표'!AI65,$BA$7)),$BA$6,IF(OR(COUNTIF('1.연간시수표'!AI65,$BB$9),COUNTIF('1.연간시수표'!AI65,$BB$7)),$BB$6,IF(OR(COUNTIF('1.연간시수표'!AI65,$BC$9),COUNTIF('1.연간시수표'!AI65,$BC$7)),$BC$6,IF(OR(COUNTIF('1.연간시수표'!AI65,$BF$9),COUNTIF('1.연간시수표'!AI65,$BF$7),COUNTIF('1.연간시수표'!AI65,$BG$9),COUNTIF('1.연간시수표'!AI65,$BG$7),COUNTIF('1.연간시수표'!AI65,$BH$9),COUNTIF('1.연간시수표'!AI65,$BH$7),COUNTIF('1.연간시수표'!AI65,$BI$9),COUNTIF('1.연간시수표'!AI65,$BI$7),COUNTIF('1.연간시수표'!AI65,$BJ$9),COUNTIF('1.연간시수표'!AI65,$BJ$7),COUNTIF('1.연간시수표'!AI65,$BK$9),COUNTIF('1.연간시수표'!AI65,$BK$7),COUNTIF('1.연간시수표'!AI65,$BL$9),COUNTIF('1.연간시수표'!AI65,$BL$7),COUNTIF('1.연간시수표'!AI65,$BM$9),COUNTIF('1.연간시수표'!AI65,$BM$7)),$BF$6,IF(OR(COUNTIF('1.연간시수표'!AI65,$BO$9),COUNTIF('1.연간시수표'!AI65,$BO$7)),$BO$6,IF(OR(COUNTIF('1.연간시수표'!AI65,$BP$9),COUNTIF('1.연간시수표'!AI65,$BP$7)),$BP$6,IF(OR(COUNTIF('1.연간시수표'!AI65,$BQ$9),COUNTIF('1.연간시수표'!AI65,$BQ$7)),$BQ$6,IF(OR(COUNTIF('1.연간시수표'!AI65,$BR$9),COUNTIF('1.연간시수표'!AI65,$BR$7)),$BR$6,"_")))))))))))))))</f>
        <v>_</v>
      </c>
      <c r="AJ65" s="148" t="str">
        <f>IF(OR(COUNTIF('1.연간시수표'!AJ65,$AT$9),COUNTIF('1.연간시수표'!AJ65,$AT$7)),$AT$6,IF(OR(COUNTIF('1.연간시수표'!AJ65,$AU$9),COUNTIF('1.연간시수표'!AJ65,$AU$7)),$AU$6,IF(OR(COUNTIF('1.연간시수표'!AJ65,$AV$9),COUNTIF('1.연간시수표'!AJ65,$AV$7)),$AV$6,IF(OR(COUNTIF('1.연간시수표'!AJ65,$AW$9),COUNTIF('1.연간시수표'!AJ65,$AW$7)),$AW$6,IF(OR(COUNTIF('1.연간시수표'!AJ65,$AX$9),COUNTIF('1.연간시수표'!AJ65,$AX$7)),$AX$6,IF(OR(COUNTIF('1.연간시수표'!AJ65,$AY$9),COUNTIF('1.연간시수표'!AJ65,$AY$7)),$AY$6,IF(OR(COUNTIF('1.연간시수표'!AJ65,$AZ$9),COUNTIF('1.연간시수표'!AJ65,$AZ$7)),$AZ$6,IF(OR(COUNTIF('1.연간시수표'!AJ65,$BA$9),COUNTIF('1.연간시수표'!AJ65,$BA$7)),$BA$6,IF(OR(COUNTIF('1.연간시수표'!AJ65,$BB$9),COUNTIF('1.연간시수표'!AJ65,$BB$7)),$BB$6,IF(OR(COUNTIF('1.연간시수표'!AJ65,$BC$9),COUNTIF('1.연간시수표'!AJ65,$BC$7)),$BC$6,IF(OR(COUNTIF('1.연간시수표'!AJ65,$BF$9),COUNTIF('1.연간시수표'!AJ65,$BF$7),COUNTIF('1.연간시수표'!AJ65,$BG$9),COUNTIF('1.연간시수표'!AJ65,$BG$7),COUNTIF('1.연간시수표'!AJ65,$BH$9),COUNTIF('1.연간시수표'!AJ65,$BH$7),COUNTIF('1.연간시수표'!AJ65,$BI$9),COUNTIF('1.연간시수표'!AJ65,$BI$7),COUNTIF('1.연간시수표'!AJ65,$BJ$9),COUNTIF('1.연간시수표'!AJ65,$BJ$7),COUNTIF('1.연간시수표'!AJ65,$BK$9),COUNTIF('1.연간시수표'!AJ65,$BK$7),COUNTIF('1.연간시수표'!AJ65,$BL$9),COUNTIF('1.연간시수표'!AJ65,$BL$7),COUNTIF('1.연간시수표'!AJ65,$BM$9),COUNTIF('1.연간시수표'!AJ65,$BM$7)),$BF$6,IF(OR(COUNTIF('1.연간시수표'!AJ65,$BO$9),COUNTIF('1.연간시수표'!AJ65,$BO$7)),$BO$6,IF(OR(COUNTIF('1.연간시수표'!AJ65,$BP$9),COUNTIF('1.연간시수표'!AJ65,$BP$7)),$BP$6,IF(OR(COUNTIF('1.연간시수표'!AJ65,$BQ$9),COUNTIF('1.연간시수표'!AJ65,$BQ$7)),$BQ$6,IF(OR(COUNTIF('1.연간시수표'!AJ65,$BR$9),COUNTIF('1.연간시수표'!AJ65,$BR$7)),$BR$6,"_")))))))))))))))</f>
        <v>_</v>
      </c>
      <c r="AK65" s="148" t="str">
        <f>IF(OR(COUNTIF('1.연간시수표'!AK65,$AT$9),COUNTIF('1.연간시수표'!AK65,$AT$7)),$AT$6,IF(OR(COUNTIF('1.연간시수표'!AK65,$AU$9),COUNTIF('1.연간시수표'!AK65,$AU$7)),$AU$6,IF(OR(COUNTIF('1.연간시수표'!AK65,$AV$9),COUNTIF('1.연간시수표'!AK65,$AV$7)),$AV$6,IF(OR(COUNTIF('1.연간시수표'!AK65,$AW$9),COUNTIF('1.연간시수표'!AK65,$AW$7)),$AW$6,IF(OR(COUNTIF('1.연간시수표'!AK65,$AX$9),COUNTIF('1.연간시수표'!AK65,$AX$7)),$AX$6,IF(OR(COUNTIF('1.연간시수표'!AK65,$AY$9),COUNTIF('1.연간시수표'!AK65,$AY$7)),$AY$6,IF(OR(COUNTIF('1.연간시수표'!AK65,$AZ$9),COUNTIF('1.연간시수표'!AK65,$AZ$7)),$AZ$6,IF(OR(COUNTIF('1.연간시수표'!AK65,$BA$9),COUNTIF('1.연간시수표'!AK65,$BA$7)),$BA$6,IF(OR(COUNTIF('1.연간시수표'!AK65,$BB$9),COUNTIF('1.연간시수표'!AK65,$BB$7)),$BB$6,IF(OR(COUNTIF('1.연간시수표'!AK65,$BC$9),COUNTIF('1.연간시수표'!AK65,$BC$7)),$BC$6,IF(OR(COUNTIF('1.연간시수표'!AK65,$BF$9),COUNTIF('1.연간시수표'!AK65,$BF$7),COUNTIF('1.연간시수표'!AK65,$BG$9),COUNTIF('1.연간시수표'!AK65,$BG$7),COUNTIF('1.연간시수표'!AK65,$BH$9),COUNTIF('1.연간시수표'!AK65,$BH$7),COUNTIF('1.연간시수표'!AK65,$BI$9),COUNTIF('1.연간시수표'!AK65,$BI$7),COUNTIF('1.연간시수표'!AK65,$BJ$9),COUNTIF('1.연간시수표'!AK65,$BJ$7),COUNTIF('1.연간시수표'!AK65,$BK$9),COUNTIF('1.연간시수표'!AK65,$BK$7),COUNTIF('1.연간시수표'!AK65,$BL$9),COUNTIF('1.연간시수표'!AK65,$BL$7),COUNTIF('1.연간시수표'!AK65,$BM$9),COUNTIF('1.연간시수표'!AK65,$BM$7)),$BF$6,IF(OR(COUNTIF('1.연간시수표'!AK65,$BO$9),COUNTIF('1.연간시수표'!AK65,$BO$7)),$BO$6,IF(OR(COUNTIF('1.연간시수표'!AK65,$BP$9),COUNTIF('1.연간시수표'!AK65,$BP$7)),$BP$6,IF(OR(COUNTIF('1.연간시수표'!AK65,$BQ$9),COUNTIF('1.연간시수표'!AK65,$BQ$7)),$BQ$6,IF(OR(COUNTIF('1.연간시수표'!AK65,$BR$9),COUNTIF('1.연간시수표'!AK65,$BR$7)),$BR$6,"_")))))))))))))))</f>
        <v>국어</v>
      </c>
      <c r="AL65" s="148" t="str">
        <f>IF(OR(COUNTIF('1.연간시수표'!AL65,$AT$9),COUNTIF('1.연간시수표'!AL65,$AT$7)),$AT$6,IF(OR(COUNTIF('1.연간시수표'!AL65,$AU$9),COUNTIF('1.연간시수표'!AL65,$AU$7)),$AU$6,IF(OR(COUNTIF('1.연간시수표'!AL65,$AV$9),COUNTIF('1.연간시수표'!AL65,$AV$7)),$AV$6,IF(OR(COUNTIF('1.연간시수표'!AL65,$AW$9),COUNTIF('1.연간시수표'!AL65,$AW$7)),$AW$6,IF(OR(COUNTIF('1.연간시수표'!AL65,$AX$9),COUNTIF('1.연간시수표'!AL65,$AX$7)),$AX$6,IF(OR(COUNTIF('1.연간시수표'!AL65,$AY$9),COUNTIF('1.연간시수표'!AL65,$AY$7)),$AY$6,IF(OR(COUNTIF('1.연간시수표'!AL65,$AZ$9),COUNTIF('1.연간시수표'!AL65,$AZ$7)),$AZ$6,IF(OR(COUNTIF('1.연간시수표'!AL65,$BA$9),COUNTIF('1.연간시수표'!AL65,$BA$7)),$BA$6,IF(OR(COUNTIF('1.연간시수표'!AL65,$BB$9),COUNTIF('1.연간시수표'!AL65,$BB$7)),$BB$6,IF(OR(COUNTIF('1.연간시수표'!AL65,$BC$9),COUNTIF('1.연간시수표'!AL65,$BC$7)),$BC$6,IF(OR(COUNTIF('1.연간시수표'!AL65,$BF$9),COUNTIF('1.연간시수표'!AL65,$BF$7),COUNTIF('1.연간시수표'!AL65,$BG$9),COUNTIF('1.연간시수표'!AL65,$BG$7),COUNTIF('1.연간시수표'!AL65,$BH$9),COUNTIF('1.연간시수표'!AL65,$BH$7),COUNTIF('1.연간시수표'!AL65,$BI$9),COUNTIF('1.연간시수표'!AL65,$BI$7),COUNTIF('1.연간시수표'!AL65,$BJ$9),COUNTIF('1.연간시수표'!AL65,$BJ$7),COUNTIF('1.연간시수표'!AL65,$BK$9),COUNTIF('1.연간시수표'!AL65,$BK$7),COUNTIF('1.연간시수표'!AL65,$BL$9),COUNTIF('1.연간시수표'!AL65,$BL$7),COUNTIF('1.연간시수표'!AL65,$BM$9),COUNTIF('1.연간시수표'!AL65,$BM$7)),$BF$6,IF(OR(COUNTIF('1.연간시수표'!AL65,$BO$9),COUNTIF('1.연간시수표'!AL65,$BO$7)),$BO$6,IF(OR(COUNTIF('1.연간시수표'!AL65,$BP$9),COUNTIF('1.연간시수표'!AL65,$BP$7)),$BP$6,IF(OR(COUNTIF('1.연간시수표'!AL65,$BQ$9),COUNTIF('1.연간시수표'!AL65,$BQ$7)),$BQ$6,IF(OR(COUNTIF('1.연간시수표'!AL65,$BR$9),COUNTIF('1.연간시수표'!AL65,$BR$7)),$BR$6,"_")))))))))))))))</f>
        <v>체육</v>
      </c>
      <c r="AM65" s="148" t="str">
        <f>IF(OR(COUNTIF('1.연간시수표'!AM65,$AT$9),COUNTIF('1.연간시수표'!AM65,$AT$7)),$AT$6,IF(OR(COUNTIF('1.연간시수표'!AM65,$AU$9),COUNTIF('1.연간시수표'!AM65,$AU$7)),$AU$6,IF(OR(COUNTIF('1.연간시수표'!AM65,$AV$9),COUNTIF('1.연간시수표'!AM65,$AV$7)),$AV$6,IF(OR(COUNTIF('1.연간시수표'!AM65,$AW$9),COUNTIF('1.연간시수표'!AM65,$AW$7)),$AW$6,IF(OR(COUNTIF('1.연간시수표'!AM65,$AX$9),COUNTIF('1.연간시수표'!AM65,$AX$7)),$AX$6,IF(OR(COUNTIF('1.연간시수표'!AM65,$AY$9),COUNTIF('1.연간시수표'!AM65,$AY$7)),$AY$6,IF(OR(COUNTIF('1.연간시수표'!AM65,$AZ$9),COUNTIF('1.연간시수표'!AM65,$AZ$7)),$AZ$6,IF(OR(COUNTIF('1.연간시수표'!AM65,$BA$9),COUNTIF('1.연간시수표'!AM65,$BA$7)),$BA$6,IF(OR(COUNTIF('1.연간시수표'!AM65,$BB$9),COUNTIF('1.연간시수표'!AM65,$BB$7)),$BB$6,IF(OR(COUNTIF('1.연간시수표'!AM65,$BC$9),COUNTIF('1.연간시수표'!AM65,$BC$7)),$BC$6,IF(OR(COUNTIF('1.연간시수표'!AM65,$BF$9),COUNTIF('1.연간시수표'!AM65,$BF$7),COUNTIF('1.연간시수표'!AM65,$BG$9),COUNTIF('1.연간시수표'!AM65,$BG$7),COUNTIF('1.연간시수표'!AM65,$BH$9),COUNTIF('1.연간시수표'!AM65,$BH$7),COUNTIF('1.연간시수표'!AM65,$BI$9),COUNTIF('1.연간시수표'!AM65,$BI$7),COUNTIF('1.연간시수표'!AM65,$BJ$9),COUNTIF('1.연간시수표'!AM65,$BJ$7),COUNTIF('1.연간시수표'!AM65,$BK$9),COUNTIF('1.연간시수표'!AM65,$BK$7),COUNTIF('1.연간시수표'!AM65,$BL$9),COUNTIF('1.연간시수표'!AM65,$BL$7),COUNTIF('1.연간시수표'!AM65,$BM$9),COUNTIF('1.연간시수표'!AM65,$BM$7)),$BF$6,IF(OR(COUNTIF('1.연간시수표'!AM65,$BO$9),COUNTIF('1.연간시수표'!AM65,$BO$7)),$BO$6,IF(OR(COUNTIF('1.연간시수표'!AM65,$BP$9),COUNTIF('1.연간시수표'!AM65,$BP$7)),$BP$6,IF(OR(COUNTIF('1.연간시수표'!AM65,$BQ$9),COUNTIF('1.연간시수표'!AM65,$BQ$7)),$BQ$6,IF(OR(COUNTIF('1.연간시수표'!AM65,$BR$9),COUNTIF('1.연간시수표'!AM65,$BR$7)),$BR$6,"_")))))))))))))))</f>
        <v>수학</v>
      </c>
      <c r="AN65" s="148" t="str">
        <f>IF(OR(COUNTIF('1.연간시수표'!AN65,$AT$9),COUNTIF('1.연간시수표'!AN65,$AT$7)),$AT$6,IF(OR(COUNTIF('1.연간시수표'!AN65,$AU$9),COUNTIF('1.연간시수표'!AN65,$AU$7)),$AU$6,IF(OR(COUNTIF('1.연간시수표'!AN65,$AV$9),COUNTIF('1.연간시수표'!AN65,$AV$7)),$AV$6,IF(OR(COUNTIF('1.연간시수표'!AN65,$AW$9),COUNTIF('1.연간시수표'!AN65,$AW$7)),$AW$6,IF(OR(COUNTIF('1.연간시수표'!AN65,$AX$9),COUNTIF('1.연간시수표'!AN65,$AX$7)),$AX$6,IF(OR(COUNTIF('1.연간시수표'!AN65,$AY$9),COUNTIF('1.연간시수표'!AN65,$AY$7)),$AY$6,IF(OR(COUNTIF('1.연간시수표'!AN65,$AZ$9),COUNTIF('1.연간시수표'!AN65,$AZ$7)),$AZ$6,IF(OR(COUNTIF('1.연간시수표'!AN65,$BA$9),COUNTIF('1.연간시수표'!AN65,$BA$7)),$BA$6,IF(OR(COUNTIF('1.연간시수표'!AN65,$BB$9),COUNTIF('1.연간시수표'!AN65,$BB$7)),$BB$6,IF(OR(COUNTIF('1.연간시수표'!AN65,$BC$9),COUNTIF('1.연간시수표'!AN65,$BC$7)),$BC$6,IF(OR(COUNTIF('1.연간시수표'!AN65,$BF$9),COUNTIF('1.연간시수표'!AN65,$BF$7),COUNTIF('1.연간시수표'!AN65,$BG$9),COUNTIF('1.연간시수표'!AN65,$BG$7),COUNTIF('1.연간시수표'!AN65,$BH$9),COUNTIF('1.연간시수표'!AN65,$BH$7),COUNTIF('1.연간시수표'!AN65,$BI$9),COUNTIF('1.연간시수표'!AN65,$BI$7),COUNTIF('1.연간시수표'!AN65,$BJ$9),COUNTIF('1.연간시수표'!AN65,$BJ$7),COUNTIF('1.연간시수표'!AN65,$BK$9),COUNTIF('1.연간시수표'!AN65,$BK$7),COUNTIF('1.연간시수표'!AN65,$BL$9),COUNTIF('1.연간시수표'!AN65,$BL$7),COUNTIF('1.연간시수표'!AN65,$BM$9),COUNTIF('1.연간시수표'!AN65,$BM$7)),$BF$6,IF(OR(COUNTIF('1.연간시수표'!AN65,$BO$9),COUNTIF('1.연간시수표'!AN65,$BO$7)),$BO$6,IF(OR(COUNTIF('1.연간시수표'!AN65,$BP$9),COUNTIF('1.연간시수표'!AN65,$BP$7)),$BP$6,IF(OR(COUNTIF('1.연간시수표'!AN65,$BQ$9),COUNTIF('1.연간시수표'!AN65,$BQ$7)),$BQ$6,IF(OR(COUNTIF('1.연간시수표'!AN65,$BR$9),COUNTIF('1.연간시수표'!AN65,$BR$7)),$BR$6,"_")))))))))))))))</f>
        <v>국어</v>
      </c>
      <c r="AO65" s="148" t="str">
        <f>IF(OR(COUNTIF('1.연간시수표'!AO65,$AT$9),COUNTIF('1.연간시수표'!AO65,$AT$7)),$AT$6,IF(OR(COUNTIF('1.연간시수표'!AO65,$AU$9),COUNTIF('1.연간시수표'!AO65,$AU$7)),$AU$6,IF(OR(COUNTIF('1.연간시수표'!AO65,$AV$9),COUNTIF('1.연간시수표'!AO65,$AV$7)),$AV$6,IF(OR(COUNTIF('1.연간시수표'!AO65,$AW$9),COUNTIF('1.연간시수표'!AO65,$AW$7)),$AW$6,IF(OR(COUNTIF('1.연간시수표'!AO65,$AX$9),COUNTIF('1.연간시수표'!AO65,$AX$7)),$AX$6,IF(OR(COUNTIF('1.연간시수표'!AO65,$AY$9),COUNTIF('1.연간시수표'!AO65,$AY$7)),$AY$6,IF(OR(COUNTIF('1.연간시수표'!AO65,$AZ$9),COUNTIF('1.연간시수표'!AO65,$AZ$7)),$AZ$6,IF(OR(COUNTIF('1.연간시수표'!AO65,$BA$9),COUNTIF('1.연간시수표'!AO65,$BA$7)),$BA$6,IF(OR(COUNTIF('1.연간시수표'!AO65,$BB$9),COUNTIF('1.연간시수표'!AO65,$BB$7)),$BB$6,IF(OR(COUNTIF('1.연간시수표'!AO65,$BC$9),COUNTIF('1.연간시수표'!AO65,$BC$7)),$BC$6,IF(OR(COUNTIF('1.연간시수표'!AO65,$BF$9),COUNTIF('1.연간시수표'!AO65,$BF$7),COUNTIF('1.연간시수표'!AO65,$BG$9),COUNTIF('1.연간시수표'!AO65,$BG$7),COUNTIF('1.연간시수표'!AO65,$BH$9),COUNTIF('1.연간시수표'!AO65,$BH$7),COUNTIF('1.연간시수표'!AO65,$BI$9),COUNTIF('1.연간시수표'!AO65,$BI$7),COUNTIF('1.연간시수표'!AO65,$BJ$9),COUNTIF('1.연간시수표'!AO65,$BJ$7),COUNTIF('1.연간시수표'!AO65,$BK$9),COUNTIF('1.연간시수표'!AO65,$BK$7),COUNTIF('1.연간시수표'!AO65,$BL$9),COUNTIF('1.연간시수표'!AO65,$BL$7),COUNTIF('1.연간시수표'!AO65,$BM$9),COUNTIF('1.연간시수표'!AO65,$BM$7)),$BF$6,IF(OR(COUNTIF('1.연간시수표'!AO65,$BO$9),COUNTIF('1.연간시수표'!AO65,$BO$7)),$BO$6,IF(OR(COUNTIF('1.연간시수표'!AO65,$BP$9),COUNTIF('1.연간시수표'!AO65,$BP$7)),$BP$6,IF(OR(COUNTIF('1.연간시수표'!AO65,$BQ$9),COUNTIF('1.연간시수표'!AO65,$BQ$7)),$BQ$6,IF(OR(COUNTIF('1.연간시수표'!AO65,$BR$9),COUNTIF('1.연간시수표'!AO65,$BR$7)),$BR$6,"_")))))))))))))))</f>
        <v>사회</v>
      </c>
      <c r="AP65" s="148" t="str">
        <f>IF(OR(COUNTIF('1.연간시수표'!AP65,$AT$9),COUNTIF('1.연간시수표'!AP65,$AT$7)),$AT$6,IF(OR(COUNTIF('1.연간시수표'!AP65,$AU$9),COUNTIF('1.연간시수표'!AP65,$AU$7)),$AU$6,IF(OR(COUNTIF('1.연간시수표'!AP65,$AV$9),COUNTIF('1.연간시수표'!AP65,$AV$7)),$AV$6,IF(OR(COUNTIF('1.연간시수표'!AP65,$AW$9),COUNTIF('1.연간시수표'!AP65,$AW$7)),$AW$6,IF(OR(COUNTIF('1.연간시수표'!AP65,$AX$9),COUNTIF('1.연간시수표'!AP65,$AX$7)),$AX$6,IF(OR(COUNTIF('1.연간시수표'!AP65,$AY$9),COUNTIF('1.연간시수표'!AP65,$AY$7)),$AY$6,IF(OR(COUNTIF('1.연간시수표'!AP65,$AZ$9),COUNTIF('1.연간시수표'!AP65,$AZ$7)),$AZ$6,IF(OR(COUNTIF('1.연간시수표'!AP65,$BA$9),COUNTIF('1.연간시수표'!AP65,$BA$7)),$BA$6,IF(OR(COUNTIF('1.연간시수표'!AP65,$BB$9),COUNTIF('1.연간시수표'!AP65,$BB$7)),$BB$6,IF(OR(COUNTIF('1.연간시수표'!AP65,$BC$9),COUNTIF('1.연간시수표'!AP65,$BC$7)),$BC$6,IF(OR(COUNTIF('1.연간시수표'!AP65,$BF$9),COUNTIF('1.연간시수표'!AP65,$BF$7),COUNTIF('1.연간시수표'!AP65,$BG$9),COUNTIF('1.연간시수표'!AP65,$BG$7),COUNTIF('1.연간시수표'!AP65,$BH$9),COUNTIF('1.연간시수표'!AP65,$BH$7),COUNTIF('1.연간시수표'!AP65,$BI$9),COUNTIF('1.연간시수표'!AP65,$BI$7),COUNTIF('1.연간시수표'!AP65,$BJ$9),COUNTIF('1.연간시수표'!AP65,$BJ$7),COUNTIF('1.연간시수표'!AP65,$BK$9),COUNTIF('1.연간시수표'!AP65,$BK$7),COUNTIF('1.연간시수표'!AP65,$BL$9),COUNTIF('1.연간시수표'!AP65,$BL$7),COUNTIF('1.연간시수표'!AP65,$BM$9),COUNTIF('1.연간시수표'!AP65,$BM$7)),$BF$6,IF(OR(COUNTIF('1.연간시수표'!AP65,$BO$9),COUNTIF('1.연간시수표'!AP65,$BO$7)),$BO$6,IF(OR(COUNTIF('1.연간시수표'!AP65,$BP$9),COUNTIF('1.연간시수표'!AP65,$BP$7)),$BP$6,IF(OR(COUNTIF('1.연간시수표'!AP65,$BQ$9),COUNTIF('1.연간시수표'!AP65,$BQ$7)),$BQ$6,IF(OR(COUNTIF('1.연간시수표'!AP65,$BR$9),COUNTIF('1.연간시수표'!AP65,$BR$7)),$BR$6,"_")))))))))))))))</f>
        <v>실과</v>
      </c>
      <c r="AQ65" s="148" t="str">
        <f>IF(OR(COUNTIF('1.연간시수표'!AQ65,$AT$9),COUNTIF('1.연간시수표'!AQ65,$AT$7)),$AT$6,IF(OR(COUNTIF('1.연간시수표'!AQ65,$AU$9),COUNTIF('1.연간시수표'!AQ65,$AU$7)),$AU$6,IF(OR(COUNTIF('1.연간시수표'!AQ65,$AV$9),COUNTIF('1.연간시수표'!AQ65,$AV$7)),$AV$6,IF(OR(COUNTIF('1.연간시수표'!AQ65,$AW$9),COUNTIF('1.연간시수표'!AQ65,$AW$7)),$AW$6,IF(OR(COUNTIF('1.연간시수표'!AQ65,$AX$9),COUNTIF('1.연간시수표'!AQ65,$AX$7)),$AX$6,IF(OR(COUNTIF('1.연간시수표'!AQ65,$AY$9),COUNTIF('1.연간시수표'!AQ65,$AY$7)),$AY$6,IF(OR(COUNTIF('1.연간시수표'!AQ65,$AZ$9),COUNTIF('1.연간시수표'!AQ65,$AZ$7)),$AZ$6,IF(OR(COUNTIF('1.연간시수표'!AQ65,$BA$9),COUNTIF('1.연간시수표'!AQ65,$BA$7)),$BA$6,IF(OR(COUNTIF('1.연간시수표'!AQ65,$BB$9),COUNTIF('1.연간시수표'!AQ65,$BB$7)),$BB$6,IF(OR(COUNTIF('1.연간시수표'!AQ65,$BC$9),COUNTIF('1.연간시수표'!AQ65,$BC$7)),$BC$6,IF(OR(COUNTIF('1.연간시수표'!AQ65,$BF$9),COUNTIF('1.연간시수표'!AQ65,$BF$7),COUNTIF('1.연간시수표'!AQ65,$BG$9),COUNTIF('1.연간시수표'!AQ65,$BG$7),COUNTIF('1.연간시수표'!AQ65,$BH$9),COUNTIF('1.연간시수표'!AQ65,$BH$7),COUNTIF('1.연간시수표'!AQ65,$BI$9),COUNTIF('1.연간시수표'!AQ65,$BI$7),COUNTIF('1.연간시수표'!AQ65,$BJ$9),COUNTIF('1.연간시수표'!AQ65,$BJ$7),COUNTIF('1.연간시수표'!AQ65,$BK$9),COUNTIF('1.연간시수표'!AQ65,$BK$7),COUNTIF('1.연간시수표'!AQ65,$BL$9),COUNTIF('1.연간시수표'!AQ65,$BL$7),COUNTIF('1.연간시수표'!AQ65,$BM$9),COUNTIF('1.연간시수표'!AQ65,$BM$7)),$BF$6,IF(OR(COUNTIF('1.연간시수표'!AQ65,$BO$9),COUNTIF('1.연간시수표'!AQ65,$BO$7)),$BO$6,IF(OR(COUNTIF('1.연간시수표'!AQ65,$BP$9),COUNTIF('1.연간시수표'!AQ65,$BP$7)),$BP$6,IF(OR(COUNTIF('1.연간시수표'!AQ65,$BQ$9),COUNTIF('1.연간시수표'!AQ65,$BQ$7)),$BQ$6,IF(OR(COUNTIF('1.연간시수표'!AQ65,$BR$9),COUNTIF('1.연간시수표'!AQ65,$BR$7)),$BR$6,"_")))))))))))))))</f>
        <v>_</v>
      </c>
      <c r="AR65" s="148" t="str">
        <f>IF(OR(COUNTIF('1.연간시수표'!AR65,$AT$9),COUNTIF('1.연간시수표'!AR65,$AT$7)),$AT$6,IF(OR(COUNTIF('1.연간시수표'!AR65,$AU$9),COUNTIF('1.연간시수표'!AR65,$AU$7)),$AU$6,IF(OR(COUNTIF('1.연간시수표'!AR65,$AV$9),COUNTIF('1.연간시수표'!AR65,$AV$7)),$AV$6,IF(OR(COUNTIF('1.연간시수표'!AR65,$AW$9),COUNTIF('1.연간시수표'!AR65,$AW$7)),$AW$6,IF(OR(COUNTIF('1.연간시수표'!AR65,$AX$9),COUNTIF('1.연간시수표'!AR65,$AX$7)),$AX$6,IF(OR(COUNTIF('1.연간시수표'!AR65,$AY$9),COUNTIF('1.연간시수표'!AR65,$AY$7)),$AY$6,IF(OR(COUNTIF('1.연간시수표'!AR65,$AZ$9),COUNTIF('1.연간시수표'!AR65,$AZ$7)),$AZ$6,IF(OR(COUNTIF('1.연간시수표'!AR65,$BA$9),COUNTIF('1.연간시수표'!AR65,$BA$7)),$BA$6,IF(OR(COUNTIF('1.연간시수표'!AR65,$BB$9),COUNTIF('1.연간시수표'!AR65,$BB$7)),$BB$6,IF(OR(COUNTIF('1.연간시수표'!AR65,$BC$9),COUNTIF('1.연간시수표'!AR65,$BC$7)),$BC$6,IF(OR(COUNTIF('1.연간시수표'!AR65,$BF$9),COUNTIF('1.연간시수표'!AR65,$BF$7),COUNTIF('1.연간시수표'!AR65,$BG$9),COUNTIF('1.연간시수표'!AR65,$BG$7),COUNTIF('1.연간시수표'!AR65,$BH$9),COUNTIF('1.연간시수표'!AR65,$BH$7),COUNTIF('1.연간시수표'!AR65,$BI$9),COUNTIF('1.연간시수표'!AR65,$BI$7),COUNTIF('1.연간시수표'!AR65,$BJ$9),COUNTIF('1.연간시수표'!AR65,$BJ$7),COUNTIF('1.연간시수표'!AR65,$BK$9),COUNTIF('1.연간시수표'!AR65,$BK$7),COUNTIF('1.연간시수표'!AR65,$BL$9),COUNTIF('1.연간시수표'!AR65,$BL$7),COUNTIF('1.연간시수표'!AR65,$BM$9),COUNTIF('1.연간시수표'!AR65,$BM$7)),$BF$6,IF(OR(COUNTIF('1.연간시수표'!AR65,$BO$9),COUNTIF('1.연간시수표'!AR65,$BO$7)),$BO$6,IF(OR(COUNTIF('1.연간시수표'!AR65,$BP$9),COUNTIF('1.연간시수표'!AR65,$BP$7)),$BP$6,IF(OR(COUNTIF('1.연간시수표'!AR65,$BQ$9),COUNTIF('1.연간시수표'!AR65,$BQ$7)),$BQ$6,IF(OR(COUNTIF('1.연간시수표'!AR65,$BR$9),COUNTIF('1.연간시수표'!AR65,$BR$7)),$BR$6,"_")))))))))))))))</f>
        <v>_</v>
      </c>
    </row>
    <row r="66" spans="2:44">
      <c r="B66" s="6"/>
      <c r="C66" s="79">
        <f>'1.연간시수표'!C66</f>
        <v>35</v>
      </c>
      <c r="D66" s="3"/>
      <c r="E66" s="148" t="str">
        <f>IF(OR(COUNTIF('1.연간시수표'!E66,$AT$9),COUNTIF('1.연간시수표'!E66,$AT$7)),$AT$6,IF(OR(COUNTIF('1.연간시수표'!E66,$AU$9),COUNTIF('1.연간시수표'!E66,$AU$7)),$AU$6,IF(OR(COUNTIF('1.연간시수표'!E66,$AV$9),COUNTIF('1.연간시수표'!E66,$AV$7)),$AV$6,IF(OR(COUNTIF('1.연간시수표'!E66,$AW$9),COUNTIF('1.연간시수표'!E66,$AW$7)),$AW$6,IF(OR(COUNTIF('1.연간시수표'!E66,$AX$9),COUNTIF('1.연간시수표'!E66,$AX$7)),$AX$6,IF(OR(COUNTIF('1.연간시수표'!E66,$AY$9),COUNTIF('1.연간시수표'!E66,$AY$7)),$AY$6,IF(OR(COUNTIF('1.연간시수표'!E66,$AZ$9),COUNTIF('1.연간시수표'!E66,$AZ$7)),$AZ$6,IF(OR(COUNTIF('1.연간시수표'!E66,$BA$9),COUNTIF('1.연간시수표'!E66,$BA$7)),$BA$6,IF(OR(COUNTIF('1.연간시수표'!E66,$BB$9),COUNTIF('1.연간시수표'!E66,$BB$7)),$BB$6,IF(OR(COUNTIF('1.연간시수표'!E66,$BC$9),COUNTIF('1.연간시수표'!E66,$BC$7)),$BC$6,IF(OR(COUNTIF('1.연간시수표'!E66,$BF$9),COUNTIF('1.연간시수표'!E66,$BF$7),COUNTIF('1.연간시수표'!E66,$BG$9),COUNTIF('1.연간시수표'!E66,$BG$7),COUNTIF('1.연간시수표'!E66,$BH$9),COUNTIF('1.연간시수표'!E66,$BH$7),COUNTIF('1.연간시수표'!E66,$BI$9),COUNTIF('1.연간시수표'!E66,$BI$7),COUNTIF('1.연간시수표'!E66,$BJ$9),COUNTIF('1.연간시수표'!E66,$BJ$7),COUNTIF('1.연간시수표'!E66,$BK$9),COUNTIF('1.연간시수표'!E66,$BK$7),COUNTIF('1.연간시수표'!E66,$BL$9),COUNTIF('1.연간시수표'!E66,$BL$7),COUNTIF('1.연간시수표'!E66,$BM$9),COUNTIF('1.연간시수표'!E66,$BM$7)),$BF$6,IF(OR(COUNTIF('1.연간시수표'!E66,$BO$9),COUNTIF('1.연간시수표'!E66,$BO$7)),$BO$6,IF(OR(COUNTIF('1.연간시수표'!E66,$BP$9),COUNTIF('1.연간시수표'!E66,$BP$7)),$BP$6,IF(OR(COUNTIF('1.연간시수표'!E66,$BQ$9),COUNTIF('1.연간시수표'!E66,$BQ$7)),$BQ$6,IF(OR(COUNTIF('1.연간시수표'!E66,$BR$9),COUNTIF('1.연간시수표'!E66,$BR$7)),$BR$6,"_")))))))))))))))</f>
        <v>국어</v>
      </c>
      <c r="F66" s="148" t="str">
        <f>IF(OR(COUNTIF('1.연간시수표'!F66,$AT$9),COUNTIF('1.연간시수표'!F66,$AT$7)),$AT$6,IF(OR(COUNTIF('1.연간시수표'!F66,$AU$9),COUNTIF('1.연간시수표'!F66,$AU$7)),$AU$6,IF(OR(COUNTIF('1.연간시수표'!F66,$AV$9),COUNTIF('1.연간시수표'!F66,$AV$7)),$AV$6,IF(OR(COUNTIF('1.연간시수표'!F66,$AW$9),COUNTIF('1.연간시수표'!F66,$AW$7)),$AW$6,IF(OR(COUNTIF('1.연간시수표'!F66,$AX$9),COUNTIF('1.연간시수표'!F66,$AX$7)),$AX$6,IF(OR(COUNTIF('1.연간시수표'!F66,$AY$9),COUNTIF('1.연간시수표'!F66,$AY$7)),$AY$6,IF(OR(COUNTIF('1.연간시수표'!F66,$AZ$9),COUNTIF('1.연간시수표'!F66,$AZ$7)),$AZ$6,IF(OR(COUNTIF('1.연간시수표'!F66,$BA$9),COUNTIF('1.연간시수표'!F66,$BA$7)),$BA$6,IF(OR(COUNTIF('1.연간시수표'!F66,$BB$9),COUNTIF('1.연간시수표'!F66,$BB$7)),$BB$6,IF(OR(COUNTIF('1.연간시수표'!F66,$BC$9),COUNTIF('1.연간시수표'!F66,$BC$7)),$BC$6,IF(OR(COUNTIF('1.연간시수표'!F66,$BF$9),COUNTIF('1.연간시수표'!F66,$BF$7),COUNTIF('1.연간시수표'!F66,$BG$9),COUNTIF('1.연간시수표'!F66,$BG$7),COUNTIF('1.연간시수표'!F66,$BH$9),COUNTIF('1.연간시수표'!F66,$BH$7),COUNTIF('1.연간시수표'!F66,$BI$9),COUNTIF('1.연간시수표'!F66,$BI$7),COUNTIF('1.연간시수표'!F66,$BJ$9),COUNTIF('1.연간시수표'!F66,$BJ$7),COUNTIF('1.연간시수표'!F66,$BK$9),COUNTIF('1.연간시수표'!F66,$BK$7),COUNTIF('1.연간시수표'!F66,$BL$9),COUNTIF('1.연간시수표'!F66,$BL$7),COUNTIF('1.연간시수표'!F66,$BM$9),COUNTIF('1.연간시수표'!F66,$BM$7)),$BF$6,IF(OR(COUNTIF('1.연간시수표'!F66,$BO$9),COUNTIF('1.연간시수표'!F66,$BO$7)),$BO$6,IF(OR(COUNTIF('1.연간시수표'!F66,$BP$9),COUNTIF('1.연간시수표'!F66,$BP$7)),$BP$6,IF(OR(COUNTIF('1.연간시수표'!F66,$BQ$9),COUNTIF('1.연간시수표'!F66,$BQ$7)),$BQ$6,IF(OR(COUNTIF('1.연간시수표'!F66,$BR$9),COUNTIF('1.연간시수표'!F66,$BR$7)),$BR$6,"_")))))))))))))))</f>
        <v>미술</v>
      </c>
      <c r="G66" s="148" t="str">
        <f>IF(OR(COUNTIF('1.연간시수표'!G66,$AT$9),COUNTIF('1.연간시수표'!G66,$AT$7)),$AT$6,IF(OR(COUNTIF('1.연간시수표'!G66,$AU$9),COUNTIF('1.연간시수표'!G66,$AU$7)),$AU$6,IF(OR(COUNTIF('1.연간시수표'!G66,$AV$9),COUNTIF('1.연간시수표'!G66,$AV$7)),$AV$6,IF(OR(COUNTIF('1.연간시수표'!G66,$AW$9),COUNTIF('1.연간시수표'!G66,$AW$7)),$AW$6,IF(OR(COUNTIF('1.연간시수표'!G66,$AX$9),COUNTIF('1.연간시수표'!G66,$AX$7)),$AX$6,IF(OR(COUNTIF('1.연간시수표'!G66,$AY$9),COUNTIF('1.연간시수표'!G66,$AY$7)),$AY$6,IF(OR(COUNTIF('1.연간시수표'!G66,$AZ$9),COUNTIF('1.연간시수표'!G66,$AZ$7)),$AZ$6,IF(OR(COUNTIF('1.연간시수표'!G66,$BA$9),COUNTIF('1.연간시수표'!G66,$BA$7)),$BA$6,IF(OR(COUNTIF('1.연간시수표'!G66,$BB$9),COUNTIF('1.연간시수표'!G66,$BB$7)),$BB$6,IF(OR(COUNTIF('1.연간시수표'!G66,$BC$9),COUNTIF('1.연간시수표'!G66,$BC$7)),$BC$6,IF(OR(COUNTIF('1.연간시수표'!G66,$BF$9),COUNTIF('1.연간시수표'!G66,$BF$7),COUNTIF('1.연간시수표'!G66,$BG$9),COUNTIF('1.연간시수표'!G66,$BG$7),COUNTIF('1.연간시수표'!G66,$BH$9),COUNTIF('1.연간시수표'!G66,$BH$7),COUNTIF('1.연간시수표'!G66,$BI$9),COUNTIF('1.연간시수표'!G66,$BI$7),COUNTIF('1.연간시수표'!G66,$BJ$9),COUNTIF('1.연간시수표'!G66,$BJ$7),COUNTIF('1.연간시수표'!G66,$BK$9),COUNTIF('1.연간시수표'!G66,$BK$7),COUNTIF('1.연간시수표'!G66,$BL$9),COUNTIF('1.연간시수표'!G66,$BL$7),COUNTIF('1.연간시수표'!G66,$BM$9),COUNTIF('1.연간시수표'!G66,$BM$7)),$BF$6,IF(OR(COUNTIF('1.연간시수표'!G66,$BO$9),COUNTIF('1.연간시수표'!G66,$BO$7)),$BO$6,IF(OR(COUNTIF('1.연간시수표'!G66,$BP$9),COUNTIF('1.연간시수표'!G66,$BP$7)),$BP$6,IF(OR(COUNTIF('1.연간시수표'!G66,$BQ$9),COUNTIF('1.연간시수표'!G66,$BQ$7)),$BQ$6,IF(OR(COUNTIF('1.연간시수표'!G66,$BR$9),COUNTIF('1.연간시수표'!G66,$BR$7)),$BR$6,"_")))))))))))))))</f>
        <v>미술</v>
      </c>
      <c r="H66" s="148" t="str">
        <f>IF(OR(COUNTIF('1.연간시수표'!H66,$AT$9),COUNTIF('1.연간시수표'!H66,$AT$7)),$AT$6,IF(OR(COUNTIF('1.연간시수표'!H66,$AU$9),COUNTIF('1.연간시수표'!H66,$AU$7)),$AU$6,IF(OR(COUNTIF('1.연간시수표'!H66,$AV$9),COUNTIF('1.연간시수표'!H66,$AV$7)),$AV$6,IF(OR(COUNTIF('1.연간시수표'!H66,$AW$9),COUNTIF('1.연간시수표'!H66,$AW$7)),$AW$6,IF(OR(COUNTIF('1.연간시수표'!H66,$AX$9),COUNTIF('1.연간시수표'!H66,$AX$7)),$AX$6,IF(OR(COUNTIF('1.연간시수표'!H66,$AY$9),COUNTIF('1.연간시수표'!H66,$AY$7)),$AY$6,IF(OR(COUNTIF('1.연간시수표'!H66,$AZ$9),COUNTIF('1.연간시수표'!H66,$AZ$7)),$AZ$6,IF(OR(COUNTIF('1.연간시수표'!H66,$BA$9),COUNTIF('1.연간시수표'!H66,$BA$7)),$BA$6,IF(OR(COUNTIF('1.연간시수표'!H66,$BB$9),COUNTIF('1.연간시수표'!H66,$BB$7)),$BB$6,IF(OR(COUNTIF('1.연간시수표'!H66,$BC$9),COUNTIF('1.연간시수표'!H66,$BC$7)),$BC$6,IF(OR(COUNTIF('1.연간시수표'!H66,$BF$9),COUNTIF('1.연간시수표'!H66,$BF$7),COUNTIF('1.연간시수표'!H66,$BG$9),COUNTIF('1.연간시수표'!H66,$BG$7),COUNTIF('1.연간시수표'!H66,$BH$9),COUNTIF('1.연간시수표'!H66,$BH$7),COUNTIF('1.연간시수표'!H66,$BI$9),COUNTIF('1.연간시수표'!H66,$BI$7),COUNTIF('1.연간시수표'!H66,$BJ$9),COUNTIF('1.연간시수표'!H66,$BJ$7),COUNTIF('1.연간시수표'!H66,$BK$9),COUNTIF('1.연간시수표'!H66,$BK$7),COUNTIF('1.연간시수표'!H66,$BL$9),COUNTIF('1.연간시수표'!H66,$BL$7),COUNTIF('1.연간시수표'!H66,$BM$9),COUNTIF('1.연간시수표'!H66,$BM$7)),$BF$6,IF(OR(COUNTIF('1.연간시수표'!H66,$BO$9),COUNTIF('1.연간시수표'!H66,$BO$7)),$BO$6,IF(OR(COUNTIF('1.연간시수표'!H66,$BP$9),COUNTIF('1.연간시수표'!H66,$BP$7)),$BP$6,IF(OR(COUNTIF('1.연간시수표'!H66,$BQ$9),COUNTIF('1.연간시수표'!H66,$BQ$7)),$BQ$6,IF(OR(COUNTIF('1.연간시수표'!H66,$BR$9),COUNTIF('1.연간시수표'!H66,$BR$7)),$BR$6,"_")))))))))))))))</f>
        <v>영어</v>
      </c>
      <c r="I66" s="148" t="str">
        <f>IF(OR(COUNTIF('1.연간시수표'!I66,$AT$9),COUNTIF('1.연간시수표'!I66,$AT$7)),$AT$6,IF(OR(COUNTIF('1.연간시수표'!I66,$AU$9),COUNTIF('1.연간시수표'!I66,$AU$7)),$AU$6,IF(OR(COUNTIF('1.연간시수표'!I66,$AV$9),COUNTIF('1.연간시수표'!I66,$AV$7)),$AV$6,IF(OR(COUNTIF('1.연간시수표'!I66,$AW$9),COUNTIF('1.연간시수표'!I66,$AW$7)),$AW$6,IF(OR(COUNTIF('1.연간시수표'!I66,$AX$9),COUNTIF('1.연간시수표'!I66,$AX$7)),$AX$6,IF(OR(COUNTIF('1.연간시수표'!I66,$AY$9),COUNTIF('1.연간시수표'!I66,$AY$7)),$AY$6,IF(OR(COUNTIF('1.연간시수표'!I66,$AZ$9),COUNTIF('1.연간시수표'!I66,$AZ$7)),$AZ$6,IF(OR(COUNTIF('1.연간시수표'!I66,$BA$9),COUNTIF('1.연간시수표'!I66,$BA$7)),$BA$6,IF(OR(COUNTIF('1.연간시수표'!I66,$BB$9),COUNTIF('1.연간시수표'!I66,$BB$7)),$BB$6,IF(OR(COUNTIF('1.연간시수표'!I66,$BC$9),COUNTIF('1.연간시수표'!I66,$BC$7)),$BC$6,IF(OR(COUNTIF('1.연간시수표'!I66,$BF$9),COUNTIF('1.연간시수표'!I66,$BF$7),COUNTIF('1.연간시수표'!I66,$BG$9),COUNTIF('1.연간시수표'!I66,$BG$7),COUNTIF('1.연간시수표'!I66,$BH$9),COUNTIF('1.연간시수표'!I66,$BH$7),COUNTIF('1.연간시수표'!I66,$BI$9),COUNTIF('1.연간시수표'!I66,$BI$7),COUNTIF('1.연간시수표'!I66,$BJ$9),COUNTIF('1.연간시수표'!I66,$BJ$7),COUNTIF('1.연간시수표'!I66,$BK$9),COUNTIF('1.연간시수표'!I66,$BK$7),COUNTIF('1.연간시수표'!I66,$BL$9),COUNTIF('1.연간시수표'!I66,$BL$7),COUNTIF('1.연간시수표'!I66,$BM$9),COUNTIF('1.연간시수표'!I66,$BM$7)),$BF$6,IF(OR(COUNTIF('1.연간시수표'!I66,$BO$9),COUNTIF('1.연간시수표'!I66,$BO$7)),$BO$6,IF(OR(COUNTIF('1.연간시수표'!I66,$BP$9),COUNTIF('1.연간시수표'!I66,$BP$7)),$BP$6,IF(OR(COUNTIF('1.연간시수표'!I66,$BQ$9),COUNTIF('1.연간시수표'!I66,$BQ$7)),$BQ$6,IF(OR(COUNTIF('1.연간시수표'!I66,$BR$9),COUNTIF('1.연간시수표'!I66,$BR$7)),$BR$6,"_")))))))))))))))</f>
        <v>수학</v>
      </c>
      <c r="J66" s="148" t="str">
        <f>IF(OR(COUNTIF('1.연간시수표'!J66,$AT$9),COUNTIF('1.연간시수표'!J66,$AT$7)),$AT$6,IF(OR(COUNTIF('1.연간시수표'!J66,$AU$9),COUNTIF('1.연간시수표'!J66,$AU$7)),$AU$6,IF(OR(COUNTIF('1.연간시수표'!J66,$AV$9),COUNTIF('1.연간시수표'!J66,$AV$7)),$AV$6,IF(OR(COUNTIF('1.연간시수표'!J66,$AW$9),COUNTIF('1.연간시수표'!J66,$AW$7)),$AW$6,IF(OR(COUNTIF('1.연간시수표'!J66,$AX$9),COUNTIF('1.연간시수표'!J66,$AX$7)),$AX$6,IF(OR(COUNTIF('1.연간시수표'!J66,$AY$9),COUNTIF('1.연간시수표'!J66,$AY$7)),$AY$6,IF(OR(COUNTIF('1.연간시수표'!J66,$AZ$9),COUNTIF('1.연간시수표'!J66,$AZ$7)),$AZ$6,IF(OR(COUNTIF('1.연간시수표'!J66,$BA$9),COUNTIF('1.연간시수표'!J66,$BA$7)),$BA$6,IF(OR(COUNTIF('1.연간시수표'!J66,$BB$9),COUNTIF('1.연간시수표'!J66,$BB$7)),$BB$6,IF(OR(COUNTIF('1.연간시수표'!J66,$BC$9),COUNTIF('1.연간시수표'!J66,$BC$7)),$BC$6,IF(OR(COUNTIF('1.연간시수표'!J66,$BF$9),COUNTIF('1.연간시수표'!J66,$BF$7),COUNTIF('1.연간시수표'!J66,$BG$9),COUNTIF('1.연간시수표'!J66,$BG$7),COUNTIF('1.연간시수표'!J66,$BH$9),COUNTIF('1.연간시수표'!J66,$BH$7),COUNTIF('1.연간시수표'!J66,$BI$9),COUNTIF('1.연간시수표'!J66,$BI$7),COUNTIF('1.연간시수표'!J66,$BJ$9),COUNTIF('1.연간시수표'!J66,$BJ$7),COUNTIF('1.연간시수표'!J66,$BK$9),COUNTIF('1.연간시수표'!J66,$BK$7),COUNTIF('1.연간시수표'!J66,$BL$9),COUNTIF('1.연간시수표'!J66,$BL$7),COUNTIF('1.연간시수표'!J66,$BM$9),COUNTIF('1.연간시수표'!J66,$BM$7)),$BF$6,IF(OR(COUNTIF('1.연간시수표'!J66,$BO$9),COUNTIF('1.연간시수표'!J66,$BO$7)),$BO$6,IF(OR(COUNTIF('1.연간시수표'!J66,$BP$9),COUNTIF('1.연간시수표'!J66,$BP$7)),$BP$6,IF(OR(COUNTIF('1.연간시수표'!J66,$BQ$9),COUNTIF('1.연간시수표'!J66,$BQ$7)),$BQ$6,IF(OR(COUNTIF('1.연간시수표'!J66,$BR$9),COUNTIF('1.연간시수표'!J66,$BR$7)),$BR$6,"_")))))))))))))))</f>
        <v>자율활동</v>
      </c>
      <c r="K66" s="148" t="str">
        <f>IF(OR(COUNTIF('1.연간시수표'!K66,$AT$9),COUNTIF('1.연간시수표'!K66,$AT$7)),$AT$6,IF(OR(COUNTIF('1.연간시수표'!K66,$AU$9),COUNTIF('1.연간시수표'!K66,$AU$7)),$AU$6,IF(OR(COUNTIF('1.연간시수표'!K66,$AV$9),COUNTIF('1.연간시수표'!K66,$AV$7)),$AV$6,IF(OR(COUNTIF('1.연간시수표'!K66,$AW$9),COUNTIF('1.연간시수표'!K66,$AW$7)),$AW$6,IF(OR(COUNTIF('1.연간시수표'!K66,$AX$9),COUNTIF('1.연간시수표'!K66,$AX$7)),$AX$6,IF(OR(COUNTIF('1.연간시수표'!K66,$AY$9),COUNTIF('1.연간시수표'!K66,$AY$7)),$AY$6,IF(OR(COUNTIF('1.연간시수표'!K66,$AZ$9),COUNTIF('1.연간시수표'!K66,$AZ$7)),$AZ$6,IF(OR(COUNTIF('1.연간시수표'!K66,$BA$9),COUNTIF('1.연간시수표'!K66,$BA$7)),$BA$6,IF(OR(COUNTIF('1.연간시수표'!K66,$BB$9),COUNTIF('1.연간시수표'!K66,$BB$7)),$BB$6,IF(OR(COUNTIF('1.연간시수표'!K66,$BC$9),COUNTIF('1.연간시수표'!K66,$BC$7)),$BC$6,IF(OR(COUNTIF('1.연간시수표'!K66,$BF$9),COUNTIF('1.연간시수표'!K66,$BF$7),COUNTIF('1.연간시수표'!K66,$BG$9),COUNTIF('1.연간시수표'!K66,$BG$7),COUNTIF('1.연간시수표'!K66,$BH$9),COUNTIF('1.연간시수표'!K66,$BH$7),COUNTIF('1.연간시수표'!K66,$BI$9),COUNTIF('1.연간시수표'!K66,$BI$7),COUNTIF('1.연간시수표'!K66,$BJ$9),COUNTIF('1.연간시수표'!K66,$BJ$7),COUNTIF('1.연간시수표'!K66,$BK$9),COUNTIF('1.연간시수표'!K66,$BK$7),COUNTIF('1.연간시수표'!K66,$BL$9),COUNTIF('1.연간시수표'!K66,$BL$7),COUNTIF('1.연간시수표'!K66,$BM$9),COUNTIF('1.연간시수표'!K66,$BM$7)),$BF$6,IF(OR(COUNTIF('1.연간시수표'!K66,$BO$9),COUNTIF('1.연간시수표'!K66,$BO$7)),$BO$6,IF(OR(COUNTIF('1.연간시수표'!K66,$BP$9),COUNTIF('1.연간시수표'!K66,$BP$7)),$BP$6,IF(OR(COUNTIF('1.연간시수표'!K66,$BQ$9),COUNTIF('1.연간시수표'!K66,$BQ$7)),$BQ$6,IF(OR(COUNTIF('1.연간시수표'!K66,$BR$9),COUNTIF('1.연간시수표'!K66,$BR$7)),$BR$6,"_")))))))))))))))</f>
        <v>_</v>
      </c>
      <c r="L66" s="148" t="str">
        <f>IF(OR(COUNTIF('1.연간시수표'!L66,$AT$9),COUNTIF('1.연간시수표'!L66,$AT$7)),$AT$6,IF(OR(COUNTIF('1.연간시수표'!L66,$AU$9),COUNTIF('1.연간시수표'!L66,$AU$7)),$AU$6,IF(OR(COUNTIF('1.연간시수표'!L66,$AV$9),COUNTIF('1.연간시수표'!L66,$AV$7)),$AV$6,IF(OR(COUNTIF('1.연간시수표'!L66,$AW$9),COUNTIF('1.연간시수표'!L66,$AW$7)),$AW$6,IF(OR(COUNTIF('1.연간시수표'!L66,$AX$9),COUNTIF('1.연간시수표'!L66,$AX$7)),$AX$6,IF(OR(COUNTIF('1.연간시수표'!L66,$AY$9),COUNTIF('1.연간시수표'!L66,$AY$7)),$AY$6,IF(OR(COUNTIF('1.연간시수표'!L66,$AZ$9),COUNTIF('1.연간시수표'!L66,$AZ$7)),$AZ$6,IF(OR(COUNTIF('1.연간시수표'!L66,$BA$9),COUNTIF('1.연간시수표'!L66,$BA$7)),$BA$6,IF(OR(COUNTIF('1.연간시수표'!L66,$BB$9),COUNTIF('1.연간시수표'!L66,$BB$7)),$BB$6,IF(OR(COUNTIF('1.연간시수표'!L66,$BC$9),COUNTIF('1.연간시수표'!L66,$BC$7)),$BC$6,IF(OR(COUNTIF('1.연간시수표'!L66,$BF$9),COUNTIF('1.연간시수표'!L66,$BF$7),COUNTIF('1.연간시수표'!L66,$BG$9),COUNTIF('1.연간시수표'!L66,$BG$7),COUNTIF('1.연간시수표'!L66,$BH$9),COUNTIF('1.연간시수표'!L66,$BH$7),COUNTIF('1.연간시수표'!L66,$BI$9),COUNTIF('1.연간시수표'!L66,$BI$7),COUNTIF('1.연간시수표'!L66,$BJ$9),COUNTIF('1.연간시수표'!L66,$BJ$7),COUNTIF('1.연간시수표'!L66,$BK$9),COUNTIF('1.연간시수표'!L66,$BK$7),COUNTIF('1.연간시수표'!L66,$BL$9),COUNTIF('1.연간시수표'!L66,$BL$7),COUNTIF('1.연간시수표'!L66,$BM$9),COUNTIF('1.연간시수표'!L66,$BM$7)),$BF$6,IF(OR(COUNTIF('1.연간시수표'!L66,$BO$9),COUNTIF('1.연간시수표'!L66,$BO$7)),$BO$6,IF(OR(COUNTIF('1.연간시수표'!L66,$BP$9),COUNTIF('1.연간시수표'!L66,$BP$7)),$BP$6,IF(OR(COUNTIF('1.연간시수표'!L66,$BQ$9),COUNTIF('1.연간시수표'!L66,$BQ$7)),$BQ$6,IF(OR(COUNTIF('1.연간시수표'!L66,$BR$9),COUNTIF('1.연간시수표'!L66,$BR$7)),$BR$6,"_")))))))))))))))</f>
        <v>_</v>
      </c>
      <c r="M66" s="148" t="str">
        <f>IF(OR(COUNTIF('1.연간시수표'!M66,$AT$9),COUNTIF('1.연간시수표'!M66,$AT$7)),$AT$6,IF(OR(COUNTIF('1.연간시수표'!M66,$AU$9),COUNTIF('1.연간시수표'!M66,$AU$7)),$AU$6,IF(OR(COUNTIF('1.연간시수표'!M66,$AV$9),COUNTIF('1.연간시수표'!M66,$AV$7)),$AV$6,IF(OR(COUNTIF('1.연간시수표'!M66,$AW$9),COUNTIF('1.연간시수표'!M66,$AW$7)),$AW$6,IF(OR(COUNTIF('1.연간시수표'!M66,$AX$9),COUNTIF('1.연간시수표'!M66,$AX$7)),$AX$6,IF(OR(COUNTIF('1.연간시수표'!M66,$AY$9),COUNTIF('1.연간시수표'!M66,$AY$7)),$AY$6,IF(OR(COUNTIF('1.연간시수표'!M66,$AZ$9),COUNTIF('1.연간시수표'!M66,$AZ$7)),$AZ$6,IF(OR(COUNTIF('1.연간시수표'!M66,$BA$9),COUNTIF('1.연간시수표'!M66,$BA$7)),$BA$6,IF(OR(COUNTIF('1.연간시수표'!M66,$BB$9),COUNTIF('1.연간시수표'!M66,$BB$7)),$BB$6,IF(OR(COUNTIF('1.연간시수표'!M66,$BC$9),COUNTIF('1.연간시수표'!M66,$BC$7)),$BC$6,IF(OR(COUNTIF('1.연간시수표'!M66,$BF$9),COUNTIF('1.연간시수표'!M66,$BF$7),COUNTIF('1.연간시수표'!M66,$BG$9),COUNTIF('1.연간시수표'!M66,$BG$7),COUNTIF('1.연간시수표'!M66,$BH$9),COUNTIF('1.연간시수표'!M66,$BH$7),COUNTIF('1.연간시수표'!M66,$BI$9),COUNTIF('1.연간시수표'!M66,$BI$7),COUNTIF('1.연간시수표'!M66,$BJ$9),COUNTIF('1.연간시수표'!M66,$BJ$7),COUNTIF('1.연간시수표'!M66,$BK$9),COUNTIF('1.연간시수표'!M66,$BK$7),COUNTIF('1.연간시수표'!M66,$BL$9),COUNTIF('1.연간시수표'!M66,$BL$7),COUNTIF('1.연간시수표'!M66,$BM$9),COUNTIF('1.연간시수표'!M66,$BM$7)),$BF$6,IF(OR(COUNTIF('1.연간시수표'!M66,$BO$9),COUNTIF('1.연간시수표'!M66,$BO$7)),$BO$6,IF(OR(COUNTIF('1.연간시수표'!M66,$BP$9),COUNTIF('1.연간시수표'!M66,$BP$7)),$BP$6,IF(OR(COUNTIF('1.연간시수표'!M66,$BQ$9),COUNTIF('1.연간시수표'!M66,$BQ$7)),$BQ$6,IF(OR(COUNTIF('1.연간시수표'!M66,$BR$9),COUNTIF('1.연간시수표'!M66,$BR$7)),$BR$6,"_")))))))))))))))</f>
        <v>국어</v>
      </c>
      <c r="N66" s="148" t="str">
        <f>IF(OR(COUNTIF('1.연간시수표'!N66,$AT$9),COUNTIF('1.연간시수표'!N66,$AT$7)),$AT$6,IF(OR(COUNTIF('1.연간시수표'!N66,$AU$9),COUNTIF('1.연간시수표'!N66,$AU$7)),$AU$6,IF(OR(COUNTIF('1.연간시수표'!N66,$AV$9),COUNTIF('1.연간시수표'!N66,$AV$7)),$AV$6,IF(OR(COUNTIF('1.연간시수표'!N66,$AW$9),COUNTIF('1.연간시수표'!N66,$AW$7)),$AW$6,IF(OR(COUNTIF('1.연간시수표'!N66,$AX$9),COUNTIF('1.연간시수표'!N66,$AX$7)),$AX$6,IF(OR(COUNTIF('1.연간시수표'!N66,$AY$9),COUNTIF('1.연간시수표'!N66,$AY$7)),$AY$6,IF(OR(COUNTIF('1.연간시수표'!N66,$AZ$9),COUNTIF('1.연간시수표'!N66,$AZ$7)),$AZ$6,IF(OR(COUNTIF('1.연간시수표'!N66,$BA$9),COUNTIF('1.연간시수표'!N66,$BA$7)),$BA$6,IF(OR(COUNTIF('1.연간시수표'!N66,$BB$9),COUNTIF('1.연간시수표'!N66,$BB$7)),$BB$6,IF(OR(COUNTIF('1.연간시수표'!N66,$BC$9),COUNTIF('1.연간시수표'!N66,$BC$7)),$BC$6,IF(OR(COUNTIF('1.연간시수표'!N66,$BF$9),COUNTIF('1.연간시수표'!N66,$BF$7),COUNTIF('1.연간시수표'!N66,$BG$9),COUNTIF('1.연간시수표'!N66,$BG$7),COUNTIF('1.연간시수표'!N66,$BH$9),COUNTIF('1.연간시수표'!N66,$BH$7),COUNTIF('1.연간시수표'!N66,$BI$9),COUNTIF('1.연간시수표'!N66,$BI$7),COUNTIF('1.연간시수표'!N66,$BJ$9),COUNTIF('1.연간시수표'!N66,$BJ$7),COUNTIF('1.연간시수표'!N66,$BK$9),COUNTIF('1.연간시수표'!N66,$BK$7),COUNTIF('1.연간시수표'!N66,$BL$9),COUNTIF('1.연간시수표'!N66,$BL$7),COUNTIF('1.연간시수표'!N66,$BM$9),COUNTIF('1.연간시수표'!N66,$BM$7)),$BF$6,IF(OR(COUNTIF('1.연간시수표'!N66,$BO$9),COUNTIF('1.연간시수표'!N66,$BO$7)),$BO$6,IF(OR(COUNTIF('1.연간시수표'!N66,$BP$9),COUNTIF('1.연간시수표'!N66,$BP$7)),$BP$6,IF(OR(COUNTIF('1.연간시수표'!N66,$BQ$9),COUNTIF('1.연간시수표'!N66,$BQ$7)),$BQ$6,IF(OR(COUNTIF('1.연간시수표'!N66,$BR$9),COUNTIF('1.연간시수표'!N66,$BR$7)),$BR$6,"_")))))))))))))))</f>
        <v>국어</v>
      </c>
      <c r="O66" s="148" t="str">
        <f>IF(OR(COUNTIF('1.연간시수표'!O66,$AT$9),COUNTIF('1.연간시수표'!O66,$AT$7)),$AT$6,IF(OR(COUNTIF('1.연간시수표'!O66,$AU$9),COUNTIF('1.연간시수표'!O66,$AU$7)),$AU$6,IF(OR(COUNTIF('1.연간시수표'!O66,$AV$9),COUNTIF('1.연간시수표'!O66,$AV$7)),$AV$6,IF(OR(COUNTIF('1.연간시수표'!O66,$AW$9),COUNTIF('1.연간시수표'!O66,$AW$7)),$AW$6,IF(OR(COUNTIF('1.연간시수표'!O66,$AX$9),COUNTIF('1.연간시수표'!O66,$AX$7)),$AX$6,IF(OR(COUNTIF('1.연간시수표'!O66,$AY$9),COUNTIF('1.연간시수표'!O66,$AY$7)),$AY$6,IF(OR(COUNTIF('1.연간시수표'!O66,$AZ$9),COUNTIF('1.연간시수표'!O66,$AZ$7)),$AZ$6,IF(OR(COUNTIF('1.연간시수표'!O66,$BA$9),COUNTIF('1.연간시수표'!O66,$BA$7)),$BA$6,IF(OR(COUNTIF('1.연간시수표'!O66,$BB$9),COUNTIF('1.연간시수표'!O66,$BB$7)),$BB$6,IF(OR(COUNTIF('1.연간시수표'!O66,$BC$9),COUNTIF('1.연간시수표'!O66,$BC$7)),$BC$6,IF(OR(COUNTIF('1.연간시수표'!O66,$BF$9),COUNTIF('1.연간시수표'!O66,$BF$7),COUNTIF('1.연간시수표'!O66,$BG$9),COUNTIF('1.연간시수표'!O66,$BG$7),COUNTIF('1.연간시수표'!O66,$BH$9),COUNTIF('1.연간시수표'!O66,$BH$7),COUNTIF('1.연간시수표'!O66,$BI$9),COUNTIF('1.연간시수표'!O66,$BI$7),COUNTIF('1.연간시수표'!O66,$BJ$9),COUNTIF('1.연간시수표'!O66,$BJ$7),COUNTIF('1.연간시수표'!O66,$BK$9),COUNTIF('1.연간시수표'!O66,$BK$7),COUNTIF('1.연간시수표'!O66,$BL$9),COUNTIF('1.연간시수표'!O66,$BL$7),COUNTIF('1.연간시수표'!O66,$BM$9),COUNTIF('1.연간시수표'!O66,$BM$7)),$BF$6,IF(OR(COUNTIF('1.연간시수표'!O66,$BO$9),COUNTIF('1.연간시수표'!O66,$BO$7)),$BO$6,IF(OR(COUNTIF('1.연간시수표'!O66,$BP$9),COUNTIF('1.연간시수표'!O66,$BP$7)),$BP$6,IF(OR(COUNTIF('1.연간시수표'!O66,$BQ$9),COUNTIF('1.연간시수표'!O66,$BQ$7)),$BQ$6,IF(OR(COUNTIF('1.연간시수표'!O66,$BR$9),COUNTIF('1.연간시수표'!O66,$BR$7)),$BR$6,"_")))))))))))))))</f>
        <v>사회</v>
      </c>
      <c r="P66" s="148" t="str">
        <f>IF(OR(COUNTIF('1.연간시수표'!P66,$AT$9),COUNTIF('1.연간시수표'!P66,$AT$7)),$AT$6,IF(OR(COUNTIF('1.연간시수표'!P66,$AU$9),COUNTIF('1.연간시수표'!P66,$AU$7)),$AU$6,IF(OR(COUNTIF('1.연간시수표'!P66,$AV$9),COUNTIF('1.연간시수표'!P66,$AV$7)),$AV$6,IF(OR(COUNTIF('1.연간시수표'!P66,$AW$9),COUNTIF('1.연간시수표'!P66,$AW$7)),$AW$6,IF(OR(COUNTIF('1.연간시수표'!P66,$AX$9),COUNTIF('1.연간시수표'!P66,$AX$7)),$AX$6,IF(OR(COUNTIF('1.연간시수표'!P66,$AY$9),COUNTIF('1.연간시수표'!P66,$AY$7)),$AY$6,IF(OR(COUNTIF('1.연간시수표'!P66,$AZ$9),COUNTIF('1.연간시수표'!P66,$AZ$7)),$AZ$6,IF(OR(COUNTIF('1.연간시수표'!P66,$BA$9),COUNTIF('1.연간시수표'!P66,$BA$7)),$BA$6,IF(OR(COUNTIF('1.연간시수표'!P66,$BB$9),COUNTIF('1.연간시수표'!P66,$BB$7)),$BB$6,IF(OR(COUNTIF('1.연간시수표'!P66,$BC$9),COUNTIF('1.연간시수표'!P66,$BC$7)),$BC$6,IF(OR(COUNTIF('1.연간시수표'!P66,$BF$9),COUNTIF('1.연간시수표'!P66,$BF$7),COUNTIF('1.연간시수표'!P66,$BG$9),COUNTIF('1.연간시수표'!P66,$BG$7),COUNTIF('1.연간시수표'!P66,$BH$9),COUNTIF('1.연간시수표'!P66,$BH$7),COUNTIF('1.연간시수표'!P66,$BI$9),COUNTIF('1.연간시수표'!P66,$BI$7),COUNTIF('1.연간시수표'!P66,$BJ$9),COUNTIF('1.연간시수표'!P66,$BJ$7),COUNTIF('1.연간시수표'!P66,$BK$9),COUNTIF('1.연간시수표'!P66,$BK$7),COUNTIF('1.연간시수표'!P66,$BL$9),COUNTIF('1.연간시수표'!P66,$BL$7),COUNTIF('1.연간시수표'!P66,$BM$9),COUNTIF('1.연간시수표'!P66,$BM$7)),$BF$6,IF(OR(COUNTIF('1.연간시수표'!P66,$BO$9),COUNTIF('1.연간시수표'!P66,$BO$7)),$BO$6,IF(OR(COUNTIF('1.연간시수표'!P66,$BP$9),COUNTIF('1.연간시수표'!P66,$BP$7)),$BP$6,IF(OR(COUNTIF('1.연간시수표'!P66,$BQ$9),COUNTIF('1.연간시수표'!P66,$BQ$7)),$BQ$6,IF(OR(COUNTIF('1.연간시수표'!P66,$BR$9),COUNTIF('1.연간시수표'!P66,$BR$7)),$BR$6,"_")))))))))))))))</f>
        <v>수학</v>
      </c>
      <c r="Q66" s="148" t="str">
        <f>IF(OR(COUNTIF('1.연간시수표'!Q66,$AT$9),COUNTIF('1.연간시수표'!Q66,$AT$7)),$AT$6,IF(OR(COUNTIF('1.연간시수표'!Q66,$AU$9),COUNTIF('1.연간시수표'!Q66,$AU$7)),$AU$6,IF(OR(COUNTIF('1.연간시수표'!Q66,$AV$9),COUNTIF('1.연간시수표'!Q66,$AV$7)),$AV$6,IF(OR(COUNTIF('1.연간시수표'!Q66,$AW$9),COUNTIF('1.연간시수표'!Q66,$AW$7)),$AW$6,IF(OR(COUNTIF('1.연간시수표'!Q66,$AX$9),COUNTIF('1.연간시수표'!Q66,$AX$7)),$AX$6,IF(OR(COUNTIF('1.연간시수표'!Q66,$AY$9),COUNTIF('1.연간시수표'!Q66,$AY$7)),$AY$6,IF(OR(COUNTIF('1.연간시수표'!Q66,$AZ$9),COUNTIF('1.연간시수표'!Q66,$AZ$7)),$AZ$6,IF(OR(COUNTIF('1.연간시수표'!Q66,$BA$9),COUNTIF('1.연간시수표'!Q66,$BA$7)),$BA$6,IF(OR(COUNTIF('1.연간시수표'!Q66,$BB$9),COUNTIF('1.연간시수표'!Q66,$BB$7)),$BB$6,IF(OR(COUNTIF('1.연간시수표'!Q66,$BC$9),COUNTIF('1.연간시수표'!Q66,$BC$7)),$BC$6,IF(OR(COUNTIF('1.연간시수표'!Q66,$BF$9),COUNTIF('1.연간시수표'!Q66,$BF$7),COUNTIF('1.연간시수표'!Q66,$BG$9),COUNTIF('1.연간시수표'!Q66,$BG$7),COUNTIF('1.연간시수표'!Q66,$BH$9),COUNTIF('1.연간시수표'!Q66,$BH$7),COUNTIF('1.연간시수표'!Q66,$BI$9),COUNTIF('1.연간시수표'!Q66,$BI$7),COUNTIF('1.연간시수표'!Q66,$BJ$9),COUNTIF('1.연간시수표'!Q66,$BJ$7),COUNTIF('1.연간시수표'!Q66,$BK$9),COUNTIF('1.연간시수표'!Q66,$BK$7),COUNTIF('1.연간시수표'!Q66,$BL$9),COUNTIF('1.연간시수표'!Q66,$BL$7),COUNTIF('1.연간시수표'!Q66,$BM$9),COUNTIF('1.연간시수표'!Q66,$BM$7)),$BF$6,IF(OR(COUNTIF('1.연간시수표'!Q66,$BO$9),COUNTIF('1.연간시수표'!Q66,$BO$7)),$BO$6,IF(OR(COUNTIF('1.연간시수표'!Q66,$BP$9),COUNTIF('1.연간시수표'!Q66,$BP$7)),$BP$6,IF(OR(COUNTIF('1.연간시수표'!Q66,$BQ$9),COUNTIF('1.연간시수표'!Q66,$BQ$7)),$BQ$6,IF(OR(COUNTIF('1.연간시수표'!Q66,$BR$9),COUNTIF('1.연간시수표'!Q66,$BR$7)),$BR$6,"_")))))))))))))))</f>
        <v>과학</v>
      </c>
      <c r="R66" s="148" t="str">
        <f>IF(OR(COUNTIF('1.연간시수표'!R66,$AT$9),COUNTIF('1.연간시수표'!R66,$AT$7)),$AT$6,IF(OR(COUNTIF('1.연간시수표'!R66,$AU$9),COUNTIF('1.연간시수표'!R66,$AU$7)),$AU$6,IF(OR(COUNTIF('1.연간시수표'!R66,$AV$9),COUNTIF('1.연간시수표'!R66,$AV$7)),$AV$6,IF(OR(COUNTIF('1.연간시수표'!R66,$AW$9),COUNTIF('1.연간시수표'!R66,$AW$7)),$AW$6,IF(OR(COUNTIF('1.연간시수표'!R66,$AX$9),COUNTIF('1.연간시수표'!R66,$AX$7)),$AX$6,IF(OR(COUNTIF('1.연간시수표'!R66,$AY$9),COUNTIF('1.연간시수표'!R66,$AY$7)),$AY$6,IF(OR(COUNTIF('1.연간시수표'!R66,$AZ$9),COUNTIF('1.연간시수표'!R66,$AZ$7)),$AZ$6,IF(OR(COUNTIF('1.연간시수표'!R66,$BA$9),COUNTIF('1.연간시수표'!R66,$BA$7)),$BA$6,IF(OR(COUNTIF('1.연간시수표'!R66,$BB$9),COUNTIF('1.연간시수표'!R66,$BB$7)),$BB$6,IF(OR(COUNTIF('1.연간시수표'!R66,$BC$9),COUNTIF('1.연간시수표'!R66,$BC$7)),$BC$6,IF(OR(COUNTIF('1.연간시수표'!R66,$BF$9),COUNTIF('1.연간시수표'!R66,$BF$7),COUNTIF('1.연간시수표'!R66,$BG$9),COUNTIF('1.연간시수표'!R66,$BG$7),COUNTIF('1.연간시수표'!R66,$BH$9),COUNTIF('1.연간시수표'!R66,$BH$7),COUNTIF('1.연간시수표'!R66,$BI$9),COUNTIF('1.연간시수표'!R66,$BI$7),COUNTIF('1.연간시수표'!R66,$BJ$9),COUNTIF('1.연간시수표'!R66,$BJ$7),COUNTIF('1.연간시수표'!R66,$BK$9),COUNTIF('1.연간시수표'!R66,$BK$7),COUNTIF('1.연간시수표'!R66,$BL$9),COUNTIF('1.연간시수표'!R66,$BL$7),COUNTIF('1.연간시수표'!R66,$BM$9),COUNTIF('1.연간시수표'!R66,$BM$7)),$BF$6,IF(OR(COUNTIF('1.연간시수표'!R66,$BO$9),COUNTIF('1.연간시수표'!R66,$BO$7)),$BO$6,IF(OR(COUNTIF('1.연간시수표'!R66,$BP$9),COUNTIF('1.연간시수표'!R66,$BP$7)),$BP$6,IF(OR(COUNTIF('1.연간시수표'!R66,$BQ$9),COUNTIF('1.연간시수표'!R66,$BQ$7)),$BQ$6,IF(OR(COUNTIF('1.연간시수표'!R66,$BR$9),COUNTIF('1.연간시수표'!R66,$BR$7)),$BR$6,"_")))))))))))))))</f>
        <v>실과</v>
      </c>
      <c r="S66" s="148" t="str">
        <f>IF(OR(COUNTIF('1.연간시수표'!S66,$AT$9),COUNTIF('1.연간시수표'!S66,$AT$7)),$AT$6,IF(OR(COUNTIF('1.연간시수표'!S66,$AU$9),COUNTIF('1.연간시수표'!S66,$AU$7)),$AU$6,IF(OR(COUNTIF('1.연간시수표'!S66,$AV$9),COUNTIF('1.연간시수표'!S66,$AV$7)),$AV$6,IF(OR(COUNTIF('1.연간시수표'!S66,$AW$9),COUNTIF('1.연간시수표'!S66,$AW$7)),$AW$6,IF(OR(COUNTIF('1.연간시수표'!S66,$AX$9),COUNTIF('1.연간시수표'!S66,$AX$7)),$AX$6,IF(OR(COUNTIF('1.연간시수표'!S66,$AY$9),COUNTIF('1.연간시수표'!S66,$AY$7)),$AY$6,IF(OR(COUNTIF('1.연간시수표'!S66,$AZ$9),COUNTIF('1.연간시수표'!S66,$AZ$7)),$AZ$6,IF(OR(COUNTIF('1.연간시수표'!S66,$BA$9),COUNTIF('1.연간시수표'!S66,$BA$7)),$BA$6,IF(OR(COUNTIF('1.연간시수표'!S66,$BB$9),COUNTIF('1.연간시수표'!S66,$BB$7)),$BB$6,IF(OR(COUNTIF('1.연간시수표'!S66,$BC$9),COUNTIF('1.연간시수표'!S66,$BC$7)),$BC$6,IF(OR(COUNTIF('1.연간시수표'!S66,$BF$9),COUNTIF('1.연간시수표'!S66,$BF$7),COUNTIF('1.연간시수표'!S66,$BG$9),COUNTIF('1.연간시수표'!S66,$BG$7),COUNTIF('1.연간시수표'!S66,$BH$9),COUNTIF('1.연간시수표'!S66,$BH$7),COUNTIF('1.연간시수표'!S66,$BI$9),COUNTIF('1.연간시수표'!S66,$BI$7),COUNTIF('1.연간시수표'!S66,$BJ$9),COUNTIF('1.연간시수표'!S66,$BJ$7),COUNTIF('1.연간시수표'!S66,$BK$9),COUNTIF('1.연간시수표'!S66,$BK$7),COUNTIF('1.연간시수표'!S66,$BL$9),COUNTIF('1.연간시수표'!S66,$BL$7),COUNTIF('1.연간시수표'!S66,$BM$9),COUNTIF('1.연간시수표'!S66,$BM$7)),$BF$6,IF(OR(COUNTIF('1.연간시수표'!S66,$BO$9),COUNTIF('1.연간시수표'!S66,$BO$7)),$BO$6,IF(OR(COUNTIF('1.연간시수표'!S66,$BP$9),COUNTIF('1.연간시수표'!S66,$BP$7)),$BP$6,IF(OR(COUNTIF('1.연간시수표'!S66,$BQ$9),COUNTIF('1.연간시수표'!S66,$BQ$7)),$BQ$6,IF(OR(COUNTIF('1.연간시수표'!S66,$BR$9),COUNTIF('1.연간시수표'!S66,$BR$7)),$BR$6,"_")))))))))))))))</f>
        <v>_</v>
      </c>
      <c r="T66" s="148" t="str">
        <f>IF(OR(COUNTIF('1.연간시수표'!T66,$AT$9),COUNTIF('1.연간시수표'!T66,$AT$7)),$AT$6,IF(OR(COUNTIF('1.연간시수표'!T66,$AU$9),COUNTIF('1.연간시수표'!T66,$AU$7)),$AU$6,IF(OR(COUNTIF('1.연간시수표'!T66,$AV$9),COUNTIF('1.연간시수표'!T66,$AV$7)),$AV$6,IF(OR(COUNTIF('1.연간시수표'!T66,$AW$9),COUNTIF('1.연간시수표'!T66,$AW$7)),$AW$6,IF(OR(COUNTIF('1.연간시수표'!T66,$AX$9),COUNTIF('1.연간시수표'!T66,$AX$7)),$AX$6,IF(OR(COUNTIF('1.연간시수표'!T66,$AY$9),COUNTIF('1.연간시수표'!T66,$AY$7)),$AY$6,IF(OR(COUNTIF('1.연간시수표'!T66,$AZ$9),COUNTIF('1.연간시수표'!T66,$AZ$7)),$AZ$6,IF(OR(COUNTIF('1.연간시수표'!T66,$BA$9),COUNTIF('1.연간시수표'!T66,$BA$7)),$BA$6,IF(OR(COUNTIF('1.연간시수표'!T66,$BB$9),COUNTIF('1.연간시수표'!T66,$BB$7)),$BB$6,IF(OR(COUNTIF('1.연간시수표'!T66,$BC$9),COUNTIF('1.연간시수표'!T66,$BC$7)),$BC$6,IF(OR(COUNTIF('1.연간시수표'!T66,$BF$9),COUNTIF('1.연간시수표'!T66,$BF$7),COUNTIF('1.연간시수표'!T66,$BG$9),COUNTIF('1.연간시수표'!T66,$BG$7),COUNTIF('1.연간시수표'!T66,$BH$9),COUNTIF('1.연간시수표'!T66,$BH$7),COUNTIF('1.연간시수표'!T66,$BI$9),COUNTIF('1.연간시수표'!T66,$BI$7),COUNTIF('1.연간시수표'!T66,$BJ$9),COUNTIF('1.연간시수표'!T66,$BJ$7),COUNTIF('1.연간시수표'!T66,$BK$9),COUNTIF('1.연간시수표'!T66,$BK$7),COUNTIF('1.연간시수표'!T66,$BL$9),COUNTIF('1.연간시수표'!T66,$BL$7),COUNTIF('1.연간시수표'!T66,$BM$9),COUNTIF('1.연간시수표'!T66,$BM$7)),$BF$6,IF(OR(COUNTIF('1.연간시수표'!T66,$BO$9),COUNTIF('1.연간시수표'!T66,$BO$7)),$BO$6,IF(OR(COUNTIF('1.연간시수표'!T66,$BP$9),COUNTIF('1.연간시수표'!T66,$BP$7)),$BP$6,IF(OR(COUNTIF('1.연간시수표'!T66,$BQ$9),COUNTIF('1.연간시수표'!T66,$BQ$7)),$BQ$6,IF(OR(COUNTIF('1.연간시수표'!T66,$BR$9),COUNTIF('1.연간시수표'!T66,$BR$7)),$BR$6,"_")))))))))))))))</f>
        <v>_</v>
      </c>
      <c r="U66" s="148" t="str">
        <f>IF(OR(COUNTIF('1.연간시수표'!U66,$AT$9),COUNTIF('1.연간시수표'!U66,$AT$7)),$AT$6,IF(OR(COUNTIF('1.연간시수표'!U66,$AU$9),COUNTIF('1.연간시수표'!U66,$AU$7)),$AU$6,IF(OR(COUNTIF('1.연간시수표'!U66,$AV$9),COUNTIF('1.연간시수표'!U66,$AV$7)),$AV$6,IF(OR(COUNTIF('1.연간시수표'!U66,$AW$9),COUNTIF('1.연간시수표'!U66,$AW$7)),$AW$6,IF(OR(COUNTIF('1.연간시수표'!U66,$AX$9),COUNTIF('1.연간시수표'!U66,$AX$7)),$AX$6,IF(OR(COUNTIF('1.연간시수표'!U66,$AY$9),COUNTIF('1.연간시수표'!U66,$AY$7)),$AY$6,IF(OR(COUNTIF('1.연간시수표'!U66,$AZ$9),COUNTIF('1.연간시수표'!U66,$AZ$7)),$AZ$6,IF(OR(COUNTIF('1.연간시수표'!U66,$BA$9),COUNTIF('1.연간시수표'!U66,$BA$7)),$BA$6,IF(OR(COUNTIF('1.연간시수표'!U66,$BB$9),COUNTIF('1.연간시수표'!U66,$BB$7)),$BB$6,IF(OR(COUNTIF('1.연간시수표'!U66,$BC$9),COUNTIF('1.연간시수표'!U66,$BC$7)),$BC$6,IF(OR(COUNTIF('1.연간시수표'!U66,$BF$9),COUNTIF('1.연간시수표'!U66,$BF$7),COUNTIF('1.연간시수표'!U66,$BG$9),COUNTIF('1.연간시수표'!U66,$BG$7),COUNTIF('1.연간시수표'!U66,$BH$9),COUNTIF('1.연간시수표'!U66,$BH$7),COUNTIF('1.연간시수표'!U66,$BI$9),COUNTIF('1.연간시수표'!U66,$BI$7),COUNTIF('1.연간시수표'!U66,$BJ$9),COUNTIF('1.연간시수표'!U66,$BJ$7),COUNTIF('1.연간시수표'!U66,$BK$9),COUNTIF('1.연간시수표'!U66,$BK$7),COUNTIF('1.연간시수표'!U66,$BL$9),COUNTIF('1.연간시수표'!U66,$BL$7),COUNTIF('1.연간시수표'!U66,$BM$9),COUNTIF('1.연간시수표'!U66,$BM$7)),$BF$6,IF(OR(COUNTIF('1.연간시수표'!U66,$BO$9),COUNTIF('1.연간시수표'!U66,$BO$7)),$BO$6,IF(OR(COUNTIF('1.연간시수표'!U66,$BP$9),COUNTIF('1.연간시수표'!U66,$BP$7)),$BP$6,IF(OR(COUNTIF('1.연간시수표'!U66,$BQ$9),COUNTIF('1.연간시수표'!U66,$BQ$7)),$BQ$6,IF(OR(COUNTIF('1.연간시수표'!U66,$BR$9),COUNTIF('1.연간시수표'!U66,$BR$7)),$BR$6,"_")))))))))))))))</f>
        <v>영어</v>
      </c>
      <c r="V66" s="148" t="str">
        <f>IF(OR(COUNTIF('1.연간시수표'!V66,$AT$9),COUNTIF('1.연간시수표'!V66,$AT$7)),$AT$6,IF(OR(COUNTIF('1.연간시수표'!V66,$AU$9),COUNTIF('1.연간시수표'!V66,$AU$7)),$AU$6,IF(OR(COUNTIF('1.연간시수표'!V66,$AV$9),COUNTIF('1.연간시수표'!V66,$AV$7)),$AV$6,IF(OR(COUNTIF('1.연간시수표'!V66,$AW$9),COUNTIF('1.연간시수표'!V66,$AW$7)),$AW$6,IF(OR(COUNTIF('1.연간시수표'!V66,$AX$9),COUNTIF('1.연간시수표'!V66,$AX$7)),$AX$6,IF(OR(COUNTIF('1.연간시수표'!V66,$AY$9),COUNTIF('1.연간시수표'!V66,$AY$7)),$AY$6,IF(OR(COUNTIF('1.연간시수표'!V66,$AZ$9),COUNTIF('1.연간시수표'!V66,$AZ$7)),$AZ$6,IF(OR(COUNTIF('1.연간시수표'!V66,$BA$9),COUNTIF('1.연간시수표'!V66,$BA$7)),$BA$6,IF(OR(COUNTIF('1.연간시수표'!V66,$BB$9),COUNTIF('1.연간시수표'!V66,$BB$7)),$BB$6,IF(OR(COUNTIF('1.연간시수표'!V66,$BC$9),COUNTIF('1.연간시수표'!V66,$BC$7)),$BC$6,IF(OR(COUNTIF('1.연간시수표'!V66,$BF$9),COUNTIF('1.연간시수표'!V66,$BF$7),COUNTIF('1.연간시수표'!V66,$BG$9),COUNTIF('1.연간시수표'!V66,$BG$7),COUNTIF('1.연간시수표'!V66,$BH$9),COUNTIF('1.연간시수표'!V66,$BH$7),COUNTIF('1.연간시수표'!V66,$BI$9),COUNTIF('1.연간시수표'!V66,$BI$7),COUNTIF('1.연간시수표'!V66,$BJ$9),COUNTIF('1.연간시수표'!V66,$BJ$7),COUNTIF('1.연간시수표'!V66,$BK$9),COUNTIF('1.연간시수표'!V66,$BK$7),COUNTIF('1.연간시수표'!V66,$BL$9),COUNTIF('1.연간시수표'!V66,$BL$7),COUNTIF('1.연간시수표'!V66,$BM$9),COUNTIF('1.연간시수표'!V66,$BM$7)),$BF$6,IF(OR(COUNTIF('1.연간시수표'!V66,$BO$9),COUNTIF('1.연간시수표'!V66,$BO$7)),$BO$6,IF(OR(COUNTIF('1.연간시수표'!V66,$BP$9),COUNTIF('1.연간시수표'!V66,$BP$7)),$BP$6,IF(OR(COUNTIF('1.연간시수표'!V66,$BQ$9),COUNTIF('1.연간시수표'!V66,$BQ$7)),$BQ$6,IF(OR(COUNTIF('1.연간시수표'!V66,$BR$9),COUNTIF('1.연간시수표'!V66,$BR$7)),$BR$6,"_")))))))))))))))</f>
        <v>과학</v>
      </c>
      <c r="W66" s="148" t="str">
        <f>IF(OR(COUNTIF('1.연간시수표'!W66,$AT$9),COUNTIF('1.연간시수표'!W66,$AT$7)),$AT$6,IF(OR(COUNTIF('1.연간시수표'!W66,$AU$9),COUNTIF('1.연간시수표'!W66,$AU$7)),$AU$6,IF(OR(COUNTIF('1.연간시수표'!W66,$AV$9),COUNTIF('1.연간시수표'!W66,$AV$7)),$AV$6,IF(OR(COUNTIF('1.연간시수표'!W66,$AW$9),COUNTIF('1.연간시수표'!W66,$AW$7)),$AW$6,IF(OR(COUNTIF('1.연간시수표'!W66,$AX$9),COUNTIF('1.연간시수표'!W66,$AX$7)),$AX$6,IF(OR(COUNTIF('1.연간시수표'!W66,$AY$9),COUNTIF('1.연간시수표'!W66,$AY$7)),$AY$6,IF(OR(COUNTIF('1.연간시수표'!W66,$AZ$9),COUNTIF('1.연간시수표'!W66,$AZ$7)),$AZ$6,IF(OR(COUNTIF('1.연간시수표'!W66,$BA$9),COUNTIF('1.연간시수표'!W66,$BA$7)),$BA$6,IF(OR(COUNTIF('1.연간시수표'!W66,$BB$9),COUNTIF('1.연간시수표'!W66,$BB$7)),$BB$6,IF(OR(COUNTIF('1.연간시수표'!W66,$BC$9),COUNTIF('1.연간시수표'!W66,$BC$7)),$BC$6,IF(OR(COUNTIF('1.연간시수표'!W66,$BF$9),COUNTIF('1.연간시수표'!W66,$BF$7),COUNTIF('1.연간시수표'!W66,$BG$9),COUNTIF('1.연간시수표'!W66,$BG$7),COUNTIF('1.연간시수표'!W66,$BH$9),COUNTIF('1.연간시수표'!W66,$BH$7),COUNTIF('1.연간시수표'!W66,$BI$9),COUNTIF('1.연간시수표'!W66,$BI$7),COUNTIF('1.연간시수표'!W66,$BJ$9),COUNTIF('1.연간시수표'!W66,$BJ$7),COUNTIF('1.연간시수표'!W66,$BK$9),COUNTIF('1.연간시수표'!W66,$BK$7),COUNTIF('1.연간시수표'!W66,$BL$9),COUNTIF('1.연간시수표'!W66,$BL$7),COUNTIF('1.연간시수표'!W66,$BM$9),COUNTIF('1.연간시수표'!W66,$BM$7)),$BF$6,IF(OR(COUNTIF('1.연간시수표'!W66,$BO$9),COUNTIF('1.연간시수표'!W66,$BO$7)),$BO$6,IF(OR(COUNTIF('1.연간시수표'!W66,$BP$9),COUNTIF('1.연간시수표'!W66,$BP$7)),$BP$6,IF(OR(COUNTIF('1.연간시수표'!W66,$BQ$9),COUNTIF('1.연간시수표'!W66,$BQ$7)),$BQ$6,IF(OR(COUNTIF('1.연간시수표'!W66,$BR$9),COUNTIF('1.연간시수표'!W66,$BR$7)),$BR$6,"_")))))))))))))))</f>
        <v>체육</v>
      </c>
      <c r="X66" s="148" t="str">
        <f>IF(OR(COUNTIF('1.연간시수표'!X66,$AT$9),COUNTIF('1.연간시수표'!X66,$AT$7)),$AT$6,IF(OR(COUNTIF('1.연간시수표'!X66,$AU$9),COUNTIF('1.연간시수표'!X66,$AU$7)),$AU$6,IF(OR(COUNTIF('1.연간시수표'!X66,$AV$9),COUNTIF('1.연간시수표'!X66,$AV$7)),$AV$6,IF(OR(COUNTIF('1.연간시수표'!X66,$AW$9),COUNTIF('1.연간시수표'!X66,$AW$7)),$AW$6,IF(OR(COUNTIF('1.연간시수표'!X66,$AX$9),COUNTIF('1.연간시수표'!X66,$AX$7)),$AX$6,IF(OR(COUNTIF('1.연간시수표'!X66,$AY$9),COUNTIF('1.연간시수표'!X66,$AY$7)),$AY$6,IF(OR(COUNTIF('1.연간시수표'!X66,$AZ$9),COUNTIF('1.연간시수표'!X66,$AZ$7)),$AZ$6,IF(OR(COUNTIF('1.연간시수표'!X66,$BA$9),COUNTIF('1.연간시수표'!X66,$BA$7)),$BA$6,IF(OR(COUNTIF('1.연간시수표'!X66,$BB$9),COUNTIF('1.연간시수표'!X66,$BB$7)),$BB$6,IF(OR(COUNTIF('1.연간시수표'!X66,$BC$9),COUNTIF('1.연간시수표'!X66,$BC$7)),$BC$6,IF(OR(COUNTIF('1.연간시수표'!X66,$BF$9),COUNTIF('1.연간시수표'!X66,$BF$7),COUNTIF('1.연간시수표'!X66,$BG$9),COUNTIF('1.연간시수표'!X66,$BG$7),COUNTIF('1.연간시수표'!X66,$BH$9),COUNTIF('1.연간시수표'!X66,$BH$7),COUNTIF('1.연간시수표'!X66,$BI$9),COUNTIF('1.연간시수표'!X66,$BI$7),COUNTIF('1.연간시수표'!X66,$BJ$9),COUNTIF('1.연간시수표'!X66,$BJ$7),COUNTIF('1.연간시수표'!X66,$BK$9),COUNTIF('1.연간시수표'!X66,$BK$7),COUNTIF('1.연간시수표'!X66,$BL$9),COUNTIF('1.연간시수표'!X66,$BL$7),COUNTIF('1.연간시수표'!X66,$BM$9),COUNTIF('1.연간시수표'!X66,$BM$7)),$BF$6,IF(OR(COUNTIF('1.연간시수표'!X66,$BO$9),COUNTIF('1.연간시수표'!X66,$BO$7)),$BO$6,IF(OR(COUNTIF('1.연간시수표'!X66,$BP$9),COUNTIF('1.연간시수표'!X66,$BP$7)),$BP$6,IF(OR(COUNTIF('1.연간시수표'!X66,$BQ$9),COUNTIF('1.연간시수표'!X66,$BQ$7)),$BQ$6,IF(OR(COUNTIF('1.연간시수표'!X66,$BR$9),COUNTIF('1.연간시수표'!X66,$BR$7)),$BR$6,"_")))))))))))))))</f>
        <v>음악</v>
      </c>
      <c r="Y66" s="148" t="str">
        <f>IF(OR(COUNTIF('1.연간시수표'!Y66,$AT$9),COUNTIF('1.연간시수표'!Y66,$AT$7)),$AT$6,IF(OR(COUNTIF('1.연간시수표'!Y66,$AU$9),COUNTIF('1.연간시수표'!Y66,$AU$7)),$AU$6,IF(OR(COUNTIF('1.연간시수표'!Y66,$AV$9),COUNTIF('1.연간시수표'!Y66,$AV$7)),$AV$6,IF(OR(COUNTIF('1.연간시수표'!Y66,$AW$9),COUNTIF('1.연간시수표'!Y66,$AW$7)),$AW$6,IF(OR(COUNTIF('1.연간시수표'!Y66,$AX$9),COUNTIF('1.연간시수표'!Y66,$AX$7)),$AX$6,IF(OR(COUNTIF('1.연간시수표'!Y66,$AY$9),COUNTIF('1.연간시수표'!Y66,$AY$7)),$AY$6,IF(OR(COUNTIF('1.연간시수표'!Y66,$AZ$9),COUNTIF('1.연간시수표'!Y66,$AZ$7)),$AZ$6,IF(OR(COUNTIF('1.연간시수표'!Y66,$BA$9),COUNTIF('1.연간시수표'!Y66,$BA$7)),$BA$6,IF(OR(COUNTIF('1.연간시수표'!Y66,$BB$9),COUNTIF('1.연간시수표'!Y66,$BB$7)),$BB$6,IF(OR(COUNTIF('1.연간시수표'!Y66,$BC$9),COUNTIF('1.연간시수표'!Y66,$BC$7)),$BC$6,IF(OR(COUNTIF('1.연간시수표'!Y66,$BF$9),COUNTIF('1.연간시수표'!Y66,$BF$7),COUNTIF('1.연간시수표'!Y66,$BG$9),COUNTIF('1.연간시수표'!Y66,$BG$7),COUNTIF('1.연간시수표'!Y66,$BH$9),COUNTIF('1.연간시수표'!Y66,$BH$7),COUNTIF('1.연간시수표'!Y66,$BI$9),COUNTIF('1.연간시수표'!Y66,$BI$7),COUNTIF('1.연간시수표'!Y66,$BJ$9),COUNTIF('1.연간시수표'!Y66,$BJ$7),COUNTIF('1.연간시수표'!Y66,$BK$9),COUNTIF('1.연간시수표'!Y66,$BK$7),COUNTIF('1.연간시수표'!Y66,$BL$9),COUNTIF('1.연간시수표'!Y66,$BL$7),COUNTIF('1.연간시수표'!Y66,$BM$9),COUNTIF('1.연간시수표'!Y66,$BM$7)),$BF$6,IF(OR(COUNTIF('1.연간시수표'!Y66,$BO$9),COUNTIF('1.연간시수표'!Y66,$BO$7)),$BO$6,IF(OR(COUNTIF('1.연간시수표'!Y66,$BP$9),COUNTIF('1.연간시수표'!Y66,$BP$7)),$BP$6,IF(OR(COUNTIF('1.연간시수표'!Y66,$BQ$9),COUNTIF('1.연간시수표'!Y66,$BQ$7)),$BQ$6,IF(OR(COUNTIF('1.연간시수표'!Y66,$BR$9),COUNTIF('1.연간시수표'!Y66,$BR$7)),$BR$6,"_")))))))))))))))</f>
        <v>도덕</v>
      </c>
      <c r="Z66" s="148" t="str">
        <f>IF(OR(COUNTIF('1.연간시수표'!Z66,$AT$9),COUNTIF('1.연간시수표'!Z66,$AT$7)),$AT$6,IF(OR(COUNTIF('1.연간시수표'!Z66,$AU$9),COUNTIF('1.연간시수표'!Z66,$AU$7)),$AU$6,IF(OR(COUNTIF('1.연간시수표'!Z66,$AV$9),COUNTIF('1.연간시수표'!Z66,$AV$7)),$AV$6,IF(OR(COUNTIF('1.연간시수표'!Z66,$AW$9),COUNTIF('1.연간시수표'!Z66,$AW$7)),$AW$6,IF(OR(COUNTIF('1.연간시수표'!Z66,$AX$9),COUNTIF('1.연간시수표'!Z66,$AX$7)),$AX$6,IF(OR(COUNTIF('1.연간시수표'!Z66,$AY$9),COUNTIF('1.연간시수표'!Z66,$AY$7)),$AY$6,IF(OR(COUNTIF('1.연간시수표'!Z66,$AZ$9),COUNTIF('1.연간시수표'!Z66,$AZ$7)),$AZ$6,IF(OR(COUNTIF('1.연간시수표'!Z66,$BA$9),COUNTIF('1.연간시수표'!Z66,$BA$7)),$BA$6,IF(OR(COUNTIF('1.연간시수표'!Z66,$BB$9),COUNTIF('1.연간시수표'!Z66,$BB$7)),$BB$6,IF(OR(COUNTIF('1.연간시수표'!Z66,$BC$9),COUNTIF('1.연간시수표'!Z66,$BC$7)),$BC$6,IF(OR(COUNTIF('1.연간시수표'!Z66,$BF$9),COUNTIF('1.연간시수표'!Z66,$BF$7),COUNTIF('1.연간시수표'!Z66,$BG$9),COUNTIF('1.연간시수표'!Z66,$BG$7),COUNTIF('1.연간시수표'!Z66,$BH$9),COUNTIF('1.연간시수표'!Z66,$BH$7),COUNTIF('1.연간시수표'!Z66,$BI$9),COUNTIF('1.연간시수표'!Z66,$BI$7),COUNTIF('1.연간시수표'!Z66,$BJ$9),COUNTIF('1.연간시수표'!Z66,$BJ$7),COUNTIF('1.연간시수표'!Z66,$BK$9),COUNTIF('1.연간시수표'!Z66,$BK$7),COUNTIF('1.연간시수표'!Z66,$BL$9),COUNTIF('1.연간시수표'!Z66,$BL$7),COUNTIF('1.연간시수표'!Z66,$BM$9),COUNTIF('1.연간시수표'!Z66,$BM$7)),$BF$6,IF(OR(COUNTIF('1.연간시수표'!Z66,$BO$9),COUNTIF('1.연간시수표'!Z66,$BO$7)),$BO$6,IF(OR(COUNTIF('1.연간시수표'!Z66,$BP$9),COUNTIF('1.연간시수표'!Z66,$BP$7)),$BP$6,IF(OR(COUNTIF('1.연간시수표'!Z66,$BQ$9),COUNTIF('1.연간시수표'!Z66,$BQ$7)),$BQ$6,IF(OR(COUNTIF('1.연간시수표'!Z66,$BR$9),COUNTIF('1.연간시수표'!Z66,$BR$7)),$BR$6,"_")))))))))))))))</f>
        <v>_</v>
      </c>
      <c r="AA66" s="148" t="str">
        <f>IF(OR(COUNTIF('1.연간시수표'!AA66,$AT$9),COUNTIF('1.연간시수표'!AA66,$AT$7)),$AT$6,IF(OR(COUNTIF('1.연간시수표'!AA66,$AU$9),COUNTIF('1.연간시수표'!AA66,$AU$7)),$AU$6,IF(OR(COUNTIF('1.연간시수표'!AA66,$AV$9),COUNTIF('1.연간시수표'!AA66,$AV$7)),$AV$6,IF(OR(COUNTIF('1.연간시수표'!AA66,$AW$9),COUNTIF('1.연간시수표'!AA66,$AW$7)),$AW$6,IF(OR(COUNTIF('1.연간시수표'!AA66,$AX$9),COUNTIF('1.연간시수표'!AA66,$AX$7)),$AX$6,IF(OR(COUNTIF('1.연간시수표'!AA66,$AY$9),COUNTIF('1.연간시수표'!AA66,$AY$7)),$AY$6,IF(OR(COUNTIF('1.연간시수표'!AA66,$AZ$9),COUNTIF('1.연간시수표'!AA66,$AZ$7)),$AZ$6,IF(OR(COUNTIF('1.연간시수표'!AA66,$BA$9),COUNTIF('1.연간시수표'!AA66,$BA$7)),$BA$6,IF(OR(COUNTIF('1.연간시수표'!AA66,$BB$9),COUNTIF('1.연간시수표'!AA66,$BB$7)),$BB$6,IF(OR(COUNTIF('1.연간시수표'!AA66,$BC$9),COUNTIF('1.연간시수표'!AA66,$BC$7)),$BC$6,IF(OR(COUNTIF('1.연간시수표'!AA66,$BF$9),COUNTIF('1.연간시수표'!AA66,$BF$7),COUNTIF('1.연간시수표'!AA66,$BG$9),COUNTIF('1.연간시수표'!AA66,$BG$7),COUNTIF('1.연간시수표'!AA66,$BH$9),COUNTIF('1.연간시수표'!AA66,$BH$7),COUNTIF('1.연간시수표'!AA66,$BI$9),COUNTIF('1.연간시수표'!AA66,$BI$7),COUNTIF('1.연간시수표'!AA66,$BJ$9),COUNTIF('1.연간시수표'!AA66,$BJ$7),COUNTIF('1.연간시수표'!AA66,$BK$9),COUNTIF('1.연간시수표'!AA66,$BK$7),COUNTIF('1.연간시수표'!AA66,$BL$9),COUNTIF('1.연간시수표'!AA66,$BL$7),COUNTIF('1.연간시수표'!AA66,$BM$9),COUNTIF('1.연간시수표'!AA66,$BM$7)),$BF$6,IF(OR(COUNTIF('1.연간시수표'!AA66,$BO$9),COUNTIF('1.연간시수표'!AA66,$BO$7)),$BO$6,IF(OR(COUNTIF('1.연간시수표'!AA66,$BP$9),COUNTIF('1.연간시수표'!AA66,$BP$7)),$BP$6,IF(OR(COUNTIF('1.연간시수표'!AA66,$BQ$9),COUNTIF('1.연간시수표'!AA66,$BQ$7)),$BQ$6,IF(OR(COUNTIF('1.연간시수표'!AA66,$BR$9),COUNTIF('1.연간시수표'!AA66,$BR$7)),$BR$6,"_")))))))))))))))</f>
        <v>_</v>
      </c>
      <c r="AB66" s="148" t="str">
        <f>IF(OR(COUNTIF('1.연간시수표'!AB66,$AT$9),COUNTIF('1.연간시수표'!AB66,$AT$7)),$AT$6,IF(OR(COUNTIF('1.연간시수표'!AB66,$AU$9),COUNTIF('1.연간시수표'!AB66,$AU$7)),$AU$6,IF(OR(COUNTIF('1.연간시수표'!AB66,$AV$9),COUNTIF('1.연간시수표'!AB66,$AV$7)),$AV$6,IF(OR(COUNTIF('1.연간시수표'!AB66,$AW$9),COUNTIF('1.연간시수표'!AB66,$AW$7)),$AW$6,IF(OR(COUNTIF('1.연간시수표'!AB66,$AX$9),COUNTIF('1.연간시수표'!AB66,$AX$7)),$AX$6,IF(OR(COUNTIF('1.연간시수표'!AB66,$AY$9),COUNTIF('1.연간시수표'!AB66,$AY$7)),$AY$6,IF(OR(COUNTIF('1.연간시수표'!AB66,$AZ$9),COUNTIF('1.연간시수표'!AB66,$AZ$7)),$AZ$6,IF(OR(COUNTIF('1.연간시수표'!AB66,$BA$9),COUNTIF('1.연간시수표'!AB66,$BA$7)),$BA$6,IF(OR(COUNTIF('1.연간시수표'!AB66,$BB$9),COUNTIF('1.연간시수표'!AB66,$BB$7)),$BB$6,IF(OR(COUNTIF('1.연간시수표'!AB66,$BC$9),COUNTIF('1.연간시수표'!AB66,$BC$7)),$BC$6,IF(OR(COUNTIF('1.연간시수표'!AB66,$BF$9),COUNTIF('1.연간시수표'!AB66,$BF$7),COUNTIF('1.연간시수표'!AB66,$BG$9),COUNTIF('1.연간시수표'!AB66,$BG$7),COUNTIF('1.연간시수표'!AB66,$BH$9),COUNTIF('1.연간시수표'!AB66,$BH$7),COUNTIF('1.연간시수표'!AB66,$BI$9),COUNTIF('1.연간시수표'!AB66,$BI$7),COUNTIF('1.연간시수표'!AB66,$BJ$9),COUNTIF('1.연간시수표'!AB66,$BJ$7),COUNTIF('1.연간시수표'!AB66,$BK$9),COUNTIF('1.연간시수표'!AB66,$BK$7),COUNTIF('1.연간시수표'!AB66,$BL$9),COUNTIF('1.연간시수표'!AB66,$BL$7),COUNTIF('1.연간시수표'!AB66,$BM$9),COUNTIF('1.연간시수표'!AB66,$BM$7)),$BF$6,IF(OR(COUNTIF('1.연간시수표'!AB66,$BO$9),COUNTIF('1.연간시수표'!AB66,$BO$7)),$BO$6,IF(OR(COUNTIF('1.연간시수표'!AB66,$BP$9),COUNTIF('1.연간시수표'!AB66,$BP$7)),$BP$6,IF(OR(COUNTIF('1.연간시수표'!AB66,$BQ$9),COUNTIF('1.연간시수표'!AB66,$BQ$7)),$BQ$6,IF(OR(COUNTIF('1.연간시수표'!AB66,$BR$9),COUNTIF('1.연간시수표'!AB66,$BR$7)),$BR$6,"_")))))))))))))))</f>
        <v>_</v>
      </c>
      <c r="AC66" s="148" t="str">
        <f>IF(OR(COUNTIF('1.연간시수표'!AC66,$AT$9),COUNTIF('1.연간시수표'!AC66,$AT$7)),$AT$6,IF(OR(COUNTIF('1.연간시수표'!AC66,$AU$9),COUNTIF('1.연간시수표'!AC66,$AU$7)),$AU$6,IF(OR(COUNTIF('1.연간시수표'!AC66,$AV$9),COUNTIF('1.연간시수표'!AC66,$AV$7)),$AV$6,IF(OR(COUNTIF('1.연간시수표'!AC66,$AW$9),COUNTIF('1.연간시수표'!AC66,$AW$7)),$AW$6,IF(OR(COUNTIF('1.연간시수표'!AC66,$AX$9),COUNTIF('1.연간시수표'!AC66,$AX$7)),$AX$6,IF(OR(COUNTIF('1.연간시수표'!AC66,$AY$9),COUNTIF('1.연간시수표'!AC66,$AY$7)),$AY$6,IF(OR(COUNTIF('1.연간시수표'!AC66,$AZ$9),COUNTIF('1.연간시수표'!AC66,$AZ$7)),$AZ$6,IF(OR(COUNTIF('1.연간시수표'!AC66,$BA$9),COUNTIF('1.연간시수표'!AC66,$BA$7)),$BA$6,IF(OR(COUNTIF('1.연간시수표'!AC66,$BB$9),COUNTIF('1.연간시수표'!AC66,$BB$7)),$BB$6,IF(OR(COUNTIF('1.연간시수표'!AC66,$BC$9),COUNTIF('1.연간시수표'!AC66,$BC$7)),$BC$6,IF(OR(COUNTIF('1.연간시수표'!AC66,$BF$9),COUNTIF('1.연간시수표'!AC66,$BF$7),COUNTIF('1.연간시수표'!AC66,$BG$9),COUNTIF('1.연간시수표'!AC66,$BG$7),COUNTIF('1.연간시수표'!AC66,$BH$9),COUNTIF('1.연간시수표'!AC66,$BH$7),COUNTIF('1.연간시수표'!AC66,$BI$9),COUNTIF('1.연간시수표'!AC66,$BI$7),COUNTIF('1.연간시수표'!AC66,$BJ$9),COUNTIF('1.연간시수표'!AC66,$BJ$7),COUNTIF('1.연간시수표'!AC66,$BK$9),COUNTIF('1.연간시수표'!AC66,$BK$7),COUNTIF('1.연간시수표'!AC66,$BL$9),COUNTIF('1.연간시수표'!AC66,$BL$7),COUNTIF('1.연간시수표'!AC66,$BM$9),COUNTIF('1.연간시수표'!AC66,$BM$7)),$BF$6,IF(OR(COUNTIF('1.연간시수표'!AC66,$BO$9),COUNTIF('1.연간시수표'!AC66,$BO$7)),$BO$6,IF(OR(COUNTIF('1.연간시수표'!AC66,$BP$9),COUNTIF('1.연간시수표'!AC66,$BP$7)),$BP$6,IF(OR(COUNTIF('1.연간시수표'!AC66,$BQ$9),COUNTIF('1.연간시수표'!AC66,$BQ$7)),$BQ$6,IF(OR(COUNTIF('1.연간시수표'!AC66,$BR$9),COUNTIF('1.연간시수표'!AC66,$BR$7)),$BR$6,"_")))))))))))))))</f>
        <v>국어</v>
      </c>
      <c r="AD66" s="148" t="str">
        <f>IF(OR(COUNTIF('1.연간시수표'!AD66,$AT$9),COUNTIF('1.연간시수표'!AD66,$AT$7)),$AT$6,IF(OR(COUNTIF('1.연간시수표'!AD66,$AU$9),COUNTIF('1.연간시수표'!AD66,$AU$7)),$AU$6,IF(OR(COUNTIF('1.연간시수표'!AD66,$AV$9),COUNTIF('1.연간시수표'!AD66,$AV$7)),$AV$6,IF(OR(COUNTIF('1.연간시수표'!AD66,$AW$9),COUNTIF('1.연간시수표'!AD66,$AW$7)),$AW$6,IF(OR(COUNTIF('1.연간시수표'!AD66,$AX$9),COUNTIF('1.연간시수표'!AD66,$AX$7)),$AX$6,IF(OR(COUNTIF('1.연간시수표'!AD66,$AY$9),COUNTIF('1.연간시수표'!AD66,$AY$7)),$AY$6,IF(OR(COUNTIF('1.연간시수표'!AD66,$AZ$9),COUNTIF('1.연간시수표'!AD66,$AZ$7)),$AZ$6,IF(OR(COUNTIF('1.연간시수표'!AD66,$BA$9),COUNTIF('1.연간시수표'!AD66,$BA$7)),$BA$6,IF(OR(COUNTIF('1.연간시수표'!AD66,$BB$9),COUNTIF('1.연간시수표'!AD66,$BB$7)),$BB$6,IF(OR(COUNTIF('1.연간시수표'!AD66,$BC$9),COUNTIF('1.연간시수표'!AD66,$BC$7)),$BC$6,IF(OR(COUNTIF('1.연간시수표'!AD66,$BF$9),COUNTIF('1.연간시수표'!AD66,$BF$7),COUNTIF('1.연간시수표'!AD66,$BG$9),COUNTIF('1.연간시수표'!AD66,$BG$7),COUNTIF('1.연간시수표'!AD66,$BH$9),COUNTIF('1.연간시수표'!AD66,$BH$7),COUNTIF('1.연간시수표'!AD66,$BI$9),COUNTIF('1.연간시수표'!AD66,$BI$7),COUNTIF('1.연간시수표'!AD66,$BJ$9),COUNTIF('1.연간시수표'!AD66,$BJ$7),COUNTIF('1.연간시수표'!AD66,$BK$9),COUNTIF('1.연간시수표'!AD66,$BK$7),COUNTIF('1.연간시수표'!AD66,$BL$9),COUNTIF('1.연간시수표'!AD66,$BL$7),COUNTIF('1.연간시수표'!AD66,$BM$9),COUNTIF('1.연간시수표'!AD66,$BM$7)),$BF$6,IF(OR(COUNTIF('1.연간시수표'!AD66,$BO$9),COUNTIF('1.연간시수표'!AD66,$BO$7)),$BO$6,IF(OR(COUNTIF('1.연간시수표'!AD66,$BP$9),COUNTIF('1.연간시수표'!AD66,$BP$7)),$BP$6,IF(OR(COUNTIF('1.연간시수표'!AD66,$BQ$9),COUNTIF('1.연간시수표'!AD66,$BQ$7)),$BQ$6,IF(OR(COUNTIF('1.연간시수표'!AD66,$BR$9),COUNTIF('1.연간시수표'!AD66,$BR$7)),$BR$6,"_")))))))))))))))</f>
        <v>수학</v>
      </c>
      <c r="AE66" s="148" t="str">
        <f>IF(OR(COUNTIF('1.연간시수표'!AE66,$AT$9),COUNTIF('1.연간시수표'!AE66,$AT$7)),$AT$6,IF(OR(COUNTIF('1.연간시수표'!AE66,$AU$9),COUNTIF('1.연간시수표'!AE66,$AU$7)),$AU$6,IF(OR(COUNTIF('1.연간시수표'!AE66,$AV$9),COUNTIF('1.연간시수표'!AE66,$AV$7)),$AV$6,IF(OR(COUNTIF('1.연간시수표'!AE66,$AW$9),COUNTIF('1.연간시수표'!AE66,$AW$7)),$AW$6,IF(OR(COUNTIF('1.연간시수표'!AE66,$AX$9),COUNTIF('1.연간시수표'!AE66,$AX$7)),$AX$6,IF(OR(COUNTIF('1.연간시수표'!AE66,$AY$9),COUNTIF('1.연간시수표'!AE66,$AY$7)),$AY$6,IF(OR(COUNTIF('1.연간시수표'!AE66,$AZ$9),COUNTIF('1.연간시수표'!AE66,$AZ$7)),$AZ$6,IF(OR(COUNTIF('1.연간시수표'!AE66,$BA$9),COUNTIF('1.연간시수표'!AE66,$BA$7)),$BA$6,IF(OR(COUNTIF('1.연간시수표'!AE66,$BB$9),COUNTIF('1.연간시수표'!AE66,$BB$7)),$BB$6,IF(OR(COUNTIF('1.연간시수표'!AE66,$BC$9),COUNTIF('1.연간시수표'!AE66,$BC$7)),$BC$6,IF(OR(COUNTIF('1.연간시수표'!AE66,$BF$9),COUNTIF('1.연간시수표'!AE66,$BF$7),COUNTIF('1.연간시수표'!AE66,$BG$9),COUNTIF('1.연간시수표'!AE66,$BG$7),COUNTIF('1.연간시수표'!AE66,$BH$9),COUNTIF('1.연간시수표'!AE66,$BH$7),COUNTIF('1.연간시수표'!AE66,$BI$9),COUNTIF('1.연간시수표'!AE66,$BI$7),COUNTIF('1.연간시수표'!AE66,$BJ$9),COUNTIF('1.연간시수표'!AE66,$BJ$7),COUNTIF('1.연간시수표'!AE66,$BK$9),COUNTIF('1.연간시수표'!AE66,$BK$7),COUNTIF('1.연간시수표'!AE66,$BL$9),COUNTIF('1.연간시수표'!AE66,$BL$7),COUNTIF('1.연간시수표'!AE66,$BM$9),COUNTIF('1.연간시수표'!AE66,$BM$7)),$BF$6,IF(OR(COUNTIF('1.연간시수표'!AE66,$BO$9),COUNTIF('1.연간시수표'!AE66,$BO$7)),$BO$6,IF(OR(COUNTIF('1.연간시수표'!AE66,$BP$9),COUNTIF('1.연간시수표'!AE66,$BP$7)),$BP$6,IF(OR(COUNTIF('1.연간시수표'!AE66,$BQ$9),COUNTIF('1.연간시수표'!AE66,$BQ$7)),$BQ$6,IF(OR(COUNTIF('1.연간시수표'!AE66,$BR$9),COUNTIF('1.연간시수표'!AE66,$BR$7)),$BR$6,"_")))))))))))))))</f>
        <v>체육</v>
      </c>
      <c r="AF66" s="148" t="str">
        <f>IF(OR(COUNTIF('1.연간시수표'!AF66,$AT$9),COUNTIF('1.연간시수표'!AF66,$AT$7)),$AT$6,IF(OR(COUNTIF('1.연간시수표'!AF66,$AU$9),COUNTIF('1.연간시수표'!AF66,$AU$7)),$AU$6,IF(OR(COUNTIF('1.연간시수표'!AF66,$AV$9),COUNTIF('1.연간시수표'!AF66,$AV$7)),$AV$6,IF(OR(COUNTIF('1.연간시수표'!AF66,$AW$9),COUNTIF('1.연간시수표'!AF66,$AW$7)),$AW$6,IF(OR(COUNTIF('1.연간시수표'!AF66,$AX$9),COUNTIF('1.연간시수표'!AF66,$AX$7)),$AX$6,IF(OR(COUNTIF('1.연간시수표'!AF66,$AY$9),COUNTIF('1.연간시수표'!AF66,$AY$7)),$AY$6,IF(OR(COUNTIF('1.연간시수표'!AF66,$AZ$9),COUNTIF('1.연간시수표'!AF66,$AZ$7)),$AZ$6,IF(OR(COUNTIF('1.연간시수표'!AF66,$BA$9),COUNTIF('1.연간시수표'!AF66,$BA$7)),$BA$6,IF(OR(COUNTIF('1.연간시수표'!AF66,$BB$9),COUNTIF('1.연간시수표'!AF66,$BB$7)),$BB$6,IF(OR(COUNTIF('1.연간시수표'!AF66,$BC$9),COUNTIF('1.연간시수표'!AF66,$BC$7)),$BC$6,IF(OR(COUNTIF('1.연간시수표'!AF66,$BF$9),COUNTIF('1.연간시수표'!AF66,$BF$7),COUNTIF('1.연간시수표'!AF66,$BG$9),COUNTIF('1.연간시수표'!AF66,$BG$7),COUNTIF('1.연간시수표'!AF66,$BH$9),COUNTIF('1.연간시수표'!AF66,$BH$7),COUNTIF('1.연간시수표'!AF66,$BI$9),COUNTIF('1.연간시수표'!AF66,$BI$7),COUNTIF('1.연간시수표'!AF66,$BJ$9),COUNTIF('1.연간시수표'!AF66,$BJ$7),COUNTIF('1.연간시수표'!AF66,$BK$9),COUNTIF('1.연간시수표'!AF66,$BK$7),COUNTIF('1.연간시수표'!AF66,$BL$9),COUNTIF('1.연간시수표'!AF66,$BL$7),COUNTIF('1.연간시수표'!AF66,$BM$9),COUNTIF('1.연간시수표'!AF66,$BM$7)),$BF$6,IF(OR(COUNTIF('1.연간시수표'!AF66,$BO$9),COUNTIF('1.연간시수표'!AF66,$BO$7)),$BO$6,IF(OR(COUNTIF('1.연간시수표'!AF66,$BP$9),COUNTIF('1.연간시수표'!AF66,$BP$7)),$BP$6,IF(OR(COUNTIF('1.연간시수표'!AF66,$BQ$9),COUNTIF('1.연간시수표'!AF66,$BQ$7)),$BQ$6,IF(OR(COUNTIF('1.연간시수표'!AF66,$BR$9),COUNTIF('1.연간시수표'!AF66,$BR$7)),$BR$6,"_")))))))))))))))</f>
        <v>영어</v>
      </c>
      <c r="AG66" s="148" t="str">
        <f>IF(OR(COUNTIF('1.연간시수표'!AG66,$AT$9),COUNTIF('1.연간시수표'!AG66,$AT$7)),$AT$6,IF(OR(COUNTIF('1.연간시수표'!AG66,$AU$9),COUNTIF('1.연간시수표'!AG66,$AU$7)),$AU$6,IF(OR(COUNTIF('1.연간시수표'!AG66,$AV$9),COUNTIF('1.연간시수표'!AG66,$AV$7)),$AV$6,IF(OR(COUNTIF('1.연간시수표'!AG66,$AW$9),COUNTIF('1.연간시수표'!AG66,$AW$7)),$AW$6,IF(OR(COUNTIF('1.연간시수표'!AG66,$AX$9),COUNTIF('1.연간시수표'!AG66,$AX$7)),$AX$6,IF(OR(COUNTIF('1.연간시수표'!AG66,$AY$9),COUNTIF('1.연간시수표'!AG66,$AY$7)),$AY$6,IF(OR(COUNTIF('1.연간시수표'!AG66,$AZ$9),COUNTIF('1.연간시수표'!AG66,$AZ$7)),$AZ$6,IF(OR(COUNTIF('1.연간시수표'!AG66,$BA$9),COUNTIF('1.연간시수표'!AG66,$BA$7)),$BA$6,IF(OR(COUNTIF('1.연간시수표'!AG66,$BB$9),COUNTIF('1.연간시수표'!AG66,$BB$7)),$BB$6,IF(OR(COUNTIF('1.연간시수표'!AG66,$BC$9),COUNTIF('1.연간시수표'!AG66,$BC$7)),$BC$6,IF(OR(COUNTIF('1.연간시수표'!AG66,$BF$9),COUNTIF('1.연간시수표'!AG66,$BF$7),COUNTIF('1.연간시수표'!AG66,$BG$9),COUNTIF('1.연간시수표'!AG66,$BG$7),COUNTIF('1.연간시수표'!AG66,$BH$9),COUNTIF('1.연간시수표'!AG66,$BH$7),COUNTIF('1.연간시수표'!AG66,$BI$9),COUNTIF('1.연간시수표'!AG66,$BI$7),COUNTIF('1.연간시수표'!AG66,$BJ$9),COUNTIF('1.연간시수표'!AG66,$BJ$7),COUNTIF('1.연간시수표'!AG66,$BK$9),COUNTIF('1.연간시수표'!AG66,$BK$7),COUNTIF('1.연간시수표'!AG66,$BL$9),COUNTIF('1.연간시수표'!AG66,$BL$7),COUNTIF('1.연간시수표'!AG66,$BM$9),COUNTIF('1.연간시수표'!AG66,$BM$7)),$BF$6,IF(OR(COUNTIF('1.연간시수표'!AG66,$BO$9),COUNTIF('1.연간시수표'!AG66,$BO$7)),$BO$6,IF(OR(COUNTIF('1.연간시수표'!AG66,$BP$9),COUNTIF('1.연간시수표'!AG66,$BP$7)),$BP$6,IF(OR(COUNTIF('1.연간시수표'!AG66,$BQ$9),COUNTIF('1.연간시수표'!AG66,$BQ$7)),$BQ$6,IF(OR(COUNTIF('1.연간시수표'!AG66,$BR$9),COUNTIF('1.연간시수표'!AG66,$BR$7)),$BR$6,"_")))))))))))))))</f>
        <v>과학</v>
      </c>
      <c r="AH66" s="148" t="str">
        <f>IF(OR(COUNTIF('1.연간시수표'!AH66,$AT$9),COUNTIF('1.연간시수표'!AH66,$AT$7)),$AT$6,IF(OR(COUNTIF('1.연간시수표'!AH66,$AU$9),COUNTIF('1.연간시수표'!AH66,$AU$7)),$AU$6,IF(OR(COUNTIF('1.연간시수표'!AH66,$AV$9),COUNTIF('1.연간시수표'!AH66,$AV$7)),$AV$6,IF(OR(COUNTIF('1.연간시수표'!AH66,$AW$9),COUNTIF('1.연간시수표'!AH66,$AW$7)),$AW$6,IF(OR(COUNTIF('1.연간시수표'!AH66,$AX$9),COUNTIF('1.연간시수표'!AH66,$AX$7)),$AX$6,IF(OR(COUNTIF('1.연간시수표'!AH66,$AY$9),COUNTIF('1.연간시수표'!AH66,$AY$7)),$AY$6,IF(OR(COUNTIF('1.연간시수표'!AH66,$AZ$9),COUNTIF('1.연간시수표'!AH66,$AZ$7)),$AZ$6,IF(OR(COUNTIF('1.연간시수표'!AH66,$BA$9),COUNTIF('1.연간시수표'!AH66,$BA$7)),$BA$6,IF(OR(COUNTIF('1.연간시수표'!AH66,$BB$9),COUNTIF('1.연간시수표'!AH66,$BB$7)),$BB$6,IF(OR(COUNTIF('1.연간시수표'!AH66,$BC$9),COUNTIF('1.연간시수표'!AH66,$BC$7)),$BC$6,IF(OR(COUNTIF('1.연간시수표'!AH66,$BF$9),COUNTIF('1.연간시수표'!AH66,$BF$7),COUNTIF('1.연간시수표'!AH66,$BG$9),COUNTIF('1.연간시수표'!AH66,$BG$7),COUNTIF('1.연간시수표'!AH66,$BH$9),COUNTIF('1.연간시수표'!AH66,$BH$7),COUNTIF('1.연간시수표'!AH66,$BI$9),COUNTIF('1.연간시수표'!AH66,$BI$7),COUNTIF('1.연간시수표'!AH66,$BJ$9),COUNTIF('1.연간시수표'!AH66,$BJ$7),COUNTIF('1.연간시수표'!AH66,$BK$9),COUNTIF('1.연간시수표'!AH66,$BK$7),COUNTIF('1.연간시수표'!AH66,$BL$9),COUNTIF('1.연간시수표'!AH66,$BL$7),COUNTIF('1.연간시수표'!AH66,$BM$9),COUNTIF('1.연간시수표'!AH66,$BM$7)),$BF$6,IF(OR(COUNTIF('1.연간시수표'!AH66,$BO$9),COUNTIF('1.연간시수표'!AH66,$BO$7)),$BO$6,IF(OR(COUNTIF('1.연간시수표'!AH66,$BP$9),COUNTIF('1.연간시수표'!AH66,$BP$7)),$BP$6,IF(OR(COUNTIF('1.연간시수표'!AH66,$BQ$9),COUNTIF('1.연간시수표'!AH66,$BQ$7)),$BQ$6,IF(OR(COUNTIF('1.연간시수표'!AH66,$BR$9),COUNTIF('1.연간시수표'!AH66,$BR$7)),$BR$6,"_")))))))))))))))</f>
        <v>음악</v>
      </c>
      <c r="AI66" s="148" t="str">
        <f>IF(OR(COUNTIF('1.연간시수표'!AI66,$AT$9),COUNTIF('1.연간시수표'!AI66,$AT$7)),$AT$6,IF(OR(COUNTIF('1.연간시수표'!AI66,$AU$9),COUNTIF('1.연간시수표'!AI66,$AU$7)),$AU$6,IF(OR(COUNTIF('1.연간시수표'!AI66,$AV$9),COUNTIF('1.연간시수표'!AI66,$AV$7)),$AV$6,IF(OR(COUNTIF('1.연간시수표'!AI66,$AW$9),COUNTIF('1.연간시수표'!AI66,$AW$7)),$AW$6,IF(OR(COUNTIF('1.연간시수표'!AI66,$AX$9),COUNTIF('1.연간시수표'!AI66,$AX$7)),$AX$6,IF(OR(COUNTIF('1.연간시수표'!AI66,$AY$9),COUNTIF('1.연간시수표'!AI66,$AY$7)),$AY$6,IF(OR(COUNTIF('1.연간시수표'!AI66,$AZ$9),COUNTIF('1.연간시수표'!AI66,$AZ$7)),$AZ$6,IF(OR(COUNTIF('1.연간시수표'!AI66,$BA$9),COUNTIF('1.연간시수표'!AI66,$BA$7)),$BA$6,IF(OR(COUNTIF('1.연간시수표'!AI66,$BB$9),COUNTIF('1.연간시수표'!AI66,$BB$7)),$BB$6,IF(OR(COUNTIF('1.연간시수표'!AI66,$BC$9),COUNTIF('1.연간시수표'!AI66,$BC$7)),$BC$6,IF(OR(COUNTIF('1.연간시수표'!AI66,$BF$9),COUNTIF('1.연간시수표'!AI66,$BF$7),COUNTIF('1.연간시수표'!AI66,$BG$9),COUNTIF('1.연간시수표'!AI66,$BG$7),COUNTIF('1.연간시수표'!AI66,$BH$9),COUNTIF('1.연간시수표'!AI66,$BH$7),COUNTIF('1.연간시수표'!AI66,$BI$9),COUNTIF('1.연간시수표'!AI66,$BI$7),COUNTIF('1.연간시수표'!AI66,$BJ$9),COUNTIF('1.연간시수표'!AI66,$BJ$7),COUNTIF('1.연간시수표'!AI66,$BK$9),COUNTIF('1.연간시수표'!AI66,$BK$7),COUNTIF('1.연간시수표'!AI66,$BL$9),COUNTIF('1.연간시수표'!AI66,$BL$7),COUNTIF('1.연간시수표'!AI66,$BM$9),COUNTIF('1.연간시수표'!AI66,$BM$7)),$BF$6,IF(OR(COUNTIF('1.연간시수표'!AI66,$BO$9),COUNTIF('1.연간시수표'!AI66,$BO$7)),$BO$6,IF(OR(COUNTIF('1.연간시수표'!AI66,$BP$9),COUNTIF('1.연간시수표'!AI66,$BP$7)),$BP$6,IF(OR(COUNTIF('1.연간시수표'!AI66,$BQ$9),COUNTIF('1.연간시수표'!AI66,$BQ$7)),$BQ$6,IF(OR(COUNTIF('1.연간시수표'!AI66,$BR$9),COUNTIF('1.연간시수표'!AI66,$BR$7)),$BR$6,"_")))))))))))))))</f>
        <v>_</v>
      </c>
      <c r="AJ66" s="148" t="str">
        <f>IF(OR(COUNTIF('1.연간시수표'!AJ66,$AT$9),COUNTIF('1.연간시수표'!AJ66,$AT$7)),$AT$6,IF(OR(COUNTIF('1.연간시수표'!AJ66,$AU$9),COUNTIF('1.연간시수표'!AJ66,$AU$7)),$AU$6,IF(OR(COUNTIF('1.연간시수표'!AJ66,$AV$9),COUNTIF('1.연간시수표'!AJ66,$AV$7)),$AV$6,IF(OR(COUNTIF('1.연간시수표'!AJ66,$AW$9),COUNTIF('1.연간시수표'!AJ66,$AW$7)),$AW$6,IF(OR(COUNTIF('1.연간시수표'!AJ66,$AX$9),COUNTIF('1.연간시수표'!AJ66,$AX$7)),$AX$6,IF(OR(COUNTIF('1.연간시수표'!AJ66,$AY$9),COUNTIF('1.연간시수표'!AJ66,$AY$7)),$AY$6,IF(OR(COUNTIF('1.연간시수표'!AJ66,$AZ$9),COUNTIF('1.연간시수표'!AJ66,$AZ$7)),$AZ$6,IF(OR(COUNTIF('1.연간시수표'!AJ66,$BA$9),COUNTIF('1.연간시수표'!AJ66,$BA$7)),$BA$6,IF(OR(COUNTIF('1.연간시수표'!AJ66,$BB$9),COUNTIF('1.연간시수표'!AJ66,$BB$7)),$BB$6,IF(OR(COUNTIF('1.연간시수표'!AJ66,$BC$9),COUNTIF('1.연간시수표'!AJ66,$BC$7)),$BC$6,IF(OR(COUNTIF('1.연간시수표'!AJ66,$BF$9),COUNTIF('1.연간시수표'!AJ66,$BF$7),COUNTIF('1.연간시수표'!AJ66,$BG$9),COUNTIF('1.연간시수표'!AJ66,$BG$7),COUNTIF('1.연간시수표'!AJ66,$BH$9),COUNTIF('1.연간시수표'!AJ66,$BH$7),COUNTIF('1.연간시수표'!AJ66,$BI$9),COUNTIF('1.연간시수표'!AJ66,$BI$7),COUNTIF('1.연간시수표'!AJ66,$BJ$9),COUNTIF('1.연간시수표'!AJ66,$BJ$7),COUNTIF('1.연간시수표'!AJ66,$BK$9),COUNTIF('1.연간시수표'!AJ66,$BK$7),COUNTIF('1.연간시수표'!AJ66,$BL$9),COUNTIF('1.연간시수표'!AJ66,$BL$7),COUNTIF('1.연간시수표'!AJ66,$BM$9),COUNTIF('1.연간시수표'!AJ66,$BM$7)),$BF$6,IF(OR(COUNTIF('1.연간시수표'!AJ66,$BO$9),COUNTIF('1.연간시수표'!AJ66,$BO$7)),$BO$6,IF(OR(COUNTIF('1.연간시수표'!AJ66,$BP$9),COUNTIF('1.연간시수표'!AJ66,$BP$7)),$BP$6,IF(OR(COUNTIF('1.연간시수표'!AJ66,$BQ$9),COUNTIF('1.연간시수표'!AJ66,$BQ$7)),$BQ$6,IF(OR(COUNTIF('1.연간시수표'!AJ66,$BR$9),COUNTIF('1.연간시수표'!AJ66,$BR$7)),$BR$6,"_")))))))))))))))</f>
        <v>_</v>
      </c>
      <c r="AK66" s="148" t="str">
        <f>IF(OR(COUNTIF('1.연간시수표'!AK66,$AT$9),COUNTIF('1.연간시수표'!AK66,$AT$7)),$AT$6,IF(OR(COUNTIF('1.연간시수표'!AK66,$AU$9),COUNTIF('1.연간시수표'!AK66,$AU$7)),$AU$6,IF(OR(COUNTIF('1.연간시수표'!AK66,$AV$9),COUNTIF('1.연간시수표'!AK66,$AV$7)),$AV$6,IF(OR(COUNTIF('1.연간시수표'!AK66,$AW$9),COUNTIF('1.연간시수표'!AK66,$AW$7)),$AW$6,IF(OR(COUNTIF('1.연간시수표'!AK66,$AX$9),COUNTIF('1.연간시수표'!AK66,$AX$7)),$AX$6,IF(OR(COUNTIF('1.연간시수표'!AK66,$AY$9),COUNTIF('1.연간시수표'!AK66,$AY$7)),$AY$6,IF(OR(COUNTIF('1.연간시수표'!AK66,$AZ$9),COUNTIF('1.연간시수표'!AK66,$AZ$7)),$AZ$6,IF(OR(COUNTIF('1.연간시수표'!AK66,$BA$9),COUNTIF('1.연간시수표'!AK66,$BA$7)),$BA$6,IF(OR(COUNTIF('1.연간시수표'!AK66,$BB$9),COUNTIF('1.연간시수표'!AK66,$BB$7)),$BB$6,IF(OR(COUNTIF('1.연간시수표'!AK66,$BC$9),COUNTIF('1.연간시수표'!AK66,$BC$7)),$BC$6,IF(OR(COUNTIF('1.연간시수표'!AK66,$BF$9),COUNTIF('1.연간시수표'!AK66,$BF$7),COUNTIF('1.연간시수표'!AK66,$BG$9),COUNTIF('1.연간시수표'!AK66,$BG$7),COUNTIF('1.연간시수표'!AK66,$BH$9),COUNTIF('1.연간시수표'!AK66,$BH$7),COUNTIF('1.연간시수표'!AK66,$BI$9),COUNTIF('1.연간시수표'!AK66,$BI$7),COUNTIF('1.연간시수표'!AK66,$BJ$9),COUNTIF('1.연간시수표'!AK66,$BJ$7),COUNTIF('1.연간시수표'!AK66,$BK$9),COUNTIF('1.연간시수표'!AK66,$BK$7),COUNTIF('1.연간시수표'!AK66,$BL$9),COUNTIF('1.연간시수표'!AK66,$BL$7),COUNTIF('1.연간시수표'!AK66,$BM$9),COUNTIF('1.연간시수표'!AK66,$BM$7)),$BF$6,IF(OR(COUNTIF('1.연간시수표'!AK66,$BO$9),COUNTIF('1.연간시수표'!AK66,$BO$7)),$BO$6,IF(OR(COUNTIF('1.연간시수표'!AK66,$BP$9),COUNTIF('1.연간시수표'!AK66,$BP$7)),$BP$6,IF(OR(COUNTIF('1.연간시수표'!AK66,$BQ$9),COUNTIF('1.연간시수표'!AK66,$BQ$7)),$BQ$6,IF(OR(COUNTIF('1.연간시수표'!AK66,$BR$9),COUNTIF('1.연간시수표'!AK66,$BR$7)),$BR$6,"_")))))))))))))))</f>
        <v>국어</v>
      </c>
      <c r="AL66" s="148" t="str">
        <f>IF(OR(COUNTIF('1.연간시수표'!AL66,$AT$9),COUNTIF('1.연간시수표'!AL66,$AT$7)),$AT$6,IF(OR(COUNTIF('1.연간시수표'!AL66,$AU$9),COUNTIF('1.연간시수표'!AL66,$AU$7)),$AU$6,IF(OR(COUNTIF('1.연간시수표'!AL66,$AV$9),COUNTIF('1.연간시수표'!AL66,$AV$7)),$AV$6,IF(OR(COUNTIF('1.연간시수표'!AL66,$AW$9),COUNTIF('1.연간시수표'!AL66,$AW$7)),$AW$6,IF(OR(COUNTIF('1.연간시수표'!AL66,$AX$9),COUNTIF('1.연간시수표'!AL66,$AX$7)),$AX$6,IF(OR(COUNTIF('1.연간시수표'!AL66,$AY$9),COUNTIF('1.연간시수표'!AL66,$AY$7)),$AY$6,IF(OR(COUNTIF('1.연간시수표'!AL66,$AZ$9),COUNTIF('1.연간시수표'!AL66,$AZ$7)),$AZ$6,IF(OR(COUNTIF('1.연간시수표'!AL66,$BA$9),COUNTIF('1.연간시수표'!AL66,$BA$7)),$BA$6,IF(OR(COUNTIF('1.연간시수표'!AL66,$BB$9),COUNTIF('1.연간시수표'!AL66,$BB$7)),$BB$6,IF(OR(COUNTIF('1.연간시수표'!AL66,$BC$9),COUNTIF('1.연간시수표'!AL66,$BC$7)),$BC$6,IF(OR(COUNTIF('1.연간시수표'!AL66,$BF$9),COUNTIF('1.연간시수표'!AL66,$BF$7),COUNTIF('1.연간시수표'!AL66,$BG$9),COUNTIF('1.연간시수표'!AL66,$BG$7),COUNTIF('1.연간시수표'!AL66,$BH$9),COUNTIF('1.연간시수표'!AL66,$BH$7),COUNTIF('1.연간시수표'!AL66,$BI$9),COUNTIF('1.연간시수표'!AL66,$BI$7),COUNTIF('1.연간시수표'!AL66,$BJ$9),COUNTIF('1.연간시수표'!AL66,$BJ$7),COUNTIF('1.연간시수표'!AL66,$BK$9),COUNTIF('1.연간시수표'!AL66,$BK$7),COUNTIF('1.연간시수표'!AL66,$BL$9),COUNTIF('1.연간시수표'!AL66,$BL$7),COUNTIF('1.연간시수표'!AL66,$BM$9),COUNTIF('1.연간시수표'!AL66,$BM$7)),$BF$6,IF(OR(COUNTIF('1.연간시수표'!AL66,$BO$9),COUNTIF('1.연간시수표'!AL66,$BO$7)),$BO$6,IF(OR(COUNTIF('1.연간시수표'!AL66,$BP$9),COUNTIF('1.연간시수표'!AL66,$BP$7)),$BP$6,IF(OR(COUNTIF('1.연간시수표'!AL66,$BQ$9),COUNTIF('1.연간시수표'!AL66,$BQ$7)),$BQ$6,IF(OR(COUNTIF('1.연간시수표'!AL66,$BR$9),COUNTIF('1.연간시수표'!AL66,$BR$7)),$BR$6,"_")))))))))))))))</f>
        <v>체육</v>
      </c>
      <c r="AM66" s="148" t="str">
        <f>IF(OR(COUNTIF('1.연간시수표'!AM66,$AT$9),COUNTIF('1.연간시수표'!AM66,$AT$7)),$AT$6,IF(OR(COUNTIF('1.연간시수표'!AM66,$AU$9),COUNTIF('1.연간시수표'!AM66,$AU$7)),$AU$6,IF(OR(COUNTIF('1.연간시수표'!AM66,$AV$9),COUNTIF('1.연간시수표'!AM66,$AV$7)),$AV$6,IF(OR(COUNTIF('1.연간시수표'!AM66,$AW$9),COUNTIF('1.연간시수표'!AM66,$AW$7)),$AW$6,IF(OR(COUNTIF('1.연간시수표'!AM66,$AX$9),COUNTIF('1.연간시수표'!AM66,$AX$7)),$AX$6,IF(OR(COUNTIF('1.연간시수표'!AM66,$AY$9),COUNTIF('1.연간시수표'!AM66,$AY$7)),$AY$6,IF(OR(COUNTIF('1.연간시수표'!AM66,$AZ$9),COUNTIF('1.연간시수표'!AM66,$AZ$7)),$AZ$6,IF(OR(COUNTIF('1.연간시수표'!AM66,$BA$9),COUNTIF('1.연간시수표'!AM66,$BA$7)),$BA$6,IF(OR(COUNTIF('1.연간시수표'!AM66,$BB$9),COUNTIF('1.연간시수표'!AM66,$BB$7)),$BB$6,IF(OR(COUNTIF('1.연간시수표'!AM66,$BC$9),COUNTIF('1.연간시수표'!AM66,$BC$7)),$BC$6,IF(OR(COUNTIF('1.연간시수표'!AM66,$BF$9),COUNTIF('1.연간시수표'!AM66,$BF$7),COUNTIF('1.연간시수표'!AM66,$BG$9),COUNTIF('1.연간시수표'!AM66,$BG$7),COUNTIF('1.연간시수표'!AM66,$BH$9),COUNTIF('1.연간시수표'!AM66,$BH$7),COUNTIF('1.연간시수표'!AM66,$BI$9),COUNTIF('1.연간시수표'!AM66,$BI$7),COUNTIF('1.연간시수표'!AM66,$BJ$9),COUNTIF('1.연간시수표'!AM66,$BJ$7),COUNTIF('1.연간시수표'!AM66,$BK$9),COUNTIF('1.연간시수표'!AM66,$BK$7),COUNTIF('1.연간시수표'!AM66,$BL$9),COUNTIF('1.연간시수표'!AM66,$BL$7),COUNTIF('1.연간시수표'!AM66,$BM$9),COUNTIF('1.연간시수표'!AM66,$BM$7)),$BF$6,IF(OR(COUNTIF('1.연간시수표'!AM66,$BO$9),COUNTIF('1.연간시수표'!AM66,$BO$7)),$BO$6,IF(OR(COUNTIF('1.연간시수표'!AM66,$BP$9),COUNTIF('1.연간시수표'!AM66,$BP$7)),$BP$6,IF(OR(COUNTIF('1.연간시수표'!AM66,$BQ$9),COUNTIF('1.연간시수표'!AM66,$BQ$7)),$BQ$6,IF(OR(COUNTIF('1.연간시수표'!AM66,$BR$9),COUNTIF('1.연간시수표'!AM66,$BR$7)),$BR$6,"_")))))))))))))))</f>
        <v>수학</v>
      </c>
      <c r="AN66" s="148" t="str">
        <f>IF(OR(COUNTIF('1.연간시수표'!AN66,$AT$9),COUNTIF('1.연간시수표'!AN66,$AT$7)),$AT$6,IF(OR(COUNTIF('1.연간시수표'!AN66,$AU$9),COUNTIF('1.연간시수표'!AN66,$AU$7)),$AU$6,IF(OR(COUNTIF('1.연간시수표'!AN66,$AV$9),COUNTIF('1.연간시수표'!AN66,$AV$7)),$AV$6,IF(OR(COUNTIF('1.연간시수표'!AN66,$AW$9),COUNTIF('1.연간시수표'!AN66,$AW$7)),$AW$6,IF(OR(COUNTIF('1.연간시수표'!AN66,$AX$9),COUNTIF('1.연간시수표'!AN66,$AX$7)),$AX$6,IF(OR(COUNTIF('1.연간시수표'!AN66,$AY$9),COUNTIF('1.연간시수표'!AN66,$AY$7)),$AY$6,IF(OR(COUNTIF('1.연간시수표'!AN66,$AZ$9),COUNTIF('1.연간시수표'!AN66,$AZ$7)),$AZ$6,IF(OR(COUNTIF('1.연간시수표'!AN66,$BA$9),COUNTIF('1.연간시수표'!AN66,$BA$7)),$BA$6,IF(OR(COUNTIF('1.연간시수표'!AN66,$BB$9),COUNTIF('1.연간시수표'!AN66,$BB$7)),$BB$6,IF(OR(COUNTIF('1.연간시수표'!AN66,$BC$9),COUNTIF('1.연간시수표'!AN66,$BC$7)),$BC$6,IF(OR(COUNTIF('1.연간시수표'!AN66,$BF$9),COUNTIF('1.연간시수표'!AN66,$BF$7),COUNTIF('1.연간시수표'!AN66,$BG$9),COUNTIF('1.연간시수표'!AN66,$BG$7),COUNTIF('1.연간시수표'!AN66,$BH$9),COUNTIF('1.연간시수표'!AN66,$BH$7),COUNTIF('1.연간시수표'!AN66,$BI$9),COUNTIF('1.연간시수표'!AN66,$BI$7),COUNTIF('1.연간시수표'!AN66,$BJ$9),COUNTIF('1.연간시수표'!AN66,$BJ$7),COUNTIF('1.연간시수표'!AN66,$BK$9),COUNTIF('1.연간시수표'!AN66,$BK$7),COUNTIF('1.연간시수표'!AN66,$BL$9),COUNTIF('1.연간시수표'!AN66,$BL$7),COUNTIF('1.연간시수표'!AN66,$BM$9),COUNTIF('1.연간시수표'!AN66,$BM$7)),$BF$6,IF(OR(COUNTIF('1.연간시수표'!AN66,$BO$9),COUNTIF('1.연간시수표'!AN66,$BO$7)),$BO$6,IF(OR(COUNTIF('1.연간시수표'!AN66,$BP$9),COUNTIF('1.연간시수표'!AN66,$BP$7)),$BP$6,IF(OR(COUNTIF('1.연간시수표'!AN66,$BQ$9),COUNTIF('1.연간시수표'!AN66,$BQ$7)),$BQ$6,IF(OR(COUNTIF('1.연간시수표'!AN66,$BR$9),COUNTIF('1.연간시수표'!AN66,$BR$7)),$BR$6,"_")))))))))))))))</f>
        <v>국어</v>
      </c>
      <c r="AO66" s="148" t="str">
        <f>IF(OR(COUNTIF('1.연간시수표'!AO66,$AT$9),COUNTIF('1.연간시수표'!AO66,$AT$7)),$AT$6,IF(OR(COUNTIF('1.연간시수표'!AO66,$AU$9),COUNTIF('1.연간시수표'!AO66,$AU$7)),$AU$6,IF(OR(COUNTIF('1.연간시수표'!AO66,$AV$9),COUNTIF('1.연간시수표'!AO66,$AV$7)),$AV$6,IF(OR(COUNTIF('1.연간시수표'!AO66,$AW$9),COUNTIF('1.연간시수표'!AO66,$AW$7)),$AW$6,IF(OR(COUNTIF('1.연간시수표'!AO66,$AX$9),COUNTIF('1.연간시수표'!AO66,$AX$7)),$AX$6,IF(OR(COUNTIF('1.연간시수표'!AO66,$AY$9),COUNTIF('1.연간시수표'!AO66,$AY$7)),$AY$6,IF(OR(COUNTIF('1.연간시수표'!AO66,$AZ$9),COUNTIF('1.연간시수표'!AO66,$AZ$7)),$AZ$6,IF(OR(COUNTIF('1.연간시수표'!AO66,$BA$9),COUNTIF('1.연간시수표'!AO66,$BA$7)),$BA$6,IF(OR(COUNTIF('1.연간시수표'!AO66,$BB$9),COUNTIF('1.연간시수표'!AO66,$BB$7)),$BB$6,IF(OR(COUNTIF('1.연간시수표'!AO66,$BC$9),COUNTIF('1.연간시수표'!AO66,$BC$7)),$BC$6,IF(OR(COUNTIF('1.연간시수표'!AO66,$BF$9),COUNTIF('1.연간시수표'!AO66,$BF$7),COUNTIF('1.연간시수표'!AO66,$BG$9),COUNTIF('1.연간시수표'!AO66,$BG$7),COUNTIF('1.연간시수표'!AO66,$BH$9),COUNTIF('1.연간시수표'!AO66,$BH$7),COUNTIF('1.연간시수표'!AO66,$BI$9),COUNTIF('1.연간시수표'!AO66,$BI$7),COUNTIF('1.연간시수표'!AO66,$BJ$9),COUNTIF('1.연간시수표'!AO66,$BJ$7),COUNTIF('1.연간시수표'!AO66,$BK$9),COUNTIF('1.연간시수표'!AO66,$BK$7),COUNTIF('1.연간시수표'!AO66,$BL$9),COUNTIF('1.연간시수표'!AO66,$BL$7),COUNTIF('1.연간시수표'!AO66,$BM$9),COUNTIF('1.연간시수표'!AO66,$BM$7)),$BF$6,IF(OR(COUNTIF('1.연간시수표'!AO66,$BO$9),COUNTIF('1.연간시수표'!AO66,$BO$7)),$BO$6,IF(OR(COUNTIF('1.연간시수표'!AO66,$BP$9),COUNTIF('1.연간시수표'!AO66,$BP$7)),$BP$6,IF(OR(COUNTIF('1.연간시수표'!AO66,$BQ$9),COUNTIF('1.연간시수표'!AO66,$BQ$7)),$BQ$6,IF(OR(COUNTIF('1.연간시수표'!AO66,$BR$9),COUNTIF('1.연간시수표'!AO66,$BR$7)),$BR$6,"_")))))))))))))))</f>
        <v>사회</v>
      </c>
      <c r="AP66" s="148" t="str">
        <f>IF(OR(COUNTIF('1.연간시수표'!AP66,$AT$9),COUNTIF('1.연간시수표'!AP66,$AT$7)),$AT$6,IF(OR(COUNTIF('1.연간시수표'!AP66,$AU$9),COUNTIF('1.연간시수표'!AP66,$AU$7)),$AU$6,IF(OR(COUNTIF('1.연간시수표'!AP66,$AV$9),COUNTIF('1.연간시수표'!AP66,$AV$7)),$AV$6,IF(OR(COUNTIF('1.연간시수표'!AP66,$AW$9),COUNTIF('1.연간시수표'!AP66,$AW$7)),$AW$6,IF(OR(COUNTIF('1.연간시수표'!AP66,$AX$9),COUNTIF('1.연간시수표'!AP66,$AX$7)),$AX$6,IF(OR(COUNTIF('1.연간시수표'!AP66,$AY$9),COUNTIF('1.연간시수표'!AP66,$AY$7)),$AY$6,IF(OR(COUNTIF('1.연간시수표'!AP66,$AZ$9),COUNTIF('1.연간시수표'!AP66,$AZ$7)),$AZ$6,IF(OR(COUNTIF('1.연간시수표'!AP66,$BA$9),COUNTIF('1.연간시수표'!AP66,$BA$7)),$BA$6,IF(OR(COUNTIF('1.연간시수표'!AP66,$BB$9),COUNTIF('1.연간시수표'!AP66,$BB$7)),$BB$6,IF(OR(COUNTIF('1.연간시수표'!AP66,$BC$9),COUNTIF('1.연간시수표'!AP66,$BC$7)),$BC$6,IF(OR(COUNTIF('1.연간시수표'!AP66,$BF$9),COUNTIF('1.연간시수표'!AP66,$BF$7),COUNTIF('1.연간시수표'!AP66,$BG$9),COUNTIF('1.연간시수표'!AP66,$BG$7),COUNTIF('1.연간시수표'!AP66,$BH$9),COUNTIF('1.연간시수표'!AP66,$BH$7),COUNTIF('1.연간시수표'!AP66,$BI$9),COUNTIF('1.연간시수표'!AP66,$BI$7),COUNTIF('1.연간시수표'!AP66,$BJ$9),COUNTIF('1.연간시수표'!AP66,$BJ$7),COUNTIF('1.연간시수표'!AP66,$BK$9),COUNTIF('1.연간시수표'!AP66,$BK$7),COUNTIF('1.연간시수표'!AP66,$BL$9),COUNTIF('1.연간시수표'!AP66,$BL$7),COUNTIF('1.연간시수표'!AP66,$BM$9),COUNTIF('1.연간시수표'!AP66,$BM$7)),$BF$6,IF(OR(COUNTIF('1.연간시수표'!AP66,$BO$9),COUNTIF('1.연간시수표'!AP66,$BO$7)),$BO$6,IF(OR(COUNTIF('1.연간시수표'!AP66,$BP$9),COUNTIF('1.연간시수표'!AP66,$BP$7)),$BP$6,IF(OR(COUNTIF('1.연간시수표'!AP66,$BQ$9),COUNTIF('1.연간시수표'!AP66,$BQ$7)),$BQ$6,IF(OR(COUNTIF('1.연간시수표'!AP66,$BR$9),COUNTIF('1.연간시수표'!AP66,$BR$7)),$BR$6,"_")))))))))))))))</f>
        <v>실과</v>
      </c>
      <c r="AQ66" s="148" t="str">
        <f>IF(OR(COUNTIF('1.연간시수표'!AQ66,$AT$9),COUNTIF('1.연간시수표'!AQ66,$AT$7)),$AT$6,IF(OR(COUNTIF('1.연간시수표'!AQ66,$AU$9),COUNTIF('1.연간시수표'!AQ66,$AU$7)),$AU$6,IF(OR(COUNTIF('1.연간시수표'!AQ66,$AV$9),COUNTIF('1.연간시수표'!AQ66,$AV$7)),$AV$6,IF(OR(COUNTIF('1.연간시수표'!AQ66,$AW$9),COUNTIF('1.연간시수표'!AQ66,$AW$7)),$AW$6,IF(OR(COUNTIF('1.연간시수표'!AQ66,$AX$9),COUNTIF('1.연간시수표'!AQ66,$AX$7)),$AX$6,IF(OR(COUNTIF('1.연간시수표'!AQ66,$AY$9),COUNTIF('1.연간시수표'!AQ66,$AY$7)),$AY$6,IF(OR(COUNTIF('1.연간시수표'!AQ66,$AZ$9),COUNTIF('1.연간시수표'!AQ66,$AZ$7)),$AZ$6,IF(OR(COUNTIF('1.연간시수표'!AQ66,$BA$9),COUNTIF('1.연간시수표'!AQ66,$BA$7)),$BA$6,IF(OR(COUNTIF('1.연간시수표'!AQ66,$BB$9),COUNTIF('1.연간시수표'!AQ66,$BB$7)),$BB$6,IF(OR(COUNTIF('1.연간시수표'!AQ66,$BC$9),COUNTIF('1.연간시수표'!AQ66,$BC$7)),$BC$6,IF(OR(COUNTIF('1.연간시수표'!AQ66,$BF$9),COUNTIF('1.연간시수표'!AQ66,$BF$7),COUNTIF('1.연간시수표'!AQ66,$BG$9),COUNTIF('1.연간시수표'!AQ66,$BG$7),COUNTIF('1.연간시수표'!AQ66,$BH$9),COUNTIF('1.연간시수표'!AQ66,$BH$7),COUNTIF('1.연간시수표'!AQ66,$BI$9),COUNTIF('1.연간시수표'!AQ66,$BI$7),COUNTIF('1.연간시수표'!AQ66,$BJ$9),COUNTIF('1.연간시수표'!AQ66,$BJ$7),COUNTIF('1.연간시수표'!AQ66,$BK$9),COUNTIF('1.연간시수표'!AQ66,$BK$7),COUNTIF('1.연간시수표'!AQ66,$BL$9),COUNTIF('1.연간시수표'!AQ66,$BL$7),COUNTIF('1.연간시수표'!AQ66,$BM$9),COUNTIF('1.연간시수표'!AQ66,$BM$7)),$BF$6,IF(OR(COUNTIF('1.연간시수표'!AQ66,$BO$9),COUNTIF('1.연간시수표'!AQ66,$BO$7)),$BO$6,IF(OR(COUNTIF('1.연간시수표'!AQ66,$BP$9),COUNTIF('1.연간시수표'!AQ66,$BP$7)),$BP$6,IF(OR(COUNTIF('1.연간시수표'!AQ66,$BQ$9),COUNTIF('1.연간시수표'!AQ66,$BQ$7)),$BQ$6,IF(OR(COUNTIF('1.연간시수표'!AQ66,$BR$9),COUNTIF('1.연간시수표'!AQ66,$BR$7)),$BR$6,"_")))))))))))))))</f>
        <v>_</v>
      </c>
      <c r="AR66" s="148" t="str">
        <f>IF(OR(COUNTIF('1.연간시수표'!AR66,$AT$9),COUNTIF('1.연간시수표'!AR66,$AT$7)),$AT$6,IF(OR(COUNTIF('1.연간시수표'!AR66,$AU$9),COUNTIF('1.연간시수표'!AR66,$AU$7)),$AU$6,IF(OR(COUNTIF('1.연간시수표'!AR66,$AV$9),COUNTIF('1.연간시수표'!AR66,$AV$7)),$AV$6,IF(OR(COUNTIF('1.연간시수표'!AR66,$AW$9),COUNTIF('1.연간시수표'!AR66,$AW$7)),$AW$6,IF(OR(COUNTIF('1.연간시수표'!AR66,$AX$9),COUNTIF('1.연간시수표'!AR66,$AX$7)),$AX$6,IF(OR(COUNTIF('1.연간시수표'!AR66,$AY$9),COUNTIF('1.연간시수표'!AR66,$AY$7)),$AY$6,IF(OR(COUNTIF('1.연간시수표'!AR66,$AZ$9),COUNTIF('1.연간시수표'!AR66,$AZ$7)),$AZ$6,IF(OR(COUNTIF('1.연간시수표'!AR66,$BA$9),COUNTIF('1.연간시수표'!AR66,$BA$7)),$BA$6,IF(OR(COUNTIF('1.연간시수표'!AR66,$BB$9),COUNTIF('1.연간시수표'!AR66,$BB$7)),$BB$6,IF(OR(COUNTIF('1.연간시수표'!AR66,$BC$9),COUNTIF('1.연간시수표'!AR66,$BC$7)),$BC$6,IF(OR(COUNTIF('1.연간시수표'!AR66,$BF$9),COUNTIF('1.연간시수표'!AR66,$BF$7),COUNTIF('1.연간시수표'!AR66,$BG$9),COUNTIF('1.연간시수표'!AR66,$BG$7),COUNTIF('1.연간시수표'!AR66,$BH$9),COUNTIF('1.연간시수표'!AR66,$BH$7),COUNTIF('1.연간시수표'!AR66,$BI$9),COUNTIF('1.연간시수표'!AR66,$BI$7),COUNTIF('1.연간시수표'!AR66,$BJ$9),COUNTIF('1.연간시수표'!AR66,$BJ$7),COUNTIF('1.연간시수표'!AR66,$BK$9),COUNTIF('1.연간시수표'!AR66,$BK$7),COUNTIF('1.연간시수표'!AR66,$BL$9),COUNTIF('1.연간시수표'!AR66,$BL$7),COUNTIF('1.연간시수표'!AR66,$BM$9),COUNTIF('1.연간시수표'!AR66,$BM$7)),$BF$6,IF(OR(COUNTIF('1.연간시수표'!AR66,$BO$9),COUNTIF('1.연간시수표'!AR66,$BO$7)),$BO$6,IF(OR(COUNTIF('1.연간시수표'!AR66,$BP$9),COUNTIF('1.연간시수표'!AR66,$BP$7)),$BP$6,IF(OR(COUNTIF('1.연간시수표'!AR66,$BQ$9),COUNTIF('1.연간시수표'!AR66,$BQ$7)),$BQ$6,IF(OR(COUNTIF('1.연간시수표'!AR66,$BR$9),COUNTIF('1.연간시수표'!AR66,$BR$7)),$BR$6,"_")))))))))))))))</f>
        <v>_</v>
      </c>
    </row>
    <row r="67" spans="2:44">
      <c r="B67" s="6"/>
      <c r="C67" s="79">
        <f>'1.연간시수표'!C67</f>
        <v>36</v>
      </c>
      <c r="D67" s="3"/>
      <c r="E67" s="148" t="str">
        <f>IF(OR(COUNTIF('1.연간시수표'!E67,$AT$9),COUNTIF('1.연간시수표'!E67,$AT$7)),$AT$6,IF(OR(COUNTIF('1.연간시수표'!E67,$AU$9),COUNTIF('1.연간시수표'!E67,$AU$7)),$AU$6,IF(OR(COUNTIF('1.연간시수표'!E67,$AV$9),COUNTIF('1.연간시수표'!E67,$AV$7)),$AV$6,IF(OR(COUNTIF('1.연간시수표'!E67,$AW$9),COUNTIF('1.연간시수표'!E67,$AW$7)),$AW$6,IF(OR(COUNTIF('1.연간시수표'!E67,$AX$9),COUNTIF('1.연간시수표'!E67,$AX$7)),$AX$6,IF(OR(COUNTIF('1.연간시수표'!E67,$AY$9),COUNTIF('1.연간시수표'!E67,$AY$7)),$AY$6,IF(OR(COUNTIF('1.연간시수표'!E67,$AZ$9),COUNTIF('1.연간시수표'!E67,$AZ$7)),$AZ$6,IF(OR(COUNTIF('1.연간시수표'!E67,$BA$9),COUNTIF('1.연간시수표'!E67,$BA$7)),$BA$6,IF(OR(COUNTIF('1.연간시수표'!E67,$BB$9),COUNTIF('1.연간시수표'!E67,$BB$7)),$BB$6,IF(OR(COUNTIF('1.연간시수표'!E67,$BC$9),COUNTIF('1.연간시수표'!E67,$BC$7)),$BC$6,IF(OR(COUNTIF('1.연간시수표'!E67,$BF$9),COUNTIF('1.연간시수표'!E67,$BF$7),COUNTIF('1.연간시수표'!E67,$BG$9),COUNTIF('1.연간시수표'!E67,$BG$7),COUNTIF('1.연간시수표'!E67,$BH$9),COUNTIF('1.연간시수표'!E67,$BH$7),COUNTIF('1.연간시수표'!E67,$BI$9),COUNTIF('1.연간시수표'!E67,$BI$7),COUNTIF('1.연간시수표'!E67,$BJ$9),COUNTIF('1.연간시수표'!E67,$BJ$7),COUNTIF('1.연간시수표'!E67,$BK$9),COUNTIF('1.연간시수표'!E67,$BK$7),COUNTIF('1.연간시수표'!E67,$BL$9),COUNTIF('1.연간시수표'!E67,$BL$7),COUNTIF('1.연간시수표'!E67,$BM$9),COUNTIF('1.연간시수표'!E67,$BM$7)),$BF$6,IF(OR(COUNTIF('1.연간시수표'!E67,$BO$9),COUNTIF('1.연간시수표'!E67,$BO$7)),$BO$6,IF(OR(COUNTIF('1.연간시수표'!E67,$BP$9),COUNTIF('1.연간시수표'!E67,$BP$7)),$BP$6,IF(OR(COUNTIF('1.연간시수표'!E67,$BQ$9),COUNTIF('1.연간시수표'!E67,$BQ$7)),$BQ$6,IF(OR(COUNTIF('1.연간시수표'!E67,$BR$9),COUNTIF('1.연간시수표'!E67,$BR$7)),$BR$6,"_")))))))))))))))</f>
        <v>국어</v>
      </c>
      <c r="F67" s="148" t="str">
        <f>IF(OR(COUNTIF('1.연간시수표'!F67,$AT$9),COUNTIF('1.연간시수표'!F67,$AT$7)),$AT$6,IF(OR(COUNTIF('1.연간시수표'!F67,$AU$9),COUNTIF('1.연간시수표'!F67,$AU$7)),$AU$6,IF(OR(COUNTIF('1.연간시수표'!F67,$AV$9),COUNTIF('1.연간시수표'!F67,$AV$7)),$AV$6,IF(OR(COUNTIF('1.연간시수표'!F67,$AW$9),COUNTIF('1.연간시수표'!F67,$AW$7)),$AW$6,IF(OR(COUNTIF('1.연간시수표'!F67,$AX$9),COUNTIF('1.연간시수표'!F67,$AX$7)),$AX$6,IF(OR(COUNTIF('1.연간시수표'!F67,$AY$9),COUNTIF('1.연간시수표'!F67,$AY$7)),$AY$6,IF(OR(COUNTIF('1.연간시수표'!F67,$AZ$9),COUNTIF('1.연간시수표'!F67,$AZ$7)),$AZ$6,IF(OR(COUNTIF('1.연간시수표'!F67,$BA$9),COUNTIF('1.연간시수표'!F67,$BA$7)),$BA$6,IF(OR(COUNTIF('1.연간시수표'!F67,$BB$9),COUNTIF('1.연간시수표'!F67,$BB$7)),$BB$6,IF(OR(COUNTIF('1.연간시수표'!F67,$BC$9),COUNTIF('1.연간시수표'!F67,$BC$7)),$BC$6,IF(OR(COUNTIF('1.연간시수표'!F67,$BF$9),COUNTIF('1.연간시수표'!F67,$BF$7),COUNTIF('1.연간시수표'!F67,$BG$9),COUNTIF('1.연간시수표'!F67,$BG$7),COUNTIF('1.연간시수표'!F67,$BH$9),COUNTIF('1.연간시수표'!F67,$BH$7),COUNTIF('1.연간시수표'!F67,$BI$9),COUNTIF('1.연간시수표'!F67,$BI$7),COUNTIF('1.연간시수표'!F67,$BJ$9),COUNTIF('1.연간시수표'!F67,$BJ$7),COUNTIF('1.연간시수표'!F67,$BK$9),COUNTIF('1.연간시수표'!F67,$BK$7),COUNTIF('1.연간시수표'!F67,$BL$9),COUNTIF('1.연간시수표'!F67,$BL$7),COUNTIF('1.연간시수표'!F67,$BM$9),COUNTIF('1.연간시수표'!F67,$BM$7)),$BF$6,IF(OR(COUNTIF('1.연간시수표'!F67,$BO$9),COUNTIF('1.연간시수표'!F67,$BO$7)),$BO$6,IF(OR(COUNTIF('1.연간시수표'!F67,$BP$9),COUNTIF('1.연간시수표'!F67,$BP$7)),$BP$6,IF(OR(COUNTIF('1.연간시수표'!F67,$BQ$9),COUNTIF('1.연간시수표'!F67,$BQ$7)),$BQ$6,IF(OR(COUNTIF('1.연간시수표'!F67,$BR$9),COUNTIF('1.연간시수표'!F67,$BR$7)),$BR$6,"_")))))))))))))))</f>
        <v>미술</v>
      </c>
      <c r="G67" s="148" t="str">
        <f>IF(OR(COUNTIF('1.연간시수표'!G67,$AT$9),COUNTIF('1.연간시수표'!G67,$AT$7)),$AT$6,IF(OR(COUNTIF('1.연간시수표'!G67,$AU$9),COUNTIF('1.연간시수표'!G67,$AU$7)),$AU$6,IF(OR(COUNTIF('1.연간시수표'!G67,$AV$9),COUNTIF('1.연간시수표'!G67,$AV$7)),$AV$6,IF(OR(COUNTIF('1.연간시수표'!G67,$AW$9),COUNTIF('1.연간시수표'!G67,$AW$7)),$AW$6,IF(OR(COUNTIF('1.연간시수표'!G67,$AX$9),COUNTIF('1.연간시수표'!G67,$AX$7)),$AX$6,IF(OR(COUNTIF('1.연간시수표'!G67,$AY$9),COUNTIF('1.연간시수표'!G67,$AY$7)),$AY$6,IF(OR(COUNTIF('1.연간시수표'!G67,$AZ$9),COUNTIF('1.연간시수표'!G67,$AZ$7)),$AZ$6,IF(OR(COUNTIF('1.연간시수표'!G67,$BA$9),COUNTIF('1.연간시수표'!G67,$BA$7)),$BA$6,IF(OR(COUNTIF('1.연간시수표'!G67,$BB$9),COUNTIF('1.연간시수표'!G67,$BB$7)),$BB$6,IF(OR(COUNTIF('1.연간시수표'!G67,$BC$9),COUNTIF('1.연간시수표'!G67,$BC$7)),$BC$6,IF(OR(COUNTIF('1.연간시수표'!G67,$BF$9),COUNTIF('1.연간시수표'!G67,$BF$7),COUNTIF('1.연간시수표'!G67,$BG$9),COUNTIF('1.연간시수표'!G67,$BG$7),COUNTIF('1.연간시수표'!G67,$BH$9),COUNTIF('1.연간시수표'!G67,$BH$7),COUNTIF('1.연간시수표'!G67,$BI$9),COUNTIF('1.연간시수표'!G67,$BI$7),COUNTIF('1.연간시수표'!G67,$BJ$9),COUNTIF('1.연간시수표'!G67,$BJ$7),COUNTIF('1.연간시수표'!G67,$BK$9),COUNTIF('1.연간시수표'!G67,$BK$7),COUNTIF('1.연간시수표'!G67,$BL$9),COUNTIF('1.연간시수표'!G67,$BL$7),COUNTIF('1.연간시수표'!G67,$BM$9),COUNTIF('1.연간시수표'!G67,$BM$7)),$BF$6,IF(OR(COUNTIF('1.연간시수표'!G67,$BO$9),COUNTIF('1.연간시수표'!G67,$BO$7)),$BO$6,IF(OR(COUNTIF('1.연간시수표'!G67,$BP$9),COUNTIF('1.연간시수표'!G67,$BP$7)),$BP$6,IF(OR(COUNTIF('1.연간시수표'!G67,$BQ$9),COUNTIF('1.연간시수표'!G67,$BQ$7)),$BQ$6,IF(OR(COUNTIF('1.연간시수표'!G67,$BR$9),COUNTIF('1.연간시수표'!G67,$BR$7)),$BR$6,"_")))))))))))))))</f>
        <v>미술</v>
      </c>
      <c r="H67" s="148" t="str">
        <f>IF(OR(COUNTIF('1.연간시수표'!H67,$AT$9),COUNTIF('1.연간시수표'!H67,$AT$7)),$AT$6,IF(OR(COUNTIF('1.연간시수표'!H67,$AU$9),COUNTIF('1.연간시수표'!H67,$AU$7)),$AU$6,IF(OR(COUNTIF('1.연간시수표'!H67,$AV$9),COUNTIF('1.연간시수표'!H67,$AV$7)),$AV$6,IF(OR(COUNTIF('1.연간시수표'!H67,$AW$9),COUNTIF('1.연간시수표'!H67,$AW$7)),$AW$6,IF(OR(COUNTIF('1.연간시수표'!H67,$AX$9),COUNTIF('1.연간시수표'!H67,$AX$7)),$AX$6,IF(OR(COUNTIF('1.연간시수표'!H67,$AY$9),COUNTIF('1.연간시수표'!H67,$AY$7)),$AY$6,IF(OR(COUNTIF('1.연간시수표'!H67,$AZ$9),COUNTIF('1.연간시수표'!H67,$AZ$7)),$AZ$6,IF(OR(COUNTIF('1.연간시수표'!H67,$BA$9),COUNTIF('1.연간시수표'!H67,$BA$7)),$BA$6,IF(OR(COUNTIF('1.연간시수표'!H67,$BB$9),COUNTIF('1.연간시수표'!H67,$BB$7)),$BB$6,IF(OR(COUNTIF('1.연간시수표'!H67,$BC$9),COUNTIF('1.연간시수표'!H67,$BC$7)),$BC$6,IF(OR(COUNTIF('1.연간시수표'!H67,$BF$9),COUNTIF('1.연간시수표'!H67,$BF$7),COUNTIF('1.연간시수표'!H67,$BG$9),COUNTIF('1.연간시수표'!H67,$BG$7),COUNTIF('1.연간시수표'!H67,$BH$9),COUNTIF('1.연간시수표'!H67,$BH$7),COUNTIF('1.연간시수표'!H67,$BI$9),COUNTIF('1.연간시수표'!H67,$BI$7),COUNTIF('1.연간시수표'!H67,$BJ$9),COUNTIF('1.연간시수표'!H67,$BJ$7),COUNTIF('1.연간시수표'!H67,$BK$9),COUNTIF('1.연간시수표'!H67,$BK$7),COUNTIF('1.연간시수표'!H67,$BL$9),COUNTIF('1.연간시수표'!H67,$BL$7),COUNTIF('1.연간시수표'!H67,$BM$9),COUNTIF('1.연간시수표'!H67,$BM$7)),$BF$6,IF(OR(COUNTIF('1.연간시수표'!H67,$BO$9),COUNTIF('1.연간시수표'!H67,$BO$7)),$BO$6,IF(OR(COUNTIF('1.연간시수표'!H67,$BP$9),COUNTIF('1.연간시수표'!H67,$BP$7)),$BP$6,IF(OR(COUNTIF('1.연간시수표'!H67,$BQ$9),COUNTIF('1.연간시수표'!H67,$BQ$7)),$BQ$6,IF(OR(COUNTIF('1.연간시수표'!H67,$BR$9),COUNTIF('1.연간시수표'!H67,$BR$7)),$BR$6,"_")))))))))))))))</f>
        <v>영어</v>
      </c>
      <c r="I67" s="148" t="str">
        <f>IF(OR(COUNTIF('1.연간시수표'!I67,$AT$9),COUNTIF('1.연간시수표'!I67,$AT$7)),$AT$6,IF(OR(COUNTIF('1.연간시수표'!I67,$AU$9),COUNTIF('1.연간시수표'!I67,$AU$7)),$AU$6,IF(OR(COUNTIF('1.연간시수표'!I67,$AV$9),COUNTIF('1.연간시수표'!I67,$AV$7)),$AV$6,IF(OR(COUNTIF('1.연간시수표'!I67,$AW$9),COUNTIF('1.연간시수표'!I67,$AW$7)),$AW$6,IF(OR(COUNTIF('1.연간시수표'!I67,$AX$9),COUNTIF('1.연간시수표'!I67,$AX$7)),$AX$6,IF(OR(COUNTIF('1.연간시수표'!I67,$AY$9),COUNTIF('1.연간시수표'!I67,$AY$7)),$AY$6,IF(OR(COUNTIF('1.연간시수표'!I67,$AZ$9),COUNTIF('1.연간시수표'!I67,$AZ$7)),$AZ$6,IF(OR(COUNTIF('1.연간시수표'!I67,$BA$9),COUNTIF('1.연간시수표'!I67,$BA$7)),$BA$6,IF(OR(COUNTIF('1.연간시수표'!I67,$BB$9),COUNTIF('1.연간시수표'!I67,$BB$7)),$BB$6,IF(OR(COUNTIF('1.연간시수표'!I67,$BC$9),COUNTIF('1.연간시수표'!I67,$BC$7)),$BC$6,IF(OR(COUNTIF('1.연간시수표'!I67,$BF$9),COUNTIF('1.연간시수표'!I67,$BF$7),COUNTIF('1.연간시수표'!I67,$BG$9),COUNTIF('1.연간시수표'!I67,$BG$7),COUNTIF('1.연간시수표'!I67,$BH$9),COUNTIF('1.연간시수표'!I67,$BH$7),COUNTIF('1.연간시수표'!I67,$BI$9),COUNTIF('1.연간시수표'!I67,$BI$7),COUNTIF('1.연간시수표'!I67,$BJ$9),COUNTIF('1.연간시수표'!I67,$BJ$7),COUNTIF('1.연간시수표'!I67,$BK$9),COUNTIF('1.연간시수표'!I67,$BK$7),COUNTIF('1.연간시수표'!I67,$BL$9),COUNTIF('1.연간시수표'!I67,$BL$7),COUNTIF('1.연간시수표'!I67,$BM$9),COUNTIF('1.연간시수표'!I67,$BM$7)),$BF$6,IF(OR(COUNTIF('1.연간시수표'!I67,$BO$9),COUNTIF('1.연간시수표'!I67,$BO$7)),$BO$6,IF(OR(COUNTIF('1.연간시수표'!I67,$BP$9),COUNTIF('1.연간시수표'!I67,$BP$7)),$BP$6,IF(OR(COUNTIF('1.연간시수표'!I67,$BQ$9),COUNTIF('1.연간시수표'!I67,$BQ$7)),$BQ$6,IF(OR(COUNTIF('1.연간시수표'!I67,$BR$9),COUNTIF('1.연간시수표'!I67,$BR$7)),$BR$6,"_")))))))))))))))</f>
        <v>수학</v>
      </c>
      <c r="J67" s="148" t="str">
        <f>IF(OR(COUNTIF('1.연간시수표'!J67,$AT$9),COUNTIF('1.연간시수표'!J67,$AT$7)),$AT$6,IF(OR(COUNTIF('1.연간시수표'!J67,$AU$9),COUNTIF('1.연간시수표'!J67,$AU$7)),$AU$6,IF(OR(COUNTIF('1.연간시수표'!J67,$AV$9),COUNTIF('1.연간시수표'!J67,$AV$7)),$AV$6,IF(OR(COUNTIF('1.연간시수표'!J67,$AW$9),COUNTIF('1.연간시수표'!J67,$AW$7)),$AW$6,IF(OR(COUNTIF('1.연간시수표'!J67,$AX$9),COUNTIF('1.연간시수표'!J67,$AX$7)),$AX$6,IF(OR(COUNTIF('1.연간시수표'!J67,$AY$9),COUNTIF('1.연간시수표'!J67,$AY$7)),$AY$6,IF(OR(COUNTIF('1.연간시수표'!J67,$AZ$9),COUNTIF('1.연간시수표'!J67,$AZ$7)),$AZ$6,IF(OR(COUNTIF('1.연간시수표'!J67,$BA$9),COUNTIF('1.연간시수표'!J67,$BA$7)),$BA$6,IF(OR(COUNTIF('1.연간시수표'!J67,$BB$9),COUNTIF('1.연간시수표'!J67,$BB$7)),$BB$6,IF(OR(COUNTIF('1.연간시수표'!J67,$BC$9),COUNTIF('1.연간시수표'!J67,$BC$7)),$BC$6,IF(OR(COUNTIF('1.연간시수표'!J67,$BF$9),COUNTIF('1.연간시수표'!J67,$BF$7),COUNTIF('1.연간시수표'!J67,$BG$9),COUNTIF('1.연간시수표'!J67,$BG$7),COUNTIF('1.연간시수표'!J67,$BH$9),COUNTIF('1.연간시수표'!J67,$BH$7),COUNTIF('1.연간시수표'!J67,$BI$9),COUNTIF('1.연간시수표'!J67,$BI$7),COUNTIF('1.연간시수표'!J67,$BJ$9),COUNTIF('1.연간시수표'!J67,$BJ$7),COUNTIF('1.연간시수표'!J67,$BK$9),COUNTIF('1.연간시수표'!J67,$BK$7),COUNTIF('1.연간시수표'!J67,$BL$9),COUNTIF('1.연간시수표'!J67,$BL$7),COUNTIF('1.연간시수표'!J67,$BM$9),COUNTIF('1.연간시수표'!J67,$BM$7)),$BF$6,IF(OR(COUNTIF('1.연간시수표'!J67,$BO$9),COUNTIF('1.연간시수표'!J67,$BO$7)),$BO$6,IF(OR(COUNTIF('1.연간시수표'!J67,$BP$9),COUNTIF('1.연간시수표'!J67,$BP$7)),$BP$6,IF(OR(COUNTIF('1.연간시수표'!J67,$BQ$9),COUNTIF('1.연간시수표'!J67,$BQ$7)),$BQ$6,IF(OR(COUNTIF('1.연간시수표'!J67,$BR$9),COUNTIF('1.연간시수표'!J67,$BR$7)),$BR$6,"_")))))))))))))))</f>
        <v>자율활동</v>
      </c>
      <c r="K67" s="148" t="str">
        <f>IF(OR(COUNTIF('1.연간시수표'!K67,$AT$9),COUNTIF('1.연간시수표'!K67,$AT$7)),$AT$6,IF(OR(COUNTIF('1.연간시수표'!K67,$AU$9),COUNTIF('1.연간시수표'!K67,$AU$7)),$AU$6,IF(OR(COUNTIF('1.연간시수표'!K67,$AV$9),COUNTIF('1.연간시수표'!K67,$AV$7)),$AV$6,IF(OR(COUNTIF('1.연간시수표'!K67,$AW$9),COUNTIF('1.연간시수표'!K67,$AW$7)),$AW$6,IF(OR(COUNTIF('1.연간시수표'!K67,$AX$9),COUNTIF('1.연간시수표'!K67,$AX$7)),$AX$6,IF(OR(COUNTIF('1.연간시수표'!K67,$AY$9),COUNTIF('1.연간시수표'!K67,$AY$7)),$AY$6,IF(OR(COUNTIF('1.연간시수표'!K67,$AZ$9),COUNTIF('1.연간시수표'!K67,$AZ$7)),$AZ$6,IF(OR(COUNTIF('1.연간시수표'!K67,$BA$9),COUNTIF('1.연간시수표'!K67,$BA$7)),$BA$6,IF(OR(COUNTIF('1.연간시수표'!K67,$BB$9),COUNTIF('1.연간시수표'!K67,$BB$7)),$BB$6,IF(OR(COUNTIF('1.연간시수표'!K67,$BC$9),COUNTIF('1.연간시수표'!K67,$BC$7)),$BC$6,IF(OR(COUNTIF('1.연간시수표'!K67,$BF$9),COUNTIF('1.연간시수표'!K67,$BF$7),COUNTIF('1.연간시수표'!K67,$BG$9),COUNTIF('1.연간시수표'!K67,$BG$7),COUNTIF('1.연간시수표'!K67,$BH$9),COUNTIF('1.연간시수표'!K67,$BH$7),COUNTIF('1.연간시수표'!K67,$BI$9),COUNTIF('1.연간시수표'!K67,$BI$7),COUNTIF('1.연간시수표'!K67,$BJ$9),COUNTIF('1.연간시수표'!K67,$BJ$7),COUNTIF('1.연간시수표'!K67,$BK$9),COUNTIF('1.연간시수표'!K67,$BK$7),COUNTIF('1.연간시수표'!K67,$BL$9),COUNTIF('1.연간시수표'!K67,$BL$7),COUNTIF('1.연간시수표'!K67,$BM$9),COUNTIF('1.연간시수표'!K67,$BM$7)),$BF$6,IF(OR(COUNTIF('1.연간시수표'!K67,$BO$9),COUNTIF('1.연간시수표'!K67,$BO$7)),$BO$6,IF(OR(COUNTIF('1.연간시수표'!K67,$BP$9),COUNTIF('1.연간시수표'!K67,$BP$7)),$BP$6,IF(OR(COUNTIF('1.연간시수표'!K67,$BQ$9),COUNTIF('1.연간시수표'!K67,$BQ$7)),$BQ$6,IF(OR(COUNTIF('1.연간시수표'!K67,$BR$9),COUNTIF('1.연간시수표'!K67,$BR$7)),$BR$6,"_")))))))))))))))</f>
        <v>_</v>
      </c>
      <c r="L67" s="148" t="str">
        <f>IF(OR(COUNTIF('1.연간시수표'!L67,$AT$9),COUNTIF('1.연간시수표'!L67,$AT$7)),$AT$6,IF(OR(COUNTIF('1.연간시수표'!L67,$AU$9),COUNTIF('1.연간시수표'!L67,$AU$7)),$AU$6,IF(OR(COUNTIF('1.연간시수표'!L67,$AV$9),COUNTIF('1.연간시수표'!L67,$AV$7)),$AV$6,IF(OR(COUNTIF('1.연간시수표'!L67,$AW$9),COUNTIF('1.연간시수표'!L67,$AW$7)),$AW$6,IF(OR(COUNTIF('1.연간시수표'!L67,$AX$9),COUNTIF('1.연간시수표'!L67,$AX$7)),$AX$6,IF(OR(COUNTIF('1.연간시수표'!L67,$AY$9),COUNTIF('1.연간시수표'!L67,$AY$7)),$AY$6,IF(OR(COUNTIF('1.연간시수표'!L67,$AZ$9),COUNTIF('1.연간시수표'!L67,$AZ$7)),$AZ$6,IF(OR(COUNTIF('1.연간시수표'!L67,$BA$9),COUNTIF('1.연간시수표'!L67,$BA$7)),$BA$6,IF(OR(COUNTIF('1.연간시수표'!L67,$BB$9),COUNTIF('1.연간시수표'!L67,$BB$7)),$BB$6,IF(OR(COUNTIF('1.연간시수표'!L67,$BC$9),COUNTIF('1.연간시수표'!L67,$BC$7)),$BC$6,IF(OR(COUNTIF('1.연간시수표'!L67,$BF$9),COUNTIF('1.연간시수표'!L67,$BF$7),COUNTIF('1.연간시수표'!L67,$BG$9),COUNTIF('1.연간시수표'!L67,$BG$7),COUNTIF('1.연간시수표'!L67,$BH$9),COUNTIF('1.연간시수표'!L67,$BH$7),COUNTIF('1.연간시수표'!L67,$BI$9),COUNTIF('1.연간시수표'!L67,$BI$7),COUNTIF('1.연간시수표'!L67,$BJ$9),COUNTIF('1.연간시수표'!L67,$BJ$7),COUNTIF('1.연간시수표'!L67,$BK$9),COUNTIF('1.연간시수표'!L67,$BK$7),COUNTIF('1.연간시수표'!L67,$BL$9),COUNTIF('1.연간시수표'!L67,$BL$7),COUNTIF('1.연간시수표'!L67,$BM$9),COUNTIF('1.연간시수표'!L67,$BM$7)),$BF$6,IF(OR(COUNTIF('1.연간시수표'!L67,$BO$9),COUNTIF('1.연간시수표'!L67,$BO$7)),$BO$6,IF(OR(COUNTIF('1.연간시수표'!L67,$BP$9),COUNTIF('1.연간시수표'!L67,$BP$7)),$BP$6,IF(OR(COUNTIF('1.연간시수표'!L67,$BQ$9),COUNTIF('1.연간시수표'!L67,$BQ$7)),$BQ$6,IF(OR(COUNTIF('1.연간시수표'!L67,$BR$9),COUNTIF('1.연간시수표'!L67,$BR$7)),$BR$6,"_")))))))))))))))</f>
        <v>_</v>
      </c>
      <c r="M67" s="148" t="str">
        <f>IF(OR(COUNTIF('1.연간시수표'!M67,$AT$9),COUNTIF('1.연간시수표'!M67,$AT$7)),$AT$6,IF(OR(COUNTIF('1.연간시수표'!M67,$AU$9),COUNTIF('1.연간시수표'!M67,$AU$7)),$AU$6,IF(OR(COUNTIF('1.연간시수표'!M67,$AV$9),COUNTIF('1.연간시수표'!M67,$AV$7)),$AV$6,IF(OR(COUNTIF('1.연간시수표'!M67,$AW$9),COUNTIF('1.연간시수표'!M67,$AW$7)),$AW$6,IF(OR(COUNTIF('1.연간시수표'!M67,$AX$9),COUNTIF('1.연간시수표'!M67,$AX$7)),$AX$6,IF(OR(COUNTIF('1.연간시수표'!M67,$AY$9),COUNTIF('1.연간시수표'!M67,$AY$7)),$AY$6,IF(OR(COUNTIF('1.연간시수표'!M67,$AZ$9),COUNTIF('1.연간시수표'!M67,$AZ$7)),$AZ$6,IF(OR(COUNTIF('1.연간시수표'!M67,$BA$9),COUNTIF('1.연간시수표'!M67,$BA$7)),$BA$6,IF(OR(COUNTIF('1.연간시수표'!M67,$BB$9),COUNTIF('1.연간시수표'!M67,$BB$7)),$BB$6,IF(OR(COUNTIF('1.연간시수표'!M67,$BC$9),COUNTIF('1.연간시수표'!M67,$BC$7)),$BC$6,IF(OR(COUNTIF('1.연간시수표'!M67,$BF$9),COUNTIF('1.연간시수표'!M67,$BF$7),COUNTIF('1.연간시수표'!M67,$BG$9),COUNTIF('1.연간시수표'!M67,$BG$7),COUNTIF('1.연간시수표'!M67,$BH$9),COUNTIF('1.연간시수표'!M67,$BH$7),COUNTIF('1.연간시수표'!M67,$BI$9),COUNTIF('1.연간시수표'!M67,$BI$7),COUNTIF('1.연간시수표'!M67,$BJ$9),COUNTIF('1.연간시수표'!M67,$BJ$7),COUNTIF('1.연간시수표'!M67,$BK$9),COUNTIF('1.연간시수표'!M67,$BK$7),COUNTIF('1.연간시수표'!M67,$BL$9),COUNTIF('1.연간시수표'!M67,$BL$7),COUNTIF('1.연간시수표'!M67,$BM$9),COUNTIF('1.연간시수표'!M67,$BM$7)),$BF$6,IF(OR(COUNTIF('1.연간시수표'!M67,$BO$9),COUNTIF('1.연간시수표'!M67,$BO$7)),$BO$6,IF(OR(COUNTIF('1.연간시수표'!M67,$BP$9),COUNTIF('1.연간시수표'!M67,$BP$7)),$BP$6,IF(OR(COUNTIF('1.연간시수표'!M67,$BQ$9),COUNTIF('1.연간시수표'!M67,$BQ$7)),$BQ$6,IF(OR(COUNTIF('1.연간시수표'!M67,$BR$9),COUNTIF('1.연간시수표'!M67,$BR$7)),$BR$6,"_")))))))))))))))</f>
        <v>국어</v>
      </c>
      <c r="N67" s="148" t="str">
        <f>IF(OR(COUNTIF('1.연간시수표'!N67,$AT$9),COUNTIF('1.연간시수표'!N67,$AT$7)),$AT$6,IF(OR(COUNTIF('1.연간시수표'!N67,$AU$9),COUNTIF('1.연간시수표'!N67,$AU$7)),$AU$6,IF(OR(COUNTIF('1.연간시수표'!N67,$AV$9),COUNTIF('1.연간시수표'!N67,$AV$7)),$AV$6,IF(OR(COUNTIF('1.연간시수표'!N67,$AW$9),COUNTIF('1.연간시수표'!N67,$AW$7)),$AW$6,IF(OR(COUNTIF('1.연간시수표'!N67,$AX$9),COUNTIF('1.연간시수표'!N67,$AX$7)),$AX$6,IF(OR(COUNTIF('1.연간시수표'!N67,$AY$9),COUNTIF('1.연간시수표'!N67,$AY$7)),$AY$6,IF(OR(COUNTIF('1.연간시수표'!N67,$AZ$9),COUNTIF('1.연간시수표'!N67,$AZ$7)),$AZ$6,IF(OR(COUNTIF('1.연간시수표'!N67,$BA$9),COUNTIF('1.연간시수표'!N67,$BA$7)),$BA$6,IF(OR(COUNTIF('1.연간시수표'!N67,$BB$9),COUNTIF('1.연간시수표'!N67,$BB$7)),$BB$6,IF(OR(COUNTIF('1.연간시수표'!N67,$BC$9),COUNTIF('1.연간시수표'!N67,$BC$7)),$BC$6,IF(OR(COUNTIF('1.연간시수표'!N67,$BF$9),COUNTIF('1.연간시수표'!N67,$BF$7),COUNTIF('1.연간시수표'!N67,$BG$9),COUNTIF('1.연간시수표'!N67,$BG$7),COUNTIF('1.연간시수표'!N67,$BH$9),COUNTIF('1.연간시수표'!N67,$BH$7),COUNTIF('1.연간시수표'!N67,$BI$9),COUNTIF('1.연간시수표'!N67,$BI$7),COUNTIF('1.연간시수표'!N67,$BJ$9),COUNTIF('1.연간시수표'!N67,$BJ$7),COUNTIF('1.연간시수표'!N67,$BK$9),COUNTIF('1.연간시수표'!N67,$BK$7),COUNTIF('1.연간시수표'!N67,$BL$9),COUNTIF('1.연간시수표'!N67,$BL$7),COUNTIF('1.연간시수표'!N67,$BM$9),COUNTIF('1.연간시수표'!N67,$BM$7)),$BF$6,IF(OR(COUNTIF('1.연간시수표'!N67,$BO$9),COUNTIF('1.연간시수표'!N67,$BO$7)),$BO$6,IF(OR(COUNTIF('1.연간시수표'!N67,$BP$9),COUNTIF('1.연간시수표'!N67,$BP$7)),$BP$6,IF(OR(COUNTIF('1.연간시수표'!N67,$BQ$9),COUNTIF('1.연간시수표'!N67,$BQ$7)),$BQ$6,IF(OR(COUNTIF('1.연간시수표'!N67,$BR$9),COUNTIF('1.연간시수표'!N67,$BR$7)),$BR$6,"_")))))))))))))))</f>
        <v>국어</v>
      </c>
      <c r="O67" s="148" t="str">
        <f>IF(OR(COUNTIF('1.연간시수표'!O67,$AT$9),COUNTIF('1.연간시수표'!O67,$AT$7)),$AT$6,IF(OR(COUNTIF('1.연간시수표'!O67,$AU$9),COUNTIF('1.연간시수표'!O67,$AU$7)),$AU$6,IF(OR(COUNTIF('1.연간시수표'!O67,$AV$9),COUNTIF('1.연간시수표'!O67,$AV$7)),$AV$6,IF(OR(COUNTIF('1.연간시수표'!O67,$AW$9),COUNTIF('1.연간시수표'!O67,$AW$7)),$AW$6,IF(OR(COUNTIF('1.연간시수표'!O67,$AX$9),COUNTIF('1.연간시수표'!O67,$AX$7)),$AX$6,IF(OR(COUNTIF('1.연간시수표'!O67,$AY$9),COUNTIF('1.연간시수표'!O67,$AY$7)),$AY$6,IF(OR(COUNTIF('1.연간시수표'!O67,$AZ$9),COUNTIF('1.연간시수표'!O67,$AZ$7)),$AZ$6,IF(OR(COUNTIF('1.연간시수표'!O67,$BA$9),COUNTIF('1.연간시수표'!O67,$BA$7)),$BA$6,IF(OR(COUNTIF('1.연간시수표'!O67,$BB$9),COUNTIF('1.연간시수표'!O67,$BB$7)),$BB$6,IF(OR(COUNTIF('1.연간시수표'!O67,$BC$9),COUNTIF('1.연간시수표'!O67,$BC$7)),$BC$6,IF(OR(COUNTIF('1.연간시수표'!O67,$BF$9),COUNTIF('1.연간시수표'!O67,$BF$7),COUNTIF('1.연간시수표'!O67,$BG$9),COUNTIF('1.연간시수표'!O67,$BG$7),COUNTIF('1.연간시수표'!O67,$BH$9),COUNTIF('1.연간시수표'!O67,$BH$7),COUNTIF('1.연간시수표'!O67,$BI$9),COUNTIF('1.연간시수표'!O67,$BI$7),COUNTIF('1.연간시수표'!O67,$BJ$9),COUNTIF('1.연간시수표'!O67,$BJ$7),COUNTIF('1.연간시수표'!O67,$BK$9),COUNTIF('1.연간시수표'!O67,$BK$7),COUNTIF('1.연간시수표'!O67,$BL$9),COUNTIF('1.연간시수표'!O67,$BL$7),COUNTIF('1.연간시수표'!O67,$BM$9),COUNTIF('1.연간시수표'!O67,$BM$7)),$BF$6,IF(OR(COUNTIF('1.연간시수표'!O67,$BO$9),COUNTIF('1.연간시수표'!O67,$BO$7)),$BO$6,IF(OR(COUNTIF('1.연간시수표'!O67,$BP$9),COUNTIF('1.연간시수표'!O67,$BP$7)),$BP$6,IF(OR(COUNTIF('1.연간시수표'!O67,$BQ$9),COUNTIF('1.연간시수표'!O67,$BQ$7)),$BQ$6,IF(OR(COUNTIF('1.연간시수표'!O67,$BR$9),COUNTIF('1.연간시수표'!O67,$BR$7)),$BR$6,"_")))))))))))))))</f>
        <v>사회</v>
      </c>
      <c r="P67" s="148" t="str">
        <f>IF(OR(COUNTIF('1.연간시수표'!P67,$AT$9),COUNTIF('1.연간시수표'!P67,$AT$7)),$AT$6,IF(OR(COUNTIF('1.연간시수표'!P67,$AU$9),COUNTIF('1.연간시수표'!P67,$AU$7)),$AU$6,IF(OR(COUNTIF('1.연간시수표'!P67,$AV$9),COUNTIF('1.연간시수표'!P67,$AV$7)),$AV$6,IF(OR(COUNTIF('1.연간시수표'!P67,$AW$9),COUNTIF('1.연간시수표'!P67,$AW$7)),$AW$6,IF(OR(COUNTIF('1.연간시수표'!P67,$AX$9),COUNTIF('1.연간시수표'!P67,$AX$7)),$AX$6,IF(OR(COUNTIF('1.연간시수표'!P67,$AY$9),COUNTIF('1.연간시수표'!P67,$AY$7)),$AY$6,IF(OR(COUNTIF('1.연간시수표'!P67,$AZ$9),COUNTIF('1.연간시수표'!P67,$AZ$7)),$AZ$6,IF(OR(COUNTIF('1.연간시수표'!P67,$BA$9),COUNTIF('1.연간시수표'!P67,$BA$7)),$BA$6,IF(OR(COUNTIF('1.연간시수표'!P67,$BB$9),COUNTIF('1.연간시수표'!P67,$BB$7)),$BB$6,IF(OR(COUNTIF('1.연간시수표'!P67,$BC$9),COUNTIF('1.연간시수표'!P67,$BC$7)),$BC$6,IF(OR(COUNTIF('1.연간시수표'!P67,$BF$9),COUNTIF('1.연간시수표'!P67,$BF$7),COUNTIF('1.연간시수표'!P67,$BG$9),COUNTIF('1.연간시수표'!P67,$BG$7),COUNTIF('1.연간시수표'!P67,$BH$9),COUNTIF('1.연간시수표'!P67,$BH$7),COUNTIF('1.연간시수표'!P67,$BI$9),COUNTIF('1.연간시수표'!P67,$BI$7),COUNTIF('1.연간시수표'!P67,$BJ$9),COUNTIF('1.연간시수표'!P67,$BJ$7),COUNTIF('1.연간시수표'!P67,$BK$9),COUNTIF('1.연간시수표'!P67,$BK$7),COUNTIF('1.연간시수표'!P67,$BL$9),COUNTIF('1.연간시수표'!P67,$BL$7),COUNTIF('1.연간시수표'!P67,$BM$9),COUNTIF('1.연간시수표'!P67,$BM$7)),$BF$6,IF(OR(COUNTIF('1.연간시수표'!P67,$BO$9),COUNTIF('1.연간시수표'!P67,$BO$7)),$BO$6,IF(OR(COUNTIF('1.연간시수표'!P67,$BP$9),COUNTIF('1.연간시수표'!P67,$BP$7)),$BP$6,IF(OR(COUNTIF('1.연간시수표'!P67,$BQ$9),COUNTIF('1.연간시수표'!P67,$BQ$7)),$BQ$6,IF(OR(COUNTIF('1.연간시수표'!P67,$BR$9),COUNTIF('1.연간시수표'!P67,$BR$7)),$BR$6,"_")))))))))))))))</f>
        <v>수학</v>
      </c>
      <c r="Q67" s="148" t="str">
        <f>IF(OR(COUNTIF('1.연간시수표'!Q67,$AT$9),COUNTIF('1.연간시수표'!Q67,$AT$7)),$AT$6,IF(OR(COUNTIF('1.연간시수표'!Q67,$AU$9),COUNTIF('1.연간시수표'!Q67,$AU$7)),$AU$6,IF(OR(COUNTIF('1.연간시수표'!Q67,$AV$9),COUNTIF('1.연간시수표'!Q67,$AV$7)),$AV$6,IF(OR(COUNTIF('1.연간시수표'!Q67,$AW$9),COUNTIF('1.연간시수표'!Q67,$AW$7)),$AW$6,IF(OR(COUNTIF('1.연간시수표'!Q67,$AX$9),COUNTIF('1.연간시수표'!Q67,$AX$7)),$AX$6,IF(OR(COUNTIF('1.연간시수표'!Q67,$AY$9),COUNTIF('1.연간시수표'!Q67,$AY$7)),$AY$6,IF(OR(COUNTIF('1.연간시수표'!Q67,$AZ$9),COUNTIF('1.연간시수표'!Q67,$AZ$7)),$AZ$6,IF(OR(COUNTIF('1.연간시수표'!Q67,$BA$9),COUNTIF('1.연간시수표'!Q67,$BA$7)),$BA$6,IF(OR(COUNTIF('1.연간시수표'!Q67,$BB$9),COUNTIF('1.연간시수표'!Q67,$BB$7)),$BB$6,IF(OR(COUNTIF('1.연간시수표'!Q67,$BC$9),COUNTIF('1.연간시수표'!Q67,$BC$7)),$BC$6,IF(OR(COUNTIF('1.연간시수표'!Q67,$BF$9),COUNTIF('1.연간시수표'!Q67,$BF$7),COUNTIF('1.연간시수표'!Q67,$BG$9),COUNTIF('1.연간시수표'!Q67,$BG$7),COUNTIF('1.연간시수표'!Q67,$BH$9),COUNTIF('1.연간시수표'!Q67,$BH$7),COUNTIF('1.연간시수표'!Q67,$BI$9),COUNTIF('1.연간시수표'!Q67,$BI$7),COUNTIF('1.연간시수표'!Q67,$BJ$9),COUNTIF('1.연간시수표'!Q67,$BJ$7),COUNTIF('1.연간시수표'!Q67,$BK$9),COUNTIF('1.연간시수표'!Q67,$BK$7),COUNTIF('1.연간시수표'!Q67,$BL$9),COUNTIF('1.연간시수표'!Q67,$BL$7),COUNTIF('1.연간시수표'!Q67,$BM$9),COUNTIF('1.연간시수표'!Q67,$BM$7)),$BF$6,IF(OR(COUNTIF('1.연간시수표'!Q67,$BO$9),COUNTIF('1.연간시수표'!Q67,$BO$7)),$BO$6,IF(OR(COUNTIF('1.연간시수표'!Q67,$BP$9),COUNTIF('1.연간시수표'!Q67,$BP$7)),$BP$6,IF(OR(COUNTIF('1.연간시수표'!Q67,$BQ$9),COUNTIF('1.연간시수표'!Q67,$BQ$7)),$BQ$6,IF(OR(COUNTIF('1.연간시수표'!Q67,$BR$9),COUNTIF('1.연간시수표'!Q67,$BR$7)),$BR$6,"_")))))))))))))))</f>
        <v>과학</v>
      </c>
      <c r="R67" s="148" t="str">
        <f>IF(OR(COUNTIF('1.연간시수표'!R67,$AT$9),COUNTIF('1.연간시수표'!R67,$AT$7)),$AT$6,IF(OR(COUNTIF('1.연간시수표'!R67,$AU$9),COUNTIF('1.연간시수표'!R67,$AU$7)),$AU$6,IF(OR(COUNTIF('1.연간시수표'!R67,$AV$9),COUNTIF('1.연간시수표'!R67,$AV$7)),$AV$6,IF(OR(COUNTIF('1.연간시수표'!R67,$AW$9),COUNTIF('1.연간시수표'!R67,$AW$7)),$AW$6,IF(OR(COUNTIF('1.연간시수표'!R67,$AX$9),COUNTIF('1.연간시수표'!R67,$AX$7)),$AX$6,IF(OR(COUNTIF('1.연간시수표'!R67,$AY$9),COUNTIF('1.연간시수표'!R67,$AY$7)),$AY$6,IF(OR(COUNTIF('1.연간시수표'!R67,$AZ$9),COUNTIF('1.연간시수표'!R67,$AZ$7)),$AZ$6,IF(OR(COUNTIF('1.연간시수표'!R67,$BA$9),COUNTIF('1.연간시수표'!R67,$BA$7)),$BA$6,IF(OR(COUNTIF('1.연간시수표'!R67,$BB$9),COUNTIF('1.연간시수표'!R67,$BB$7)),$BB$6,IF(OR(COUNTIF('1.연간시수표'!R67,$BC$9),COUNTIF('1.연간시수표'!R67,$BC$7)),$BC$6,IF(OR(COUNTIF('1.연간시수표'!R67,$BF$9),COUNTIF('1.연간시수표'!R67,$BF$7),COUNTIF('1.연간시수표'!R67,$BG$9),COUNTIF('1.연간시수표'!R67,$BG$7),COUNTIF('1.연간시수표'!R67,$BH$9),COUNTIF('1.연간시수표'!R67,$BH$7),COUNTIF('1.연간시수표'!R67,$BI$9),COUNTIF('1.연간시수표'!R67,$BI$7),COUNTIF('1.연간시수표'!R67,$BJ$9),COUNTIF('1.연간시수표'!R67,$BJ$7),COUNTIF('1.연간시수표'!R67,$BK$9),COUNTIF('1.연간시수표'!R67,$BK$7),COUNTIF('1.연간시수표'!R67,$BL$9),COUNTIF('1.연간시수표'!R67,$BL$7),COUNTIF('1.연간시수표'!R67,$BM$9),COUNTIF('1.연간시수표'!R67,$BM$7)),$BF$6,IF(OR(COUNTIF('1.연간시수표'!R67,$BO$9),COUNTIF('1.연간시수표'!R67,$BO$7)),$BO$6,IF(OR(COUNTIF('1.연간시수표'!R67,$BP$9),COUNTIF('1.연간시수표'!R67,$BP$7)),$BP$6,IF(OR(COUNTIF('1.연간시수표'!R67,$BQ$9),COUNTIF('1.연간시수표'!R67,$BQ$7)),$BQ$6,IF(OR(COUNTIF('1.연간시수표'!R67,$BR$9),COUNTIF('1.연간시수표'!R67,$BR$7)),$BR$6,"_")))))))))))))))</f>
        <v>실과</v>
      </c>
      <c r="S67" s="148" t="str">
        <f>IF(OR(COUNTIF('1.연간시수표'!S67,$AT$9),COUNTIF('1.연간시수표'!S67,$AT$7)),$AT$6,IF(OR(COUNTIF('1.연간시수표'!S67,$AU$9),COUNTIF('1.연간시수표'!S67,$AU$7)),$AU$6,IF(OR(COUNTIF('1.연간시수표'!S67,$AV$9),COUNTIF('1.연간시수표'!S67,$AV$7)),$AV$6,IF(OR(COUNTIF('1.연간시수표'!S67,$AW$9),COUNTIF('1.연간시수표'!S67,$AW$7)),$AW$6,IF(OR(COUNTIF('1.연간시수표'!S67,$AX$9),COUNTIF('1.연간시수표'!S67,$AX$7)),$AX$6,IF(OR(COUNTIF('1.연간시수표'!S67,$AY$9),COUNTIF('1.연간시수표'!S67,$AY$7)),$AY$6,IF(OR(COUNTIF('1.연간시수표'!S67,$AZ$9),COUNTIF('1.연간시수표'!S67,$AZ$7)),$AZ$6,IF(OR(COUNTIF('1.연간시수표'!S67,$BA$9),COUNTIF('1.연간시수표'!S67,$BA$7)),$BA$6,IF(OR(COUNTIF('1.연간시수표'!S67,$BB$9),COUNTIF('1.연간시수표'!S67,$BB$7)),$BB$6,IF(OR(COUNTIF('1.연간시수표'!S67,$BC$9),COUNTIF('1.연간시수표'!S67,$BC$7)),$BC$6,IF(OR(COUNTIF('1.연간시수표'!S67,$BF$9),COUNTIF('1.연간시수표'!S67,$BF$7),COUNTIF('1.연간시수표'!S67,$BG$9),COUNTIF('1.연간시수표'!S67,$BG$7),COUNTIF('1.연간시수표'!S67,$BH$9),COUNTIF('1.연간시수표'!S67,$BH$7),COUNTIF('1.연간시수표'!S67,$BI$9),COUNTIF('1.연간시수표'!S67,$BI$7),COUNTIF('1.연간시수표'!S67,$BJ$9),COUNTIF('1.연간시수표'!S67,$BJ$7),COUNTIF('1.연간시수표'!S67,$BK$9),COUNTIF('1.연간시수표'!S67,$BK$7),COUNTIF('1.연간시수표'!S67,$BL$9),COUNTIF('1.연간시수표'!S67,$BL$7),COUNTIF('1.연간시수표'!S67,$BM$9),COUNTIF('1.연간시수표'!S67,$BM$7)),$BF$6,IF(OR(COUNTIF('1.연간시수표'!S67,$BO$9),COUNTIF('1.연간시수표'!S67,$BO$7)),$BO$6,IF(OR(COUNTIF('1.연간시수표'!S67,$BP$9),COUNTIF('1.연간시수표'!S67,$BP$7)),$BP$6,IF(OR(COUNTIF('1.연간시수표'!S67,$BQ$9),COUNTIF('1.연간시수표'!S67,$BQ$7)),$BQ$6,IF(OR(COUNTIF('1.연간시수표'!S67,$BR$9),COUNTIF('1.연간시수표'!S67,$BR$7)),$BR$6,"_")))))))))))))))</f>
        <v>_</v>
      </c>
      <c r="T67" s="148" t="str">
        <f>IF(OR(COUNTIF('1.연간시수표'!T67,$AT$9),COUNTIF('1.연간시수표'!T67,$AT$7)),$AT$6,IF(OR(COUNTIF('1.연간시수표'!T67,$AU$9),COUNTIF('1.연간시수표'!T67,$AU$7)),$AU$6,IF(OR(COUNTIF('1.연간시수표'!T67,$AV$9),COUNTIF('1.연간시수표'!T67,$AV$7)),$AV$6,IF(OR(COUNTIF('1.연간시수표'!T67,$AW$9),COUNTIF('1.연간시수표'!T67,$AW$7)),$AW$6,IF(OR(COUNTIF('1.연간시수표'!T67,$AX$9),COUNTIF('1.연간시수표'!T67,$AX$7)),$AX$6,IF(OR(COUNTIF('1.연간시수표'!T67,$AY$9),COUNTIF('1.연간시수표'!T67,$AY$7)),$AY$6,IF(OR(COUNTIF('1.연간시수표'!T67,$AZ$9),COUNTIF('1.연간시수표'!T67,$AZ$7)),$AZ$6,IF(OR(COUNTIF('1.연간시수표'!T67,$BA$9),COUNTIF('1.연간시수표'!T67,$BA$7)),$BA$6,IF(OR(COUNTIF('1.연간시수표'!T67,$BB$9),COUNTIF('1.연간시수표'!T67,$BB$7)),$BB$6,IF(OR(COUNTIF('1.연간시수표'!T67,$BC$9),COUNTIF('1.연간시수표'!T67,$BC$7)),$BC$6,IF(OR(COUNTIF('1.연간시수표'!T67,$BF$9),COUNTIF('1.연간시수표'!T67,$BF$7),COUNTIF('1.연간시수표'!T67,$BG$9),COUNTIF('1.연간시수표'!T67,$BG$7),COUNTIF('1.연간시수표'!T67,$BH$9),COUNTIF('1.연간시수표'!T67,$BH$7),COUNTIF('1.연간시수표'!T67,$BI$9),COUNTIF('1.연간시수표'!T67,$BI$7),COUNTIF('1.연간시수표'!T67,$BJ$9),COUNTIF('1.연간시수표'!T67,$BJ$7),COUNTIF('1.연간시수표'!T67,$BK$9),COUNTIF('1.연간시수표'!T67,$BK$7),COUNTIF('1.연간시수표'!T67,$BL$9),COUNTIF('1.연간시수표'!T67,$BL$7),COUNTIF('1.연간시수표'!T67,$BM$9),COUNTIF('1.연간시수표'!T67,$BM$7)),$BF$6,IF(OR(COUNTIF('1.연간시수표'!T67,$BO$9),COUNTIF('1.연간시수표'!T67,$BO$7)),$BO$6,IF(OR(COUNTIF('1.연간시수표'!T67,$BP$9),COUNTIF('1.연간시수표'!T67,$BP$7)),$BP$6,IF(OR(COUNTIF('1.연간시수표'!T67,$BQ$9),COUNTIF('1.연간시수표'!T67,$BQ$7)),$BQ$6,IF(OR(COUNTIF('1.연간시수표'!T67,$BR$9),COUNTIF('1.연간시수표'!T67,$BR$7)),$BR$6,"_")))))))))))))))</f>
        <v>_</v>
      </c>
      <c r="U67" s="148" t="str">
        <f>IF(OR(COUNTIF('1.연간시수표'!U67,$AT$9),COUNTIF('1.연간시수표'!U67,$AT$7)),$AT$6,IF(OR(COUNTIF('1.연간시수표'!U67,$AU$9),COUNTIF('1.연간시수표'!U67,$AU$7)),$AU$6,IF(OR(COUNTIF('1.연간시수표'!U67,$AV$9),COUNTIF('1.연간시수표'!U67,$AV$7)),$AV$6,IF(OR(COUNTIF('1.연간시수표'!U67,$AW$9),COUNTIF('1.연간시수표'!U67,$AW$7)),$AW$6,IF(OR(COUNTIF('1.연간시수표'!U67,$AX$9),COUNTIF('1.연간시수표'!U67,$AX$7)),$AX$6,IF(OR(COUNTIF('1.연간시수표'!U67,$AY$9),COUNTIF('1.연간시수표'!U67,$AY$7)),$AY$6,IF(OR(COUNTIF('1.연간시수표'!U67,$AZ$9),COUNTIF('1.연간시수표'!U67,$AZ$7)),$AZ$6,IF(OR(COUNTIF('1.연간시수표'!U67,$BA$9),COUNTIF('1.연간시수표'!U67,$BA$7)),$BA$6,IF(OR(COUNTIF('1.연간시수표'!U67,$BB$9),COUNTIF('1.연간시수표'!U67,$BB$7)),$BB$6,IF(OR(COUNTIF('1.연간시수표'!U67,$BC$9),COUNTIF('1.연간시수표'!U67,$BC$7)),$BC$6,IF(OR(COUNTIF('1.연간시수표'!U67,$BF$9),COUNTIF('1.연간시수표'!U67,$BF$7),COUNTIF('1.연간시수표'!U67,$BG$9),COUNTIF('1.연간시수표'!U67,$BG$7),COUNTIF('1.연간시수표'!U67,$BH$9),COUNTIF('1.연간시수표'!U67,$BH$7),COUNTIF('1.연간시수표'!U67,$BI$9),COUNTIF('1.연간시수표'!U67,$BI$7),COUNTIF('1.연간시수표'!U67,$BJ$9),COUNTIF('1.연간시수표'!U67,$BJ$7),COUNTIF('1.연간시수표'!U67,$BK$9),COUNTIF('1.연간시수표'!U67,$BK$7),COUNTIF('1.연간시수표'!U67,$BL$9),COUNTIF('1.연간시수표'!U67,$BL$7),COUNTIF('1.연간시수표'!U67,$BM$9),COUNTIF('1.연간시수표'!U67,$BM$7)),$BF$6,IF(OR(COUNTIF('1.연간시수표'!U67,$BO$9),COUNTIF('1.연간시수표'!U67,$BO$7)),$BO$6,IF(OR(COUNTIF('1.연간시수표'!U67,$BP$9),COUNTIF('1.연간시수표'!U67,$BP$7)),$BP$6,IF(OR(COUNTIF('1.연간시수표'!U67,$BQ$9),COUNTIF('1.연간시수표'!U67,$BQ$7)),$BQ$6,IF(OR(COUNTIF('1.연간시수표'!U67,$BR$9),COUNTIF('1.연간시수표'!U67,$BR$7)),$BR$6,"_")))))))))))))))</f>
        <v>영어</v>
      </c>
      <c r="V67" s="148" t="str">
        <f>IF(OR(COUNTIF('1.연간시수표'!V67,$AT$9),COUNTIF('1.연간시수표'!V67,$AT$7)),$AT$6,IF(OR(COUNTIF('1.연간시수표'!V67,$AU$9),COUNTIF('1.연간시수표'!V67,$AU$7)),$AU$6,IF(OR(COUNTIF('1.연간시수표'!V67,$AV$9),COUNTIF('1.연간시수표'!V67,$AV$7)),$AV$6,IF(OR(COUNTIF('1.연간시수표'!V67,$AW$9),COUNTIF('1.연간시수표'!V67,$AW$7)),$AW$6,IF(OR(COUNTIF('1.연간시수표'!V67,$AX$9),COUNTIF('1.연간시수표'!V67,$AX$7)),$AX$6,IF(OR(COUNTIF('1.연간시수표'!V67,$AY$9),COUNTIF('1.연간시수표'!V67,$AY$7)),$AY$6,IF(OR(COUNTIF('1.연간시수표'!V67,$AZ$9),COUNTIF('1.연간시수표'!V67,$AZ$7)),$AZ$6,IF(OR(COUNTIF('1.연간시수표'!V67,$BA$9),COUNTIF('1.연간시수표'!V67,$BA$7)),$BA$6,IF(OR(COUNTIF('1.연간시수표'!V67,$BB$9),COUNTIF('1.연간시수표'!V67,$BB$7)),$BB$6,IF(OR(COUNTIF('1.연간시수표'!V67,$BC$9),COUNTIF('1.연간시수표'!V67,$BC$7)),$BC$6,IF(OR(COUNTIF('1.연간시수표'!V67,$BF$9),COUNTIF('1.연간시수표'!V67,$BF$7),COUNTIF('1.연간시수표'!V67,$BG$9),COUNTIF('1.연간시수표'!V67,$BG$7),COUNTIF('1.연간시수표'!V67,$BH$9),COUNTIF('1.연간시수표'!V67,$BH$7),COUNTIF('1.연간시수표'!V67,$BI$9),COUNTIF('1.연간시수표'!V67,$BI$7),COUNTIF('1.연간시수표'!V67,$BJ$9),COUNTIF('1.연간시수표'!V67,$BJ$7),COUNTIF('1.연간시수표'!V67,$BK$9),COUNTIF('1.연간시수표'!V67,$BK$7),COUNTIF('1.연간시수표'!V67,$BL$9),COUNTIF('1.연간시수표'!V67,$BL$7),COUNTIF('1.연간시수표'!V67,$BM$9),COUNTIF('1.연간시수표'!V67,$BM$7)),$BF$6,IF(OR(COUNTIF('1.연간시수표'!V67,$BO$9),COUNTIF('1.연간시수표'!V67,$BO$7)),$BO$6,IF(OR(COUNTIF('1.연간시수표'!V67,$BP$9),COUNTIF('1.연간시수표'!V67,$BP$7)),$BP$6,IF(OR(COUNTIF('1.연간시수표'!V67,$BQ$9),COUNTIF('1.연간시수표'!V67,$BQ$7)),$BQ$6,IF(OR(COUNTIF('1.연간시수표'!V67,$BR$9),COUNTIF('1.연간시수표'!V67,$BR$7)),$BR$6,"_")))))))))))))))</f>
        <v>과학</v>
      </c>
      <c r="W67" s="148" t="str">
        <f>IF(OR(COUNTIF('1.연간시수표'!W67,$AT$9),COUNTIF('1.연간시수표'!W67,$AT$7)),$AT$6,IF(OR(COUNTIF('1.연간시수표'!W67,$AU$9),COUNTIF('1.연간시수표'!W67,$AU$7)),$AU$6,IF(OR(COUNTIF('1.연간시수표'!W67,$AV$9),COUNTIF('1.연간시수표'!W67,$AV$7)),$AV$6,IF(OR(COUNTIF('1.연간시수표'!W67,$AW$9),COUNTIF('1.연간시수표'!W67,$AW$7)),$AW$6,IF(OR(COUNTIF('1.연간시수표'!W67,$AX$9),COUNTIF('1.연간시수표'!W67,$AX$7)),$AX$6,IF(OR(COUNTIF('1.연간시수표'!W67,$AY$9),COUNTIF('1.연간시수표'!W67,$AY$7)),$AY$6,IF(OR(COUNTIF('1.연간시수표'!W67,$AZ$9),COUNTIF('1.연간시수표'!W67,$AZ$7)),$AZ$6,IF(OR(COUNTIF('1.연간시수표'!W67,$BA$9),COUNTIF('1.연간시수표'!W67,$BA$7)),$BA$6,IF(OR(COUNTIF('1.연간시수표'!W67,$BB$9),COUNTIF('1.연간시수표'!W67,$BB$7)),$BB$6,IF(OR(COUNTIF('1.연간시수표'!W67,$BC$9),COUNTIF('1.연간시수표'!W67,$BC$7)),$BC$6,IF(OR(COUNTIF('1.연간시수표'!W67,$BF$9),COUNTIF('1.연간시수표'!W67,$BF$7),COUNTIF('1.연간시수표'!W67,$BG$9),COUNTIF('1.연간시수표'!W67,$BG$7),COUNTIF('1.연간시수표'!W67,$BH$9),COUNTIF('1.연간시수표'!W67,$BH$7),COUNTIF('1.연간시수표'!W67,$BI$9),COUNTIF('1.연간시수표'!W67,$BI$7),COUNTIF('1.연간시수표'!W67,$BJ$9),COUNTIF('1.연간시수표'!W67,$BJ$7),COUNTIF('1.연간시수표'!W67,$BK$9),COUNTIF('1.연간시수표'!W67,$BK$7),COUNTIF('1.연간시수표'!W67,$BL$9),COUNTIF('1.연간시수표'!W67,$BL$7),COUNTIF('1.연간시수표'!W67,$BM$9),COUNTIF('1.연간시수표'!W67,$BM$7)),$BF$6,IF(OR(COUNTIF('1.연간시수표'!W67,$BO$9),COUNTIF('1.연간시수표'!W67,$BO$7)),$BO$6,IF(OR(COUNTIF('1.연간시수표'!W67,$BP$9),COUNTIF('1.연간시수표'!W67,$BP$7)),$BP$6,IF(OR(COUNTIF('1.연간시수표'!W67,$BQ$9),COUNTIF('1.연간시수표'!W67,$BQ$7)),$BQ$6,IF(OR(COUNTIF('1.연간시수표'!W67,$BR$9),COUNTIF('1.연간시수표'!W67,$BR$7)),$BR$6,"_")))))))))))))))</f>
        <v>체육</v>
      </c>
      <c r="X67" s="148" t="str">
        <f>IF(OR(COUNTIF('1.연간시수표'!X67,$AT$9),COUNTIF('1.연간시수표'!X67,$AT$7)),$AT$6,IF(OR(COUNTIF('1.연간시수표'!X67,$AU$9),COUNTIF('1.연간시수표'!X67,$AU$7)),$AU$6,IF(OR(COUNTIF('1.연간시수표'!X67,$AV$9),COUNTIF('1.연간시수표'!X67,$AV$7)),$AV$6,IF(OR(COUNTIF('1.연간시수표'!X67,$AW$9),COUNTIF('1.연간시수표'!X67,$AW$7)),$AW$6,IF(OR(COUNTIF('1.연간시수표'!X67,$AX$9),COUNTIF('1.연간시수표'!X67,$AX$7)),$AX$6,IF(OR(COUNTIF('1.연간시수표'!X67,$AY$9),COUNTIF('1.연간시수표'!X67,$AY$7)),$AY$6,IF(OR(COUNTIF('1.연간시수표'!X67,$AZ$9),COUNTIF('1.연간시수표'!X67,$AZ$7)),$AZ$6,IF(OR(COUNTIF('1.연간시수표'!X67,$BA$9),COUNTIF('1.연간시수표'!X67,$BA$7)),$BA$6,IF(OR(COUNTIF('1.연간시수표'!X67,$BB$9),COUNTIF('1.연간시수표'!X67,$BB$7)),$BB$6,IF(OR(COUNTIF('1.연간시수표'!X67,$BC$9),COUNTIF('1.연간시수표'!X67,$BC$7)),$BC$6,IF(OR(COUNTIF('1.연간시수표'!X67,$BF$9),COUNTIF('1.연간시수표'!X67,$BF$7),COUNTIF('1.연간시수표'!X67,$BG$9),COUNTIF('1.연간시수표'!X67,$BG$7),COUNTIF('1.연간시수표'!X67,$BH$9),COUNTIF('1.연간시수표'!X67,$BH$7),COUNTIF('1.연간시수표'!X67,$BI$9),COUNTIF('1.연간시수표'!X67,$BI$7),COUNTIF('1.연간시수표'!X67,$BJ$9),COUNTIF('1.연간시수표'!X67,$BJ$7),COUNTIF('1.연간시수표'!X67,$BK$9),COUNTIF('1.연간시수표'!X67,$BK$7),COUNTIF('1.연간시수표'!X67,$BL$9),COUNTIF('1.연간시수표'!X67,$BL$7),COUNTIF('1.연간시수표'!X67,$BM$9),COUNTIF('1.연간시수표'!X67,$BM$7)),$BF$6,IF(OR(COUNTIF('1.연간시수표'!X67,$BO$9),COUNTIF('1.연간시수표'!X67,$BO$7)),$BO$6,IF(OR(COUNTIF('1.연간시수표'!X67,$BP$9),COUNTIF('1.연간시수표'!X67,$BP$7)),$BP$6,IF(OR(COUNTIF('1.연간시수표'!X67,$BQ$9),COUNTIF('1.연간시수표'!X67,$BQ$7)),$BQ$6,IF(OR(COUNTIF('1.연간시수표'!X67,$BR$9),COUNTIF('1.연간시수표'!X67,$BR$7)),$BR$6,"_")))))))))))))))</f>
        <v>음악</v>
      </c>
      <c r="Y67" s="148" t="str">
        <f>IF(OR(COUNTIF('1.연간시수표'!Y67,$AT$9),COUNTIF('1.연간시수표'!Y67,$AT$7)),$AT$6,IF(OR(COUNTIF('1.연간시수표'!Y67,$AU$9),COUNTIF('1.연간시수표'!Y67,$AU$7)),$AU$6,IF(OR(COUNTIF('1.연간시수표'!Y67,$AV$9),COUNTIF('1.연간시수표'!Y67,$AV$7)),$AV$6,IF(OR(COUNTIF('1.연간시수표'!Y67,$AW$9),COUNTIF('1.연간시수표'!Y67,$AW$7)),$AW$6,IF(OR(COUNTIF('1.연간시수표'!Y67,$AX$9),COUNTIF('1.연간시수표'!Y67,$AX$7)),$AX$6,IF(OR(COUNTIF('1.연간시수표'!Y67,$AY$9),COUNTIF('1.연간시수표'!Y67,$AY$7)),$AY$6,IF(OR(COUNTIF('1.연간시수표'!Y67,$AZ$9),COUNTIF('1.연간시수표'!Y67,$AZ$7)),$AZ$6,IF(OR(COUNTIF('1.연간시수표'!Y67,$BA$9),COUNTIF('1.연간시수표'!Y67,$BA$7)),$BA$6,IF(OR(COUNTIF('1.연간시수표'!Y67,$BB$9),COUNTIF('1.연간시수표'!Y67,$BB$7)),$BB$6,IF(OR(COUNTIF('1.연간시수표'!Y67,$BC$9),COUNTIF('1.연간시수표'!Y67,$BC$7)),$BC$6,IF(OR(COUNTIF('1.연간시수표'!Y67,$BF$9),COUNTIF('1.연간시수표'!Y67,$BF$7),COUNTIF('1.연간시수표'!Y67,$BG$9),COUNTIF('1.연간시수표'!Y67,$BG$7),COUNTIF('1.연간시수표'!Y67,$BH$9),COUNTIF('1.연간시수표'!Y67,$BH$7),COUNTIF('1.연간시수표'!Y67,$BI$9),COUNTIF('1.연간시수표'!Y67,$BI$7),COUNTIF('1.연간시수표'!Y67,$BJ$9),COUNTIF('1.연간시수표'!Y67,$BJ$7),COUNTIF('1.연간시수표'!Y67,$BK$9),COUNTIF('1.연간시수표'!Y67,$BK$7),COUNTIF('1.연간시수표'!Y67,$BL$9),COUNTIF('1.연간시수표'!Y67,$BL$7),COUNTIF('1.연간시수표'!Y67,$BM$9),COUNTIF('1.연간시수표'!Y67,$BM$7)),$BF$6,IF(OR(COUNTIF('1.연간시수표'!Y67,$BO$9),COUNTIF('1.연간시수표'!Y67,$BO$7)),$BO$6,IF(OR(COUNTIF('1.연간시수표'!Y67,$BP$9),COUNTIF('1.연간시수표'!Y67,$BP$7)),$BP$6,IF(OR(COUNTIF('1.연간시수표'!Y67,$BQ$9),COUNTIF('1.연간시수표'!Y67,$BQ$7)),$BQ$6,IF(OR(COUNTIF('1.연간시수표'!Y67,$BR$9),COUNTIF('1.연간시수표'!Y67,$BR$7)),$BR$6,"_")))))))))))))))</f>
        <v>도덕</v>
      </c>
      <c r="Z67" s="148" t="str">
        <f>IF(OR(COUNTIF('1.연간시수표'!Z67,$AT$9),COUNTIF('1.연간시수표'!Z67,$AT$7)),$AT$6,IF(OR(COUNTIF('1.연간시수표'!Z67,$AU$9),COUNTIF('1.연간시수표'!Z67,$AU$7)),$AU$6,IF(OR(COUNTIF('1.연간시수표'!Z67,$AV$9),COUNTIF('1.연간시수표'!Z67,$AV$7)),$AV$6,IF(OR(COUNTIF('1.연간시수표'!Z67,$AW$9),COUNTIF('1.연간시수표'!Z67,$AW$7)),$AW$6,IF(OR(COUNTIF('1.연간시수표'!Z67,$AX$9),COUNTIF('1.연간시수표'!Z67,$AX$7)),$AX$6,IF(OR(COUNTIF('1.연간시수표'!Z67,$AY$9),COUNTIF('1.연간시수표'!Z67,$AY$7)),$AY$6,IF(OR(COUNTIF('1.연간시수표'!Z67,$AZ$9),COUNTIF('1.연간시수표'!Z67,$AZ$7)),$AZ$6,IF(OR(COUNTIF('1.연간시수표'!Z67,$BA$9),COUNTIF('1.연간시수표'!Z67,$BA$7)),$BA$6,IF(OR(COUNTIF('1.연간시수표'!Z67,$BB$9),COUNTIF('1.연간시수표'!Z67,$BB$7)),$BB$6,IF(OR(COUNTIF('1.연간시수표'!Z67,$BC$9),COUNTIF('1.연간시수표'!Z67,$BC$7)),$BC$6,IF(OR(COUNTIF('1.연간시수표'!Z67,$BF$9),COUNTIF('1.연간시수표'!Z67,$BF$7),COUNTIF('1.연간시수표'!Z67,$BG$9),COUNTIF('1.연간시수표'!Z67,$BG$7),COUNTIF('1.연간시수표'!Z67,$BH$9),COUNTIF('1.연간시수표'!Z67,$BH$7),COUNTIF('1.연간시수표'!Z67,$BI$9),COUNTIF('1.연간시수표'!Z67,$BI$7),COUNTIF('1.연간시수표'!Z67,$BJ$9),COUNTIF('1.연간시수표'!Z67,$BJ$7),COUNTIF('1.연간시수표'!Z67,$BK$9),COUNTIF('1.연간시수표'!Z67,$BK$7),COUNTIF('1.연간시수표'!Z67,$BL$9),COUNTIF('1.연간시수표'!Z67,$BL$7),COUNTIF('1.연간시수표'!Z67,$BM$9),COUNTIF('1.연간시수표'!Z67,$BM$7)),$BF$6,IF(OR(COUNTIF('1.연간시수표'!Z67,$BO$9),COUNTIF('1.연간시수표'!Z67,$BO$7)),$BO$6,IF(OR(COUNTIF('1.연간시수표'!Z67,$BP$9),COUNTIF('1.연간시수표'!Z67,$BP$7)),$BP$6,IF(OR(COUNTIF('1.연간시수표'!Z67,$BQ$9),COUNTIF('1.연간시수표'!Z67,$BQ$7)),$BQ$6,IF(OR(COUNTIF('1.연간시수표'!Z67,$BR$9),COUNTIF('1.연간시수표'!Z67,$BR$7)),$BR$6,"_")))))))))))))))</f>
        <v>_</v>
      </c>
      <c r="AA67" s="148" t="str">
        <f>IF(OR(COUNTIF('1.연간시수표'!AA67,$AT$9),COUNTIF('1.연간시수표'!AA67,$AT$7)),$AT$6,IF(OR(COUNTIF('1.연간시수표'!AA67,$AU$9),COUNTIF('1.연간시수표'!AA67,$AU$7)),$AU$6,IF(OR(COUNTIF('1.연간시수표'!AA67,$AV$9),COUNTIF('1.연간시수표'!AA67,$AV$7)),$AV$6,IF(OR(COUNTIF('1.연간시수표'!AA67,$AW$9),COUNTIF('1.연간시수표'!AA67,$AW$7)),$AW$6,IF(OR(COUNTIF('1.연간시수표'!AA67,$AX$9),COUNTIF('1.연간시수표'!AA67,$AX$7)),$AX$6,IF(OR(COUNTIF('1.연간시수표'!AA67,$AY$9),COUNTIF('1.연간시수표'!AA67,$AY$7)),$AY$6,IF(OR(COUNTIF('1.연간시수표'!AA67,$AZ$9),COUNTIF('1.연간시수표'!AA67,$AZ$7)),$AZ$6,IF(OR(COUNTIF('1.연간시수표'!AA67,$BA$9),COUNTIF('1.연간시수표'!AA67,$BA$7)),$BA$6,IF(OR(COUNTIF('1.연간시수표'!AA67,$BB$9),COUNTIF('1.연간시수표'!AA67,$BB$7)),$BB$6,IF(OR(COUNTIF('1.연간시수표'!AA67,$BC$9),COUNTIF('1.연간시수표'!AA67,$BC$7)),$BC$6,IF(OR(COUNTIF('1.연간시수표'!AA67,$BF$9),COUNTIF('1.연간시수표'!AA67,$BF$7),COUNTIF('1.연간시수표'!AA67,$BG$9),COUNTIF('1.연간시수표'!AA67,$BG$7),COUNTIF('1.연간시수표'!AA67,$BH$9),COUNTIF('1.연간시수표'!AA67,$BH$7),COUNTIF('1.연간시수표'!AA67,$BI$9),COUNTIF('1.연간시수표'!AA67,$BI$7),COUNTIF('1.연간시수표'!AA67,$BJ$9),COUNTIF('1.연간시수표'!AA67,$BJ$7),COUNTIF('1.연간시수표'!AA67,$BK$9),COUNTIF('1.연간시수표'!AA67,$BK$7),COUNTIF('1.연간시수표'!AA67,$BL$9),COUNTIF('1.연간시수표'!AA67,$BL$7),COUNTIF('1.연간시수표'!AA67,$BM$9),COUNTIF('1.연간시수표'!AA67,$BM$7)),$BF$6,IF(OR(COUNTIF('1.연간시수표'!AA67,$BO$9),COUNTIF('1.연간시수표'!AA67,$BO$7)),$BO$6,IF(OR(COUNTIF('1.연간시수표'!AA67,$BP$9),COUNTIF('1.연간시수표'!AA67,$BP$7)),$BP$6,IF(OR(COUNTIF('1.연간시수표'!AA67,$BQ$9),COUNTIF('1.연간시수표'!AA67,$BQ$7)),$BQ$6,IF(OR(COUNTIF('1.연간시수표'!AA67,$BR$9),COUNTIF('1.연간시수표'!AA67,$BR$7)),$BR$6,"_")))))))))))))))</f>
        <v>_</v>
      </c>
      <c r="AB67" s="148" t="str">
        <f>IF(OR(COUNTIF('1.연간시수표'!AB67,$AT$9),COUNTIF('1.연간시수표'!AB67,$AT$7)),$AT$6,IF(OR(COUNTIF('1.연간시수표'!AB67,$AU$9),COUNTIF('1.연간시수표'!AB67,$AU$7)),$AU$6,IF(OR(COUNTIF('1.연간시수표'!AB67,$AV$9),COUNTIF('1.연간시수표'!AB67,$AV$7)),$AV$6,IF(OR(COUNTIF('1.연간시수표'!AB67,$AW$9),COUNTIF('1.연간시수표'!AB67,$AW$7)),$AW$6,IF(OR(COUNTIF('1.연간시수표'!AB67,$AX$9),COUNTIF('1.연간시수표'!AB67,$AX$7)),$AX$6,IF(OR(COUNTIF('1.연간시수표'!AB67,$AY$9),COUNTIF('1.연간시수표'!AB67,$AY$7)),$AY$6,IF(OR(COUNTIF('1.연간시수표'!AB67,$AZ$9),COUNTIF('1.연간시수표'!AB67,$AZ$7)),$AZ$6,IF(OR(COUNTIF('1.연간시수표'!AB67,$BA$9),COUNTIF('1.연간시수표'!AB67,$BA$7)),$BA$6,IF(OR(COUNTIF('1.연간시수표'!AB67,$BB$9),COUNTIF('1.연간시수표'!AB67,$BB$7)),$BB$6,IF(OR(COUNTIF('1.연간시수표'!AB67,$BC$9),COUNTIF('1.연간시수표'!AB67,$BC$7)),$BC$6,IF(OR(COUNTIF('1.연간시수표'!AB67,$BF$9),COUNTIF('1.연간시수표'!AB67,$BF$7),COUNTIF('1.연간시수표'!AB67,$BG$9),COUNTIF('1.연간시수표'!AB67,$BG$7),COUNTIF('1.연간시수표'!AB67,$BH$9),COUNTIF('1.연간시수표'!AB67,$BH$7),COUNTIF('1.연간시수표'!AB67,$BI$9),COUNTIF('1.연간시수표'!AB67,$BI$7),COUNTIF('1.연간시수표'!AB67,$BJ$9),COUNTIF('1.연간시수표'!AB67,$BJ$7),COUNTIF('1.연간시수표'!AB67,$BK$9),COUNTIF('1.연간시수표'!AB67,$BK$7),COUNTIF('1.연간시수표'!AB67,$BL$9),COUNTIF('1.연간시수표'!AB67,$BL$7),COUNTIF('1.연간시수표'!AB67,$BM$9),COUNTIF('1.연간시수표'!AB67,$BM$7)),$BF$6,IF(OR(COUNTIF('1.연간시수표'!AB67,$BO$9),COUNTIF('1.연간시수표'!AB67,$BO$7)),$BO$6,IF(OR(COUNTIF('1.연간시수표'!AB67,$BP$9),COUNTIF('1.연간시수표'!AB67,$BP$7)),$BP$6,IF(OR(COUNTIF('1.연간시수표'!AB67,$BQ$9),COUNTIF('1.연간시수표'!AB67,$BQ$7)),$BQ$6,IF(OR(COUNTIF('1.연간시수표'!AB67,$BR$9),COUNTIF('1.연간시수표'!AB67,$BR$7)),$BR$6,"_")))))))))))))))</f>
        <v>_</v>
      </c>
      <c r="AC67" s="148" t="str">
        <f>IF(OR(COUNTIF('1.연간시수표'!AC67,$AT$9),COUNTIF('1.연간시수표'!AC67,$AT$7)),$AT$6,IF(OR(COUNTIF('1.연간시수표'!AC67,$AU$9),COUNTIF('1.연간시수표'!AC67,$AU$7)),$AU$6,IF(OR(COUNTIF('1.연간시수표'!AC67,$AV$9),COUNTIF('1.연간시수표'!AC67,$AV$7)),$AV$6,IF(OR(COUNTIF('1.연간시수표'!AC67,$AW$9),COUNTIF('1.연간시수표'!AC67,$AW$7)),$AW$6,IF(OR(COUNTIF('1.연간시수표'!AC67,$AX$9),COUNTIF('1.연간시수표'!AC67,$AX$7)),$AX$6,IF(OR(COUNTIF('1.연간시수표'!AC67,$AY$9),COUNTIF('1.연간시수표'!AC67,$AY$7)),$AY$6,IF(OR(COUNTIF('1.연간시수표'!AC67,$AZ$9),COUNTIF('1.연간시수표'!AC67,$AZ$7)),$AZ$6,IF(OR(COUNTIF('1.연간시수표'!AC67,$BA$9),COUNTIF('1.연간시수표'!AC67,$BA$7)),$BA$6,IF(OR(COUNTIF('1.연간시수표'!AC67,$BB$9),COUNTIF('1.연간시수표'!AC67,$BB$7)),$BB$6,IF(OR(COUNTIF('1.연간시수표'!AC67,$BC$9),COUNTIF('1.연간시수표'!AC67,$BC$7)),$BC$6,IF(OR(COUNTIF('1.연간시수표'!AC67,$BF$9),COUNTIF('1.연간시수표'!AC67,$BF$7),COUNTIF('1.연간시수표'!AC67,$BG$9),COUNTIF('1.연간시수표'!AC67,$BG$7),COUNTIF('1.연간시수표'!AC67,$BH$9),COUNTIF('1.연간시수표'!AC67,$BH$7),COUNTIF('1.연간시수표'!AC67,$BI$9),COUNTIF('1.연간시수표'!AC67,$BI$7),COUNTIF('1.연간시수표'!AC67,$BJ$9),COUNTIF('1.연간시수표'!AC67,$BJ$7),COUNTIF('1.연간시수표'!AC67,$BK$9),COUNTIF('1.연간시수표'!AC67,$BK$7),COUNTIF('1.연간시수표'!AC67,$BL$9),COUNTIF('1.연간시수표'!AC67,$BL$7),COUNTIF('1.연간시수표'!AC67,$BM$9),COUNTIF('1.연간시수표'!AC67,$BM$7)),$BF$6,IF(OR(COUNTIF('1.연간시수표'!AC67,$BO$9),COUNTIF('1.연간시수표'!AC67,$BO$7)),$BO$6,IF(OR(COUNTIF('1.연간시수표'!AC67,$BP$9),COUNTIF('1.연간시수표'!AC67,$BP$7)),$BP$6,IF(OR(COUNTIF('1.연간시수표'!AC67,$BQ$9),COUNTIF('1.연간시수표'!AC67,$BQ$7)),$BQ$6,IF(OR(COUNTIF('1.연간시수표'!AC67,$BR$9),COUNTIF('1.연간시수표'!AC67,$BR$7)),$BR$6,"_")))))))))))))))</f>
        <v>국어</v>
      </c>
      <c r="AD67" s="148" t="str">
        <f>IF(OR(COUNTIF('1.연간시수표'!AD67,$AT$9),COUNTIF('1.연간시수표'!AD67,$AT$7)),$AT$6,IF(OR(COUNTIF('1.연간시수표'!AD67,$AU$9),COUNTIF('1.연간시수표'!AD67,$AU$7)),$AU$6,IF(OR(COUNTIF('1.연간시수표'!AD67,$AV$9),COUNTIF('1.연간시수표'!AD67,$AV$7)),$AV$6,IF(OR(COUNTIF('1.연간시수표'!AD67,$AW$9),COUNTIF('1.연간시수표'!AD67,$AW$7)),$AW$6,IF(OR(COUNTIF('1.연간시수표'!AD67,$AX$9),COUNTIF('1.연간시수표'!AD67,$AX$7)),$AX$6,IF(OR(COUNTIF('1.연간시수표'!AD67,$AY$9),COUNTIF('1.연간시수표'!AD67,$AY$7)),$AY$6,IF(OR(COUNTIF('1.연간시수표'!AD67,$AZ$9),COUNTIF('1.연간시수표'!AD67,$AZ$7)),$AZ$6,IF(OR(COUNTIF('1.연간시수표'!AD67,$BA$9),COUNTIF('1.연간시수표'!AD67,$BA$7)),$BA$6,IF(OR(COUNTIF('1.연간시수표'!AD67,$BB$9),COUNTIF('1.연간시수표'!AD67,$BB$7)),$BB$6,IF(OR(COUNTIF('1.연간시수표'!AD67,$BC$9),COUNTIF('1.연간시수표'!AD67,$BC$7)),$BC$6,IF(OR(COUNTIF('1.연간시수표'!AD67,$BF$9),COUNTIF('1.연간시수표'!AD67,$BF$7),COUNTIF('1.연간시수표'!AD67,$BG$9),COUNTIF('1.연간시수표'!AD67,$BG$7),COUNTIF('1.연간시수표'!AD67,$BH$9),COUNTIF('1.연간시수표'!AD67,$BH$7),COUNTIF('1.연간시수표'!AD67,$BI$9),COUNTIF('1.연간시수표'!AD67,$BI$7),COUNTIF('1.연간시수표'!AD67,$BJ$9),COUNTIF('1.연간시수표'!AD67,$BJ$7),COUNTIF('1.연간시수표'!AD67,$BK$9),COUNTIF('1.연간시수표'!AD67,$BK$7),COUNTIF('1.연간시수표'!AD67,$BL$9),COUNTIF('1.연간시수표'!AD67,$BL$7),COUNTIF('1.연간시수표'!AD67,$BM$9),COUNTIF('1.연간시수표'!AD67,$BM$7)),$BF$6,IF(OR(COUNTIF('1.연간시수표'!AD67,$BO$9),COUNTIF('1.연간시수표'!AD67,$BO$7)),$BO$6,IF(OR(COUNTIF('1.연간시수표'!AD67,$BP$9),COUNTIF('1.연간시수표'!AD67,$BP$7)),$BP$6,IF(OR(COUNTIF('1.연간시수표'!AD67,$BQ$9),COUNTIF('1.연간시수표'!AD67,$BQ$7)),$BQ$6,IF(OR(COUNTIF('1.연간시수표'!AD67,$BR$9),COUNTIF('1.연간시수표'!AD67,$BR$7)),$BR$6,"_")))))))))))))))</f>
        <v>수학</v>
      </c>
      <c r="AE67" s="148" t="str">
        <f>IF(OR(COUNTIF('1.연간시수표'!AE67,$AT$9),COUNTIF('1.연간시수표'!AE67,$AT$7)),$AT$6,IF(OR(COUNTIF('1.연간시수표'!AE67,$AU$9),COUNTIF('1.연간시수표'!AE67,$AU$7)),$AU$6,IF(OR(COUNTIF('1.연간시수표'!AE67,$AV$9),COUNTIF('1.연간시수표'!AE67,$AV$7)),$AV$6,IF(OR(COUNTIF('1.연간시수표'!AE67,$AW$9),COUNTIF('1.연간시수표'!AE67,$AW$7)),$AW$6,IF(OR(COUNTIF('1.연간시수표'!AE67,$AX$9),COUNTIF('1.연간시수표'!AE67,$AX$7)),$AX$6,IF(OR(COUNTIF('1.연간시수표'!AE67,$AY$9),COUNTIF('1.연간시수표'!AE67,$AY$7)),$AY$6,IF(OR(COUNTIF('1.연간시수표'!AE67,$AZ$9),COUNTIF('1.연간시수표'!AE67,$AZ$7)),$AZ$6,IF(OR(COUNTIF('1.연간시수표'!AE67,$BA$9),COUNTIF('1.연간시수표'!AE67,$BA$7)),$BA$6,IF(OR(COUNTIF('1.연간시수표'!AE67,$BB$9),COUNTIF('1.연간시수표'!AE67,$BB$7)),$BB$6,IF(OR(COUNTIF('1.연간시수표'!AE67,$BC$9),COUNTIF('1.연간시수표'!AE67,$BC$7)),$BC$6,IF(OR(COUNTIF('1.연간시수표'!AE67,$BF$9),COUNTIF('1.연간시수표'!AE67,$BF$7),COUNTIF('1.연간시수표'!AE67,$BG$9),COUNTIF('1.연간시수표'!AE67,$BG$7),COUNTIF('1.연간시수표'!AE67,$BH$9),COUNTIF('1.연간시수표'!AE67,$BH$7),COUNTIF('1.연간시수표'!AE67,$BI$9),COUNTIF('1.연간시수표'!AE67,$BI$7),COUNTIF('1.연간시수표'!AE67,$BJ$9),COUNTIF('1.연간시수표'!AE67,$BJ$7),COUNTIF('1.연간시수표'!AE67,$BK$9),COUNTIF('1.연간시수표'!AE67,$BK$7),COUNTIF('1.연간시수표'!AE67,$BL$9),COUNTIF('1.연간시수표'!AE67,$BL$7),COUNTIF('1.연간시수표'!AE67,$BM$9),COUNTIF('1.연간시수표'!AE67,$BM$7)),$BF$6,IF(OR(COUNTIF('1.연간시수표'!AE67,$BO$9),COUNTIF('1.연간시수표'!AE67,$BO$7)),$BO$6,IF(OR(COUNTIF('1.연간시수표'!AE67,$BP$9),COUNTIF('1.연간시수표'!AE67,$BP$7)),$BP$6,IF(OR(COUNTIF('1.연간시수표'!AE67,$BQ$9),COUNTIF('1.연간시수표'!AE67,$BQ$7)),$BQ$6,IF(OR(COUNTIF('1.연간시수표'!AE67,$BR$9),COUNTIF('1.연간시수표'!AE67,$BR$7)),$BR$6,"_")))))))))))))))</f>
        <v>체육</v>
      </c>
      <c r="AF67" s="148" t="str">
        <f>IF(OR(COUNTIF('1.연간시수표'!AF67,$AT$9),COUNTIF('1.연간시수표'!AF67,$AT$7)),$AT$6,IF(OR(COUNTIF('1.연간시수표'!AF67,$AU$9),COUNTIF('1.연간시수표'!AF67,$AU$7)),$AU$6,IF(OR(COUNTIF('1.연간시수표'!AF67,$AV$9),COUNTIF('1.연간시수표'!AF67,$AV$7)),$AV$6,IF(OR(COUNTIF('1.연간시수표'!AF67,$AW$9),COUNTIF('1.연간시수표'!AF67,$AW$7)),$AW$6,IF(OR(COUNTIF('1.연간시수표'!AF67,$AX$9),COUNTIF('1.연간시수표'!AF67,$AX$7)),$AX$6,IF(OR(COUNTIF('1.연간시수표'!AF67,$AY$9),COUNTIF('1.연간시수표'!AF67,$AY$7)),$AY$6,IF(OR(COUNTIF('1.연간시수표'!AF67,$AZ$9),COUNTIF('1.연간시수표'!AF67,$AZ$7)),$AZ$6,IF(OR(COUNTIF('1.연간시수표'!AF67,$BA$9),COUNTIF('1.연간시수표'!AF67,$BA$7)),$BA$6,IF(OR(COUNTIF('1.연간시수표'!AF67,$BB$9),COUNTIF('1.연간시수표'!AF67,$BB$7)),$BB$6,IF(OR(COUNTIF('1.연간시수표'!AF67,$BC$9),COUNTIF('1.연간시수표'!AF67,$BC$7)),$BC$6,IF(OR(COUNTIF('1.연간시수표'!AF67,$BF$9),COUNTIF('1.연간시수표'!AF67,$BF$7),COUNTIF('1.연간시수표'!AF67,$BG$9),COUNTIF('1.연간시수표'!AF67,$BG$7),COUNTIF('1.연간시수표'!AF67,$BH$9),COUNTIF('1.연간시수표'!AF67,$BH$7),COUNTIF('1.연간시수표'!AF67,$BI$9),COUNTIF('1.연간시수표'!AF67,$BI$7),COUNTIF('1.연간시수표'!AF67,$BJ$9),COUNTIF('1.연간시수표'!AF67,$BJ$7),COUNTIF('1.연간시수표'!AF67,$BK$9),COUNTIF('1.연간시수표'!AF67,$BK$7),COUNTIF('1.연간시수표'!AF67,$BL$9),COUNTIF('1.연간시수표'!AF67,$BL$7),COUNTIF('1.연간시수표'!AF67,$BM$9),COUNTIF('1.연간시수표'!AF67,$BM$7)),$BF$6,IF(OR(COUNTIF('1.연간시수표'!AF67,$BO$9),COUNTIF('1.연간시수표'!AF67,$BO$7)),$BO$6,IF(OR(COUNTIF('1.연간시수표'!AF67,$BP$9),COUNTIF('1.연간시수표'!AF67,$BP$7)),$BP$6,IF(OR(COUNTIF('1.연간시수표'!AF67,$BQ$9),COUNTIF('1.연간시수표'!AF67,$BQ$7)),$BQ$6,IF(OR(COUNTIF('1.연간시수표'!AF67,$BR$9),COUNTIF('1.연간시수표'!AF67,$BR$7)),$BR$6,"_")))))))))))))))</f>
        <v>자율활동</v>
      </c>
      <c r="AG67" s="148" t="str">
        <f>IF(OR(COUNTIF('1.연간시수표'!AG67,$AT$9),COUNTIF('1.연간시수표'!AG67,$AT$7)),$AT$6,IF(OR(COUNTIF('1.연간시수표'!AG67,$AU$9),COUNTIF('1.연간시수표'!AG67,$AU$7)),$AU$6,IF(OR(COUNTIF('1.연간시수표'!AG67,$AV$9),COUNTIF('1.연간시수표'!AG67,$AV$7)),$AV$6,IF(OR(COUNTIF('1.연간시수표'!AG67,$AW$9),COUNTIF('1.연간시수표'!AG67,$AW$7)),$AW$6,IF(OR(COUNTIF('1.연간시수표'!AG67,$AX$9),COUNTIF('1.연간시수표'!AG67,$AX$7)),$AX$6,IF(OR(COUNTIF('1.연간시수표'!AG67,$AY$9),COUNTIF('1.연간시수표'!AG67,$AY$7)),$AY$6,IF(OR(COUNTIF('1.연간시수표'!AG67,$AZ$9),COUNTIF('1.연간시수표'!AG67,$AZ$7)),$AZ$6,IF(OR(COUNTIF('1.연간시수표'!AG67,$BA$9),COUNTIF('1.연간시수표'!AG67,$BA$7)),$BA$6,IF(OR(COUNTIF('1.연간시수표'!AG67,$BB$9),COUNTIF('1.연간시수표'!AG67,$BB$7)),$BB$6,IF(OR(COUNTIF('1.연간시수표'!AG67,$BC$9),COUNTIF('1.연간시수표'!AG67,$BC$7)),$BC$6,IF(OR(COUNTIF('1.연간시수표'!AG67,$BF$9),COUNTIF('1.연간시수표'!AG67,$BF$7),COUNTIF('1.연간시수표'!AG67,$BG$9),COUNTIF('1.연간시수표'!AG67,$BG$7),COUNTIF('1.연간시수표'!AG67,$BH$9),COUNTIF('1.연간시수표'!AG67,$BH$7),COUNTIF('1.연간시수표'!AG67,$BI$9),COUNTIF('1.연간시수표'!AG67,$BI$7),COUNTIF('1.연간시수표'!AG67,$BJ$9),COUNTIF('1.연간시수표'!AG67,$BJ$7),COUNTIF('1.연간시수표'!AG67,$BK$9),COUNTIF('1.연간시수표'!AG67,$BK$7),COUNTIF('1.연간시수표'!AG67,$BL$9),COUNTIF('1.연간시수표'!AG67,$BL$7),COUNTIF('1.연간시수표'!AG67,$BM$9),COUNTIF('1.연간시수표'!AG67,$BM$7)),$BF$6,IF(OR(COUNTIF('1.연간시수표'!AG67,$BO$9),COUNTIF('1.연간시수표'!AG67,$BO$7)),$BO$6,IF(OR(COUNTIF('1.연간시수표'!AG67,$BP$9),COUNTIF('1.연간시수표'!AG67,$BP$7)),$BP$6,IF(OR(COUNTIF('1.연간시수표'!AG67,$BQ$9),COUNTIF('1.연간시수표'!AG67,$BQ$7)),$BQ$6,IF(OR(COUNTIF('1.연간시수표'!AG67,$BR$9),COUNTIF('1.연간시수표'!AG67,$BR$7)),$BR$6,"_")))))))))))))))</f>
        <v>과학</v>
      </c>
      <c r="AH67" s="148" t="str">
        <f>IF(OR(COUNTIF('1.연간시수표'!AH67,$AT$9),COUNTIF('1.연간시수표'!AH67,$AT$7)),$AT$6,IF(OR(COUNTIF('1.연간시수표'!AH67,$AU$9),COUNTIF('1.연간시수표'!AH67,$AU$7)),$AU$6,IF(OR(COUNTIF('1.연간시수표'!AH67,$AV$9),COUNTIF('1.연간시수표'!AH67,$AV$7)),$AV$6,IF(OR(COUNTIF('1.연간시수표'!AH67,$AW$9),COUNTIF('1.연간시수표'!AH67,$AW$7)),$AW$6,IF(OR(COUNTIF('1.연간시수표'!AH67,$AX$9),COUNTIF('1.연간시수표'!AH67,$AX$7)),$AX$6,IF(OR(COUNTIF('1.연간시수표'!AH67,$AY$9),COUNTIF('1.연간시수표'!AH67,$AY$7)),$AY$6,IF(OR(COUNTIF('1.연간시수표'!AH67,$AZ$9),COUNTIF('1.연간시수표'!AH67,$AZ$7)),$AZ$6,IF(OR(COUNTIF('1.연간시수표'!AH67,$BA$9),COUNTIF('1.연간시수표'!AH67,$BA$7)),$BA$6,IF(OR(COUNTIF('1.연간시수표'!AH67,$BB$9),COUNTIF('1.연간시수표'!AH67,$BB$7)),$BB$6,IF(OR(COUNTIF('1.연간시수표'!AH67,$BC$9),COUNTIF('1.연간시수표'!AH67,$BC$7)),$BC$6,IF(OR(COUNTIF('1.연간시수표'!AH67,$BF$9),COUNTIF('1.연간시수표'!AH67,$BF$7),COUNTIF('1.연간시수표'!AH67,$BG$9),COUNTIF('1.연간시수표'!AH67,$BG$7),COUNTIF('1.연간시수표'!AH67,$BH$9),COUNTIF('1.연간시수표'!AH67,$BH$7),COUNTIF('1.연간시수표'!AH67,$BI$9),COUNTIF('1.연간시수표'!AH67,$BI$7),COUNTIF('1.연간시수표'!AH67,$BJ$9),COUNTIF('1.연간시수표'!AH67,$BJ$7),COUNTIF('1.연간시수표'!AH67,$BK$9),COUNTIF('1.연간시수표'!AH67,$BK$7),COUNTIF('1.연간시수표'!AH67,$BL$9),COUNTIF('1.연간시수표'!AH67,$BL$7),COUNTIF('1.연간시수표'!AH67,$BM$9),COUNTIF('1.연간시수표'!AH67,$BM$7)),$BF$6,IF(OR(COUNTIF('1.연간시수표'!AH67,$BO$9),COUNTIF('1.연간시수표'!AH67,$BO$7)),$BO$6,IF(OR(COUNTIF('1.연간시수표'!AH67,$BP$9),COUNTIF('1.연간시수표'!AH67,$BP$7)),$BP$6,IF(OR(COUNTIF('1.연간시수표'!AH67,$BQ$9),COUNTIF('1.연간시수표'!AH67,$BQ$7)),$BQ$6,IF(OR(COUNTIF('1.연간시수표'!AH67,$BR$9),COUNTIF('1.연간시수표'!AH67,$BR$7)),$BR$6,"_")))))))))))))))</f>
        <v>음악</v>
      </c>
      <c r="AI67" s="148" t="str">
        <f>IF(OR(COUNTIF('1.연간시수표'!AI67,$AT$9),COUNTIF('1.연간시수표'!AI67,$AT$7)),$AT$6,IF(OR(COUNTIF('1.연간시수표'!AI67,$AU$9),COUNTIF('1.연간시수표'!AI67,$AU$7)),$AU$6,IF(OR(COUNTIF('1.연간시수표'!AI67,$AV$9),COUNTIF('1.연간시수표'!AI67,$AV$7)),$AV$6,IF(OR(COUNTIF('1.연간시수표'!AI67,$AW$9),COUNTIF('1.연간시수표'!AI67,$AW$7)),$AW$6,IF(OR(COUNTIF('1.연간시수표'!AI67,$AX$9),COUNTIF('1.연간시수표'!AI67,$AX$7)),$AX$6,IF(OR(COUNTIF('1.연간시수표'!AI67,$AY$9),COUNTIF('1.연간시수표'!AI67,$AY$7)),$AY$6,IF(OR(COUNTIF('1.연간시수표'!AI67,$AZ$9),COUNTIF('1.연간시수표'!AI67,$AZ$7)),$AZ$6,IF(OR(COUNTIF('1.연간시수표'!AI67,$BA$9),COUNTIF('1.연간시수표'!AI67,$BA$7)),$BA$6,IF(OR(COUNTIF('1.연간시수표'!AI67,$BB$9),COUNTIF('1.연간시수표'!AI67,$BB$7)),$BB$6,IF(OR(COUNTIF('1.연간시수표'!AI67,$BC$9),COUNTIF('1.연간시수표'!AI67,$BC$7)),$BC$6,IF(OR(COUNTIF('1.연간시수표'!AI67,$BF$9),COUNTIF('1.연간시수표'!AI67,$BF$7),COUNTIF('1.연간시수표'!AI67,$BG$9),COUNTIF('1.연간시수표'!AI67,$BG$7),COUNTIF('1.연간시수표'!AI67,$BH$9),COUNTIF('1.연간시수표'!AI67,$BH$7),COUNTIF('1.연간시수표'!AI67,$BI$9),COUNTIF('1.연간시수표'!AI67,$BI$7),COUNTIF('1.연간시수표'!AI67,$BJ$9),COUNTIF('1.연간시수표'!AI67,$BJ$7),COUNTIF('1.연간시수표'!AI67,$BK$9),COUNTIF('1.연간시수표'!AI67,$BK$7),COUNTIF('1.연간시수표'!AI67,$BL$9),COUNTIF('1.연간시수표'!AI67,$BL$7),COUNTIF('1.연간시수표'!AI67,$BM$9),COUNTIF('1.연간시수표'!AI67,$BM$7)),$BF$6,IF(OR(COUNTIF('1.연간시수표'!AI67,$BO$9),COUNTIF('1.연간시수표'!AI67,$BO$7)),$BO$6,IF(OR(COUNTIF('1.연간시수표'!AI67,$BP$9),COUNTIF('1.연간시수표'!AI67,$BP$7)),$BP$6,IF(OR(COUNTIF('1.연간시수표'!AI67,$BQ$9),COUNTIF('1.연간시수표'!AI67,$BQ$7)),$BQ$6,IF(OR(COUNTIF('1.연간시수표'!AI67,$BR$9),COUNTIF('1.연간시수표'!AI67,$BR$7)),$BR$6,"_")))))))))))))))</f>
        <v>_</v>
      </c>
      <c r="AJ67" s="148" t="str">
        <f>IF(OR(COUNTIF('1.연간시수표'!AJ67,$AT$9),COUNTIF('1.연간시수표'!AJ67,$AT$7)),$AT$6,IF(OR(COUNTIF('1.연간시수표'!AJ67,$AU$9),COUNTIF('1.연간시수표'!AJ67,$AU$7)),$AU$6,IF(OR(COUNTIF('1.연간시수표'!AJ67,$AV$9),COUNTIF('1.연간시수표'!AJ67,$AV$7)),$AV$6,IF(OR(COUNTIF('1.연간시수표'!AJ67,$AW$9),COUNTIF('1.연간시수표'!AJ67,$AW$7)),$AW$6,IF(OR(COUNTIF('1.연간시수표'!AJ67,$AX$9),COUNTIF('1.연간시수표'!AJ67,$AX$7)),$AX$6,IF(OR(COUNTIF('1.연간시수표'!AJ67,$AY$9),COUNTIF('1.연간시수표'!AJ67,$AY$7)),$AY$6,IF(OR(COUNTIF('1.연간시수표'!AJ67,$AZ$9),COUNTIF('1.연간시수표'!AJ67,$AZ$7)),$AZ$6,IF(OR(COUNTIF('1.연간시수표'!AJ67,$BA$9),COUNTIF('1.연간시수표'!AJ67,$BA$7)),$BA$6,IF(OR(COUNTIF('1.연간시수표'!AJ67,$BB$9),COUNTIF('1.연간시수표'!AJ67,$BB$7)),$BB$6,IF(OR(COUNTIF('1.연간시수표'!AJ67,$BC$9),COUNTIF('1.연간시수표'!AJ67,$BC$7)),$BC$6,IF(OR(COUNTIF('1.연간시수표'!AJ67,$BF$9),COUNTIF('1.연간시수표'!AJ67,$BF$7),COUNTIF('1.연간시수표'!AJ67,$BG$9),COUNTIF('1.연간시수표'!AJ67,$BG$7),COUNTIF('1.연간시수표'!AJ67,$BH$9),COUNTIF('1.연간시수표'!AJ67,$BH$7),COUNTIF('1.연간시수표'!AJ67,$BI$9),COUNTIF('1.연간시수표'!AJ67,$BI$7),COUNTIF('1.연간시수표'!AJ67,$BJ$9),COUNTIF('1.연간시수표'!AJ67,$BJ$7),COUNTIF('1.연간시수표'!AJ67,$BK$9),COUNTIF('1.연간시수표'!AJ67,$BK$7),COUNTIF('1.연간시수표'!AJ67,$BL$9),COUNTIF('1.연간시수표'!AJ67,$BL$7),COUNTIF('1.연간시수표'!AJ67,$BM$9),COUNTIF('1.연간시수표'!AJ67,$BM$7)),$BF$6,IF(OR(COUNTIF('1.연간시수표'!AJ67,$BO$9),COUNTIF('1.연간시수표'!AJ67,$BO$7)),$BO$6,IF(OR(COUNTIF('1.연간시수표'!AJ67,$BP$9),COUNTIF('1.연간시수표'!AJ67,$BP$7)),$BP$6,IF(OR(COUNTIF('1.연간시수표'!AJ67,$BQ$9),COUNTIF('1.연간시수표'!AJ67,$BQ$7)),$BQ$6,IF(OR(COUNTIF('1.연간시수표'!AJ67,$BR$9),COUNTIF('1.연간시수표'!AJ67,$BR$7)),$BR$6,"_")))))))))))))))</f>
        <v>_</v>
      </c>
      <c r="AK67" s="148" t="str">
        <f>IF(OR(COUNTIF('1.연간시수표'!AK67,$AT$9),COUNTIF('1.연간시수표'!AK67,$AT$7)),$AT$6,IF(OR(COUNTIF('1.연간시수표'!AK67,$AU$9),COUNTIF('1.연간시수표'!AK67,$AU$7)),$AU$6,IF(OR(COUNTIF('1.연간시수표'!AK67,$AV$9),COUNTIF('1.연간시수표'!AK67,$AV$7)),$AV$6,IF(OR(COUNTIF('1.연간시수표'!AK67,$AW$9),COUNTIF('1.연간시수표'!AK67,$AW$7)),$AW$6,IF(OR(COUNTIF('1.연간시수표'!AK67,$AX$9),COUNTIF('1.연간시수표'!AK67,$AX$7)),$AX$6,IF(OR(COUNTIF('1.연간시수표'!AK67,$AY$9),COUNTIF('1.연간시수표'!AK67,$AY$7)),$AY$6,IF(OR(COUNTIF('1.연간시수표'!AK67,$AZ$9),COUNTIF('1.연간시수표'!AK67,$AZ$7)),$AZ$6,IF(OR(COUNTIF('1.연간시수표'!AK67,$BA$9),COUNTIF('1.연간시수표'!AK67,$BA$7)),$BA$6,IF(OR(COUNTIF('1.연간시수표'!AK67,$BB$9),COUNTIF('1.연간시수표'!AK67,$BB$7)),$BB$6,IF(OR(COUNTIF('1.연간시수표'!AK67,$BC$9),COUNTIF('1.연간시수표'!AK67,$BC$7)),$BC$6,IF(OR(COUNTIF('1.연간시수표'!AK67,$BF$9),COUNTIF('1.연간시수표'!AK67,$BF$7),COUNTIF('1.연간시수표'!AK67,$BG$9),COUNTIF('1.연간시수표'!AK67,$BG$7),COUNTIF('1.연간시수표'!AK67,$BH$9),COUNTIF('1.연간시수표'!AK67,$BH$7),COUNTIF('1.연간시수표'!AK67,$BI$9),COUNTIF('1.연간시수표'!AK67,$BI$7),COUNTIF('1.연간시수표'!AK67,$BJ$9),COUNTIF('1.연간시수표'!AK67,$BJ$7),COUNTIF('1.연간시수표'!AK67,$BK$9),COUNTIF('1.연간시수표'!AK67,$BK$7),COUNTIF('1.연간시수표'!AK67,$BL$9),COUNTIF('1.연간시수표'!AK67,$BL$7),COUNTIF('1.연간시수표'!AK67,$BM$9),COUNTIF('1.연간시수표'!AK67,$BM$7)),$BF$6,IF(OR(COUNTIF('1.연간시수표'!AK67,$BO$9),COUNTIF('1.연간시수표'!AK67,$BO$7)),$BO$6,IF(OR(COUNTIF('1.연간시수표'!AK67,$BP$9),COUNTIF('1.연간시수표'!AK67,$BP$7)),$BP$6,IF(OR(COUNTIF('1.연간시수표'!AK67,$BQ$9),COUNTIF('1.연간시수표'!AK67,$BQ$7)),$BQ$6,IF(OR(COUNTIF('1.연간시수표'!AK67,$BR$9),COUNTIF('1.연간시수표'!AK67,$BR$7)),$BR$6,"_")))))))))))))))</f>
        <v>국어</v>
      </c>
      <c r="AL67" s="148" t="str">
        <f>IF(OR(COUNTIF('1.연간시수표'!AL67,$AT$9),COUNTIF('1.연간시수표'!AL67,$AT$7)),$AT$6,IF(OR(COUNTIF('1.연간시수표'!AL67,$AU$9),COUNTIF('1.연간시수표'!AL67,$AU$7)),$AU$6,IF(OR(COUNTIF('1.연간시수표'!AL67,$AV$9),COUNTIF('1.연간시수표'!AL67,$AV$7)),$AV$6,IF(OR(COUNTIF('1.연간시수표'!AL67,$AW$9),COUNTIF('1.연간시수표'!AL67,$AW$7)),$AW$6,IF(OR(COUNTIF('1.연간시수표'!AL67,$AX$9),COUNTIF('1.연간시수표'!AL67,$AX$7)),$AX$6,IF(OR(COUNTIF('1.연간시수표'!AL67,$AY$9),COUNTIF('1.연간시수표'!AL67,$AY$7)),$AY$6,IF(OR(COUNTIF('1.연간시수표'!AL67,$AZ$9),COUNTIF('1.연간시수표'!AL67,$AZ$7)),$AZ$6,IF(OR(COUNTIF('1.연간시수표'!AL67,$BA$9),COUNTIF('1.연간시수표'!AL67,$BA$7)),$BA$6,IF(OR(COUNTIF('1.연간시수표'!AL67,$BB$9),COUNTIF('1.연간시수표'!AL67,$BB$7)),$BB$6,IF(OR(COUNTIF('1.연간시수표'!AL67,$BC$9),COUNTIF('1.연간시수표'!AL67,$BC$7)),$BC$6,IF(OR(COUNTIF('1.연간시수표'!AL67,$BF$9),COUNTIF('1.연간시수표'!AL67,$BF$7),COUNTIF('1.연간시수표'!AL67,$BG$9),COUNTIF('1.연간시수표'!AL67,$BG$7),COUNTIF('1.연간시수표'!AL67,$BH$9),COUNTIF('1.연간시수표'!AL67,$BH$7),COUNTIF('1.연간시수표'!AL67,$BI$9),COUNTIF('1.연간시수표'!AL67,$BI$7),COUNTIF('1.연간시수표'!AL67,$BJ$9),COUNTIF('1.연간시수표'!AL67,$BJ$7),COUNTIF('1.연간시수표'!AL67,$BK$9),COUNTIF('1.연간시수표'!AL67,$BK$7),COUNTIF('1.연간시수표'!AL67,$BL$9),COUNTIF('1.연간시수표'!AL67,$BL$7),COUNTIF('1.연간시수표'!AL67,$BM$9),COUNTIF('1.연간시수표'!AL67,$BM$7)),$BF$6,IF(OR(COUNTIF('1.연간시수표'!AL67,$BO$9),COUNTIF('1.연간시수표'!AL67,$BO$7)),$BO$6,IF(OR(COUNTIF('1.연간시수표'!AL67,$BP$9),COUNTIF('1.연간시수표'!AL67,$BP$7)),$BP$6,IF(OR(COUNTIF('1.연간시수표'!AL67,$BQ$9),COUNTIF('1.연간시수표'!AL67,$BQ$7)),$BQ$6,IF(OR(COUNTIF('1.연간시수표'!AL67,$BR$9),COUNTIF('1.연간시수표'!AL67,$BR$7)),$BR$6,"_")))))))))))))))</f>
        <v>체육</v>
      </c>
      <c r="AM67" s="148" t="str">
        <f>IF(OR(COUNTIF('1.연간시수표'!AM67,$AT$9),COUNTIF('1.연간시수표'!AM67,$AT$7)),$AT$6,IF(OR(COUNTIF('1.연간시수표'!AM67,$AU$9),COUNTIF('1.연간시수표'!AM67,$AU$7)),$AU$6,IF(OR(COUNTIF('1.연간시수표'!AM67,$AV$9),COUNTIF('1.연간시수표'!AM67,$AV$7)),$AV$6,IF(OR(COUNTIF('1.연간시수표'!AM67,$AW$9),COUNTIF('1.연간시수표'!AM67,$AW$7)),$AW$6,IF(OR(COUNTIF('1.연간시수표'!AM67,$AX$9),COUNTIF('1.연간시수표'!AM67,$AX$7)),$AX$6,IF(OR(COUNTIF('1.연간시수표'!AM67,$AY$9),COUNTIF('1.연간시수표'!AM67,$AY$7)),$AY$6,IF(OR(COUNTIF('1.연간시수표'!AM67,$AZ$9),COUNTIF('1.연간시수표'!AM67,$AZ$7)),$AZ$6,IF(OR(COUNTIF('1.연간시수표'!AM67,$BA$9),COUNTIF('1.연간시수표'!AM67,$BA$7)),$BA$6,IF(OR(COUNTIF('1.연간시수표'!AM67,$BB$9),COUNTIF('1.연간시수표'!AM67,$BB$7)),$BB$6,IF(OR(COUNTIF('1.연간시수표'!AM67,$BC$9),COUNTIF('1.연간시수표'!AM67,$BC$7)),$BC$6,IF(OR(COUNTIF('1.연간시수표'!AM67,$BF$9),COUNTIF('1.연간시수표'!AM67,$BF$7),COUNTIF('1.연간시수표'!AM67,$BG$9),COUNTIF('1.연간시수표'!AM67,$BG$7),COUNTIF('1.연간시수표'!AM67,$BH$9),COUNTIF('1.연간시수표'!AM67,$BH$7),COUNTIF('1.연간시수표'!AM67,$BI$9),COUNTIF('1.연간시수표'!AM67,$BI$7),COUNTIF('1.연간시수표'!AM67,$BJ$9),COUNTIF('1.연간시수표'!AM67,$BJ$7),COUNTIF('1.연간시수표'!AM67,$BK$9),COUNTIF('1.연간시수표'!AM67,$BK$7),COUNTIF('1.연간시수표'!AM67,$BL$9),COUNTIF('1.연간시수표'!AM67,$BL$7),COUNTIF('1.연간시수표'!AM67,$BM$9),COUNTIF('1.연간시수표'!AM67,$BM$7)),$BF$6,IF(OR(COUNTIF('1.연간시수표'!AM67,$BO$9),COUNTIF('1.연간시수표'!AM67,$BO$7)),$BO$6,IF(OR(COUNTIF('1.연간시수표'!AM67,$BP$9),COUNTIF('1.연간시수표'!AM67,$BP$7)),$BP$6,IF(OR(COUNTIF('1.연간시수표'!AM67,$BQ$9),COUNTIF('1.연간시수표'!AM67,$BQ$7)),$BQ$6,IF(OR(COUNTIF('1.연간시수표'!AM67,$BR$9),COUNTIF('1.연간시수표'!AM67,$BR$7)),$BR$6,"_")))))))))))))))</f>
        <v>수학</v>
      </c>
      <c r="AN67" s="148" t="str">
        <f>IF(OR(COUNTIF('1.연간시수표'!AN67,$AT$9),COUNTIF('1.연간시수표'!AN67,$AT$7)),$AT$6,IF(OR(COUNTIF('1.연간시수표'!AN67,$AU$9),COUNTIF('1.연간시수표'!AN67,$AU$7)),$AU$6,IF(OR(COUNTIF('1.연간시수표'!AN67,$AV$9),COUNTIF('1.연간시수표'!AN67,$AV$7)),$AV$6,IF(OR(COUNTIF('1.연간시수표'!AN67,$AW$9),COUNTIF('1.연간시수표'!AN67,$AW$7)),$AW$6,IF(OR(COUNTIF('1.연간시수표'!AN67,$AX$9),COUNTIF('1.연간시수표'!AN67,$AX$7)),$AX$6,IF(OR(COUNTIF('1.연간시수표'!AN67,$AY$9),COUNTIF('1.연간시수표'!AN67,$AY$7)),$AY$6,IF(OR(COUNTIF('1.연간시수표'!AN67,$AZ$9),COUNTIF('1.연간시수표'!AN67,$AZ$7)),$AZ$6,IF(OR(COUNTIF('1.연간시수표'!AN67,$BA$9),COUNTIF('1.연간시수표'!AN67,$BA$7)),$BA$6,IF(OR(COUNTIF('1.연간시수표'!AN67,$BB$9),COUNTIF('1.연간시수표'!AN67,$BB$7)),$BB$6,IF(OR(COUNTIF('1.연간시수표'!AN67,$BC$9),COUNTIF('1.연간시수표'!AN67,$BC$7)),$BC$6,IF(OR(COUNTIF('1.연간시수표'!AN67,$BF$9),COUNTIF('1.연간시수표'!AN67,$BF$7),COUNTIF('1.연간시수표'!AN67,$BG$9),COUNTIF('1.연간시수표'!AN67,$BG$7),COUNTIF('1.연간시수표'!AN67,$BH$9),COUNTIF('1.연간시수표'!AN67,$BH$7),COUNTIF('1.연간시수표'!AN67,$BI$9),COUNTIF('1.연간시수표'!AN67,$BI$7),COUNTIF('1.연간시수표'!AN67,$BJ$9),COUNTIF('1.연간시수표'!AN67,$BJ$7),COUNTIF('1.연간시수표'!AN67,$BK$9),COUNTIF('1.연간시수표'!AN67,$BK$7),COUNTIF('1.연간시수표'!AN67,$BL$9),COUNTIF('1.연간시수표'!AN67,$BL$7),COUNTIF('1.연간시수표'!AN67,$BM$9),COUNTIF('1.연간시수표'!AN67,$BM$7)),$BF$6,IF(OR(COUNTIF('1.연간시수표'!AN67,$BO$9),COUNTIF('1.연간시수표'!AN67,$BO$7)),$BO$6,IF(OR(COUNTIF('1.연간시수표'!AN67,$BP$9),COUNTIF('1.연간시수표'!AN67,$BP$7)),$BP$6,IF(OR(COUNTIF('1.연간시수표'!AN67,$BQ$9),COUNTIF('1.연간시수표'!AN67,$BQ$7)),$BQ$6,IF(OR(COUNTIF('1.연간시수표'!AN67,$BR$9),COUNTIF('1.연간시수표'!AN67,$BR$7)),$BR$6,"_")))))))))))))))</f>
        <v>국어</v>
      </c>
      <c r="AO67" s="148" t="str">
        <f>IF(OR(COUNTIF('1.연간시수표'!AO67,$AT$9),COUNTIF('1.연간시수표'!AO67,$AT$7)),$AT$6,IF(OR(COUNTIF('1.연간시수표'!AO67,$AU$9),COUNTIF('1.연간시수표'!AO67,$AU$7)),$AU$6,IF(OR(COUNTIF('1.연간시수표'!AO67,$AV$9),COUNTIF('1.연간시수표'!AO67,$AV$7)),$AV$6,IF(OR(COUNTIF('1.연간시수표'!AO67,$AW$9),COUNTIF('1.연간시수표'!AO67,$AW$7)),$AW$6,IF(OR(COUNTIF('1.연간시수표'!AO67,$AX$9),COUNTIF('1.연간시수표'!AO67,$AX$7)),$AX$6,IF(OR(COUNTIF('1.연간시수표'!AO67,$AY$9),COUNTIF('1.연간시수표'!AO67,$AY$7)),$AY$6,IF(OR(COUNTIF('1.연간시수표'!AO67,$AZ$9),COUNTIF('1.연간시수표'!AO67,$AZ$7)),$AZ$6,IF(OR(COUNTIF('1.연간시수표'!AO67,$BA$9),COUNTIF('1.연간시수표'!AO67,$BA$7)),$BA$6,IF(OR(COUNTIF('1.연간시수표'!AO67,$BB$9),COUNTIF('1.연간시수표'!AO67,$BB$7)),$BB$6,IF(OR(COUNTIF('1.연간시수표'!AO67,$BC$9),COUNTIF('1.연간시수표'!AO67,$BC$7)),$BC$6,IF(OR(COUNTIF('1.연간시수표'!AO67,$BF$9),COUNTIF('1.연간시수표'!AO67,$BF$7),COUNTIF('1.연간시수표'!AO67,$BG$9),COUNTIF('1.연간시수표'!AO67,$BG$7),COUNTIF('1.연간시수표'!AO67,$BH$9),COUNTIF('1.연간시수표'!AO67,$BH$7),COUNTIF('1.연간시수표'!AO67,$BI$9),COUNTIF('1.연간시수표'!AO67,$BI$7),COUNTIF('1.연간시수표'!AO67,$BJ$9),COUNTIF('1.연간시수표'!AO67,$BJ$7),COUNTIF('1.연간시수표'!AO67,$BK$9),COUNTIF('1.연간시수표'!AO67,$BK$7),COUNTIF('1.연간시수표'!AO67,$BL$9),COUNTIF('1.연간시수표'!AO67,$BL$7),COUNTIF('1.연간시수표'!AO67,$BM$9),COUNTIF('1.연간시수표'!AO67,$BM$7)),$BF$6,IF(OR(COUNTIF('1.연간시수표'!AO67,$BO$9),COUNTIF('1.연간시수표'!AO67,$BO$7)),$BO$6,IF(OR(COUNTIF('1.연간시수표'!AO67,$BP$9),COUNTIF('1.연간시수표'!AO67,$BP$7)),$BP$6,IF(OR(COUNTIF('1.연간시수표'!AO67,$BQ$9),COUNTIF('1.연간시수표'!AO67,$BQ$7)),$BQ$6,IF(OR(COUNTIF('1.연간시수표'!AO67,$BR$9),COUNTIF('1.연간시수표'!AO67,$BR$7)),$BR$6,"_")))))))))))))))</f>
        <v>사회</v>
      </c>
      <c r="AP67" s="148" t="str">
        <f>IF(OR(COUNTIF('1.연간시수표'!AP67,$AT$9),COUNTIF('1.연간시수표'!AP67,$AT$7)),$AT$6,IF(OR(COUNTIF('1.연간시수표'!AP67,$AU$9),COUNTIF('1.연간시수표'!AP67,$AU$7)),$AU$6,IF(OR(COUNTIF('1.연간시수표'!AP67,$AV$9),COUNTIF('1.연간시수표'!AP67,$AV$7)),$AV$6,IF(OR(COUNTIF('1.연간시수표'!AP67,$AW$9),COUNTIF('1.연간시수표'!AP67,$AW$7)),$AW$6,IF(OR(COUNTIF('1.연간시수표'!AP67,$AX$9),COUNTIF('1.연간시수표'!AP67,$AX$7)),$AX$6,IF(OR(COUNTIF('1.연간시수표'!AP67,$AY$9),COUNTIF('1.연간시수표'!AP67,$AY$7)),$AY$6,IF(OR(COUNTIF('1.연간시수표'!AP67,$AZ$9),COUNTIF('1.연간시수표'!AP67,$AZ$7)),$AZ$6,IF(OR(COUNTIF('1.연간시수표'!AP67,$BA$9),COUNTIF('1.연간시수표'!AP67,$BA$7)),$BA$6,IF(OR(COUNTIF('1.연간시수표'!AP67,$BB$9),COUNTIF('1.연간시수표'!AP67,$BB$7)),$BB$6,IF(OR(COUNTIF('1.연간시수표'!AP67,$BC$9),COUNTIF('1.연간시수표'!AP67,$BC$7)),$BC$6,IF(OR(COUNTIF('1.연간시수표'!AP67,$BF$9),COUNTIF('1.연간시수표'!AP67,$BF$7),COUNTIF('1.연간시수표'!AP67,$BG$9),COUNTIF('1.연간시수표'!AP67,$BG$7),COUNTIF('1.연간시수표'!AP67,$BH$9),COUNTIF('1.연간시수표'!AP67,$BH$7),COUNTIF('1.연간시수표'!AP67,$BI$9),COUNTIF('1.연간시수표'!AP67,$BI$7),COUNTIF('1.연간시수표'!AP67,$BJ$9),COUNTIF('1.연간시수표'!AP67,$BJ$7),COUNTIF('1.연간시수표'!AP67,$BK$9),COUNTIF('1.연간시수표'!AP67,$BK$7),COUNTIF('1.연간시수표'!AP67,$BL$9),COUNTIF('1.연간시수표'!AP67,$BL$7),COUNTIF('1.연간시수표'!AP67,$BM$9),COUNTIF('1.연간시수표'!AP67,$BM$7)),$BF$6,IF(OR(COUNTIF('1.연간시수표'!AP67,$BO$9),COUNTIF('1.연간시수표'!AP67,$BO$7)),$BO$6,IF(OR(COUNTIF('1.연간시수표'!AP67,$BP$9),COUNTIF('1.연간시수표'!AP67,$BP$7)),$BP$6,IF(OR(COUNTIF('1.연간시수표'!AP67,$BQ$9),COUNTIF('1.연간시수표'!AP67,$BQ$7)),$BQ$6,IF(OR(COUNTIF('1.연간시수표'!AP67,$BR$9),COUNTIF('1.연간시수표'!AP67,$BR$7)),$BR$6,"_")))))))))))))))</f>
        <v>실과</v>
      </c>
      <c r="AQ67" s="148" t="str">
        <f>IF(OR(COUNTIF('1.연간시수표'!AQ67,$AT$9),COUNTIF('1.연간시수표'!AQ67,$AT$7)),$AT$6,IF(OR(COUNTIF('1.연간시수표'!AQ67,$AU$9),COUNTIF('1.연간시수표'!AQ67,$AU$7)),$AU$6,IF(OR(COUNTIF('1.연간시수표'!AQ67,$AV$9),COUNTIF('1.연간시수표'!AQ67,$AV$7)),$AV$6,IF(OR(COUNTIF('1.연간시수표'!AQ67,$AW$9),COUNTIF('1.연간시수표'!AQ67,$AW$7)),$AW$6,IF(OR(COUNTIF('1.연간시수표'!AQ67,$AX$9),COUNTIF('1.연간시수표'!AQ67,$AX$7)),$AX$6,IF(OR(COUNTIF('1.연간시수표'!AQ67,$AY$9),COUNTIF('1.연간시수표'!AQ67,$AY$7)),$AY$6,IF(OR(COUNTIF('1.연간시수표'!AQ67,$AZ$9),COUNTIF('1.연간시수표'!AQ67,$AZ$7)),$AZ$6,IF(OR(COUNTIF('1.연간시수표'!AQ67,$BA$9),COUNTIF('1.연간시수표'!AQ67,$BA$7)),$BA$6,IF(OR(COUNTIF('1.연간시수표'!AQ67,$BB$9),COUNTIF('1.연간시수표'!AQ67,$BB$7)),$BB$6,IF(OR(COUNTIF('1.연간시수표'!AQ67,$BC$9),COUNTIF('1.연간시수표'!AQ67,$BC$7)),$BC$6,IF(OR(COUNTIF('1.연간시수표'!AQ67,$BF$9),COUNTIF('1.연간시수표'!AQ67,$BF$7),COUNTIF('1.연간시수표'!AQ67,$BG$9),COUNTIF('1.연간시수표'!AQ67,$BG$7),COUNTIF('1.연간시수표'!AQ67,$BH$9),COUNTIF('1.연간시수표'!AQ67,$BH$7),COUNTIF('1.연간시수표'!AQ67,$BI$9),COUNTIF('1.연간시수표'!AQ67,$BI$7),COUNTIF('1.연간시수표'!AQ67,$BJ$9),COUNTIF('1.연간시수표'!AQ67,$BJ$7),COUNTIF('1.연간시수표'!AQ67,$BK$9),COUNTIF('1.연간시수표'!AQ67,$BK$7),COUNTIF('1.연간시수표'!AQ67,$BL$9),COUNTIF('1.연간시수표'!AQ67,$BL$7),COUNTIF('1.연간시수표'!AQ67,$BM$9),COUNTIF('1.연간시수표'!AQ67,$BM$7)),$BF$6,IF(OR(COUNTIF('1.연간시수표'!AQ67,$BO$9),COUNTIF('1.연간시수표'!AQ67,$BO$7)),$BO$6,IF(OR(COUNTIF('1.연간시수표'!AQ67,$BP$9),COUNTIF('1.연간시수표'!AQ67,$BP$7)),$BP$6,IF(OR(COUNTIF('1.연간시수표'!AQ67,$BQ$9),COUNTIF('1.연간시수표'!AQ67,$BQ$7)),$BQ$6,IF(OR(COUNTIF('1.연간시수표'!AQ67,$BR$9),COUNTIF('1.연간시수표'!AQ67,$BR$7)),$BR$6,"_")))))))))))))))</f>
        <v>_</v>
      </c>
      <c r="AR67" s="148" t="str">
        <f>IF(OR(COUNTIF('1.연간시수표'!AR67,$AT$9),COUNTIF('1.연간시수표'!AR67,$AT$7)),$AT$6,IF(OR(COUNTIF('1.연간시수표'!AR67,$AU$9),COUNTIF('1.연간시수표'!AR67,$AU$7)),$AU$6,IF(OR(COUNTIF('1.연간시수표'!AR67,$AV$9),COUNTIF('1.연간시수표'!AR67,$AV$7)),$AV$6,IF(OR(COUNTIF('1.연간시수표'!AR67,$AW$9),COUNTIF('1.연간시수표'!AR67,$AW$7)),$AW$6,IF(OR(COUNTIF('1.연간시수표'!AR67,$AX$9),COUNTIF('1.연간시수표'!AR67,$AX$7)),$AX$6,IF(OR(COUNTIF('1.연간시수표'!AR67,$AY$9),COUNTIF('1.연간시수표'!AR67,$AY$7)),$AY$6,IF(OR(COUNTIF('1.연간시수표'!AR67,$AZ$9),COUNTIF('1.연간시수표'!AR67,$AZ$7)),$AZ$6,IF(OR(COUNTIF('1.연간시수표'!AR67,$BA$9),COUNTIF('1.연간시수표'!AR67,$BA$7)),$BA$6,IF(OR(COUNTIF('1.연간시수표'!AR67,$BB$9),COUNTIF('1.연간시수표'!AR67,$BB$7)),$BB$6,IF(OR(COUNTIF('1.연간시수표'!AR67,$BC$9),COUNTIF('1.연간시수표'!AR67,$BC$7)),$BC$6,IF(OR(COUNTIF('1.연간시수표'!AR67,$BF$9),COUNTIF('1.연간시수표'!AR67,$BF$7),COUNTIF('1.연간시수표'!AR67,$BG$9),COUNTIF('1.연간시수표'!AR67,$BG$7),COUNTIF('1.연간시수표'!AR67,$BH$9),COUNTIF('1.연간시수표'!AR67,$BH$7),COUNTIF('1.연간시수표'!AR67,$BI$9),COUNTIF('1.연간시수표'!AR67,$BI$7),COUNTIF('1.연간시수표'!AR67,$BJ$9),COUNTIF('1.연간시수표'!AR67,$BJ$7),COUNTIF('1.연간시수표'!AR67,$BK$9),COUNTIF('1.연간시수표'!AR67,$BK$7),COUNTIF('1.연간시수표'!AR67,$BL$9),COUNTIF('1.연간시수표'!AR67,$BL$7),COUNTIF('1.연간시수표'!AR67,$BM$9),COUNTIF('1.연간시수표'!AR67,$BM$7)),$BF$6,IF(OR(COUNTIF('1.연간시수표'!AR67,$BO$9),COUNTIF('1.연간시수표'!AR67,$BO$7)),$BO$6,IF(OR(COUNTIF('1.연간시수표'!AR67,$BP$9),COUNTIF('1.연간시수표'!AR67,$BP$7)),$BP$6,IF(OR(COUNTIF('1.연간시수표'!AR67,$BQ$9),COUNTIF('1.연간시수표'!AR67,$BQ$7)),$BQ$6,IF(OR(COUNTIF('1.연간시수표'!AR67,$BR$9),COUNTIF('1.연간시수표'!AR67,$BR$7)),$BR$6,"_")))))))))))))))</f>
        <v>_</v>
      </c>
    </row>
    <row r="68" spans="2:44">
      <c r="B68" s="6"/>
      <c r="C68" s="79">
        <f>'1.연간시수표'!C68</f>
        <v>37</v>
      </c>
      <c r="D68" s="3"/>
      <c r="E68" s="148" t="str">
        <f>IF(OR(COUNTIF('1.연간시수표'!E68,$AT$9),COUNTIF('1.연간시수표'!E68,$AT$7)),$AT$6,IF(OR(COUNTIF('1.연간시수표'!E68,$AU$9),COUNTIF('1.연간시수표'!E68,$AU$7)),$AU$6,IF(OR(COUNTIF('1.연간시수표'!E68,$AV$9),COUNTIF('1.연간시수표'!E68,$AV$7)),$AV$6,IF(OR(COUNTIF('1.연간시수표'!E68,$AW$9),COUNTIF('1.연간시수표'!E68,$AW$7)),$AW$6,IF(OR(COUNTIF('1.연간시수표'!E68,$AX$9),COUNTIF('1.연간시수표'!E68,$AX$7)),$AX$6,IF(OR(COUNTIF('1.연간시수표'!E68,$AY$9),COUNTIF('1.연간시수표'!E68,$AY$7)),$AY$6,IF(OR(COUNTIF('1.연간시수표'!E68,$AZ$9),COUNTIF('1.연간시수표'!E68,$AZ$7)),$AZ$6,IF(OR(COUNTIF('1.연간시수표'!E68,$BA$9),COUNTIF('1.연간시수표'!E68,$BA$7)),$BA$6,IF(OR(COUNTIF('1.연간시수표'!E68,$BB$9),COUNTIF('1.연간시수표'!E68,$BB$7)),$BB$6,IF(OR(COUNTIF('1.연간시수표'!E68,$BC$9),COUNTIF('1.연간시수표'!E68,$BC$7)),$BC$6,IF(OR(COUNTIF('1.연간시수표'!E68,$BF$9),COUNTIF('1.연간시수표'!E68,$BF$7),COUNTIF('1.연간시수표'!E68,$BG$9),COUNTIF('1.연간시수표'!E68,$BG$7),COUNTIF('1.연간시수표'!E68,$BH$9),COUNTIF('1.연간시수표'!E68,$BH$7),COUNTIF('1.연간시수표'!E68,$BI$9),COUNTIF('1.연간시수표'!E68,$BI$7),COUNTIF('1.연간시수표'!E68,$BJ$9),COUNTIF('1.연간시수표'!E68,$BJ$7),COUNTIF('1.연간시수표'!E68,$BK$9),COUNTIF('1.연간시수표'!E68,$BK$7),COUNTIF('1.연간시수표'!E68,$BL$9),COUNTIF('1.연간시수표'!E68,$BL$7),COUNTIF('1.연간시수표'!E68,$BM$9),COUNTIF('1.연간시수표'!E68,$BM$7)),$BF$6,IF(OR(COUNTIF('1.연간시수표'!E68,$BO$9),COUNTIF('1.연간시수표'!E68,$BO$7)),$BO$6,IF(OR(COUNTIF('1.연간시수표'!E68,$BP$9),COUNTIF('1.연간시수표'!E68,$BP$7)),$BP$6,IF(OR(COUNTIF('1.연간시수표'!E68,$BQ$9),COUNTIF('1.연간시수표'!E68,$BQ$7)),$BQ$6,IF(OR(COUNTIF('1.연간시수표'!E68,$BR$9),COUNTIF('1.연간시수표'!E68,$BR$7)),$BR$6,"_")))))))))))))))</f>
        <v>국어</v>
      </c>
      <c r="F68" s="148" t="str">
        <f>IF(OR(COUNTIF('1.연간시수표'!F68,$AT$9),COUNTIF('1.연간시수표'!F68,$AT$7)),$AT$6,IF(OR(COUNTIF('1.연간시수표'!F68,$AU$9),COUNTIF('1.연간시수표'!F68,$AU$7)),$AU$6,IF(OR(COUNTIF('1.연간시수표'!F68,$AV$9),COUNTIF('1.연간시수표'!F68,$AV$7)),$AV$6,IF(OR(COUNTIF('1.연간시수표'!F68,$AW$9),COUNTIF('1.연간시수표'!F68,$AW$7)),$AW$6,IF(OR(COUNTIF('1.연간시수표'!F68,$AX$9),COUNTIF('1.연간시수표'!F68,$AX$7)),$AX$6,IF(OR(COUNTIF('1.연간시수표'!F68,$AY$9),COUNTIF('1.연간시수표'!F68,$AY$7)),$AY$6,IF(OR(COUNTIF('1.연간시수표'!F68,$AZ$9),COUNTIF('1.연간시수표'!F68,$AZ$7)),$AZ$6,IF(OR(COUNTIF('1.연간시수표'!F68,$BA$9),COUNTIF('1.연간시수표'!F68,$BA$7)),$BA$6,IF(OR(COUNTIF('1.연간시수표'!F68,$BB$9),COUNTIF('1.연간시수표'!F68,$BB$7)),$BB$6,IF(OR(COUNTIF('1.연간시수표'!F68,$BC$9),COUNTIF('1.연간시수표'!F68,$BC$7)),$BC$6,IF(OR(COUNTIF('1.연간시수표'!F68,$BF$9),COUNTIF('1.연간시수표'!F68,$BF$7),COUNTIF('1.연간시수표'!F68,$BG$9),COUNTIF('1.연간시수표'!F68,$BG$7),COUNTIF('1.연간시수표'!F68,$BH$9),COUNTIF('1.연간시수표'!F68,$BH$7),COUNTIF('1.연간시수표'!F68,$BI$9),COUNTIF('1.연간시수표'!F68,$BI$7),COUNTIF('1.연간시수표'!F68,$BJ$9),COUNTIF('1.연간시수표'!F68,$BJ$7),COUNTIF('1.연간시수표'!F68,$BK$9),COUNTIF('1.연간시수표'!F68,$BK$7),COUNTIF('1.연간시수표'!F68,$BL$9),COUNTIF('1.연간시수표'!F68,$BL$7),COUNTIF('1.연간시수표'!F68,$BM$9),COUNTIF('1.연간시수표'!F68,$BM$7)),$BF$6,IF(OR(COUNTIF('1.연간시수표'!F68,$BO$9),COUNTIF('1.연간시수표'!F68,$BO$7)),$BO$6,IF(OR(COUNTIF('1.연간시수표'!F68,$BP$9),COUNTIF('1.연간시수표'!F68,$BP$7)),$BP$6,IF(OR(COUNTIF('1.연간시수표'!F68,$BQ$9),COUNTIF('1.연간시수표'!F68,$BQ$7)),$BQ$6,IF(OR(COUNTIF('1.연간시수표'!F68,$BR$9),COUNTIF('1.연간시수표'!F68,$BR$7)),$BR$6,"_")))))))))))))))</f>
        <v>미술</v>
      </c>
      <c r="G68" s="148" t="str">
        <f>IF(OR(COUNTIF('1.연간시수표'!G68,$AT$9),COUNTIF('1.연간시수표'!G68,$AT$7)),$AT$6,IF(OR(COUNTIF('1.연간시수표'!G68,$AU$9),COUNTIF('1.연간시수표'!G68,$AU$7)),$AU$6,IF(OR(COUNTIF('1.연간시수표'!G68,$AV$9),COUNTIF('1.연간시수표'!G68,$AV$7)),$AV$6,IF(OR(COUNTIF('1.연간시수표'!G68,$AW$9),COUNTIF('1.연간시수표'!G68,$AW$7)),$AW$6,IF(OR(COUNTIF('1.연간시수표'!G68,$AX$9),COUNTIF('1.연간시수표'!G68,$AX$7)),$AX$6,IF(OR(COUNTIF('1.연간시수표'!G68,$AY$9),COUNTIF('1.연간시수표'!G68,$AY$7)),$AY$6,IF(OR(COUNTIF('1.연간시수표'!G68,$AZ$9),COUNTIF('1.연간시수표'!G68,$AZ$7)),$AZ$6,IF(OR(COUNTIF('1.연간시수표'!G68,$BA$9),COUNTIF('1.연간시수표'!G68,$BA$7)),$BA$6,IF(OR(COUNTIF('1.연간시수표'!G68,$BB$9),COUNTIF('1.연간시수표'!G68,$BB$7)),$BB$6,IF(OR(COUNTIF('1.연간시수표'!G68,$BC$9),COUNTIF('1.연간시수표'!G68,$BC$7)),$BC$6,IF(OR(COUNTIF('1.연간시수표'!G68,$BF$9),COUNTIF('1.연간시수표'!G68,$BF$7),COUNTIF('1.연간시수표'!G68,$BG$9),COUNTIF('1.연간시수표'!G68,$BG$7),COUNTIF('1.연간시수표'!G68,$BH$9),COUNTIF('1.연간시수표'!G68,$BH$7),COUNTIF('1.연간시수표'!G68,$BI$9),COUNTIF('1.연간시수표'!G68,$BI$7),COUNTIF('1.연간시수표'!G68,$BJ$9),COUNTIF('1.연간시수표'!G68,$BJ$7),COUNTIF('1.연간시수표'!G68,$BK$9),COUNTIF('1.연간시수표'!G68,$BK$7),COUNTIF('1.연간시수표'!G68,$BL$9),COUNTIF('1.연간시수표'!G68,$BL$7),COUNTIF('1.연간시수표'!G68,$BM$9),COUNTIF('1.연간시수표'!G68,$BM$7)),$BF$6,IF(OR(COUNTIF('1.연간시수표'!G68,$BO$9),COUNTIF('1.연간시수표'!G68,$BO$7)),$BO$6,IF(OR(COUNTIF('1.연간시수표'!G68,$BP$9),COUNTIF('1.연간시수표'!G68,$BP$7)),$BP$6,IF(OR(COUNTIF('1.연간시수표'!G68,$BQ$9),COUNTIF('1.연간시수표'!G68,$BQ$7)),$BQ$6,IF(OR(COUNTIF('1.연간시수표'!G68,$BR$9),COUNTIF('1.연간시수표'!G68,$BR$7)),$BR$6,"_")))))))))))))))</f>
        <v>미술</v>
      </c>
      <c r="H68" s="148" t="str">
        <f>IF(OR(COUNTIF('1.연간시수표'!H68,$AT$9),COUNTIF('1.연간시수표'!H68,$AT$7)),$AT$6,IF(OR(COUNTIF('1.연간시수표'!H68,$AU$9),COUNTIF('1.연간시수표'!H68,$AU$7)),$AU$6,IF(OR(COUNTIF('1.연간시수표'!H68,$AV$9),COUNTIF('1.연간시수표'!H68,$AV$7)),$AV$6,IF(OR(COUNTIF('1.연간시수표'!H68,$AW$9),COUNTIF('1.연간시수표'!H68,$AW$7)),$AW$6,IF(OR(COUNTIF('1.연간시수표'!H68,$AX$9),COUNTIF('1.연간시수표'!H68,$AX$7)),$AX$6,IF(OR(COUNTIF('1.연간시수표'!H68,$AY$9),COUNTIF('1.연간시수표'!H68,$AY$7)),$AY$6,IF(OR(COUNTIF('1.연간시수표'!H68,$AZ$9),COUNTIF('1.연간시수표'!H68,$AZ$7)),$AZ$6,IF(OR(COUNTIF('1.연간시수표'!H68,$BA$9),COUNTIF('1.연간시수표'!H68,$BA$7)),$BA$6,IF(OR(COUNTIF('1.연간시수표'!H68,$BB$9),COUNTIF('1.연간시수표'!H68,$BB$7)),$BB$6,IF(OR(COUNTIF('1.연간시수표'!H68,$BC$9),COUNTIF('1.연간시수표'!H68,$BC$7)),$BC$6,IF(OR(COUNTIF('1.연간시수표'!H68,$BF$9),COUNTIF('1.연간시수표'!H68,$BF$7),COUNTIF('1.연간시수표'!H68,$BG$9),COUNTIF('1.연간시수표'!H68,$BG$7),COUNTIF('1.연간시수표'!H68,$BH$9),COUNTIF('1.연간시수표'!H68,$BH$7),COUNTIF('1.연간시수표'!H68,$BI$9),COUNTIF('1.연간시수표'!H68,$BI$7),COUNTIF('1.연간시수표'!H68,$BJ$9),COUNTIF('1.연간시수표'!H68,$BJ$7),COUNTIF('1.연간시수표'!H68,$BK$9),COUNTIF('1.연간시수표'!H68,$BK$7),COUNTIF('1.연간시수표'!H68,$BL$9),COUNTIF('1.연간시수표'!H68,$BL$7),COUNTIF('1.연간시수표'!H68,$BM$9),COUNTIF('1.연간시수표'!H68,$BM$7)),$BF$6,IF(OR(COUNTIF('1.연간시수표'!H68,$BO$9),COUNTIF('1.연간시수표'!H68,$BO$7)),$BO$6,IF(OR(COUNTIF('1.연간시수표'!H68,$BP$9),COUNTIF('1.연간시수표'!H68,$BP$7)),$BP$6,IF(OR(COUNTIF('1.연간시수표'!H68,$BQ$9),COUNTIF('1.연간시수표'!H68,$BQ$7)),$BQ$6,IF(OR(COUNTIF('1.연간시수표'!H68,$BR$9),COUNTIF('1.연간시수표'!H68,$BR$7)),$BR$6,"_")))))))))))))))</f>
        <v>영어</v>
      </c>
      <c r="I68" s="148" t="str">
        <f>IF(OR(COUNTIF('1.연간시수표'!I68,$AT$9),COUNTIF('1.연간시수표'!I68,$AT$7)),$AT$6,IF(OR(COUNTIF('1.연간시수표'!I68,$AU$9),COUNTIF('1.연간시수표'!I68,$AU$7)),$AU$6,IF(OR(COUNTIF('1.연간시수표'!I68,$AV$9),COUNTIF('1.연간시수표'!I68,$AV$7)),$AV$6,IF(OR(COUNTIF('1.연간시수표'!I68,$AW$9),COUNTIF('1.연간시수표'!I68,$AW$7)),$AW$6,IF(OR(COUNTIF('1.연간시수표'!I68,$AX$9),COUNTIF('1.연간시수표'!I68,$AX$7)),$AX$6,IF(OR(COUNTIF('1.연간시수표'!I68,$AY$9),COUNTIF('1.연간시수표'!I68,$AY$7)),$AY$6,IF(OR(COUNTIF('1.연간시수표'!I68,$AZ$9),COUNTIF('1.연간시수표'!I68,$AZ$7)),$AZ$6,IF(OR(COUNTIF('1.연간시수표'!I68,$BA$9),COUNTIF('1.연간시수표'!I68,$BA$7)),$BA$6,IF(OR(COUNTIF('1.연간시수표'!I68,$BB$9),COUNTIF('1.연간시수표'!I68,$BB$7)),$BB$6,IF(OR(COUNTIF('1.연간시수표'!I68,$BC$9),COUNTIF('1.연간시수표'!I68,$BC$7)),$BC$6,IF(OR(COUNTIF('1.연간시수표'!I68,$BF$9),COUNTIF('1.연간시수표'!I68,$BF$7),COUNTIF('1.연간시수표'!I68,$BG$9),COUNTIF('1.연간시수표'!I68,$BG$7),COUNTIF('1.연간시수표'!I68,$BH$9),COUNTIF('1.연간시수표'!I68,$BH$7),COUNTIF('1.연간시수표'!I68,$BI$9),COUNTIF('1.연간시수표'!I68,$BI$7),COUNTIF('1.연간시수표'!I68,$BJ$9),COUNTIF('1.연간시수표'!I68,$BJ$7),COUNTIF('1.연간시수표'!I68,$BK$9),COUNTIF('1.연간시수표'!I68,$BK$7),COUNTIF('1.연간시수표'!I68,$BL$9),COUNTIF('1.연간시수표'!I68,$BL$7),COUNTIF('1.연간시수표'!I68,$BM$9),COUNTIF('1.연간시수표'!I68,$BM$7)),$BF$6,IF(OR(COUNTIF('1.연간시수표'!I68,$BO$9),COUNTIF('1.연간시수표'!I68,$BO$7)),$BO$6,IF(OR(COUNTIF('1.연간시수표'!I68,$BP$9),COUNTIF('1.연간시수표'!I68,$BP$7)),$BP$6,IF(OR(COUNTIF('1.연간시수표'!I68,$BQ$9),COUNTIF('1.연간시수표'!I68,$BQ$7)),$BQ$6,IF(OR(COUNTIF('1.연간시수표'!I68,$BR$9),COUNTIF('1.연간시수표'!I68,$BR$7)),$BR$6,"_")))))))))))))))</f>
        <v>수학</v>
      </c>
      <c r="J68" s="148" t="str">
        <f>IF(OR(COUNTIF('1.연간시수표'!J68,$AT$9),COUNTIF('1.연간시수표'!J68,$AT$7)),$AT$6,IF(OR(COUNTIF('1.연간시수표'!J68,$AU$9),COUNTIF('1.연간시수표'!J68,$AU$7)),$AU$6,IF(OR(COUNTIF('1.연간시수표'!J68,$AV$9),COUNTIF('1.연간시수표'!J68,$AV$7)),$AV$6,IF(OR(COUNTIF('1.연간시수표'!J68,$AW$9),COUNTIF('1.연간시수표'!J68,$AW$7)),$AW$6,IF(OR(COUNTIF('1.연간시수표'!J68,$AX$9),COUNTIF('1.연간시수표'!J68,$AX$7)),$AX$6,IF(OR(COUNTIF('1.연간시수표'!J68,$AY$9),COUNTIF('1.연간시수표'!J68,$AY$7)),$AY$6,IF(OR(COUNTIF('1.연간시수표'!J68,$AZ$9),COUNTIF('1.연간시수표'!J68,$AZ$7)),$AZ$6,IF(OR(COUNTIF('1.연간시수표'!J68,$BA$9),COUNTIF('1.연간시수표'!J68,$BA$7)),$BA$6,IF(OR(COUNTIF('1.연간시수표'!J68,$BB$9),COUNTIF('1.연간시수표'!J68,$BB$7)),$BB$6,IF(OR(COUNTIF('1.연간시수표'!J68,$BC$9),COUNTIF('1.연간시수표'!J68,$BC$7)),$BC$6,IF(OR(COUNTIF('1.연간시수표'!J68,$BF$9),COUNTIF('1.연간시수표'!J68,$BF$7),COUNTIF('1.연간시수표'!J68,$BG$9),COUNTIF('1.연간시수표'!J68,$BG$7),COUNTIF('1.연간시수표'!J68,$BH$9),COUNTIF('1.연간시수표'!J68,$BH$7),COUNTIF('1.연간시수표'!J68,$BI$9),COUNTIF('1.연간시수표'!J68,$BI$7),COUNTIF('1.연간시수표'!J68,$BJ$9),COUNTIF('1.연간시수표'!J68,$BJ$7),COUNTIF('1.연간시수표'!J68,$BK$9),COUNTIF('1.연간시수표'!J68,$BK$7),COUNTIF('1.연간시수표'!J68,$BL$9),COUNTIF('1.연간시수표'!J68,$BL$7),COUNTIF('1.연간시수표'!J68,$BM$9),COUNTIF('1.연간시수표'!J68,$BM$7)),$BF$6,IF(OR(COUNTIF('1.연간시수표'!J68,$BO$9),COUNTIF('1.연간시수표'!J68,$BO$7)),$BO$6,IF(OR(COUNTIF('1.연간시수표'!J68,$BP$9),COUNTIF('1.연간시수표'!J68,$BP$7)),$BP$6,IF(OR(COUNTIF('1.연간시수표'!J68,$BQ$9),COUNTIF('1.연간시수표'!J68,$BQ$7)),$BQ$6,IF(OR(COUNTIF('1.연간시수표'!J68,$BR$9),COUNTIF('1.연간시수표'!J68,$BR$7)),$BR$6,"_")))))))))))))))</f>
        <v>자율활동</v>
      </c>
      <c r="K68" s="148" t="str">
        <f>IF(OR(COUNTIF('1.연간시수표'!K68,$AT$9),COUNTIF('1.연간시수표'!K68,$AT$7)),$AT$6,IF(OR(COUNTIF('1.연간시수표'!K68,$AU$9),COUNTIF('1.연간시수표'!K68,$AU$7)),$AU$6,IF(OR(COUNTIF('1.연간시수표'!K68,$AV$9),COUNTIF('1.연간시수표'!K68,$AV$7)),$AV$6,IF(OR(COUNTIF('1.연간시수표'!K68,$AW$9),COUNTIF('1.연간시수표'!K68,$AW$7)),$AW$6,IF(OR(COUNTIF('1.연간시수표'!K68,$AX$9),COUNTIF('1.연간시수표'!K68,$AX$7)),$AX$6,IF(OR(COUNTIF('1.연간시수표'!K68,$AY$9),COUNTIF('1.연간시수표'!K68,$AY$7)),$AY$6,IF(OR(COUNTIF('1.연간시수표'!K68,$AZ$9),COUNTIF('1.연간시수표'!K68,$AZ$7)),$AZ$6,IF(OR(COUNTIF('1.연간시수표'!K68,$BA$9),COUNTIF('1.연간시수표'!K68,$BA$7)),$BA$6,IF(OR(COUNTIF('1.연간시수표'!K68,$BB$9),COUNTIF('1.연간시수표'!K68,$BB$7)),$BB$6,IF(OR(COUNTIF('1.연간시수표'!K68,$BC$9),COUNTIF('1.연간시수표'!K68,$BC$7)),$BC$6,IF(OR(COUNTIF('1.연간시수표'!K68,$BF$9),COUNTIF('1.연간시수표'!K68,$BF$7),COUNTIF('1.연간시수표'!K68,$BG$9),COUNTIF('1.연간시수표'!K68,$BG$7),COUNTIF('1.연간시수표'!K68,$BH$9),COUNTIF('1.연간시수표'!K68,$BH$7),COUNTIF('1.연간시수표'!K68,$BI$9),COUNTIF('1.연간시수표'!K68,$BI$7),COUNTIF('1.연간시수표'!K68,$BJ$9),COUNTIF('1.연간시수표'!K68,$BJ$7),COUNTIF('1.연간시수표'!K68,$BK$9),COUNTIF('1.연간시수표'!K68,$BK$7),COUNTIF('1.연간시수표'!K68,$BL$9),COUNTIF('1.연간시수표'!K68,$BL$7),COUNTIF('1.연간시수표'!K68,$BM$9),COUNTIF('1.연간시수표'!K68,$BM$7)),$BF$6,IF(OR(COUNTIF('1.연간시수표'!K68,$BO$9),COUNTIF('1.연간시수표'!K68,$BO$7)),$BO$6,IF(OR(COUNTIF('1.연간시수표'!K68,$BP$9),COUNTIF('1.연간시수표'!K68,$BP$7)),$BP$6,IF(OR(COUNTIF('1.연간시수표'!K68,$BQ$9),COUNTIF('1.연간시수표'!K68,$BQ$7)),$BQ$6,IF(OR(COUNTIF('1.연간시수표'!K68,$BR$9),COUNTIF('1.연간시수표'!K68,$BR$7)),$BR$6,"_")))))))))))))))</f>
        <v>_</v>
      </c>
      <c r="L68" s="148" t="str">
        <f>IF(OR(COUNTIF('1.연간시수표'!L68,$AT$9),COUNTIF('1.연간시수표'!L68,$AT$7)),$AT$6,IF(OR(COUNTIF('1.연간시수표'!L68,$AU$9),COUNTIF('1.연간시수표'!L68,$AU$7)),$AU$6,IF(OR(COUNTIF('1.연간시수표'!L68,$AV$9),COUNTIF('1.연간시수표'!L68,$AV$7)),$AV$6,IF(OR(COUNTIF('1.연간시수표'!L68,$AW$9),COUNTIF('1.연간시수표'!L68,$AW$7)),$AW$6,IF(OR(COUNTIF('1.연간시수표'!L68,$AX$9),COUNTIF('1.연간시수표'!L68,$AX$7)),$AX$6,IF(OR(COUNTIF('1.연간시수표'!L68,$AY$9),COUNTIF('1.연간시수표'!L68,$AY$7)),$AY$6,IF(OR(COUNTIF('1.연간시수표'!L68,$AZ$9),COUNTIF('1.연간시수표'!L68,$AZ$7)),$AZ$6,IF(OR(COUNTIF('1.연간시수표'!L68,$BA$9),COUNTIF('1.연간시수표'!L68,$BA$7)),$BA$6,IF(OR(COUNTIF('1.연간시수표'!L68,$BB$9),COUNTIF('1.연간시수표'!L68,$BB$7)),$BB$6,IF(OR(COUNTIF('1.연간시수표'!L68,$BC$9),COUNTIF('1.연간시수표'!L68,$BC$7)),$BC$6,IF(OR(COUNTIF('1.연간시수표'!L68,$BF$9),COUNTIF('1.연간시수표'!L68,$BF$7),COUNTIF('1.연간시수표'!L68,$BG$9),COUNTIF('1.연간시수표'!L68,$BG$7),COUNTIF('1.연간시수표'!L68,$BH$9),COUNTIF('1.연간시수표'!L68,$BH$7),COUNTIF('1.연간시수표'!L68,$BI$9),COUNTIF('1.연간시수표'!L68,$BI$7),COUNTIF('1.연간시수표'!L68,$BJ$9),COUNTIF('1.연간시수표'!L68,$BJ$7),COUNTIF('1.연간시수표'!L68,$BK$9),COUNTIF('1.연간시수표'!L68,$BK$7),COUNTIF('1.연간시수표'!L68,$BL$9),COUNTIF('1.연간시수표'!L68,$BL$7),COUNTIF('1.연간시수표'!L68,$BM$9),COUNTIF('1.연간시수표'!L68,$BM$7)),$BF$6,IF(OR(COUNTIF('1.연간시수표'!L68,$BO$9),COUNTIF('1.연간시수표'!L68,$BO$7)),$BO$6,IF(OR(COUNTIF('1.연간시수표'!L68,$BP$9),COUNTIF('1.연간시수표'!L68,$BP$7)),$BP$6,IF(OR(COUNTIF('1.연간시수표'!L68,$BQ$9),COUNTIF('1.연간시수표'!L68,$BQ$7)),$BQ$6,IF(OR(COUNTIF('1.연간시수표'!L68,$BR$9),COUNTIF('1.연간시수표'!L68,$BR$7)),$BR$6,"_")))))))))))))))</f>
        <v>_</v>
      </c>
      <c r="M68" s="148" t="str">
        <f>IF(OR(COUNTIF('1.연간시수표'!M68,$AT$9),COUNTIF('1.연간시수표'!M68,$AT$7)),$AT$6,IF(OR(COUNTIF('1.연간시수표'!M68,$AU$9),COUNTIF('1.연간시수표'!M68,$AU$7)),$AU$6,IF(OR(COUNTIF('1.연간시수표'!M68,$AV$9),COUNTIF('1.연간시수표'!M68,$AV$7)),$AV$6,IF(OR(COUNTIF('1.연간시수표'!M68,$AW$9),COUNTIF('1.연간시수표'!M68,$AW$7)),$AW$6,IF(OR(COUNTIF('1.연간시수표'!M68,$AX$9),COUNTIF('1.연간시수표'!M68,$AX$7)),$AX$6,IF(OR(COUNTIF('1.연간시수표'!M68,$AY$9),COUNTIF('1.연간시수표'!M68,$AY$7)),$AY$6,IF(OR(COUNTIF('1.연간시수표'!M68,$AZ$9),COUNTIF('1.연간시수표'!M68,$AZ$7)),$AZ$6,IF(OR(COUNTIF('1.연간시수표'!M68,$BA$9),COUNTIF('1.연간시수표'!M68,$BA$7)),$BA$6,IF(OR(COUNTIF('1.연간시수표'!M68,$BB$9),COUNTIF('1.연간시수표'!M68,$BB$7)),$BB$6,IF(OR(COUNTIF('1.연간시수표'!M68,$BC$9),COUNTIF('1.연간시수표'!M68,$BC$7)),$BC$6,IF(OR(COUNTIF('1.연간시수표'!M68,$BF$9),COUNTIF('1.연간시수표'!M68,$BF$7),COUNTIF('1.연간시수표'!M68,$BG$9),COUNTIF('1.연간시수표'!M68,$BG$7),COUNTIF('1.연간시수표'!M68,$BH$9),COUNTIF('1.연간시수표'!M68,$BH$7),COUNTIF('1.연간시수표'!M68,$BI$9),COUNTIF('1.연간시수표'!M68,$BI$7),COUNTIF('1.연간시수표'!M68,$BJ$9),COUNTIF('1.연간시수표'!M68,$BJ$7),COUNTIF('1.연간시수표'!M68,$BK$9),COUNTIF('1.연간시수표'!M68,$BK$7),COUNTIF('1.연간시수표'!M68,$BL$9),COUNTIF('1.연간시수표'!M68,$BL$7),COUNTIF('1.연간시수표'!M68,$BM$9),COUNTIF('1.연간시수표'!M68,$BM$7)),$BF$6,IF(OR(COUNTIF('1.연간시수표'!M68,$BO$9),COUNTIF('1.연간시수표'!M68,$BO$7)),$BO$6,IF(OR(COUNTIF('1.연간시수표'!M68,$BP$9),COUNTIF('1.연간시수표'!M68,$BP$7)),$BP$6,IF(OR(COUNTIF('1.연간시수표'!M68,$BQ$9),COUNTIF('1.연간시수표'!M68,$BQ$7)),$BQ$6,IF(OR(COUNTIF('1.연간시수표'!M68,$BR$9),COUNTIF('1.연간시수표'!M68,$BR$7)),$BR$6,"_")))))))))))))))</f>
        <v>국어</v>
      </c>
      <c r="N68" s="148" t="str">
        <f>IF(OR(COUNTIF('1.연간시수표'!N68,$AT$9),COUNTIF('1.연간시수표'!N68,$AT$7)),$AT$6,IF(OR(COUNTIF('1.연간시수표'!N68,$AU$9),COUNTIF('1.연간시수표'!N68,$AU$7)),$AU$6,IF(OR(COUNTIF('1.연간시수표'!N68,$AV$9),COUNTIF('1.연간시수표'!N68,$AV$7)),$AV$6,IF(OR(COUNTIF('1.연간시수표'!N68,$AW$9),COUNTIF('1.연간시수표'!N68,$AW$7)),$AW$6,IF(OR(COUNTIF('1.연간시수표'!N68,$AX$9),COUNTIF('1.연간시수표'!N68,$AX$7)),$AX$6,IF(OR(COUNTIF('1.연간시수표'!N68,$AY$9),COUNTIF('1.연간시수표'!N68,$AY$7)),$AY$6,IF(OR(COUNTIF('1.연간시수표'!N68,$AZ$9),COUNTIF('1.연간시수표'!N68,$AZ$7)),$AZ$6,IF(OR(COUNTIF('1.연간시수표'!N68,$BA$9),COUNTIF('1.연간시수표'!N68,$BA$7)),$BA$6,IF(OR(COUNTIF('1.연간시수표'!N68,$BB$9),COUNTIF('1.연간시수표'!N68,$BB$7)),$BB$6,IF(OR(COUNTIF('1.연간시수표'!N68,$BC$9),COUNTIF('1.연간시수표'!N68,$BC$7)),$BC$6,IF(OR(COUNTIF('1.연간시수표'!N68,$BF$9),COUNTIF('1.연간시수표'!N68,$BF$7),COUNTIF('1.연간시수표'!N68,$BG$9),COUNTIF('1.연간시수표'!N68,$BG$7),COUNTIF('1.연간시수표'!N68,$BH$9),COUNTIF('1.연간시수표'!N68,$BH$7),COUNTIF('1.연간시수표'!N68,$BI$9),COUNTIF('1.연간시수표'!N68,$BI$7),COUNTIF('1.연간시수표'!N68,$BJ$9),COUNTIF('1.연간시수표'!N68,$BJ$7),COUNTIF('1.연간시수표'!N68,$BK$9),COUNTIF('1.연간시수표'!N68,$BK$7),COUNTIF('1.연간시수표'!N68,$BL$9),COUNTIF('1.연간시수표'!N68,$BL$7),COUNTIF('1.연간시수표'!N68,$BM$9),COUNTIF('1.연간시수표'!N68,$BM$7)),$BF$6,IF(OR(COUNTIF('1.연간시수표'!N68,$BO$9),COUNTIF('1.연간시수표'!N68,$BO$7)),$BO$6,IF(OR(COUNTIF('1.연간시수표'!N68,$BP$9),COUNTIF('1.연간시수표'!N68,$BP$7)),$BP$6,IF(OR(COUNTIF('1.연간시수표'!N68,$BQ$9),COUNTIF('1.연간시수표'!N68,$BQ$7)),$BQ$6,IF(OR(COUNTIF('1.연간시수표'!N68,$BR$9),COUNTIF('1.연간시수표'!N68,$BR$7)),$BR$6,"_")))))))))))))))</f>
        <v>국어</v>
      </c>
      <c r="O68" s="148" t="str">
        <f>IF(OR(COUNTIF('1.연간시수표'!O68,$AT$9),COUNTIF('1.연간시수표'!O68,$AT$7)),$AT$6,IF(OR(COUNTIF('1.연간시수표'!O68,$AU$9),COUNTIF('1.연간시수표'!O68,$AU$7)),$AU$6,IF(OR(COUNTIF('1.연간시수표'!O68,$AV$9),COUNTIF('1.연간시수표'!O68,$AV$7)),$AV$6,IF(OR(COUNTIF('1.연간시수표'!O68,$AW$9),COUNTIF('1.연간시수표'!O68,$AW$7)),$AW$6,IF(OR(COUNTIF('1.연간시수표'!O68,$AX$9),COUNTIF('1.연간시수표'!O68,$AX$7)),$AX$6,IF(OR(COUNTIF('1.연간시수표'!O68,$AY$9),COUNTIF('1.연간시수표'!O68,$AY$7)),$AY$6,IF(OR(COUNTIF('1.연간시수표'!O68,$AZ$9),COUNTIF('1.연간시수표'!O68,$AZ$7)),$AZ$6,IF(OR(COUNTIF('1.연간시수표'!O68,$BA$9),COUNTIF('1.연간시수표'!O68,$BA$7)),$BA$6,IF(OR(COUNTIF('1.연간시수표'!O68,$BB$9),COUNTIF('1.연간시수표'!O68,$BB$7)),$BB$6,IF(OR(COUNTIF('1.연간시수표'!O68,$BC$9),COUNTIF('1.연간시수표'!O68,$BC$7)),$BC$6,IF(OR(COUNTIF('1.연간시수표'!O68,$BF$9),COUNTIF('1.연간시수표'!O68,$BF$7),COUNTIF('1.연간시수표'!O68,$BG$9),COUNTIF('1.연간시수표'!O68,$BG$7),COUNTIF('1.연간시수표'!O68,$BH$9),COUNTIF('1.연간시수표'!O68,$BH$7),COUNTIF('1.연간시수표'!O68,$BI$9),COUNTIF('1.연간시수표'!O68,$BI$7),COUNTIF('1.연간시수표'!O68,$BJ$9),COUNTIF('1.연간시수표'!O68,$BJ$7),COUNTIF('1.연간시수표'!O68,$BK$9),COUNTIF('1.연간시수표'!O68,$BK$7),COUNTIF('1.연간시수표'!O68,$BL$9),COUNTIF('1.연간시수표'!O68,$BL$7),COUNTIF('1.연간시수표'!O68,$BM$9),COUNTIF('1.연간시수표'!O68,$BM$7)),$BF$6,IF(OR(COUNTIF('1.연간시수표'!O68,$BO$9),COUNTIF('1.연간시수표'!O68,$BO$7)),$BO$6,IF(OR(COUNTIF('1.연간시수표'!O68,$BP$9),COUNTIF('1.연간시수표'!O68,$BP$7)),$BP$6,IF(OR(COUNTIF('1.연간시수표'!O68,$BQ$9),COUNTIF('1.연간시수표'!O68,$BQ$7)),$BQ$6,IF(OR(COUNTIF('1.연간시수표'!O68,$BR$9),COUNTIF('1.연간시수표'!O68,$BR$7)),$BR$6,"_")))))))))))))))</f>
        <v>사회</v>
      </c>
      <c r="P68" s="148" t="str">
        <f>IF(OR(COUNTIF('1.연간시수표'!P68,$AT$9),COUNTIF('1.연간시수표'!P68,$AT$7)),$AT$6,IF(OR(COUNTIF('1.연간시수표'!P68,$AU$9),COUNTIF('1.연간시수표'!P68,$AU$7)),$AU$6,IF(OR(COUNTIF('1.연간시수표'!P68,$AV$9),COUNTIF('1.연간시수표'!P68,$AV$7)),$AV$6,IF(OR(COUNTIF('1.연간시수표'!P68,$AW$9),COUNTIF('1.연간시수표'!P68,$AW$7)),$AW$6,IF(OR(COUNTIF('1.연간시수표'!P68,$AX$9),COUNTIF('1.연간시수표'!P68,$AX$7)),$AX$6,IF(OR(COUNTIF('1.연간시수표'!P68,$AY$9),COUNTIF('1.연간시수표'!P68,$AY$7)),$AY$6,IF(OR(COUNTIF('1.연간시수표'!P68,$AZ$9),COUNTIF('1.연간시수표'!P68,$AZ$7)),$AZ$6,IF(OR(COUNTIF('1.연간시수표'!P68,$BA$9),COUNTIF('1.연간시수표'!P68,$BA$7)),$BA$6,IF(OR(COUNTIF('1.연간시수표'!P68,$BB$9),COUNTIF('1.연간시수표'!P68,$BB$7)),$BB$6,IF(OR(COUNTIF('1.연간시수표'!P68,$BC$9),COUNTIF('1.연간시수표'!P68,$BC$7)),$BC$6,IF(OR(COUNTIF('1.연간시수표'!P68,$BF$9),COUNTIF('1.연간시수표'!P68,$BF$7),COUNTIF('1.연간시수표'!P68,$BG$9),COUNTIF('1.연간시수표'!P68,$BG$7),COUNTIF('1.연간시수표'!P68,$BH$9),COUNTIF('1.연간시수표'!P68,$BH$7),COUNTIF('1.연간시수표'!P68,$BI$9),COUNTIF('1.연간시수표'!P68,$BI$7),COUNTIF('1.연간시수표'!P68,$BJ$9),COUNTIF('1.연간시수표'!P68,$BJ$7),COUNTIF('1.연간시수표'!P68,$BK$9),COUNTIF('1.연간시수표'!P68,$BK$7),COUNTIF('1.연간시수표'!P68,$BL$9),COUNTIF('1.연간시수표'!P68,$BL$7),COUNTIF('1.연간시수표'!P68,$BM$9),COUNTIF('1.연간시수표'!P68,$BM$7)),$BF$6,IF(OR(COUNTIF('1.연간시수표'!P68,$BO$9),COUNTIF('1.연간시수표'!P68,$BO$7)),$BO$6,IF(OR(COUNTIF('1.연간시수표'!P68,$BP$9),COUNTIF('1.연간시수표'!P68,$BP$7)),$BP$6,IF(OR(COUNTIF('1.연간시수표'!P68,$BQ$9),COUNTIF('1.연간시수표'!P68,$BQ$7)),$BQ$6,IF(OR(COUNTIF('1.연간시수표'!P68,$BR$9),COUNTIF('1.연간시수표'!P68,$BR$7)),$BR$6,"_")))))))))))))))</f>
        <v>수학</v>
      </c>
      <c r="Q68" s="148" t="str">
        <f>IF(OR(COUNTIF('1.연간시수표'!Q68,$AT$9),COUNTIF('1.연간시수표'!Q68,$AT$7)),$AT$6,IF(OR(COUNTIF('1.연간시수표'!Q68,$AU$9),COUNTIF('1.연간시수표'!Q68,$AU$7)),$AU$6,IF(OR(COUNTIF('1.연간시수표'!Q68,$AV$9),COUNTIF('1.연간시수표'!Q68,$AV$7)),$AV$6,IF(OR(COUNTIF('1.연간시수표'!Q68,$AW$9),COUNTIF('1.연간시수표'!Q68,$AW$7)),$AW$6,IF(OR(COUNTIF('1.연간시수표'!Q68,$AX$9),COUNTIF('1.연간시수표'!Q68,$AX$7)),$AX$6,IF(OR(COUNTIF('1.연간시수표'!Q68,$AY$9),COUNTIF('1.연간시수표'!Q68,$AY$7)),$AY$6,IF(OR(COUNTIF('1.연간시수표'!Q68,$AZ$9),COUNTIF('1.연간시수표'!Q68,$AZ$7)),$AZ$6,IF(OR(COUNTIF('1.연간시수표'!Q68,$BA$9),COUNTIF('1.연간시수표'!Q68,$BA$7)),$BA$6,IF(OR(COUNTIF('1.연간시수표'!Q68,$BB$9),COUNTIF('1.연간시수표'!Q68,$BB$7)),$BB$6,IF(OR(COUNTIF('1.연간시수표'!Q68,$BC$9),COUNTIF('1.연간시수표'!Q68,$BC$7)),$BC$6,IF(OR(COUNTIF('1.연간시수표'!Q68,$BF$9),COUNTIF('1.연간시수표'!Q68,$BF$7),COUNTIF('1.연간시수표'!Q68,$BG$9),COUNTIF('1.연간시수표'!Q68,$BG$7),COUNTIF('1.연간시수표'!Q68,$BH$9),COUNTIF('1.연간시수표'!Q68,$BH$7),COUNTIF('1.연간시수표'!Q68,$BI$9),COUNTIF('1.연간시수표'!Q68,$BI$7),COUNTIF('1.연간시수표'!Q68,$BJ$9),COUNTIF('1.연간시수표'!Q68,$BJ$7),COUNTIF('1.연간시수표'!Q68,$BK$9),COUNTIF('1.연간시수표'!Q68,$BK$7),COUNTIF('1.연간시수표'!Q68,$BL$9),COUNTIF('1.연간시수표'!Q68,$BL$7),COUNTIF('1.연간시수표'!Q68,$BM$9),COUNTIF('1.연간시수표'!Q68,$BM$7)),$BF$6,IF(OR(COUNTIF('1.연간시수표'!Q68,$BO$9),COUNTIF('1.연간시수표'!Q68,$BO$7)),$BO$6,IF(OR(COUNTIF('1.연간시수표'!Q68,$BP$9),COUNTIF('1.연간시수표'!Q68,$BP$7)),$BP$6,IF(OR(COUNTIF('1.연간시수표'!Q68,$BQ$9),COUNTIF('1.연간시수표'!Q68,$BQ$7)),$BQ$6,IF(OR(COUNTIF('1.연간시수표'!Q68,$BR$9),COUNTIF('1.연간시수표'!Q68,$BR$7)),$BR$6,"_")))))))))))))))</f>
        <v>과학</v>
      </c>
      <c r="R68" s="148" t="str">
        <f>IF(OR(COUNTIF('1.연간시수표'!R68,$AT$9),COUNTIF('1.연간시수표'!R68,$AT$7)),$AT$6,IF(OR(COUNTIF('1.연간시수표'!R68,$AU$9),COUNTIF('1.연간시수표'!R68,$AU$7)),$AU$6,IF(OR(COUNTIF('1.연간시수표'!R68,$AV$9),COUNTIF('1.연간시수표'!R68,$AV$7)),$AV$6,IF(OR(COUNTIF('1.연간시수표'!R68,$AW$9),COUNTIF('1.연간시수표'!R68,$AW$7)),$AW$6,IF(OR(COUNTIF('1.연간시수표'!R68,$AX$9),COUNTIF('1.연간시수표'!R68,$AX$7)),$AX$6,IF(OR(COUNTIF('1.연간시수표'!R68,$AY$9),COUNTIF('1.연간시수표'!R68,$AY$7)),$AY$6,IF(OR(COUNTIF('1.연간시수표'!R68,$AZ$9),COUNTIF('1.연간시수표'!R68,$AZ$7)),$AZ$6,IF(OR(COUNTIF('1.연간시수표'!R68,$BA$9),COUNTIF('1.연간시수표'!R68,$BA$7)),$BA$6,IF(OR(COUNTIF('1.연간시수표'!R68,$BB$9),COUNTIF('1.연간시수표'!R68,$BB$7)),$BB$6,IF(OR(COUNTIF('1.연간시수표'!R68,$BC$9),COUNTIF('1.연간시수표'!R68,$BC$7)),$BC$6,IF(OR(COUNTIF('1.연간시수표'!R68,$BF$9),COUNTIF('1.연간시수표'!R68,$BF$7),COUNTIF('1.연간시수표'!R68,$BG$9),COUNTIF('1.연간시수표'!R68,$BG$7),COUNTIF('1.연간시수표'!R68,$BH$9),COUNTIF('1.연간시수표'!R68,$BH$7),COUNTIF('1.연간시수표'!R68,$BI$9),COUNTIF('1.연간시수표'!R68,$BI$7),COUNTIF('1.연간시수표'!R68,$BJ$9),COUNTIF('1.연간시수표'!R68,$BJ$7),COUNTIF('1.연간시수표'!R68,$BK$9),COUNTIF('1.연간시수표'!R68,$BK$7),COUNTIF('1.연간시수표'!R68,$BL$9),COUNTIF('1.연간시수표'!R68,$BL$7),COUNTIF('1.연간시수표'!R68,$BM$9),COUNTIF('1.연간시수표'!R68,$BM$7)),$BF$6,IF(OR(COUNTIF('1.연간시수표'!R68,$BO$9),COUNTIF('1.연간시수표'!R68,$BO$7)),$BO$6,IF(OR(COUNTIF('1.연간시수표'!R68,$BP$9),COUNTIF('1.연간시수표'!R68,$BP$7)),$BP$6,IF(OR(COUNTIF('1.연간시수표'!R68,$BQ$9),COUNTIF('1.연간시수표'!R68,$BQ$7)),$BQ$6,IF(OR(COUNTIF('1.연간시수표'!R68,$BR$9),COUNTIF('1.연간시수표'!R68,$BR$7)),$BR$6,"_")))))))))))))))</f>
        <v>실과</v>
      </c>
      <c r="S68" s="148" t="str">
        <f>IF(OR(COUNTIF('1.연간시수표'!S68,$AT$9),COUNTIF('1.연간시수표'!S68,$AT$7)),$AT$6,IF(OR(COUNTIF('1.연간시수표'!S68,$AU$9),COUNTIF('1.연간시수표'!S68,$AU$7)),$AU$6,IF(OR(COUNTIF('1.연간시수표'!S68,$AV$9),COUNTIF('1.연간시수표'!S68,$AV$7)),$AV$6,IF(OR(COUNTIF('1.연간시수표'!S68,$AW$9),COUNTIF('1.연간시수표'!S68,$AW$7)),$AW$6,IF(OR(COUNTIF('1.연간시수표'!S68,$AX$9),COUNTIF('1.연간시수표'!S68,$AX$7)),$AX$6,IF(OR(COUNTIF('1.연간시수표'!S68,$AY$9),COUNTIF('1.연간시수표'!S68,$AY$7)),$AY$6,IF(OR(COUNTIF('1.연간시수표'!S68,$AZ$9),COUNTIF('1.연간시수표'!S68,$AZ$7)),$AZ$6,IF(OR(COUNTIF('1.연간시수표'!S68,$BA$9),COUNTIF('1.연간시수표'!S68,$BA$7)),$BA$6,IF(OR(COUNTIF('1.연간시수표'!S68,$BB$9),COUNTIF('1.연간시수표'!S68,$BB$7)),$BB$6,IF(OR(COUNTIF('1.연간시수표'!S68,$BC$9),COUNTIF('1.연간시수표'!S68,$BC$7)),$BC$6,IF(OR(COUNTIF('1.연간시수표'!S68,$BF$9),COUNTIF('1.연간시수표'!S68,$BF$7),COUNTIF('1.연간시수표'!S68,$BG$9),COUNTIF('1.연간시수표'!S68,$BG$7),COUNTIF('1.연간시수표'!S68,$BH$9),COUNTIF('1.연간시수표'!S68,$BH$7),COUNTIF('1.연간시수표'!S68,$BI$9),COUNTIF('1.연간시수표'!S68,$BI$7),COUNTIF('1.연간시수표'!S68,$BJ$9),COUNTIF('1.연간시수표'!S68,$BJ$7),COUNTIF('1.연간시수표'!S68,$BK$9),COUNTIF('1.연간시수표'!S68,$BK$7),COUNTIF('1.연간시수표'!S68,$BL$9),COUNTIF('1.연간시수표'!S68,$BL$7),COUNTIF('1.연간시수표'!S68,$BM$9),COUNTIF('1.연간시수표'!S68,$BM$7)),$BF$6,IF(OR(COUNTIF('1.연간시수표'!S68,$BO$9),COUNTIF('1.연간시수표'!S68,$BO$7)),$BO$6,IF(OR(COUNTIF('1.연간시수표'!S68,$BP$9),COUNTIF('1.연간시수표'!S68,$BP$7)),$BP$6,IF(OR(COUNTIF('1.연간시수표'!S68,$BQ$9),COUNTIF('1.연간시수표'!S68,$BQ$7)),$BQ$6,IF(OR(COUNTIF('1.연간시수표'!S68,$BR$9),COUNTIF('1.연간시수표'!S68,$BR$7)),$BR$6,"_")))))))))))))))</f>
        <v>_</v>
      </c>
      <c r="T68" s="148" t="str">
        <f>IF(OR(COUNTIF('1.연간시수표'!T68,$AT$9),COUNTIF('1.연간시수표'!T68,$AT$7)),$AT$6,IF(OR(COUNTIF('1.연간시수표'!T68,$AU$9),COUNTIF('1.연간시수표'!T68,$AU$7)),$AU$6,IF(OR(COUNTIF('1.연간시수표'!T68,$AV$9),COUNTIF('1.연간시수표'!T68,$AV$7)),$AV$6,IF(OR(COUNTIF('1.연간시수표'!T68,$AW$9),COUNTIF('1.연간시수표'!T68,$AW$7)),$AW$6,IF(OR(COUNTIF('1.연간시수표'!T68,$AX$9),COUNTIF('1.연간시수표'!T68,$AX$7)),$AX$6,IF(OR(COUNTIF('1.연간시수표'!T68,$AY$9),COUNTIF('1.연간시수표'!T68,$AY$7)),$AY$6,IF(OR(COUNTIF('1.연간시수표'!T68,$AZ$9),COUNTIF('1.연간시수표'!T68,$AZ$7)),$AZ$6,IF(OR(COUNTIF('1.연간시수표'!T68,$BA$9),COUNTIF('1.연간시수표'!T68,$BA$7)),$BA$6,IF(OR(COUNTIF('1.연간시수표'!T68,$BB$9),COUNTIF('1.연간시수표'!T68,$BB$7)),$BB$6,IF(OR(COUNTIF('1.연간시수표'!T68,$BC$9),COUNTIF('1.연간시수표'!T68,$BC$7)),$BC$6,IF(OR(COUNTIF('1.연간시수표'!T68,$BF$9),COUNTIF('1.연간시수표'!T68,$BF$7),COUNTIF('1.연간시수표'!T68,$BG$9),COUNTIF('1.연간시수표'!T68,$BG$7),COUNTIF('1.연간시수표'!T68,$BH$9),COUNTIF('1.연간시수표'!T68,$BH$7),COUNTIF('1.연간시수표'!T68,$BI$9),COUNTIF('1.연간시수표'!T68,$BI$7),COUNTIF('1.연간시수표'!T68,$BJ$9),COUNTIF('1.연간시수표'!T68,$BJ$7),COUNTIF('1.연간시수표'!T68,$BK$9),COUNTIF('1.연간시수표'!T68,$BK$7),COUNTIF('1.연간시수표'!T68,$BL$9),COUNTIF('1.연간시수표'!T68,$BL$7),COUNTIF('1.연간시수표'!T68,$BM$9),COUNTIF('1.연간시수표'!T68,$BM$7)),$BF$6,IF(OR(COUNTIF('1.연간시수표'!T68,$BO$9),COUNTIF('1.연간시수표'!T68,$BO$7)),$BO$6,IF(OR(COUNTIF('1.연간시수표'!T68,$BP$9),COUNTIF('1.연간시수표'!T68,$BP$7)),$BP$6,IF(OR(COUNTIF('1.연간시수표'!T68,$BQ$9),COUNTIF('1.연간시수표'!T68,$BQ$7)),$BQ$6,IF(OR(COUNTIF('1.연간시수표'!T68,$BR$9),COUNTIF('1.연간시수표'!T68,$BR$7)),$BR$6,"_")))))))))))))))</f>
        <v>_</v>
      </c>
      <c r="U68" s="148" t="str">
        <f>IF(OR(COUNTIF('1.연간시수표'!U68,$AT$9),COUNTIF('1.연간시수표'!U68,$AT$7)),$AT$6,IF(OR(COUNTIF('1.연간시수표'!U68,$AU$9),COUNTIF('1.연간시수표'!U68,$AU$7)),$AU$6,IF(OR(COUNTIF('1.연간시수표'!U68,$AV$9),COUNTIF('1.연간시수표'!U68,$AV$7)),$AV$6,IF(OR(COUNTIF('1.연간시수표'!U68,$AW$9),COUNTIF('1.연간시수표'!U68,$AW$7)),$AW$6,IF(OR(COUNTIF('1.연간시수표'!U68,$AX$9),COUNTIF('1.연간시수표'!U68,$AX$7)),$AX$6,IF(OR(COUNTIF('1.연간시수표'!U68,$AY$9),COUNTIF('1.연간시수표'!U68,$AY$7)),$AY$6,IF(OR(COUNTIF('1.연간시수표'!U68,$AZ$9),COUNTIF('1.연간시수표'!U68,$AZ$7)),$AZ$6,IF(OR(COUNTIF('1.연간시수표'!U68,$BA$9),COUNTIF('1.연간시수표'!U68,$BA$7)),$BA$6,IF(OR(COUNTIF('1.연간시수표'!U68,$BB$9),COUNTIF('1.연간시수표'!U68,$BB$7)),$BB$6,IF(OR(COUNTIF('1.연간시수표'!U68,$BC$9),COUNTIF('1.연간시수표'!U68,$BC$7)),$BC$6,IF(OR(COUNTIF('1.연간시수표'!U68,$BF$9),COUNTIF('1.연간시수표'!U68,$BF$7),COUNTIF('1.연간시수표'!U68,$BG$9),COUNTIF('1.연간시수표'!U68,$BG$7),COUNTIF('1.연간시수표'!U68,$BH$9),COUNTIF('1.연간시수표'!U68,$BH$7),COUNTIF('1.연간시수표'!U68,$BI$9),COUNTIF('1.연간시수표'!U68,$BI$7),COUNTIF('1.연간시수표'!U68,$BJ$9),COUNTIF('1.연간시수표'!U68,$BJ$7),COUNTIF('1.연간시수표'!U68,$BK$9),COUNTIF('1.연간시수표'!U68,$BK$7),COUNTIF('1.연간시수표'!U68,$BL$9),COUNTIF('1.연간시수표'!U68,$BL$7),COUNTIF('1.연간시수표'!U68,$BM$9),COUNTIF('1.연간시수표'!U68,$BM$7)),$BF$6,IF(OR(COUNTIF('1.연간시수표'!U68,$BO$9),COUNTIF('1.연간시수표'!U68,$BO$7)),$BO$6,IF(OR(COUNTIF('1.연간시수표'!U68,$BP$9),COUNTIF('1.연간시수표'!U68,$BP$7)),$BP$6,IF(OR(COUNTIF('1.연간시수표'!U68,$BQ$9),COUNTIF('1.연간시수표'!U68,$BQ$7)),$BQ$6,IF(OR(COUNTIF('1.연간시수표'!U68,$BR$9),COUNTIF('1.연간시수표'!U68,$BR$7)),$BR$6,"_")))))))))))))))</f>
        <v>영어</v>
      </c>
      <c r="V68" s="148" t="str">
        <f>IF(OR(COUNTIF('1.연간시수표'!V68,$AT$9),COUNTIF('1.연간시수표'!V68,$AT$7)),$AT$6,IF(OR(COUNTIF('1.연간시수표'!V68,$AU$9),COUNTIF('1.연간시수표'!V68,$AU$7)),$AU$6,IF(OR(COUNTIF('1.연간시수표'!V68,$AV$9),COUNTIF('1.연간시수표'!V68,$AV$7)),$AV$6,IF(OR(COUNTIF('1.연간시수표'!V68,$AW$9),COUNTIF('1.연간시수표'!V68,$AW$7)),$AW$6,IF(OR(COUNTIF('1.연간시수표'!V68,$AX$9),COUNTIF('1.연간시수표'!V68,$AX$7)),$AX$6,IF(OR(COUNTIF('1.연간시수표'!V68,$AY$9),COUNTIF('1.연간시수표'!V68,$AY$7)),$AY$6,IF(OR(COUNTIF('1.연간시수표'!V68,$AZ$9),COUNTIF('1.연간시수표'!V68,$AZ$7)),$AZ$6,IF(OR(COUNTIF('1.연간시수표'!V68,$BA$9),COUNTIF('1.연간시수표'!V68,$BA$7)),$BA$6,IF(OR(COUNTIF('1.연간시수표'!V68,$BB$9),COUNTIF('1.연간시수표'!V68,$BB$7)),$BB$6,IF(OR(COUNTIF('1.연간시수표'!V68,$BC$9),COUNTIF('1.연간시수표'!V68,$BC$7)),$BC$6,IF(OR(COUNTIF('1.연간시수표'!V68,$BF$9),COUNTIF('1.연간시수표'!V68,$BF$7),COUNTIF('1.연간시수표'!V68,$BG$9),COUNTIF('1.연간시수표'!V68,$BG$7),COUNTIF('1.연간시수표'!V68,$BH$9),COUNTIF('1.연간시수표'!V68,$BH$7),COUNTIF('1.연간시수표'!V68,$BI$9),COUNTIF('1.연간시수표'!V68,$BI$7),COUNTIF('1.연간시수표'!V68,$BJ$9),COUNTIF('1.연간시수표'!V68,$BJ$7),COUNTIF('1.연간시수표'!V68,$BK$9),COUNTIF('1.연간시수표'!V68,$BK$7),COUNTIF('1.연간시수표'!V68,$BL$9),COUNTIF('1.연간시수표'!V68,$BL$7),COUNTIF('1.연간시수표'!V68,$BM$9),COUNTIF('1.연간시수표'!V68,$BM$7)),$BF$6,IF(OR(COUNTIF('1.연간시수표'!V68,$BO$9),COUNTIF('1.연간시수표'!V68,$BO$7)),$BO$6,IF(OR(COUNTIF('1.연간시수표'!V68,$BP$9),COUNTIF('1.연간시수표'!V68,$BP$7)),$BP$6,IF(OR(COUNTIF('1.연간시수표'!V68,$BQ$9),COUNTIF('1.연간시수표'!V68,$BQ$7)),$BQ$6,IF(OR(COUNTIF('1.연간시수표'!V68,$BR$9),COUNTIF('1.연간시수표'!V68,$BR$7)),$BR$6,"_")))))))))))))))</f>
        <v>과학</v>
      </c>
      <c r="W68" s="148" t="str">
        <f>IF(OR(COUNTIF('1.연간시수표'!W68,$AT$9),COUNTIF('1.연간시수표'!W68,$AT$7)),$AT$6,IF(OR(COUNTIF('1.연간시수표'!W68,$AU$9),COUNTIF('1.연간시수표'!W68,$AU$7)),$AU$6,IF(OR(COUNTIF('1.연간시수표'!W68,$AV$9),COUNTIF('1.연간시수표'!W68,$AV$7)),$AV$6,IF(OR(COUNTIF('1.연간시수표'!W68,$AW$9),COUNTIF('1.연간시수표'!W68,$AW$7)),$AW$6,IF(OR(COUNTIF('1.연간시수표'!W68,$AX$9),COUNTIF('1.연간시수표'!W68,$AX$7)),$AX$6,IF(OR(COUNTIF('1.연간시수표'!W68,$AY$9),COUNTIF('1.연간시수표'!W68,$AY$7)),$AY$6,IF(OR(COUNTIF('1.연간시수표'!W68,$AZ$9),COUNTIF('1.연간시수표'!W68,$AZ$7)),$AZ$6,IF(OR(COUNTIF('1.연간시수표'!W68,$BA$9),COUNTIF('1.연간시수표'!W68,$BA$7)),$BA$6,IF(OR(COUNTIF('1.연간시수표'!W68,$BB$9),COUNTIF('1.연간시수표'!W68,$BB$7)),$BB$6,IF(OR(COUNTIF('1.연간시수표'!W68,$BC$9),COUNTIF('1.연간시수표'!W68,$BC$7)),$BC$6,IF(OR(COUNTIF('1.연간시수표'!W68,$BF$9),COUNTIF('1.연간시수표'!W68,$BF$7),COUNTIF('1.연간시수표'!W68,$BG$9),COUNTIF('1.연간시수표'!W68,$BG$7),COUNTIF('1.연간시수표'!W68,$BH$9),COUNTIF('1.연간시수표'!W68,$BH$7),COUNTIF('1.연간시수표'!W68,$BI$9),COUNTIF('1.연간시수표'!W68,$BI$7),COUNTIF('1.연간시수표'!W68,$BJ$9),COUNTIF('1.연간시수표'!W68,$BJ$7),COUNTIF('1.연간시수표'!W68,$BK$9),COUNTIF('1.연간시수표'!W68,$BK$7),COUNTIF('1.연간시수표'!W68,$BL$9),COUNTIF('1.연간시수표'!W68,$BL$7),COUNTIF('1.연간시수표'!W68,$BM$9),COUNTIF('1.연간시수표'!W68,$BM$7)),$BF$6,IF(OR(COUNTIF('1.연간시수표'!W68,$BO$9),COUNTIF('1.연간시수표'!W68,$BO$7)),$BO$6,IF(OR(COUNTIF('1.연간시수표'!W68,$BP$9),COUNTIF('1.연간시수표'!W68,$BP$7)),$BP$6,IF(OR(COUNTIF('1.연간시수표'!W68,$BQ$9),COUNTIF('1.연간시수표'!W68,$BQ$7)),$BQ$6,IF(OR(COUNTIF('1.연간시수표'!W68,$BR$9),COUNTIF('1.연간시수표'!W68,$BR$7)),$BR$6,"_")))))))))))))))</f>
        <v>체육</v>
      </c>
      <c r="X68" s="148" t="str">
        <f>IF(OR(COUNTIF('1.연간시수표'!X68,$AT$9),COUNTIF('1.연간시수표'!X68,$AT$7)),$AT$6,IF(OR(COUNTIF('1.연간시수표'!X68,$AU$9),COUNTIF('1.연간시수표'!X68,$AU$7)),$AU$6,IF(OR(COUNTIF('1.연간시수표'!X68,$AV$9),COUNTIF('1.연간시수표'!X68,$AV$7)),$AV$6,IF(OR(COUNTIF('1.연간시수표'!X68,$AW$9),COUNTIF('1.연간시수표'!X68,$AW$7)),$AW$6,IF(OR(COUNTIF('1.연간시수표'!X68,$AX$9),COUNTIF('1.연간시수표'!X68,$AX$7)),$AX$6,IF(OR(COUNTIF('1.연간시수표'!X68,$AY$9),COUNTIF('1.연간시수표'!X68,$AY$7)),$AY$6,IF(OR(COUNTIF('1.연간시수표'!X68,$AZ$9),COUNTIF('1.연간시수표'!X68,$AZ$7)),$AZ$6,IF(OR(COUNTIF('1.연간시수표'!X68,$BA$9),COUNTIF('1.연간시수표'!X68,$BA$7)),$BA$6,IF(OR(COUNTIF('1.연간시수표'!X68,$BB$9),COUNTIF('1.연간시수표'!X68,$BB$7)),$BB$6,IF(OR(COUNTIF('1.연간시수표'!X68,$BC$9),COUNTIF('1.연간시수표'!X68,$BC$7)),$BC$6,IF(OR(COUNTIF('1.연간시수표'!X68,$BF$9),COUNTIF('1.연간시수표'!X68,$BF$7),COUNTIF('1.연간시수표'!X68,$BG$9),COUNTIF('1.연간시수표'!X68,$BG$7),COUNTIF('1.연간시수표'!X68,$BH$9),COUNTIF('1.연간시수표'!X68,$BH$7),COUNTIF('1.연간시수표'!X68,$BI$9),COUNTIF('1.연간시수표'!X68,$BI$7),COUNTIF('1.연간시수표'!X68,$BJ$9),COUNTIF('1.연간시수표'!X68,$BJ$7),COUNTIF('1.연간시수표'!X68,$BK$9),COUNTIF('1.연간시수표'!X68,$BK$7),COUNTIF('1.연간시수표'!X68,$BL$9),COUNTIF('1.연간시수표'!X68,$BL$7),COUNTIF('1.연간시수표'!X68,$BM$9),COUNTIF('1.연간시수표'!X68,$BM$7)),$BF$6,IF(OR(COUNTIF('1.연간시수표'!X68,$BO$9),COUNTIF('1.연간시수표'!X68,$BO$7)),$BO$6,IF(OR(COUNTIF('1.연간시수표'!X68,$BP$9),COUNTIF('1.연간시수표'!X68,$BP$7)),$BP$6,IF(OR(COUNTIF('1.연간시수표'!X68,$BQ$9),COUNTIF('1.연간시수표'!X68,$BQ$7)),$BQ$6,IF(OR(COUNTIF('1.연간시수표'!X68,$BR$9),COUNTIF('1.연간시수표'!X68,$BR$7)),$BR$6,"_")))))))))))))))</f>
        <v>음악</v>
      </c>
      <c r="Y68" s="148" t="str">
        <f>IF(OR(COUNTIF('1.연간시수표'!Y68,$AT$9),COUNTIF('1.연간시수표'!Y68,$AT$7)),$AT$6,IF(OR(COUNTIF('1.연간시수표'!Y68,$AU$9),COUNTIF('1.연간시수표'!Y68,$AU$7)),$AU$6,IF(OR(COUNTIF('1.연간시수표'!Y68,$AV$9),COUNTIF('1.연간시수표'!Y68,$AV$7)),$AV$6,IF(OR(COUNTIF('1.연간시수표'!Y68,$AW$9),COUNTIF('1.연간시수표'!Y68,$AW$7)),$AW$6,IF(OR(COUNTIF('1.연간시수표'!Y68,$AX$9),COUNTIF('1.연간시수표'!Y68,$AX$7)),$AX$6,IF(OR(COUNTIF('1.연간시수표'!Y68,$AY$9),COUNTIF('1.연간시수표'!Y68,$AY$7)),$AY$6,IF(OR(COUNTIF('1.연간시수표'!Y68,$AZ$9),COUNTIF('1.연간시수표'!Y68,$AZ$7)),$AZ$6,IF(OR(COUNTIF('1.연간시수표'!Y68,$BA$9),COUNTIF('1.연간시수표'!Y68,$BA$7)),$BA$6,IF(OR(COUNTIF('1.연간시수표'!Y68,$BB$9),COUNTIF('1.연간시수표'!Y68,$BB$7)),$BB$6,IF(OR(COUNTIF('1.연간시수표'!Y68,$BC$9),COUNTIF('1.연간시수표'!Y68,$BC$7)),$BC$6,IF(OR(COUNTIF('1.연간시수표'!Y68,$BF$9),COUNTIF('1.연간시수표'!Y68,$BF$7),COUNTIF('1.연간시수표'!Y68,$BG$9),COUNTIF('1.연간시수표'!Y68,$BG$7),COUNTIF('1.연간시수표'!Y68,$BH$9),COUNTIF('1.연간시수표'!Y68,$BH$7),COUNTIF('1.연간시수표'!Y68,$BI$9),COUNTIF('1.연간시수표'!Y68,$BI$7),COUNTIF('1.연간시수표'!Y68,$BJ$9),COUNTIF('1.연간시수표'!Y68,$BJ$7),COUNTIF('1.연간시수표'!Y68,$BK$9),COUNTIF('1.연간시수표'!Y68,$BK$7),COUNTIF('1.연간시수표'!Y68,$BL$9),COUNTIF('1.연간시수표'!Y68,$BL$7),COUNTIF('1.연간시수표'!Y68,$BM$9),COUNTIF('1.연간시수표'!Y68,$BM$7)),$BF$6,IF(OR(COUNTIF('1.연간시수표'!Y68,$BO$9),COUNTIF('1.연간시수표'!Y68,$BO$7)),$BO$6,IF(OR(COUNTIF('1.연간시수표'!Y68,$BP$9),COUNTIF('1.연간시수표'!Y68,$BP$7)),$BP$6,IF(OR(COUNTIF('1.연간시수표'!Y68,$BQ$9),COUNTIF('1.연간시수표'!Y68,$BQ$7)),$BQ$6,IF(OR(COUNTIF('1.연간시수표'!Y68,$BR$9),COUNTIF('1.연간시수표'!Y68,$BR$7)),$BR$6,"_")))))))))))))))</f>
        <v>도덕</v>
      </c>
      <c r="Z68" s="148" t="str">
        <f>IF(OR(COUNTIF('1.연간시수표'!Z68,$AT$9),COUNTIF('1.연간시수표'!Z68,$AT$7)),$AT$6,IF(OR(COUNTIF('1.연간시수표'!Z68,$AU$9),COUNTIF('1.연간시수표'!Z68,$AU$7)),$AU$6,IF(OR(COUNTIF('1.연간시수표'!Z68,$AV$9),COUNTIF('1.연간시수표'!Z68,$AV$7)),$AV$6,IF(OR(COUNTIF('1.연간시수표'!Z68,$AW$9),COUNTIF('1.연간시수표'!Z68,$AW$7)),$AW$6,IF(OR(COUNTIF('1.연간시수표'!Z68,$AX$9),COUNTIF('1.연간시수표'!Z68,$AX$7)),$AX$6,IF(OR(COUNTIF('1.연간시수표'!Z68,$AY$9),COUNTIF('1.연간시수표'!Z68,$AY$7)),$AY$6,IF(OR(COUNTIF('1.연간시수표'!Z68,$AZ$9),COUNTIF('1.연간시수표'!Z68,$AZ$7)),$AZ$6,IF(OR(COUNTIF('1.연간시수표'!Z68,$BA$9),COUNTIF('1.연간시수표'!Z68,$BA$7)),$BA$6,IF(OR(COUNTIF('1.연간시수표'!Z68,$BB$9),COUNTIF('1.연간시수표'!Z68,$BB$7)),$BB$6,IF(OR(COUNTIF('1.연간시수표'!Z68,$BC$9),COUNTIF('1.연간시수표'!Z68,$BC$7)),$BC$6,IF(OR(COUNTIF('1.연간시수표'!Z68,$BF$9),COUNTIF('1.연간시수표'!Z68,$BF$7),COUNTIF('1.연간시수표'!Z68,$BG$9),COUNTIF('1.연간시수표'!Z68,$BG$7),COUNTIF('1.연간시수표'!Z68,$BH$9),COUNTIF('1.연간시수표'!Z68,$BH$7),COUNTIF('1.연간시수표'!Z68,$BI$9),COUNTIF('1.연간시수표'!Z68,$BI$7),COUNTIF('1.연간시수표'!Z68,$BJ$9),COUNTIF('1.연간시수표'!Z68,$BJ$7),COUNTIF('1.연간시수표'!Z68,$BK$9),COUNTIF('1.연간시수표'!Z68,$BK$7),COUNTIF('1.연간시수표'!Z68,$BL$9),COUNTIF('1.연간시수표'!Z68,$BL$7),COUNTIF('1.연간시수표'!Z68,$BM$9),COUNTIF('1.연간시수표'!Z68,$BM$7)),$BF$6,IF(OR(COUNTIF('1.연간시수표'!Z68,$BO$9),COUNTIF('1.연간시수표'!Z68,$BO$7)),$BO$6,IF(OR(COUNTIF('1.연간시수표'!Z68,$BP$9),COUNTIF('1.연간시수표'!Z68,$BP$7)),$BP$6,IF(OR(COUNTIF('1.연간시수표'!Z68,$BQ$9),COUNTIF('1.연간시수표'!Z68,$BQ$7)),$BQ$6,IF(OR(COUNTIF('1.연간시수표'!Z68,$BR$9),COUNTIF('1.연간시수표'!Z68,$BR$7)),$BR$6,"_")))))))))))))))</f>
        <v>_</v>
      </c>
      <c r="AA68" s="148" t="str">
        <f>IF(OR(COUNTIF('1.연간시수표'!AA68,$AT$9),COUNTIF('1.연간시수표'!AA68,$AT$7)),$AT$6,IF(OR(COUNTIF('1.연간시수표'!AA68,$AU$9),COUNTIF('1.연간시수표'!AA68,$AU$7)),$AU$6,IF(OR(COUNTIF('1.연간시수표'!AA68,$AV$9),COUNTIF('1.연간시수표'!AA68,$AV$7)),$AV$6,IF(OR(COUNTIF('1.연간시수표'!AA68,$AW$9),COUNTIF('1.연간시수표'!AA68,$AW$7)),$AW$6,IF(OR(COUNTIF('1.연간시수표'!AA68,$AX$9),COUNTIF('1.연간시수표'!AA68,$AX$7)),$AX$6,IF(OR(COUNTIF('1.연간시수표'!AA68,$AY$9),COUNTIF('1.연간시수표'!AA68,$AY$7)),$AY$6,IF(OR(COUNTIF('1.연간시수표'!AA68,$AZ$9),COUNTIF('1.연간시수표'!AA68,$AZ$7)),$AZ$6,IF(OR(COUNTIF('1.연간시수표'!AA68,$BA$9),COUNTIF('1.연간시수표'!AA68,$BA$7)),$BA$6,IF(OR(COUNTIF('1.연간시수표'!AA68,$BB$9),COUNTIF('1.연간시수표'!AA68,$BB$7)),$BB$6,IF(OR(COUNTIF('1.연간시수표'!AA68,$BC$9),COUNTIF('1.연간시수표'!AA68,$BC$7)),$BC$6,IF(OR(COUNTIF('1.연간시수표'!AA68,$BF$9),COUNTIF('1.연간시수표'!AA68,$BF$7),COUNTIF('1.연간시수표'!AA68,$BG$9),COUNTIF('1.연간시수표'!AA68,$BG$7),COUNTIF('1.연간시수표'!AA68,$BH$9),COUNTIF('1.연간시수표'!AA68,$BH$7),COUNTIF('1.연간시수표'!AA68,$BI$9),COUNTIF('1.연간시수표'!AA68,$BI$7),COUNTIF('1.연간시수표'!AA68,$BJ$9),COUNTIF('1.연간시수표'!AA68,$BJ$7),COUNTIF('1.연간시수표'!AA68,$BK$9),COUNTIF('1.연간시수표'!AA68,$BK$7),COUNTIF('1.연간시수표'!AA68,$BL$9),COUNTIF('1.연간시수표'!AA68,$BL$7),COUNTIF('1.연간시수표'!AA68,$BM$9),COUNTIF('1.연간시수표'!AA68,$BM$7)),$BF$6,IF(OR(COUNTIF('1.연간시수표'!AA68,$BO$9),COUNTIF('1.연간시수표'!AA68,$BO$7)),$BO$6,IF(OR(COUNTIF('1.연간시수표'!AA68,$BP$9),COUNTIF('1.연간시수표'!AA68,$BP$7)),$BP$6,IF(OR(COUNTIF('1.연간시수표'!AA68,$BQ$9),COUNTIF('1.연간시수표'!AA68,$BQ$7)),$BQ$6,IF(OR(COUNTIF('1.연간시수표'!AA68,$BR$9),COUNTIF('1.연간시수표'!AA68,$BR$7)),$BR$6,"_")))))))))))))))</f>
        <v>_</v>
      </c>
      <c r="AB68" s="148" t="str">
        <f>IF(OR(COUNTIF('1.연간시수표'!AB68,$AT$9),COUNTIF('1.연간시수표'!AB68,$AT$7)),$AT$6,IF(OR(COUNTIF('1.연간시수표'!AB68,$AU$9),COUNTIF('1.연간시수표'!AB68,$AU$7)),$AU$6,IF(OR(COUNTIF('1.연간시수표'!AB68,$AV$9),COUNTIF('1.연간시수표'!AB68,$AV$7)),$AV$6,IF(OR(COUNTIF('1.연간시수표'!AB68,$AW$9),COUNTIF('1.연간시수표'!AB68,$AW$7)),$AW$6,IF(OR(COUNTIF('1.연간시수표'!AB68,$AX$9),COUNTIF('1.연간시수표'!AB68,$AX$7)),$AX$6,IF(OR(COUNTIF('1.연간시수표'!AB68,$AY$9),COUNTIF('1.연간시수표'!AB68,$AY$7)),$AY$6,IF(OR(COUNTIF('1.연간시수표'!AB68,$AZ$9),COUNTIF('1.연간시수표'!AB68,$AZ$7)),$AZ$6,IF(OR(COUNTIF('1.연간시수표'!AB68,$BA$9),COUNTIF('1.연간시수표'!AB68,$BA$7)),$BA$6,IF(OR(COUNTIF('1.연간시수표'!AB68,$BB$9),COUNTIF('1.연간시수표'!AB68,$BB$7)),$BB$6,IF(OR(COUNTIF('1.연간시수표'!AB68,$BC$9),COUNTIF('1.연간시수표'!AB68,$BC$7)),$BC$6,IF(OR(COUNTIF('1.연간시수표'!AB68,$BF$9),COUNTIF('1.연간시수표'!AB68,$BF$7),COUNTIF('1.연간시수표'!AB68,$BG$9),COUNTIF('1.연간시수표'!AB68,$BG$7),COUNTIF('1.연간시수표'!AB68,$BH$9),COUNTIF('1.연간시수표'!AB68,$BH$7),COUNTIF('1.연간시수표'!AB68,$BI$9),COUNTIF('1.연간시수표'!AB68,$BI$7),COUNTIF('1.연간시수표'!AB68,$BJ$9),COUNTIF('1.연간시수표'!AB68,$BJ$7),COUNTIF('1.연간시수표'!AB68,$BK$9),COUNTIF('1.연간시수표'!AB68,$BK$7),COUNTIF('1.연간시수표'!AB68,$BL$9),COUNTIF('1.연간시수표'!AB68,$BL$7),COUNTIF('1.연간시수표'!AB68,$BM$9),COUNTIF('1.연간시수표'!AB68,$BM$7)),$BF$6,IF(OR(COUNTIF('1.연간시수표'!AB68,$BO$9),COUNTIF('1.연간시수표'!AB68,$BO$7)),$BO$6,IF(OR(COUNTIF('1.연간시수표'!AB68,$BP$9),COUNTIF('1.연간시수표'!AB68,$BP$7)),$BP$6,IF(OR(COUNTIF('1.연간시수표'!AB68,$BQ$9),COUNTIF('1.연간시수표'!AB68,$BQ$7)),$BQ$6,IF(OR(COUNTIF('1.연간시수표'!AB68,$BR$9),COUNTIF('1.연간시수표'!AB68,$BR$7)),$BR$6,"_")))))))))))))))</f>
        <v>_</v>
      </c>
      <c r="AC68" s="148" t="str">
        <f>IF(OR(COUNTIF('1.연간시수표'!AC68,$AT$9),COUNTIF('1.연간시수표'!AC68,$AT$7)),$AT$6,IF(OR(COUNTIF('1.연간시수표'!AC68,$AU$9),COUNTIF('1.연간시수표'!AC68,$AU$7)),$AU$6,IF(OR(COUNTIF('1.연간시수표'!AC68,$AV$9),COUNTIF('1.연간시수표'!AC68,$AV$7)),$AV$6,IF(OR(COUNTIF('1.연간시수표'!AC68,$AW$9),COUNTIF('1.연간시수표'!AC68,$AW$7)),$AW$6,IF(OR(COUNTIF('1.연간시수표'!AC68,$AX$9),COUNTIF('1.연간시수표'!AC68,$AX$7)),$AX$6,IF(OR(COUNTIF('1.연간시수표'!AC68,$AY$9),COUNTIF('1.연간시수표'!AC68,$AY$7)),$AY$6,IF(OR(COUNTIF('1.연간시수표'!AC68,$AZ$9),COUNTIF('1.연간시수표'!AC68,$AZ$7)),$AZ$6,IF(OR(COUNTIF('1.연간시수표'!AC68,$BA$9),COUNTIF('1.연간시수표'!AC68,$BA$7)),$BA$6,IF(OR(COUNTIF('1.연간시수표'!AC68,$BB$9),COUNTIF('1.연간시수표'!AC68,$BB$7)),$BB$6,IF(OR(COUNTIF('1.연간시수표'!AC68,$BC$9),COUNTIF('1.연간시수표'!AC68,$BC$7)),$BC$6,IF(OR(COUNTIF('1.연간시수표'!AC68,$BF$9),COUNTIF('1.연간시수표'!AC68,$BF$7),COUNTIF('1.연간시수표'!AC68,$BG$9),COUNTIF('1.연간시수표'!AC68,$BG$7),COUNTIF('1.연간시수표'!AC68,$BH$9),COUNTIF('1.연간시수표'!AC68,$BH$7),COUNTIF('1.연간시수표'!AC68,$BI$9),COUNTIF('1.연간시수표'!AC68,$BI$7),COUNTIF('1.연간시수표'!AC68,$BJ$9),COUNTIF('1.연간시수표'!AC68,$BJ$7),COUNTIF('1.연간시수표'!AC68,$BK$9),COUNTIF('1.연간시수표'!AC68,$BK$7),COUNTIF('1.연간시수표'!AC68,$BL$9),COUNTIF('1.연간시수표'!AC68,$BL$7),COUNTIF('1.연간시수표'!AC68,$BM$9),COUNTIF('1.연간시수표'!AC68,$BM$7)),$BF$6,IF(OR(COUNTIF('1.연간시수표'!AC68,$BO$9),COUNTIF('1.연간시수표'!AC68,$BO$7)),$BO$6,IF(OR(COUNTIF('1.연간시수표'!AC68,$BP$9),COUNTIF('1.연간시수표'!AC68,$BP$7)),$BP$6,IF(OR(COUNTIF('1.연간시수표'!AC68,$BQ$9),COUNTIF('1.연간시수표'!AC68,$BQ$7)),$BQ$6,IF(OR(COUNTIF('1.연간시수표'!AC68,$BR$9),COUNTIF('1.연간시수표'!AC68,$BR$7)),$BR$6,"_")))))))))))))))</f>
        <v>체육</v>
      </c>
      <c r="AD68" s="148" t="str">
        <f>IF(OR(COUNTIF('1.연간시수표'!AD68,$AT$9),COUNTIF('1.연간시수표'!AD68,$AT$7)),$AT$6,IF(OR(COUNTIF('1.연간시수표'!AD68,$AU$9),COUNTIF('1.연간시수표'!AD68,$AU$7)),$AU$6,IF(OR(COUNTIF('1.연간시수표'!AD68,$AV$9),COUNTIF('1.연간시수표'!AD68,$AV$7)),$AV$6,IF(OR(COUNTIF('1.연간시수표'!AD68,$AW$9),COUNTIF('1.연간시수표'!AD68,$AW$7)),$AW$6,IF(OR(COUNTIF('1.연간시수표'!AD68,$AX$9),COUNTIF('1.연간시수표'!AD68,$AX$7)),$AX$6,IF(OR(COUNTIF('1.연간시수표'!AD68,$AY$9),COUNTIF('1.연간시수표'!AD68,$AY$7)),$AY$6,IF(OR(COUNTIF('1.연간시수표'!AD68,$AZ$9),COUNTIF('1.연간시수표'!AD68,$AZ$7)),$AZ$6,IF(OR(COUNTIF('1.연간시수표'!AD68,$BA$9),COUNTIF('1.연간시수표'!AD68,$BA$7)),$BA$6,IF(OR(COUNTIF('1.연간시수표'!AD68,$BB$9),COUNTIF('1.연간시수표'!AD68,$BB$7)),$BB$6,IF(OR(COUNTIF('1.연간시수표'!AD68,$BC$9),COUNTIF('1.연간시수표'!AD68,$BC$7)),$BC$6,IF(OR(COUNTIF('1.연간시수표'!AD68,$BF$9),COUNTIF('1.연간시수표'!AD68,$BF$7),COUNTIF('1.연간시수표'!AD68,$BG$9),COUNTIF('1.연간시수표'!AD68,$BG$7),COUNTIF('1.연간시수표'!AD68,$BH$9),COUNTIF('1.연간시수표'!AD68,$BH$7),COUNTIF('1.연간시수표'!AD68,$BI$9),COUNTIF('1.연간시수표'!AD68,$BI$7),COUNTIF('1.연간시수표'!AD68,$BJ$9),COUNTIF('1.연간시수표'!AD68,$BJ$7),COUNTIF('1.연간시수표'!AD68,$BK$9),COUNTIF('1.연간시수표'!AD68,$BK$7),COUNTIF('1.연간시수표'!AD68,$BL$9),COUNTIF('1.연간시수표'!AD68,$BL$7),COUNTIF('1.연간시수표'!AD68,$BM$9),COUNTIF('1.연간시수표'!AD68,$BM$7)),$BF$6,IF(OR(COUNTIF('1.연간시수표'!AD68,$BO$9),COUNTIF('1.연간시수표'!AD68,$BO$7)),$BO$6,IF(OR(COUNTIF('1.연간시수표'!AD68,$BP$9),COUNTIF('1.연간시수표'!AD68,$BP$7)),$BP$6,IF(OR(COUNTIF('1.연간시수표'!AD68,$BQ$9),COUNTIF('1.연간시수표'!AD68,$BQ$7)),$BQ$6,IF(OR(COUNTIF('1.연간시수표'!AD68,$BR$9),COUNTIF('1.연간시수표'!AD68,$BR$7)),$BR$6,"_")))))))))))))))</f>
        <v>수학</v>
      </c>
      <c r="AE68" s="148" t="str">
        <f>IF(OR(COUNTIF('1.연간시수표'!AE68,$AT$9),COUNTIF('1.연간시수표'!AE68,$AT$7)),$AT$6,IF(OR(COUNTIF('1.연간시수표'!AE68,$AU$9),COUNTIF('1.연간시수표'!AE68,$AU$7)),$AU$6,IF(OR(COUNTIF('1.연간시수표'!AE68,$AV$9),COUNTIF('1.연간시수표'!AE68,$AV$7)),$AV$6,IF(OR(COUNTIF('1.연간시수표'!AE68,$AW$9),COUNTIF('1.연간시수표'!AE68,$AW$7)),$AW$6,IF(OR(COUNTIF('1.연간시수표'!AE68,$AX$9),COUNTIF('1.연간시수표'!AE68,$AX$7)),$AX$6,IF(OR(COUNTIF('1.연간시수표'!AE68,$AY$9),COUNTIF('1.연간시수표'!AE68,$AY$7)),$AY$6,IF(OR(COUNTIF('1.연간시수표'!AE68,$AZ$9),COUNTIF('1.연간시수표'!AE68,$AZ$7)),$AZ$6,IF(OR(COUNTIF('1.연간시수표'!AE68,$BA$9),COUNTIF('1.연간시수표'!AE68,$BA$7)),$BA$6,IF(OR(COUNTIF('1.연간시수표'!AE68,$BB$9),COUNTIF('1.연간시수표'!AE68,$BB$7)),$BB$6,IF(OR(COUNTIF('1.연간시수표'!AE68,$BC$9),COUNTIF('1.연간시수표'!AE68,$BC$7)),$BC$6,IF(OR(COUNTIF('1.연간시수표'!AE68,$BF$9),COUNTIF('1.연간시수표'!AE68,$BF$7),COUNTIF('1.연간시수표'!AE68,$BG$9),COUNTIF('1.연간시수표'!AE68,$BG$7),COUNTIF('1.연간시수표'!AE68,$BH$9),COUNTIF('1.연간시수표'!AE68,$BH$7),COUNTIF('1.연간시수표'!AE68,$BI$9),COUNTIF('1.연간시수표'!AE68,$BI$7),COUNTIF('1.연간시수표'!AE68,$BJ$9),COUNTIF('1.연간시수표'!AE68,$BJ$7),COUNTIF('1.연간시수표'!AE68,$BK$9),COUNTIF('1.연간시수표'!AE68,$BK$7),COUNTIF('1.연간시수표'!AE68,$BL$9),COUNTIF('1.연간시수표'!AE68,$BL$7),COUNTIF('1.연간시수표'!AE68,$BM$9),COUNTIF('1.연간시수표'!AE68,$BM$7)),$BF$6,IF(OR(COUNTIF('1.연간시수표'!AE68,$BO$9),COUNTIF('1.연간시수표'!AE68,$BO$7)),$BO$6,IF(OR(COUNTIF('1.연간시수표'!AE68,$BP$9),COUNTIF('1.연간시수표'!AE68,$BP$7)),$BP$6,IF(OR(COUNTIF('1.연간시수표'!AE68,$BQ$9),COUNTIF('1.연간시수표'!AE68,$BQ$7)),$BQ$6,IF(OR(COUNTIF('1.연간시수표'!AE68,$BR$9),COUNTIF('1.연간시수표'!AE68,$BR$7)),$BR$6,"_")))))))))))))))</f>
        <v>체육</v>
      </c>
      <c r="AF68" s="148" t="str">
        <f>IF(OR(COUNTIF('1.연간시수표'!AF68,$AT$9),COUNTIF('1.연간시수표'!AF68,$AT$7)),$AT$6,IF(OR(COUNTIF('1.연간시수표'!AF68,$AU$9),COUNTIF('1.연간시수표'!AF68,$AU$7)),$AU$6,IF(OR(COUNTIF('1.연간시수표'!AF68,$AV$9),COUNTIF('1.연간시수표'!AF68,$AV$7)),$AV$6,IF(OR(COUNTIF('1.연간시수표'!AF68,$AW$9),COUNTIF('1.연간시수표'!AF68,$AW$7)),$AW$6,IF(OR(COUNTIF('1.연간시수표'!AF68,$AX$9),COUNTIF('1.연간시수표'!AF68,$AX$7)),$AX$6,IF(OR(COUNTIF('1.연간시수표'!AF68,$AY$9),COUNTIF('1.연간시수표'!AF68,$AY$7)),$AY$6,IF(OR(COUNTIF('1.연간시수표'!AF68,$AZ$9),COUNTIF('1.연간시수표'!AF68,$AZ$7)),$AZ$6,IF(OR(COUNTIF('1.연간시수표'!AF68,$BA$9),COUNTIF('1.연간시수표'!AF68,$BA$7)),$BA$6,IF(OR(COUNTIF('1.연간시수표'!AF68,$BB$9),COUNTIF('1.연간시수표'!AF68,$BB$7)),$BB$6,IF(OR(COUNTIF('1.연간시수표'!AF68,$BC$9),COUNTIF('1.연간시수표'!AF68,$BC$7)),$BC$6,IF(OR(COUNTIF('1.연간시수표'!AF68,$BF$9),COUNTIF('1.연간시수표'!AF68,$BF$7),COUNTIF('1.연간시수표'!AF68,$BG$9),COUNTIF('1.연간시수표'!AF68,$BG$7),COUNTIF('1.연간시수표'!AF68,$BH$9),COUNTIF('1.연간시수표'!AF68,$BH$7),COUNTIF('1.연간시수표'!AF68,$BI$9),COUNTIF('1.연간시수표'!AF68,$BI$7),COUNTIF('1.연간시수표'!AF68,$BJ$9),COUNTIF('1.연간시수표'!AF68,$BJ$7),COUNTIF('1.연간시수표'!AF68,$BK$9),COUNTIF('1.연간시수표'!AF68,$BK$7),COUNTIF('1.연간시수표'!AF68,$BL$9),COUNTIF('1.연간시수표'!AF68,$BL$7),COUNTIF('1.연간시수표'!AF68,$BM$9),COUNTIF('1.연간시수표'!AF68,$BM$7)),$BF$6,IF(OR(COUNTIF('1.연간시수표'!AF68,$BO$9),COUNTIF('1.연간시수표'!AF68,$BO$7)),$BO$6,IF(OR(COUNTIF('1.연간시수표'!AF68,$BP$9),COUNTIF('1.연간시수표'!AF68,$BP$7)),$BP$6,IF(OR(COUNTIF('1.연간시수표'!AF68,$BQ$9),COUNTIF('1.연간시수표'!AF68,$BQ$7)),$BQ$6,IF(OR(COUNTIF('1.연간시수표'!AF68,$BR$9),COUNTIF('1.연간시수표'!AF68,$BR$7)),$BR$6,"_")))))))))))))))</f>
        <v>자율활동</v>
      </c>
      <c r="AG68" s="148" t="str">
        <f>IF(OR(COUNTIF('1.연간시수표'!AG68,$AT$9),COUNTIF('1.연간시수표'!AG68,$AT$7)),$AT$6,IF(OR(COUNTIF('1.연간시수표'!AG68,$AU$9),COUNTIF('1.연간시수표'!AG68,$AU$7)),$AU$6,IF(OR(COUNTIF('1.연간시수표'!AG68,$AV$9),COUNTIF('1.연간시수표'!AG68,$AV$7)),$AV$6,IF(OR(COUNTIF('1.연간시수표'!AG68,$AW$9),COUNTIF('1.연간시수표'!AG68,$AW$7)),$AW$6,IF(OR(COUNTIF('1.연간시수표'!AG68,$AX$9),COUNTIF('1.연간시수표'!AG68,$AX$7)),$AX$6,IF(OR(COUNTIF('1.연간시수표'!AG68,$AY$9),COUNTIF('1.연간시수표'!AG68,$AY$7)),$AY$6,IF(OR(COUNTIF('1.연간시수표'!AG68,$AZ$9),COUNTIF('1.연간시수표'!AG68,$AZ$7)),$AZ$6,IF(OR(COUNTIF('1.연간시수표'!AG68,$BA$9),COUNTIF('1.연간시수표'!AG68,$BA$7)),$BA$6,IF(OR(COUNTIF('1.연간시수표'!AG68,$BB$9),COUNTIF('1.연간시수표'!AG68,$BB$7)),$BB$6,IF(OR(COUNTIF('1.연간시수표'!AG68,$BC$9),COUNTIF('1.연간시수표'!AG68,$BC$7)),$BC$6,IF(OR(COUNTIF('1.연간시수표'!AG68,$BF$9),COUNTIF('1.연간시수표'!AG68,$BF$7),COUNTIF('1.연간시수표'!AG68,$BG$9),COUNTIF('1.연간시수표'!AG68,$BG$7),COUNTIF('1.연간시수표'!AG68,$BH$9),COUNTIF('1.연간시수표'!AG68,$BH$7),COUNTIF('1.연간시수표'!AG68,$BI$9),COUNTIF('1.연간시수표'!AG68,$BI$7),COUNTIF('1.연간시수표'!AG68,$BJ$9),COUNTIF('1.연간시수표'!AG68,$BJ$7),COUNTIF('1.연간시수표'!AG68,$BK$9),COUNTIF('1.연간시수표'!AG68,$BK$7),COUNTIF('1.연간시수표'!AG68,$BL$9),COUNTIF('1.연간시수표'!AG68,$BL$7),COUNTIF('1.연간시수표'!AG68,$BM$9),COUNTIF('1.연간시수표'!AG68,$BM$7)),$BF$6,IF(OR(COUNTIF('1.연간시수표'!AG68,$BO$9),COUNTIF('1.연간시수표'!AG68,$BO$7)),$BO$6,IF(OR(COUNTIF('1.연간시수표'!AG68,$BP$9),COUNTIF('1.연간시수표'!AG68,$BP$7)),$BP$6,IF(OR(COUNTIF('1.연간시수표'!AG68,$BQ$9),COUNTIF('1.연간시수표'!AG68,$BQ$7)),$BQ$6,IF(OR(COUNTIF('1.연간시수표'!AG68,$BR$9),COUNTIF('1.연간시수표'!AG68,$BR$7)),$BR$6,"_")))))))))))))))</f>
        <v>과학</v>
      </c>
      <c r="AH68" s="148" t="str">
        <f>IF(OR(COUNTIF('1.연간시수표'!AH68,$AT$9),COUNTIF('1.연간시수표'!AH68,$AT$7)),$AT$6,IF(OR(COUNTIF('1.연간시수표'!AH68,$AU$9),COUNTIF('1.연간시수표'!AH68,$AU$7)),$AU$6,IF(OR(COUNTIF('1.연간시수표'!AH68,$AV$9),COUNTIF('1.연간시수표'!AH68,$AV$7)),$AV$6,IF(OR(COUNTIF('1.연간시수표'!AH68,$AW$9),COUNTIF('1.연간시수표'!AH68,$AW$7)),$AW$6,IF(OR(COUNTIF('1.연간시수표'!AH68,$AX$9),COUNTIF('1.연간시수표'!AH68,$AX$7)),$AX$6,IF(OR(COUNTIF('1.연간시수표'!AH68,$AY$9),COUNTIF('1.연간시수표'!AH68,$AY$7)),$AY$6,IF(OR(COUNTIF('1.연간시수표'!AH68,$AZ$9),COUNTIF('1.연간시수표'!AH68,$AZ$7)),$AZ$6,IF(OR(COUNTIF('1.연간시수표'!AH68,$BA$9),COUNTIF('1.연간시수표'!AH68,$BA$7)),$BA$6,IF(OR(COUNTIF('1.연간시수표'!AH68,$BB$9),COUNTIF('1.연간시수표'!AH68,$BB$7)),$BB$6,IF(OR(COUNTIF('1.연간시수표'!AH68,$BC$9),COUNTIF('1.연간시수표'!AH68,$BC$7)),$BC$6,IF(OR(COUNTIF('1.연간시수표'!AH68,$BF$9),COUNTIF('1.연간시수표'!AH68,$BF$7),COUNTIF('1.연간시수표'!AH68,$BG$9),COUNTIF('1.연간시수표'!AH68,$BG$7),COUNTIF('1.연간시수표'!AH68,$BH$9),COUNTIF('1.연간시수표'!AH68,$BH$7),COUNTIF('1.연간시수표'!AH68,$BI$9),COUNTIF('1.연간시수표'!AH68,$BI$7),COUNTIF('1.연간시수표'!AH68,$BJ$9),COUNTIF('1.연간시수표'!AH68,$BJ$7),COUNTIF('1.연간시수표'!AH68,$BK$9),COUNTIF('1.연간시수표'!AH68,$BK$7),COUNTIF('1.연간시수표'!AH68,$BL$9),COUNTIF('1.연간시수표'!AH68,$BL$7),COUNTIF('1.연간시수표'!AH68,$BM$9),COUNTIF('1.연간시수표'!AH68,$BM$7)),$BF$6,IF(OR(COUNTIF('1.연간시수표'!AH68,$BO$9),COUNTIF('1.연간시수표'!AH68,$BO$7)),$BO$6,IF(OR(COUNTIF('1.연간시수표'!AH68,$BP$9),COUNTIF('1.연간시수표'!AH68,$BP$7)),$BP$6,IF(OR(COUNTIF('1.연간시수표'!AH68,$BQ$9),COUNTIF('1.연간시수표'!AH68,$BQ$7)),$BQ$6,IF(OR(COUNTIF('1.연간시수표'!AH68,$BR$9),COUNTIF('1.연간시수표'!AH68,$BR$7)),$BR$6,"_")))))))))))))))</f>
        <v>음악</v>
      </c>
      <c r="AI68" s="148" t="str">
        <f>IF(OR(COUNTIF('1.연간시수표'!AI68,$AT$9),COUNTIF('1.연간시수표'!AI68,$AT$7)),$AT$6,IF(OR(COUNTIF('1.연간시수표'!AI68,$AU$9),COUNTIF('1.연간시수표'!AI68,$AU$7)),$AU$6,IF(OR(COUNTIF('1.연간시수표'!AI68,$AV$9),COUNTIF('1.연간시수표'!AI68,$AV$7)),$AV$6,IF(OR(COUNTIF('1.연간시수표'!AI68,$AW$9),COUNTIF('1.연간시수표'!AI68,$AW$7)),$AW$6,IF(OR(COUNTIF('1.연간시수표'!AI68,$AX$9),COUNTIF('1.연간시수표'!AI68,$AX$7)),$AX$6,IF(OR(COUNTIF('1.연간시수표'!AI68,$AY$9),COUNTIF('1.연간시수표'!AI68,$AY$7)),$AY$6,IF(OR(COUNTIF('1.연간시수표'!AI68,$AZ$9),COUNTIF('1.연간시수표'!AI68,$AZ$7)),$AZ$6,IF(OR(COUNTIF('1.연간시수표'!AI68,$BA$9),COUNTIF('1.연간시수표'!AI68,$BA$7)),$BA$6,IF(OR(COUNTIF('1.연간시수표'!AI68,$BB$9),COUNTIF('1.연간시수표'!AI68,$BB$7)),$BB$6,IF(OR(COUNTIF('1.연간시수표'!AI68,$BC$9),COUNTIF('1.연간시수표'!AI68,$BC$7)),$BC$6,IF(OR(COUNTIF('1.연간시수표'!AI68,$BF$9),COUNTIF('1.연간시수표'!AI68,$BF$7),COUNTIF('1.연간시수표'!AI68,$BG$9),COUNTIF('1.연간시수표'!AI68,$BG$7),COUNTIF('1.연간시수표'!AI68,$BH$9),COUNTIF('1.연간시수표'!AI68,$BH$7),COUNTIF('1.연간시수표'!AI68,$BI$9),COUNTIF('1.연간시수표'!AI68,$BI$7),COUNTIF('1.연간시수표'!AI68,$BJ$9),COUNTIF('1.연간시수표'!AI68,$BJ$7),COUNTIF('1.연간시수표'!AI68,$BK$9),COUNTIF('1.연간시수표'!AI68,$BK$7),COUNTIF('1.연간시수표'!AI68,$BL$9),COUNTIF('1.연간시수표'!AI68,$BL$7),COUNTIF('1.연간시수표'!AI68,$BM$9),COUNTIF('1.연간시수표'!AI68,$BM$7)),$BF$6,IF(OR(COUNTIF('1.연간시수표'!AI68,$BO$9),COUNTIF('1.연간시수표'!AI68,$BO$7)),$BO$6,IF(OR(COUNTIF('1.연간시수표'!AI68,$BP$9),COUNTIF('1.연간시수표'!AI68,$BP$7)),$BP$6,IF(OR(COUNTIF('1.연간시수표'!AI68,$BQ$9),COUNTIF('1.연간시수표'!AI68,$BQ$7)),$BQ$6,IF(OR(COUNTIF('1.연간시수표'!AI68,$BR$9),COUNTIF('1.연간시수표'!AI68,$BR$7)),$BR$6,"_")))))))))))))))</f>
        <v>_</v>
      </c>
      <c r="AJ68" s="148" t="str">
        <f>IF(OR(COUNTIF('1.연간시수표'!AJ68,$AT$9),COUNTIF('1.연간시수표'!AJ68,$AT$7)),$AT$6,IF(OR(COUNTIF('1.연간시수표'!AJ68,$AU$9),COUNTIF('1.연간시수표'!AJ68,$AU$7)),$AU$6,IF(OR(COUNTIF('1.연간시수표'!AJ68,$AV$9),COUNTIF('1.연간시수표'!AJ68,$AV$7)),$AV$6,IF(OR(COUNTIF('1.연간시수표'!AJ68,$AW$9),COUNTIF('1.연간시수표'!AJ68,$AW$7)),$AW$6,IF(OR(COUNTIF('1.연간시수표'!AJ68,$AX$9),COUNTIF('1.연간시수표'!AJ68,$AX$7)),$AX$6,IF(OR(COUNTIF('1.연간시수표'!AJ68,$AY$9),COUNTIF('1.연간시수표'!AJ68,$AY$7)),$AY$6,IF(OR(COUNTIF('1.연간시수표'!AJ68,$AZ$9),COUNTIF('1.연간시수표'!AJ68,$AZ$7)),$AZ$6,IF(OR(COUNTIF('1.연간시수표'!AJ68,$BA$9),COUNTIF('1.연간시수표'!AJ68,$BA$7)),$BA$6,IF(OR(COUNTIF('1.연간시수표'!AJ68,$BB$9),COUNTIF('1.연간시수표'!AJ68,$BB$7)),$BB$6,IF(OR(COUNTIF('1.연간시수표'!AJ68,$BC$9),COUNTIF('1.연간시수표'!AJ68,$BC$7)),$BC$6,IF(OR(COUNTIF('1.연간시수표'!AJ68,$BF$9),COUNTIF('1.연간시수표'!AJ68,$BF$7),COUNTIF('1.연간시수표'!AJ68,$BG$9),COUNTIF('1.연간시수표'!AJ68,$BG$7),COUNTIF('1.연간시수표'!AJ68,$BH$9),COUNTIF('1.연간시수표'!AJ68,$BH$7),COUNTIF('1.연간시수표'!AJ68,$BI$9),COUNTIF('1.연간시수표'!AJ68,$BI$7),COUNTIF('1.연간시수표'!AJ68,$BJ$9),COUNTIF('1.연간시수표'!AJ68,$BJ$7),COUNTIF('1.연간시수표'!AJ68,$BK$9),COUNTIF('1.연간시수표'!AJ68,$BK$7),COUNTIF('1.연간시수표'!AJ68,$BL$9),COUNTIF('1.연간시수표'!AJ68,$BL$7),COUNTIF('1.연간시수표'!AJ68,$BM$9),COUNTIF('1.연간시수표'!AJ68,$BM$7)),$BF$6,IF(OR(COUNTIF('1.연간시수표'!AJ68,$BO$9),COUNTIF('1.연간시수표'!AJ68,$BO$7)),$BO$6,IF(OR(COUNTIF('1.연간시수표'!AJ68,$BP$9),COUNTIF('1.연간시수표'!AJ68,$BP$7)),$BP$6,IF(OR(COUNTIF('1.연간시수표'!AJ68,$BQ$9),COUNTIF('1.연간시수표'!AJ68,$BQ$7)),$BQ$6,IF(OR(COUNTIF('1.연간시수표'!AJ68,$BR$9),COUNTIF('1.연간시수표'!AJ68,$BR$7)),$BR$6,"_")))))))))))))))</f>
        <v>_</v>
      </c>
      <c r="AK68" s="148" t="str">
        <f>IF(OR(COUNTIF('1.연간시수표'!AK68,$AT$9),COUNTIF('1.연간시수표'!AK68,$AT$7)),$AT$6,IF(OR(COUNTIF('1.연간시수표'!AK68,$AU$9),COUNTIF('1.연간시수표'!AK68,$AU$7)),$AU$6,IF(OR(COUNTIF('1.연간시수표'!AK68,$AV$9),COUNTIF('1.연간시수표'!AK68,$AV$7)),$AV$6,IF(OR(COUNTIF('1.연간시수표'!AK68,$AW$9),COUNTIF('1.연간시수표'!AK68,$AW$7)),$AW$6,IF(OR(COUNTIF('1.연간시수표'!AK68,$AX$9),COUNTIF('1.연간시수표'!AK68,$AX$7)),$AX$6,IF(OR(COUNTIF('1.연간시수표'!AK68,$AY$9),COUNTIF('1.연간시수표'!AK68,$AY$7)),$AY$6,IF(OR(COUNTIF('1.연간시수표'!AK68,$AZ$9),COUNTIF('1.연간시수표'!AK68,$AZ$7)),$AZ$6,IF(OR(COUNTIF('1.연간시수표'!AK68,$BA$9),COUNTIF('1.연간시수표'!AK68,$BA$7)),$BA$6,IF(OR(COUNTIF('1.연간시수표'!AK68,$BB$9),COUNTIF('1.연간시수표'!AK68,$BB$7)),$BB$6,IF(OR(COUNTIF('1.연간시수표'!AK68,$BC$9),COUNTIF('1.연간시수표'!AK68,$BC$7)),$BC$6,IF(OR(COUNTIF('1.연간시수표'!AK68,$BF$9),COUNTIF('1.연간시수표'!AK68,$BF$7),COUNTIF('1.연간시수표'!AK68,$BG$9),COUNTIF('1.연간시수표'!AK68,$BG$7),COUNTIF('1.연간시수표'!AK68,$BH$9),COUNTIF('1.연간시수표'!AK68,$BH$7),COUNTIF('1.연간시수표'!AK68,$BI$9),COUNTIF('1.연간시수표'!AK68,$BI$7),COUNTIF('1.연간시수표'!AK68,$BJ$9),COUNTIF('1.연간시수표'!AK68,$BJ$7),COUNTIF('1.연간시수표'!AK68,$BK$9),COUNTIF('1.연간시수표'!AK68,$BK$7),COUNTIF('1.연간시수표'!AK68,$BL$9),COUNTIF('1.연간시수표'!AK68,$BL$7),COUNTIF('1.연간시수표'!AK68,$BM$9),COUNTIF('1.연간시수표'!AK68,$BM$7)),$BF$6,IF(OR(COUNTIF('1.연간시수표'!AK68,$BO$9),COUNTIF('1.연간시수표'!AK68,$BO$7)),$BO$6,IF(OR(COUNTIF('1.연간시수표'!AK68,$BP$9),COUNTIF('1.연간시수표'!AK68,$BP$7)),$BP$6,IF(OR(COUNTIF('1.연간시수표'!AK68,$BQ$9),COUNTIF('1.연간시수표'!AK68,$BQ$7)),$BQ$6,IF(OR(COUNTIF('1.연간시수표'!AK68,$BR$9),COUNTIF('1.연간시수표'!AK68,$BR$7)),$BR$6,"_")))))))))))))))</f>
        <v>국어</v>
      </c>
      <c r="AL68" s="148" t="str">
        <f>IF(OR(COUNTIF('1.연간시수표'!AL68,$AT$9),COUNTIF('1.연간시수표'!AL68,$AT$7)),$AT$6,IF(OR(COUNTIF('1.연간시수표'!AL68,$AU$9),COUNTIF('1.연간시수표'!AL68,$AU$7)),$AU$6,IF(OR(COUNTIF('1.연간시수표'!AL68,$AV$9),COUNTIF('1.연간시수표'!AL68,$AV$7)),$AV$6,IF(OR(COUNTIF('1.연간시수표'!AL68,$AW$9),COUNTIF('1.연간시수표'!AL68,$AW$7)),$AW$6,IF(OR(COUNTIF('1.연간시수표'!AL68,$AX$9),COUNTIF('1.연간시수표'!AL68,$AX$7)),$AX$6,IF(OR(COUNTIF('1.연간시수표'!AL68,$AY$9),COUNTIF('1.연간시수표'!AL68,$AY$7)),$AY$6,IF(OR(COUNTIF('1.연간시수표'!AL68,$AZ$9),COUNTIF('1.연간시수표'!AL68,$AZ$7)),$AZ$6,IF(OR(COUNTIF('1.연간시수표'!AL68,$BA$9),COUNTIF('1.연간시수표'!AL68,$BA$7)),$BA$6,IF(OR(COUNTIF('1.연간시수표'!AL68,$BB$9),COUNTIF('1.연간시수표'!AL68,$BB$7)),$BB$6,IF(OR(COUNTIF('1.연간시수표'!AL68,$BC$9),COUNTIF('1.연간시수표'!AL68,$BC$7)),$BC$6,IF(OR(COUNTIF('1.연간시수표'!AL68,$BF$9),COUNTIF('1.연간시수표'!AL68,$BF$7),COUNTIF('1.연간시수표'!AL68,$BG$9),COUNTIF('1.연간시수표'!AL68,$BG$7),COUNTIF('1.연간시수표'!AL68,$BH$9),COUNTIF('1.연간시수표'!AL68,$BH$7),COUNTIF('1.연간시수표'!AL68,$BI$9),COUNTIF('1.연간시수표'!AL68,$BI$7),COUNTIF('1.연간시수표'!AL68,$BJ$9),COUNTIF('1.연간시수표'!AL68,$BJ$7),COUNTIF('1.연간시수표'!AL68,$BK$9),COUNTIF('1.연간시수표'!AL68,$BK$7),COUNTIF('1.연간시수표'!AL68,$BL$9),COUNTIF('1.연간시수표'!AL68,$BL$7),COUNTIF('1.연간시수표'!AL68,$BM$9),COUNTIF('1.연간시수표'!AL68,$BM$7)),$BF$6,IF(OR(COUNTIF('1.연간시수표'!AL68,$BO$9),COUNTIF('1.연간시수표'!AL68,$BO$7)),$BO$6,IF(OR(COUNTIF('1.연간시수표'!AL68,$BP$9),COUNTIF('1.연간시수표'!AL68,$BP$7)),$BP$6,IF(OR(COUNTIF('1.연간시수표'!AL68,$BQ$9),COUNTIF('1.연간시수표'!AL68,$BQ$7)),$BQ$6,IF(OR(COUNTIF('1.연간시수표'!AL68,$BR$9),COUNTIF('1.연간시수표'!AL68,$BR$7)),$BR$6,"_")))))))))))))))</f>
        <v>체육</v>
      </c>
      <c r="AM68" s="148" t="str">
        <f>IF(OR(COUNTIF('1.연간시수표'!AM68,$AT$9),COUNTIF('1.연간시수표'!AM68,$AT$7)),$AT$6,IF(OR(COUNTIF('1.연간시수표'!AM68,$AU$9),COUNTIF('1.연간시수표'!AM68,$AU$7)),$AU$6,IF(OR(COUNTIF('1.연간시수표'!AM68,$AV$9),COUNTIF('1.연간시수표'!AM68,$AV$7)),$AV$6,IF(OR(COUNTIF('1.연간시수표'!AM68,$AW$9),COUNTIF('1.연간시수표'!AM68,$AW$7)),$AW$6,IF(OR(COUNTIF('1.연간시수표'!AM68,$AX$9),COUNTIF('1.연간시수표'!AM68,$AX$7)),$AX$6,IF(OR(COUNTIF('1.연간시수표'!AM68,$AY$9),COUNTIF('1.연간시수표'!AM68,$AY$7)),$AY$6,IF(OR(COUNTIF('1.연간시수표'!AM68,$AZ$9),COUNTIF('1.연간시수표'!AM68,$AZ$7)),$AZ$6,IF(OR(COUNTIF('1.연간시수표'!AM68,$BA$9),COUNTIF('1.연간시수표'!AM68,$BA$7)),$BA$6,IF(OR(COUNTIF('1.연간시수표'!AM68,$BB$9),COUNTIF('1.연간시수표'!AM68,$BB$7)),$BB$6,IF(OR(COUNTIF('1.연간시수표'!AM68,$BC$9),COUNTIF('1.연간시수표'!AM68,$BC$7)),$BC$6,IF(OR(COUNTIF('1.연간시수표'!AM68,$BF$9),COUNTIF('1.연간시수표'!AM68,$BF$7),COUNTIF('1.연간시수표'!AM68,$BG$9),COUNTIF('1.연간시수표'!AM68,$BG$7),COUNTIF('1.연간시수표'!AM68,$BH$9),COUNTIF('1.연간시수표'!AM68,$BH$7),COUNTIF('1.연간시수표'!AM68,$BI$9),COUNTIF('1.연간시수표'!AM68,$BI$7),COUNTIF('1.연간시수표'!AM68,$BJ$9),COUNTIF('1.연간시수표'!AM68,$BJ$7),COUNTIF('1.연간시수표'!AM68,$BK$9),COUNTIF('1.연간시수표'!AM68,$BK$7),COUNTIF('1.연간시수표'!AM68,$BL$9),COUNTIF('1.연간시수표'!AM68,$BL$7),COUNTIF('1.연간시수표'!AM68,$BM$9),COUNTIF('1.연간시수표'!AM68,$BM$7)),$BF$6,IF(OR(COUNTIF('1.연간시수표'!AM68,$BO$9),COUNTIF('1.연간시수표'!AM68,$BO$7)),$BO$6,IF(OR(COUNTIF('1.연간시수표'!AM68,$BP$9),COUNTIF('1.연간시수표'!AM68,$BP$7)),$BP$6,IF(OR(COUNTIF('1.연간시수표'!AM68,$BQ$9),COUNTIF('1.연간시수표'!AM68,$BQ$7)),$BQ$6,IF(OR(COUNTIF('1.연간시수표'!AM68,$BR$9),COUNTIF('1.연간시수표'!AM68,$BR$7)),$BR$6,"_")))))))))))))))</f>
        <v>수학</v>
      </c>
      <c r="AN68" s="148" t="str">
        <f>IF(OR(COUNTIF('1.연간시수표'!AN68,$AT$9),COUNTIF('1.연간시수표'!AN68,$AT$7)),$AT$6,IF(OR(COUNTIF('1.연간시수표'!AN68,$AU$9),COUNTIF('1.연간시수표'!AN68,$AU$7)),$AU$6,IF(OR(COUNTIF('1.연간시수표'!AN68,$AV$9),COUNTIF('1.연간시수표'!AN68,$AV$7)),$AV$6,IF(OR(COUNTIF('1.연간시수표'!AN68,$AW$9),COUNTIF('1.연간시수표'!AN68,$AW$7)),$AW$6,IF(OR(COUNTIF('1.연간시수표'!AN68,$AX$9),COUNTIF('1.연간시수표'!AN68,$AX$7)),$AX$6,IF(OR(COUNTIF('1.연간시수표'!AN68,$AY$9),COUNTIF('1.연간시수표'!AN68,$AY$7)),$AY$6,IF(OR(COUNTIF('1.연간시수표'!AN68,$AZ$9),COUNTIF('1.연간시수표'!AN68,$AZ$7)),$AZ$6,IF(OR(COUNTIF('1.연간시수표'!AN68,$BA$9),COUNTIF('1.연간시수표'!AN68,$BA$7)),$BA$6,IF(OR(COUNTIF('1.연간시수표'!AN68,$BB$9),COUNTIF('1.연간시수표'!AN68,$BB$7)),$BB$6,IF(OR(COUNTIF('1.연간시수표'!AN68,$BC$9),COUNTIF('1.연간시수표'!AN68,$BC$7)),$BC$6,IF(OR(COUNTIF('1.연간시수표'!AN68,$BF$9),COUNTIF('1.연간시수표'!AN68,$BF$7),COUNTIF('1.연간시수표'!AN68,$BG$9),COUNTIF('1.연간시수표'!AN68,$BG$7),COUNTIF('1.연간시수표'!AN68,$BH$9),COUNTIF('1.연간시수표'!AN68,$BH$7),COUNTIF('1.연간시수표'!AN68,$BI$9),COUNTIF('1.연간시수표'!AN68,$BI$7),COUNTIF('1.연간시수표'!AN68,$BJ$9),COUNTIF('1.연간시수표'!AN68,$BJ$7),COUNTIF('1.연간시수표'!AN68,$BK$9),COUNTIF('1.연간시수표'!AN68,$BK$7),COUNTIF('1.연간시수표'!AN68,$BL$9),COUNTIF('1.연간시수표'!AN68,$BL$7),COUNTIF('1.연간시수표'!AN68,$BM$9),COUNTIF('1.연간시수표'!AN68,$BM$7)),$BF$6,IF(OR(COUNTIF('1.연간시수표'!AN68,$BO$9),COUNTIF('1.연간시수표'!AN68,$BO$7)),$BO$6,IF(OR(COUNTIF('1.연간시수표'!AN68,$BP$9),COUNTIF('1.연간시수표'!AN68,$BP$7)),$BP$6,IF(OR(COUNTIF('1.연간시수표'!AN68,$BQ$9),COUNTIF('1.연간시수표'!AN68,$BQ$7)),$BQ$6,IF(OR(COUNTIF('1.연간시수표'!AN68,$BR$9),COUNTIF('1.연간시수표'!AN68,$BR$7)),$BR$6,"_")))))))))))))))</f>
        <v>국어</v>
      </c>
      <c r="AO68" s="148" t="str">
        <f>IF(OR(COUNTIF('1.연간시수표'!AO68,$AT$9),COUNTIF('1.연간시수표'!AO68,$AT$7)),$AT$6,IF(OR(COUNTIF('1.연간시수표'!AO68,$AU$9),COUNTIF('1.연간시수표'!AO68,$AU$7)),$AU$6,IF(OR(COUNTIF('1.연간시수표'!AO68,$AV$9),COUNTIF('1.연간시수표'!AO68,$AV$7)),$AV$6,IF(OR(COUNTIF('1.연간시수표'!AO68,$AW$9),COUNTIF('1.연간시수표'!AO68,$AW$7)),$AW$6,IF(OR(COUNTIF('1.연간시수표'!AO68,$AX$9),COUNTIF('1.연간시수표'!AO68,$AX$7)),$AX$6,IF(OR(COUNTIF('1.연간시수표'!AO68,$AY$9),COUNTIF('1.연간시수표'!AO68,$AY$7)),$AY$6,IF(OR(COUNTIF('1.연간시수표'!AO68,$AZ$9),COUNTIF('1.연간시수표'!AO68,$AZ$7)),$AZ$6,IF(OR(COUNTIF('1.연간시수표'!AO68,$BA$9),COUNTIF('1.연간시수표'!AO68,$BA$7)),$BA$6,IF(OR(COUNTIF('1.연간시수표'!AO68,$BB$9),COUNTIF('1.연간시수표'!AO68,$BB$7)),$BB$6,IF(OR(COUNTIF('1.연간시수표'!AO68,$BC$9),COUNTIF('1.연간시수표'!AO68,$BC$7)),$BC$6,IF(OR(COUNTIF('1.연간시수표'!AO68,$BF$9),COUNTIF('1.연간시수표'!AO68,$BF$7),COUNTIF('1.연간시수표'!AO68,$BG$9),COUNTIF('1.연간시수표'!AO68,$BG$7),COUNTIF('1.연간시수표'!AO68,$BH$9),COUNTIF('1.연간시수표'!AO68,$BH$7),COUNTIF('1.연간시수표'!AO68,$BI$9),COUNTIF('1.연간시수표'!AO68,$BI$7),COUNTIF('1.연간시수표'!AO68,$BJ$9),COUNTIF('1.연간시수표'!AO68,$BJ$7),COUNTIF('1.연간시수표'!AO68,$BK$9),COUNTIF('1.연간시수표'!AO68,$BK$7),COUNTIF('1.연간시수표'!AO68,$BL$9),COUNTIF('1.연간시수표'!AO68,$BL$7),COUNTIF('1.연간시수표'!AO68,$BM$9),COUNTIF('1.연간시수표'!AO68,$BM$7)),$BF$6,IF(OR(COUNTIF('1.연간시수표'!AO68,$BO$9),COUNTIF('1.연간시수표'!AO68,$BO$7)),$BO$6,IF(OR(COUNTIF('1.연간시수표'!AO68,$BP$9),COUNTIF('1.연간시수표'!AO68,$BP$7)),$BP$6,IF(OR(COUNTIF('1.연간시수표'!AO68,$BQ$9),COUNTIF('1.연간시수표'!AO68,$BQ$7)),$BQ$6,IF(OR(COUNTIF('1.연간시수표'!AO68,$BR$9),COUNTIF('1.연간시수표'!AO68,$BR$7)),$BR$6,"_")))))))))))))))</f>
        <v>사회</v>
      </c>
      <c r="AP68" s="148" t="str">
        <f>IF(OR(COUNTIF('1.연간시수표'!AP68,$AT$9),COUNTIF('1.연간시수표'!AP68,$AT$7)),$AT$6,IF(OR(COUNTIF('1.연간시수표'!AP68,$AU$9),COUNTIF('1.연간시수표'!AP68,$AU$7)),$AU$6,IF(OR(COUNTIF('1.연간시수표'!AP68,$AV$9),COUNTIF('1.연간시수표'!AP68,$AV$7)),$AV$6,IF(OR(COUNTIF('1.연간시수표'!AP68,$AW$9),COUNTIF('1.연간시수표'!AP68,$AW$7)),$AW$6,IF(OR(COUNTIF('1.연간시수표'!AP68,$AX$9),COUNTIF('1.연간시수표'!AP68,$AX$7)),$AX$6,IF(OR(COUNTIF('1.연간시수표'!AP68,$AY$9),COUNTIF('1.연간시수표'!AP68,$AY$7)),$AY$6,IF(OR(COUNTIF('1.연간시수표'!AP68,$AZ$9),COUNTIF('1.연간시수표'!AP68,$AZ$7)),$AZ$6,IF(OR(COUNTIF('1.연간시수표'!AP68,$BA$9),COUNTIF('1.연간시수표'!AP68,$BA$7)),$BA$6,IF(OR(COUNTIF('1.연간시수표'!AP68,$BB$9),COUNTIF('1.연간시수표'!AP68,$BB$7)),$BB$6,IF(OR(COUNTIF('1.연간시수표'!AP68,$BC$9),COUNTIF('1.연간시수표'!AP68,$BC$7)),$BC$6,IF(OR(COUNTIF('1.연간시수표'!AP68,$BF$9),COUNTIF('1.연간시수표'!AP68,$BF$7),COUNTIF('1.연간시수표'!AP68,$BG$9),COUNTIF('1.연간시수표'!AP68,$BG$7),COUNTIF('1.연간시수표'!AP68,$BH$9),COUNTIF('1.연간시수표'!AP68,$BH$7),COUNTIF('1.연간시수표'!AP68,$BI$9),COUNTIF('1.연간시수표'!AP68,$BI$7),COUNTIF('1.연간시수표'!AP68,$BJ$9),COUNTIF('1.연간시수표'!AP68,$BJ$7),COUNTIF('1.연간시수표'!AP68,$BK$9),COUNTIF('1.연간시수표'!AP68,$BK$7),COUNTIF('1.연간시수표'!AP68,$BL$9),COUNTIF('1.연간시수표'!AP68,$BL$7),COUNTIF('1.연간시수표'!AP68,$BM$9),COUNTIF('1.연간시수표'!AP68,$BM$7)),$BF$6,IF(OR(COUNTIF('1.연간시수표'!AP68,$BO$9),COUNTIF('1.연간시수표'!AP68,$BO$7)),$BO$6,IF(OR(COUNTIF('1.연간시수표'!AP68,$BP$9),COUNTIF('1.연간시수표'!AP68,$BP$7)),$BP$6,IF(OR(COUNTIF('1.연간시수표'!AP68,$BQ$9),COUNTIF('1.연간시수표'!AP68,$BQ$7)),$BQ$6,IF(OR(COUNTIF('1.연간시수표'!AP68,$BR$9),COUNTIF('1.연간시수표'!AP68,$BR$7)),$BR$6,"_")))))))))))))))</f>
        <v>체육</v>
      </c>
      <c r="AQ68" s="148" t="str">
        <f>IF(OR(COUNTIF('1.연간시수표'!AQ68,$AT$9),COUNTIF('1.연간시수표'!AQ68,$AT$7)),$AT$6,IF(OR(COUNTIF('1.연간시수표'!AQ68,$AU$9),COUNTIF('1.연간시수표'!AQ68,$AU$7)),$AU$6,IF(OR(COUNTIF('1.연간시수표'!AQ68,$AV$9),COUNTIF('1.연간시수표'!AQ68,$AV$7)),$AV$6,IF(OR(COUNTIF('1.연간시수표'!AQ68,$AW$9),COUNTIF('1.연간시수표'!AQ68,$AW$7)),$AW$6,IF(OR(COUNTIF('1.연간시수표'!AQ68,$AX$9),COUNTIF('1.연간시수표'!AQ68,$AX$7)),$AX$6,IF(OR(COUNTIF('1.연간시수표'!AQ68,$AY$9),COUNTIF('1.연간시수표'!AQ68,$AY$7)),$AY$6,IF(OR(COUNTIF('1.연간시수표'!AQ68,$AZ$9),COUNTIF('1.연간시수표'!AQ68,$AZ$7)),$AZ$6,IF(OR(COUNTIF('1.연간시수표'!AQ68,$BA$9),COUNTIF('1.연간시수표'!AQ68,$BA$7)),$BA$6,IF(OR(COUNTIF('1.연간시수표'!AQ68,$BB$9),COUNTIF('1.연간시수표'!AQ68,$BB$7)),$BB$6,IF(OR(COUNTIF('1.연간시수표'!AQ68,$BC$9),COUNTIF('1.연간시수표'!AQ68,$BC$7)),$BC$6,IF(OR(COUNTIF('1.연간시수표'!AQ68,$BF$9),COUNTIF('1.연간시수표'!AQ68,$BF$7),COUNTIF('1.연간시수표'!AQ68,$BG$9),COUNTIF('1.연간시수표'!AQ68,$BG$7),COUNTIF('1.연간시수표'!AQ68,$BH$9),COUNTIF('1.연간시수표'!AQ68,$BH$7),COUNTIF('1.연간시수표'!AQ68,$BI$9),COUNTIF('1.연간시수표'!AQ68,$BI$7),COUNTIF('1.연간시수표'!AQ68,$BJ$9),COUNTIF('1.연간시수표'!AQ68,$BJ$7),COUNTIF('1.연간시수표'!AQ68,$BK$9),COUNTIF('1.연간시수표'!AQ68,$BK$7),COUNTIF('1.연간시수표'!AQ68,$BL$9),COUNTIF('1.연간시수표'!AQ68,$BL$7),COUNTIF('1.연간시수표'!AQ68,$BM$9),COUNTIF('1.연간시수표'!AQ68,$BM$7)),$BF$6,IF(OR(COUNTIF('1.연간시수표'!AQ68,$BO$9),COUNTIF('1.연간시수표'!AQ68,$BO$7)),$BO$6,IF(OR(COUNTIF('1.연간시수표'!AQ68,$BP$9),COUNTIF('1.연간시수표'!AQ68,$BP$7)),$BP$6,IF(OR(COUNTIF('1.연간시수표'!AQ68,$BQ$9),COUNTIF('1.연간시수표'!AQ68,$BQ$7)),$BQ$6,IF(OR(COUNTIF('1.연간시수표'!AQ68,$BR$9),COUNTIF('1.연간시수표'!AQ68,$BR$7)),$BR$6,"_")))))))))))))))</f>
        <v>_</v>
      </c>
      <c r="AR68" s="148" t="str">
        <f>IF(OR(COUNTIF('1.연간시수표'!AR68,$AT$9),COUNTIF('1.연간시수표'!AR68,$AT$7)),$AT$6,IF(OR(COUNTIF('1.연간시수표'!AR68,$AU$9),COUNTIF('1.연간시수표'!AR68,$AU$7)),$AU$6,IF(OR(COUNTIF('1.연간시수표'!AR68,$AV$9),COUNTIF('1.연간시수표'!AR68,$AV$7)),$AV$6,IF(OR(COUNTIF('1.연간시수표'!AR68,$AW$9),COUNTIF('1.연간시수표'!AR68,$AW$7)),$AW$6,IF(OR(COUNTIF('1.연간시수표'!AR68,$AX$9),COUNTIF('1.연간시수표'!AR68,$AX$7)),$AX$6,IF(OR(COUNTIF('1.연간시수표'!AR68,$AY$9),COUNTIF('1.연간시수표'!AR68,$AY$7)),$AY$6,IF(OR(COUNTIF('1.연간시수표'!AR68,$AZ$9),COUNTIF('1.연간시수표'!AR68,$AZ$7)),$AZ$6,IF(OR(COUNTIF('1.연간시수표'!AR68,$BA$9),COUNTIF('1.연간시수표'!AR68,$BA$7)),$BA$6,IF(OR(COUNTIF('1.연간시수표'!AR68,$BB$9),COUNTIF('1.연간시수표'!AR68,$BB$7)),$BB$6,IF(OR(COUNTIF('1.연간시수표'!AR68,$BC$9),COUNTIF('1.연간시수표'!AR68,$BC$7)),$BC$6,IF(OR(COUNTIF('1.연간시수표'!AR68,$BF$9),COUNTIF('1.연간시수표'!AR68,$BF$7),COUNTIF('1.연간시수표'!AR68,$BG$9),COUNTIF('1.연간시수표'!AR68,$BG$7),COUNTIF('1.연간시수표'!AR68,$BH$9),COUNTIF('1.연간시수표'!AR68,$BH$7),COUNTIF('1.연간시수표'!AR68,$BI$9),COUNTIF('1.연간시수표'!AR68,$BI$7),COUNTIF('1.연간시수표'!AR68,$BJ$9),COUNTIF('1.연간시수표'!AR68,$BJ$7),COUNTIF('1.연간시수표'!AR68,$BK$9),COUNTIF('1.연간시수표'!AR68,$BK$7),COUNTIF('1.연간시수표'!AR68,$BL$9),COUNTIF('1.연간시수표'!AR68,$BL$7),COUNTIF('1.연간시수표'!AR68,$BM$9),COUNTIF('1.연간시수표'!AR68,$BM$7)),$BF$6,IF(OR(COUNTIF('1.연간시수표'!AR68,$BO$9),COUNTIF('1.연간시수표'!AR68,$BO$7)),$BO$6,IF(OR(COUNTIF('1.연간시수표'!AR68,$BP$9),COUNTIF('1.연간시수표'!AR68,$BP$7)),$BP$6,IF(OR(COUNTIF('1.연간시수표'!AR68,$BQ$9),COUNTIF('1.연간시수표'!AR68,$BQ$7)),$BQ$6,IF(OR(COUNTIF('1.연간시수표'!AR68,$BR$9),COUNTIF('1.연간시수표'!AR68,$BR$7)),$BR$6,"_")))))))))))))))</f>
        <v>_</v>
      </c>
    </row>
    <row r="69" spans="2:44">
      <c r="B69" s="6"/>
      <c r="C69" s="79">
        <f>'1.연간시수표'!C69</f>
        <v>38</v>
      </c>
      <c r="D69" s="3"/>
      <c r="E69" s="148" t="str">
        <f>IF(OR(COUNTIF('1.연간시수표'!E69,$AT$9),COUNTIF('1.연간시수표'!E69,$AT$7)),$AT$6,IF(OR(COUNTIF('1.연간시수표'!E69,$AU$9),COUNTIF('1.연간시수표'!E69,$AU$7)),$AU$6,IF(OR(COUNTIF('1.연간시수표'!E69,$AV$9),COUNTIF('1.연간시수표'!E69,$AV$7)),$AV$6,IF(OR(COUNTIF('1.연간시수표'!E69,$AW$9),COUNTIF('1.연간시수표'!E69,$AW$7)),$AW$6,IF(OR(COUNTIF('1.연간시수표'!E69,$AX$9),COUNTIF('1.연간시수표'!E69,$AX$7)),$AX$6,IF(OR(COUNTIF('1.연간시수표'!E69,$AY$9),COUNTIF('1.연간시수표'!E69,$AY$7)),$AY$6,IF(OR(COUNTIF('1.연간시수표'!E69,$AZ$9),COUNTIF('1.연간시수표'!E69,$AZ$7)),$AZ$6,IF(OR(COUNTIF('1.연간시수표'!E69,$BA$9),COUNTIF('1.연간시수표'!E69,$BA$7)),$BA$6,IF(OR(COUNTIF('1.연간시수표'!E69,$BB$9),COUNTIF('1.연간시수표'!E69,$BB$7)),$BB$6,IF(OR(COUNTIF('1.연간시수표'!E69,$BC$9),COUNTIF('1.연간시수표'!E69,$BC$7)),$BC$6,IF(OR(COUNTIF('1.연간시수표'!E69,$BF$9),COUNTIF('1.연간시수표'!E69,$BF$7),COUNTIF('1.연간시수표'!E69,$BG$9),COUNTIF('1.연간시수표'!E69,$BG$7),COUNTIF('1.연간시수표'!E69,$BH$9),COUNTIF('1.연간시수표'!E69,$BH$7),COUNTIF('1.연간시수표'!E69,$BI$9),COUNTIF('1.연간시수표'!E69,$BI$7),COUNTIF('1.연간시수표'!E69,$BJ$9),COUNTIF('1.연간시수표'!E69,$BJ$7),COUNTIF('1.연간시수표'!E69,$BK$9),COUNTIF('1.연간시수표'!E69,$BK$7),COUNTIF('1.연간시수표'!E69,$BL$9),COUNTIF('1.연간시수표'!E69,$BL$7),COUNTIF('1.연간시수표'!E69,$BM$9),COUNTIF('1.연간시수표'!E69,$BM$7)),$BF$6,IF(OR(COUNTIF('1.연간시수표'!E69,$BO$9),COUNTIF('1.연간시수표'!E69,$BO$7)),$BO$6,IF(OR(COUNTIF('1.연간시수표'!E69,$BP$9),COUNTIF('1.연간시수표'!E69,$BP$7)),$BP$6,IF(OR(COUNTIF('1.연간시수표'!E69,$BQ$9),COUNTIF('1.연간시수표'!E69,$BQ$7)),$BQ$6,IF(OR(COUNTIF('1.연간시수표'!E69,$BR$9),COUNTIF('1.연간시수표'!E69,$BR$7)),$BR$6,"_")))))))))))))))</f>
        <v>국어</v>
      </c>
      <c r="F69" s="148" t="str">
        <f>IF(OR(COUNTIF('1.연간시수표'!F69,$AT$9),COUNTIF('1.연간시수표'!F69,$AT$7)),$AT$6,IF(OR(COUNTIF('1.연간시수표'!F69,$AU$9),COUNTIF('1.연간시수표'!F69,$AU$7)),$AU$6,IF(OR(COUNTIF('1.연간시수표'!F69,$AV$9),COUNTIF('1.연간시수표'!F69,$AV$7)),$AV$6,IF(OR(COUNTIF('1.연간시수표'!F69,$AW$9),COUNTIF('1.연간시수표'!F69,$AW$7)),$AW$6,IF(OR(COUNTIF('1.연간시수표'!F69,$AX$9),COUNTIF('1.연간시수표'!F69,$AX$7)),$AX$6,IF(OR(COUNTIF('1.연간시수표'!F69,$AY$9),COUNTIF('1.연간시수표'!F69,$AY$7)),$AY$6,IF(OR(COUNTIF('1.연간시수표'!F69,$AZ$9),COUNTIF('1.연간시수표'!F69,$AZ$7)),$AZ$6,IF(OR(COUNTIF('1.연간시수표'!F69,$BA$9),COUNTIF('1.연간시수표'!F69,$BA$7)),$BA$6,IF(OR(COUNTIF('1.연간시수표'!F69,$BB$9),COUNTIF('1.연간시수표'!F69,$BB$7)),$BB$6,IF(OR(COUNTIF('1.연간시수표'!F69,$BC$9),COUNTIF('1.연간시수표'!F69,$BC$7)),$BC$6,IF(OR(COUNTIF('1.연간시수표'!F69,$BF$9),COUNTIF('1.연간시수표'!F69,$BF$7),COUNTIF('1.연간시수표'!F69,$BG$9),COUNTIF('1.연간시수표'!F69,$BG$7),COUNTIF('1.연간시수표'!F69,$BH$9),COUNTIF('1.연간시수표'!F69,$BH$7),COUNTIF('1.연간시수표'!F69,$BI$9),COUNTIF('1.연간시수표'!F69,$BI$7),COUNTIF('1.연간시수표'!F69,$BJ$9),COUNTIF('1.연간시수표'!F69,$BJ$7),COUNTIF('1.연간시수표'!F69,$BK$9),COUNTIF('1.연간시수표'!F69,$BK$7),COUNTIF('1.연간시수표'!F69,$BL$9),COUNTIF('1.연간시수표'!F69,$BL$7),COUNTIF('1.연간시수표'!F69,$BM$9),COUNTIF('1.연간시수표'!F69,$BM$7)),$BF$6,IF(OR(COUNTIF('1.연간시수표'!F69,$BO$9),COUNTIF('1.연간시수표'!F69,$BO$7)),$BO$6,IF(OR(COUNTIF('1.연간시수표'!F69,$BP$9),COUNTIF('1.연간시수표'!F69,$BP$7)),$BP$6,IF(OR(COUNTIF('1.연간시수표'!F69,$BQ$9),COUNTIF('1.연간시수표'!F69,$BQ$7)),$BQ$6,IF(OR(COUNTIF('1.연간시수표'!F69,$BR$9),COUNTIF('1.연간시수표'!F69,$BR$7)),$BR$6,"_")))))))))))))))</f>
        <v>미술</v>
      </c>
      <c r="G69" s="148" t="str">
        <f>IF(OR(COUNTIF('1.연간시수표'!G69,$AT$9),COUNTIF('1.연간시수표'!G69,$AT$7)),$AT$6,IF(OR(COUNTIF('1.연간시수표'!G69,$AU$9),COUNTIF('1.연간시수표'!G69,$AU$7)),$AU$6,IF(OR(COUNTIF('1.연간시수표'!G69,$AV$9),COUNTIF('1.연간시수표'!G69,$AV$7)),$AV$6,IF(OR(COUNTIF('1.연간시수표'!G69,$AW$9),COUNTIF('1.연간시수표'!G69,$AW$7)),$AW$6,IF(OR(COUNTIF('1.연간시수표'!G69,$AX$9),COUNTIF('1.연간시수표'!G69,$AX$7)),$AX$6,IF(OR(COUNTIF('1.연간시수표'!G69,$AY$9),COUNTIF('1.연간시수표'!G69,$AY$7)),$AY$6,IF(OR(COUNTIF('1.연간시수표'!G69,$AZ$9),COUNTIF('1.연간시수표'!G69,$AZ$7)),$AZ$6,IF(OR(COUNTIF('1.연간시수표'!G69,$BA$9),COUNTIF('1.연간시수표'!G69,$BA$7)),$BA$6,IF(OR(COUNTIF('1.연간시수표'!G69,$BB$9),COUNTIF('1.연간시수표'!G69,$BB$7)),$BB$6,IF(OR(COUNTIF('1.연간시수표'!G69,$BC$9),COUNTIF('1.연간시수표'!G69,$BC$7)),$BC$6,IF(OR(COUNTIF('1.연간시수표'!G69,$BF$9),COUNTIF('1.연간시수표'!G69,$BF$7),COUNTIF('1.연간시수표'!G69,$BG$9),COUNTIF('1.연간시수표'!G69,$BG$7),COUNTIF('1.연간시수표'!G69,$BH$9),COUNTIF('1.연간시수표'!G69,$BH$7),COUNTIF('1.연간시수표'!G69,$BI$9),COUNTIF('1.연간시수표'!G69,$BI$7),COUNTIF('1.연간시수표'!G69,$BJ$9),COUNTIF('1.연간시수표'!G69,$BJ$7),COUNTIF('1.연간시수표'!G69,$BK$9),COUNTIF('1.연간시수표'!G69,$BK$7),COUNTIF('1.연간시수표'!G69,$BL$9),COUNTIF('1.연간시수표'!G69,$BL$7),COUNTIF('1.연간시수표'!G69,$BM$9),COUNTIF('1.연간시수표'!G69,$BM$7)),$BF$6,IF(OR(COUNTIF('1.연간시수표'!G69,$BO$9),COUNTIF('1.연간시수표'!G69,$BO$7)),$BO$6,IF(OR(COUNTIF('1.연간시수표'!G69,$BP$9),COUNTIF('1.연간시수표'!G69,$BP$7)),$BP$6,IF(OR(COUNTIF('1.연간시수표'!G69,$BQ$9),COUNTIF('1.연간시수표'!G69,$BQ$7)),$BQ$6,IF(OR(COUNTIF('1.연간시수표'!G69,$BR$9),COUNTIF('1.연간시수표'!G69,$BR$7)),$BR$6,"_")))))))))))))))</f>
        <v>미술</v>
      </c>
      <c r="H69" s="148" t="str">
        <f>IF(OR(COUNTIF('1.연간시수표'!H69,$AT$9),COUNTIF('1.연간시수표'!H69,$AT$7)),$AT$6,IF(OR(COUNTIF('1.연간시수표'!H69,$AU$9),COUNTIF('1.연간시수표'!H69,$AU$7)),$AU$6,IF(OR(COUNTIF('1.연간시수표'!H69,$AV$9),COUNTIF('1.연간시수표'!H69,$AV$7)),$AV$6,IF(OR(COUNTIF('1.연간시수표'!H69,$AW$9),COUNTIF('1.연간시수표'!H69,$AW$7)),$AW$6,IF(OR(COUNTIF('1.연간시수표'!H69,$AX$9),COUNTIF('1.연간시수표'!H69,$AX$7)),$AX$6,IF(OR(COUNTIF('1.연간시수표'!H69,$AY$9),COUNTIF('1.연간시수표'!H69,$AY$7)),$AY$6,IF(OR(COUNTIF('1.연간시수표'!H69,$AZ$9),COUNTIF('1.연간시수표'!H69,$AZ$7)),$AZ$6,IF(OR(COUNTIF('1.연간시수표'!H69,$BA$9),COUNTIF('1.연간시수표'!H69,$BA$7)),$BA$6,IF(OR(COUNTIF('1.연간시수표'!H69,$BB$9),COUNTIF('1.연간시수표'!H69,$BB$7)),$BB$6,IF(OR(COUNTIF('1.연간시수표'!H69,$BC$9),COUNTIF('1.연간시수표'!H69,$BC$7)),$BC$6,IF(OR(COUNTIF('1.연간시수표'!H69,$BF$9),COUNTIF('1.연간시수표'!H69,$BF$7),COUNTIF('1.연간시수표'!H69,$BG$9),COUNTIF('1.연간시수표'!H69,$BG$7),COUNTIF('1.연간시수표'!H69,$BH$9),COUNTIF('1.연간시수표'!H69,$BH$7),COUNTIF('1.연간시수표'!H69,$BI$9),COUNTIF('1.연간시수표'!H69,$BI$7),COUNTIF('1.연간시수표'!H69,$BJ$9),COUNTIF('1.연간시수표'!H69,$BJ$7),COUNTIF('1.연간시수표'!H69,$BK$9),COUNTIF('1.연간시수표'!H69,$BK$7),COUNTIF('1.연간시수표'!H69,$BL$9),COUNTIF('1.연간시수표'!H69,$BL$7),COUNTIF('1.연간시수표'!H69,$BM$9),COUNTIF('1.연간시수표'!H69,$BM$7)),$BF$6,IF(OR(COUNTIF('1.연간시수표'!H69,$BO$9),COUNTIF('1.연간시수표'!H69,$BO$7)),$BO$6,IF(OR(COUNTIF('1.연간시수표'!H69,$BP$9),COUNTIF('1.연간시수표'!H69,$BP$7)),$BP$6,IF(OR(COUNTIF('1.연간시수표'!H69,$BQ$9),COUNTIF('1.연간시수표'!H69,$BQ$7)),$BQ$6,IF(OR(COUNTIF('1.연간시수표'!H69,$BR$9),COUNTIF('1.연간시수표'!H69,$BR$7)),$BR$6,"_")))))))))))))))</f>
        <v>영어</v>
      </c>
      <c r="I69" s="148" t="str">
        <f>IF(OR(COUNTIF('1.연간시수표'!I69,$AT$9),COUNTIF('1.연간시수표'!I69,$AT$7)),$AT$6,IF(OR(COUNTIF('1.연간시수표'!I69,$AU$9),COUNTIF('1.연간시수표'!I69,$AU$7)),$AU$6,IF(OR(COUNTIF('1.연간시수표'!I69,$AV$9),COUNTIF('1.연간시수표'!I69,$AV$7)),$AV$6,IF(OR(COUNTIF('1.연간시수표'!I69,$AW$9),COUNTIF('1.연간시수표'!I69,$AW$7)),$AW$6,IF(OR(COUNTIF('1.연간시수표'!I69,$AX$9),COUNTIF('1.연간시수표'!I69,$AX$7)),$AX$6,IF(OR(COUNTIF('1.연간시수표'!I69,$AY$9),COUNTIF('1.연간시수표'!I69,$AY$7)),$AY$6,IF(OR(COUNTIF('1.연간시수표'!I69,$AZ$9),COUNTIF('1.연간시수표'!I69,$AZ$7)),$AZ$6,IF(OR(COUNTIF('1.연간시수표'!I69,$BA$9),COUNTIF('1.연간시수표'!I69,$BA$7)),$BA$6,IF(OR(COUNTIF('1.연간시수표'!I69,$BB$9),COUNTIF('1.연간시수표'!I69,$BB$7)),$BB$6,IF(OR(COUNTIF('1.연간시수표'!I69,$BC$9),COUNTIF('1.연간시수표'!I69,$BC$7)),$BC$6,IF(OR(COUNTIF('1.연간시수표'!I69,$BF$9),COUNTIF('1.연간시수표'!I69,$BF$7),COUNTIF('1.연간시수표'!I69,$BG$9),COUNTIF('1.연간시수표'!I69,$BG$7),COUNTIF('1.연간시수표'!I69,$BH$9),COUNTIF('1.연간시수표'!I69,$BH$7),COUNTIF('1.연간시수표'!I69,$BI$9),COUNTIF('1.연간시수표'!I69,$BI$7),COUNTIF('1.연간시수표'!I69,$BJ$9),COUNTIF('1.연간시수표'!I69,$BJ$7),COUNTIF('1.연간시수표'!I69,$BK$9),COUNTIF('1.연간시수표'!I69,$BK$7),COUNTIF('1.연간시수표'!I69,$BL$9),COUNTIF('1.연간시수표'!I69,$BL$7),COUNTIF('1.연간시수표'!I69,$BM$9),COUNTIF('1.연간시수표'!I69,$BM$7)),$BF$6,IF(OR(COUNTIF('1.연간시수표'!I69,$BO$9),COUNTIF('1.연간시수표'!I69,$BO$7)),$BO$6,IF(OR(COUNTIF('1.연간시수표'!I69,$BP$9),COUNTIF('1.연간시수표'!I69,$BP$7)),$BP$6,IF(OR(COUNTIF('1.연간시수표'!I69,$BQ$9),COUNTIF('1.연간시수표'!I69,$BQ$7)),$BQ$6,IF(OR(COUNTIF('1.연간시수표'!I69,$BR$9),COUNTIF('1.연간시수표'!I69,$BR$7)),$BR$6,"_")))))))))))))))</f>
        <v>수학</v>
      </c>
      <c r="J69" s="148" t="str">
        <f>IF(OR(COUNTIF('1.연간시수표'!J69,$AT$9),COUNTIF('1.연간시수표'!J69,$AT$7)),$AT$6,IF(OR(COUNTIF('1.연간시수표'!J69,$AU$9),COUNTIF('1.연간시수표'!J69,$AU$7)),$AU$6,IF(OR(COUNTIF('1.연간시수표'!J69,$AV$9),COUNTIF('1.연간시수표'!J69,$AV$7)),$AV$6,IF(OR(COUNTIF('1.연간시수표'!J69,$AW$9),COUNTIF('1.연간시수표'!J69,$AW$7)),$AW$6,IF(OR(COUNTIF('1.연간시수표'!J69,$AX$9),COUNTIF('1.연간시수표'!J69,$AX$7)),$AX$6,IF(OR(COUNTIF('1.연간시수표'!J69,$AY$9),COUNTIF('1.연간시수표'!J69,$AY$7)),$AY$6,IF(OR(COUNTIF('1.연간시수표'!J69,$AZ$9),COUNTIF('1.연간시수표'!J69,$AZ$7)),$AZ$6,IF(OR(COUNTIF('1.연간시수표'!J69,$BA$9),COUNTIF('1.연간시수표'!J69,$BA$7)),$BA$6,IF(OR(COUNTIF('1.연간시수표'!J69,$BB$9),COUNTIF('1.연간시수표'!J69,$BB$7)),$BB$6,IF(OR(COUNTIF('1.연간시수표'!J69,$BC$9),COUNTIF('1.연간시수표'!J69,$BC$7)),$BC$6,IF(OR(COUNTIF('1.연간시수표'!J69,$BF$9),COUNTIF('1.연간시수표'!J69,$BF$7),COUNTIF('1.연간시수표'!J69,$BG$9),COUNTIF('1.연간시수표'!J69,$BG$7),COUNTIF('1.연간시수표'!J69,$BH$9),COUNTIF('1.연간시수표'!J69,$BH$7),COUNTIF('1.연간시수표'!J69,$BI$9),COUNTIF('1.연간시수표'!J69,$BI$7),COUNTIF('1.연간시수표'!J69,$BJ$9),COUNTIF('1.연간시수표'!J69,$BJ$7),COUNTIF('1.연간시수표'!J69,$BK$9),COUNTIF('1.연간시수표'!J69,$BK$7),COUNTIF('1.연간시수표'!J69,$BL$9),COUNTIF('1.연간시수표'!J69,$BL$7),COUNTIF('1.연간시수표'!J69,$BM$9),COUNTIF('1.연간시수표'!J69,$BM$7)),$BF$6,IF(OR(COUNTIF('1.연간시수표'!J69,$BO$9),COUNTIF('1.연간시수표'!J69,$BO$7)),$BO$6,IF(OR(COUNTIF('1.연간시수표'!J69,$BP$9),COUNTIF('1.연간시수표'!J69,$BP$7)),$BP$6,IF(OR(COUNTIF('1.연간시수표'!J69,$BQ$9),COUNTIF('1.연간시수표'!J69,$BQ$7)),$BQ$6,IF(OR(COUNTIF('1.연간시수표'!J69,$BR$9),COUNTIF('1.연간시수표'!J69,$BR$7)),$BR$6,"_")))))))))))))))</f>
        <v>자율활동</v>
      </c>
      <c r="K69" s="148" t="str">
        <f>IF(OR(COUNTIF('1.연간시수표'!K69,$AT$9),COUNTIF('1.연간시수표'!K69,$AT$7)),$AT$6,IF(OR(COUNTIF('1.연간시수표'!K69,$AU$9),COUNTIF('1.연간시수표'!K69,$AU$7)),$AU$6,IF(OR(COUNTIF('1.연간시수표'!K69,$AV$9),COUNTIF('1.연간시수표'!K69,$AV$7)),$AV$6,IF(OR(COUNTIF('1.연간시수표'!K69,$AW$9),COUNTIF('1.연간시수표'!K69,$AW$7)),$AW$6,IF(OR(COUNTIF('1.연간시수표'!K69,$AX$9),COUNTIF('1.연간시수표'!K69,$AX$7)),$AX$6,IF(OR(COUNTIF('1.연간시수표'!K69,$AY$9),COUNTIF('1.연간시수표'!K69,$AY$7)),$AY$6,IF(OR(COUNTIF('1.연간시수표'!K69,$AZ$9),COUNTIF('1.연간시수표'!K69,$AZ$7)),$AZ$6,IF(OR(COUNTIF('1.연간시수표'!K69,$BA$9),COUNTIF('1.연간시수표'!K69,$BA$7)),$BA$6,IF(OR(COUNTIF('1.연간시수표'!K69,$BB$9),COUNTIF('1.연간시수표'!K69,$BB$7)),$BB$6,IF(OR(COUNTIF('1.연간시수표'!K69,$BC$9),COUNTIF('1.연간시수표'!K69,$BC$7)),$BC$6,IF(OR(COUNTIF('1.연간시수표'!K69,$BF$9),COUNTIF('1.연간시수표'!K69,$BF$7),COUNTIF('1.연간시수표'!K69,$BG$9),COUNTIF('1.연간시수표'!K69,$BG$7),COUNTIF('1.연간시수표'!K69,$BH$9),COUNTIF('1.연간시수표'!K69,$BH$7),COUNTIF('1.연간시수표'!K69,$BI$9),COUNTIF('1.연간시수표'!K69,$BI$7),COUNTIF('1.연간시수표'!K69,$BJ$9),COUNTIF('1.연간시수표'!K69,$BJ$7),COUNTIF('1.연간시수표'!K69,$BK$9),COUNTIF('1.연간시수표'!K69,$BK$7),COUNTIF('1.연간시수표'!K69,$BL$9),COUNTIF('1.연간시수표'!K69,$BL$7),COUNTIF('1.연간시수표'!K69,$BM$9),COUNTIF('1.연간시수표'!K69,$BM$7)),$BF$6,IF(OR(COUNTIF('1.연간시수표'!K69,$BO$9),COUNTIF('1.연간시수표'!K69,$BO$7)),$BO$6,IF(OR(COUNTIF('1.연간시수표'!K69,$BP$9),COUNTIF('1.연간시수표'!K69,$BP$7)),$BP$6,IF(OR(COUNTIF('1.연간시수표'!K69,$BQ$9),COUNTIF('1.연간시수표'!K69,$BQ$7)),$BQ$6,IF(OR(COUNTIF('1.연간시수표'!K69,$BR$9),COUNTIF('1.연간시수표'!K69,$BR$7)),$BR$6,"_")))))))))))))))</f>
        <v>_</v>
      </c>
      <c r="L69" s="148" t="str">
        <f>IF(OR(COUNTIF('1.연간시수표'!L69,$AT$9),COUNTIF('1.연간시수표'!L69,$AT$7)),$AT$6,IF(OR(COUNTIF('1.연간시수표'!L69,$AU$9),COUNTIF('1.연간시수표'!L69,$AU$7)),$AU$6,IF(OR(COUNTIF('1.연간시수표'!L69,$AV$9),COUNTIF('1.연간시수표'!L69,$AV$7)),$AV$6,IF(OR(COUNTIF('1.연간시수표'!L69,$AW$9),COUNTIF('1.연간시수표'!L69,$AW$7)),$AW$6,IF(OR(COUNTIF('1.연간시수표'!L69,$AX$9),COUNTIF('1.연간시수표'!L69,$AX$7)),$AX$6,IF(OR(COUNTIF('1.연간시수표'!L69,$AY$9),COUNTIF('1.연간시수표'!L69,$AY$7)),$AY$6,IF(OR(COUNTIF('1.연간시수표'!L69,$AZ$9),COUNTIF('1.연간시수표'!L69,$AZ$7)),$AZ$6,IF(OR(COUNTIF('1.연간시수표'!L69,$BA$9),COUNTIF('1.연간시수표'!L69,$BA$7)),$BA$6,IF(OR(COUNTIF('1.연간시수표'!L69,$BB$9),COUNTIF('1.연간시수표'!L69,$BB$7)),$BB$6,IF(OR(COUNTIF('1.연간시수표'!L69,$BC$9),COUNTIF('1.연간시수표'!L69,$BC$7)),$BC$6,IF(OR(COUNTIF('1.연간시수표'!L69,$BF$9),COUNTIF('1.연간시수표'!L69,$BF$7),COUNTIF('1.연간시수표'!L69,$BG$9),COUNTIF('1.연간시수표'!L69,$BG$7),COUNTIF('1.연간시수표'!L69,$BH$9),COUNTIF('1.연간시수표'!L69,$BH$7),COUNTIF('1.연간시수표'!L69,$BI$9),COUNTIF('1.연간시수표'!L69,$BI$7),COUNTIF('1.연간시수표'!L69,$BJ$9),COUNTIF('1.연간시수표'!L69,$BJ$7),COUNTIF('1.연간시수표'!L69,$BK$9),COUNTIF('1.연간시수표'!L69,$BK$7),COUNTIF('1.연간시수표'!L69,$BL$9),COUNTIF('1.연간시수표'!L69,$BL$7),COUNTIF('1.연간시수표'!L69,$BM$9),COUNTIF('1.연간시수표'!L69,$BM$7)),$BF$6,IF(OR(COUNTIF('1.연간시수표'!L69,$BO$9),COUNTIF('1.연간시수표'!L69,$BO$7)),$BO$6,IF(OR(COUNTIF('1.연간시수표'!L69,$BP$9),COUNTIF('1.연간시수표'!L69,$BP$7)),$BP$6,IF(OR(COUNTIF('1.연간시수표'!L69,$BQ$9),COUNTIF('1.연간시수표'!L69,$BQ$7)),$BQ$6,IF(OR(COUNTIF('1.연간시수표'!L69,$BR$9),COUNTIF('1.연간시수표'!L69,$BR$7)),$BR$6,"_")))))))))))))))</f>
        <v>_</v>
      </c>
      <c r="M69" s="148" t="str">
        <f>IF(OR(COUNTIF('1.연간시수표'!M69,$AT$9),COUNTIF('1.연간시수표'!M69,$AT$7)),$AT$6,IF(OR(COUNTIF('1.연간시수표'!M69,$AU$9),COUNTIF('1.연간시수표'!M69,$AU$7)),$AU$6,IF(OR(COUNTIF('1.연간시수표'!M69,$AV$9),COUNTIF('1.연간시수표'!M69,$AV$7)),$AV$6,IF(OR(COUNTIF('1.연간시수표'!M69,$AW$9),COUNTIF('1.연간시수표'!M69,$AW$7)),$AW$6,IF(OR(COUNTIF('1.연간시수표'!M69,$AX$9),COUNTIF('1.연간시수표'!M69,$AX$7)),$AX$6,IF(OR(COUNTIF('1.연간시수표'!M69,$AY$9),COUNTIF('1.연간시수표'!M69,$AY$7)),$AY$6,IF(OR(COUNTIF('1.연간시수표'!M69,$AZ$9),COUNTIF('1.연간시수표'!M69,$AZ$7)),$AZ$6,IF(OR(COUNTIF('1.연간시수표'!M69,$BA$9),COUNTIF('1.연간시수표'!M69,$BA$7)),$BA$6,IF(OR(COUNTIF('1.연간시수표'!M69,$BB$9),COUNTIF('1.연간시수표'!M69,$BB$7)),$BB$6,IF(OR(COUNTIF('1.연간시수표'!M69,$BC$9),COUNTIF('1.연간시수표'!M69,$BC$7)),$BC$6,IF(OR(COUNTIF('1.연간시수표'!M69,$BF$9),COUNTIF('1.연간시수표'!M69,$BF$7),COUNTIF('1.연간시수표'!M69,$BG$9),COUNTIF('1.연간시수표'!M69,$BG$7),COUNTIF('1.연간시수표'!M69,$BH$9),COUNTIF('1.연간시수표'!M69,$BH$7),COUNTIF('1.연간시수표'!M69,$BI$9),COUNTIF('1.연간시수표'!M69,$BI$7),COUNTIF('1.연간시수표'!M69,$BJ$9),COUNTIF('1.연간시수표'!M69,$BJ$7),COUNTIF('1.연간시수표'!M69,$BK$9),COUNTIF('1.연간시수표'!M69,$BK$7),COUNTIF('1.연간시수표'!M69,$BL$9),COUNTIF('1.연간시수표'!M69,$BL$7),COUNTIF('1.연간시수표'!M69,$BM$9),COUNTIF('1.연간시수표'!M69,$BM$7)),$BF$6,IF(OR(COUNTIF('1.연간시수표'!M69,$BO$9),COUNTIF('1.연간시수표'!M69,$BO$7)),$BO$6,IF(OR(COUNTIF('1.연간시수표'!M69,$BP$9),COUNTIF('1.연간시수표'!M69,$BP$7)),$BP$6,IF(OR(COUNTIF('1.연간시수표'!M69,$BQ$9),COUNTIF('1.연간시수표'!M69,$BQ$7)),$BQ$6,IF(OR(COUNTIF('1.연간시수표'!M69,$BR$9),COUNTIF('1.연간시수표'!M69,$BR$7)),$BR$6,"_")))))))))))))))</f>
        <v>국어</v>
      </c>
      <c r="N69" s="148" t="str">
        <f>IF(OR(COUNTIF('1.연간시수표'!N69,$AT$9),COUNTIF('1.연간시수표'!N69,$AT$7)),$AT$6,IF(OR(COUNTIF('1.연간시수표'!N69,$AU$9),COUNTIF('1.연간시수표'!N69,$AU$7)),$AU$6,IF(OR(COUNTIF('1.연간시수표'!N69,$AV$9),COUNTIF('1.연간시수표'!N69,$AV$7)),$AV$6,IF(OR(COUNTIF('1.연간시수표'!N69,$AW$9),COUNTIF('1.연간시수표'!N69,$AW$7)),$AW$6,IF(OR(COUNTIF('1.연간시수표'!N69,$AX$9),COUNTIF('1.연간시수표'!N69,$AX$7)),$AX$6,IF(OR(COUNTIF('1.연간시수표'!N69,$AY$9),COUNTIF('1.연간시수표'!N69,$AY$7)),$AY$6,IF(OR(COUNTIF('1.연간시수표'!N69,$AZ$9),COUNTIF('1.연간시수표'!N69,$AZ$7)),$AZ$6,IF(OR(COUNTIF('1.연간시수표'!N69,$BA$9),COUNTIF('1.연간시수표'!N69,$BA$7)),$BA$6,IF(OR(COUNTIF('1.연간시수표'!N69,$BB$9),COUNTIF('1.연간시수표'!N69,$BB$7)),$BB$6,IF(OR(COUNTIF('1.연간시수표'!N69,$BC$9),COUNTIF('1.연간시수표'!N69,$BC$7)),$BC$6,IF(OR(COUNTIF('1.연간시수표'!N69,$BF$9),COUNTIF('1.연간시수표'!N69,$BF$7),COUNTIF('1.연간시수표'!N69,$BG$9),COUNTIF('1.연간시수표'!N69,$BG$7),COUNTIF('1.연간시수표'!N69,$BH$9),COUNTIF('1.연간시수표'!N69,$BH$7),COUNTIF('1.연간시수표'!N69,$BI$9),COUNTIF('1.연간시수표'!N69,$BI$7),COUNTIF('1.연간시수표'!N69,$BJ$9),COUNTIF('1.연간시수표'!N69,$BJ$7),COUNTIF('1.연간시수표'!N69,$BK$9),COUNTIF('1.연간시수표'!N69,$BK$7),COUNTIF('1.연간시수표'!N69,$BL$9),COUNTIF('1.연간시수표'!N69,$BL$7),COUNTIF('1.연간시수표'!N69,$BM$9),COUNTIF('1.연간시수표'!N69,$BM$7)),$BF$6,IF(OR(COUNTIF('1.연간시수표'!N69,$BO$9),COUNTIF('1.연간시수표'!N69,$BO$7)),$BO$6,IF(OR(COUNTIF('1.연간시수표'!N69,$BP$9),COUNTIF('1.연간시수표'!N69,$BP$7)),$BP$6,IF(OR(COUNTIF('1.연간시수표'!N69,$BQ$9),COUNTIF('1.연간시수표'!N69,$BQ$7)),$BQ$6,IF(OR(COUNTIF('1.연간시수표'!N69,$BR$9),COUNTIF('1.연간시수표'!N69,$BR$7)),$BR$6,"_")))))))))))))))</f>
        <v>국어</v>
      </c>
      <c r="O69" s="148" t="str">
        <f>IF(OR(COUNTIF('1.연간시수표'!O69,$AT$9),COUNTIF('1.연간시수표'!O69,$AT$7)),$AT$6,IF(OR(COUNTIF('1.연간시수표'!O69,$AU$9),COUNTIF('1.연간시수표'!O69,$AU$7)),$AU$6,IF(OR(COUNTIF('1.연간시수표'!O69,$AV$9),COUNTIF('1.연간시수표'!O69,$AV$7)),$AV$6,IF(OR(COUNTIF('1.연간시수표'!O69,$AW$9),COUNTIF('1.연간시수표'!O69,$AW$7)),$AW$6,IF(OR(COUNTIF('1.연간시수표'!O69,$AX$9),COUNTIF('1.연간시수표'!O69,$AX$7)),$AX$6,IF(OR(COUNTIF('1.연간시수표'!O69,$AY$9),COUNTIF('1.연간시수표'!O69,$AY$7)),$AY$6,IF(OR(COUNTIF('1.연간시수표'!O69,$AZ$9),COUNTIF('1.연간시수표'!O69,$AZ$7)),$AZ$6,IF(OR(COUNTIF('1.연간시수표'!O69,$BA$9),COUNTIF('1.연간시수표'!O69,$BA$7)),$BA$6,IF(OR(COUNTIF('1.연간시수표'!O69,$BB$9),COUNTIF('1.연간시수표'!O69,$BB$7)),$BB$6,IF(OR(COUNTIF('1.연간시수표'!O69,$BC$9),COUNTIF('1.연간시수표'!O69,$BC$7)),$BC$6,IF(OR(COUNTIF('1.연간시수표'!O69,$BF$9),COUNTIF('1.연간시수표'!O69,$BF$7),COUNTIF('1.연간시수표'!O69,$BG$9),COUNTIF('1.연간시수표'!O69,$BG$7),COUNTIF('1.연간시수표'!O69,$BH$9),COUNTIF('1.연간시수표'!O69,$BH$7),COUNTIF('1.연간시수표'!O69,$BI$9),COUNTIF('1.연간시수표'!O69,$BI$7),COUNTIF('1.연간시수표'!O69,$BJ$9),COUNTIF('1.연간시수표'!O69,$BJ$7),COUNTIF('1.연간시수표'!O69,$BK$9),COUNTIF('1.연간시수표'!O69,$BK$7),COUNTIF('1.연간시수표'!O69,$BL$9),COUNTIF('1.연간시수표'!O69,$BL$7),COUNTIF('1.연간시수표'!O69,$BM$9),COUNTIF('1.연간시수표'!O69,$BM$7)),$BF$6,IF(OR(COUNTIF('1.연간시수표'!O69,$BO$9),COUNTIF('1.연간시수표'!O69,$BO$7)),$BO$6,IF(OR(COUNTIF('1.연간시수표'!O69,$BP$9),COUNTIF('1.연간시수표'!O69,$BP$7)),$BP$6,IF(OR(COUNTIF('1.연간시수표'!O69,$BQ$9),COUNTIF('1.연간시수표'!O69,$BQ$7)),$BQ$6,IF(OR(COUNTIF('1.연간시수표'!O69,$BR$9),COUNTIF('1.연간시수표'!O69,$BR$7)),$BR$6,"_")))))))))))))))</f>
        <v>사회</v>
      </c>
      <c r="P69" s="148" t="str">
        <f>IF(OR(COUNTIF('1.연간시수표'!P69,$AT$9),COUNTIF('1.연간시수표'!P69,$AT$7)),$AT$6,IF(OR(COUNTIF('1.연간시수표'!P69,$AU$9),COUNTIF('1.연간시수표'!P69,$AU$7)),$AU$6,IF(OR(COUNTIF('1.연간시수표'!P69,$AV$9),COUNTIF('1.연간시수표'!P69,$AV$7)),$AV$6,IF(OR(COUNTIF('1.연간시수표'!P69,$AW$9),COUNTIF('1.연간시수표'!P69,$AW$7)),$AW$6,IF(OR(COUNTIF('1.연간시수표'!P69,$AX$9),COUNTIF('1.연간시수표'!P69,$AX$7)),$AX$6,IF(OR(COUNTIF('1.연간시수표'!P69,$AY$9),COUNTIF('1.연간시수표'!P69,$AY$7)),$AY$6,IF(OR(COUNTIF('1.연간시수표'!P69,$AZ$9),COUNTIF('1.연간시수표'!P69,$AZ$7)),$AZ$6,IF(OR(COUNTIF('1.연간시수표'!P69,$BA$9),COUNTIF('1.연간시수표'!P69,$BA$7)),$BA$6,IF(OR(COUNTIF('1.연간시수표'!P69,$BB$9),COUNTIF('1.연간시수표'!P69,$BB$7)),$BB$6,IF(OR(COUNTIF('1.연간시수표'!P69,$BC$9),COUNTIF('1.연간시수표'!P69,$BC$7)),$BC$6,IF(OR(COUNTIF('1.연간시수표'!P69,$BF$9),COUNTIF('1.연간시수표'!P69,$BF$7),COUNTIF('1.연간시수표'!P69,$BG$9),COUNTIF('1.연간시수표'!P69,$BG$7),COUNTIF('1.연간시수표'!P69,$BH$9),COUNTIF('1.연간시수표'!P69,$BH$7),COUNTIF('1.연간시수표'!P69,$BI$9),COUNTIF('1.연간시수표'!P69,$BI$7),COUNTIF('1.연간시수표'!P69,$BJ$9),COUNTIF('1.연간시수표'!P69,$BJ$7),COUNTIF('1.연간시수표'!P69,$BK$9),COUNTIF('1.연간시수표'!P69,$BK$7),COUNTIF('1.연간시수표'!P69,$BL$9),COUNTIF('1.연간시수표'!P69,$BL$7),COUNTIF('1.연간시수표'!P69,$BM$9),COUNTIF('1.연간시수표'!P69,$BM$7)),$BF$6,IF(OR(COUNTIF('1.연간시수표'!P69,$BO$9),COUNTIF('1.연간시수표'!P69,$BO$7)),$BO$6,IF(OR(COUNTIF('1.연간시수표'!P69,$BP$9),COUNTIF('1.연간시수표'!P69,$BP$7)),$BP$6,IF(OR(COUNTIF('1.연간시수표'!P69,$BQ$9),COUNTIF('1.연간시수표'!P69,$BQ$7)),$BQ$6,IF(OR(COUNTIF('1.연간시수표'!P69,$BR$9),COUNTIF('1.연간시수표'!P69,$BR$7)),$BR$6,"_")))))))))))))))</f>
        <v>수학</v>
      </c>
      <c r="Q69" s="148" t="str">
        <f>IF(OR(COUNTIF('1.연간시수표'!Q69,$AT$9),COUNTIF('1.연간시수표'!Q69,$AT$7)),$AT$6,IF(OR(COUNTIF('1.연간시수표'!Q69,$AU$9),COUNTIF('1.연간시수표'!Q69,$AU$7)),$AU$6,IF(OR(COUNTIF('1.연간시수표'!Q69,$AV$9),COUNTIF('1.연간시수표'!Q69,$AV$7)),$AV$6,IF(OR(COUNTIF('1.연간시수표'!Q69,$AW$9),COUNTIF('1.연간시수표'!Q69,$AW$7)),$AW$6,IF(OR(COUNTIF('1.연간시수표'!Q69,$AX$9),COUNTIF('1.연간시수표'!Q69,$AX$7)),$AX$6,IF(OR(COUNTIF('1.연간시수표'!Q69,$AY$9),COUNTIF('1.연간시수표'!Q69,$AY$7)),$AY$6,IF(OR(COUNTIF('1.연간시수표'!Q69,$AZ$9),COUNTIF('1.연간시수표'!Q69,$AZ$7)),$AZ$6,IF(OR(COUNTIF('1.연간시수표'!Q69,$BA$9),COUNTIF('1.연간시수표'!Q69,$BA$7)),$BA$6,IF(OR(COUNTIF('1.연간시수표'!Q69,$BB$9),COUNTIF('1.연간시수표'!Q69,$BB$7)),$BB$6,IF(OR(COUNTIF('1.연간시수표'!Q69,$BC$9),COUNTIF('1.연간시수표'!Q69,$BC$7)),$BC$6,IF(OR(COUNTIF('1.연간시수표'!Q69,$BF$9),COUNTIF('1.연간시수표'!Q69,$BF$7),COUNTIF('1.연간시수표'!Q69,$BG$9),COUNTIF('1.연간시수표'!Q69,$BG$7),COUNTIF('1.연간시수표'!Q69,$BH$9),COUNTIF('1.연간시수표'!Q69,$BH$7),COUNTIF('1.연간시수표'!Q69,$BI$9),COUNTIF('1.연간시수표'!Q69,$BI$7),COUNTIF('1.연간시수표'!Q69,$BJ$9),COUNTIF('1.연간시수표'!Q69,$BJ$7),COUNTIF('1.연간시수표'!Q69,$BK$9),COUNTIF('1.연간시수표'!Q69,$BK$7),COUNTIF('1.연간시수표'!Q69,$BL$9),COUNTIF('1.연간시수표'!Q69,$BL$7),COUNTIF('1.연간시수표'!Q69,$BM$9),COUNTIF('1.연간시수표'!Q69,$BM$7)),$BF$6,IF(OR(COUNTIF('1.연간시수표'!Q69,$BO$9),COUNTIF('1.연간시수표'!Q69,$BO$7)),$BO$6,IF(OR(COUNTIF('1.연간시수표'!Q69,$BP$9),COUNTIF('1.연간시수표'!Q69,$BP$7)),$BP$6,IF(OR(COUNTIF('1.연간시수표'!Q69,$BQ$9),COUNTIF('1.연간시수표'!Q69,$BQ$7)),$BQ$6,IF(OR(COUNTIF('1.연간시수표'!Q69,$BR$9),COUNTIF('1.연간시수표'!Q69,$BR$7)),$BR$6,"_")))))))))))))))</f>
        <v>과학</v>
      </c>
      <c r="R69" s="148" t="str">
        <f>IF(OR(COUNTIF('1.연간시수표'!R69,$AT$9),COUNTIF('1.연간시수표'!R69,$AT$7)),$AT$6,IF(OR(COUNTIF('1.연간시수표'!R69,$AU$9),COUNTIF('1.연간시수표'!R69,$AU$7)),$AU$6,IF(OR(COUNTIF('1.연간시수표'!R69,$AV$9),COUNTIF('1.연간시수표'!R69,$AV$7)),$AV$6,IF(OR(COUNTIF('1.연간시수표'!R69,$AW$9),COUNTIF('1.연간시수표'!R69,$AW$7)),$AW$6,IF(OR(COUNTIF('1.연간시수표'!R69,$AX$9),COUNTIF('1.연간시수표'!R69,$AX$7)),$AX$6,IF(OR(COUNTIF('1.연간시수표'!R69,$AY$9),COUNTIF('1.연간시수표'!R69,$AY$7)),$AY$6,IF(OR(COUNTIF('1.연간시수표'!R69,$AZ$9),COUNTIF('1.연간시수표'!R69,$AZ$7)),$AZ$6,IF(OR(COUNTIF('1.연간시수표'!R69,$BA$9),COUNTIF('1.연간시수표'!R69,$BA$7)),$BA$6,IF(OR(COUNTIF('1.연간시수표'!R69,$BB$9),COUNTIF('1.연간시수표'!R69,$BB$7)),$BB$6,IF(OR(COUNTIF('1.연간시수표'!R69,$BC$9),COUNTIF('1.연간시수표'!R69,$BC$7)),$BC$6,IF(OR(COUNTIF('1.연간시수표'!R69,$BF$9),COUNTIF('1.연간시수표'!R69,$BF$7),COUNTIF('1.연간시수표'!R69,$BG$9),COUNTIF('1.연간시수표'!R69,$BG$7),COUNTIF('1.연간시수표'!R69,$BH$9),COUNTIF('1.연간시수표'!R69,$BH$7),COUNTIF('1.연간시수표'!R69,$BI$9),COUNTIF('1.연간시수표'!R69,$BI$7),COUNTIF('1.연간시수표'!R69,$BJ$9),COUNTIF('1.연간시수표'!R69,$BJ$7),COUNTIF('1.연간시수표'!R69,$BK$9),COUNTIF('1.연간시수표'!R69,$BK$7),COUNTIF('1.연간시수표'!R69,$BL$9),COUNTIF('1.연간시수표'!R69,$BL$7),COUNTIF('1.연간시수표'!R69,$BM$9),COUNTIF('1.연간시수표'!R69,$BM$7)),$BF$6,IF(OR(COUNTIF('1.연간시수표'!R69,$BO$9),COUNTIF('1.연간시수표'!R69,$BO$7)),$BO$6,IF(OR(COUNTIF('1.연간시수표'!R69,$BP$9),COUNTIF('1.연간시수표'!R69,$BP$7)),$BP$6,IF(OR(COUNTIF('1.연간시수표'!R69,$BQ$9),COUNTIF('1.연간시수표'!R69,$BQ$7)),$BQ$6,IF(OR(COUNTIF('1.연간시수표'!R69,$BR$9),COUNTIF('1.연간시수표'!R69,$BR$7)),$BR$6,"_")))))))))))))))</f>
        <v>실과</v>
      </c>
      <c r="S69" s="148" t="str">
        <f>IF(OR(COUNTIF('1.연간시수표'!S69,$AT$9),COUNTIF('1.연간시수표'!S69,$AT$7)),$AT$6,IF(OR(COUNTIF('1.연간시수표'!S69,$AU$9),COUNTIF('1.연간시수표'!S69,$AU$7)),$AU$6,IF(OR(COUNTIF('1.연간시수표'!S69,$AV$9),COUNTIF('1.연간시수표'!S69,$AV$7)),$AV$6,IF(OR(COUNTIF('1.연간시수표'!S69,$AW$9),COUNTIF('1.연간시수표'!S69,$AW$7)),$AW$6,IF(OR(COUNTIF('1.연간시수표'!S69,$AX$9),COUNTIF('1.연간시수표'!S69,$AX$7)),$AX$6,IF(OR(COUNTIF('1.연간시수표'!S69,$AY$9),COUNTIF('1.연간시수표'!S69,$AY$7)),$AY$6,IF(OR(COUNTIF('1.연간시수표'!S69,$AZ$9),COUNTIF('1.연간시수표'!S69,$AZ$7)),$AZ$6,IF(OR(COUNTIF('1.연간시수표'!S69,$BA$9),COUNTIF('1.연간시수표'!S69,$BA$7)),$BA$6,IF(OR(COUNTIF('1.연간시수표'!S69,$BB$9),COUNTIF('1.연간시수표'!S69,$BB$7)),$BB$6,IF(OR(COUNTIF('1.연간시수표'!S69,$BC$9),COUNTIF('1.연간시수표'!S69,$BC$7)),$BC$6,IF(OR(COUNTIF('1.연간시수표'!S69,$BF$9),COUNTIF('1.연간시수표'!S69,$BF$7),COUNTIF('1.연간시수표'!S69,$BG$9),COUNTIF('1.연간시수표'!S69,$BG$7),COUNTIF('1.연간시수표'!S69,$BH$9),COUNTIF('1.연간시수표'!S69,$BH$7),COUNTIF('1.연간시수표'!S69,$BI$9),COUNTIF('1.연간시수표'!S69,$BI$7),COUNTIF('1.연간시수표'!S69,$BJ$9),COUNTIF('1.연간시수표'!S69,$BJ$7),COUNTIF('1.연간시수표'!S69,$BK$9),COUNTIF('1.연간시수표'!S69,$BK$7),COUNTIF('1.연간시수표'!S69,$BL$9),COUNTIF('1.연간시수표'!S69,$BL$7),COUNTIF('1.연간시수표'!S69,$BM$9),COUNTIF('1.연간시수표'!S69,$BM$7)),$BF$6,IF(OR(COUNTIF('1.연간시수표'!S69,$BO$9),COUNTIF('1.연간시수표'!S69,$BO$7)),$BO$6,IF(OR(COUNTIF('1.연간시수표'!S69,$BP$9),COUNTIF('1.연간시수표'!S69,$BP$7)),$BP$6,IF(OR(COUNTIF('1.연간시수표'!S69,$BQ$9),COUNTIF('1.연간시수표'!S69,$BQ$7)),$BQ$6,IF(OR(COUNTIF('1.연간시수표'!S69,$BR$9),COUNTIF('1.연간시수표'!S69,$BR$7)),$BR$6,"_")))))))))))))))</f>
        <v>_</v>
      </c>
      <c r="T69" s="148" t="str">
        <f>IF(OR(COUNTIF('1.연간시수표'!T69,$AT$9),COUNTIF('1.연간시수표'!T69,$AT$7)),$AT$6,IF(OR(COUNTIF('1.연간시수표'!T69,$AU$9),COUNTIF('1.연간시수표'!T69,$AU$7)),$AU$6,IF(OR(COUNTIF('1.연간시수표'!T69,$AV$9),COUNTIF('1.연간시수표'!T69,$AV$7)),$AV$6,IF(OR(COUNTIF('1.연간시수표'!T69,$AW$9),COUNTIF('1.연간시수표'!T69,$AW$7)),$AW$6,IF(OR(COUNTIF('1.연간시수표'!T69,$AX$9),COUNTIF('1.연간시수표'!T69,$AX$7)),$AX$6,IF(OR(COUNTIF('1.연간시수표'!T69,$AY$9),COUNTIF('1.연간시수표'!T69,$AY$7)),$AY$6,IF(OR(COUNTIF('1.연간시수표'!T69,$AZ$9),COUNTIF('1.연간시수표'!T69,$AZ$7)),$AZ$6,IF(OR(COUNTIF('1.연간시수표'!T69,$BA$9),COUNTIF('1.연간시수표'!T69,$BA$7)),$BA$6,IF(OR(COUNTIF('1.연간시수표'!T69,$BB$9),COUNTIF('1.연간시수표'!T69,$BB$7)),$BB$6,IF(OR(COUNTIF('1.연간시수표'!T69,$BC$9),COUNTIF('1.연간시수표'!T69,$BC$7)),$BC$6,IF(OR(COUNTIF('1.연간시수표'!T69,$BF$9),COUNTIF('1.연간시수표'!T69,$BF$7),COUNTIF('1.연간시수표'!T69,$BG$9),COUNTIF('1.연간시수표'!T69,$BG$7),COUNTIF('1.연간시수표'!T69,$BH$9),COUNTIF('1.연간시수표'!T69,$BH$7),COUNTIF('1.연간시수표'!T69,$BI$9),COUNTIF('1.연간시수표'!T69,$BI$7),COUNTIF('1.연간시수표'!T69,$BJ$9),COUNTIF('1.연간시수표'!T69,$BJ$7),COUNTIF('1.연간시수표'!T69,$BK$9),COUNTIF('1.연간시수표'!T69,$BK$7),COUNTIF('1.연간시수표'!T69,$BL$9),COUNTIF('1.연간시수표'!T69,$BL$7),COUNTIF('1.연간시수표'!T69,$BM$9),COUNTIF('1.연간시수표'!T69,$BM$7)),$BF$6,IF(OR(COUNTIF('1.연간시수표'!T69,$BO$9),COUNTIF('1.연간시수표'!T69,$BO$7)),$BO$6,IF(OR(COUNTIF('1.연간시수표'!T69,$BP$9),COUNTIF('1.연간시수표'!T69,$BP$7)),$BP$6,IF(OR(COUNTIF('1.연간시수표'!T69,$BQ$9),COUNTIF('1.연간시수표'!T69,$BQ$7)),$BQ$6,IF(OR(COUNTIF('1.연간시수표'!T69,$BR$9),COUNTIF('1.연간시수표'!T69,$BR$7)),$BR$6,"_")))))))))))))))</f>
        <v>_</v>
      </c>
      <c r="U69" s="148" t="str">
        <f>IF(OR(COUNTIF('1.연간시수표'!U69,$AT$9),COUNTIF('1.연간시수표'!U69,$AT$7)),$AT$6,IF(OR(COUNTIF('1.연간시수표'!U69,$AU$9),COUNTIF('1.연간시수표'!U69,$AU$7)),$AU$6,IF(OR(COUNTIF('1.연간시수표'!U69,$AV$9),COUNTIF('1.연간시수표'!U69,$AV$7)),$AV$6,IF(OR(COUNTIF('1.연간시수표'!U69,$AW$9),COUNTIF('1.연간시수표'!U69,$AW$7)),$AW$6,IF(OR(COUNTIF('1.연간시수표'!U69,$AX$9),COUNTIF('1.연간시수표'!U69,$AX$7)),$AX$6,IF(OR(COUNTIF('1.연간시수표'!U69,$AY$9),COUNTIF('1.연간시수표'!U69,$AY$7)),$AY$6,IF(OR(COUNTIF('1.연간시수표'!U69,$AZ$9),COUNTIF('1.연간시수표'!U69,$AZ$7)),$AZ$6,IF(OR(COUNTIF('1.연간시수표'!U69,$BA$9),COUNTIF('1.연간시수표'!U69,$BA$7)),$BA$6,IF(OR(COUNTIF('1.연간시수표'!U69,$BB$9),COUNTIF('1.연간시수표'!U69,$BB$7)),$BB$6,IF(OR(COUNTIF('1.연간시수표'!U69,$BC$9),COUNTIF('1.연간시수표'!U69,$BC$7)),$BC$6,IF(OR(COUNTIF('1.연간시수표'!U69,$BF$9),COUNTIF('1.연간시수표'!U69,$BF$7),COUNTIF('1.연간시수표'!U69,$BG$9),COUNTIF('1.연간시수표'!U69,$BG$7),COUNTIF('1.연간시수표'!U69,$BH$9),COUNTIF('1.연간시수표'!U69,$BH$7),COUNTIF('1.연간시수표'!U69,$BI$9),COUNTIF('1.연간시수표'!U69,$BI$7),COUNTIF('1.연간시수표'!U69,$BJ$9),COUNTIF('1.연간시수표'!U69,$BJ$7),COUNTIF('1.연간시수표'!U69,$BK$9),COUNTIF('1.연간시수표'!U69,$BK$7),COUNTIF('1.연간시수표'!U69,$BL$9),COUNTIF('1.연간시수표'!U69,$BL$7),COUNTIF('1.연간시수표'!U69,$BM$9),COUNTIF('1.연간시수표'!U69,$BM$7)),$BF$6,IF(OR(COUNTIF('1.연간시수표'!U69,$BO$9),COUNTIF('1.연간시수표'!U69,$BO$7)),$BO$6,IF(OR(COUNTIF('1.연간시수표'!U69,$BP$9),COUNTIF('1.연간시수표'!U69,$BP$7)),$BP$6,IF(OR(COUNTIF('1.연간시수표'!U69,$BQ$9),COUNTIF('1.연간시수표'!U69,$BQ$7)),$BQ$6,IF(OR(COUNTIF('1.연간시수표'!U69,$BR$9),COUNTIF('1.연간시수표'!U69,$BR$7)),$BR$6,"_")))))))))))))))</f>
        <v>자율활동</v>
      </c>
      <c r="V69" s="148" t="str">
        <f>IF(OR(COUNTIF('1.연간시수표'!V69,$AT$9),COUNTIF('1.연간시수표'!V69,$AT$7)),$AT$6,IF(OR(COUNTIF('1.연간시수표'!V69,$AU$9),COUNTIF('1.연간시수표'!V69,$AU$7)),$AU$6,IF(OR(COUNTIF('1.연간시수표'!V69,$AV$9),COUNTIF('1.연간시수표'!V69,$AV$7)),$AV$6,IF(OR(COUNTIF('1.연간시수표'!V69,$AW$9),COUNTIF('1.연간시수표'!V69,$AW$7)),$AW$6,IF(OR(COUNTIF('1.연간시수표'!V69,$AX$9),COUNTIF('1.연간시수표'!V69,$AX$7)),$AX$6,IF(OR(COUNTIF('1.연간시수표'!V69,$AY$9),COUNTIF('1.연간시수표'!V69,$AY$7)),$AY$6,IF(OR(COUNTIF('1.연간시수표'!V69,$AZ$9),COUNTIF('1.연간시수표'!V69,$AZ$7)),$AZ$6,IF(OR(COUNTIF('1.연간시수표'!V69,$BA$9),COUNTIF('1.연간시수표'!V69,$BA$7)),$BA$6,IF(OR(COUNTIF('1.연간시수표'!V69,$BB$9),COUNTIF('1.연간시수표'!V69,$BB$7)),$BB$6,IF(OR(COUNTIF('1.연간시수표'!V69,$BC$9),COUNTIF('1.연간시수표'!V69,$BC$7)),$BC$6,IF(OR(COUNTIF('1.연간시수표'!V69,$BF$9),COUNTIF('1.연간시수표'!V69,$BF$7),COUNTIF('1.연간시수표'!V69,$BG$9),COUNTIF('1.연간시수표'!V69,$BG$7),COUNTIF('1.연간시수표'!V69,$BH$9),COUNTIF('1.연간시수표'!V69,$BH$7),COUNTIF('1.연간시수표'!V69,$BI$9),COUNTIF('1.연간시수표'!V69,$BI$7),COUNTIF('1.연간시수표'!V69,$BJ$9),COUNTIF('1.연간시수표'!V69,$BJ$7),COUNTIF('1.연간시수표'!V69,$BK$9),COUNTIF('1.연간시수표'!V69,$BK$7),COUNTIF('1.연간시수표'!V69,$BL$9),COUNTIF('1.연간시수표'!V69,$BL$7),COUNTIF('1.연간시수표'!V69,$BM$9),COUNTIF('1.연간시수표'!V69,$BM$7)),$BF$6,IF(OR(COUNTIF('1.연간시수표'!V69,$BO$9),COUNTIF('1.연간시수표'!V69,$BO$7)),$BO$6,IF(OR(COUNTIF('1.연간시수표'!V69,$BP$9),COUNTIF('1.연간시수표'!V69,$BP$7)),$BP$6,IF(OR(COUNTIF('1.연간시수표'!V69,$BQ$9),COUNTIF('1.연간시수표'!V69,$BQ$7)),$BQ$6,IF(OR(COUNTIF('1.연간시수표'!V69,$BR$9),COUNTIF('1.연간시수표'!V69,$BR$7)),$BR$6,"_")))))))))))))))</f>
        <v>봉사활동</v>
      </c>
      <c r="W69" s="148" t="str">
        <f>IF(OR(COUNTIF('1.연간시수표'!W69,$AT$9),COUNTIF('1.연간시수표'!W69,$AT$7)),$AT$6,IF(OR(COUNTIF('1.연간시수표'!W69,$AU$9),COUNTIF('1.연간시수표'!W69,$AU$7)),$AU$6,IF(OR(COUNTIF('1.연간시수표'!W69,$AV$9),COUNTIF('1.연간시수표'!W69,$AV$7)),$AV$6,IF(OR(COUNTIF('1.연간시수표'!W69,$AW$9),COUNTIF('1.연간시수표'!W69,$AW$7)),$AW$6,IF(OR(COUNTIF('1.연간시수표'!W69,$AX$9),COUNTIF('1.연간시수표'!W69,$AX$7)),$AX$6,IF(OR(COUNTIF('1.연간시수표'!W69,$AY$9),COUNTIF('1.연간시수표'!W69,$AY$7)),$AY$6,IF(OR(COUNTIF('1.연간시수표'!W69,$AZ$9),COUNTIF('1.연간시수표'!W69,$AZ$7)),$AZ$6,IF(OR(COUNTIF('1.연간시수표'!W69,$BA$9),COUNTIF('1.연간시수표'!W69,$BA$7)),$BA$6,IF(OR(COUNTIF('1.연간시수표'!W69,$BB$9),COUNTIF('1.연간시수표'!W69,$BB$7)),$BB$6,IF(OR(COUNTIF('1.연간시수표'!W69,$BC$9),COUNTIF('1.연간시수표'!W69,$BC$7)),$BC$6,IF(OR(COUNTIF('1.연간시수표'!W69,$BF$9),COUNTIF('1.연간시수표'!W69,$BF$7),COUNTIF('1.연간시수표'!W69,$BG$9),COUNTIF('1.연간시수표'!W69,$BG$7),COUNTIF('1.연간시수표'!W69,$BH$9),COUNTIF('1.연간시수표'!W69,$BH$7),COUNTIF('1.연간시수표'!W69,$BI$9),COUNTIF('1.연간시수표'!W69,$BI$7),COUNTIF('1.연간시수표'!W69,$BJ$9),COUNTIF('1.연간시수표'!W69,$BJ$7),COUNTIF('1.연간시수표'!W69,$BK$9),COUNTIF('1.연간시수표'!W69,$BK$7),COUNTIF('1.연간시수표'!W69,$BL$9),COUNTIF('1.연간시수표'!W69,$BL$7),COUNTIF('1.연간시수표'!W69,$BM$9),COUNTIF('1.연간시수표'!W69,$BM$7)),$BF$6,IF(OR(COUNTIF('1.연간시수표'!W69,$BO$9),COUNTIF('1.연간시수표'!W69,$BO$7)),$BO$6,IF(OR(COUNTIF('1.연간시수표'!W69,$BP$9),COUNTIF('1.연간시수표'!W69,$BP$7)),$BP$6,IF(OR(COUNTIF('1.연간시수표'!W69,$BQ$9),COUNTIF('1.연간시수표'!W69,$BQ$7)),$BQ$6,IF(OR(COUNTIF('1.연간시수표'!W69,$BR$9),COUNTIF('1.연간시수표'!W69,$BR$7)),$BR$6,"_")))))))))))))))</f>
        <v>체육</v>
      </c>
      <c r="X69" s="148" t="str">
        <f>IF(OR(COUNTIF('1.연간시수표'!X69,$AT$9),COUNTIF('1.연간시수표'!X69,$AT$7)),$AT$6,IF(OR(COUNTIF('1.연간시수표'!X69,$AU$9),COUNTIF('1.연간시수표'!X69,$AU$7)),$AU$6,IF(OR(COUNTIF('1.연간시수표'!X69,$AV$9),COUNTIF('1.연간시수표'!X69,$AV$7)),$AV$6,IF(OR(COUNTIF('1.연간시수표'!X69,$AW$9),COUNTIF('1.연간시수표'!X69,$AW$7)),$AW$6,IF(OR(COUNTIF('1.연간시수표'!X69,$AX$9),COUNTIF('1.연간시수표'!X69,$AX$7)),$AX$6,IF(OR(COUNTIF('1.연간시수표'!X69,$AY$9),COUNTIF('1.연간시수표'!X69,$AY$7)),$AY$6,IF(OR(COUNTIF('1.연간시수표'!X69,$AZ$9),COUNTIF('1.연간시수표'!X69,$AZ$7)),$AZ$6,IF(OR(COUNTIF('1.연간시수표'!X69,$BA$9),COUNTIF('1.연간시수표'!X69,$BA$7)),$BA$6,IF(OR(COUNTIF('1.연간시수표'!X69,$BB$9),COUNTIF('1.연간시수표'!X69,$BB$7)),$BB$6,IF(OR(COUNTIF('1.연간시수표'!X69,$BC$9),COUNTIF('1.연간시수표'!X69,$BC$7)),$BC$6,IF(OR(COUNTIF('1.연간시수표'!X69,$BF$9),COUNTIF('1.연간시수표'!X69,$BF$7),COUNTIF('1.연간시수표'!X69,$BG$9),COUNTIF('1.연간시수표'!X69,$BG$7),COUNTIF('1.연간시수표'!X69,$BH$9),COUNTIF('1.연간시수표'!X69,$BH$7),COUNTIF('1.연간시수표'!X69,$BI$9),COUNTIF('1.연간시수표'!X69,$BI$7),COUNTIF('1.연간시수표'!X69,$BJ$9),COUNTIF('1.연간시수표'!X69,$BJ$7),COUNTIF('1.연간시수표'!X69,$BK$9),COUNTIF('1.연간시수표'!X69,$BK$7),COUNTIF('1.연간시수표'!X69,$BL$9),COUNTIF('1.연간시수표'!X69,$BL$7),COUNTIF('1.연간시수표'!X69,$BM$9),COUNTIF('1.연간시수표'!X69,$BM$7)),$BF$6,IF(OR(COUNTIF('1.연간시수표'!X69,$BO$9),COUNTIF('1.연간시수표'!X69,$BO$7)),$BO$6,IF(OR(COUNTIF('1.연간시수표'!X69,$BP$9),COUNTIF('1.연간시수표'!X69,$BP$7)),$BP$6,IF(OR(COUNTIF('1.연간시수표'!X69,$BQ$9),COUNTIF('1.연간시수표'!X69,$BQ$7)),$BQ$6,IF(OR(COUNTIF('1.연간시수표'!X69,$BR$9),COUNTIF('1.연간시수표'!X69,$BR$7)),$BR$6,"_")))))))))))))))</f>
        <v>음악</v>
      </c>
      <c r="Y69" s="148" t="str">
        <f>IF(OR(COUNTIF('1.연간시수표'!Y69,$AT$9),COUNTIF('1.연간시수표'!Y69,$AT$7)),$AT$6,IF(OR(COUNTIF('1.연간시수표'!Y69,$AU$9),COUNTIF('1.연간시수표'!Y69,$AU$7)),$AU$6,IF(OR(COUNTIF('1.연간시수표'!Y69,$AV$9),COUNTIF('1.연간시수표'!Y69,$AV$7)),$AV$6,IF(OR(COUNTIF('1.연간시수표'!Y69,$AW$9),COUNTIF('1.연간시수표'!Y69,$AW$7)),$AW$6,IF(OR(COUNTIF('1.연간시수표'!Y69,$AX$9),COUNTIF('1.연간시수표'!Y69,$AX$7)),$AX$6,IF(OR(COUNTIF('1.연간시수표'!Y69,$AY$9),COUNTIF('1.연간시수표'!Y69,$AY$7)),$AY$6,IF(OR(COUNTIF('1.연간시수표'!Y69,$AZ$9),COUNTIF('1.연간시수표'!Y69,$AZ$7)),$AZ$6,IF(OR(COUNTIF('1.연간시수표'!Y69,$BA$9),COUNTIF('1.연간시수표'!Y69,$BA$7)),$BA$6,IF(OR(COUNTIF('1.연간시수표'!Y69,$BB$9),COUNTIF('1.연간시수표'!Y69,$BB$7)),$BB$6,IF(OR(COUNTIF('1.연간시수표'!Y69,$BC$9),COUNTIF('1.연간시수표'!Y69,$BC$7)),$BC$6,IF(OR(COUNTIF('1.연간시수표'!Y69,$BF$9),COUNTIF('1.연간시수표'!Y69,$BF$7),COUNTIF('1.연간시수표'!Y69,$BG$9),COUNTIF('1.연간시수표'!Y69,$BG$7),COUNTIF('1.연간시수표'!Y69,$BH$9),COUNTIF('1.연간시수표'!Y69,$BH$7),COUNTIF('1.연간시수표'!Y69,$BI$9),COUNTIF('1.연간시수표'!Y69,$BI$7),COUNTIF('1.연간시수표'!Y69,$BJ$9),COUNTIF('1.연간시수표'!Y69,$BJ$7),COUNTIF('1.연간시수표'!Y69,$BK$9),COUNTIF('1.연간시수표'!Y69,$BK$7),COUNTIF('1.연간시수표'!Y69,$BL$9),COUNTIF('1.연간시수표'!Y69,$BL$7),COUNTIF('1.연간시수표'!Y69,$BM$9),COUNTIF('1.연간시수표'!Y69,$BM$7)),$BF$6,IF(OR(COUNTIF('1.연간시수표'!Y69,$BO$9),COUNTIF('1.연간시수표'!Y69,$BO$7)),$BO$6,IF(OR(COUNTIF('1.연간시수표'!Y69,$BP$9),COUNTIF('1.연간시수표'!Y69,$BP$7)),$BP$6,IF(OR(COUNTIF('1.연간시수표'!Y69,$BQ$9),COUNTIF('1.연간시수표'!Y69,$BQ$7)),$BQ$6,IF(OR(COUNTIF('1.연간시수표'!Y69,$BR$9),COUNTIF('1.연간시수표'!Y69,$BR$7)),$BR$6,"_")))))))))))))))</f>
        <v>도덕</v>
      </c>
      <c r="Z69" s="148" t="str">
        <f>IF(OR(COUNTIF('1.연간시수표'!Z69,$AT$9),COUNTIF('1.연간시수표'!Z69,$AT$7)),$AT$6,IF(OR(COUNTIF('1.연간시수표'!Z69,$AU$9),COUNTIF('1.연간시수표'!Z69,$AU$7)),$AU$6,IF(OR(COUNTIF('1.연간시수표'!Z69,$AV$9),COUNTIF('1.연간시수표'!Z69,$AV$7)),$AV$6,IF(OR(COUNTIF('1.연간시수표'!Z69,$AW$9),COUNTIF('1.연간시수표'!Z69,$AW$7)),$AW$6,IF(OR(COUNTIF('1.연간시수표'!Z69,$AX$9),COUNTIF('1.연간시수표'!Z69,$AX$7)),$AX$6,IF(OR(COUNTIF('1.연간시수표'!Z69,$AY$9),COUNTIF('1.연간시수표'!Z69,$AY$7)),$AY$6,IF(OR(COUNTIF('1.연간시수표'!Z69,$AZ$9),COUNTIF('1.연간시수표'!Z69,$AZ$7)),$AZ$6,IF(OR(COUNTIF('1.연간시수표'!Z69,$BA$9),COUNTIF('1.연간시수표'!Z69,$BA$7)),$BA$6,IF(OR(COUNTIF('1.연간시수표'!Z69,$BB$9),COUNTIF('1.연간시수표'!Z69,$BB$7)),$BB$6,IF(OR(COUNTIF('1.연간시수표'!Z69,$BC$9),COUNTIF('1.연간시수표'!Z69,$BC$7)),$BC$6,IF(OR(COUNTIF('1.연간시수표'!Z69,$BF$9),COUNTIF('1.연간시수표'!Z69,$BF$7),COUNTIF('1.연간시수표'!Z69,$BG$9),COUNTIF('1.연간시수표'!Z69,$BG$7),COUNTIF('1.연간시수표'!Z69,$BH$9),COUNTIF('1.연간시수표'!Z69,$BH$7),COUNTIF('1.연간시수표'!Z69,$BI$9),COUNTIF('1.연간시수표'!Z69,$BI$7),COUNTIF('1.연간시수표'!Z69,$BJ$9),COUNTIF('1.연간시수표'!Z69,$BJ$7),COUNTIF('1.연간시수표'!Z69,$BK$9),COUNTIF('1.연간시수표'!Z69,$BK$7),COUNTIF('1.연간시수표'!Z69,$BL$9),COUNTIF('1.연간시수표'!Z69,$BL$7),COUNTIF('1.연간시수표'!Z69,$BM$9),COUNTIF('1.연간시수표'!Z69,$BM$7)),$BF$6,IF(OR(COUNTIF('1.연간시수표'!Z69,$BO$9),COUNTIF('1.연간시수표'!Z69,$BO$7)),$BO$6,IF(OR(COUNTIF('1.연간시수표'!Z69,$BP$9),COUNTIF('1.연간시수표'!Z69,$BP$7)),$BP$6,IF(OR(COUNTIF('1.연간시수표'!Z69,$BQ$9),COUNTIF('1.연간시수표'!Z69,$BQ$7)),$BQ$6,IF(OR(COUNTIF('1.연간시수표'!Z69,$BR$9),COUNTIF('1.연간시수표'!Z69,$BR$7)),$BR$6,"_")))))))))))))))</f>
        <v>_</v>
      </c>
      <c r="AA69" s="148" t="str">
        <f>IF(OR(COUNTIF('1.연간시수표'!AA69,$AT$9),COUNTIF('1.연간시수표'!AA69,$AT$7)),$AT$6,IF(OR(COUNTIF('1.연간시수표'!AA69,$AU$9),COUNTIF('1.연간시수표'!AA69,$AU$7)),$AU$6,IF(OR(COUNTIF('1.연간시수표'!AA69,$AV$9),COUNTIF('1.연간시수표'!AA69,$AV$7)),$AV$6,IF(OR(COUNTIF('1.연간시수표'!AA69,$AW$9),COUNTIF('1.연간시수표'!AA69,$AW$7)),$AW$6,IF(OR(COUNTIF('1.연간시수표'!AA69,$AX$9),COUNTIF('1.연간시수표'!AA69,$AX$7)),$AX$6,IF(OR(COUNTIF('1.연간시수표'!AA69,$AY$9),COUNTIF('1.연간시수표'!AA69,$AY$7)),$AY$6,IF(OR(COUNTIF('1.연간시수표'!AA69,$AZ$9),COUNTIF('1.연간시수표'!AA69,$AZ$7)),$AZ$6,IF(OR(COUNTIF('1.연간시수표'!AA69,$BA$9),COUNTIF('1.연간시수표'!AA69,$BA$7)),$BA$6,IF(OR(COUNTIF('1.연간시수표'!AA69,$BB$9),COUNTIF('1.연간시수표'!AA69,$BB$7)),$BB$6,IF(OR(COUNTIF('1.연간시수표'!AA69,$BC$9),COUNTIF('1.연간시수표'!AA69,$BC$7)),$BC$6,IF(OR(COUNTIF('1.연간시수표'!AA69,$BF$9),COUNTIF('1.연간시수표'!AA69,$BF$7),COUNTIF('1.연간시수표'!AA69,$BG$9),COUNTIF('1.연간시수표'!AA69,$BG$7),COUNTIF('1.연간시수표'!AA69,$BH$9),COUNTIF('1.연간시수표'!AA69,$BH$7),COUNTIF('1.연간시수표'!AA69,$BI$9),COUNTIF('1.연간시수표'!AA69,$BI$7),COUNTIF('1.연간시수표'!AA69,$BJ$9),COUNTIF('1.연간시수표'!AA69,$BJ$7),COUNTIF('1.연간시수표'!AA69,$BK$9),COUNTIF('1.연간시수표'!AA69,$BK$7),COUNTIF('1.연간시수표'!AA69,$BL$9),COUNTIF('1.연간시수표'!AA69,$BL$7),COUNTIF('1.연간시수표'!AA69,$BM$9),COUNTIF('1.연간시수표'!AA69,$BM$7)),$BF$6,IF(OR(COUNTIF('1.연간시수표'!AA69,$BO$9),COUNTIF('1.연간시수표'!AA69,$BO$7)),$BO$6,IF(OR(COUNTIF('1.연간시수표'!AA69,$BP$9),COUNTIF('1.연간시수표'!AA69,$BP$7)),$BP$6,IF(OR(COUNTIF('1.연간시수표'!AA69,$BQ$9),COUNTIF('1.연간시수표'!AA69,$BQ$7)),$BQ$6,IF(OR(COUNTIF('1.연간시수표'!AA69,$BR$9),COUNTIF('1.연간시수표'!AA69,$BR$7)),$BR$6,"_")))))))))))))))</f>
        <v>_</v>
      </c>
      <c r="AB69" s="148" t="str">
        <f>IF(OR(COUNTIF('1.연간시수표'!AB69,$AT$9),COUNTIF('1.연간시수표'!AB69,$AT$7)),$AT$6,IF(OR(COUNTIF('1.연간시수표'!AB69,$AU$9),COUNTIF('1.연간시수표'!AB69,$AU$7)),$AU$6,IF(OR(COUNTIF('1.연간시수표'!AB69,$AV$9),COUNTIF('1.연간시수표'!AB69,$AV$7)),$AV$6,IF(OR(COUNTIF('1.연간시수표'!AB69,$AW$9),COUNTIF('1.연간시수표'!AB69,$AW$7)),$AW$6,IF(OR(COUNTIF('1.연간시수표'!AB69,$AX$9),COUNTIF('1.연간시수표'!AB69,$AX$7)),$AX$6,IF(OR(COUNTIF('1.연간시수표'!AB69,$AY$9),COUNTIF('1.연간시수표'!AB69,$AY$7)),$AY$6,IF(OR(COUNTIF('1.연간시수표'!AB69,$AZ$9),COUNTIF('1.연간시수표'!AB69,$AZ$7)),$AZ$6,IF(OR(COUNTIF('1.연간시수표'!AB69,$BA$9),COUNTIF('1.연간시수표'!AB69,$BA$7)),$BA$6,IF(OR(COUNTIF('1.연간시수표'!AB69,$BB$9),COUNTIF('1.연간시수표'!AB69,$BB$7)),$BB$6,IF(OR(COUNTIF('1.연간시수표'!AB69,$BC$9),COUNTIF('1.연간시수표'!AB69,$BC$7)),$BC$6,IF(OR(COUNTIF('1.연간시수표'!AB69,$BF$9),COUNTIF('1.연간시수표'!AB69,$BF$7),COUNTIF('1.연간시수표'!AB69,$BG$9),COUNTIF('1.연간시수표'!AB69,$BG$7),COUNTIF('1.연간시수표'!AB69,$BH$9),COUNTIF('1.연간시수표'!AB69,$BH$7),COUNTIF('1.연간시수표'!AB69,$BI$9),COUNTIF('1.연간시수표'!AB69,$BI$7),COUNTIF('1.연간시수표'!AB69,$BJ$9),COUNTIF('1.연간시수표'!AB69,$BJ$7),COUNTIF('1.연간시수표'!AB69,$BK$9),COUNTIF('1.연간시수표'!AB69,$BK$7),COUNTIF('1.연간시수표'!AB69,$BL$9),COUNTIF('1.연간시수표'!AB69,$BL$7),COUNTIF('1.연간시수표'!AB69,$BM$9),COUNTIF('1.연간시수표'!AB69,$BM$7)),$BF$6,IF(OR(COUNTIF('1.연간시수표'!AB69,$BO$9),COUNTIF('1.연간시수표'!AB69,$BO$7)),$BO$6,IF(OR(COUNTIF('1.연간시수표'!AB69,$BP$9),COUNTIF('1.연간시수표'!AB69,$BP$7)),$BP$6,IF(OR(COUNTIF('1.연간시수표'!AB69,$BQ$9),COUNTIF('1.연간시수표'!AB69,$BQ$7)),$BQ$6,IF(OR(COUNTIF('1.연간시수표'!AB69,$BR$9),COUNTIF('1.연간시수표'!AB69,$BR$7)),$BR$6,"_")))))))))))))))</f>
        <v>_</v>
      </c>
      <c r="AC69" s="148" t="str">
        <f>IF(OR(COUNTIF('1.연간시수표'!AC69,$AT$9),COUNTIF('1.연간시수표'!AC69,$AT$7)),$AT$6,IF(OR(COUNTIF('1.연간시수표'!AC69,$AU$9),COUNTIF('1.연간시수표'!AC69,$AU$7)),$AU$6,IF(OR(COUNTIF('1.연간시수표'!AC69,$AV$9),COUNTIF('1.연간시수표'!AC69,$AV$7)),$AV$6,IF(OR(COUNTIF('1.연간시수표'!AC69,$AW$9),COUNTIF('1.연간시수표'!AC69,$AW$7)),$AW$6,IF(OR(COUNTIF('1.연간시수표'!AC69,$AX$9),COUNTIF('1.연간시수표'!AC69,$AX$7)),$AX$6,IF(OR(COUNTIF('1.연간시수표'!AC69,$AY$9),COUNTIF('1.연간시수표'!AC69,$AY$7)),$AY$6,IF(OR(COUNTIF('1.연간시수표'!AC69,$AZ$9),COUNTIF('1.연간시수표'!AC69,$AZ$7)),$AZ$6,IF(OR(COUNTIF('1.연간시수표'!AC69,$BA$9),COUNTIF('1.연간시수표'!AC69,$BA$7)),$BA$6,IF(OR(COUNTIF('1.연간시수표'!AC69,$BB$9),COUNTIF('1.연간시수표'!AC69,$BB$7)),$BB$6,IF(OR(COUNTIF('1.연간시수표'!AC69,$BC$9),COUNTIF('1.연간시수표'!AC69,$BC$7)),$BC$6,IF(OR(COUNTIF('1.연간시수표'!AC69,$BF$9),COUNTIF('1.연간시수표'!AC69,$BF$7),COUNTIF('1.연간시수표'!AC69,$BG$9),COUNTIF('1.연간시수표'!AC69,$BG$7),COUNTIF('1.연간시수표'!AC69,$BH$9),COUNTIF('1.연간시수표'!AC69,$BH$7),COUNTIF('1.연간시수표'!AC69,$BI$9),COUNTIF('1.연간시수표'!AC69,$BI$7),COUNTIF('1.연간시수표'!AC69,$BJ$9),COUNTIF('1.연간시수표'!AC69,$BJ$7),COUNTIF('1.연간시수표'!AC69,$BK$9),COUNTIF('1.연간시수표'!AC69,$BK$7),COUNTIF('1.연간시수표'!AC69,$BL$9),COUNTIF('1.연간시수표'!AC69,$BL$7),COUNTIF('1.연간시수표'!AC69,$BM$9),COUNTIF('1.연간시수표'!AC69,$BM$7)),$BF$6,IF(OR(COUNTIF('1.연간시수표'!AC69,$BO$9),COUNTIF('1.연간시수표'!AC69,$BO$7)),$BO$6,IF(OR(COUNTIF('1.연간시수표'!AC69,$BP$9),COUNTIF('1.연간시수표'!AC69,$BP$7)),$BP$6,IF(OR(COUNTIF('1.연간시수표'!AC69,$BQ$9),COUNTIF('1.연간시수표'!AC69,$BQ$7)),$BQ$6,IF(OR(COUNTIF('1.연간시수표'!AC69,$BR$9),COUNTIF('1.연간시수표'!AC69,$BR$7)),$BR$6,"_")))))))))))))))</f>
        <v>_</v>
      </c>
      <c r="AD69" s="148" t="str">
        <f>IF(OR(COUNTIF('1.연간시수표'!AD69,$AT$9),COUNTIF('1.연간시수표'!AD69,$AT$7)),$AT$6,IF(OR(COUNTIF('1.연간시수표'!AD69,$AU$9),COUNTIF('1.연간시수표'!AD69,$AU$7)),$AU$6,IF(OR(COUNTIF('1.연간시수표'!AD69,$AV$9),COUNTIF('1.연간시수표'!AD69,$AV$7)),$AV$6,IF(OR(COUNTIF('1.연간시수표'!AD69,$AW$9),COUNTIF('1.연간시수표'!AD69,$AW$7)),$AW$6,IF(OR(COUNTIF('1.연간시수표'!AD69,$AX$9),COUNTIF('1.연간시수표'!AD69,$AX$7)),$AX$6,IF(OR(COUNTIF('1.연간시수표'!AD69,$AY$9),COUNTIF('1.연간시수표'!AD69,$AY$7)),$AY$6,IF(OR(COUNTIF('1.연간시수표'!AD69,$AZ$9),COUNTIF('1.연간시수표'!AD69,$AZ$7)),$AZ$6,IF(OR(COUNTIF('1.연간시수표'!AD69,$BA$9),COUNTIF('1.연간시수표'!AD69,$BA$7)),$BA$6,IF(OR(COUNTIF('1.연간시수표'!AD69,$BB$9),COUNTIF('1.연간시수표'!AD69,$BB$7)),$BB$6,IF(OR(COUNTIF('1.연간시수표'!AD69,$BC$9),COUNTIF('1.연간시수표'!AD69,$BC$7)),$BC$6,IF(OR(COUNTIF('1.연간시수표'!AD69,$BF$9),COUNTIF('1.연간시수표'!AD69,$BF$7),COUNTIF('1.연간시수표'!AD69,$BG$9),COUNTIF('1.연간시수표'!AD69,$BG$7),COUNTIF('1.연간시수표'!AD69,$BH$9),COUNTIF('1.연간시수표'!AD69,$BH$7),COUNTIF('1.연간시수표'!AD69,$BI$9),COUNTIF('1.연간시수표'!AD69,$BI$7),COUNTIF('1.연간시수표'!AD69,$BJ$9),COUNTIF('1.연간시수표'!AD69,$BJ$7),COUNTIF('1.연간시수표'!AD69,$BK$9),COUNTIF('1.연간시수표'!AD69,$BK$7),COUNTIF('1.연간시수표'!AD69,$BL$9),COUNTIF('1.연간시수표'!AD69,$BL$7),COUNTIF('1.연간시수표'!AD69,$BM$9),COUNTIF('1.연간시수표'!AD69,$BM$7)),$BF$6,IF(OR(COUNTIF('1.연간시수표'!AD69,$BO$9),COUNTIF('1.연간시수표'!AD69,$BO$7)),$BO$6,IF(OR(COUNTIF('1.연간시수표'!AD69,$BP$9),COUNTIF('1.연간시수표'!AD69,$BP$7)),$BP$6,IF(OR(COUNTIF('1.연간시수표'!AD69,$BQ$9),COUNTIF('1.연간시수표'!AD69,$BQ$7)),$BQ$6,IF(OR(COUNTIF('1.연간시수표'!AD69,$BR$9),COUNTIF('1.연간시수표'!AD69,$BR$7)),$BR$6,"_")))))))))))))))</f>
        <v>_</v>
      </c>
      <c r="AE69" s="148" t="str">
        <f>IF(OR(COUNTIF('1.연간시수표'!AE69,$AT$9),COUNTIF('1.연간시수표'!AE69,$AT$7)),$AT$6,IF(OR(COUNTIF('1.연간시수표'!AE69,$AU$9),COUNTIF('1.연간시수표'!AE69,$AU$7)),$AU$6,IF(OR(COUNTIF('1.연간시수표'!AE69,$AV$9),COUNTIF('1.연간시수표'!AE69,$AV$7)),$AV$6,IF(OR(COUNTIF('1.연간시수표'!AE69,$AW$9),COUNTIF('1.연간시수표'!AE69,$AW$7)),$AW$6,IF(OR(COUNTIF('1.연간시수표'!AE69,$AX$9),COUNTIF('1.연간시수표'!AE69,$AX$7)),$AX$6,IF(OR(COUNTIF('1.연간시수표'!AE69,$AY$9),COUNTIF('1.연간시수표'!AE69,$AY$7)),$AY$6,IF(OR(COUNTIF('1.연간시수표'!AE69,$AZ$9),COUNTIF('1.연간시수표'!AE69,$AZ$7)),$AZ$6,IF(OR(COUNTIF('1.연간시수표'!AE69,$BA$9),COUNTIF('1.연간시수표'!AE69,$BA$7)),$BA$6,IF(OR(COUNTIF('1.연간시수표'!AE69,$BB$9),COUNTIF('1.연간시수표'!AE69,$BB$7)),$BB$6,IF(OR(COUNTIF('1.연간시수표'!AE69,$BC$9),COUNTIF('1.연간시수표'!AE69,$BC$7)),$BC$6,IF(OR(COUNTIF('1.연간시수표'!AE69,$BF$9),COUNTIF('1.연간시수표'!AE69,$BF$7),COUNTIF('1.연간시수표'!AE69,$BG$9),COUNTIF('1.연간시수표'!AE69,$BG$7),COUNTIF('1.연간시수표'!AE69,$BH$9),COUNTIF('1.연간시수표'!AE69,$BH$7),COUNTIF('1.연간시수표'!AE69,$BI$9),COUNTIF('1.연간시수표'!AE69,$BI$7),COUNTIF('1.연간시수표'!AE69,$BJ$9),COUNTIF('1.연간시수표'!AE69,$BJ$7),COUNTIF('1.연간시수표'!AE69,$BK$9),COUNTIF('1.연간시수표'!AE69,$BK$7),COUNTIF('1.연간시수표'!AE69,$BL$9),COUNTIF('1.연간시수표'!AE69,$BL$7),COUNTIF('1.연간시수표'!AE69,$BM$9),COUNTIF('1.연간시수표'!AE69,$BM$7)),$BF$6,IF(OR(COUNTIF('1.연간시수표'!AE69,$BO$9),COUNTIF('1.연간시수표'!AE69,$BO$7)),$BO$6,IF(OR(COUNTIF('1.연간시수표'!AE69,$BP$9),COUNTIF('1.연간시수표'!AE69,$BP$7)),$BP$6,IF(OR(COUNTIF('1.연간시수표'!AE69,$BQ$9),COUNTIF('1.연간시수표'!AE69,$BQ$7)),$BQ$6,IF(OR(COUNTIF('1.연간시수표'!AE69,$BR$9),COUNTIF('1.연간시수표'!AE69,$BR$7)),$BR$6,"_")))))))))))))))</f>
        <v>_</v>
      </c>
      <c r="AF69" s="148" t="str">
        <f>IF(OR(COUNTIF('1.연간시수표'!AF69,$AT$9),COUNTIF('1.연간시수표'!AF69,$AT$7)),$AT$6,IF(OR(COUNTIF('1.연간시수표'!AF69,$AU$9),COUNTIF('1.연간시수표'!AF69,$AU$7)),$AU$6,IF(OR(COUNTIF('1.연간시수표'!AF69,$AV$9),COUNTIF('1.연간시수표'!AF69,$AV$7)),$AV$6,IF(OR(COUNTIF('1.연간시수표'!AF69,$AW$9),COUNTIF('1.연간시수표'!AF69,$AW$7)),$AW$6,IF(OR(COUNTIF('1.연간시수표'!AF69,$AX$9),COUNTIF('1.연간시수표'!AF69,$AX$7)),$AX$6,IF(OR(COUNTIF('1.연간시수표'!AF69,$AY$9),COUNTIF('1.연간시수표'!AF69,$AY$7)),$AY$6,IF(OR(COUNTIF('1.연간시수표'!AF69,$AZ$9),COUNTIF('1.연간시수표'!AF69,$AZ$7)),$AZ$6,IF(OR(COUNTIF('1.연간시수표'!AF69,$BA$9),COUNTIF('1.연간시수표'!AF69,$BA$7)),$BA$6,IF(OR(COUNTIF('1.연간시수표'!AF69,$BB$9),COUNTIF('1.연간시수표'!AF69,$BB$7)),$BB$6,IF(OR(COUNTIF('1.연간시수표'!AF69,$BC$9),COUNTIF('1.연간시수표'!AF69,$BC$7)),$BC$6,IF(OR(COUNTIF('1.연간시수표'!AF69,$BF$9),COUNTIF('1.연간시수표'!AF69,$BF$7),COUNTIF('1.연간시수표'!AF69,$BG$9),COUNTIF('1.연간시수표'!AF69,$BG$7),COUNTIF('1.연간시수표'!AF69,$BH$9),COUNTIF('1.연간시수표'!AF69,$BH$7),COUNTIF('1.연간시수표'!AF69,$BI$9),COUNTIF('1.연간시수표'!AF69,$BI$7),COUNTIF('1.연간시수표'!AF69,$BJ$9),COUNTIF('1.연간시수표'!AF69,$BJ$7),COUNTIF('1.연간시수표'!AF69,$BK$9),COUNTIF('1.연간시수표'!AF69,$BK$7),COUNTIF('1.연간시수표'!AF69,$BL$9),COUNTIF('1.연간시수표'!AF69,$BL$7),COUNTIF('1.연간시수표'!AF69,$BM$9),COUNTIF('1.연간시수표'!AF69,$BM$7)),$BF$6,IF(OR(COUNTIF('1.연간시수표'!AF69,$BO$9),COUNTIF('1.연간시수표'!AF69,$BO$7)),$BO$6,IF(OR(COUNTIF('1.연간시수표'!AF69,$BP$9),COUNTIF('1.연간시수표'!AF69,$BP$7)),$BP$6,IF(OR(COUNTIF('1.연간시수표'!AF69,$BQ$9),COUNTIF('1.연간시수표'!AF69,$BQ$7)),$BQ$6,IF(OR(COUNTIF('1.연간시수표'!AF69,$BR$9),COUNTIF('1.연간시수표'!AF69,$BR$7)),$BR$6,"_")))))))))))))))</f>
        <v>_</v>
      </c>
      <c r="AG69" s="148" t="str">
        <f>IF(OR(COUNTIF('1.연간시수표'!AG69,$AT$9),COUNTIF('1.연간시수표'!AG69,$AT$7)),$AT$6,IF(OR(COUNTIF('1.연간시수표'!AG69,$AU$9),COUNTIF('1.연간시수표'!AG69,$AU$7)),$AU$6,IF(OR(COUNTIF('1.연간시수표'!AG69,$AV$9),COUNTIF('1.연간시수표'!AG69,$AV$7)),$AV$6,IF(OR(COUNTIF('1.연간시수표'!AG69,$AW$9),COUNTIF('1.연간시수표'!AG69,$AW$7)),$AW$6,IF(OR(COUNTIF('1.연간시수표'!AG69,$AX$9),COUNTIF('1.연간시수표'!AG69,$AX$7)),$AX$6,IF(OR(COUNTIF('1.연간시수표'!AG69,$AY$9),COUNTIF('1.연간시수표'!AG69,$AY$7)),$AY$6,IF(OR(COUNTIF('1.연간시수표'!AG69,$AZ$9),COUNTIF('1.연간시수표'!AG69,$AZ$7)),$AZ$6,IF(OR(COUNTIF('1.연간시수표'!AG69,$BA$9),COUNTIF('1.연간시수표'!AG69,$BA$7)),$BA$6,IF(OR(COUNTIF('1.연간시수표'!AG69,$BB$9),COUNTIF('1.연간시수표'!AG69,$BB$7)),$BB$6,IF(OR(COUNTIF('1.연간시수표'!AG69,$BC$9),COUNTIF('1.연간시수표'!AG69,$BC$7)),$BC$6,IF(OR(COUNTIF('1.연간시수표'!AG69,$BF$9),COUNTIF('1.연간시수표'!AG69,$BF$7),COUNTIF('1.연간시수표'!AG69,$BG$9),COUNTIF('1.연간시수표'!AG69,$BG$7),COUNTIF('1.연간시수표'!AG69,$BH$9),COUNTIF('1.연간시수표'!AG69,$BH$7),COUNTIF('1.연간시수표'!AG69,$BI$9),COUNTIF('1.연간시수표'!AG69,$BI$7),COUNTIF('1.연간시수표'!AG69,$BJ$9),COUNTIF('1.연간시수표'!AG69,$BJ$7),COUNTIF('1.연간시수표'!AG69,$BK$9),COUNTIF('1.연간시수표'!AG69,$BK$7),COUNTIF('1.연간시수표'!AG69,$BL$9),COUNTIF('1.연간시수표'!AG69,$BL$7),COUNTIF('1.연간시수표'!AG69,$BM$9),COUNTIF('1.연간시수표'!AG69,$BM$7)),$BF$6,IF(OR(COUNTIF('1.연간시수표'!AG69,$BO$9),COUNTIF('1.연간시수표'!AG69,$BO$7)),$BO$6,IF(OR(COUNTIF('1.연간시수표'!AG69,$BP$9),COUNTIF('1.연간시수표'!AG69,$BP$7)),$BP$6,IF(OR(COUNTIF('1.연간시수표'!AG69,$BQ$9),COUNTIF('1.연간시수표'!AG69,$BQ$7)),$BQ$6,IF(OR(COUNTIF('1.연간시수표'!AG69,$BR$9),COUNTIF('1.연간시수표'!AG69,$BR$7)),$BR$6,"_")))))))))))))))</f>
        <v>_</v>
      </c>
      <c r="AH69" s="148" t="str">
        <f>IF(OR(COUNTIF('1.연간시수표'!AH69,$AT$9),COUNTIF('1.연간시수표'!AH69,$AT$7)),$AT$6,IF(OR(COUNTIF('1.연간시수표'!AH69,$AU$9),COUNTIF('1.연간시수표'!AH69,$AU$7)),$AU$6,IF(OR(COUNTIF('1.연간시수표'!AH69,$AV$9),COUNTIF('1.연간시수표'!AH69,$AV$7)),$AV$6,IF(OR(COUNTIF('1.연간시수표'!AH69,$AW$9),COUNTIF('1.연간시수표'!AH69,$AW$7)),$AW$6,IF(OR(COUNTIF('1.연간시수표'!AH69,$AX$9),COUNTIF('1.연간시수표'!AH69,$AX$7)),$AX$6,IF(OR(COUNTIF('1.연간시수표'!AH69,$AY$9),COUNTIF('1.연간시수표'!AH69,$AY$7)),$AY$6,IF(OR(COUNTIF('1.연간시수표'!AH69,$AZ$9),COUNTIF('1.연간시수표'!AH69,$AZ$7)),$AZ$6,IF(OR(COUNTIF('1.연간시수표'!AH69,$BA$9),COUNTIF('1.연간시수표'!AH69,$BA$7)),$BA$6,IF(OR(COUNTIF('1.연간시수표'!AH69,$BB$9),COUNTIF('1.연간시수표'!AH69,$BB$7)),$BB$6,IF(OR(COUNTIF('1.연간시수표'!AH69,$BC$9),COUNTIF('1.연간시수표'!AH69,$BC$7)),$BC$6,IF(OR(COUNTIF('1.연간시수표'!AH69,$BF$9),COUNTIF('1.연간시수표'!AH69,$BF$7),COUNTIF('1.연간시수표'!AH69,$BG$9),COUNTIF('1.연간시수표'!AH69,$BG$7),COUNTIF('1.연간시수표'!AH69,$BH$9),COUNTIF('1.연간시수표'!AH69,$BH$7),COUNTIF('1.연간시수표'!AH69,$BI$9),COUNTIF('1.연간시수표'!AH69,$BI$7),COUNTIF('1.연간시수표'!AH69,$BJ$9),COUNTIF('1.연간시수표'!AH69,$BJ$7),COUNTIF('1.연간시수표'!AH69,$BK$9),COUNTIF('1.연간시수표'!AH69,$BK$7),COUNTIF('1.연간시수표'!AH69,$BL$9),COUNTIF('1.연간시수표'!AH69,$BL$7),COUNTIF('1.연간시수표'!AH69,$BM$9),COUNTIF('1.연간시수표'!AH69,$BM$7)),$BF$6,IF(OR(COUNTIF('1.연간시수표'!AH69,$BO$9),COUNTIF('1.연간시수표'!AH69,$BO$7)),$BO$6,IF(OR(COUNTIF('1.연간시수표'!AH69,$BP$9),COUNTIF('1.연간시수표'!AH69,$BP$7)),$BP$6,IF(OR(COUNTIF('1.연간시수표'!AH69,$BQ$9),COUNTIF('1.연간시수표'!AH69,$BQ$7)),$BQ$6,IF(OR(COUNTIF('1.연간시수표'!AH69,$BR$9),COUNTIF('1.연간시수표'!AH69,$BR$7)),$BR$6,"_")))))))))))))))</f>
        <v>_</v>
      </c>
      <c r="AI69" s="148" t="str">
        <f>IF(OR(COUNTIF('1.연간시수표'!AI69,$AT$9),COUNTIF('1.연간시수표'!AI69,$AT$7)),$AT$6,IF(OR(COUNTIF('1.연간시수표'!AI69,$AU$9),COUNTIF('1.연간시수표'!AI69,$AU$7)),$AU$6,IF(OR(COUNTIF('1.연간시수표'!AI69,$AV$9),COUNTIF('1.연간시수표'!AI69,$AV$7)),$AV$6,IF(OR(COUNTIF('1.연간시수표'!AI69,$AW$9),COUNTIF('1.연간시수표'!AI69,$AW$7)),$AW$6,IF(OR(COUNTIF('1.연간시수표'!AI69,$AX$9),COUNTIF('1.연간시수표'!AI69,$AX$7)),$AX$6,IF(OR(COUNTIF('1.연간시수표'!AI69,$AY$9),COUNTIF('1.연간시수표'!AI69,$AY$7)),$AY$6,IF(OR(COUNTIF('1.연간시수표'!AI69,$AZ$9),COUNTIF('1.연간시수표'!AI69,$AZ$7)),$AZ$6,IF(OR(COUNTIF('1.연간시수표'!AI69,$BA$9),COUNTIF('1.연간시수표'!AI69,$BA$7)),$BA$6,IF(OR(COUNTIF('1.연간시수표'!AI69,$BB$9),COUNTIF('1.연간시수표'!AI69,$BB$7)),$BB$6,IF(OR(COUNTIF('1.연간시수표'!AI69,$BC$9),COUNTIF('1.연간시수표'!AI69,$BC$7)),$BC$6,IF(OR(COUNTIF('1.연간시수표'!AI69,$BF$9),COUNTIF('1.연간시수표'!AI69,$BF$7),COUNTIF('1.연간시수표'!AI69,$BG$9),COUNTIF('1.연간시수표'!AI69,$BG$7),COUNTIF('1.연간시수표'!AI69,$BH$9),COUNTIF('1.연간시수표'!AI69,$BH$7),COUNTIF('1.연간시수표'!AI69,$BI$9),COUNTIF('1.연간시수표'!AI69,$BI$7),COUNTIF('1.연간시수표'!AI69,$BJ$9),COUNTIF('1.연간시수표'!AI69,$BJ$7),COUNTIF('1.연간시수표'!AI69,$BK$9),COUNTIF('1.연간시수표'!AI69,$BK$7),COUNTIF('1.연간시수표'!AI69,$BL$9),COUNTIF('1.연간시수표'!AI69,$BL$7),COUNTIF('1.연간시수표'!AI69,$BM$9),COUNTIF('1.연간시수표'!AI69,$BM$7)),$BF$6,IF(OR(COUNTIF('1.연간시수표'!AI69,$BO$9),COUNTIF('1.연간시수표'!AI69,$BO$7)),$BO$6,IF(OR(COUNTIF('1.연간시수표'!AI69,$BP$9),COUNTIF('1.연간시수표'!AI69,$BP$7)),$BP$6,IF(OR(COUNTIF('1.연간시수표'!AI69,$BQ$9),COUNTIF('1.연간시수표'!AI69,$BQ$7)),$BQ$6,IF(OR(COUNTIF('1.연간시수표'!AI69,$BR$9),COUNTIF('1.연간시수표'!AI69,$BR$7)),$BR$6,"_")))))))))))))))</f>
        <v>_</v>
      </c>
      <c r="AJ69" s="148" t="str">
        <f>IF(OR(COUNTIF('1.연간시수표'!AJ69,$AT$9),COUNTIF('1.연간시수표'!AJ69,$AT$7)),$AT$6,IF(OR(COUNTIF('1.연간시수표'!AJ69,$AU$9),COUNTIF('1.연간시수표'!AJ69,$AU$7)),$AU$6,IF(OR(COUNTIF('1.연간시수표'!AJ69,$AV$9),COUNTIF('1.연간시수표'!AJ69,$AV$7)),$AV$6,IF(OR(COUNTIF('1.연간시수표'!AJ69,$AW$9),COUNTIF('1.연간시수표'!AJ69,$AW$7)),$AW$6,IF(OR(COUNTIF('1.연간시수표'!AJ69,$AX$9),COUNTIF('1.연간시수표'!AJ69,$AX$7)),$AX$6,IF(OR(COUNTIF('1.연간시수표'!AJ69,$AY$9),COUNTIF('1.연간시수표'!AJ69,$AY$7)),$AY$6,IF(OR(COUNTIF('1.연간시수표'!AJ69,$AZ$9),COUNTIF('1.연간시수표'!AJ69,$AZ$7)),$AZ$6,IF(OR(COUNTIF('1.연간시수표'!AJ69,$BA$9),COUNTIF('1.연간시수표'!AJ69,$BA$7)),$BA$6,IF(OR(COUNTIF('1.연간시수표'!AJ69,$BB$9),COUNTIF('1.연간시수표'!AJ69,$BB$7)),$BB$6,IF(OR(COUNTIF('1.연간시수표'!AJ69,$BC$9),COUNTIF('1.연간시수표'!AJ69,$BC$7)),$BC$6,IF(OR(COUNTIF('1.연간시수표'!AJ69,$BF$9),COUNTIF('1.연간시수표'!AJ69,$BF$7),COUNTIF('1.연간시수표'!AJ69,$BG$9),COUNTIF('1.연간시수표'!AJ69,$BG$7),COUNTIF('1.연간시수표'!AJ69,$BH$9),COUNTIF('1.연간시수표'!AJ69,$BH$7),COUNTIF('1.연간시수표'!AJ69,$BI$9),COUNTIF('1.연간시수표'!AJ69,$BI$7),COUNTIF('1.연간시수표'!AJ69,$BJ$9),COUNTIF('1.연간시수표'!AJ69,$BJ$7),COUNTIF('1.연간시수표'!AJ69,$BK$9),COUNTIF('1.연간시수표'!AJ69,$BK$7),COUNTIF('1.연간시수표'!AJ69,$BL$9),COUNTIF('1.연간시수표'!AJ69,$BL$7),COUNTIF('1.연간시수표'!AJ69,$BM$9),COUNTIF('1.연간시수표'!AJ69,$BM$7)),$BF$6,IF(OR(COUNTIF('1.연간시수표'!AJ69,$BO$9),COUNTIF('1.연간시수표'!AJ69,$BO$7)),$BO$6,IF(OR(COUNTIF('1.연간시수표'!AJ69,$BP$9),COUNTIF('1.연간시수표'!AJ69,$BP$7)),$BP$6,IF(OR(COUNTIF('1.연간시수표'!AJ69,$BQ$9),COUNTIF('1.연간시수표'!AJ69,$BQ$7)),$BQ$6,IF(OR(COUNTIF('1.연간시수표'!AJ69,$BR$9),COUNTIF('1.연간시수표'!AJ69,$BR$7)),$BR$6,"_")))))))))))))))</f>
        <v>_</v>
      </c>
      <c r="AK69" s="148" t="str">
        <f>IF(OR(COUNTIF('1.연간시수표'!AK69,$AT$9),COUNTIF('1.연간시수표'!AK69,$AT$7)),$AT$6,IF(OR(COUNTIF('1.연간시수표'!AK69,$AU$9),COUNTIF('1.연간시수표'!AK69,$AU$7)),$AU$6,IF(OR(COUNTIF('1.연간시수표'!AK69,$AV$9),COUNTIF('1.연간시수표'!AK69,$AV$7)),$AV$6,IF(OR(COUNTIF('1.연간시수표'!AK69,$AW$9),COUNTIF('1.연간시수표'!AK69,$AW$7)),$AW$6,IF(OR(COUNTIF('1.연간시수표'!AK69,$AX$9),COUNTIF('1.연간시수표'!AK69,$AX$7)),$AX$6,IF(OR(COUNTIF('1.연간시수표'!AK69,$AY$9),COUNTIF('1.연간시수표'!AK69,$AY$7)),$AY$6,IF(OR(COUNTIF('1.연간시수표'!AK69,$AZ$9),COUNTIF('1.연간시수표'!AK69,$AZ$7)),$AZ$6,IF(OR(COUNTIF('1.연간시수표'!AK69,$BA$9),COUNTIF('1.연간시수표'!AK69,$BA$7)),$BA$6,IF(OR(COUNTIF('1.연간시수표'!AK69,$BB$9),COUNTIF('1.연간시수표'!AK69,$BB$7)),$BB$6,IF(OR(COUNTIF('1.연간시수표'!AK69,$BC$9),COUNTIF('1.연간시수표'!AK69,$BC$7)),$BC$6,IF(OR(COUNTIF('1.연간시수표'!AK69,$BF$9),COUNTIF('1.연간시수표'!AK69,$BF$7),COUNTIF('1.연간시수표'!AK69,$BG$9),COUNTIF('1.연간시수표'!AK69,$BG$7),COUNTIF('1.연간시수표'!AK69,$BH$9),COUNTIF('1.연간시수표'!AK69,$BH$7),COUNTIF('1.연간시수표'!AK69,$BI$9),COUNTIF('1.연간시수표'!AK69,$BI$7),COUNTIF('1.연간시수표'!AK69,$BJ$9),COUNTIF('1.연간시수표'!AK69,$BJ$7),COUNTIF('1.연간시수표'!AK69,$BK$9),COUNTIF('1.연간시수표'!AK69,$BK$7),COUNTIF('1.연간시수표'!AK69,$BL$9),COUNTIF('1.연간시수표'!AK69,$BL$7),COUNTIF('1.연간시수표'!AK69,$BM$9),COUNTIF('1.연간시수표'!AK69,$BM$7)),$BF$6,IF(OR(COUNTIF('1.연간시수표'!AK69,$BO$9),COUNTIF('1.연간시수표'!AK69,$BO$7)),$BO$6,IF(OR(COUNTIF('1.연간시수표'!AK69,$BP$9),COUNTIF('1.연간시수표'!AK69,$BP$7)),$BP$6,IF(OR(COUNTIF('1.연간시수표'!AK69,$BQ$9),COUNTIF('1.연간시수표'!AK69,$BQ$7)),$BQ$6,IF(OR(COUNTIF('1.연간시수표'!AK69,$BR$9),COUNTIF('1.연간시수표'!AK69,$BR$7)),$BR$6,"_")))))))))))))))</f>
        <v>_</v>
      </c>
      <c r="AL69" s="148" t="str">
        <f>IF(OR(COUNTIF('1.연간시수표'!AL69,$AT$9),COUNTIF('1.연간시수표'!AL69,$AT$7)),$AT$6,IF(OR(COUNTIF('1.연간시수표'!AL69,$AU$9),COUNTIF('1.연간시수표'!AL69,$AU$7)),$AU$6,IF(OR(COUNTIF('1.연간시수표'!AL69,$AV$9),COUNTIF('1.연간시수표'!AL69,$AV$7)),$AV$6,IF(OR(COUNTIF('1.연간시수표'!AL69,$AW$9),COUNTIF('1.연간시수표'!AL69,$AW$7)),$AW$6,IF(OR(COUNTIF('1.연간시수표'!AL69,$AX$9),COUNTIF('1.연간시수표'!AL69,$AX$7)),$AX$6,IF(OR(COUNTIF('1.연간시수표'!AL69,$AY$9),COUNTIF('1.연간시수표'!AL69,$AY$7)),$AY$6,IF(OR(COUNTIF('1.연간시수표'!AL69,$AZ$9),COUNTIF('1.연간시수표'!AL69,$AZ$7)),$AZ$6,IF(OR(COUNTIF('1.연간시수표'!AL69,$BA$9),COUNTIF('1.연간시수표'!AL69,$BA$7)),$BA$6,IF(OR(COUNTIF('1.연간시수표'!AL69,$BB$9),COUNTIF('1.연간시수표'!AL69,$BB$7)),$BB$6,IF(OR(COUNTIF('1.연간시수표'!AL69,$BC$9),COUNTIF('1.연간시수표'!AL69,$BC$7)),$BC$6,IF(OR(COUNTIF('1.연간시수표'!AL69,$BF$9),COUNTIF('1.연간시수표'!AL69,$BF$7),COUNTIF('1.연간시수표'!AL69,$BG$9),COUNTIF('1.연간시수표'!AL69,$BG$7),COUNTIF('1.연간시수표'!AL69,$BH$9),COUNTIF('1.연간시수표'!AL69,$BH$7),COUNTIF('1.연간시수표'!AL69,$BI$9),COUNTIF('1.연간시수표'!AL69,$BI$7),COUNTIF('1.연간시수표'!AL69,$BJ$9),COUNTIF('1.연간시수표'!AL69,$BJ$7),COUNTIF('1.연간시수표'!AL69,$BK$9),COUNTIF('1.연간시수표'!AL69,$BK$7),COUNTIF('1.연간시수표'!AL69,$BL$9),COUNTIF('1.연간시수표'!AL69,$BL$7),COUNTIF('1.연간시수표'!AL69,$BM$9),COUNTIF('1.연간시수표'!AL69,$BM$7)),$BF$6,IF(OR(COUNTIF('1.연간시수표'!AL69,$BO$9),COUNTIF('1.연간시수표'!AL69,$BO$7)),$BO$6,IF(OR(COUNTIF('1.연간시수표'!AL69,$BP$9),COUNTIF('1.연간시수표'!AL69,$BP$7)),$BP$6,IF(OR(COUNTIF('1.연간시수표'!AL69,$BQ$9),COUNTIF('1.연간시수표'!AL69,$BQ$7)),$BQ$6,IF(OR(COUNTIF('1.연간시수표'!AL69,$BR$9),COUNTIF('1.연간시수표'!AL69,$BR$7)),$BR$6,"_")))))))))))))))</f>
        <v>_</v>
      </c>
      <c r="AM69" s="148" t="str">
        <f>IF(OR(COUNTIF('1.연간시수표'!AM69,$AT$9),COUNTIF('1.연간시수표'!AM69,$AT$7)),$AT$6,IF(OR(COUNTIF('1.연간시수표'!AM69,$AU$9),COUNTIF('1.연간시수표'!AM69,$AU$7)),$AU$6,IF(OR(COUNTIF('1.연간시수표'!AM69,$AV$9),COUNTIF('1.연간시수표'!AM69,$AV$7)),$AV$6,IF(OR(COUNTIF('1.연간시수표'!AM69,$AW$9),COUNTIF('1.연간시수표'!AM69,$AW$7)),$AW$6,IF(OR(COUNTIF('1.연간시수표'!AM69,$AX$9),COUNTIF('1.연간시수표'!AM69,$AX$7)),$AX$6,IF(OR(COUNTIF('1.연간시수표'!AM69,$AY$9),COUNTIF('1.연간시수표'!AM69,$AY$7)),$AY$6,IF(OR(COUNTIF('1.연간시수표'!AM69,$AZ$9),COUNTIF('1.연간시수표'!AM69,$AZ$7)),$AZ$6,IF(OR(COUNTIF('1.연간시수표'!AM69,$BA$9),COUNTIF('1.연간시수표'!AM69,$BA$7)),$BA$6,IF(OR(COUNTIF('1.연간시수표'!AM69,$BB$9),COUNTIF('1.연간시수표'!AM69,$BB$7)),$BB$6,IF(OR(COUNTIF('1.연간시수표'!AM69,$BC$9),COUNTIF('1.연간시수표'!AM69,$BC$7)),$BC$6,IF(OR(COUNTIF('1.연간시수표'!AM69,$BF$9),COUNTIF('1.연간시수표'!AM69,$BF$7),COUNTIF('1.연간시수표'!AM69,$BG$9),COUNTIF('1.연간시수표'!AM69,$BG$7),COUNTIF('1.연간시수표'!AM69,$BH$9),COUNTIF('1.연간시수표'!AM69,$BH$7),COUNTIF('1.연간시수표'!AM69,$BI$9),COUNTIF('1.연간시수표'!AM69,$BI$7),COUNTIF('1.연간시수표'!AM69,$BJ$9),COUNTIF('1.연간시수표'!AM69,$BJ$7),COUNTIF('1.연간시수표'!AM69,$BK$9),COUNTIF('1.연간시수표'!AM69,$BK$7),COUNTIF('1.연간시수표'!AM69,$BL$9),COUNTIF('1.연간시수표'!AM69,$BL$7),COUNTIF('1.연간시수표'!AM69,$BM$9),COUNTIF('1.연간시수표'!AM69,$BM$7)),$BF$6,IF(OR(COUNTIF('1.연간시수표'!AM69,$BO$9),COUNTIF('1.연간시수표'!AM69,$BO$7)),$BO$6,IF(OR(COUNTIF('1.연간시수표'!AM69,$BP$9),COUNTIF('1.연간시수표'!AM69,$BP$7)),$BP$6,IF(OR(COUNTIF('1.연간시수표'!AM69,$BQ$9),COUNTIF('1.연간시수표'!AM69,$BQ$7)),$BQ$6,IF(OR(COUNTIF('1.연간시수표'!AM69,$BR$9),COUNTIF('1.연간시수표'!AM69,$BR$7)),$BR$6,"_")))))))))))))))</f>
        <v>_</v>
      </c>
      <c r="AN69" s="148" t="str">
        <f>IF(OR(COUNTIF('1.연간시수표'!AN69,$AT$9),COUNTIF('1.연간시수표'!AN69,$AT$7)),$AT$6,IF(OR(COUNTIF('1.연간시수표'!AN69,$AU$9),COUNTIF('1.연간시수표'!AN69,$AU$7)),$AU$6,IF(OR(COUNTIF('1.연간시수표'!AN69,$AV$9),COUNTIF('1.연간시수표'!AN69,$AV$7)),$AV$6,IF(OR(COUNTIF('1.연간시수표'!AN69,$AW$9),COUNTIF('1.연간시수표'!AN69,$AW$7)),$AW$6,IF(OR(COUNTIF('1.연간시수표'!AN69,$AX$9),COUNTIF('1.연간시수표'!AN69,$AX$7)),$AX$6,IF(OR(COUNTIF('1.연간시수표'!AN69,$AY$9),COUNTIF('1.연간시수표'!AN69,$AY$7)),$AY$6,IF(OR(COUNTIF('1.연간시수표'!AN69,$AZ$9),COUNTIF('1.연간시수표'!AN69,$AZ$7)),$AZ$6,IF(OR(COUNTIF('1.연간시수표'!AN69,$BA$9),COUNTIF('1.연간시수표'!AN69,$BA$7)),$BA$6,IF(OR(COUNTIF('1.연간시수표'!AN69,$BB$9),COUNTIF('1.연간시수표'!AN69,$BB$7)),$BB$6,IF(OR(COUNTIF('1.연간시수표'!AN69,$BC$9),COUNTIF('1.연간시수표'!AN69,$BC$7)),$BC$6,IF(OR(COUNTIF('1.연간시수표'!AN69,$BF$9),COUNTIF('1.연간시수표'!AN69,$BF$7),COUNTIF('1.연간시수표'!AN69,$BG$9),COUNTIF('1.연간시수표'!AN69,$BG$7),COUNTIF('1.연간시수표'!AN69,$BH$9),COUNTIF('1.연간시수표'!AN69,$BH$7),COUNTIF('1.연간시수표'!AN69,$BI$9),COUNTIF('1.연간시수표'!AN69,$BI$7),COUNTIF('1.연간시수표'!AN69,$BJ$9),COUNTIF('1.연간시수표'!AN69,$BJ$7),COUNTIF('1.연간시수표'!AN69,$BK$9),COUNTIF('1.연간시수표'!AN69,$BK$7),COUNTIF('1.연간시수표'!AN69,$BL$9),COUNTIF('1.연간시수표'!AN69,$BL$7),COUNTIF('1.연간시수표'!AN69,$BM$9),COUNTIF('1.연간시수표'!AN69,$BM$7)),$BF$6,IF(OR(COUNTIF('1.연간시수표'!AN69,$BO$9),COUNTIF('1.연간시수표'!AN69,$BO$7)),$BO$6,IF(OR(COUNTIF('1.연간시수표'!AN69,$BP$9),COUNTIF('1.연간시수표'!AN69,$BP$7)),$BP$6,IF(OR(COUNTIF('1.연간시수표'!AN69,$BQ$9),COUNTIF('1.연간시수표'!AN69,$BQ$7)),$BQ$6,IF(OR(COUNTIF('1.연간시수표'!AN69,$BR$9),COUNTIF('1.연간시수표'!AN69,$BR$7)),$BR$6,"_")))))))))))))))</f>
        <v>_</v>
      </c>
      <c r="AO69" s="148" t="str">
        <f>IF(OR(COUNTIF('1.연간시수표'!AO69,$AT$9),COUNTIF('1.연간시수표'!AO69,$AT$7)),$AT$6,IF(OR(COUNTIF('1.연간시수표'!AO69,$AU$9),COUNTIF('1.연간시수표'!AO69,$AU$7)),$AU$6,IF(OR(COUNTIF('1.연간시수표'!AO69,$AV$9),COUNTIF('1.연간시수표'!AO69,$AV$7)),$AV$6,IF(OR(COUNTIF('1.연간시수표'!AO69,$AW$9),COUNTIF('1.연간시수표'!AO69,$AW$7)),$AW$6,IF(OR(COUNTIF('1.연간시수표'!AO69,$AX$9),COUNTIF('1.연간시수표'!AO69,$AX$7)),$AX$6,IF(OR(COUNTIF('1.연간시수표'!AO69,$AY$9),COUNTIF('1.연간시수표'!AO69,$AY$7)),$AY$6,IF(OR(COUNTIF('1.연간시수표'!AO69,$AZ$9),COUNTIF('1.연간시수표'!AO69,$AZ$7)),$AZ$6,IF(OR(COUNTIF('1.연간시수표'!AO69,$BA$9),COUNTIF('1.연간시수표'!AO69,$BA$7)),$BA$6,IF(OR(COUNTIF('1.연간시수표'!AO69,$BB$9),COUNTIF('1.연간시수표'!AO69,$BB$7)),$BB$6,IF(OR(COUNTIF('1.연간시수표'!AO69,$BC$9),COUNTIF('1.연간시수표'!AO69,$BC$7)),$BC$6,IF(OR(COUNTIF('1.연간시수표'!AO69,$BF$9),COUNTIF('1.연간시수표'!AO69,$BF$7),COUNTIF('1.연간시수표'!AO69,$BG$9),COUNTIF('1.연간시수표'!AO69,$BG$7),COUNTIF('1.연간시수표'!AO69,$BH$9),COUNTIF('1.연간시수표'!AO69,$BH$7),COUNTIF('1.연간시수표'!AO69,$BI$9),COUNTIF('1.연간시수표'!AO69,$BI$7),COUNTIF('1.연간시수표'!AO69,$BJ$9),COUNTIF('1.연간시수표'!AO69,$BJ$7),COUNTIF('1.연간시수표'!AO69,$BK$9),COUNTIF('1.연간시수표'!AO69,$BK$7),COUNTIF('1.연간시수표'!AO69,$BL$9),COUNTIF('1.연간시수표'!AO69,$BL$7),COUNTIF('1.연간시수표'!AO69,$BM$9),COUNTIF('1.연간시수표'!AO69,$BM$7)),$BF$6,IF(OR(COUNTIF('1.연간시수표'!AO69,$BO$9),COUNTIF('1.연간시수표'!AO69,$BO$7)),$BO$6,IF(OR(COUNTIF('1.연간시수표'!AO69,$BP$9),COUNTIF('1.연간시수표'!AO69,$BP$7)),$BP$6,IF(OR(COUNTIF('1.연간시수표'!AO69,$BQ$9),COUNTIF('1.연간시수표'!AO69,$BQ$7)),$BQ$6,IF(OR(COUNTIF('1.연간시수표'!AO69,$BR$9),COUNTIF('1.연간시수표'!AO69,$BR$7)),$BR$6,"_")))))))))))))))</f>
        <v>_</v>
      </c>
      <c r="AP69" s="148" t="str">
        <f>IF(OR(COUNTIF('1.연간시수표'!AP69,$AT$9),COUNTIF('1.연간시수표'!AP69,$AT$7)),$AT$6,IF(OR(COUNTIF('1.연간시수표'!AP69,$AU$9),COUNTIF('1.연간시수표'!AP69,$AU$7)),$AU$6,IF(OR(COUNTIF('1.연간시수표'!AP69,$AV$9),COUNTIF('1.연간시수표'!AP69,$AV$7)),$AV$6,IF(OR(COUNTIF('1.연간시수표'!AP69,$AW$9),COUNTIF('1.연간시수표'!AP69,$AW$7)),$AW$6,IF(OR(COUNTIF('1.연간시수표'!AP69,$AX$9),COUNTIF('1.연간시수표'!AP69,$AX$7)),$AX$6,IF(OR(COUNTIF('1.연간시수표'!AP69,$AY$9),COUNTIF('1.연간시수표'!AP69,$AY$7)),$AY$6,IF(OR(COUNTIF('1.연간시수표'!AP69,$AZ$9),COUNTIF('1.연간시수표'!AP69,$AZ$7)),$AZ$6,IF(OR(COUNTIF('1.연간시수표'!AP69,$BA$9),COUNTIF('1.연간시수표'!AP69,$BA$7)),$BA$6,IF(OR(COUNTIF('1.연간시수표'!AP69,$BB$9),COUNTIF('1.연간시수표'!AP69,$BB$7)),$BB$6,IF(OR(COUNTIF('1.연간시수표'!AP69,$BC$9),COUNTIF('1.연간시수표'!AP69,$BC$7)),$BC$6,IF(OR(COUNTIF('1.연간시수표'!AP69,$BF$9),COUNTIF('1.연간시수표'!AP69,$BF$7),COUNTIF('1.연간시수표'!AP69,$BG$9),COUNTIF('1.연간시수표'!AP69,$BG$7),COUNTIF('1.연간시수표'!AP69,$BH$9),COUNTIF('1.연간시수표'!AP69,$BH$7),COUNTIF('1.연간시수표'!AP69,$BI$9),COUNTIF('1.연간시수표'!AP69,$BI$7),COUNTIF('1.연간시수표'!AP69,$BJ$9),COUNTIF('1.연간시수표'!AP69,$BJ$7),COUNTIF('1.연간시수표'!AP69,$BK$9),COUNTIF('1.연간시수표'!AP69,$BK$7),COUNTIF('1.연간시수표'!AP69,$BL$9),COUNTIF('1.연간시수표'!AP69,$BL$7),COUNTIF('1.연간시수표'!AP69,$BM$9),COUNTIF('1.연간시수표'!AP69,$BM$7)),$BF$6,IF(OR(COUNTIF('1.연간시수표'!AP69,$BO$9),COUNTIF('1.연간시수표'!AP69,$BO$7)),$BO$6,IF(OR(COUNTIF('1.연간시수표'!AP69,$BP$9),COUNTIF('1.연간시수표'!AP69,$BP$7)),$BP$6,IF(OR(COUNTIF('1.연간시수표'!AP69,$BQ$9),COUNTIF('1.연간시수표'!AP69,$BQ$7)),$BQ$6,IF(OR(COUNTIF('1.연간시수표'!AP69,$BR$9),COUNTIF('1.연간시수표'!AP69,$BR$7)),$BR$6,"_")))))))))))))))</f>
        <v>_</v>
      </c>
      <c r="AQ69" s="148" t="str">
        <f>IF(OR(COUNTIF('1.연간시수표'!AQ69,$AT$9),COUNTIF('1.연간시수표'!AQ69,$AT$7)),$AT$6,IF(OR(COUNTIF('1.연간시수표'!AQ69,$AU$9),COUNTIF('1.연간시수표'!AQ69,$AU$7)),$AU$6,IF(OR(COUNTIF('1.연간시수표'!AQ69,$AV$9),COUNTIF('1.연간시수표'!AQ69,$AV$7)),$AV$6,IF(OR(COUNTIF('1.연간시수표'!AQ69,$AW$9),COUNTIF('1.연간시수표'!AQ69,$AW$7)),$AW$6,IF(OR(COUNTIF('1.연간시수표'!AQ69,$AX$9),COUNTIF('1.연간시수표'!AQ69,$AX$7)),$AX$6,IF(OR(COUNTIF('1.연간시수표'!AQ69,$AY$9),COUNTIF('1.연간시수표'!AQ69,$AY$7)),$AY$6,IF(OR(COUNTIF('1.연간시수표'!AQ69,$AZ$9),COUNTIF('1.연간시수표'!AQ69,$AZ$7)),$AZ$6,IF(OR(COUNTIF('1.연간시수표'!AQ69,$BA$9),COUNTIF('1.연간시수표'!AQ69,$BA$7)),$BA$6,IF(OR(COUNTIF('1.연간시수표'!AQ69,$BB$9),COUNTIF('1.연간시수표'!AQ69,$BB$7)),$BB$6,IF(OR(COUNTIF('1.연간시수표'!AQ69,$BC$9),COUNTIF('1.연간시수표'!AQ69,$BC$7)),$BC$6,IF(OR(COUNTIF('1.연간시수표'!AQ69,$BF$9),COUNTIF('1.연간시수표'!AQ69,$BF$7),COUNTIF('1.연간시수표'!AQ69,$BG$9),COUNTIF('1.연간시수표'!AQ69,$BG$7),COUNTIF('1.연간시수표'!AQ69,$BH$9),COUNTIF('1.연간시수표'!AQ69,$BH$7),COUNTIF('1.연간시수표'!AQ69,$BI$9),COUNTIF('1.연간시수표'!AQ69,$BI$7),COUNTIF('1.연간시수표'!AQ69,$BJ$9),COUNTIF('1.연간시수표'!AQ69,$BJ$7),COUNTIF('1.연간시수표'!AQ69,$BK$9),COUNTIF('1.연간시수표'!AQ69,$BK$7),COUNTIF('1.연간시수표'!AQ69,$BL$9),COUNTIF('1.연간시수표'!AQ69,$BL$7),COUNTIF('1.연간시수표'!AQ69,$BM$9),COUNTIF('1.연간시수표'!AQ69,$BM$7)),$BF$6,IF(OR(COUNTIF('1.연간시수표'!AQ69,$BO$9),COUNTIF('1.연간시수표'!AQ69,$BO$7)),$BO$6,IF(OR(COUNTIF('1.연간시수표'!AQ69,$BP$9),COUNTIF('1.연간시수표'!AQ69,$BP$7)),$BP$6,IF(OR(COUNTIF('1.연간시수표'!AQ69,$BQ$9),COUNTIF('1.연간시수표'!AQ69,$BQ$7)),$BQ$6,IF(OR(COUNTIF('1.연간시수표'!AQ69,$BR$9),COUNTIF('1.연간시수표'!AQ69,$BR$7)),$BR$6,"_")))))))))))))))</f>
        <v>_</v>
      </c>
      <c r="AR69" s="148" t="str">
        <f>IF(OR(COUNTIF('1.연간시수표'!AR69,$AT$9),COUNTIF('1.연간시수표'!AR69,$AT$7)),$AT$6,IF(OR(COUNTIF('1.연간시수표'!AR69,$AU$9),COUNTIF('1.연간시수표'!AR69,$AU$7)),$AU$6,IF(OR(COUNTIF('1.연간시수표'!AR69,$AV$9),COUNTIF('1.연간시수표'!AR69,$AV$7)),$AV$6,IF(OR(COUNTIF('1.연간시수표'!AR69,$AW$9),COUNTIF('1.연간시수표'!AR69,$AW$7)),$AW$6,IF(OR(COUNTIF('1.연간시수표'!AR69,$AX$9),COUNTIF('1.연간시수표'!AR69,$AX$7)),$AX$6,IF(OR(COUNTIF('1.연간시수표'!AR69,$AY$9),COUNTIF('1.연간시수표'!AR69,$AY$7)),$AY$6,IF(OR(COUNTIF('1.연간시수표'!AR69,$AZ$9),COUNTIF('1.연간시수표'!AR69,$AZ$7)),$AZ$6,IF(OR(COUNTIF('1.연간시수표'!AR69,$BA$9),COUNTIF('1.연간시수표'!AR69,$BA$7)),$BA$6,IF(OR(COUNTIF('1.연간시수표'!AR69,$BB$9),COUNTIF('1.연간시수표'!AR69,$BB$7)),$BB$6,IF(OR(COUNTIF('1.연간시수표'!AR69,$BC$9),COUNTIF('1.연간시수표'!AR69,$BC$7)),$BC$6,IF(OR(COUNTIF('1.연간시수표'!AR69,$BF$9),COUNTIF('1.연간시수표'!AR69,$BF$7),COUNTIF('1.연간시수표'!AR69,$BG$9),COUNTIF('1.연간시수표'!AR69,$BG$7),COUNTIF('1.연간시수표'!AR69,$BH$9),COUNTIF('1.연간시수표'!AR69,$BH$7),COUNTIF('1.연간시수표'!AR69,$BI$9),COUNTIF('1.연간시수표'!AR69,$BI$7),COUNTIF('1.연간시수표'!AR69,$BJ$9),COUNTIF('1.연간시수표'!AR69,$BJ$7),COUNTIF('1.연간시수표'!AR69,$BK$9),COUNTIF('1.연간시수표'!AR69,$BK$7),COUNTIF('1.연간시수표'!AR69,$BL$9),COUNTIF('1.연간시수표'!AR69,$BL$7),COUNTIF('1.연간시수표'!AR69,$BM$9),COUNTIF('1.연간시수표'!AR69,$BM$7)),$BF$6,IF(OR(COUNTIF('1.연간시수표'!AR69,$BO$9),COUNTIF('1.연간시수표'!AR69,$BO$7)),$BO$6,IF(OR(COUNTIF('1.연간시수표'!AR69,$BP$9),COUNTIF('1.연간시수표'!AR69,$BP$7)),$BP$6,IF(OR(COUNTIF('1.연간시수표'!AR69,$BQ$9),COUNTIF('1.연간시수표'!AR69,$BQ$7)),$BQ$6,IF(OR(COUNTIF('1.연간시수표'!AR69,$BR$9),COUNTIF('1.연간시수표'!AR69,$BR$7)),$BR$6,"_")))))))))))))))</f>
        <v>_</v>
      </c>
    </row>
    <row r="70" spans="2:44">
      <c r="B70" s="6"/>
      <c r="C70" s="79">
        <f>'1.연간시수표'!C70</f>
        <v>39</v>
      </c>
      <c r="D70" s="3"/>
      <c r="E70" s="148" t="str">
        <f>IF(OR(COUNTIF('1.연간시수표'!E70,$AT$9),COUNTIF('1.연간시수표'!E70,$AT$7)),$AT$6,IF(OR(COUNTIF('1.연간시수표'!E70,$AU$9),COUNTIF('1.연간시수표'!E70,$AU$7)),$AU$6,IF(OR(COUNTIF('1.연간시수표'!E70,$AV$9),COUNTIF('1.연간시수표'!E70,$AV$7)),$AV$6,IF(OR(COUNTIF('1.연간시수표'!E70,$AW$9),COUNTIF('1.연간시수표'!E70,$AW$7)),$AW$6,IF(OR(COUNTIF('1.연간시수표'!E70,$AX$9),COUNTIF('1.연간시수표'!E70,$AX$7)),$AX$6,IF(OR(COUNTIF('1.연간시수표'!E70,$AY$9),COUNTIF('1.연간시수표'!E70,$AY$7)),$AY$6,IF(OR(COUNTIF('1.연간시수표'!E70,$AZ$9),COUNTIF('1.연간시수표'!E70,$AZ$7)),$AZ$6,IF(OR(COUNTIF('1.연간시수표'!E70,$BA$9),COUNTIF('1.연간시수표'!E70,$BA$7)),$BA$6,IF(OR(COUNTIF('1.연간시수표'!E70,$BB$9),COUNTIF('1.연간시수표'!E70,$BB$7)),$BB$6,IF(OR(COUNTIF('1.연간시수표'!E70,$BC$9),COUNTIF('1.연간시수표'!E70,$BC$7)),$BC$6,IF(OR(COUNTIF('1.연간시수표'!E70,$BF$9),COUNTIF('1.연간시수표'!E70,$BF$7),COUNTIF('1.연간시수표'!E70,$BG$9),COUNTIF('1.연간시수표'!E70,$BG$7),COUNTIF('1.연간시수표'!E70,$BH$9),COUNTIF('1.연간시수표'!E70,$BH$7),COUNTIF('1.연간시수표'!E70,$BI$9),COUNTIF('1.연간시수표'!E70,$BI$7),COUNTIF('1.연간시수표'!E70,$BJ$9),COUNTIF('1.연간시수표'!E70,$BJ$7),COUNTIF('1.연간시수표'!E70,$BK$9),COUNTIF('1.연간시수표'!E70,$BK$7),COUNTIF('1.연간시수표'!E70,$BL$9),COUNTIF('1.연간시수표'!E70,$BL$7),COUNTIF('1.연간시수표'!E70,$BM$9),COUNTIF('1.연간시수표'!E70,$BM$7)),$BF$6,IF(OR(COUNTIF('1.연간시수표'!E70,$BO$9),COUNTIF('1.연간시수표'!E70,$BO$7)),$BO$6,IF(OR(COUNTIF('1.연간시수표'!E70,$BP$9),COUNTIF('1.연간시수표'!E70,$BP$7)),$BP$6,IF(OR(COUNTIF('1.연간시수표'!E70,$BQ$9),COUNTIF('1.연간시수표'!E70,$BQ$7)),$BQ$6,IF(OR(COUNTIF('1.연간시수표'!E70,$BR$9),COUNTIF('1.연간시수표'!E70,$BR$7)),$BR$6,"_")))))))))))))))</f>
        <v>_</v>
      </c>
      <c r="F70" s="148" t="str">
        <f>IF(OR(COUNTIF('1.연간시수표'!F70,$AT$9),COUNTIF('1.연간시수표'!F70,$AT$7)),$AT$6,IF(OR(COUNTIF('1.연간시수표'!F70,$AU$9),COUNTIF('1.연간시수표'!F70,$AU$7)),$AU$6,IF(OR(COUNTIF('1.연간시수표'!F70,$AV$9),COUNTIF('1.연간시수표'!F70,$AV$7)),$AV$6,IF(OR(COUNTIF('1.연간시수표'!F70,$AW$9),COUNTIF('1.연간시수표'!F70,$AW$7)),$AW$6,IF(OR(COUNTIF('1.연간시수표'!F70,$AX$9),COUNTIF('1.연간시수표'!F70,$AX$7)),$AX$6,IF(OR(COUNTIF('1.연간시수표'!F70,$AY$9),COUNTIF('1.연간시수표'!F70,$AY$7)),$AY$6,IF(OR(COUNTIF('1.연간시수표'!F70,$AZ$9),COUNTIF('1.연간시수표'!F70,$AZ$7)),$AZ$6,IF(OR(COUNTIF('1.연간시수표'!F70,$BA$9),COUNTIF('1.연간시수표'!F70,$BA$7)),$BA$6,IF(OR(COUNTIF('1.연간시수표'!F70,$BB$9),COUNTIF('1.연간시수표'!F70,$BB$7)),$BB$6,IF(OR(COUNTIF('1.연간시수표'!F70,$BC$9),COUNTIF('1.연간시수표'!F70,$BC$7)),$BC$6,IF(OR(COUNTIF('1.연간시수표'!F70,$BF$9),COUNTIF('1.연간시수표'!F70,$BF$7),COUNTIF('1.연간시수표'!F70,$BG$9),COUNTIF('1.연간시수표'!F70,$BG$7),COUNTIF('1.연간시수표'!F70,$BH$9),COUNTIF('1.연간시수표'!F70,$BH$7),COUNTIF('1.연간시수표'!F70,$BI$9),COUNTIF('1.연간시수표'!F70,$BI$7),COUNTIF('1.연간시수표'!F70,$BJ$9),COUNTIF('1.연간시수표'!F70,$BJ$7),COUNTIF('1.연간시수표'!F70,$BK$9),COUNTIF('1.연간시수표'!F70,$BK$7),COUNTIF('1.연간시수표'!F70,$BL$9),COUNTIF('1.연간시수표'!F70,$BL$7),COUNTIF('1.연간시수표'!F70,$BM$9),COUNTIF('1.연간시수표'!F70,$BM$7)),$BF$6,IF(OR(COUNTIF('1.연간시수표'!F70,$BO$9),COUNTIF('1.연간시수표'!F70,$BO$7)),$BO$6,IF(OR(COUNTIF('1.연간시수표'!F70,$BP$9),COUNTIF('1.연간시수표'!F70,$BP$7)),$BP$6,IF(OR(COUNTIF('1.연간시수표'!F70,$BQ$9),COUNTIF('1.연간시수표'!F70,$BQ$7)),$BQ$6,IF(OR(COUNTIF('1.연간시수표'!F70,$BR$9),COUNTIF('1.연간시수표'!F70,$BR$7)),$BR$6,"_")))))))))))))))</f>
        <v>_</v>
      </c>
      <c r="G70" s="148" t="str">
        <f>IF(OR(COUNTIF('1.연간시수표'!G70,$AT$9),COUNTIF('1.연간시수표'!G70,$AT$7)),$AT$6,IF(OR(COUNTIF('1.연간시수표'!G70,$AU$9),COUNTIF('1.연간시수표'!G70,$AU$7)),$AU$6,IF(OR(COUNTIF('1.연간시수표'!G70,$AV$9),COUNTIF('1.연간시수표'!G70,$AV$7)),$AV$6,IF(OR(COUNTIF('1.연간시수표'!G70,$AW$9),COUNTIF('1.연간시수표'!G70,$AW$7)),$AW$6,IF(OR(COUNTIF('1.연간시수표'!G70,$AX$9),COUNTIF('1.연간시수표'!G70,$AX$7)),$AX$6,IF(OR(COUNTIF('1.연간시수표'!G70,$AY$9),COUNTIF('1.연간시수표'!G70,$AY$7)),$AY$6,IF(OR(COUNTIF('1.연간시수표'!G70,$AZ$9),COUNTIF('1.연간시수표'!G70,$AZ$7)),$AZ$6,IF(OR(COUNTIF('1.연간시수표'!G70,$BA$9),COUNTIF('1.연간시수표'!G70,$BA$7)),$BA$6,IF(OR(COUNTIF('1.연간시수표'!G70,$BB$9),COUNTIF('1.연간시수표'!G70,$BB$7)),$BB$6,IF(OR(COUNTIF('1.연간시수표'!G70,$BC$9),COUNTIF('1.연간시수표'!G70,$BC$7)),$BC$6,IF(OR(COUNTIF('1.연간시수표'!G70,$BF$9),COUNTIF('1.연간시수표'!G70,$BF$7),COUNTIF('1.연간시수표'!G70,$BG$9),COUNTIF('1.연간시수표'!G70,$BG$7),COUNTIF('1.연간시수표'!G70,$BH$9),COUNTIF('1.연간시수표'!G70,$BH$7),COUNTIF('1.연간시수표'!G70,$BI$9),COUNTIF('1.연간시수표'!G70,$BI$7),COUNTIF('1.연간시수표'!G70,$BJ$9),COUNTIF('1.연간시수표'!G70,$BJ$7),COUNTIF('1.연간시수표'!G70,$BK$9),COUNTIF('1.연간시수표'!G70,$BK$7),COUNTIF('1.연간시수표'!G70,$BL$9),COUNTIF('1.연간시수표'!G70,$BL$7),COUNTIF('1.연간시수표'!G70,$BM$9),COUNTIF('1.연간시수표'!G70,$BM$7)),$BF$6,IF(OR(COUNTIF('1.연간시수표'!G70,$BO$9),COUNTIF('1.연간시수표'!G70,$BO$7)),$BO$6,IF(OR(COUNTIF('1.연간시수표'!G70,$BP$9),COUNTIF('1.연간시수표'!G70,$BP$7)),$BP$6,IF(OR(COUNTIF('1.연간시수표'!G70,$BQ$9),COUNTIF('1.연간시수표'!G70,$BQ$7)),$BQ$6,IF(OR(COUNTIF('1.연간시수표'!G70,$BR$9),COUNTIF('1.연간시수표'!G70,$BR$7)),$BR$6,"_")))))))))))))))</f>
        <v>_</v>
      </c>
      <c r="H70" s="148" t="str">
        <f>IF(OR(COUNTIF('1.연간시수표'!H70,$AT$9),COUNTIF('1.연간시수표'!H70,$AT$7)),$AT$6,IF(OR(COUNTIF('1.연간시수표'!H70,$AU$9),COUNTIF('1.연간시수표'!H70,$AU$7)),$AU$6,IF(OR(COUNTIF('1.연간시수표'!H70,$AV$9),COUNTIF('1.연간시수표'!H70,$AV$7)),$AV$6,IF(OR(COUNTIF('1.연간시수표'!H70,$AW$9),COUNTIF('1.연간시수표'!H70,$AW$7)),$AW$6,IF(OR(COUNTIF('1.연간시수표'!H70,$AX$9),COUNTIF('1.연간시수표'!H70,$AX$7)),$AX$6,IF(OR(COUNTIF('1.연간시수표'!H70,$AY$9),COUNTIF('1.연간시수표'!H70,$AY$7)),$AY$6,IF(OR(COUNTIF('1.연간시수표'!H70,$AZ$9),COUNTIF('1.연간시수표'!H70,$AZ$7)),$AZ$6,IF(OR(COUNTIF('1.연간시수표'!H70,$BA$9),COUNTIF('1.연간시수표'!H70,$BA$7)),$BA$6,IF(OR(COUNTIF('1.연간시수표'!H70,$BB$9),COUNTIF('1.연간시수표'!H70,$BB$7)),$BB$6,IF(OR(COUNTIF('1.연간시수표'!H70,$BC$9),COUNTIF('1.연간시수표'!H70,$BC$7)),$BC$6,IF(OR(COUNTIF('1.연간시수표'!H70,$BF$9),COUNTIF('1.연간시수표'!H70,$BF$7),COUNTIF('1.연간시수표'!H70,$BG$9),COUNTIF('1.연간시수표'!H70,$BG$7),COUNTIF('1.연간시수표'!H70,$BH$9),COUNTIF('1.연간시수표'!H70,$BH$7),COUNTIF('1.연간시수표'!H70,$BI$9),COUNTIF('1.연간시수표'!H70,$BI$7),COUNTIF('1.연간시수표'!H70,$BJ$9),COUNTIF('1.연간시수표'!H70,$BJ$7),COUNTIF('1.연간시수표'!H70,$BK$9),COUNTIF('1.연간시수표'!H70,$BK$7),COUNTIF('1.연간시수표'!H70,$BL$9),COUNTIF('1.연간시수표'!H70,$BL$7),COUNTIF('1.연간시수표'!H70,$BM$9),COUNTIF('1.연간시수표'!H70,$BM$7)),$BF$6,IF(OR(COUNTIF('1.연간시수표'!H70,$BO$9),COUNTIF('1.연간시수표'!H70,$BO$7)),$BO$6,IF(OR(COUNTIF('1.연간시수표'!H70,$BP$9),COUNTIF('1.연간시수표'!H70,$BP$7)),$BP$6,IF(OR(COUNTIF('1.연간시수표'!H70,$BQ$9),COUNTIF('1.연간시수표'!H70,$BQ$7)),$BQ$6,IF(OR(COUNTIF('1.연간시수표'!H70,$BR$9),COUNTIF('1.연간시수표'!H70,$BR$7)),$BR$6,"_")))))))))))))))</f>
        <v>_</v>
      </c>
      <c r="I70" s="148" t="str">
        <f>IF(OR(COUNTIF('1.연간시수표'!I70,$AT$9),COUNTIF('1.연간시수표'!I70,$AT$7)),$AT$6,IF(OR(COUNTIF('1.연간시수표'!I70,$AU$9),COUNTIF('1.연간시수표'!I70,$AU$7)),$AU$6,IF(OR(COUNTIF('1.연간시수표'!I70,$AV$9),COUNTIF('1.연간시수표'!I70,$AV$7)),$AV$6,IF(OR(COUNTIF('1.연간시수표'!I70,$AW$9),COUNTIF('1.연간시수표'!I70,$AW$7)),$AW$6,IF(OR(COUNTIF('1.연간시수표'!I70,$AX$9),COUNTIF('1.연간시수표'!I70,$AX$7)),$AX$6,IF(OR(COUNTIF('1.연간시수표'!I70,$AY$9),COUNTIF('1.연간시수표'!I70,$AY$7)),$AY$6,IF(OR(COUNTIF('1.연간시수표'!I70,$AZ$9),COUNTIF('1.연간시수표'!I70,$AZ$7)),$AZ$6,IF(OR(COUNTIF('1.연간시수표'!I70,$BA$9),COUNTIF('1.연간시수표'!I70,$BA$7)),$BA$6,IF(OR(COUNTIF('1.연간시수표'!I70,$BB$9),COUNTIF('1.연간시수표'!I70,$BB$7)),$BB$6,IF(OR(COUNTIF('1.연간시수표'!I70,$BC$9),COUNTIF('1.연간시수표'!I70,$BC$7)),$BC$6,IF(OR(COUNTIF('1.연간시수표'!I70,$BF$9),COUNTIF('1.연간시수표'!I70,$BF$7),COUNTIF('1.연간시수표'!I70,$BG$9),COUNTIF('1.연간시수표'!I70,$BG$7),COUNTIF('1.연간시수표'!I70,$BH$9),COUNTIF('1.연간시수표'!I70,$BH$7),COUNTIF('1.연간시수표'!I70,$BI$9),COUNTIF('1.연간시수표'!I70,$BI$7),COUNTIF('1.연간시수표'!I70,$BJ$9),COUNTIF('1.연간시수표'!I70,$BJ$7),COUNTIF('1.연간시수표'!I70,$BK$9),COUNTIF('1.연간시수표'!I70,$BK$7),COUNTIF('1.연간시수표'!I70,$BL$9),COUNTIF('1.연간시수표'!I70,$BL$7),COUNTIF('1.연간시수표'!I70,$BM$9),COUNTIF('1.연간시수표'!I70,$BM$7)),$BF$6,IF(OR(COUNTIF('1.연간시수표'!I70,$BO$9),COUNTIF('1.연간시수표'!I70,$BO$7)),$BO$6,IF(OR(COUNTIF('1.연간시수표'!I70,$BP$9),COUNTIF('1.연간시수표'!I70,$BP$7)),$BP$6,IF(OR(COUNTIF('1.연간시수표'!I70,$BQ$9),COUNTIF('1.연간시수표'!I70,$BQ$7)),$BQ$6,IF(OR(COUNTIF('1.연간시수표'!I70,$BR$9),COUNTIF('1.연간시수표'!I70,$BR$7)),$BR$6,"_")))))))))))))))</f>
        <v>_</v>
      </c>
      <c r="J70" s="148" t="str">
        <f>IF(OR(COUNTIF('1.연간시수표'!J70,$AT$9),COUNTIF('1.연간시수표'!J70,$AT$7)),$AT$6,IF(OR(COUNTIF('1.연간시수표'!J70,$AU$9),COUNTIF('1.연간시수표'!J70,$AU$7)),$AU$6,IF(OR(COUNTIF('1.연간시수표'!J70,$AV$9),COUNTIF('1.연간시수표'!J70,$AV$7)),$AV$6,IF(OR(COUNTIF('1.연간시수표'!J70,$AW$9),COUNTIF('1.연간시수표'!J70,$AW$7)),$AW$6,IF(OR(COUNTIF('1.연간시수표'!J70,$AX$9),COUNTIF('1.연간시수표'!J70,$AX$7)),$AX$6,IF(OR(COUNTIF('1.연간시수표'!J70,$AY$9),COUNTIF('1.연간시수표'!J70,$AY$7)),$AY$6,IF(OR(COUNTIF('1.연간시수표'!J70,$AZ$9),COUNTIF('1.연간시수표'!J70,$AZ$7)),$AZ$6,IF(OR(COUNTIF('1.연간시수표'!J70,$BA$9),COUNTIF('1.연간시수표'!J70,$BA$7)),$BA$6,IF(OR(COUNTIF('1.연간시수표'!J70,$BB$9),COUNTIF('1.연간시수표'!J70,$BB$7)),$BB$6,IF(OR(COUNTIF('1.연간시수표'!J70,$BC$9),COUNTIF('1.연간시수표'!J70,$BC$7)),$BC$6,IF(OR(COUNTIF('1.연간시수표'!J70,$BF$9),COUNTIF('1.연간시수표'!J70,$BF$7),COUNTIF('1.연간시수표'!J70,$BG$9),COUNTIF('1.연간시수표'!J70,$BG$7),COUNTIF('1.연간시수표'!J70,$BH$9),COUNTIF('1.연간시수표'!J70,$BH$7),COUNTIF('1.연간시수표'!J70,$BI$9),COUNTIF('1.연간시수표'!J70,$BI$7),COUNTIF('1.연간시수표'!J70,$BJ$9),COUNTIF('1.연간시수표'!J70,$BJ$7),COUNTIF('1.연간시수표'!J70,$BK$9),COUNTIF('1.연간시수표'!J70,$BK$7),COUNTIF('1.연간시수표'!J70,$BL$9),COUNTIF('1.연간시수표'!J70,$BL$7),COUNTIF('1.연간시수표'!J70,$BM$9),COUNTIF('1.연간시수표'!J70,$BM$7)),$BF$6,IF(OR(COUNTIF('1.연간시수표'!J70,$BO$9),COUNTIF('1.연간시수표'!J70,$BO$7)),$BO$6,IF(OR(COUNTIF('1.연간시수표'!J70,$BP$9),COUNTIF('1.연간시수표'!J70,$BP$7)),$BP$6,IF(OR(COUNTIF('1.연간시수표'!J70,$BQ$9),COUNTIF('1.연간시수표'!J70,$BQ$7)),$BQ$6,IF(OR(COUNTIF('1.연간시수표'!J70,$BR$9),COUNTIF('1.연간시수표'!J70,$BR$7)),$BR$6,"_")))))))))))))))</f>
        <v>_</v>
      </c>
      <c r="K70" s="148" t="str">
        <f>IF(OR(COUNTIF('1.연간시수표'!K70,$AT$9),COUNTIF('1.연간시수표'!K70,$AT$7)),$AT$6,IF(OR(COUNTIF('1.연간시수표'!K70,$AU$9),COUNTIF('1.연간시수표'!K70,$AU$7)),$AU$6,IF(OR(COUNTIF('1.연간시수표'!K70,$AV$9),COUNTIF('1.연간시수표'!K70,$AV$7)),$AV$6,IF(OR(COUNTIF('1.연간시수표'!K70,$AW$9),COUNTIF('1.연간시수표'!K70,$AW$7)),$AW$6,IF(OR(COUNTIF('1.연간시수표'!K70,$AX$9),COUNTIF('1.연간시수표'!K70,$AX$7)),$AX$6,IF(OR(COUNTIF('1.연간시수표'!K70,$AY$9),COUNTIF('1.연간시수표'!K70,$AY$7)),$AY$6,IF(OR(COUNTIF('1.연간시수표'!K70,$AZ$9),COUNTIF('1.연간시수표'!K70,$AZ$7)),$AZ$6,IF(OR(COUNTIF('1.연간시수표'!K70,$BA$9),COUNTIF('1.연간시수표'!K70,$BA$7)),$BA$6,IF(OR(COUNTIF('1.연간시수표'!K70,$BB$9),COUNTIF('1.연간시수표'!K70,$BB$7)),$BB$6,IF(OR(COUNTIF('1.연간시수표'!K70,$BC$9),COUNTIF('1.연간시수표'!K70,$BC$7)),$BC$6,IF(OR(COUNTIF('1.연간시수표'!K70,$BF$9),COUNTIF('1.연간시수표'!K70,$BF$7),COUNTIF('1.연간시수표'!K70,$BG$9),COUNTIF('1.연간시수표'!K70,$BG$7),COUNTIF('1.연간시수표'!K70,$BH$9),COUNTIF('1.연간시수표'!K70,$BH$7),COUNTIF('1.연간시수표'!K70,$BI$9),COUNTIF('1.연간시수표'!K70,$BI$7),COUNTIF('1.연간시수표'!K70,$BJ$9),COUNTIF('1.연간시수표'!K70,$BJ$7),COUNTIF('1.연간시수표'!K70,$BK$9),COUNTIF('1.연간시수표'!K70,$BK$7),COUNTIF('1.연간시수표'!K70,$BL$9),COUNTIF('1.연간시수표'!K70,$BL$7),COUNTIF('1.연간시수표'!K70,$BM$9),COUNTIF('1.연간시수표'!K70,$BM$7)),$BF$6,IF(OR(COUNTIF('1.연간시수표'!K70,$BO$9),COUNTIF('1.연간시수표'!K70,$BO$7)),$BO$6,IF(OR(COUNTIF('1.연간시수표'!K70,$BP$9),COUNTIF('1.연간시수표'!K70,$BP$7)),$BP$6,IF(OR(COUNTIF('1.연간시수표'!K70,$BQ$9),COUNTIF('1.연간시수표'!K70,$BQ$7)),$BQ$6,IF(OR(COUNTIF('1.연간시수표'!K70,$BR$9),COUNTIF('1.연간시수표'!K70,$BR$7)),$BR$6,"_")))))))))))))))</f>
        <v>_</v>
      </c>
      <c r="L70" s="148" t="str">
        <f>IF(OR(COUNTIF('1.연간시수표'!L70,$AT$9),COUNTIF('1.연간시수표'!L70,$AT$7)),$AT$6,IF(OR(COUNTIF('1.연간시수표'!L70,$AU$9),COUNTIF('1.연간시수표'!L70,$AU$7)),$AU$6,IF(OR(COUNTIF('1.연간시수표'!L70,$AV$9),COUNTIF('1.연간시수표'!L70,$AV$7)),$AV$6,IF(OR(COUNTIF('1.연간시수표'!L70,$AW$9),COUNTIF('1.연간시수표'!L70,$AW$7)),$AW$6,IF(OR(COUNTIF('1.연간시수표'!L70,$AX$9),COUNTIF('1.연간시수표'!L70,$AX$7)),$AX$6,IF(OR(COUNTIF('1.연간시수표'!L70,$AY$9),COUNTIF('1.연간시수표'!L70,$AY$7)),$AY$6,IF(OR(COUNTIF('1.연간시수표'!L70,$AZ$9),COUNTIF('1.연간시수표'!L70,$AZ$7)),$AZ$6,IF(OR(COUNTIF('1.연간시수표'!L70,$BA$9),COUNTIF('1.연간시수표'!L70,$BA$7)),$BA$6,IF(OR(COUNTIF('1.연간시수표'!L70,$BB$9),COUNTIF('1.연간시수표'!L70,$BB$7)),$BB$6,IF(OR(COUNTIF('1.연간시수표'!L70,$BC$9),COUNTIF('1.연간시수표'!L70,$BC$7)),$BC$6,IF(OR(COUNTIF('1.연간시수표'!L70,$BF$9),COUNTIF('1.연간시수표'!L70,$BF$7),COUNTIF('1.연간시수표'!L70,$BG$9),COUNTIF('1.연간시수표'!L70,$BG$7),COUNTIF('1.연간시수표'!L70,$BH$9),COUNTIF('1.연간시수표'!L70,$BH$7),COUNTIF('1.연간시수표'!L70,$BI$9),COUNTIF('1.연간시수표'!L70,$BI$7),COUNTIF('1.연간시수표'!L70,$BJ$9),COUNTIF('1.연간시수표'!L70,$BJ$7),COUNTIF('1.연간시수표'!L70,$BK$9),COUNTIF('1.연간시수표'!L70,$BK$7),COUNTIF('1.연간시수표'!L70,$BL$9),COUNTIF('1.연간시수표'!L70,$BL$7),COUNTIF('1.연간시수표'!L70,$BM$9),COUNTIF('1.연간시수표'!L70,$BM$7)),$BF$6,IF(OR(COUNTIF('1.연간시수표'!L70,$BO$9),COUNTIF('1.연간시수표'!L70,$BO$7)),$BO$6,IF(OR(COUNTIF('1.연간시수표'!L70,$BP$9),COUNTIF('1.연간시수표'!L70,$BP$7)),$BP$6,IF(OR(COUNTIF('1.연간시수표'!L70,$BQ$9),COUNTIF('1.연간시수표'!L70,$BQ$7)),$BQ$6,IF(OR(COUNTIF('1.연간시수표'!L70,$BR$9),COUNTIF('1.연간시수표'!L70,$BR$7)),$BR$6,"_")))))))))))))))</f>
        <v>_</v>
      </c>
      <c r="M70" s="148" t="str">
        <f>IF(OR(COUNTIF('1.연간시수표'!M70,$AT$9),COUNTIF('1.연간시수표'!M70,$AT$7)),$AT$6,IF(OR(COUNTIF('1.연간시수표'!M70,$AU$9),COUNTIF('1.연간시수표'!M70,$AU$7)),$AU$6,IF(OR(COUNTIF('1.연간시수표'!M70,$AV$9),COUNTIF('1.연간시수표'!M70,$AV$7)),$AV$6,IF(OR(COUNTIF('1.연간시수표'!M70,$AW$9),COUNTIF('1.연간시수표'!M70,$AW$7)),$AW$6,IF(OR(COUNTIF('1.연간시수표'!M70,$AX$9),COUNTIF('1.연간시수표'!M70,$AX$7)),$AX$6,IF(OR(COUNTIF('1.연간시수표'!M70,$AY$9),COUNTIF('1.연간시수표'!M70,$AY$7)),$AY$6,IF(OR(COUNTIF('1.연간시수표'!M70,$AZ$9),COUNTIF('1.연간시수표'!M70,$AZ$7)),$AZ$6,IF(OR(COUNTIF('1.연간시수표'!M70,$BA$9),COUNTIF('1.연간시수표'!M70,$BA$7)),$BA$6,IF(OR(COUNTIF('1.연간시수표'!M70,$BB$9),COUNTIF('1.연간시수표'!M70,$BB$7)),$BB$6,IF(OR(COUNTIF('1.연간시수표'!M70,$BC$9),COUNTIF('1.연간시수표'!M70,$BC$7)),$BC$6,IF(OR(COUNTIF('1.연간시수표'!M70,$BF$9),COUNTIF('1.연간시수표'!M70,$BF$7),COUNTIF('1.연간시수표'!M70,$BG$9),COUNTIF('1.연간시수표'!M70,$BG$7),COUNTIF('1.연간시수표'!M70,$BH$9),COUNTIF('1.연간시수표'!M70,$BH$7),COUNTIF('1.연간시수표'!M70,$BI$9),COUNTIF('1.연간시수표'!M70,$BI$7),COUNTIF('1.연간시수표'!M70,$BJ$9),COUNTIF('1.연간시수표'!M70,$BJ$7),COUNTIF('1.연간시수표'!M70,$BK$9),COUNTIF('1.연간시수표'!M70,$BK$7),COUNTIF('1.연간시수표'!M70,$BL$9),COUNTIF('1.연간시수표'!M70,$BL$7),COUNTIF('1.연간시수표'!M70,$BM$9),COUNTIF('1.연간시수표'!M70,$BM$7)),$BF$6,IF(OR(COUNTIF('1.연간시수표'!M70,$BO$9),COUNTIF('1.연간시수표'!M70,$BO$7)),$BO$6,IF(OR(COUNTIF('1.연간시수표'!M70,$BP$9),COUNTIF('1.연간시수표'!M70,$BP$7)),$BP$6,IF(OR(COUNTIF('1.연간시수표'!M70,$BQ$9),COUNTIF('1.연간시수표'!M70,$BQ$7)),$BQ$6,IF(OR(COUNTIF('1.연간시수표'!M70,$BR$9),COUNTIF('1.연간시수표'!M70,$BR$7)),$BR$6,"_")))))))))))))))</f>
        <v>_</v>
      </c>
      <c r="N70" s="148" t="str">
        <f>IF(OR(COUNTIF('1.연간시수표'!N70,$AT$9),COUNTIF('1.연간시수표'!N70,$AT$7)),$AT$6,IF(OR(COUNTIF('1.연간시수표'!N70,$AU$9),COUNTIF('1.연간시수표'!N70,$AU$7)),$AU$6,IF(OR(COUNTIF('1.연간시수표'!N70,$AV$9),COUNTIF('1.연간시수표'!N70,$AV$7)),$AV$6,IF(OR(COUNTIF('1.연간시수표'!N70,$AW$9),COUNTIF('1.연간시수표'!N70,$AW$7)),$AW$6,IF(OR(COUNTIF('1.연간시수표'!N70,$AX$9),COUNTIF('1.연간시수표'!N70,$AX$7)),$AX$6,IF(OR(COUNTIF('1.연간시수표'!N70,$AY$9),COUNTIF('1.연간시수표'!N70,$AY$7)),$AY$6,IF(OR(COUNTIF('1.연간시수표'!N70,$AZ$9),COUNTIF('1.연간시수표'!N70,$AZ$7)),$AZ$6,IF(OR(COUNTIF('1.연간시수표'!N70,$BA$9),COUNTIF('1.연간시수표'!N70,$BA$7)),$BA$6,IF(OR(COUNTIF('1.연간시수표'!N70,$BB$9),COUNTIF('1.연간시수표'!N70,$BB$7)),$BB$6,IF(OR(COUNTIF('1.연간시수표'!N70,$BC$9),COUNTIF('1.연간시수표'!N70,$BC$7)),$BC$6,IF(OR(COUNTIF('1.연간시수표'!N70,$BF$9),COUNTIF('1.연간시수표'!N70,$BF$7),COUNTIF('1.연간시수표'!N70,$BG$9),COUNTIF('1.연간시수표'!N70,$BG$7),COUNTIF('1.연간시수표'!N70,$BH$9),COUNTIF('1.연간시수표'!N70,$BH$7),COUNTIF('1.연간시수표'!N70,$BI$9),COUNTIF('1.연간시수표'!N70,$BI$7),COUNTIF('1.연간시수표'!N70,$BJ$9),COUNTIF('1.연간시수표'!N70,$BJ$7),COUNTIF('1.연간시수표'!N70,$BK$9),COUNTIF('1.연간시수표'!N70,$BK$7),COUNTIF('1.연간시수표'!N70,$BL$9),COUNTIF('1.연간시수표'!N70,$BL$7),COUNTIF('1.연간시수표'!N70,$BM$9),COUNTIF('1.연간시수표'!N70,$BM$7)),$BF$6,IF(OR(COUNTIF('1.연간시수표'!N70,$BO$9),COUNTIF('1.연간시수표'!N70,$BO$7)),$BO$6,IF(OR(COUNTIF('1.연간시수표'!N70,$BP$9),COUNTIF('1.연간시수표'!N70,$BP$7)),$BP$6,IF(OR(COUNTIF('1.연간시수표'!N70,$BQ$9),COUNTIF('1.연간시수표'!N70,$BQ$7)),$BQ$6,IF(OR(COUNTIF('1.연간시수표'!N70,$BR$9),COUNTIF('1.연간시수표'!N70,$BR$7)),$BR$6,"_")))))))))))))))</f>
        <v>_</v>
      </c>
      <c r="O70" s="148" t="str">
        <f>IF(OR(COUNTIF('1.연간시수표'!O70,$AT$9),COUNTIF('1.연간시수표'!O70,$AT$7)),$AT$6,IF(OR(COUNTIF('1.연간시수표'!O70,$AU$9),COUNTIF('1.연간시수표'!O70,$AU$7)),$AU$6,IF(OR(COUNTIF('1.연간시수표'!O70,$AV$9),COUNTIF('1.연간시수표'!O70,$AV$7)),$AV$6,IF(OR(COUNTIF('1.연간시수표'!O70,$AW$9),COUNTIF('1.연간시수표'!O70,$AW$7)),$AW$6,IF(OR(COUNTIF('1.연간시수표'!O70,$AX$9),COUNTIF('1.연간시수표'!O70,$AX$7)),$AX$6,IF(OR(COUNTIF('1.연간시수표'!O70,$AY$9),COUNTIF('1.연간시수표'!O70,$AY$7)),$AY$6,IF(OR(COUNTIF('1.연간시수표'!O70,$AZ$9),COUNTIF('1.연간시수표'!O70,$AZ$7)),$AZ$6,IF(OR(COUNTIF('1.연간시수표'!O70,$BA$9),COUNTIF('1.연간시수표'!O70,$BA$7)),$BA$6,IF(OR(COUNTIF('1.연간시수표'!O70,$BB$9),COUNTIF('1.연간시수표'!O70,$BB$7)),$BB$6,IF(OR(COUNTIF('1.연간시수표'!O70,$BC$9),COUNTIF('1.연간시수표'!O70,$BC$7)),$BC$6,IF(OR(COUNTIF('1.연간시수표'!O70,$BF$9),COUNTIF('1.연간시수표'!O70,$BF$7),COUNTIF('1.연간시수표'!O70,$BG$9),COUNTIF('1.연간시수표'!O70,$BG$7),COUNTIF('1.연간시수표'!O70,$BH$9),COUNTIF('1.연간시수표'!O70,$BH$7),COUNTIF('1.연간시수표'!O70,$BI$9),COUNTIF('1.연간시수표'!O70,$BI$7),COUNTIF('1.연간시수표'!O70,$BJ$9),COUNTIF('1.연간시수표'!O70,$BJ$7),COUNTIF('1.연간시수표'!O70,$BK$9),COUNTIF('1.연간시수표'!O70,$BK$7),COUNTIF('1.연간시수표'!O70,$BL$9),COUNTIF('1.연간시수표'!O70,$BL$7),COUNTIF('1.연간시수표'!O70,$BM$9),COUNTIF('1.연간시수표'!O70,$BM$7)),$BF$6,IF(OR(COUNTIF('1.연간시수표'!O70,$BO$9),COUNTIF('1.연간시수표'!O70,$BO$7)),$BO$6,IF(OR(COUNTIF('1.연간시수표'!O70,$BP$9),COUNTIF('1.연간시수표'!O70,$BP$7)),$BP$6,IF(OR(COUNTIF('1.연간시수표'!O70,$BQ$9),COUNTIF('1.연간시수표'!O70,$BQ$7)),$BQ$6,IF(OR(COUNTIF('1.연간시수표'!O70,$BR$9),COUNTIF('1.연간시수표'!O70,$BR$7)),$BR$6,"_")))))))))))))))</f>
        <v>_</v>
      </c>
      <c r="P70" s="148" t="str">
        <f>IF(OR(COUNTIF('1.연간시수표'!P70,$AT$9),COUNTIF('1.연간시수표'!P70,$AT$7)),$AT$6,IF(OR(COUNTIF('1.연간시수표'!P70,$AU$9),COUNTIF('1.연간시수표'!P70,$AU$7)),$AU$6,IF(OR(COUNTIF('1.연간시수표'!P70,$AV$9),COUNTIF('1.연간시수표'!P70,$AV$7)),$AV$6,IF(OR(COUNTIF('1.연간시수표'!P70,$AW$9),COUNTIF('1.연간시수표'!P70,$AW$7)),$AW$6,IF(OR(COUNTIF('1.연간시수표'!P70,$AX$9),COUNTIF('1.연간시수표'!P70,$AX$7)),$AX$6,IF(OR(COUNTIF('1.연간시수표'!P70,$AY$9),COUNTIF('1.연간시수표'!P70,$AY$7)),$AY$6,IF(OR(COUNTIF('1.연간시수표'!P70,$AZ$9),COUNTIF('1.연간시수표'!P70,$AZ$7)),$AZ$6,IF(OR(COUNTIF('1.연간시수표'!P70,$BA$9),COUNTIF('1.연간시수표'!P70,$BA$7)),$BA$6,IF(OR(COUNTIF('1.연간시수표'!P70,$BB$9),COUNTIF('1.연간시수표'!P70,$BB$7)),$BB$6,IF(OR(COUNTIF('1.연간시수표'!P70,$BC$9),COUNTIF('1.연간시수표'!P70,$BC$7)),$BC$6,IF(OR(COUNTIF('1.연간시수표'!P70,$BF$9),COUNTIF('1.연간시수표'!P70,$BF$7),COUNTIF('1.연간시수표'!P70,$BG$9),COUNTIF('1.연간시수표'!P70,$BG$7),COUNTIF('1.연간시수표'!P70,$BH$9),COUNTIF('1.연간시수표'!P70,$BH$7),COUNTIF('1.연간시수표'!P70,$BI$9),COUNTIF('1.연간시수표'!P70,$BI$7),COUNTIF('1.연간시수표'!P70,$BJ$9),COUNTIF('1.연간시수표'!P70,$BJ$7),COUNTIF('1.연간시수표'!P70,$BK$9),COUNTIF('1.연간시수표'!P70,$BK$7),COUNTIF('1.연간시수표'!P70,$BL$9),COUNTIF('1.연간시수표'!P70,$BL$7),COUNTIF('1.연간시수표'!P70,$BM$9),COUNTIF('1.연간시수표'!P70,$BM$7)),$BF$6,IF(OR(COUNTIF('1.연간시수표'!P70,$BO$9),COUNTIF('1.연간시수표'!P70,$BO$7)),$BO$6,IF(OR(COUNTIF('1.연간시수표'!P70,$BP$9),COUNTIF('1.연간시수표'!P70,$BP$7)),$BP$6,IF(OR(COUNTIF('1.연간시수표'!P70,$BQ$9),COUNTIF('1.연간시수표'!P70,$BQ$7)),$BQ$6,IF(OR(COUNTIF('1.연간시수표'!P70,$BR$9),COUNTIF('1.연간시수표'!P70,$BR$7)),$BR$6,"_")))))))))))))))</f>
        <v>_</v>
      </c>
      <c r="Q70" s="148" t="str">
        <f>IF(OR(COUNTIF('1.연간시수표'!Q70,$AT$9),COUNTIF('1.연간시수표'!Q70,$AT$7)),$AT$6,IF(OR(COUNTIF('1.연간시수표'!Q70,$AU$9),COUNTIF('1.연간시수표'!Q70,$AU$7)),$AU$6,IF(OR(COUNTIF('1.연간시수표'!Q70,$AV$9),COUNTIF('1.연간시수표'!Q70,$AV$7)),$AV$6,IF(OR(COUNTIF('1.연간시수표'!Q70,$AW$9),COUNTIF('1.연간시수표'!Q70,$AW$7)),$AW$6,IF(OR(COUNTIF('1.연간시수표'!Q70,$AX$9),COUNTIF('1.연간시수표'!Q70,$AX$7)),$AX$6,IF(OR(COUNTIF('1.연간시수표'!Q70,$AY$9),COUNTIF('1.연간시수표'!Q70,$AY$7)),$AY$6,IF(OR(COUNTIF('1.연간시수표'!Q70,$AZ$9),COUNTIF('1.연간시수표'!Q70,$AZ$7)),$AZ$6,IF(OR(COUNTIF('1.연간시수표'!Q70,$BA$9),COUNTIF('1.연간시수표'!Q70,$BA$7)),$BA$6,IF(OR(COUNTIF('1.연간시수표'!Q70,$BB$9),COUNTIF('1.연간시수표'!Q70,$BB$7)),$BB$6,IF(OR(COUNTIF('1.연간시수표'!Q70,$BC$9),COUNTIF('1.연간시수표'!Q70,$BC$7)),$BC$6,IF(OR(COUNTIF('1.연간시수표'!Q70,$BF$9),COUNTIF('1.연간시수표'!Q70,$BF$7),COUNTIF('1.연간시수표'!Q70,$BG$9),COUNTIF('1.연간시수표'!Q70,$BG$7),COUNTIF('1.연간시수표'!Q70,$BH$9),COUNTIF('1.연간시수표'!Q70,$BH$7),COUNTIF('1.연간시수표'!Q70,$BI$9),COUNTIF('1.연간시수표'!Q70,$BI$7),COUNTIF('1.연간시수표'!Q70,$BJ$9),COUNTIF('1.연간시수표'!Q70,$BJ$7),COUNTIF('1.연간시수표'!Q70,$BK$9),COUNTIF('1.연간시수표'!Q70,$BK$7),COUNTIF('1.연간시수표'!Q70,$BL$9),COUNTIF('1.연간시수표'!Q70,$BL$7),COUNTIF('1.연간시수표'!Q70,$BM$9),COUNTIF('1.연간시수표'!Q70,$BM$7)),$BF$6,IF(OR(COUNTIF('1.연간시수표'!Q70,$BO$9),COUNTIF('1.연간시수표'!Q70,$BO$7)),$BO$6,IF(OR(COUNTIF('1.연간시수표'!Q70,$BP$9),COUNTIF('1.연간시수표'!Q70,$BP$7)),$BP$6,IF(OR(COUNTIF('1.연간시수표'!Q70,$BQ$9),COUNTIF('1.연간시수표'!Q70,$BQ$7)),$BQ$6,IF(OR(COUNTIF('1.연간시수표'!Q70,$BR$9),COUNTIF('1.연간시수표'!Q70,$BR$7)),$BR$6,"_")))))))))))))))</f>
        <v>_</v>
      </c>
      <c r="R70" s="148" t="str">
        <f>IF(OR(COUNTIF('1.연간시수표'!R70,$AT$9),COUNTIF('1.연간시수표'!R70,$AT$7)),$AT$6,IF(OR(COUNTIF('1.연간시수표'!R70,$AU$9),COUNTIF('1.연간시수표'!R70,$AU$7)),$AU$6,IF(OR(COUNTIF('1.연간시수표'!R70,$AV$9),COUNTIF('1.연간시수표'!R70,$AV$7)),$AV$6,IF(OR(COUNTIF('1.연간시수표'!R70,$AW$9),COUNTIF('1.연간시수표'!R70,$AW$7)),$AW$6,IF(OR(COUNTIF('1.연간시수표'!R70,$AX$9),COUNTIF('1.연간시수표'!R70,$AX$7)),$AX$6,IF(OR(COUNTIF('1.연간시수표'!R70,$AY$9),COUNTIF('1.연간시수표'!R70,$AY$7)),$AY$6,IF(OR(COUNTIF('1.연간시수표'!R70,$AZ$9),COUNTIF('1.연간시수표'!R70,$AZ$7)),$AZ$6,IF(OR(COUNTIF('1.연간시수표'!R70,$BA$9),COUNTIF('1.연간시수표'!R70,$BA$7)),$BA$6,IF(OR(COUNTIF('1.연간시수표'!R70,$BB$9),COUNTIF('1.연간시수표'!R70,$BB$7)),$BB$6,IF(OR(COUNTIF('1.연간시수표'!R70,$BC$9),COUNTIF('1.연간시수표'!R70,$BC$7)),$BC$6,IF(OR(COUNTIF('1.연간시수표'!R70,$BF$9),COUNTIF('1.연간시수표'!R70,$BF$7),COUNTIF('1.연간시수표'!R70,$BG$9),COUNTIF('1.연간시수표'!R70,$BG$7),COUNTIF('1.연간시수표'!R70,$BH$9),COUNTIF('1.연간시수표'!R70,$BH$7),COUNTIF('1.연간시수표'!R70,$BI$9),COUNTIF('1.연간시수표'!R70,$BI$7),COUNTIF('1.연간시수표'!R70,$BJ$9),COUNTIF('1.연간시수표'!R70,$BJ$7),COUNTIF('1.연간시수표'!R70,$BK$9),COUNTIF('1.연간시수표'!R70,$BK$7),COUNTIF('1.연간시수표'!R70,$BL$9),COUNTIF('1.연간시수표'!R70,$BL$7),COUNTIF('1.연간시수표'!R70,$BM$9),COUNTIF('1.연간시수표'!R70,$BM$7)),$BF$6,IF(OR(COUNTIF('1.연간시수표'!R70,$BO$9),COUNTIF('1.연간시수표'!R70,$BO$7)),$BO$6,IF(OR(COUNTIF('1.연간시수표'!R70,$BP$9),COUNTIF('1.연간시수표'!R70,$BP$7)),$BP$6,IF(OR(COUNTIF('1.연간시수표'!R70,$BQ$9),COUNTIF('1.연간시수표'!R70,$BQ$7)),$BQ$6,IF(OR(COUNTIF('1.연간시수표'!R70,$BR$9),COUNTIF('1.연간시수표'!R70,$BR$7)),$BR$6,"_")))))))))))))))</f>
        <v>_</v>
      </c>
      <c r="S70" s="148" t="str">
        <f>IF(OR(COUNTIF('1.연간시수표'!S70,$AT$9),COUNTIF('1.연간시수표'!S70,$AT$7)),$AT$6,IF(OR(COUNTIF('1.연간시수표'!S70,$AU$9),COUNTIF('1.연간시수표'!S70,$AU$7)),$AU$6,IF(OR(COUNTIF('1.연간시수표'!S70,$AV$9),COUNTIF('1.연간시수표'!S70,$AV$7)),$AV$6,IF(OR(COUNTIF('1.연간시수표'!S70,$AW$9),COUNTIF('1.연간시수표'!S70,$AW$7)),$AW$6,IF(OR(COUNTIF('1.연간시수표'!S70,$AX$9),COUNTIF('1.연간시수표'!S70,$AX$7)),$AX$6,IF(OR(COUNTIF('1.연간시수표'!S70,$AY$9),COUNTIF('1.연간시수표'!S70,$AY$7)),$AY$6,IF(OR(COUNTIF('1.연간시수표'!S70,$AZ$9),COUNTIF('1.연간시수표'!S70,$AZ$7)),$AZ$6,IF(OR(COUNTIF('1.연간시수표'!S70,$BA$9),COUNTIF('1.연간시수표'!S70,$BA$7)),$BA$6,IF(OR(COUNTIF('1.연간시수표'!S70,$BB$9),COUNTIF('1.연간시수표'!S70,$BB$7)),$BB$6,IF(OR(COUNTIF('1.연간시수표'!S70,$BC$9),COUNTIF('1.연간시수표'!S70,$BC$7)),$BC$6,IF(OR(COUNTIF('1.연간시수표'!S70,$BF$9),COUNTIF('1.연간시수표'!S70,$BF$7),COUNTIF('1.연간시수표'!S70,$BG$9),COUNTIF('1.연간시수표'!S70,$BG$7),COUNTIF('1.연간시수표'!S70,$BH$9),COUNTIF('1.연간시수표'!S70,$BH$7),COUNTIF('1.연간시수표'!S70,$BI$9),COUNTIF('1.연간시수표'!S70,$BI$7),COUNTIF('1.연간시수표'!S70,$BJ$9),COUNTIF('1.연간시수표'!S70,$BJ$7),COUNTIF('1.연간시수표'!S70,$BK$9),COUNTIF('1.연간시수표'!S70,$BK$7),COUNTIF('1.연간시수표'!S70,$BL$9),COUNTIF('1.연간시수표'!S70,$BL$7),COUNTIF('1.연간시수표'!S70,$BM$9),COUNTIF('1.연간시수표'!S70,$BM$7)),$BF$6,IF(OR(COUNTIF('1.연간시수표'!S70,$BO$9),COUNTIF('1.연간시수표'!S70,$BO$7)),$BO$6,IF(OR(COUNTIF('1.연간시수표'!S70,$BP$9),COUNTIF('1.연간시수표'!S70,$BP$7)),$BP$6,IF(OR(COUNTIF('1.연간시수표'!S70,$BQ$9),COUNTIF('1.연간시수표'!S70,$BQ$7)),$BQ$6,IF(OR(COUNTIF('1.연간시수표'!S70,$BR$9),COUNTIF('1.연간시수표'!S70,$BR$7)),$BR$6,"_")))))))))))))))</f>
        <v>_</v>
      </c>
      <c r="T70" s="148" t="str">
        <f>IF(OR(COUNTIF('1.연간시수표'!T70,$AT$9),COUNTIF('1.연간시수표'!T70,$AT$7)),$AT$6,IF(OR(COUNTIF('1.연간시수표'!T70,$AU$9),COUNTIF('1.연간시수표'!T70,$AU$7)),$AU$6,IF(OR(COUNTIF('1.연간시수표'!T70,$AV$9),COUNTIF('1.연간시수표'!T70,$AV$7)),$AV$6,IF(OR(COUNTIF('1.연간시수표'!T70,$AW$9),COUNTIF('1.연간시수표'!T70,$AW$7)),$AW$6,IF(OR(COUNTIF('1.연간시수표'!T70,$AX$9),COUNTIF('1.연간시수표'!T70,$AX$7)),$AX$6,IF(OR(COUNTIF('1.연간시수표'!T70,$AY$9),COUNTIF('1.연간시수표'!T70,$AY$7)),$AY$6,IF(OR(COUNTIF('1.연간시수표'!T70,$AZ$9),COUNTIF('1.연간시수표'!T70,$AZ$7)),$AZ$6,IF(OR(COUNTIF('1.연간시수표'!T70,$BA$9),COUNTIF('1.연간시수표'!T70,$BA$7)),$BA$6,IF(OR(COUNTIF('1.연간시수표'!T70,$BB$9),COUNTIF('1.연간시수표'!T70,$BB$7)),$BB$6,IF(OR(COUNTIF('1.연간시수표'!T70,$BC$9),COUNTIF('1.연간시수표'!T70,$BC$7)),$BC$6,IF(OR(COUNTIF('1.연간시수표'!T70,$BF$9),COUNTIF('1.연간시수표'!T70,$BF$7),COUNTIF('1.연간시수표'!T70,$BG$9),COUNTIF('1.연간시수표'!T70,$BG$7),COUNTIF('1.연간시수표'!T70,$BH$9),COUNTIF('1.연간시수표'!T70,$BH$7),COUNTIF('1.연간시수표'!T70,$BI$9),COUNTIF('1.연간시수표'!T70,$BI$7),COUNTIF('1.연간시수표'!T70,$BJ$9),COUNTIF('1.연간시수표'!T70,$BJ$7),COUNTIF('1.연간시수표'!T70,$BK$9),COUNTIF('1.연간시수표'!T70,$BK$7),COUNTIF('1.연간시수표'!T70,$BL$9),COUNTIF('1.연간시수표'!T70,$BL$7),COUNTIF('1.연간시수표'!T70,$BM$9),COUNTIF('1.연간시수표'!T70,$BM$7)),$BF$6,IF(OR(COUNTIF('1.연간시수표'!T70,$BO$9),COUNTIF('1.연간시수표'!T70,$BO$7)),$BO$6,IF(OR(COUNTIF('1.연간시수표'!T70,$BP$9),COUNTIF('1.연간시수표'!T70,$BP$7)),$BP$6,IF(OR(COUNTIF('1.연간시수표'!T70,$BQ$9),COUNTIF('1.연간시수표'!T70,$BQ$7)),$BQ$6,IF(OR(COUNTIF('1.연간시수표'!T70,$BR$9),COUNTIF('1.연간시수표'!T70,$BR$7)),$BR$6,"_")))))))))))))))</f>
        <v>_</v>
      </c>
      <c r="U70" s="148" t="str">
        <f>IF(OR(COUNTIF('1.연간시수표'!U70,$AT$9),COUNTIF('1.연간시수표'!U70,$AT$7)),$AT$6,IF(OR(COUNTIF('1.연간시수표'!U70,$AU$9),COUNTIF('1.연간시수표'!U70,$AU$7)),$AU$6,IF(OR(COUNTIF('1.연간시수표'!U70,$AV$9),COUNTIF('1.연간시수표'!U70,$AV$7)),$AV$6,IF(OR(COUNTIF('1.연간시수표'!U70,$AW$9),COUNTIF('1.연간시수표'!U70,$AW$7)),$AW$6,IF(OR(COUNTIF('1.연간시수표'!U70,$AX$9),COUNTIF('1.연간시수표'!U70,$AX$7)),$AX$6,IF(OR(COUNTIF('1.연간시수표'!U70,$AY$9),COUNTIF('1.연간시수표'!U70,$AY$7)),$AY$6,IF(OR(COUNTIF('1.연간시수표'!U70,$AZ$9),COUNTIF('1.연간시수표'!U70,$AZ$7)),$AZ$6,IF(OR(COUNTIF('1.연간시수표'!U70,$BA$9),COUNTIF('1.연간시수표'!U70,$BA$7)),$BA$6,IF(OR(COUNTIF('1.연간시수표'!U70,$BB$9),COUNTIF('1.연간시수표'!U70,$BB$7)),$BB$6,IF(OR(COUNTIF('1.연간시수표'!U70,$BC$9),COUNTIF('1.연간시수표'!U70,$BC$7)),$BC$6,IF(OR(COUNTIF('1.연간시수표'!U70,$BF$9),COUNTIF('1.연간시수표'!U70,$BF$7),COUNTIF('1.연간시수표'!U70,$BG$9),COUNTIF('1.연간시수표'!U70,$BG$7),COUNTIF('1.연간시수표'!U70,$BH$9),COUNTIF('1.연간시수표'!U70,$BH$7),COUNTIF('1.연간시수표'!U70,$BI$9),COUNTIF('1.연간시수표'!U70,$BI$7),COUNTIF('1.연간시수표'!U70,$BJ$9),COUNTIF('1.연간시수표'!U70,$BJ$7),COUNTIF('1.연간시수표'!U70,$BK$9),COUNTIF('1.연간시수표'!U70,$BK$7),COUNTIF('1.연간시수표'!U70,$BL$9),COUNTIF('1.연간시수표'!U70,$BL$7),COUNTIF('1.연간시수표'!U70,$BM$9),COUNTIF('1.연간시수표'!U70,$BM$7)),$BF$6,IF(OR(COUNTIF('1.연간시수표'!U70,$BO$9),COUNTIF('1.연간시수표'!U70,$BO$7)),$BO$6,IF(OR(COUNTIF('1.연간시수표'!U70,$BP$9),COUNTIF('1.연간시수표'!U70,$BP$7)),$BP$6,IF(OR(COUNTIF('1.연간시수표'!U70,$BQ$9),COUNTIF('1.연간시수표'!U70,$BQ$7)),$BQ$6,IF(OR(COUNTIF('1.연간시수표'!U70,$BR$9),COUNTIF('1.연간시수표'!U70,$BR$7)),$BR$6,"_")))))))))))))))</f>
        <v>_</v>
      </c>
      <c r="V70" s="148" t="str">
        <f>IF(OR(COUNTIF('1.연간시수표'!V70,$AT$9),COUNTIF('1.연간시수표'!V70,$AT$7)),$AT$6,IF(OR(COUNTIF('1.연간시수표'!V70,$AU$9),COUNTIF('1.연간시수표'!V70,$AU$7)),$AU$6,IF(OR(COUNTIF('1.연간시수표'!V70,$AV$9),COUNTIF('1.연간시수표'!V70,$AV$7)),$AV$6,IF(OR(COUNTIF('1.연간시수표'!V70,$AW$9),COUNTIF('1.연간시수표'!V70,$AW$7)),$AW$6,IF(OR(COUNTIF('1.연간시수표'!V70,$AX$9),COUNTIF('1.연간시수표'!V70,$AX$7)),$AX$6,IF(OR(COUNTIF('1.연간시수표'!V70,$AY$9),COUNTIF('1.연간시수표'!V70,$AY$7)),$AY$6,IF(OR(COUNTIF('1.연간시수표'!V70,$AZ$9),COUNTIF('1.연간시수표'!V70,$AZ$7)),$AZ$6,IF(OR(COUNTIF('1.연간시수표'!V70,$BA$9),COUNTIF('1.연간시수표'!V70,$BA$7)),$BA$6,IF(OR(COUNTIF('1.연간시수표'!V70,$BB$9),COUNTIF('1.연간시수표'!V70,$BB$7)),$BB$6,IF(OR(COUNTIF('1.연간시수표'!V70,$BC$9),COUNTIF('1.연간시수표'!V70,$BC$7)),$BC$6,IF(OR(COUNTIF('1.연간시수표'!V70,$BF$9),COUNTIF('1.연간시수표'!V70,$BF$7),COUNTIF('1.연간시수표'!V70,$BG$9),COUNTIF('1.연간시수표'!V70,$BG$7),COUNTIF('1.연간시수표'!V70,$BH$9),COUNTIF('1.연간시수표'!V70,$BH$7),COUNTIF('1.연간시수표'!V70,$BI$9),COUNTIF('1.연간시수표'!V70,$BI$7),COUNTIF('1.연간시수표'!V70,$BJ$9),COUNTIF('1.연간시수표'!V70,$BJ$7),COUNTIF('1.연간시수표'!V70,$BK$9),COUNTIF('1.연간시수표'!V70,$BK$7),COUNTIF('1.연간시수표'!V70,$BL$9),COUNTIF('1.연간시수표'!V70,$BL$7),COUNTIF('1.연간시수표'!V70,$BM$9),COUNTIF('1.연간시수표'!V70,$BM$7)),$BF$6,IF(OR(COUNTIF('1.연간시수표'!V70,$BO$9),COUNTIF('1.연간시수표'!V70,$BO$7)),$BO$6,IF(OR(COUNTIF('1.연간시수표'!V70,$BP$9),COUNTIF('1.연간시수표'!V70,$BP$7)),$BP$6,IF(OR(COUNTIF('1.연간시수표'!V70,$BQ$9),COUNTIF('1.연간시수표'!V70,$BQ$7)),$BQ$6,IF(OR(COUNTIF('1.연간시수표'!V70,$BR$9),COUNTIF('1.연간시수표'!V70,$BR$7)),$BR$6,"_")))))))))))))))</f>
        <v>_</v>
      </c>
      <c r="W70" s="148" t="str">
        <f>IF(OR(COUNTIF('1.연간시수표'!W70,$AT$9),COUNTIF('1.연간시수표'!W70,$AT$7)),$AT$6,IF(OR(COUNTIF('1.연간시수표'!W70,$AU$9),COUNTIF('1.연간시수표'!W70,$AU$7)),$AU$6,IF(OR(COUNTIF('1.연간시수표'!W70,$AV$9),COUNTIF('1.연간시수표'!W70,$AV$7)),$AV$6,IF(OR(COUNTIF('1.연간시수표'!W70,$AW$9),COUNTIF('1.연간시수표'!W70,$AW$7)),$AW$6,IF(OR(COUNTIF('1.연간시수표'!W70,$AX$9),COUNTIF('1.연간시수표'!W70,$AX$7)),$AX$6,IF(OR(COUNTIF('1.연간시수표'!W70,$AY$9),COUNTIF('1.연간시수표'!W70,$AY$7)),$AY$6,IF(OR(COUNTIF('1.연간시수표'!W70,$AZ$9),COUNTIF('1.연간시수표'!W70,$AZ$7)),$AZ$6,IF(OR(COUNTIF('1.연간시수표'!W70,$BA$9),COUNTIF('1.연간시수표'!W70,$BA$7)),$BA$6,IF(OR(COUNTIF('1.연간시수표'!W70,$BB$9),COUNTIF('1.연간시수표'!W70,$BB$7)),$BB$6,IF(OR(COUNTIF('1.연간시수표'!W70,$BC$9),COUNTIF('1.연간시수표'!W70,$BC$7)),$BC$6,IF(OR(COUNTIF('1.연간시수표'!W70,$BF$9),COUNTIF('1.연간시수표'!W70,$BF$7),COUNTIF('1.연간시수표'!W70,$BG$9),COUNTIF('1.연간시수표'!W70,$BG$7),COUNTIF('1.연간시수표'!W70,$BH$9),COUNTIF('1.연간시수표'!W70,$BH$7),COUNTIF('1.연간시수표'!W70,$BI$9),COUNTIF('1.연간시수표'!W70,$BI$7),COUNTIF('1.연간시수표'!W70,$BJ$9),COUNTIF('1.연간시수표'!W70,$BJ$7),COUNTIF('1.연간시수표'!W70,$BK$9),COUNTIF('1.연간시수표'!W70,$BK$7),COUNTIF('1.연간시수표'!W70,$BL$9),COUNTIF('1.연간시수표'!W70,$BL$7),COUNTIF('1.연간시수표'!W70,$BM$9),COUNTIF('1.연간시수표'!W70,$BM$7)),$BF$6,IF(OR(COUNTIF('1.연간시수표'!W70,$BO$9),COUNTIF('1.연간시수표'!W70,$BO$7)),$BO$6,IF(OR(COUNTIF('1.연간시수표'!W70,$BP$9),COUNTIF('1.연간시수표'!W70,$BP$7)),$BP$6,IF(OR(COUNTIF('1.연간시수표'!W70,$BQ$9),COUNTIF('1.연간시수표'!W70,$BQ$7)),$BQ$6,IF(OR(COUNTIF('1.연간시수표'!W70,$BR$9),COUNTIF('1.연간시수표'!W70,$BR$7)),$BR$6,"_")))))))))))))))</f>
        <v>_</v>
      </c>
      <c r="X70" s="148" t="str">
        <f>IF(OR(COUNTIF('1.연간시수표'!X70,$AT$9),COUNTIF('1.연간시수표'!X70,$AT$7)),$AT$6,IF(OR(COUNTIF('1.연간시수표'!X70,$AU$9),COUNTIF('1.연간시수표'!X70,$AU$7)),$AU$6,IF(OR(COUNTIF('1.연간시수표'!X70,$AV$9),COUNTIF('1.연간시수표'!X70,$AV$7)),$AV$6,IF(OR(COUNTIF('1.연간시수표'!X70,$AW$9),COUNTIF('1.연간시수표'!X70,$AW$7)),$AW$6,IF(OR(COUNTIF('1.연간시수표'!X70,$AX$9),COUNTIF('1.연간시수표'!X70,$AX$7)),$AX$6,IF(OR(COUNTIF('1.연간시수표'!X70,$AY$9),COUNTIF('1.연간시수표'!X70,$AY$7)),$AY$6,IF(OR(COUNTIF('1.연간시수표'!X70,$AZ$9),COUNTIF('1.연간시수표'!X70,$AZ$7)),$AZ$6,IF(OR(COUNTIF('1.연간시수표'!X70,$BA$9),COUNTIF('1.연간시수표'!X70,$BA$7)),$BA$6,IF(OR(COUNTIF('1.연간시수표'!X70,$BB$9),COUNTIF('1.연간시수표'!X70,$BB$7)),$BB$6,IF(OR(COUNTIF('1.연간시수표'!X70,$BC$9),COUNTIF('1.연간시수표'!X70,$BC$7)),$BC$6,IF(OR(COUNTIF('1.연간시수표'!X70,$BF$9),COUNTIF('1.연간시수표'!X70,$BF$7),COUNTIF('1.연간시수표'!X70,$BG$9),COUNTIF('1.연간시수표'!X70,$BG$7),COUNTIF('1.연간시수표'!X70,$BH$9),COUNTIF('1.연간시수표'!X70,$BH$7),COUNTIF('1.연간시수표'!X70,$BI$9),COUNTIF('1.연간시수표'!X70,$BI$7),COUNTIF('1.연간시수표'!X70,$BJ$9),COUNTIF('1.연간시수표'!X70,$BJ$7),COUNTIF('1.연간시수표'!X70,$BK$9),COUNTIF('1.연간시수표'!X70,$BK$7),COUNTIF('1.연간시수표'!X70,$BL$9),COUNTIF('1.연간시수표'!X70,$BL$7),COUNTIF('1.연간시수표'!X70,$BM$9),COUNTIF('1.연간시수표'!X70,$BM$7)),$BF$6,IF(OR(COUNTIF('1.연간시수표'!X70,$BO$9),COUNTIF('1.연간시수표'!X70,$BO$7)),$BO$6,IF(OR(COUNTIF('1.연간시수표'!X70,$BP$9),COUNTIF('1.연간시수표'!X70,$BP$7)),$BP$6,IF(OR(COUNTIF('1.연간시수표'!X70,$BQ$9),COUNTIF('1.연간시수표'!X70,$BQ$7)),$BQ$6,IF(OR(COUNTIF('1.연간시수표'!X70,$BR$9),COUNTIF('1.연간시수표'!X70,$BR$7)),$BR$6,"_")))))))))))))))</f>
        <v>_</v>
      </c>
      <c r="Y70" s="148" t="str">
        <f>IF(OR(COUNTIF('1.연간시수표'!Y70,$AT$9),COUNTIF('1.연간시수표'!Y70,$AT$7)),$AT$6,IF(OR(COUNTIF('1.연간시수표'!Y70,$AU$9),COUNTIF('1.연간시수표'!Y70,$AU$7)),$AU$6,IF(OR(COUNTIF('1.연간시수표'!Y70,$AV$9),COUNTIF('1.연간시수표'!Y70,$AV$7)),$AV$6,IF(OR(COUNTIF('1.연간시수표'!Y70,$AW$9),COUNTIF('1.연간시수표'!Y70,$AW$7)),$AW$6,IF(OR(COUNTIF('1.연간시수표'!Y70,$AX$9),COUNTIF('1.연간시수표'!Y70,$AX$7)),$AX$6,IF(OR(COUNTIF('1.연간시수표'!Y70,$AY$9),COUNTIF('1.연간시수표'!Y70,$AY$7)),$AY$6,IF(OR(COUNTIF('1.연간시수표'!Y70,$AZ$9),COUNTIF('1.연간시수표'!Y70,$AZ$7)),$AZ$6,IF(OR(COUNTIF('1.연간시수표'!Y70,$BA$9),COUNTIF('1.연간시수표'!Y70,$BA$7)),$BA$6,IF(OR(COUNTIF('1.연간시수표'!Y70,$BB$9),COUNTIF('1.연간시수표'!Y70,$BB$7)),$BB$6,IF(OR(COUNTIF('1.연간시수표'!Y70,$BC$9),COUNTIF('1.연간시수표'!Y70,$BC$7)),$BC$6,IF(OR(COUNTIF('1.연간시수표'!Y70,$BF$9),COUNTIF('1.연간시수표'!Y70,$BF$7),COUNTIF('1.연간시수표'!Y70,$BG$9),COUNTIF('1.연간시수표'!Y70,$BG$7),COUNTIF('1.연간시수표'!Y70,$BH$9),COUNTIF('1.연간시수표'!Y70,$BH$7),COUNTIF('1.연간시수표'!Y70,$BI$9),COUNTIF('1.연간시수표'!Y70,$BI$7),COUNTIF('1.연간시수표'!Y70,$BJ$9),COUNTIF('1.연간시수표'!Y70,$BJ$7),COUNTIF('1.연간시수표'!Y70,$BK$9),COUNTIF('1.연간시수표'!Y70,$BK$7),COUNTIF('1.연간시수표'!Y70,$BL$9),COUNTIF('1.연간시수표'!Y70,$BL$7),COUNTIF('1.연간시수표'!Y70,$BM$9),COUNTIF('1.연간시수표'!Y70,$BM$7)),$BF$6,IF(OR(COUNTIF('1.연간시수표'!Y70,$BO$9),COUNTIF('1.연간시수표'!Y70,$BO$7)),$BO$6,IF(OR(COUNTIF('1.연간시수표'!Y70,$BP$9),COUNTIF('1.연간시수표'!Y70,$BP$7)),$BP$6,IF(OR(COUNTIF('1.연간시수표'!Y70,$BQ$9),COUNTIF('1.연간시수표'!Y70,$BQ$7)),$BQ$6,IF(OR(COUNTIF('1.연간시수표'!Y70,$BR$9),COUNTIF('1.연간시수표'!Y70,$BR$7)),$BR$6,"_")))))))))))))))</f>
        <v>_</v>
      </c>
      <c r="Z70" s="148" t="str">
        <f>IF(OR(COUNTIF('1.연간시수표'!Z70,$AT$9),COUNTIF('1.연간시수표'!Z70,$AT$7)),$AT$6,IF(OR(COUNTIF('1.연간시수표'!Z70,$AU$9),COUNTIF('1.연간시수표'!Z70,$AU$7)),$AU$6,IF(OR(COUNTIF('1.연간시수표'!Z70,$AV$9),COUNTIF('1.연간시수표'!Z70,$AV$7)),$AV$6,IF(OR(COUNTIF('1.연간시수표'!Z70,$AW$9),COUNTIF('1.연간시수표'!Z70,$AW$7)),$AW$6,IF(OR(COUNTIF('1.연간시수표'!Z70,$AX$9),COUNTIF('1.연간시수표'!Z70,$AX$7)),$AX$6,IF(OR(COUNTIF('1.연간시수표'!Z70,$AY$9),COUNTIF('1.연간시수표'!Z70,$AY$7)),$AY$6,IF(OR(COUNTIF('1.연간시수표'!Z70,$AZ$9),COUNTIF('1.연간시수표'!Z70,$AZ$7)),$AZ$6,IF(OR(COUNTIF('1.연간시수표'!Z70,$BA$9),COUNTIF('1.연간시수표'!Z70,$BA$7)),$BA$6,IF(OR(COUNTIF('1.연간시수표'!Z70,$BB$9),COUNTIF('1.연간시수표'!Z70,$BB$7)),$BB$6,IF(OR(COUNTIF('1.연간시수표'!Z70,$BC$9),COUNTIF('1.연간시수표'!Z70,$BC$7)),$BC$6,IF(OR(COUNTIF('1.연간시수표'!Z70,$BF$9),COUNTIF('1.연간시수표'!Z70,$BF$7),COUNTIF('1.연간시수표'!Z70,$BG$9),COUNTIF('1.연간시수표'!Z70,$BG$7),COUNTIF('1.연간시수표'!Z70,$BH$9),COUNTIF('1.연간시수표'!Z70,$BH$7),COUNTIF('1.연간시수표'!Z70,$BI$9),COUNTIF('1.연간시수표'!Z70,$BI$7),COUNTIF('1.연간시수표'!Z70,$BJ$9),COUNTIF('1.연간시수표'!Z70,$BJ$7),COUNTIF('1.연간시수표'!Z70,$BK$9),COUNTIF('1.연간시수표'!Z70,$BK$7),COUNTIF('1.연간시수표'!Z70,$BL$9),COUNTIF('1.연간시수표'!Z70,$BL$7),COUNTIF('1.연간시수표'!Z70,$BM$9),COUNTIF('1.연간시수표'!Z70,$BM$7)),$BF$6,IF(OR(COUNTIF('1.연간시수표'!Z70,$BO$9),COUNTIF('1.연간시수표'!Z70,$BO$7)),$BO$6,IF(OR(COUNTIF('1.연간시수표'!Z70,$BP$9),COUNTIF('1.연간시수표'!Z70,$BP$7)),$BP$6,IF(OR(COUNTIF('1.연간시수표'!Z70,$BQ$9),COUNTIF('1.연간시수표'!Z70,$BQ$7)),$BQ$6,IF(OR(COUNTIF('1.연간시수표'!Z70,$BR$9),COUNTIF('1.연간시수표'!Z70,$BR$7)),$BR$6,"_")))))))))))))))</f>
        <v>_</v>
      </c>
      <c r="AA70" s="148" t="str">
        <f>IF(OR(COUNTIF('1.연간시수표'!AA70,$AT$9),COUNTIF('1.연간시수표'!AA70,$AT$7)),$AT$6,IF(OR(COUNTIF('1.연간시수표'!AA70,$AU$9),COUNTIF('1.연간시수표'!AA70,$AU$7)),$AU$6,IF(OR(COUNTIF('1.연간시수표'!AA70,$AV$9),COUNTIF('1.연간시수표'!AA70,$AV$7)),$AV$6,IF(OR(COUNTIF('1.연간시수표'!AA70,$AW$9),COUNTIF('1.연간시수표'!AA70,$AW$7)),$AW$6,IF(OR(COUNTIF('1.연간시수표'!AA70,$AX$9),COUNTIF('1.연간시수표'!AA70,$AX$7)),$AX$6,IF(OR(COUNTIF('1.연간시수표'!AA70,$AY$9),COUNTIF('1.연간시수표'!AA70,$AY$7)),$AY$6,IF(OR(COUNTIF('1.연간시수표'!AA70,$AZ$9),COUNTIF('1.연간시수표'!AA70,$AZ$7)),$AZ$6,IF(OR(COUNTIF('1.연간시수표'!AA70,$BA$9),COUNTIF('1.연간시수표'!AA70,$BA$7)),$BA$6,IF(OR(COUNTIF('1.연간시수표'!AA70,$BB$9),COUNTIF('1.연간시수표'!AA70,$BB$7)),$BB$6,IF(OR(COUNTIF('1.연간시수표'!AA70,$BC$9),COUNTIF('1.연간시수표'!AA70,$BC$7)),$BC$6,IF(OR(COUNTIF('1.연간시수표'!AA70,$BF$9),COUNTIF('1.연간시수표'!AA70,$BF$7),COUNTIF('1.연간시수표'!AA70,$BG$9),COUNTIF('1.연간시수표'!AA70,$BG$7),COUNTIF('1.연간시수표'!AA70,$BH$9),COUNTIF('1.연간시수표'!AA70,$BH$7),COUNTIF('1.연간시수표'!AA70,$BI$9),COUNTIF('1.연간시수표'!AA70,$BI$7),COUNTIF('1.연간시수표'!AA70,$BJ$9),COUNTIF('1.연간시수표'!AA70,$BJ$7),COUNTIF('1.연간시수표'!AA70,$BK$9),COUNTIF('1.연간시수표'!AA70,$BK$7),COUNTIF('1.연간시수표'!AA70,$BL$9),COUNTIF('1.연간시수표'!AA70,$BL$7),COUNTIF('1.연간시수표'!AA70,$BM$9),COUNTIF('1.연간시수표'!AA70,$BM$7)),$BF$6,IF(OR(COUNTIF('1.연간시수표'!AA70,$BO$9),COUNTIF('1.연간시수표'!AA70,$BO$7)),$BO$6,IF(OR(COUNTIF('1.연간시수표'!AA70,$BP$9),COUNTIF('1.연간시수표'!AA70,$BP$7)),$BP$6,IF(OR(COUNTIF('1.연간시수표'!AA70,$BQ$9),COUNTIF('1.연간시수표'!AA70,$BQ$7)),$BQ$6,IF(OR(COUNTIF('1.연간시수표'!AA70,$BR$9),COUNTIF('1.연간시수표'!AA70,$BR$7)),$BR$6,"_")))))))))))))))</f>
        <v>_</v>
      </c>
      <c r="AB70" s="148" t="str">
        <f>IF(OR(COUNTIF('1.연간시수표'!AB70,$AT$9),COUNTIF('1.연간시수표'!AB70,$AT$7)),$AT$6,IF(OR(COUNTIF('1.연간시수표'!AB70,$AU$9),COUNTIF('1.연간시수표'!AB70,$AU$7)),$AU$6,IF(OR(COUNTIF('1.연간시수표'!AB70,$AV$9),COUNTIF('1.연간시수표'!AB70,$AV$7)),$AV$6,IF(OR(COUNTIF('1.연간시수표'!AB70,$AW$9),COUNTIF('1.연간시수표'!AB70,$AW$7)),$AW$6,IF(OR(COUNTIF('1.연간시수표'!AB70,$AX$9),COUNTIF('1.연간시수표'!AB70,$AX$7)),$AX$6,IF(OR(COUNTIF('1.연간시수표'!AB70,$AY$9),COUNTIF('1.연간시수표'!AB70,$AY$7)),$AY$6,IF(OR(COUNTIF('1.연간시수표'!AB70,$AZ$9),COUNTIF('1.연간시수표'!AB70,$AZ$7)),$AZ$6,IF(OR(COUNTIF('1.연간시수표'!AB70,$BA$9),COUNTIF('1.연간시수표'!AB70,$BA$7)),$BA$6,IF(OR(COUNTIF('1.연간시수표'!AB70,$BB$9),COUNTIF('1.연간시수표'!AB70,$BB$7)),$BB$6,IF(OR(COUNTIF('1.연간시수표'!AB70,$BC$9),COUNTIF('1.연간시수표'!AB70,$BC$7)),$BC$6,IF(OR(COUNTIF('1.연간시수표'!AB70,$BF$9),COUNTIF('1.연간시수표'!AB70,$BF$7),COUNTIF('1.연간시수표'!AB70,$BG$9),COUNTIF('1.연간시수표'!AB70,$BG$7),COUNTIF('1.연간시수표'!AB70,$BH$9),COUNTIF('1.연간시수표'!AB70,$BH$7),COUNTIF('1.연간시수표'!AB70,$BI$9),COUNTIF('1.연간시수표'!AB70,$BI$7),COUNTIF('1.연간시수표'!AB70,$BJ$9),COUNTIF('1.연간시수표'!AB70,$BJ$7),COUNTIF('1.연간시수표'!AB70,$BK$9),COUNTIF('1.연간시수표'!AB70,$BK$7),COUNTIF('1.연간시수표'!AB70,$BL$9),COUNTIF('1.연간시수표'!AB70,$BL$7),COUNTIF('1.연간시수표'!AB70,$BM$9),COUNTIF('1.연간시수표'!AB70,$BM$7)),$BF$6,IF(OR(COUNTIF('1.연간시수표'!AB70,$BO$9),COUNTIF('1.연간시수표'!AB70,$BO$7)),$BO$6,IF(OR(COUNTIF('1.연간시수표'!AB70,$BP$9),COUNTIF('1.연간시수표'!AB70,$BP$7)),$BP$6,IF(OR(COUNTIF('1.연간시수표'!AB70,$BQ$9),COUNTIF('1.연간시수표'!AB70,$BQ$7)),$BQ$6,IF(OR(COUNTIF('1.연간시수표'!AB70,$BR$9),COUNTIF('1.연간시수표'!AB70,$BR$7)),$BR$6,"_")))))))))))))))</f>
        <v>_</v>
      </c>
      <c r="AC70" s="148" t="str">
        <f>IF(OR(COUNTIF('1.연간시수표'!AC70,$AT$9),COUNTIF('1.연간시수표'!AC70,$AT$7)),$AT$6,IF(OR(COUNTIF('1.연간시수표'!AC70,$AU$9),COUNTIF('1.연간시수표'!AC70,$AU$7)),$AU$6,IF(OR(COUNTIF('1.연간시수표'!AC70,$AV$9),COUNTIF('1.연간시수표'!AC70,$AV$7)),$AV$6,IF(OR(COUNTIF('1.연간시수표'!AC70,$AW$9),COUNTIF('1.연간시수표'!AC70,$AW$7)),$AW$6,IF(OR(COUNTIF('1.연간시수표'!AC70,$AX$9),COUNTIF('1.연간시수표'!AC70,$AX$7)),$AX$6,IF(OR(COUNTIF('1.연간시수표'!AC70,$AY$9),COUNTIF('1.연간시수표'!AC70,$AY$7)),$AY$6,IF(OR(COUNTIF('1.연간시수표'!AC70,$AZ$9),COUNTIF('1.연간시수표'!AC70,$AZ$7)),$AZ$6,IF(OR(COUNTIF('1.연간시수표'!AC70,$BA$9),COUNTIF('1.연간시수표'!AC70,$BA$7)),$BA$6,IF(OR(COUNTIF('1.연간시수표'!AC70,$BB$9),COUNTIF('1.연간시수표'!AC70,$BB$7)),$BB$6,IF(OR(COUNTIF('1.연간시수표'!AC70,$BC$9),COUNTIF('1.연간시수표'!AC70,$BC$7)),$BC$6,IF(OR(COUNTIF('1.연간시수표'!AC70,$BF$9),COUNTIF('1.연간시수표'!AC70,$BF$7),COUNTIF('1.연간시수표'!AC70,$BG$9),COUNTIF('1.연간시수표'!AC70,$BG$7),COUNTIF('1.연간시수표'!AC70,$BH$9),COUNTIF('1.연간시수표'!AC70,$BH$7),COUNTIF('1.연간시수표'!AC70,$BI$9),COUNTIF('1.연간시수표'!AC70,$BI$7),COUNTIF('1.연간시수표'!AC70,$BJ$9),COUNTIF('1.연간시수표'!AC70,$BJ$7),COUNTIF('1.연간시수표'!AC70,$BK$9),COUNTIF('1.연간시수표'!AC70,$BK$7),COUNTIF('1.연간시수표'!AC70,$BL$9),COUNTIF('1.연간시수표'!AC70,$BL$7),COUNTIF('1.연간시수표'!AC70,$BM$9),COUNTIF('1.연간시수표'!AC70,$BM$7)),$BF$6,IF(OR(COUNTIF('1.연간시수표'!AC70,$BO$9),COUNTIF('1.연간시수표'!AC70,$BO$7)),$BO$6,IF(OR(COUNTIF('1.연간시수표'!AC70,$BP$9),COUNTIF('1.연간시수표'!AC70,$BP$7)),$BP$6,IF(OR(COUNTIF('1.연간시수표'!AC70,$BQ$9),COUNTIF('1.연간시수표'!AC70,$BQ$7)),$BQ$6,IF(OR(COUNTIF('1.연간시수표'!AC70,$BR$9),COUNTIF('1.연간시수표'!AC70,$BR$7)),$BR$6,"_")))))))))))))))</f>
        <v>자율활동</v>
      </c>
      <c r="AD70" s="148" t="str">
        <f>IF(OR(COUNTIF('1.연간시수표'!AD70,$AT$9),COUNTIF('1.연간시수표'!AD70,$AT$7)),$AT$6,IF(OR(COUNTIF('1.연간시수표'!AD70,$AU$9),COUNTIF('1.연간시수표'!AD70,$AU$7)),$AU$6,IF(OR(COUNTIF('1.연간시수표'!AD70,$AV$9),COUNTIF('1.연간시수표'!AD70,$AV$7)),$AV$6,IF(OR(COUNTIF('1.연간시수표'!AD70,$AW$9),COUNTIF('1.연간시수표'!AD70,$AW$7)),$AW$6,IF(OR(COUNTIF('1.연간시수표'!AD70,$AX$9),COUNTIF('1.연간시수표'!AD70,$AX$7)),$AX$6,IF(OR(COUNTIF('1.연간시수표'!AD70,$AY$9),COUNTIF('1.연간시수표'!AD70,$AY$7)),$AY$6,IF(OR(COUNTIF('1.연간시수표'!AD70,$AZ$9),COUNTIF('1.연간시수표'!AD70,$AZ$7)),$AZ$6,IF(OR(COUNTIF('1.연간시수표'!AD70,$BA$9),COUNTIF('1.연간시수표'!AD70,$BA$7)),$BA$6,IF(OR(COUNTIF('1.연간시수표'!AD70,$BB$9),COUNTIF('1.연간시수표'!AD70,$BB$7)),$BB$6,IF(OR(COUNTIF('1.연간시수표'!AD70,$BC$9),COUNTIF('1.연간시수표'!AD70,$BC$7)),$BC$6,IF(OR(COUNTIF('1.연간시수표'!AD70,$BF$9),COUNTIF('1.연간시수표'!AD70,$BF$7),COUNTIF('1.연간시수표'!AD70,$BG$9),COUNTIF('1.연간시수표'!AD70,$BG$7),COUNTIF('1.연간시수표'!AD70,$BH$9),COUNTIF('1.연간시수표'!AD70,$BH$7),COUNTIF('1.연간시수표'!AD70,$BI$9),COUNTIF('1.연간시수표'!AD70,$BI$7),COUNTIF('1.연간시수표'!AD70,$BJ$9),COUNTIF('1.연간시수표'!AD70,$BJ$7),COUNTIF('1.연간시수표'!AD70,$BK$9),COUNTIF('1.연간시수표'!AD70,$BK$7),COUNTIF('1.연간시수표'!AD70,$BL$9),COUNTIF('1.연간시수표'!AD70,$BL$7),COUNTIF('1.연간시수표'!AD70,$BM$9),COUNTIF('1.연간시수표'!AD70,$BM$7)),$BF$6,IF(OR(COUNTIF('1.연간시수표'!AD70,$BO$9),COUNTIF('1.연간시수표'!AD70,$BO$7)),$BO$6,IF(OR(COUNTIF('1.연간시수표'!AD70,$BP$9),COUNTIF('1.연간시수표'!AD70,$BP$7)),$BP$6,IF(OR(COUNTIF('1.연간시수표'!AD70,$BQ$9),COUNTIF('1.연간시수표'!AD70,$BQ$7)),$BQ$6,IF(OR(COUNTIF('1.연간시수표'!AD70,$BR$9),COUNTIF('1.연간시수표'!AD70,$BR$7)),$BR$6,"_")))))))))))))))</f>
        <v>자율활동</v>
      </c>
      <c r="AE70" s="148" t="str">
        <f>IF(OR(COUNTIF('1.연간시수표'!AE70,$AT$9),COUNTIF('1.연간시수표'!AE70,$AT$7)),$AT$6,IF(OR(COUNTIF('1.연간시수표'!AE70,$AU$9),COUNTIF('1.연간시수표'!AE70,$AU$7)),$AU$6,IF(OR(COUNTIF('1.연간시수표'!AE70,$AV$9),COUNTIF('1.연간시수표'!AE70,$AV$7)),$AV$6,IF(OR(COUNTIF('1.연간시수표'!AE70,$AW$9),COUNTIF('1.연간시수표'!AE70,$AW$7)),$AW$6,IF(OR(COUNTIF('1.연간시수표'!AE70,$AX$9),COUNTIF('1.연간시수표'!AE70,$AX$7)),$AX$6,IF(OR(COUNTIF('1.연간시수표'!AE70,$AY$9),COUNTIF('1.연간시수표'!AE70,$AY$7)),$AY$6,IF(OR(COUNTIF('1.연간시수표'!AE70,$AZ$9),COUNTIF('1.연간시수표'!AE70,$AZ$7)),$AZ$6,IF(OR(COUNTIF('1.연간시수표'!AE70,$BA$9),COUNTIF('1.연간시수표'!AE70,$BA$7)),$BA$6,IF(OR(COUNTIF('1.연간시수표'!AE70,$BB$9),COUNTIF('1.연간시수표'!AE70,$BB$7)),$BB$6,IF(OR(COUNTIF('1.연간시수표'!AE70,$BC$9),COUNTIF('1.연간시수표'!AE70,$BC$7)),$BC$6,IF(OR(COUNTIF('1.연간시수표'!AE70,$BF$9),COUNTIF('1.연간시수표'!AE70,$BF$7),COUNTIF('1.연간시수표'!AE70,$BG$9),COUNTIF('1.연간시수표'!AE70,$BG$7),COUNTIF('1.연간시수표'!AE70,$BH$9),COUNTIF('1.연간시수표'!AE70,$BH$7),COUNTIF('1.연간시수표'!AE70,$BI$9),COUNTIF('1.연간시수표'!AE70,$BI$7),COUNTIF('1.연간시수표'!AE70,$BJ$9),COUNTIF('1.연간시수표'!AE70,$BJ$7),COUNTIF('1.연간시수표'!AE70,$BK$9),COUNTIF('1.연간시수표'!AE70,$BK$7),COUNTIF('1.연간시수표'!AE70,$BL$9),COUNTIF('1.연간시수표'!AE70,$BL$7),COUNTIF('1.연간시수표'!AE70,$BM$9),COUNTIF('1.연간시수표'!AE70,$BM$7)),$BF$6,IF(OR(COUNTIF('1.연간시수표'!AE70,$BO$9),COUNTIF('1.연간시수표'!AE70,$BO$7)),$BO$6,IF(OR(COUNTIF('1.연간시수표'!AE70,$BP$9),COUNTIF('1.연간시수표'!AE70,$BP$7)),$BP$6,IF(OR(COUNTIF('1.연간시수표'!AE70,$BQ$9),COUNTIF('1.연간시수표'!AE70,$BQ$7)),$BQ$6,IF(OR(COUNTIF('1.연간시수표'!AE70,$BR$9),COUNTIF('1.연간시수표'!AE70,$BR$7)),$BR$6,"_")))))))))))))))</f>
        <v>봉사활동</v>
      </c>
      <c r="AF70" s="148" t="str">
        <f>IF(OR(COUNTIF('1.연간시수표'!AF70,$AT$9),COUNTIF('1.연간시수표'!AF70,$AT$7)),$AT$6,IF(OR(COUNTIF('1.연간시수표'!AF70,$AU$9),COUNTIF('1.연간시수표'!AF70,$AU$7)),$AU$6,IF(OR(COUNTIF('1.연간시수표'!AF70,$AV$9),COUNTIF('1.연간시수표'!AF70,$AV$7)),$AV$6,IF(OR(COUNTIF('1.연간시수표'!AF70,$AW$9),COUNTIF('1.연간시수표'!AF70,$AW$7)),$AW$6,IF(OR(COUNTIF('1.연간시수표'!AF70,$AX$9),COUNTIF('1.연간시수표'!AF70,$AX$7)),$AX$6,IF(OR(COUNTIF('1.연간시수표'!AF70,$AY$9),COUNTIF('1.연간시수표'!AF70,$AY$7)),$AY$6,IF(OR(COUNTIF('1.연간시수표'!AF70,$AZ$9),COUNTIF('1.연간시수표'!AF70,$AZ$7)),$AZ$6,IF(OR(COUNTIF('1.연간시수표'!AF70,$BA$9),COUNTIF('1.연간시수표'!AF70,$BA$7)),$BA$6,IF(OR(COUNTIF('1.연간시수표'!AF70,$BB$9),COUNTIF('1.연간시수표'!AF70,$BB$7)),$BB$6,IF(OR(COUNTIF('1.연간시수표'!AF70,$BC$9),COUNTIF('1.연간시수표'!AF70,$BC$7)),$BC$6,IF(OR(COUNTIF('1.연간시수표'!AF70,$BF$9),COUNTIF('1.연간시수표'!AF70,$BF$7),COUNTIF('1.연간시수표'!AF70,$BG$9),COUNTIF('1.연간시수표'!AF70,$BG$7),COUNTIF('1.연간시수표'!AF70,$BH$9),COUNTIF('1.연간시수표'!AF70,$BH$7),COUNTIF('1.연간시수표'!AF70,$BI$9),COUNTIF('1.연간시수표'!AF70,$BI$7),COUNTIF('1.연간시수표'!AF70,$BJ$9),COUNTIF('1.연간시수표'!AF70,$BJ$7),COUNTIF('1.연간시수표'!AF70,$BK$9),COUNTIF('1.연간시수표'!AF70,$BK$7),COUNTIF('1.연간시수표'!AF70,$BL$9),COUNTIF('1.연간시수표'!AF70,$BL$7),COUNTIF('1.연간시수표'!AF70,$BM$9),COUNTIF('1.연간시수표'!AF70,$BM$7)),$BF$6,IF(OR(COUNTIF('1.연간시수표'!AF70,$BO$9),COUNTIF('1.연간시수표'!AF70,$BO$7)),$BO$6,IF(OR(COUNTIF('1.연간시수표'!AF70,$BP$9),COUNTIF('1.연간시수표'!AF70,$BP$7)),$BP$6,IF(OR(COUNTIF('1.연간시수표'!AF70,$BQ$9),COUNTIF('1.연간시수표'!AF70,$BQ$7)),$BQ$6,IF(OR(COUNTIF('1.연간시수표'!AF70,$BR$9),COUNTIF('1.연간시수표'!AF70,$BR$7)),$BR$6,"_")))))))))))))))</f>
        <v>영어</v>
      </c>
      <c r="AG70" s="148" t="str">
        <f>IF(OR(COUNTIF('1.연간시수표'!AG70,$AT$9),COUNTIF('1.연간시수표'!AG70,$AT$7)),$AT$6,IF(OR(COUNTIF('1.연간시수표'!AG70,$AU$9),COUNTIF('1.연간시수표'!AG70,$AU$7)),$AU$6,IF(OR(COUNTIF('1.연간시수표'!AG70,$AV$9),COUNTIF('1.연간시수표'!AG70,$AV$7)),$AV$6,IF(OR(COUNTIF('1.연간시수표'!AG70,$AW$9),COUNTIF('1.연간시수표'!AG70,$AW$7)),$AW$6,IF(OR(COUNTIF('1.연간시수표'!AG70,$AX$9),COUNTIF('1.연간시수표'!AG70,$AX$7)),$AX$6,IF(OR(COUNTIF('1.연간시수표'!AG70,$AY$9),COUNTIF('1.연간시수표'!AG70,$AY$7)),$AY$6,IF(OR(COUNTIF('1.연간시수표'!AG70,$AZ$9),COUNTIF('1.연간시수표'!AG70,$AZ$7)),$AZ$6,IF(OR(COUNTIF('1.연간시수표'!AG70,$BA$9),COUNTIF('1.연간시수표'!AG70,$BA$7)),$BA$6,IF(OR(COUNTIF('1.연간시수표'!AG70,$BB$9),COUNTIF('1.연간시수표'!AG70,$BB$7)),$BB$6,IF(OR(COUNTIF('1.연간시수표'!AG70,$BC$9),COUNTIF('1.연간시수표'!AG70,$BC$7)),$BC$6,IF(OR(COUNTIF('1.연간시수표'!AG70,$BF$9),COUNTIF('1.연간시수표'!AG70,$BF$7),COUNTIF('1.연간시수표'!AG70,$BG$9),COUNTIF('1.연간시수표'!AG70,$BG$7),COUNTIF('1.연간시수표'!AG70,$BH$9),COUNTIF('1.연간시수표'!AG70,$BH$7),COUNTIF('1.연간시수표'!AG70,$BI$9),COUNTIF('1.연간시수표'!AG70,$BI$7),COUNTIF('1.연간시수표'!AG70,$BJ$9),COUNTIF('1.연간시수표'!AG70,$BJ$7),COUNTIF('1.연간시수표'!AG70,$BK$9),COUNTIF('1.연간시수표'!AG70,$BK$7),COUNTIF('1.연간시수표'!AG70,$BL$9),COUNTIF('1.연간시수표'!AG70,$BL$7),COUNTIF('1.연간시수표'!AG70,$BM$9),COUNTIF('1.연간시수표'!AG70,$BM$7)),$BF$6,IF(OR(COUNTIF('1.연간시수표'!AG70,$BO$9),COUNTIF('1.연간시수표'!AG70,$BO$7)),$BO$6,IF(OR(COUNTIF('1.연간시수표'!AG70,$BP$9),COUNTIF('1.연간시수표'!AG70,$BP$7)),$BP$6,IF(OR(COUNTIF('1.연간시수표'!AG70,$BQ$9),COUNTIF('1.연간시수표'!AG70,$BQ$7)),$BQ$6,IF(OR(COUNTIF('1.연간시수표'!AG70,$BR$9),COUNTIF('1.연간시수표'!AG70,$BR$7)),$BR$6,"_")))))))))))))))</f>
        <v>과학</v>
      </c>
      <c r="AH70" s="148" t="str">
        <f>IF(OR(COUNTIF('1.연간시수표'!AH70,$AT$9),COUNTIF('1.연간시수표'!AH70,$AT$7)),$AT$6,IF(OR(COUNTIF('1.연간시수표'!AH70,$AU$9),COUNTIF('1.연간시수표'!AH70,$AU$7)),$AU$6,IF(OR(COUNTIF('1.연간시수표'!AH70,$AV$9),COUNTIF('1.연간시수표'!AH70,$AV$7)),$AV$6,IF(OR(COUNTIF('1.연간시수표'!AH70,$AW$9),COUNTIF('1.연간시수표'!AH70,$AW$7)),$AW$6,IF(OR(COUNTIF('1.연간시수표'!AH70,$AX$9),COUNTIF('1.연간시수표'!AH70,$AX$7)),$AX$6,IF(OR(COUNTIF('1.연간시수표'!AH70,$AY$9),COUNTIF('1.연간시수표'!AH70,$AY$7)),$AY$6,IF(OR(COUNTIF('1.연간시수표'!AH70,$AZ$9),COUNTIF('1.연간시수표'!AH70,$AZ$7)),$AZ$6,IF(OR(COUNTIF('1.연간시수표'!AH70,$BA$9),COUNTIF('1.연간시수표'!AH70,$BA$7)),$BA$6,IF(OR(COUNTIF('1.연간시수표'!AH70,$BB$9),COUNTIF('1.연간시수표'!AH70,$BB$7)),$BB$6,IF(OR(COUNTIF('1.연간시수표'!AH70,$BC$9),COUNTIF('1.연간시수표'!AH70,$BC$7)),$BC$6,IF(OR(COUNTIF('1.연간시수표'!AH70,$BF$9),COUNTIF('1.연간시수표'!AH70,$BF$7),COUNTIF('1.연간시수표'!AH70,$BG$9),COUNTIF('1.연간시수표'!AH70,$BG$7),COUNTIF('1.연간시수표'!AH70,$BH$9),COUNTIF('1.연간시수표'!AH70,$BH$7),COUNTIF('1.연간시수표'!AH70,$BI$9),COUNTIF('1.연간시수표'!AH70,$BI$7),COUNTIF('1.연간시수표'!AH70,$BJ$9),COUNTIF('1.연간시수표'!AH70,$BJ$7),COUNTIF('1.연간시수표'!AH70,$BK$9),COUNTIF('1.연간시수표'!AH70,$BK$7),COUNTIF('1.연간시수표'!AH70,$BL$9),COUNTIF('1.연간시수표'!AH70,$BL$7),COUNTIF('1.연간시수표'!AH70,$BM$9),COUNTIF('1.연간시수표'!AH70,$BM$7)),$BF$6,IF(OR(COUNTIF('1.연간시수표'!AH70,$BO$9),COUNTIF('1.연간시수표'!AH70,$BO$7)),$BO$6,IF(OR(COUNTIF('1.연간시수표'!AH70,$BP$9),COUNTIF('1.연간시수표'!AH70,$BP$7)),$BP$6,IF(OR(COUNTIF('1.연간시수표'!AH70,$BQ$9),COUNTIF('1.연간시수표'!AH70,$BQ$7)),$BQ$6,IF(OR(COUNTIF('1.연간시수표'!AH70,$BR$9),COUNTIF('1.연간시수표'!AH70,$BR$7)),$BR$6,"_")))))))))))))))</f>
        <v>_</v>
      </c>
      <c r="AI70" s="148" t="str">
        <f>IF(OR(COUNTIF('1.연간시수표'!AI70,$AT$9),COUNTIF('1.연간시수표'!AI70,$AT$7)),$AT$6,IF(OR(COUNTIF('1.연간시수표'!AI70,$AU$9),COUNTIF('1.연간시수표'!AI70,$AU$7)),$AU$6,IF(OR(COUNTIF('1.연간시수표'!AI70,$AV$9),COUNTIF('1.연간시수표'!AI70,$AV$7)),$AV$6,IF(OR(COUNTIF('1.연간시수표'!AI70,$AW$9),COUNTIF('1.연간시수표'!AI70,$AW$7)),$AW$6,IF(OR(COUNTIF('1.연간시수표'!AI70,$AX$9),COUNTIF('1.연간시수표'!AI70,$AX$7)),$AX$6,IF(OR(COUNTIF('1.연간시수표'!AI70,$AY$9),COUNTIF('1.연간시수표'!AI70,$AY$7)),$AY$6,IF(OR(COUNTIF('1.연간시수표'!AI70,$AZ$9),COUNTIF('1.연간시수표'!AI70,$AZ$7)),$AZ$6,IF(OR(COUNTIF('1.연간시수표'!AI70,$BA$9),COUNTIF('1.연간시수표'!AI70,$BA$7)),$BA$6,IF(OR(COUNTIF('1.연간시수표'!AI70,$BB$9),COUNTIF('1.연간시수표'!AI70,$BB$7)),$BB$6,IF(OR(COUNTIF('1.연간시수표'!AI70,$BC$9),COUNTIF('1.연간시수표'!AI70,$BC$7)),$BC$6,IF(OR(COUNTIF('1.연간시수표'!AI70,$BF$9),COUNTIF('1.연간시수표'!AI70,$BF$7),COUNTIF('1.연간시수표'!AI70,$BG$9),COUNTIF('1.연간시수표'!AI70,$BG$7),COUNTIF('1.연간시수표'!AI70,$BH$9),COUNTIF('1.연간시수표'!AI70,$BH$7),COUNTIF('1.연간시수표'!AI70,$BI$9),COUNTIF('1.연간시수표'!AI70,$BI$7),COUNTIF('1.연간시수표'!AI70,$BJ$9),COUNTIF('1.연간시수표'!AI70,$BJ$7),COUNTIF('1.연간시수표'!AI70,$BK$9),COUNTIF('1.연간시수표'!AI70,$BK$7),COUNTIF('1.연간시수표'!AI70,$BL$9),COUNTIF('1.연간시수표'!AI70,$BL$7),COUNTIF('1.연간시수표'!AI70,$BM$9),COUNTIF('1.연간시수표'!AI70,$BM$7)),$BF$6,IF(OR(COUNTIF('1.연간시수표'!AI70,$BO$9),COUNTIF('1.연간시수표'!AI70,$BO$7)),$BO$6,IF(OR(COUNTIF('1.연간시수표'!AI70,$BP$9),COUNTIF('1.연간시수표'!AI70,$BP$7)),$BP$6,IF(OR(COUNTIF('1.연간시수표'!AI70,$BQ$9),COUNTIF('1.연간시수표'!AI70,$BQ$7)),$BQ$6,IF(OR(COUNTIF('1.연간시수표'!AI70,$BR$9),COUNTIF('1.연간시수표'!AI70,$BR$7)),$BR$6,"_")))))))))))))))</f>
        <v>_</v>
      </c>
      <c r="AJ70" s="148" t="str">
        <f>IF(OR(COUNTIF('1.연간시수표'!AJ70,$AT$9),COUNTIF('1.연간시수표'!AJ70,$AT$7)),$AT$6,IF(OR(COUNTIF('1.연간시수표'!AJ70,$AU$9),COUNTIF('1.연간시수표'!AJ70,$AU$7)),$AU$6,IF(OR(COUNTIF('1.연간시수표'!AJ70,$AV$9),COUNTIF('1.연간시수표'!AJ70,$AV$7)),$AV$6,IF(OR(COUNTIF('1.연간시수표'!AJ70,$AW$9),COUNTIF('1.연간시수표'!AJ70,$AW$7)),$AW$6,IF(OR(COUNTIF('1.연간시수표'!AJ70,$AX$9),COUNTIF('1.연간시수표'!AJ70,$AX$7)),$AX$6,IF(OR(COUNTIF('1.연간시수표'!AJ70,$AY$9),COUNTIF('1.연간시수표'!AJ70,$AY$7)),$AY$6,IF(OR(COUNTIF('1.연간시수표'!AJ70,$AZ$9),COUNTIF('1.연간시수표'!AJ70,$AZ$7)),$AZ$6,IF(OR(COUNTIF('1.연간시수표'!AJ70,$BA$9),COUNTIF('1.연간시수표'!AJ70,$BA$7)),$BA$6,IF(OR(COUNTIF('1.연간시수표'!AJ70,$BB$9),COUNTIF('1.연간시수표'!AJ70,$BB$7)),$BB$6,IF(OR(COUNTIF('1.연간시수표'!AJ70,$BC$9),COUNTIF('1.연간시수표'!AJ70,$BC$7)),$BC$6,IF(OR(COUNTIF('1.연간시수표'!AJ70,$BF$9),COUNTIF('1.연간시수표'!AJ70,$BF$7),COUNTIF('1.연간시수표'!AJ70,$BG$9),COUNTIF('1.연간시수표'!AJ70,$BG$7),COUNTIF('1.연간시수표'!AJ70,$BH$9),COUNTIF('1.연간시수표'!AJ70,$BH$7),COUNTIF('1.연간시수표'!AJ70,$BI$9),COUNTIF('1.연간시수표'!AJ70,$BI$7),COUNTIF('1.연간시수표'!AJ70,$BJ$9),COUNTIF('1.연간시수표'!AJ70,$BJ$7),COUNTIF('1.연간시수표'!AJ70,$BK$9),COUNTIF('1.연간시수표'!AJ70,$BK$7),COUNTIF('1.연간시수표'!AJ70,$BL$9),COUNTIF('1.연간시수표'!AJ70,$BL$7),COUNTIF('1.연간시수표'!AJ70,$BM$9),COUNTIF('1.연간시수표'!AJ70,$BM$7)),$BF$6,IF(OR(COUNTIF('1.연간시수표'!AJ70,$BO$9),COUNTIF('1.연간시수표'!AJ70,$BO$7)),$BO$6,IF(OR(COUNTIF('1.연간시수표'!AJ70,$BP$9),COUNTIF('1.연간시수표'!AJ70,$BP$7)),$BP$6,IF(OR(COUNTIF('1.연간시수표'!AJ70,$BQ$9),COUNTIF('1.연간시수표'!AJ70,$BQ$7)),$BQ$6,IF(OR(COUNTIF('1.연간시수표'!AJ70,$BR$9),COUNTIF('1.연간시수표'!AJ70,$BR$7)),$BR$6,"_")))))))))))))))</f>
        <v>_</v>
      </c>
      <c r="AK70" s="148" t="str">
        <f>IF(OR(COUNTIF('1.연간시수표'!AK70,$AT$9),COUNTIF('1.연간시수표'!AK70,$AT$7)),$AT$6,IF(OR(COUNTIF('1.연간시수표'!AK70,$AU$9),COUNTIF('1.연간시수표'!AK70,$AU$7)),$AU$6,IF(OR(COUNTIF('1.연간시수표'!AK70,$AV$9),COUNTIF('1.연간시수표'!AK70,$AV$7)),$AV$6,IF(OR(COUNTIF('1.연간시수표'!AK70,$AW$9),COUNTIF('1.연간시수표'!AK70,$AW$7)),$AW$6,IF(OR(COUNTIF('1.연간시수표'!AK70,$AX$9),COUNTIF('1.연간시수표'!AK70,$AX$7)),$AX$6,IF(OR(COUNTIF('1.연간시수표'!AK70,$AY$9),COUNTIF('1.연간시수표'!AK70,$AY$7)),$AY$6,IF(OR(COUNTIF('1.연간시수표'!AK70,$AZ$9),COUNTIF('1.연간시수표'!AK70,$AZ$7)),$AZ$6,IF(OR(COUNTIF('1.연간시수표'!AK70,$BA$9),COUNTIF('1.연간시수표'!AK70,$BA$7)),$BA$6,IF(OR(COUNTIF('1.연간시수표'!AK70,$BB$9),COUNTIF('1.연간시수표'!AK70,$BB$7)),$BB$6,IF(OR(COUNTIF('1.연간시수표'!AK70,$BC$9),COUNTIF('1.연간시수표'!AK70,$BC$7)),$BC$6,IF(OR(COUNTIF('1.연간시수표'!AK70,$BF$9),COUNTIF('1.연간시수표'!AK70,$BF$7),COUNTIF('1.연간시수표'!AK70,$BG$9),COUNTIF('1.연간시수표'!AK70,$BG$7),COUNTIF('1.연간시수표'!AK70,$BH$9),COUNTIF('1.연간시수표'!AK70,$BH$7),COUNTIF('1.연간시수표'!AK70,$BI$9),COUNTIF('1.연간시수표'!AK70,$BI$7),COUNTIF('1.연간시수표'!AK70,$BJ$9),COUNTIF('1.연간시수표'!AK70,$BJ$7),COUNTIF('1.연간시수표'!AK70,$BK$9),COUNTIF('1.연간시수표'!AK70,$BK$7),COUNTIF('1.연간시수표'!AK70,$BL$9),COUNTIF('1.연간시수표'!AK70,$BL$7),COUNTIF('1.연간시수표'!AK70,$BM$9),COUNTIF('1.연간시수표'!AK70,$BM$7)),$BF$6,IF(OR(COUNTIF('1.연간시수표'!AK70,$BO$9),COUNTIF('1.연간시수표'!AK70,$BO$7)),$BO$6,IF(OR(COUNTIF('1.연간시수표'!AK70,$BP$9),COUNTIF('1.연간시수표'!AK70,$BP$7)),$BP$6,IF(OR(COUNTIF('1.연간시수표'!AK70,$BQ$9),COUNTIF('1.연간시수표'!AK70,$BQ$7)),$BQ$6,IF(OR(COUNTIF('1.연간시수표'!AK70,$BR$9),COUNTIF('1.연간시수표'!AK70,$BR$7)),$BR$6,"_")))))))))))))))</f>
        <v>국어</v>
      </c>
      <c r="AL70" s="148" t="str">
        <f>IF(OR(COUNTIF('1.연간시수표'!AL70,$AT$9),COUNTIF('1.연간시수표'!AL70,$AT$7)),$AT$6,IF(OR(COUNTIF('1.연간시수표'!AL70,$AU$9),COUNTIF('1.연간시수표'!AL70,$AU$7)),$AU$6,IF(OR(COUNTIF('1.연간시수표'!AL70,$AV$9),COUNTIF('1.연간시수표'!AL70,$AV$7)),$AV$6,IF(OR(COUNTIF('1.연간시수표'!AL70,$AW$9),COUNTIF('1.연간시수표'!AL70,$AW$7)),$AW$6,IF(OR(COUNTIF('1.연간시수표'!AL70,$AX$9),COUNTIF('1.연간시수표'!AL70,$AX$7)),$AX$6,IF(OR(COUNTIF('1.연간시수표'!AL70,$AY$9),COUNTIF('1.연간시수표'!AL70,$AY$7)),$AY$6,IF(OR(COUNTIF('1.연간시수표'!AL70,$AZ$9),COUNTIF('1.연간시수표'!AL70,$AZ$7)),$AZ$6,IF(OR(COUNTIF('1.연간시수표'!AL70,$BA$9),COUNTIF('1.연간시수표'!AL70,$BA$7)),$BA$6,IF(OR(COUNTIF('1.연간시수표'!AL70,$BB$9),COUNTIF('1.연간시수표'!AL70,$BB$7)),$BB$6,IF(OR(COUNTIF('1.연간시수표'!AL70,$BC$9),COUNTIF('1.연간시수표'!AL70,$BC$7)),$BC$6,IF(OR(COUNTIF('1.연간시수표'!AL70,$BF$9),COUNTIF('1.연간시수표'!AL70,$BF$7),COUNTIF('1.연간시수표'!AL70,$BG$9),COUNTIF('1.연간시수표'!AL70,$BG$7),COUNTIF('1.연간시수표'!AL70,$BH$9),COUNTIF('1.연간시수표'!AL70,$BH$7),COUNTIF('1.연간시수표'!AL70,$BI$9),COUNTIF('1.연간시수표'!AL70,$BI$7),COUNTIF('1.연간시수표'!AL70,$BJ$9),COUNTIF('1.연간시수표'!AL70,$BJ$7),COUNTIF('1.연간시수표'!AL70,$BK$9),COUNTIF('1.연간시수표'!AL70,$BK$7),COUNTIF('1.연간시수표'!AL70,$BL$9),COUNTIF('1.연간시수표'!AL70,$BL$7),COUNTIF('1.연간시수표'!AL70,$BM$9),COUNTIF('1.연간시수표'!AL70,$BM$7)),$BF$6,IF(OR(COUNTIF('1.연간시수표'!AL70,$BO$9),COUNTIF('1.연간시수표'!AL70,$BO$7)),$BO$6,IF(OR(COUNTIF('1.연간시수표'!AL70,$BP$9),COUNTIF('1.연간시수표'!AL70,$BP$7)),$BP$6,IF(OR(COUNTIF('1.연간시수표'!AL70,$BQ$9),COUNTIF('1.연간시수표'!AL70,$BQ$7)),$BQ$6,IF(OR(COUNTIF('1.연간시수표'!AL70,$BR$9),COUNTIF('1.연간시수표'!AL70,$BR$7)),$BR$6,"_")))))))))))))))</f>
        <v>체육</v>
      </c>
      <c r="AM70" s="148" t="str">
        <f>IF(OR(COUNTIF('1.연간시수표'!AM70,$AT$9),COUNTIF('1.연간시수표'!AM70,$AT$7)),$AT$6,IF(OR(COUNTIF('1.연간시수표'!AM70,$AU$9),COUNTIF('1.연간시수표'!AM70,$AU$7)),$AU$6,IF(OR(COUNTIF('1.연간시수표'!AM70,$AV$9),COUNTIF('1.연간시수표'!AM70,$AV$7)),$AV$6,IF(OR(COUNTIF('1.연간시수표'!AM70,$AW$9),COUNTIF('1.연간시수표'!AM70,$AW$7)),$AW$6,IF(OR(COUNTIF('1.연간시수표'!AM70,$AX$9),COUNTIF('1.연간시수표'!AM70,$AX$7)),$AX$6,IF(OR(COUNTIF('1.연간시수표'!AM70,$AY$9),COUNTIF('1.연간시수표'!AM70,$AY$7)),$AY$6,IF(OR(COUNTIF('1.연간시수표'!AM70,$AZ$9),COUNTIF('1.연간시수표'!AM70,$AZ$7)),$AZ$6,IF(OR(COUNTIF('1.연간시수표'!AM70,$BA$9),COUNTIF('1.연간시수표'!AM70,$BA$7)),$BA$6,IF(OR(COUNTIF('1.연간시수표'!AM70,$BB$9),COUNTIF('1.연간시수표'!AM70,$BB$7)),$BB$6,IF(OR(COUNTIF('1.연간시수표'!AM70,$BC$9),COUNTIF('1.연간시수표'!AM70,$BC$7)),$BC$6,IF(OR(COUNTIF('1.연간시수표'!AM70,$BF$9),COUNTIF('1.연간시수표'!AM70,$BF$7),COUNTIF('1.연간시수표'!AM70,$BG$9),COUNTIF('1.연간시수표'!AM70,$BG$7),COUNTIF('1.연간시수표'!AM70,$BH$9),COUNTIF('1.연간시수표'!AM70,$BH$7),COUNTIF('1.연간시수표'!AM70,$BI$9),COUNTIF('1.연간시수표'!AM70,$BI$7),COUNTIF('1.연간시수표'!AM70,$BJ$9),COUNTIF('1.연간시수표'!AM70,$BJ$7),COUNTIF('1.연간시수표'!AM70,$BK$9),COUNTIF('1.연간시수표'!AM70,$BK$7),COUNTIF('1.연간시수표'!AM70,$BL$9),COUNTIF('1.연간시수표'!AM70,$BL$7),COUNTIF('1.연간시수표'!AM70,$BM$9),COUNTIF('1.연간시수표'!AM70,$BM$7)),$BF$6,IF(OR(COUNTIF('1.연간시수표'!AM70,$BO$9),COUNTIF('1.연간시수표'!AM70,$BO$7)),$BO$6,IF(OR(COUNTIF('1.연간시수표'!AM70,$BP$9),COUNTIF('1.연간시수표'!AM70,$BP$7)),$BP$6,IF(OR(COUNTIF('1.연간시수표'!AM70,$BQ$9),COUNTIF('1.연간시수표'!AM70,$BQ$7)),$BQ$6,IF(OR(COUNTIF('1.연간시수표'!AM70,$BR$9),COUNTIF('1.연간시수표'!AM70,$BR$7)),$BR$6,"_")))))))))))))))</f>
        <v>수학</v>
      </c>
      <c r="AN70" s="148" t="str">
        <f>IF(OR(COUNTIF('1.연간시수표'!AN70,$AT$9),COUNTIF('1.연간시수표'!AN70,$AT$7)),$AT$6,IF(OR(COUNTIF('1.연간시수표'!AN70,$AU$9),COUNTIF('1.연간시수표'!AN70,$AU$7)),$AU$6,IF(OR(COUNTIF('1.연간시수표'!AN70,$AV$9),COUNTIF('1.연간시수표'!AN70,$AV$7)),$AV$6,IF(OR(COUNTIF('1.연간시수표'!AN70,$AW$9),COUNTIF('1.연간시수표'!AN70,$AW$7)),$AW$6,IF(OR(COUNTIF('1.연간시수표'!AN70,$AX$9),COUNTIF('1.연간시수표'!AN70,$AX$7)),$AX$6,IF(OR(COUNTIF('1.연간시수표'!AN70,$AY$9),COUNTIF('1.연간시수표'!AN70,$AY$7)),$AY$6,IF(OR(COUNTIF('1.연간시수표'!AN70,$AZ$9),COUNTIF('1.연간시수표'!AN70,$AZ$7)),$AZ$6,IF(OR(COUNTIF('1.연간시수표'!AN70,$BA$9),COUNTIF('1.연간시수표'!AN70,$BA$7)),$BA$6,IF(OR(COUNTIF('1.연간시수표'!AN70,$BB$9),COUNTIF('1.연간시수표'!AN70,$BB$7)),$BB$6,IF(OR(COUNTIF('1.연간시수표'!AN70,$BC$9),COUNTIF('1.연간시수표'!AN70,$BC$7)),$BC$6,IF(OR(COUNTIF('1.연간시수표'!AN70,$BF$9),COUNTIF('1.연간시수표'!AN70,$BF$7),COUNTIF('1.연간시수표'!AN70,$BG$9),COUNTIF('1.연간시수표'!AN70,$BG$7),COUNTIF('1.연간시수표'!AN70,$BH$9),COUNTIF('1.연간시수표'!AN70,$BH$7),COUNTIF('1.연간시수표'!AN70,$BI$9),COUNTIF('1.연간시수표'!AN70,$BI$7),COUNTIF('1.연간시수표'!AN70,$BJ$9),COUNTIF('1.연간시수표'!AN70,$BJ$7),COUNTIF('1.연간시수표'!AN70,$BK$9),COUNTIF('1.연간시수표'!AN70,$BK$7),COUNTIF('1.연간시수표'!AN70,$BL$9),COUNTIF('1.연간시수표'!AN70,$BL$7),COUNTIF('1.연간시수표'!AN70,$BM$9),COUNTIF('1.연간시수표'!AN70,$BM$7)),$BF$6,IF(OR(COUNTIF('1.연간시수표'!AN70,$BO$9),COUNTIF('1.연간시수표'!AN70,$BO$7)),$BO$6,IF(OR(COUNTIF('1.연간시수표'!AN70,$BP$9),COUNTIF('1.연간시수표'!AN70,$BP$7)),$BP$6,IF(OR(COUNTIF('1.연간시수표'!AN70,$BQ$9),COUNTIF('1.연간시수표'!AN70,$BQ$7)),$BQ$6,IF(OR(COUNTIF('1.연간시수표'!AN70,$BR$9),COUNTIF('1.연간시수표'!AN70,$BR$7)),$BR$6,"_")))))))))))))))</f>
        <v>국어</v>
      </c>
      <c r="AO70" s="148" t="str">
        <f>IF(OR(COUNTIF('1.연간시수표'!AO70,$AT$9),COUNTIF('1.연간시수표'!AO70,$AT$7)),$AT$6,IF(OR(COUNTIF('1.연간시수표'!AO70,$AU$9),COUNTIF('1.연간시수표'!AO70,$AU$7)),$AU$6,IF(OR(COUNTIF('1.연간시수표'!AO70,$AV$9),COUNTIF('1.연간시수표'!AO70,$AV$7)),$AV$6,IF(OR(COUNTIF('1.연간시수표'!AO70,$AW$9),COUNTIF('1.연간시수표'!AO70,$AW$7)),$AW$6,IF(OR(COUNTIF('1.연간시수표'!AO70,$AX$9),COUNTIF('1.연간시수표'!AO70,$AX$7)),$AX$6,IF(OR(COUNTIF('1.연간시수표'!AO70,$AY$9),COUNTIF('1.연간시수표'!AO70,$AY$7)),$AY$6,IF(OR(COUNTIF('1.연간시수표'!AO70,$AZ$9),COUNTIF('1.연간시수표'!AO70,$AZ$7)),$AZ$6,IF(OR(COUNTIF('1.연간시수표'!AO70,$BA$9),COUNTIF('1.연간시수표'!AO70,$BA$7)),$BA$6,IF(OR(COUNTIF('1.연간시수표'!AO70,$BB$9),COUNTIF('1.연간시수표'!AO70,$BB$7)),$BB$6,IF(OR(COUNTIF('1.연간시수표'!AO70,$BC$9),COUNTIF('1.연간시수표'!AO70,$BC$7)),$BC$6,IF(OR(COUNTIF('1.연간시수표'!AO70,$BF$9),COUNTIF('1.연간시수표'!AO70,$BF$7),COUNTIF('1.연간시수표'!AO70,$BG$9),COUNTIF('1.연간시수표'!AO70,$BG$7),COUNTIF('1.연간시수표'!AO70,$BH$9),COUNTIF('1.연간시수표'!AO70,$BH$7),COUNTIF('1.연간시수표'!AO70,$BI$9),COUNTIF('1.연간시수표'!AO70,$BI$7),COUNTIF('1.연간시수표'!AO70,$BJ$9),COUNTIF('1.연간시수표'!AO70,$BJ$7),COUNTIF('1.연간시수표'!AO70,$BK$9),COUNTIF('1.연간시수표'!AO70,$BK$7),COUNTIF('1.연간시수표'!AO70,$BL$9),COUNTIF('1.연간시수표'!AO70,$BL$7),COUNTIF('1.연간시수표'!AO70,$BM$9),COUNTIF('1.연간시수표'!AO70,$BM$7)),$BF$6,IF(OR(COUNTIF('1.연간시수표'!AO70,$BO$9),COUNTIF('1.연간시수표'!AO70,$BO$7)),$BO$6,IF(OR(COUNTIF('1.연간시수표'!AO70,$BP$9),COUNTIF('1.연간시수표'!AO70,$BP$7)),$BP$6,IF(OR(COUNTIF('1.연간시수표'!AO70,$BQ$9),COUNTIF('1.연간시수표'!AO70,$BQ$7)),$BQ$6,IF(OR(COUNTIF('1.연간시수표'!AO70,$BR$9),COUNTIF('1.연간시수표'!AO70,$BR$7)),$BR$6,"_")))))))))))))))</f>
        <v>사회</v>
      </c>
      <c r="AP70" s="148" t="str">
        <f>IF(OR(COUNTIF('1.연간시수표'!AP70,$AT$9),COUNTIF('1.연간시수표'!AP70,$AT$7)),$AT$6,IF(OR(COUNTIF('1.연간시수표'!AP70,$AU$9),COUNTIF('1.연간시수표'!AP70,$AU$7)),$AU$6,IF(OR(COUNTIF('1.연간시수표'!AP70,$AV$9),COUNTIF('1.연간시수표'!AP70,$AV$7)),$AV$6,IF(OR(COUNTIF('1.연간시수표'!AP70,$AW$9),COUNTIF('1.연간시수표'!AP70,$AW$7)),$AW$6,IF(OR(COUNTIF('1.연간시수표'!AP70,$AX$9),COUNTIF('1.연간시수표'!AP70,$AX$7)),$AX$6,IF(OR(COUNTIF('1.연간시수표'!AP70,$AY$9),COUNTIF('1.연간시수표'!AP70,$AY$7)),$AY$6,IF(OR(COUNTIF('1.연간시수표'!AP70,$AZ$9),COUNTIF('1.연간시수표'!AP70,$AZ$7)),$AZ$6,IF(OR(COUNTIF('1.연간시수표'!AP70,$BA$9),COUNTIF('1.연간시수표'!AP70,$BA$7)),$BA$6,IF(OR(COUNTIF('1.연간시수표'!AP70,$BB$9),COUNTIF('1.연간시수표'!AP70,$BB$7)),$BB$6,IF(OR(COUNTIF('1.연간시수표'!AP70,$BC$9),COUNTIF('1.연간시수표'!AP70,$BC$7)),$BC$6,IF(OR(COUNTIF('1.연간시수표'!AP70,$BF$9),COUNTIF('1.연간시수표'!AP70,$BF$7),COUNTIF('1.연간시수표'!AP70,$BG$9),COUNTIF('1.연간시수표'!AP70,$BG$7),COUNTIF('1.연간시수표'!AP70,$BH$9),COUNTIF('1.연간시수표'!AP70,$BH$7),COUNTIF('1.연간시수표'!AP70,$BI$9),COUNTIF('1.연간시수표'!AP70,$BI$7),COUNTIF('1.연간시수표'!AP70,$BJ$9),COUNTIF('1.연간시수표'!AP70,$BJ$7),COUNTIF('1.연간시수표'!AP70,$BK$9),COUNTIF('1.연간시수표'!AP70,$BK$7),COUNTIF('1.연간시수표'!AP70,$BL$9),COUNTIF('1.연간시수표'!AP70,$BL$7),COUNTIF('1.연간시수표'!AP70,$BM$9),COUNTIF('1.연간시수표'!AP70,$BM$7)),$BF$6,IF(OR(COUNTIF('1.연간시수표'!AP70,$BO$9),COUNTIF('1.연간시수표'!AP70,$BO$7)),$BO$6,IF(OR(COUNTIF('1.연간시수표'!AP70,$BP$9),COUNTIF('1.연간시수표'!AP70,$BP$7)),$BP$6,IF(OR(COUNTIF('1.연간시수표'!AP70,$BQ$9),COUNTIF('1.연간시수표'!AP70,$BQ$7)),$BQ$6,IF(OR(COUNTIF('1.연간시수표'!AP70,$BR$9),COUNTIF('1.연간시수표'!AP70,$BR$7)),$BR$6,"_")))))))))))))))</f>
        <v>체육</v>
      </c>
      <c r="AQ70" s="148" t="str">
        <f>IF(OR(COUNTIF('1.연간시수표'!AQ70,$AT$9),COUNTIF('1.연간시수표'!AQ70,$AT$7)),$AT$6,IF(OR(COUNTIF('1.연간시수표'!AQ70,$AU$9),COUNTIF('1.연간시수표'!AQ70,$AU$7)),$AU$6,IF(OR(COUNTIF('1.연간시수표'!AQ70,$AV$9),COUNTIF('1.연간시수표'!AQ70,$AV$7)),$AV$6,IF(OR(COUNTIF('1.연간시수표'!AQ70,$AW$9),COUNTIF('1.연간시수표'!AQ70,$AW$7)),$AW$6,IF(OR(COUNTIF('1.연간시수표'!AQ70,$AX$9),COUNTIF('1.연간시수표'!AQ70,$AX$7)),$AX$6,IF(OR(COUNTIF('1.연간시수표'!AQ70,$AY$9),COUNTIF('1.연간시수표'!AQ70,$AY$7)),$AY$6,IF(OR(COUNTIF('1.연간시수표'!AQ70,$AZ$9),COUNTIF('1.연간시수표'!AQ70,$AZ$7)),$AZ$6,IF(OR(COUNTIF('1.연간시수표'!AQ70,$BA$9),COUNTIF('1.연간시수표'!AQ70,$BA$7)),$BA$6,IF(OR(COUNTIF('1.연간시수표'!AQ70,$BB$9),COUNTIF('1.연간시수표'!AQ70,$BB$7)),$BB$6,IF(OR(COUNTIF('1.연간시수표'!AQ70,$BC$9),COUNTIF('1.연간시수표'!AQ70,$BC$7)),$BC$6,IF(OR(COUNTIF('1.연간시수표'!AQ70,$BF$9),COUNTIF('1.연간시수표'!AQ70,$BF$7),COUNTIF('1.연간시수표'!AQ70,$BG$9),COUNTIF('1.연간시수표'!AQ70,$BG$7),COUNTIF('1.연간시수표'!AQ70,$BH$9),COUNTIF('1.연간시수표'!AQ70,$BH$7),COUNTIF('1.연간시수표'!AQ70,$BI$9),COUNTIF('1.연간시수표'!AQ70,$BI$7),COUNTIF('1.연간시수표'!AQ70,$BJ$9),COUNTIF('1.연간시수표'!AQ70,$BJ$7),COUNTIF('1.연간시수표'!AQ70,$BK$9),COUNTIF('1.연간시수표'!AQ70,$BK$7),COUNTIF('1.연간시수표'!AQ70,$BL$9),COUNTIF('1.연간시수표'!AQ70,$BL$7),COUNTIF('1.연간시수표'!AQ70,$BM$9),COUNTIF('1.연간시수표'!AQ70,$BM$7)),$BF$6,IF(OR(COUNTIF('1.연간시수표'!AQ70,$BO$9),COUNTIF('1.연간시수표'!AQ70,$BO$7)),$BO$6,IF(OR(COUNTIF('1.연간시수표'!AQ70,$BP$9),COUNTIF('1.연간시수표'!AQ70,$BP$7)),$BP$6,IF(OR(COUNTIF('1.연간시수표'!AQ70,$BQ$9),COUNTIF('1.연간시수표'!AQ70,$BQ$7)),$BQ$6,IF(OR(COUNTIF('1.연간시수표'!AQ70,$BR$9),COUNTIF('1.연간시수표'!AQ70,$BR$7)),$BR$6,"_")))))))))))))))</f>
        <v>_</v>
      </c>
      <c r="AR70" s="148" t="str">
        <f>IF(OR(COUNTIF('1.연간시수표'!AR70,$AT$9),COUNTIF('1.연간시수표'!AR70,$AT$7)),$AT$6,IF(OR(COUNTIF('1.연간시수표'!AR70,$AU$9),COUNTIF('1.연간시수표'!AR70,$AU$7)),$AU$6,IF(OR(COUNTIF('1.연간시수표'!AR70,$AV$9),COUNTIF('1.연간시수표'!AR70,$AV$7)),$AV$6,IF(OR(COUNTIF('1.연간시수표'!AR70,$AW$9),COUNTIF('1.연간시수표'!AR70,$AW$7)),$AW$6,IF(OR(COUNTIF('1.연간시수표'!AR70,$AX$9),COUNTIF('1.연간시수표'!AR70,$AX$7)),$AX$6,IF(OR(COUNTIF('1.연간시수표'!AR70,$AY$9),COUNTIF('1.연간시수표'!AR70,$AY$7)),$AY$6,IF(OR(COUNTIF('1.연간시수표'!AR70,$AZ$9),COUNTIF('1.연간시수표'!AR70,$AZ$7)),$AZ$6,IF(OR(COUNTIF('1.연간시수표'!AR70,$BA$9),COUNTIF('1.연간시수표'!AR70,$BA$7)),$BA$6,IF(OR(COUNTIF('1.연간시수표'!AR70,$BB$9),COUNTIF('1.연간시수표'!AR70,$BB$7)),$BB$6,IF(OR(COUNTIF('1.연간시수표'!AR70,$BC$9),COUNTIF('1.연간시수표'!AR70,$BC$7)),$BC$6,IF(OR(COUNTIF('1.연간시수표'!AR70,$BF$9),COUNTIF('1.연간시수표'!AR70,$BF$7),COUNTIF('1.연간시수표'!AR70,$BG$9),COUNTIF('1.연간시수표'!AR70,$BG$7),COUNTIF('1.연간시수표'!AR70,$BH$9),COUNTIF('1.연간시수표'!AR70,$BH$7),COUNTIF('1.연간시수표'!AR70,$BI$9),COUNTIF('1.연간시수표'!AR70,$BI$7),COUNTIF('1.연간시수표'!AR70,$BJ$9),COUNTIF('1.연간시수표'!AR70,$BJ$7),COUNTIF('1.연간시수표'!AR70,$BK$9),COUNTIF('1.연간시수표'!AR70,$BK$7),COUNTIF('1.연간시수표'!AR70,$BL$9),COUNTIF('1.연간시수표'!AR70,$BL$7),COUNTIF('1.연간시수표'!AR70,$BM$9),COUNTIF('1.연간시수표'!AR70,$BM$7)),$BF$6,IF(OR(COUNTIF('1.연간시수표'!AR70,$BO$9),COUNTIF('1.연간시수표'!AR70,$BO$7)),$BO$6,IF(OR(COUNTIF('1.연간시수표'!AR70,$BP$9),COUNTIF('1.연간시수표'!AR70,$BP$7)),$BP$6,IF(OR(COUNTIF('1.연간시수표'!AR70,$BQ$9),COUNTIF('1.연간시수표'!AR70,$BQ$7)),$BQ$6,IF(OR(COUNTIF('1.연간시수표'!AR70,$BR$9),COUNTIF('1.연간시수표'!AR70,$BR$7)),$BR$6,"_")))))))))))))))</f>
        <v>_</v>
      </c>
    </row>
    <row r="71" spans="2:44">
      <c r="B71" s="6"/>
      <c r="C71" s="79">
        <f>'1.연간시수표'!C71</f>
        <v>40</v>
      </c>
      <c r="D71" s="3"/>
      <c r="E71" s="148" t="str">
        <f>IF(OR(COUNTIF('1.연간시수표'!E71,$AT$9),COUNTIF('1.연간시수표'!E71,$AT$7)),$AT$6,IF(OR(COUNTIF('1.연간시수표'!E71,$AU$9),COUNTIF('1.연간시수표'!E71,$AU$7)),$AU$6,IF(OR(COUNTIF('1.연간시수표'!E71,$AV$9),COUNTIF('1.연간시수표'!E71,$AV$7)),$AV$6,IF(OR(COUNTIF('1.연간시수표'!E71,$AW$9),COUNTIF('1.연간시수표'!E71,$AW$7)),$AW$6,IF(OR(COUNTIF('1.연간시수표'!E71,$AX$9),COUNTIF('1.연간시수표'!E71,$AX$7)),$AX$6,IF(OR(COUNTIF('1.연간시수표'!E71,$AY$9),COUNTIF('1.연간시수표'!E71,$AY$7)),$AY$6,IF(OR(COUNTIF('1.연간시수표'!E71,$AZ$9),COUNTIF('1.연간시수표'!E71,$AZ$7)),$AZ$6,IF(OR(COUNTIF('1.연간시수표'!E71,$BA$9),COUNTIF('1.연간시수표'!E71,$BA$7)),$BA$6,IF(OR(COUNTIF('1.연간시수표'!E71,$BB$9),COUNTIF('1.연간시수표'!E71,$BB$7)),$BB$6,IF(OR(COUNTIF('1.연간시수표'!E71,$BC$9),COUNTIF('1.연간시수표'!E71,$BC$7)),$BC$6,IF(OR(COUNTIF('1.연간시수표'!E71,$BF$9),COUNTIF('1.연간시수표'!E71,$BF$7),COUNTIF('1.연간시수표'!E71,$BG$9),COUNTIF('1.연간시수표'!E71,$BG$7),COUNTIF('1.연간시수표'!E71,$BH$9),COUNTIF('1.연간시수표'!E71,$BH$7),COUNTIF('1.연간시수표'!E71,$BI$9),COUNTIF('1.연간시수표'!E71,$BI$7),COUNTIF('1.연간시수표'!E71,$BJ$9),COUNTIF('1.연간시수표'!E71,$BJ$7),COUNTIF('1.연간시수표'!E71,$BK$9),COUNTIF('1.연간시수표'!E71,$BK$7),COUNTIF('1.연간시수표'!E71,$BL$9),COUNTIF('1.연간시수표'!E71,$BL$7),COUNTIF('1.연간시수표'!E71,$BM$9),COUNTIF('1.연간시수표'!E71,$BM$7)),$BF$6,IF(OR(COUNTIF('1.연간시수표'!E71,$BO$9),COUNTIF('1.연간시수표'!E71,$BO$7)),$BO$6,IF(OR(COUNTIF('1.연간시수표'!E71,$BP$9),COUNTIF('1.연간시수표'!E71,$BP$7)),$BP$6,IF(OR(COUNTIF('1.연간시수표'!E71,$BQ$9),COUNTIF('1.연간시수표'!E71,$BQ$7)),$BQ$6,IF(OR(COUNTIF('1.연간시수표'!E71,$BR$9),COUNTIF('1.연간시수표'!E71,$BR$7)),$BR$6,"_")))))))))))))))</f>
        <v>국어</v>
      </c>
      <c r="F71" s="148" t="str">
        <f>IF(OR(COUNTIF('1.연간시수표'!F71,$AT$9),COUNTIF('1.연간시수표'!F71,$AT$7)),$AT$6,IF(OR(COUNTIF('1.연간시수표'!F71,$AU$9),COUNTIF('1.연간시수표'!F71,$AU$7)),$AU$6,IF(OR(COUNTIF('1.연간시수표'!F71,$AV$9),COUNTIF('1.연간시수표'!F71,$AV$7)),$AV$6,IF(OR(COUNTIF('1.연간시수표'!F71,$AW$9),COUNTIF('1.연간시수표'!F71,$AW$7)),$AW$6,IF(OR(COUNTIF('1.연간시수표'!F71,$AX$9),COUNTIF('1.연간시수표'!F71,$AX$7)),$AX$6,IF(OR(COUNTIF('1.연간시수표'!F71,$AY$9),COUNTIF('1.연간시수표'!F71,$AY$7)),$AY$6,IF(OR(COUNTIF('1.연간시수표'!F71,$AZ$9),COUNTIF('1.연간시수표'!F71,$AZ$7)),$AZ$6,IF(OR(COUNTIF('1.연간시수표'!F71,$BA$9),COUNTIF('1.연간시수표'!F71,$BA$7)),$BA$6,IF(OR(COUNTIF('1.연간시수표'!F71,$BB$9),COUNTIF('1.연간시수표'!F71,$BB$7)),$BB$6,IF(OR(COUNTIF('1.연간시수표'!F71,$BC$9),COUNTIF('1.연간시수표'!F71,$BC$7)),$BC$6,IF(OR(COUNTIF('1.연간시수표'!F71,$BF$9),COUNTIF('1.연간시수표'!F71,$BF$7),COUNTIF('1.연간시수표'!F71,$BG$9),COUNTIF('1.연간시수표'!F71,$BG$7),COUNTIF('1.연간시수표'!F71,$BH$9),COUNTIF('1.연간시수표'!F71,$BH$7),COUNTIF('1.연간시수표'!F71,$BI$9),COUNTIF('1.연간시수표'!F71,$BI$7),COUNTIF('1.연간시수표'!F71,$BJ$9),COUNTIF('1.연간시수표'!F71,$BJ$7),COUNTIF('1.연간시수표'!F71,$BK$9),COUNTIF('1.연간시수표'!F71,$BK$7),COUNTIF('1.연간시수표'!F71,$BL$9),COUNTIF('1.연간시수표'!F71,$BL$7),COUNTIF('1.연간시수표'!F71,$BM$9),COUNTIF('1.연간시수표'!F71,$BM$7)),$BF$6,IF(OR(COUNTIF('1.연간시수표'!F71,$BO$9),COUNTIF('1.연간시수표'!F71,$BO$7)),$BO$6,IF(OR(COUNTIF('1.연간시수표'!F71,$BP$9),COUNTIF('1.연간시수표'!F71,$BP$7)),$BP$6,IF(OR(COUNTIF('1.연간시수표'!F71,$BQ$9),COUNTIF('1.연간시수표'!F71,$BQ$7)),$BQ$6,IF(OR(COUNTIF('1.연간시수표'!F71,$BR$9),COUNTIF('1.연간시수표'!F71,$BR$7)),$BR$6,"_")))))))))))))))</f>
        <v>미술</v>
      </c>
      <c r="G71" s="148" t="str">
        <f>IF(OR(COUNTIF('1.연간시수표'!G71,$AT$9),COUNTIF('1.연간시수표'!G71,$AT$7)),$AT$6,IF(OR(COUNTIF('1.연간시수표'!G71,$AU$9),COUNTIF('1.연간시수표'!G71,$AU$7)),$AU$6,IF(OR(COUNTIF('1.연간시수표'!G71,$AV$9),COUNTIF('1.연간시수표'!G71,$AV$7)),$AV$6,IF(OR(COUNTIF('1.연간시수표'!G71,$AW$9),COUNTIF('1.연간시수표'!G71,$AW$7)),$AW$6,IF(OR(COUNTIF('1.연간시수표'!G71,$AX$9),COUNTIF('1.연간시수표'!G71,$AX$7)),$AX$6,IF(OR(COUNTIF('1.연간시수표'!G71,$AY$9),COUNTIF('1.연간시수표'!G71,$AY$7)),$AY$6,IF(OR(COUNTIF('1.연간시수표'!G71,$AZ$9),COUNTIF('1.연간시수표'!G71,$AZ$7)),$AZ$6,IF(OR(COUNTIF('1.연간시수표'!G71,$BA$9),COUNTIF('1.연간시수표'!G71,$BA$7)),$BA$6,IF(OR(COUNTIF('1.연간시수표'!G71,$BB$9),COUNTIF('1.연간시수표'!G71,$BB$7)),$BB$6,IF(OR(COUNTIF('1.연간시수표'!G71,$BC$9),COUNTIF('1.연간시수표'!G71,$BC$7)),$BC$6,IF(OR(COUNTIF('1.연간시수표'!G71,$BF$9),COUNTIF('1.연간시수표'!G71,$BF$7),COUNTIF('1.연간시수표'!G71,$BG$9),COUNTIF('1.연간시수표'!G71,$BG$7),COUNTIF('1.연간시수표'!G71,$BH$9),COUNTIF('1.연간시수표'!G71,$BH$7),COUNTIF('1.연간시수표'!G71,$BI$9),COUNTIF('1.연간시수표'!G71,$BI$7),COUNTIF('1.연간시수표'!G71,$BJ$9),COUNTIF('1.연간시수표'!G71,$BJ$7),COUNTIF('1.연간시수표'!G71,$BK$9),COUNTIF('1.연간시수표'!G71,$BK$7),COUNTIF('1.연간시수표'!G71,$BL$9),COUNTIF('1.연간시수표'!G71,$BL$7),COUNTIF('1.연간시수표'!G71,$BM$9),COUNTIF('1.연간시수표'!G71,$BM$7)),$BF$6,IF(OR(COUNTIF('1.연간시수표'!G71,$BO$9),COUNTIF('1.연간시수표'!G71,$BO$7)),$BO$6,IF(OR(COUNTIF('1.연간시수표'!G71,$BP$9),COUNTIF('1.연간시수표'!G71,$BP$7)),$BP$6,IF(OR(COUNTIF('1.연간시수표'!G71,$BQ$9),COUNTIF('1.연간시수표'!G71,$BQ$7)),$BQ$6,IF(OR(COUNTIF('1.연간시수표'!G71,$BR$9),COUNTIF('1.연간시수표'!G71,$BR$7)),$BR$6,"_")))))))))))))))</f>
        <v>미술</v>
      </c>
      <c r="H71" s="148" t="str">
        <f>IF(OR(COUNTIF('1.연간시수표'!H71,$AT$9),COUNTIF('1.연간시수표'!H71,$AT$7)),$AT$6,IF(OR(COUNTIF('1.연간시수표'!H71,$AU$9),COUNTIF('1.연간시수표'!H71,$AU$7)),$AU$6,IF(OR(COUNTIF('1.연간시수표'!H71,$AV$9),COUNTIF('1.연간시수표'!H71,$AV$7)),$AV$6,IF(OR(COUNTIF('1.연간시수표'!H71,$AW$9),COUNTIF('1.연간시수표'!H71,$AW$7)),$AW$6,IF(OR(COUNTIF('1.연간시수표'!H71,$AX$9),COUNTIF('1.연간시수표'!H71,$AX$7)),$AX$6,IF(OR(COUNTIF('1.연간시수표'!H71,$AY$9),COUNTIF('1.연간시수표'!H71,$AY$7)),$AY$6,IF(OR(COUNTIF('1.연간시수표'!H71,$AZ$9),COUNTIF('1.연간시수표'!H71,$AZ$7)),$AZ$6,IF(OR(COUNTIF('1.연간시수표'!H71,$BA$9),COUNTIF('1.연간시수표'!H71,$BA$7)),$BA$6,IF(OR(COUNTIF('1.연간시수표'!H71,$BB$9),COUNTIF('1.연간시수표'!H71,$BB$7)),$BB$6,IF(OR(COUNTIF('1.연간시수표'!H71,$BC$9),COUNTIF('1.연간시수표'!H71,$BC$7)),$BC$6,IF(OR(COUNTIF('1.연간시수표'!H71,$BF$9),COUNTIF('1.연간시수표'!H71,$BF$7),COUNTIF('1.연간시수표'!H71,$BG$9),COUNTIF('1.연간시수표'!H71,$BG$7),COUNTIF('1.연간시수표'!H71,$BH$9),COUNTIF('1.연간시수표'!H71,$BH$7),COUNTIF('1.연간시수표'!H71,$BI$9),COUNTIF('1.연간시수표'!H71,$BI$7),COUNTIF('1.연간시수표'!H71,$BJ$9),COUNTIF('1.연간시수표'!H71,$BJ$7),COUNTIF('1.연간시수표'!H71,$BK$9),COUNTIF('1.연간시수표'!H71,$BK$7),COUNTIF('1.연간시수표'!H71,$BL$9),COUNTIF('1.연간시수표'!H71,$BL$7),COUNTIF('1.연간시수표'!H71,$BM$9),COUNTIF('1.연간시수표'!H71,$BM$7)),$BF$6,IF(OR(COUNTIF('1.연간시수표'!H71,$BO$9),COUNTIF('1.연간시수표'!H71,$BO$7)),$BO$6,IF(OR(COUNTIF('1.연간시수표'!H71,$BP$9),COUNTIF('1.연간시수표'!H71,$BP$7)),$BP$6,IF(OR(COUNTIF('1.연간시수표'!H71,$BQ$9),COUNTIF('1.연간시수표'!H71,$BQ$7)),$BQ$6,IF(OR(COUNTIF('1.연간시수표'!H71,$BR$9),COUNTIF('1.연간시수표'!H71,$BR$7)),$BR$6,"_")))))))))))))))</f>
        <v>영어</v>
      </c>
      <c r="I71" s="148" t="str">
        <f>IF(OR(COUNTIF('1.연간시수표'!I71,$AT$9),COUNTIF('1.연간시수표'!I71,$AT$7)),$AT$6,IF(OR(COUNTIF('1.연간시수표'!I71,$AU$9),COUNTIF('1.연간시수표'!I71,$AU$7)),$AU$6,IF(OR(COUNTIF('1.연간시수표'!I71,$AV$9),COUNTIF('1.연간시수표'!I71,$AV$7)),$AV$6,IF(OR(COUNTIF('1.연간시수표'!I71,$AW$9),COUNTIF('1.연간시수표'!I71,$AW$7)),$AW$6,IF(OR(COUNTIF('1.연간시수표'!I71,$AX$9),COUNTIF('1.연간시수표'!I71,$AX$7)),$AX$6,IF(OR(COUNTIF('1.연간시수표'!I71,$AY$9),COUNTIF('1.연간시수표'!I71,$AY$7)),$AY$6,IF(OR(COUNTIF('1.연간시수표'!I71,$AZ$9),COUNTIF('1.연간시수표'!I71,$AZ$7)),$AZ$6,IF(OR(COUNTIF('1.연간시수표'!I71,$BA$9),COUNTIF('1.연간시수표'!I71,$BA$7)),$BA$6,IF(OR(COUNTIF('1.연간시수표'!I71,$BB$9),COUNTIF('1.연간시수표'!I71,$BB$7)),$BB$6,IF(OR(COUNTIF('1.연간시수표'!I71,$BC$9),COUNTIF('1.연간시수표'!I71,$BC$7)),$BC$6,IF(OR(COUNTIF('1.연간시수표'!I71,$BF$9),COUNTIF('1.연간시수표'!I71,$BF$7),COUNTIF('1.연간시수표'!I71,$BG$9),COUNTIF('1.연간시수표'!I71,$BG$7),COUNTIF('1.연간시수표'!I71,$BH$9),COUNTIF('1.연간시수표'!I71,$BH$7),COUNTIF('1.연간시수표'!I71,$BI$9),COUNTIF('1.연간시수표'!I71,$BI$7),COUNTIF('1.연간시수표'!I71,$BJ$9),COUNTIF('1.연간시수표'!I71,$BJ$7),COUNTIF('1.연간시수표'!I71,$BK$9),COUNTIF('1.연간시수표'!I71,$BK$7),COUNTIF('1.연간시수표'!I71,$BL$9),COUNTIF('1.연간시수표'!I71,$BL$7),COUNTIF('1.연간시수표'!I71,$BM$9),COUNTIF('1.연간시수표'!I71,$BM$7)),$BF$6,IF(OR(COUNTIF('1.연간시수표'!I71,$BO$9),COUNTIF('1.연간시수표'!I71,$BO$7)),$BO$6,IF(OR(COUNTIF('1.연간시수표'!I71,$BP$9),COUNTIF('1.연간시수표'!I71,$BP$7)),$BP$6,IF(OR(COUNTIF('1.연간시수표'!I71,$BQ$9),COUNTIF('1.연간시수표'!I71,$BQ$7)),$BQ$6,IF(OR(COUNTIF('1.연간시수표'!I71,$BR$9),COUNTIF('1.연간시수표'!I71,$BR$7)),$BR$6,"_")))))))))))))))</f>
        <v>수학</v>
      </c>
      <c r="J71" s="148" t="str">
        <f>IF(OR(COUNTIF('1.연간시수표'!J71,$AT$9),COUNTIF('1.연간시수표'!J71,$AT$7)),$AT$6,IF(OR(COUNTIF('1.연간시수표'!J71,$AU$9),COUNTIF('1.연간시수표'!J71,$AU$7)),$AU$6,IF(OR(COUNTIF('1.연간시수표'!J71,$AV$9),COUNTIF('1.연간시수표'!J71,$AV$7)),$AV$6,IF(OR(COUNTIF('1.연간시수표'!J71,$AW$9),COUNTIF('1.연간시수표'!J71,$AW$7)),$AW$6,IF(OR(COUNTIF('1.연간시수표'!J71,$AX$9),COUNTIF('1.연간시수표'!J71,$AX$7)),$AX$6,IF(OR(COUNTIF('1.연간시수표'!J71,$AY$9),COUNTIF('1.연간시수표'!J71,$AY$7)),$AY$6,IF(OR(COUNTIF('1.연간시수표'!J71,$AZ$9),COUNTIF('1.연간시수표'!J71,$AZ$7)),$AZ$6,IF(OR(COUNTIF('1.연간시수표'!J71,$BA$9),COUNTIF('1.연간시수표'!J71,$BA$7)),$BA$6,IF(OR(COUNTIF('1.연간시수표'!J71,$BB$9),COUNTIF('1.연간시수표'!J71,$BB$7)),$BB$6,IF(OR(COUNTIF('1.연간시수표'!J71,$BC$9),COUNTIF('1.연간시수표'!J71,$BC$7)),$BC$6,IF(OR(COUNTIF('1.연간시수표'!J71,$BF$9),COUNTIF('1.연간시수표'!J71,$BF$7),COUNTIF('1.연간시수표'!J71,$BG$9),COUNTIF('1.연간시수표'!J71,$BG$7),COUNTIF('1.연간시수표'!J71,$BH$9),COUNTIF('1.연간시수표'!J71,$BH$7),COUNTIF('1.연간시수표'!J71,$BI$9),COUNTIF('1.연간시수표'!J71,$BI$7),COUNTIF('1.연간시수표'!J71,$BJ$9),COUNTIF('1.연간시수표'!J71,$BJ$7),COUNTIF('1.연간시수표'!J71,$BK$9),COUNTIF('1.연간시수표'!J71,$BK$7),COUNTIF('1.연간시수표'!J71,$BL$9),COUNTIF('1.연간시수표'!J71,$BL$7),COUNTIF('1.연간시수표'!J71,$BM$9),COUNTIF('1.연간시수표'!J71,$BM$7)),$BF$6,IF(OR(COUNTIF('1.연간시수표'!J71,$BO$9),COUNTIF('1.연간시수표'!J71,$BO$7)),$BO$6,IF(OR(COUNTIF('1.연간시수표'!J71,$BP$9),COUNTIF('1.연간시수표'!J71,$BP$7)),$BP$6,IF(OR(COUNTIF('1.연간시수표'!J71,$BQ$9),COUNTIF('1.연간시수표'!J71,$BQ$7)),$BQ$6,IF(OR(COUNTIF('1.연간시수표'!J71,$BR$9),COUNTIF('1.연간시수표'!J71,$BR$7)),$BR$6,"_")))))))))))))))</f>
        <v>국어</v>
      </c>
      <c r="K71" s="148" t="str">
        <f>IF(OR(COUNTIF('1.연간시수표'!K71,$AT$9),COUNTIF('1.연간시수표'!K71,$AT$7)),$AT$6,IF(OR(COUNTIF('1.연간시수표'!K71,$AU$9),COUNTIF('1.연간시수표'!K71,$AU$7)),$AU$6,IF(OR(COUNTIF('1.연간시수표'!K71,$AV$9),COUNTIF('1.연간시수표'!K71,$AV$7)),$AV$6,IF(OR(COUNTIF('1.연간시수표'!K71,$AW$9),COUNTIF('1.연간시수표'!K71,$AW$7)),$AW$6,IF(OR(COUNTIF('1.연간시수표'!K71,$AX$9),COUNTIF('1.연간시수표'!K71,$AX$7)),$AX$6,IF(OR(COUNTIF('1.연간시수표'!K71,$AY$9),COUNTIF('1.연간시수표'!K71,$AY$7)),$AY$6,IF(OR(COUNTIF('1.연간시수표'!K71,$AZ$9),COUNTIF('1.연간시수표'!K71,$AZ$7)),$AZ$6,IF(OR(COUNTIF('1.연간시수표'!K71,$BA$9),COUNTIF('1.연간시수표'!K71,$BA$7)),$BA$6,IF(OR(COUNTIF('1.연간시수표'!K71,$BB$9),COUNTIF('1.연간시수표'!K71,$BB$7)),$BB$6,IF(OR(COUNTIF('1.연간시수표'!K71,$BC$9),COUNTIF('1.연간시수표'!K71,$BC$7)),$BC$6,IF(OR(COUNTIF('1.연간시수표'!K71,$BF$9),COUNTIF('1.연간시수표'!K71,$BF$7),COUNTIF('1.연간시수표'!K71,$BG$9),COUNTIF('1.연간시수표'!K71,$BG$7),COUNTIF('1.연간시수표'!K71,$BH$9),COUNTIF('1.연간시수표'!K71,$BH$7),COUNTIF('1.연간시수표'!K71,$BI$9),COUNTIF('1.연간시수표'!K71,$BI$7),COUNTIF('1.연간시수표'!K71,$BJ$9),COUNTIF('1.연간시수표'!K71,$BJ$7),COUNTIF('1.연간시수표'!K71,$BK$9),COUNTIF('1.연간시수표'!K71,$BK$7),COUNTIF('1.연간시수표'!K71,$BL$9),COUNTIF('1.연간시수표'!K71,$BL$7),COUNTIF('1.연간시수표'!K71,$BM$9),COUNTIF('1.연간시수표'!K71,$BM$7)),$BF$6,IF(OR(COUNTIF('1.연간시수표'!K71,$BO$9),COUNTIF('1.연간시수표'!K71,$BO$7)),$BO$6,IF(OR(COUNTIF('1.연간시수표'!K71,$BP$9),COUNTIF('1.연간시수표'!K71,$BP$7)),$BP$6,IF(OR(COUNTIF('1.연간시수표'!K71,$BQ$9),COUNTIF('1.연간시수표'!K71,$BQ$7)),$BQ$6,IF(OR(COUNTIF('1.연간시수표'!K71,$BR$9),COUNTIF('1.연간시수표'!K71,$BR$7)),$BR$6,"_")))))))))))))))</f>
        <v>_</v>
      </c>
      <c r="L71" s="148" t="str">
        <f>IF(OR(COUNTIF('1.연간시수표'!L71,$AT$9),COUNTIF('1.연간시수표'!L71,$AT$7)),$AT$6,IF(OR(COUNTIF('1.연간시수표'!L71,$AU$9),COUNTIF('1.연간시수표'!L71,$AU$7)),$AU$6,IF(OR(COUNTIF('1.연간시수표'!L71,$AV$9),COUNTIF('1.연간시수표'!L71,$AV$7)),$AV$6,IF(OR(COUNTIF('1.연간시수표'!L71,$AW$9),COUNTIF('1.연간시수표'!L71,$AW$7)),$AW$6,IF(OR(COUNTIF('1.연간시수표'!L71,$AX$9),COUNTIF('1.연간시수표'!L71,$AX$7)),$AX$6,IF(OR(COUNTIF('1.연간시수표'!L71,$AY$9),COUNTIF('1.연간시수표'!L71,$AY$7)),$AY$6,IF(OR(COUNTIF('1.연간시수표'!L71,$AZ$9),COUNTIF('1.연간시수표'!L71,$AZ$7)),$AZ$6,IF(OR(COUNTIF('1.연간시수표'!L71,$BA$9),COUNTIF('1.연간시수표'!L71,$BA$7)),$BA$6,IF(OR(COUNTIF('1.연간시수표'!L71,$BB$9),COUNTIF('1.연간시수표'!L71,$BB$7)),$BB$6,IF(OR(COUNTIF('1.연간시수표'!L71,$BC$9),COUNTIF('1.연간시수표'!L71,$BC$7)),$BC$6,IF(OR(COUNTIF('1.연간시수표'!L71,$BF$9),COUNTIF('1.연간시수표'!L71,$BF$7),COUNTIF('1.연간시수표'!L71,$BG$9),COUNTIF('1.연간시수표'!L71,$BG$7),COUNTIF('1.연간시수표'!L71,$BH$9),COUNTIF('1.연간시수표'!L71,$BH$7),COUNTIF('1.연간시수표'!L71,$BI$9),COUNTIF('1.연간시수표'!L71,$BI$7),COUNTIF('1.연간시수표'!L71,$BJ$9),COUNTIF('1.연간시수표'!L71,$BJ$7),COUNTIF('1.연간시수표'!L71,$BK$9),COUNTIF('1.연간시수표'!L71,$BK$7),COUNTIF('1.연간시수표'!L71,$BL$9),COUNTIF('1.연간시수표'!L71,$BL$7),COUNTIF('1.연간시수표'!L71,$BM$9),COUNTIF('1.연간시수표'!L71,$BM$7)),$BF$6,IF(OR(COUNTIF('1.연간시수표'!L71,$BO$9),COUNTIF('1.연간시수표'!L71,$BO$7)),$BO$6,IF(OR(COUNTIF('1.연간시수표'!L71,$BP$9),COUNTIF('1.연간시수표'!L71,$BP$7)),$BP$6,IF(OR(COUNTIF('1.연간시수표'!L71,$BQ$9),COUNTIF('1.연간시수표'!L71,$BQ$7)),$BQ$6,IF(OR(COUNTIF('1.연간시수표'!L71,$BR$9),COUNTIF('1.연간시수표'!L71,$BR$7)),$BR$6,"_")))))))))))))))</f>
        <v>_</v>
      </c>
      <c r="M71" s="148" t="str">
        <f>IF(OR(COUNTIF('1.연간시수표'!M71,$AT$9),COUNTIF('1.연간시수표'!M71,$AT$7)),$AT$6,IF(OR(COUNTIF('1.연간시수표'!M71,$AU$9),COUNTIF('1.연간시수표'!M71,$AU$7)),$AU$6,IF(OR(COUNTIF('1.연간시수표'!M71,$AV$9),COUNTIF('1.연간시수표'!M71,$AV$7)),$AV$6,IF(OR(COUNTIF('1.연간시수표'!M71,$AW$9),COUNTIF('1.연간시수표'!M71,$AW$7)),$AW$6,IF(OR(COUNTIF('1.연간시수표'!M71,$AX$9),COUNTIF('1.연간시수표'!M71,$AX$7)),$AX$6,IF(OR(COUNTIF('1.연간시수표'!M71,$AY$9),COUNTIF('1.연간시수표'!M71,$AY$7)),$AY$6,IF(OR(COUNTIF('1.연간시수표'!M71,$AZ$9),COUNTIF('1.연간시수표'!M71,$AZ$7)),$AZ$6,IF(OR(COUNTIF('1.연간시수표'!M71,$BA$9),COUNTIF('1.연간시수표'!M71,$BA$7)),$BA$6,IF(OR(COUNTIF('1.연간시수표'!M71,$BB$9),COUNTIF('1.연간시수표'!M71,$BB$7)),$BB$6,IF(OR(COUNTIF('1.연간시수표'!M71,$BC$9),COUNTIF('1.연간시수표'!M71,$BC$7)),$BC$6,IF(OR(COUNTIF('1.연간시수표'!M71,$BF$9),COUNTIF('1.연간시수표'!M71,$BF$7),COUNTIF('1.연간시수표'!M71,$BG$9),COUNTIF('1.연간시수표'!M71,$BG$7),COUNTIF('1.연간시수표'!M71,$BH$9),COUNTIF('1.연간시수표'!M71,$BH$7),COUNTIF('1.연간시수표'!M71,$BI$9),COUNTIF('1.연간시수표'!M71,$BI$7),COUNTIF('1.연간시수표'!M71,$BJ$9),COUNTIF('1.연간시수표'!M71,$BJ$7),COUNTIF('1.연간시수표'!M71,$BK$9),COUNTIF('1.연간시수표'!M71,$BK$7),COUNTIF('1.연간시수표'!M71,$BL$9),COUNTIF('1.연간시수표'!M71,$BL$7),COUNTIF('1.연간시수표'!M71,$BM$9),COUNTIF('1.연간시수표'!M71,$BM$7)),$BF$6,IF(OR(COUNTIF('1.연간시수표'!M71,$BO$9),COUNTIF('1.연간시수표'!M71,$BO$7)),$BO$6,IF(OR(COUNTIF('1.연간시수표'!M71,$BP$9),COUNTIF('1.연간시수표'!M71,$BP$7)),$BP$6,IF(OR(COUNTIF('1.연간시수표'!M71,$BQ$9),COUNTIF('1.연간시수표'!M71,$BQ$7)),$BQ$6,IF(OR(COUNTIF('1.연간시수표'!M71,$BR$9),COUNTIF('1.연간시수표'!M71,$BR$7)),$BR$6,"_")))))))))))))))</f>
        <v>진로활동</v>
      </c>
      <c r="N71" s="148" t="str">
        <f>IF(OR(COUNTIF('1.연간시수표'!N71,$AT$9),COUNTIF('1.연간시수표'!N71,$AT$7)),$AT$6,IF(OR(COUNTIF('1.연간시수표'!N71,$AU$9),COUNTIF('1.연간시수표'!N71,$AU$7)),$AU$6,IF(OR(COUNTIF('1.연간시수표'!N71,$AV$9),COUNTIF('1.연간시수표'!N71,$AV$7)),$AV$6,IF(OR(COUNTIF('1.연간시수표'!N71,$AW$9),COUNTIF('1.연간시수표'!N71,$AW$7)),$AW$6,IF(OR(COUNTIF('1.연간시수표'!N71,$AX$9),COUNTIF('1.연간시수표'!N71,$AX$7)),$AX$6,IF(OR(COUNTIF('1.연간시수표'!N71,$AY$9),COUNTIF('1.연간시수표'!N71,$AY$7)),$AY$6,IF(OR(COUNTIF('1.연간시수표'!N71,$AZ$9),COUNTIF('1.연간시수표'!N71,$AZ$7)),$AZ$6,IF(OR(COUNTIF('1.연간시수표'!N71,$BA$9),COUNTIF('1.연간시수표'!N71,$BA$7)),$BA$6,IF(OR(COUNTIF('1.연간시수표'!N71,$BB$9),COUNTIF('1.연간시수표'!N71,$BB$7)),$BB$6,IF(OR(COUNTIF('1.연간시수표'!N71,$BC$9),COUNTIF('1.연간시수표'!N71,$BC$7)),$BC$6,IF(OR(COUNTIF('1.연간시수표'!N71,$BF$9),COUNTIF('1.연간시수표'!N71,$BF$7),COUNTIF('1.연간시수표'!N71,$BG$9),COUNTIF('1.연간시수표'!N71,$BG$7),COUNTIF('1.연간시수표'!N71,$BH$9),COUNTIF('1.연간시수표'!N71,$BH$7),COUNTIF('1.연간시수표'!N71,$BI$9),COUNTIF('1.연간시수표'!N71,$BI$7),COUNTIF('1.연간시수표'!N71,$BJ$9),COUNTIF('1.연간시수표'!N71,$BJ$7),COUNTIF('1.연간시수표'!N71,$BK$9),COUNTIF('1.연간시수표'!N71,$BK$7),COUNTIF('1.연간시수표'!N71,$BL$9),COUNTIF('1.연간시수표'!N71,$BL$7),COUNTIF('1.연간시수표'!N71,$BM$9),COUNTIF('1.연간시수표'!N71,$BM$7)),$BF$6,IF(OR(COUNTIF('1.연간시수표'!N71,$BO$9),COUNTIF('1.연간시수표'!N71,$BO$7)),$BO$6,IF(OR(COUNTIF('1.연간시수표'!N71,$BP$9),COUNTIF('1.연간시수표'!N71,$BP$7)),$BP$6,IF(OR(COUNTIF('1.연간시수표'!N71,$BQ$9),COUNTIF('1.연간시수표'!N71,$BQ$7)),$BQ$6,IF(OR(COUNTIF('1.연간시수표'!N71,$BR$9),COUNTIF('1.연간시수표'!N71,$BR$7)),$BR$6,"_")))))))))))))))</f>
        <v>진로활동</v>
      </c>
      <c r="O71" s="148" t="str">
        <f>IF(OR(COUNTIF('1.연간시수표'!O71,$AT$9),COUNTIF('1.연간시수표'!O71,$AT$7)),$AT$6,IF(OR(COUNTIF('1.연간시수표'!O71,$AU$9),COUNTIF('1.연간시수표'!O71,$AU$7)),$AU$6,IF(OR(COUNTIF('1.연간시수표'!O71,$AV$9),COUNTIF('1.연간시수표'!O71,$AV$7)),$AV$6,IF(OR(COUNTIF('1.연간시수표'!O71,$AW$9),COUNTIF('1.연간시수표'!O71,$AW$7)),$AW$6,IF(OR(COUNTIF('1.연간시수표'!O71,$AX$9),COUNTIF('1.연간시수표'!O71,$AX$7)),$AX$6,IF(OR(COUNTIF('1.연간시수표'!O71,$AY$9),COUNTIF('1.연간시수표'!O71,$AY$7)),$AY$6,IF(OR(COUNTIF('1.연간시수표'!O71,$AZ$9),COUNTIF('1.연간시수표'!O71,$AZ$7)),$AZ$6,IF(OR(COUNTIF('1.연간시수표'!O71,$BA$9),COUNTIF('1.연간시수표'!O71,$BA$7)),$BA$6,IF(OR(COUNTIF('1.연간시수표'!O71,$BB$9),COUNTIF('1.연간시수표'!O71,$BB$7)),$BB$6,IF(OR(COUNTIF('1.연간시수표'!O71,$BC$9),COUNTIF('1.연간시수표'!O71,$BC$7)),$BC$6,IF(OR(COUNTIF('1.연간시수표'!O71,$BF$9),COUNTIF('1.연간시수표'!O71,$BF$7),COUNTIF('1.연간시수표'!O71,$BG$9),COUNTIF('1.연간시수표'!O71,$BG$7),COUNTIF('1.연간시수표'!O71,$BH$9),COUNTIF('1.연간시수표'!O71,$BH$7),COUNTIF('1.연간시수표'!O71,$BI$9),COUNTIF('1.연간시수표'!O71,$BI$7),COUNTIF('1.연간시수표'!O71,$BJ$9),COUNTIF('1.연간시수표'!O71,$BJ$7),COUNTIF('1.연간시수표'!O71,$BK$9),COUNTIF('1.연간시수표'!O71,$BK$7),COUNTIF('1.연간시수표'!O71,$BL$9),COUNTIF('1.연간시수표'!O71,$BL$7),COUNTIF('1.연간시수표'!O71,$BM$9),COUNTIF('1.연간시수표'!O71,$BM$7)),$BF$6,IF(OR(COUNTIF('1.연간시수표'!O71,$BO$9),COUNTIF('1.연간시수표'!O71,$BO$7)),$BO$6,IF(OR(COUNTIF('1.연간시수표'!O71,$BP$9),COUNTIF('1.연간시수표'!O71,$BP$7)),$BP$6,IF(OR(COUNTIF('1.연간시수표'!O71,$BQ$9),COUNTIF('1.연간시수표'!O71,$BQ$7)),$BQ$6,IF(OR(COUNTIF('1.연간시수표'!O71,$BR$9),COUNTIF('1.연간시수표'!O71,$BR$7)),$BR$6,"_")))))))))))))))</f>
        <v>사회</v>
      </c>
      <c r="P71" s="148" t="str">
        <f>IF(OR(COUNTIF('1.연간시수표'!P71,$AT$9),COUNTIF('1.연간시수표'!P71,$AT$7)),$AT$6,IF(OR(COUNTIF('1.연간시수표'!P71,$AU$9),COUNTIF('1.연간시수표'!P71,$AU$7)),$AU$6,IF(OR(COUNTIF('1.연간시수표'!P71,$AV$9),COUNTIF('1.연간시수표'!P71,$AV$7)),$AV$6,IF(OR(COUNTIF('1.연간시수표'!P71,$AW$9),COUNTIF('1.연간시수표'!P71,$AW$7)),$AW$6,IF(OR(COUNTIF('1.연간시수표'!P71,$AX$9),COUNTIF('1.연간시수표'!P71,$AX$7)),$AX$6,IF(OR(COUNTIF('1.연간시수표'!P71,$AY$9),COUNTIF('1.연간시수표'!P71,$AY$7)),$AY$6,IF(OR(COUNTIF('1.연간시수표'!P71,$AZ$9),COUNTIF('1.연간시수표'!P71,$AZ$7)),$AZ$6,IF(OR(COUNTIF('1.연간시수표'!P71,$BA$9),COUNTIF('1.연간시수표'!P71,$BA$7)),$BA$6,IF(OR(COUNTIF('1.연간시수표'!P71,$BB$9),COUNTIF('1.연간시수표'!P71,$BB$7)),$BB$6,IF(OR(COUNTIF('1.연간시수표'!P71,$BC$9),COUNTIF('1.연간시수표'!P71,$BC$7)),$BC$6,IF(OR(COUNTIF('1.연간시수표'!P71,$BF$9),COUNTIF('1.연간시수표'!P71,$BF$7),COUNTIF('1.연간시수표'!P71,$BG$9),COUNTIF('1.연간시수표'!P71,$BG$7),COUNTIF('1.연간시수표'!P71,$BH$9),COUNTIF('1.연간시수표'!P71,$BH$7),COUNTIF('1.연간시수표'!P71,$BI$9),COUNTIF('1.연간시수표'!P71,$BI$7),COUNTIF('1.연간시수표'!P71,$BJ$9),COUNTIF('1.연간시수표'!P71,$BJ$7),COUNTIF('1.연간시수표'!P71,$BK$9),COUNTIF('1.연간시수표'!P71,$BK$7),COUNTIF('1.연간시수표'!P71,$BL$9),COUNTIF('1.연간시수표'!P71,$BL$7),COUNTIF('1.연간시수표'!P71,$BM$9),COUNTIF('1.연간시수표'!P71,$BM$7)),$BF$6,IF(OR(COUNTIF('1.연간시수표'!P71,$BO$9),COUNTIF('1.연간시수표'!P71,$BO$7)),$BO$6,IF(OR(COUNTIF('1.연간시수표'!P71,$BP$9),COUNTIF('1.연간시수표'!P71,$BP$7)),$BP$6,IF(OR(COUNTIF('1.연간시수표'!P71,$BQ$9),COUNTIF('1.연간시수표'!P71,$BQ$7)),$BQ$6,IF(OR(COUNTIF('1.연간시수표'!P71,$BR$9),COUNTIF('1.연간시수표'!P71,$BR$7)),$BR$6,"_")))))))))))))))</f>
        <v>수학</v>
      </c>
      <c r="Q71" s="148" t="str">
        <f>IF(OR(COUNTIF('1.연간시수표'!Q71,$AT$9),COUNTIF('1.연간시수표'!Q71,$AT$7)),$AT$6,IF(OR(COUNTIF('1.연간시수표'!Q71,$AU$9),COUNTIF('1.연간시수표'!Q71,$AU$7)),$AU$6,IF(OR(COUNTIF('1.연간시수표'!Q71,$AV$9),COUNTIF('1.연간시수표'!Q71,$AV$7)),$AV$6,IF(OR(COUNTIF('1.연간시수표'!Q71,$AW$9),COUNTIF('1.연간시수표'!Q71,$AW$7)),$AW$6,IF(OR(COUNTIF('1.연간시수표'!Q71,$AX$9),COUNTIF('1.연간시수표'!Q71,$AX$7)),$AX$6,IF(OR(COUNTIF('1.연간시수표'!Q71,$AY$9),COUNTIF('1.연간시수표'!Q71,$AY$7)),$AY$6,IF(OR(COUNTIF('1.연간시수표'!Q71,$AZ$9),COUNTIF('1.연간시수표'!Q71,$AZ$7)),$AZ$6,IF(OR(COUNTIF('1.연간시수표'!Q71,$BA$9),COUNTIF('1.연간시수표'!Q71,$BA$7)),$BA$6,IF(OR(COUNTIF('1.연간시수표'!Q71,$BB$9),COUNTIF('1.연간시수표'!Q71,$BB$7)),$BB$6,IF(OR(COUNTIF('1.연간시수표'!Q71,$BC$9),COUNTIF('1.연간시수표'!Q71,$BC$7)),$BC$6,IF(OR(COUNTIF('1.연간시수표'!Q71,$BF$9),COUNTIF('1.연간시수표'!Q71,$BF$7),COUNTIF('1.연간시수표'!Q71,$BG$9),COUNTIF('1.연간시수표'!Q71,$BG$7),COUNTIF('1.연간시수표'!Q71,$BH$9),COUNTIF('1.연간시수표'!Q71,$BH$7),COUNTIF('1.연간시수표'!Q71,$BI$9),COUNTIF('1.연간시수표'!Q71,$BI$7),COUNTIF('1.연간시수표'!Q71,$BJ$9),COUNTIF('1.연간시수표'!Q71,$BJ$7),COUNTIF('1.연간시수표'!Q71,$BK$9),COUNTIF('1.연간시수표'!Q71,$BK$7),COUNTIF('1.연간시수표'!Q71,$BL$9),COUNTIF('1.연간시수표'!Q71,$BL$7),COUNTIF('1.연간시수표'!Q71,$BM$9),COUNTIF('1.연간시수표'!Q71,$BM$7)),$BF$6,IF(OR(COUNTIF('1.연간시수표'!Q71,$BO$9),COUNTIF('1.연간시수표'!Q71,$BO$7)),$BO$6,IF(OR(COUNTIF('1.연간시수표'!Q71,$BP$9),COUNTIF('1.연간시수표'!Q71,$BP$7)),$BP$6,IF(OR(COUNTIF('1.연간시수표'!Q71,$BQ$9),COUNTIF('1.연간시수표'!Q71,$BQ$7)),$BQ$6,IF(OR(COUNTIF('1.연간시수표'!Q71,$BR$9),COUNTIF('1.연간시수표'!Q71,$BR$7)),$BR$6,"_")))))))))))))))</f>
        <v>과학</v>
      </c>
      <c r="R71" s="148" t="str">
        <f>IF(OR(COUNTIF('1.연간시수표'!R71,$AT$9),COUNTIF('1.연간시수표'!R71,$AT$7)),$AT$6,IF(OR(COUNTIF('1.연간시수표'!R71,$AU$9),COUNTIF('1.연간시수표'!R71,$AU$7)),$AU$6,IF(OR(COUNTIF('1.연간시수표'!R71,$AV$9),COUNTIF('1.연간시수표'!R71,$AV$7)),$AV$6,IF(OR(COUNTIF('1.연간시수표'!R71,$AW$9),COUNTIF('1.연간시수표'!R71,$AW$7)),$AW$6,IF(OR(COUNTIF('1.연간시수표'!R71,$AX$9),COUNTIF('1.연간시수표'!R71,$AX$7)),$AX$6,IF(OR(COUNTIF('1.연간시수표'!R71,$AY$9),COUNTIF('1.연간시수표'!R71,$AY$7)),$AY$6,IF(OR(COUNTIF('1.연간시수표'!R71,$AZ$9),COUNTIF('1.연간시수표'!R71,$AZ$7)),$AZ$6,IF(OR(COUNTIF('1.연간시수표'!R71,$BA$9),COUNTIF('1.연간시수표'!R71,$BA$7)),$BA$6,IF(OR(COUNTIF('1.연간시수표'!R71,$BB$9),COUNTIF('1.연간시수표'!R71,$BB$7)),$BB$6,IF(OR(COUNTIF('1.연간시수표'!R71,$BC$9),COUNTIF('1.연간시수표'!R71,$BC$7)),$BC$6,IF(OR(COUNTIF('1.연간시수표'!R71,$BF$9),COUNTIF('1.연간시수표'!R71,$BF$7),COUNTIF('1.연간시수표'!R71,$BG$9),COUNTIF('1.연간시수표'!R71,$BG$7),COUNTIF('1.연간시수표'!R71,$BH$9),COUNTIF('1.연간시수표'!R71,$BH$7),COUNTIF('1.연간시수표'!R71,$BI$9),COUNTIF('1.연간시수표'!R71,$BI$7),COUNTIF('1.연간시수표'!R71,$BJ$9),COUNTIF('1.연간시수표'!R71,$BJ$7),COUNTIF('1.연간시수표'!R71,$BK$9),COUNTIF('1.연간시수표'!R71,$BK$7),COUNTIF('1.연간시수표'!R71,$BL$9),COUNTIF('1.연간시수표'!R71,$BL$7),COUNTIF('1.연간시수표'!R71,$BM$9),COUNTIF('1.연간시수표'!R71,$BM$7)),$BF$6,IF(OR(COUNTIF('1.연간시수표'!R71,$BO$9),COUNTIF('1.연간시수표'!R71,$BO$7)),$BO$6,IF(OR(COUNTIF('1.연간시수표'!R71,$BP$9),COUNTIF('1.연간시수표'!R71,$BP$7)),$BP$6,IF(OR(COUNTIF('1.연간시수표'!R71,$BQ$9),COUNTIF('1.연간시수표'!R71,$BQ$7)),$BQ$6,IF(OR(COUNTIF('1.연간시수표'!R71,$BR$9),COUNTIF('1.연간시수표'!R71,$BR$7)),$BR$6,"_")))))))))))))))</f>
        <v>실과</v>
      </c>
      <c r="S71" s="148" t="str">
        <f>IF(OR(COUNTIF('1.연간시수표'!S71,$AT$9),COUNTIF('1.연간시수표'!S71,$AT$7)),$AT$6,IF(OR(COUNTIF('1.연간시수표'!S71,$AU$9),COUNTIF('1.연간시수표'!S71,$AU$7)),$AU$6,IF(OR(COUNTIF('1.연간시수표'!S71,$AV$9),COUNTIF('1.연간시수표'!S71,$AV$7)),$AV$6,IF(OR(COUNTIF('1.연간시수표'!S71,$AW$9),COUNTIF('1.연간시수표'!S71,$AW$7)),$AW$6,IF(OR(COUNTIF('1.연간시수표'!S71,$AX$9),COUNTIF('1.연간시수표'!S71,$AX$7)),$AX$6,IF(OR(COUNTIF('1.연간시수표'!S71,$AY$9),COUNTIF('1.연간시수표'!S71,$AY$7)),$AY$6,IF(OR(COUNTIF('1.연간시수표'!S71,$AZ$9),COUNTIF('1.연간시수표'!S71,$AZ$7)),$AZ$6,IF(OR(COUNTIF('1.연간시수표'!S71,$BA$9),COUNTIF('1.연간시수표'!S71,$BA$7)),$BA$6,IF(OR(COUNTIF('1.연간시수표'!S71,$BB$9),COUNTIF('1.연간시수표'!S71,$BB$7)),$BB$6,IF(OR(COUNTIF('1.연간시수표'!S71,$BC$9),COUNTIF('1.연간시수표'!S71,$BC$7)),$BC$6,IF(OR(COUNTIF('1.연간시수표'!S71,$BF$9),COUNTIF('1.연간시수표'!S71,$BF$7),COUNTIF('1.연간시수표'!S71,$BG$9),COUNTIF('1.연간시수표'!S71,$BG$7),COUNTIF('1.연간시수표'!S71,$BH$9),COUNTIF('1.연간시수표'!S71,$BH$7),COUNTIF('1.연간시수표'!S71,$BI$9),COUNTIF('1.연간시수표'!S71,$BI$7),COUNTIF('1.연간시수표'!S71,$BJ$9),COUNTIF('1.연간시수표'!S71,$BJ$7),COUNTIF('1.연간시수표'!S71,$BK$9),COUNTIF('1.연간시수표'!S71,$BK$7),COUNTIF('1.연간시수표'!S71,$BL$9),COUNTIF('1.연간시수표'!S71,$BL$7),COUNTIF('1.연간시수표'!S71,$BM$9),COUNTIF('1.연간시수표'!S71,$BM$7)),$BF$6,IF(OR(COUNTIF('1.연간시수표'!S71,$BO$9),COUNTIF('1.연간시수표'!S71,$BO$7)),$BO$6,IF(OR(COUNTIF('1.연간시수표'!S71,$BP$9),COUNTIF('1.연간시수표'!S71,$BP$7)),$BP$6,IF(OR(COUNTIF('1.연간시수표'!S71,$BQ$9),COUNTIF('1.연간시수표'!S71,$BQ$7)),$BQ$6,IF(OR(COUNTIF('1.연간시수표'!S71,$BR$9),COUNTIF('1.연간시수표'!S71,$BR$7)),$BR$6,"_")))))))))))))))</f>
        <v>_</v>
      </c>
      <c r="T71" s="148" t="str">
        <f>IF(OR(COUNTIF('1.연간시수표'!T71,$AT$9),COUNTIF('1.연간시수표'!T71,$AT$7)),$AT$6,IF(OR(COUNTIF('1.연간시수표'!T71,$AU$9),COUNTIF('1.연간시수표'!T71,$AU$7)),$AU$6,IF(OR(COUNTIF('1.연간시수표'!T71,$AV$9),COUNTIF('1.연간시수표'!T71,$AV$7)),$AV$6,IF(OR(COUNTIF('1.연간시수표'!T71,$AW$9),COUNTIF('1.연간시수표'!T71,$AW$7)),$AW$6,IF(OR(COUNTIF('1.연간시수표'!T71,$AX$9),COUNTIF('1.연간시수표'!T71,$AX$7)),$AX$6,IF(OR(COUNTIF('1.연간시수표'!T71,$AY$9),COUNTIF('1.연간시수표'!T71,$AY$7)),$AY$6,IF(OR(COUNTIF('1.연간시수표'!T71,$AZ$9),COUNTIF('1.연간시수표'!T71,$AZ$7)),$AZ$6,IF(OR(COUNTIF('1.연간시수표'!T71,$BA$9),COUNTIF('1.연간시수표'!T71,$BA$7)),$BA$6,IF(OR(COUNTIF('1.연간시수표'!T71,$BB$9),COUNTIF('1.연간시수표'!T71,$BB$7)),$BB$6,IF(OR(COUNTIF('1.연간시수표'!T71,$BC$9),COUNTIF('1.연간시수표'!T71,$BC$7)),$BC$6,IF(OR(COUNTIF('1.연간시수표'!T71,$BF$9),COUNTIF('1.연간시수표'!T71,$BF$7),COUNTIF('1.연간시수표'!T71,$BG$9),COUNTIF('1.연간시수표'!T71,$BG$7),COUNTIF('1.연간시수표'!T71,$BH$9),COUNTIF('1.연간시수표'!T71,$BH$7),COUNTIF('1.연간시수표'!T71,$BI$9),COUNTIF('1.연간시수표'!T71,$BI$7),COUNTIF('1.연간시수표'!T71,$BJ$9),COUNTIF('1.연간시수표'!T71,$BJ$7),COUNTIF('1.연간시수표'!T71,$BK$9),COUNTIF('1.연간시수표'!T71,$BK$7),COUNTIF('1.연간시수표'!T71,$BL$9),COUNTIF('1.연간시수표'!T71,$BL$7),COUNTIF('1.연간시수표'!T71,$BM$9),COUNTIF('1.연간시수표'!T71,$BM$7)),$BF$6,IF(OR(COUNTIF('1.연간시수표'!T71,$BO$9),COUNTIF('1.연간시수표'!T71,$BO$7)),$BO$6,IF(OR(COUNTIF('1.연간시수표'!T71,$BP$9),COUNTIF('1.연간시수표'!T71,$BP$7)),$BP$6,IF(OR(COUNTIF('1.연간시수표'!T71,$BQ$9),COUNTIF('1.연간시수표'!T71,$BQ$7)),$BQ$6,IF(OR(COUNTIF('1.연간시수표'!T71,$BR$9),COUNTIF('1.연간시수표'!T71,$BR$7)),$BR$6,"_")))))))))))))))</f>
        <v>_</v>
      </c>
      <c r="U71" s="148" t="str">
        <f>IF(OR(COUNTIF('1.연간시수표'!U71,$AT$9),COUNTIF('1.연간시수표'!U71,$AT$7)),$AT$6,IF(OR(COUNTIF('1.연간시수표'!U71,$AU$9),COUNTIF('1.연간시수표'!U71,$AU$7)),$AU$6,IF(OR(COUNTIF('1.연간시수표'!U71,$AV$9),COUNTIF('1.연간시수표'!U71,$AV$7)),$AV$6,IF(OR(COUNTIF('1.연간시수표'!U71,$AW$9),COUNTIF('1.연간시수표'!U71,$AW$7)),$AW$6,IF(OR(COUNTIF('1.연간시수표'!U71,$AX$9),COUNTIF('1.연간시수표'!U71,$AX$7)),$AX$6,IF(OR(COUNTIF('1.연간시수표'!U71,$AY$9),COUNTIF('1.연간시수표'!U71,$AY$7)),$AY$6,IF(OR(COUNTIF('1.연간시수표'!U71,$AZ$9),COUNTIF('1.연간시수표'!U71,$AZ$7)),$AZ$6,IF(OR(COUNTIF('1.연간시수표'!U71,$BA$9),COUNTIF('1.연간시수표'!U71,$BA$7)),$BA$6,IF(OR(COUNTIF('1.연간시수표'!U71,$BB$9),COUNTIF('1.연간시수표'!U71,$BB$7)),$BB$6,IF(OR(COUNTIF('1.연간시수표'!U71,$BC$9),COUNTIF('1.연간시수표'!U71,$BC$7)),$BC$6,IF(OR(COUNTIF('1.연간시수표'!U71,$BF$9),COUNTIF('1.연간시수표'!U71,$BF$7),COUNTIF('1.연간시수표'!U71,$BG$9),COUNTIF('1.연간시수표'!U71,$BG$7),COUNTIF('1.연간시수표'!U71,$BH$9),COUNTIF('1.연간시수표'!U71,$BH$7),COUNTIF('1.연간시수표'!U71,$BI$9),COUNTIF('1.연간시수표'!U71,$BI$7),COUNTIF('1.연간시수표'!U71,$BJ$9),COUNTIF('1.연간시수표'!U71,$BJ$7),COUNTIF('1.연간시수표'!U71,$BK$9),COUNTIF('1.연간시수표'!U71,$BK$7),COUNTIF('1.연간시수표'!U71,$BL$9),COUNTIF('1.연간시수표'!U71,$BL$7),COUNTIF('1.연간시수표'!U71,$BM$9),COUNTIF('1.연간시수표'!U71,$BM$7)),$BF$6,IF(OR(COUNTIF('1.연간시수표'!U71,$BO$9),COUNTIF('1.연간시수표'!U71,$BO$7)),$BO$6,IF(OR(COUNTIF('1.연간시수표'!U71,$BP$9),COUNTIF('1.연간시수표'!U71,$BP$7)),$BP$6,IF(OR(COUNTIF('1.연간시수표'!U71,$BQ$9),COUNTIF('1.연간시수표'!U71,$BQ$7)),$BQ$6,IF(OR(COUNTIF('1.연간시수표'!U71,$BR$9),COUNTIF('1.연간시수표'!U71,$BR$7)),$BR$6,"_")))))))))))))))</f>
        <v>영어</v>
      </c>
      <c r="V71" s="148" t="str">
        <f>IF(OR(COUNTIF('1.연간시수표'!V71,$AT$9),COUNTIF('1.연간시수표'!V71,$AT$7)),$AT$6,IF(OR(COUNTIF('1.연간시수표'!V71,$AU$9),COUNTIF('1.연간시수표'!V71,$AU$7)),$AU$6,IF(OR(COUNTIF('1.연간시수표'!V71,$AV$9),COUNTIF('1.연간시수표'!V71,$AV$7)),$AV$6,IF(OR(COUNTIF('1.연간시수표'!V71,$AW$9),COUNTIF('1.연간시수표'!V71,$AW$7)),$AW$6,IF(OR(COUNTIF('1.연간시수표'!V71,$AX$9),COUNTIF('1.연간시수표'!V71,$AX$7)),$AX$6,IF(OR(COUNTIF('1.연간시수표'!V71,$AY$9),COUNTIF('1.연간시수표'!V71,$AY$7)),$AY$6,IF(OR(COUNTIF('1.연간시수표'!V71,$AZ$9),COUNTIF('1.연간시수표'!V71,$AZ$7)),$AZ$6,IF(OR(COUNTIF('1.연간시수표'!V71,$BA$9),COUNTIF('1.연간시수표'!V71,$BA$7)),$BA$6,IF(OR(COUNTIF('1.연간시수표'!V71,$BB$9),COUNTIF('1.연간시수표'!V71,$BB$7)),$BB$6,IF(OR(COUNTIF('1.연간시수표'!V71,$BC$9),COUNTIF('1.연간시수표'!V71,$BC$7)),$BC$6,IF(OR(COUNTIF('1.연간시수표'!V71,$BF$9),COUNTIF('1.연간시수표'!V71,$BF$7),COUNTIF('1.연간시수표'!V71,$BG$9),COUNTIF('1.연간시수표'!V71,$BG$7),COUNTIF('1.연간시수표'!V71,$BH$9),COUNTIF('1.연간시수표'!V71,$BH$7),COUNTIF('1.연간시수표'!V71,$BI$9),COUNTIF('1.연간시수표'!V71,$BI$7),COUNTIF('1.연간시수표'!V71,$BJ$9),COUNTIF('1.연간시수표'!V71,$BJ$7),COUNTIF('1.연간시수표'!V71,$BK$9),COUNTIF('1.연간시수표'!V71,$BK$7),COUNTIF('1.연간시수표'!V71,$BL$9),COUNTIF('1.연간시수표'!V71,$BL$7),COUNTIF('1.연간시수표'!V71,$BM$9),COUNTIF('1.연간시수표'!V71,$BM$7)),$BF$6,IF(OR(COUNTIF('1.연간시수표'!V71,$BO$9),COUNTIF('1.연간시수표'!V71,$BO$7)),$BO$6,IF(OR(COUNTIF('1.연간시수표'!V71,$BP$9),COUNTIF('1.연간시수표'!V71,$BP$7)),$BP$6,IF(OR(COUNTIF('1.연간시수표'!V71,$BQ$9),COUNTIF('1.연간시수표'!V71,$BQ$7)),$BQ$6,IF(OR(COUNTIF('1.연간시수표'!V71,$BR$9),COUNTIF('1.연간시수표'!V71,$BR$7)),$BR$6,"_")))))))))))))))</f>
        <v>과학</v>
      </c>
      <c r="W71" s="148" t="str">
        <f>IF(OR(COUNTIF('1.연간시수표'!W71,$AT$9),COUNTIF('1.연간시수표'!W71,$AT$7)),$AT$6,IF(OR(COUNTIF('1.연간시수표'!W71,$AU$9),COUNTIF('1.연간시수표'!W71,$AU$7)),$AU$6,IF(OR(COUNTIF('1.연간시수표'!W71,$AV$9),COUNTIF('1.연간시수표'!W71,$AV$7)),$AV$6,IF(OR(COUNTIF('1.연간시수표'!W71,$AW$9),COUNTIF('1.연간시수표'!W71,$AW$7)),$AW$6,IF(OR(COUNTIF('1.연간시수표'!W71,$AX$9),COUNTIF('1.연간시수표'!W71,$AX$7)),$AX$6,IF(OR(COUNTIF('1.연간시수표'!W71,$AY$9),COUNTIF('1.연간시수표'!W71,$AY$7)),$AY$6,IF(OR(COUNTIF('1.연간시수표'!W71,$AZ$9),COUNTIF('1.연간시수표'!W71,$AZ$7)),$AZ$6,IF(OR(COUNTIF('1.연간시수표'!W71,$BA$9),COUNTIF('1.연간시수표'!W71,$BA$7)),$BA$6,IF(OR(COUNTIF('1.연간시수표'!W71,$BB$9),COUNTIF('1.연간시수표'!W71,$BB$7)),$BB$6,IF(OR(COUNTIF('1.연간시수표'!W71,$BC$9),COUNTIF('1.연간시수표'!W71,$BC$7)),$BC$6,IF(OR(COUNTIF('1.연간시수표'!W71,$BF$9),COUNTIF('1.연간시수표'!W71,$BF$7),COUNTIF('1.연간시수표'!W71,$BG$9),COUNTIF('1.연간시수표'!W71,$BG$7),COUNTIF('1.연간시수표'!W71,$BH$9),COUNTIF('1.연간시수표'!W71,$BH$7),COUNTIF('1.연간시수표'!W71,$BI$9),COUNTIF('1.연간시수표'!W71,$BI$7),COUNTIF('1.연간시수표'!W71,$BJ$9),COUNTIF('1.연간시수표'!W71,$BJ$7),COUNTIF('1.연간시수표'!W71,$BK$9),COUNTIF('1.연간시수표'!W71,$BK$7),COUNTIF('1.연간시수표'!W71,$BL$9),COUNTIF('1.연간시수표'!W71,$BL$7),COUNTIF('1.연간시수표'!W71,$BM$9),COUNTIF('1.연간시수표'!W71,$BM$7)),$BF$6,IF(OR(COUNTIF('1.연간시수표'!W71,$BO$9),COUNTIF('1.연간시수표'!W71,$BO$7)),$BO$6,IF(OR(COUNTIF('1.연간시수표'!W71,$BP$9),COUNTIF('1.연간시수표'!W71,$BP$7)),$BP$6,IF(OR(COUNTIF('1.연간시수표'!W71,$BQ$9),COUNTIF('1.연간시수표'!W71,$BQ$7)),$BQ$6,IF(OR(COUNTIF('1.연간시수표'!W71,$BR$9),COUNTIF('1.연간시수표'!W71,$BR$7)),$BR$6,"_")))))))))))))))</f>
        <v>체육</v>
      </c>
      <c r="X71" s="148" t="str">
        <f>IF(OR(COUNTIF('1.연간시수표'!X71,$AT$9),COUNTIF('1.연간시수표'!X71,$AT$7)),$AT$6,IF(OR(COUNTIF('1.연간시수표'!X71,$AU$9),COUNTIF('1.연간시수표'!X71,$AU$7)),$AU$6,IF(OR(COUNTIF('1.연간시수표'!X71,$AV$9),COUNTIF('1.연간시수표'!X71,$AV$7)),$AV$6,IF(OR(COUNTIF('1.연간시수표'!X71,$AW$9),COUNTIF('1.연간시수표'!X71,$AW$7)),$AW$6,IF(OR(COUNTIF('1.연간시수표'!X71,$AX$9),COUNTIF('1.연간시수표'!X71,$AX$7)),$AX$6,IF(OR(COUNTIF('1.연간시수표'!X71,$AY$9),COUNTIF('1.연간시수표'!X71,$AY$7)),$AY$6,IF(OR(COUNTIF('1.연간시수표'!X71,$AZ$9),COUNTIF('1.연간시수표'!X71,$AZ$7)),$AZ$6,IF(OR(COUNTIF('1.연간시수표'!X71,$BA$9),COUNTIF('1.연간시수표'!X71,$BA$7)),$BA$6,IF(OR(COUNTIF('1.연간시수표'!X71,$BB$9),COUNTIF('1.연간시수표'!X71,$BB$7)),$BB$6,IF(OR(COUNTIF('1.연간시수표'!X71,$BC$9),COUNTIF('1.연간시수표'!X71,$BC$7)),$BC$6,IF(OR(COUNTIF('1.연간시수표'!X71,$BF$9),COUNTIF('1.연간시수표'!X71,$BF$7),COUNTIF('1.연간시수표'!X71,$BG$9),COUNTIF('1.연간시수표'!X71,$BG$7),COUNTIF('1.연간시수표'!X71,$BH$9),COUNTIF('1.연간시수표'!X71,$BH$7),COUNTIF('1.연간시수표'!X71,$BI$9),COUNTIF('1.연간시수표'!X71,$BI$7),COUNTIF('1.연간시수표'!X71,$BJ$9),COUNTIF('1.연간시수표'!X71,$BJ$7),COUNTIF('1.연간시수표'!X71,$BK$9),COUNTIF('1.연간시수표'!X71,$BK$7),COUNTIF('1.연간시수표'!X71,$BL$9),COUNTIF('1.연간시수표'!X71,$BL$7),COUNTIF('1.연간시수표'!X71,$BM$9),COUNTIF('1.연간시수표'!X71,$BM$7)),$BF$6,IF(OR(COUNTIF('1.연간시수표'!X71,$BO$9),COUNTIF('1.연간시수표'!X71,$BO$7)),$BO$6,IF(OR(COUNTIF('1.연간시수표'!X71,$BP$9),COUNTIF('1.연간시수표'!X71,$BP$7)),$BP$6,IF(OR(COUNTIF('1.연간시수표'!X71,$BQ$9),COUNTIF('1.연간시수표'!X71,$BQ$7)),$BQ$6,IF(OR(COUNTIF('1.연간시수표'!X71,$BR$9),COUNTIF('1.연간시수표'!X71,$BR$7)),$BR$6,"_")))))))))))))))</f>
        <v>음악</v>
      </c>
      <c r="Y71" s="148" t="str">
        <f>IF(OR(COUNTIF('1.연간시수표'!Y71,$AT$9),COUNTIF('1.연간시수표'!Y71,$AT$7)),$AT$6,IF(OR(COUNTIF('1.연간시수표'!Y71,$AU$9),COUNTIF('1.연간시수표'!Y71,$AU$7)),$AU$6,IF(OR(COUNTIF('1.연간시수표'!Y71,$AV$9),COUNTIF('1.연간시수표'!Y71,$AV$7)),$AV$6,IF(OR(COUNTIF('1.연간시수표'!Y71,$AW$9),COUNTIF('1.연간시수표'!Y71,$AW$7)),$AW$6,IF(OR(COUNTIF('1.연간시수표'!Y71,$AX$9),COUNTIF('1.연간시수표'!Y71,$AX$7)),$AX$6,IF(OR(COUNTIF('1.연간시수표'!Y71,$AY$9),COUNTIF('1.연간시수표'!Y71,$AY$7)),$AY$6,IF(OR(COUNTIF('1.연간시수표'!Y71,$AZ$9),COUNTIF('1.연간시수표'!Y71,$AZ$7)),$AZ$6,IF(OR(COUNTIF('1.연간시수표'!Y71,$BA$9),COUNTIF('1.연간시수표'!Y71,$BA$7)),$BA$6,IF(OR(COUNTIF('1.연간시수표'!Y71,$BB$9),COUNTIF('1.연간시수표'!Y71,$BB$7)),$BB$6,IF(OR(COUNTIF('1.연간시수표'!Y71,$BC$9),COUNTIF('1.연간시수표'!Y71,$BC$7)),$BC$6,IF(OR(COUNTIF('1.연간시수표'!Y71,$BF$9),COUNTIF('1.연간시수표'!Y71,$BF$7),COUNTIF('1.연간시수표'!Y71,$BG$9),COUNTIF('1.연간시수표'!Y71,$BG$7),COUNTIF('1.연간시수표'!Y71,$BH$9),COUNTIF('1.연간시수표'!Y71,$BH$7),COUNTIF('1.연간시수표'!Y71,$BI$9),COUNTIF('1.연간시수표'!Y71,$BI$7),COUNTIF('1.연간시수표'!Y71,$BJ$9),COUNTIF('1.연간시수표'!Y71,$BJ$7),COUNTIF('1.연간시수표'!Y71,$BK$9),COUNTIF('1.연간시수표'!Y71,$BK$7),COUNTIF('1.연간시수표'!Y71,$BL$9),COUNTIF('1.연간시수표'!Y71,$BL$7),COUNTIF('1.연간시수표'!Y71,$BM$9),COUNTIF('1.연간시수표'!Y71,$BM$7)),$BF$6,IF(OR(COUNTIF('1.연간시수표'!Y71,$BO$9),COUNTIF('1.연간시수표'!Y71,$BO$7)),$BO$6,IF(OR(COUNTIF('1.연간시수표'!Y71,$BP$9),COUNTIF('1.연간시수표'!Y71,$BP$7)),$BP$6,IF(OR(COUNTIF('1.연간시수표'!Y71,$BQ$9),COUNTIF('1.연간시수표'!Y71,$BQ$7)),$BQ$6,IF(OR(COUNTIF('1.연간시수표'!Y71,$BR$9),COUNTIF('1.연간시수표'!Y71,$BR$7)),$BR$6,"_")))))))))))))))</f>
        <v>도덕</v>
      </c>
      <c r="Z71" s="148" t="str">
        <f>IF(OR(COUNTIF('1.연간시수표'!Z71,$AT$9),COUNTIF('1.연간시수표'!Z71,$AT$7)),$AT$6,IF(OR(COUNTIF('1.연간시수표'!Z71,$AU$9),COUNTIF('1.연간시수표'!Z71,$AU$7)),$AU$6,IF(OR(COUNTIF('1.연간시수표'!Z71,$AV$9),COUNTIF('1.연간시수표'!Z71,$AV$7)),$AV$6,IF(OR(COUNTIF('1.연간시수표'!Z71,$AW$9),COUNTIF('1.연간시수표'!Z71,$AW$7)),$AW$6,IF(OR(COUNTIF('1.연간시수표'!Z71,$AX$9),COUNTIF('1.연간시수표'!Z71,$AX$7)),$AX$6,IF(OR(COUNTIF('1.연간시수표'!Z71,$AY$9),COUNTIF('1.연간시수표'!Z71,$AY$7)),$AY$6,IF(OR(COUNTIF('1.연간시수표'!Z71,$AZ$9),COUNTIF('1.연간시수표'!Z71,$AZ$7)),$AZ$6,IF(OR(COUNTIF('1.연간시수표'!Z71,$BA$9),COUNTIF('1.연간시수표'!Z71,$BA$7)),$BA$6,IF(OR(COUNTIF('1.연간시수표'!Z71,$BB$9),COUNTIF('1.연간시수표'!Z71,$BB$7)),$BB$6,IF(OR(COUNTIF('1.연간시수표'!Z71,$BC$9),COUNTIF('1.연간시수표'!Z71,$BC$7)),$BC$6,IF(OR(COUNTIF('1.연간시수표'!Z71,$BF$9),COUNTIF('1.연간시수표'!Z71,$BF$7),COUNTIF('1.연간시수표'!Z71,$BG$9),COUNTIF('1.연간시수표'!Z71,$BG$7),COUNTIF('1.연간시수표'!Z71,$BH$9),COUNTIF('1.연간시수표'!Z71,$BH$7),COUNTIF('1.연간시수표'!Z71,$BI$9),COUNTIF('1.연간시수표'!Z71,$BI$7),COUNTIF('1.연간시수표'!Z71,$BJ$9),COUNTIF('1.연간시수표'!Z71,$BJ$7),COUNTIF('1.연간시수표'!Z71,$BK$9),COUNTIF('1.연간시수표'!Z71,$BK$7),COUNTIF('1.연간시수표'!Z71,$BL$9),COUNTIF('1.연간시수표'!Z71,$BL$7),COUNTIF('1.연간시수표'!Z71,$BM$9),COUNTIF('1.연간시수표'!Z71,$BM$7)),$BF$6,IF(OR(COUNTIF('1.연간시수표'!Z71,$BO$9),COUNTIF('1.연간시수표'!Z71,$BO$7)),$BO$6,IF(OR(COUNTIF('1.연간시수표'!Z71,$BP$9),COUNTIF('1.연간시수표'!Z71,$BP$7)),$BP$6,IF(OR(COUNTIF('1.연간시수표'!Z71,$BQ$9),COUNTIF('1.연간시수표'!Z71,$BQ$7)),$BQ$6,IF(OR(COUNTIF('1.연간시수표'!Z71,$BR$9),COUNTIF('1.연간시수표'!Z71,$BR$7)),$BR$6,"_")))))))))))))))</f>
        <v>_</v>
      </c>
      <c r="AA71" s="148" t="str">
        <f>IF(OR(COUNTIF('1.연간시수표'!AA71,$AT$9),COUNTIF('1.연간시수표'!AA71,$AT$7)),$AT$6,IF(OR(COUNTIF('1.연간시수표'!AA71,$AU$9),COUNTIF('1.연간시수표'!AA71,$AU$7)),$AU$6,IF(OR(COUNTIF('1.연간시수표'!AA71,$AV$9),COUNTIF('1.연간시수표'!AA71,$AV$7)),$AV$6,IF(OR(COUNTIF('1.연간시수표'!AA71,$AW$9),COUNTIF('1.연간시수표'!AA71,$AW$7)),$AW$6,IF(OR(COUNTIF('1.연간시수표'!AA71,$AX$9),COUNTIF('1.연간시수표'!AA71,$AX$7)),$AX$6,IF(OR(COUNTIF('1.연간시수표'!AA71,$AY$9),COUNTIF('1.연간시수표'!AA71,$AY$7)),$AY$6,IF(OR(COUNTIF('1.연간시수표'!AA71,$AZ$9),COUNTIF('1.연간시수표'!AA71,$AZ$7)),$AZ$6,IF(OR(COUNTIF('1.연간시수표'!AA71,$BA$9),COUNTIF('1.연간시수표'!AA71,$BA$7)),$BA$6,IF(OR(COUNTIF('1.연간시수표'!AA71,$BB$9),COUNTIF('1.연간시수표'!AA71,$BB$7)),$BB$6,IF(OR(COUNTIF('1.연간시수표'!AA71,$BC$9),COUNTIF('1.연간시수표'!AA71,$BC$7)),$BC$6,IF(OR(COUNTIF('1.연간시수표'!AA71,$BF$9),COUNTIF('1.연간시수표'!AA71,$BF$7),COUNTIF('1.연간시수표'!AA71,$BG$9),COUNTIF('1.연간시수표'!AA71,$BG$7),COUNTIF('1.연간시수표'!AA71,$BH$9),COUNTIF('1.연간시수표'!AA71,$BH$7),COUNTIF('1.연간시수표'!AA71,$BI$9),COUNTIF('1.연간시수표'!AA71,$BI$7),COUNTIF('1.연간시수표'!AA71,$BJ$9),COUNTIF('1.연간시수표'!AA71,$BJ$7),COUNTIF('1.연간시수표'!AA71,$BK$9),COUNTIF('1.연간시수표'!AA71,$BK$7),COUNTIF('1.연간시수표'!AA71,$BL$9),COUNTIF('1.연간시수표'!AA71,$BL$7),COUNTIF('1.연간시수표'!AA71,$BM$9),COUNTIF('1.연간시수표'!AA71,$BM$7)),$BF$6,IF(OR(COUNTIF('1.연간시수표'!AA71,$BO$9),COUNTIF('1.연간시수표'!AA71,$BO$7)),$BO$6,IF(OR(COUNTIF('1.연간시수표'!AA71,$BP$9),COUNTIF('1.연간시수표'!AA71,$BP$7)),$BP$6,IF(OR(COUNTIF('1.연간시수표'!AA71,$BQ$9),COUNTIF('1.연간시수표'!AA71,$BQ$7)),$BQ$6,IF(OR(COUNTIF('1.연간시수표'!AA71,$BR$9),COUNTIF('1.연간시수표'!AA71,$BR$7)),$BR$6,"_")))))))))))))))</f>
        <v>_</v>
      </c>
      <c r="AB71" s="148" t="str">
        <f>IF(OR(COUNTIF('1.연간시수표'!AB71,$AT$9),COUNTIF('1.연간시수표'!AB71,$AT$7)),$AT$6,IF(OR(COUNTIF('1.연간시수표'!AB71,$AU$9),COUNTIF('1.연간시수표'!AB71,$AU$7)),$AU$6,IF(OR(COUNTIF('1.연간시수표'!AB71,$AV$9),COUNTIF('1.연간시수표'!AB71,$AV$7)),$AV$6,IF(OR(COUNTIF('1.연간시수표'!AB71,$AW$9),COUNTIF('1.연간시수표'!AB71,$AW$7)),$AW$6,IF(OR(COUNTIF('1.연간시수표'!AB71,$AX$9),COUNTIF('1.연간시수표'!AB71,$AX$7)),$AX$6,IF(OR(COUNTIF('1.연간시수표'!AB71,$AY$9),COUNTIF('1.연간시수표'!AB71,$AY$7)),$AY$6,IF(OR(COUNTIF('1.연간시수표'!AB71,$AZ$9),COUNTIF('1.연간시수표'!AB71,$AZ$7)),$AZ$6,IF(OR(COUNTIF('1.연간시수표'!AB71,$BA$9),COUNTIF('1.연간시수표'!AB71,$BA$7)),$BA$6,IF(OR(COUNTIF('1.연간시수표'!AB71,$BB$9),COUNTIF('1.연간시수표'!AB71,$BB$7)),$BB$6,IF(OR(COUNTIF('1.연간시수표'!AB71,$BC$9),COUNTIF('1.연간시수표'!AB71,$BC$7)),$BC$6,IF(OR(COUNTIF('1.연간시수표'!AB71,$BF$9),COUNTIF('1.연간시수표'!AB71,$BF$7),COUNTIF('1.연간시수표'!AB71,$BG$9),COUNTIF('1.연간시수표'!AB71,$BG$7),COUNTIF('1.연간시수표'!AB71,$BH$9),COUNTIF('1.연간시수표'!AB71,$BH$7),COUNTIF('1.연간시수표'!AB71,$BI$9),COUNTIF('1.연간시수표'!AB71,$BI$7),COUNTIF('1.연간시수표'!AB71,$BJ$9),COUNTIF('1.연간시수표'!AB71,$BJ$7),COUNTIF('1.연간시수표'!AB71,$BK$9),COUNTIF('1.연간시수표'!AB71,$BK$7),COUNTIF('1.연간시수표'!AB71,$BL$9),COUNTIF('1.연간시수표'!AB71,$BL$7),COUNTIF('1.연간시수표'!AB71,$BM$9),COUNTIF('1.연간시수표'!AB71,$BM$7)),$BF$6,IF(OR(COUNTIF('1.연간시수표'!AB71,$BO$9),COUNTIF('1.연간시수표'!AB71,$BO$7)),$BO$6,IF(OR(COUNTIF('1.연간시수표'!AB71,$BP$9),COUNTIF('1.연간시수표'!AB71,$BP$7)),$BP$6,IF(OR(COUNTIF('1.연간시수표'!AB71,$BQ$9),COUNTIF('1.연간시수표'!AB71,$BQ$7)),$BQ$6,IF(OR(COUNTIF('1.연간시수표'!AB71,$BR$9),COUNTIF('1.연간시수표'!AB71,$BR$7)),$BR$6,"_")))))))))))))))</f>
        <v>_</v>
      </c>
      <c r="AC71" s="148" t="str">
        <f>IF(OR(COUNTIF('1.연간시수표'!AC71,$AT$9),COUNTIF('1.연간시수표'!AC71,$AT$7)),$AT$6,IF(OR(COUNTIF('1.연간시수표'!AC71,$AU$9),COUNTIF('1.연간시수표'!AC71,$AU$7)),$AU$6,IF(OR(COUNTIF('1.연간시수표'!AC71,$AV$9),COUNTIF('1.연간시수표'!AC71,$AV$7)),$AV$6,IF(OR(COUNTIF('1.연간시수표'!AC71,$AW$9),COUNTIF('1.연간시수표'!AC71,$AW$7)),$AW$6,IF(OR(COUNTIF('1.연간시수표'!AC71,$AX$9),COUNTIF('1.연간시수표'!AC71,$AX$7)),$AX$6,IF(OR(COUNTIF('1.연간시수표'!AC71,$AY$9),COUNTIF('1.연간시수표'!AC71,$AY$7)),$AY$6,IF(OR(COUNTIF('1.연간시수표'!AC71,$AZ$9),COUNTIF('1.연간시수표'!AC71,$AZ$7)),$AZ$6,IF(OR(COUNTIF('1.연간시수표'!AC71,$BA$9),COUNTIF('1.연간시수표'!AC71,$BA$7)),$BA$6,IF(OR(COUNTIF('1.연간시수표'!AC71,$BB$9),COUNTIF('1.연간시수표'!AC71,$BB$7)),$BB$6,IF(OR(COUNTIF('1.연간시수표'!AC71,$BC$9),COUNTIF('1.연간시수표'!AC71,$BC$7)),$BC$6,IF(OR(COUNTIF('1.연간시수표'!AC71,$BF$9),COUNTIF('1.연간시수표'!AC71,$BF$7),COUNTIF('1.연간시수표'!AC71,$BG$9),COUNTIF('1.연간시수표'!AC71,$BG$7),COUNTIF('1.연간시수표'!AC71,$BH$9),COUNTIF('1.연간시수표'!AC71,$BH$7),COUNTIF('1.연간시수표'!AC71,$BI$9),COUNTIF('1.연간시수표'!AC71,$BI$7),COUNTIF('1.연간시수표'!AC71,$BJ$9),COUNTIF('1.연간시수표'!AC71,$BJ$7),COUNTIF('1.연간시수표'!AC71,$BK$9),COUNTIF('1.연간시수표'!AC71,$BK$7),COUNTIF('1.연간시수표'!AC71,$BL$9),COUNTIF('1.연간시수표'!AC71,$BL$7),COUNTIF('1.연간시수표'!AC71,$BM$9),COUNTIF('1.연간시수표'!AC71,$BM$7)),$BF$6,IF(OR(COUNTIF('1.연간시수표'!AC71,$BO$9),COUNTIF('1.연간시수표'!AC71,$BO$7)),$BO$6,IF(OR(COUNTIF('1.연간시수표'!AC71,$BP$9),COUNTIF('1.연간시수표'!AC71,$BP$7)),$BP$6,IF(OR(COUNTIF('1.연간시수표'!AC71,$BQ$9),COUNTIF('1.연간시수표'!AC71,$BQ$7)),$BQ$6,IF(OR(COUNTIF('1.연간시수표'!AC71,$BR$9),COUNTIF('1.연간시수표'!AC71,$BR$7)),$BR$6,"_")))))))))))))))</f>
        <v>체육</v>
      </c>
      <c r="AD71" s="148" t="str">
        <f>IF(OR(COUNTIF('1.연간시수표'!AD71,$AT$9),COUNTIF('1.연간시수표'!AD71,$AT$7)),$AT$6,IF(OR(COUNTIF('1.연간시수표'!AD71,$AU$9),COUNTIF('1.연간시수표'!AD71,$AU$7)),$AU$6,IF(OR(COUNTIF('1.연간시수표'!AD71,$AV$9),COUNTIF('1.연간시수표'!AD71,$AV$7)),$AV$6,IF(OR(COUNTIF('1.연간시수표'!AD71,$AW$9),COUNTIF('1.연간시수표'!AD71,$AW$7)),$AW$6,IF(OR(COUNTIF('1.연간시수표'!AD71,$AX$9),COUNTIF('1.연간시수표'!AD71,$AX$7)),$AX$6,IF(OR(COUNTIF('1.연간시수표'!AD71,$AY$9),COUNTIF('1.연간시수표'!AD71,$AY$7)),$AY$6,IF(OR(COUNTIF('1.연간시수표'!AD71,$AZ$9),COUNTIF('1.연간시수표'!AD71,$AZ$7)),$AZ$6,IF(OR(COUNTIF('1.연간시수표'!AD71,$BA$9),COUNTIF('1.연간시수표'!AD71,$BA$7)),$BA$6,IF(OR(COUNTIF('1.연간시수표'!AD71,$BB$9),COUNTIF('1.연간시수표'!AD71,$BB$7)),$BB$6,IF(OR(COUNTIF('1.연간시수표'!AD71,$BC$9),COUNTIF('1.연간시수표'!AD71,$BC$7)),$BC$6,IF(OR(COUNTIF('1.연간시수표'!AD71,$BF$9),COUNTIF('1.연간시수표'!AD71,$BF$7),COUNTIF('1.연간시수표'!AD71,$BG$9),COUNTIF('1.연간시수표'!AD71,$BG$7),COUNTIF('1.연간시수표'!AD71,$BH$9),COUNTIF('1.연간시수표'!AD71,$BH$7),COUNTIF('1.연간시수표'!AD71,$BI$9),COUNTIF('1.연간시수표'!AD71,$BI$7),COUNTIF('1.연간시수표'!AD71,$BJ$9),COUNTIF('1.연간시수표'!AD71,$BJ$7),COUNTIF('1.연간시수표'!AD71,$BK$9),COUNTIF('1.연간시수표'!AD71,$BK$7),COUNTIF('1.연간시수표'!AD71,$BL$9),COUNTIF('1.연간시수표'!AD71,$BL$7),COUNTIF('1.연간시수표'!AD71,$BM$9),COUNTIF('1.연간시수표'!AD71,$BM$7)),$BF$6,IF(OR(COUNTIF('1.연간시수표'!AD71,$BO$9),COUNTIF('1.연간시수표'!AD71,$BO$7)),$BO$6,IF(OR(COUNTIF('1.연간시수표'!AD71,$BP$9),COUNTIF('1.연간시수표'!AD71,$BP$7)),$BP$6,IF(OR(COUNTIF('1.연간시수표'!AD71,$BQ$9),COUNTIF('1.연간시수표'!AD71,$BQ$7)),$BQ$6,IF(OR(COUNTIF('1.연간시수표'!AD71,$BR$9),COUNTIF('1.연간시수표'!AD71,$BR$7)),$BR$6,"_")))))))))))))))</f>
        <v>수학</v>
      </c>
      <c r="AE71" s="148" t="str">
        <f>IF(OR(COUNTIF('1.연간시수표'!AE71,$AT$9),COUNTIF('1.연간시수표'!AE71,$AT$7)),$AT$6,IF(OR(COUNTIF('1.연간시수표'!AE71,$AU$9),COUNTIF('1.연간시수표'!AE71,$AU$7)),$AU$6,IF(OR(COUNTIF('1.연간시수표'!AE71,$AV$9),COUNTIF('1.연간시수표'!AE71,$AV$7)),$AV$6,IF(OR(COUNTIF('1.연간시수표'!AE71,$AW$9),COUNTIF('1.연간시수표'!AE71,$AW$7)),$AW$6,IF(OR(COUNTIF('1.연간시수표'!AE71,$AX$9),COUNTIF('1.연간시수표'!AE71,$AX$7)),$AX$6,IF(OR(COUNTIF('1.연간시수표'!AE71,$AY$9),COUNTIF('1.연간시수표'!AE71,$AY$7)),$AY$6,IF(OR(COUNTIF('1.연간시수표'!AE71,$AZ$9),COUNTIF('1.연간시수표'!AE71,$AZ$7)),$AZ$6,IF(OR(COUNTIF('1.연간시수표'!AE71,$BA$9),COUNTIF('1.연간시수표'!AE71,$BA$7)),$BA$6,IF(OR(COUNTIF('1.연간시수표'!AE71,$BB$9),COUNTIF('1.연간시수표'!AE71,$BB$7)),$BB$6,IF(OR(COUNTIF('1.연간시수표'!AE71,$BC$9),COUNTIF('1.연간시수표'!AE71,$BC$7)),$BC$6,IF(OR(COUNTIF('1.연간시수표'!AE71,$BF$9),COUNTIF('1.연간시수표'!AE71,$BF$7),COUNTIF('1.연간시수표'!AE71,$BG$9),COUNTIF('1.연간시수표'!AE71,$BG$7),COUNTIF('1.연간시수표'!AE71,$BH$9),COUNTIF('1.연간시수표'!AE71,$BH$7),COUNTIF('1.연간시수표'!AE71,$BI$9),COUNTIF('1.연간시수표'!AE71,$BI$7),COUNTIF('1.연간시수표'!AE71,$BJ$9),COUNTIF('1.연간시수표'!AE71,$BJ$7),COUNTIF('1.연간시수표'!AE71,$BK$9),COUNTIF('1.연간시수표'!AE71,$BK$7),COUNTIF('1.연간시수표'!AE71,$BL$9),COUNTIF('1.연간시수표'!AE71,$BL$7),COUNTIF('1.연간시수표'!AE71,$BM$9),COUNTIF('1.연간시수표'!AE71,$BM$7)),$BF$6,IF(OR(COUNTIF('1.연간시수표'!AE71,$BO$9),COUNTIF('1.연간시수표'!AE71,$BO$7)),$BO$6,IF(OR(COUNTIF('1.연간시수표'!AE71,$BP$9),COUNTIF('1.연간시수표'!AE71,$BP$7)),$BP$6,IF(OR(COUNTIF('1.연간시수표'!AE71,$BQ$9),COUNTIF('1.연간시수표'!AE71,$BQ$7)),$BQ$6,IF(OR(COUNTIF('1.연간시수표'!AE71,$BR$9),COUNTIF('1.연간시수표'!AE71,$BR$7)),$BR$6,"_")))))))))))))))</f>
        <v>체육</v>
      </c>
      <c r="AF71" s="148" t="str">
        <f>IF(OR(COUNTIF('1.연간시수표'!AF71,$AT$9),COUNTIF('1.연간시수표'!AF71,$AT$7)),$AT$6,IF(OR(COUNTIF('1.연간시수표'!AF71,$AU$9),COUNTIF('1.연간시수표'!AF71,$AU$7)),$AU$6,IF(OR(COUNTIF('1.연간시수표'!AF71,$AV$9),COUNTIF('1.연간시수표'!AF71,$AV$7)),$AV$6,IF(OR(COUNTIF('1.연간시수표'!AF71,$AW$9),COUNTIF('1.연간시수표'!AF71,$AW$7)),$AW$6,IF(OR(COUNTIF('1.연간시수표'!AF71,$AX$9),COUNTIF('1.연간시수표'!AF71,$AX$7)),$AX$6,IF(OR(COUNTIF('1.연간시수표'!AF71,$AY$9),COUNTIF('1.연간시수표'!AF71,$AY$7)),$AY$6,IF(OR(COUNTIF('1.연간시수표'!AF71,$AZ$9),COUNTIF('1.연간시수표'!AF71,$AZ$7)),$AZ$6,IF(OR(COUNTIF('1.연간시수표'!AF71,$BA$9),COUNTIF('1.연간시수표'!AF71,$BA$7)),$BA$6,IF(OR(COUNTIF('1.연간시수표'!AF71,$BB$9),COUNTIF('1.연간시수표'!AF71,$BB$7)),$BB$6,IF(OR(COUNTIF('1.연간시수표'!AF71,$BC$9),COUNTIF('1.연간시수표'!AF71,$BC$7)),$BC$6,IF(OR(COUNTIF('1.연간시수표'!AF71,$BF$9),COUNTIF('1.연간시수표'!AF71,$BF$7),COUNTIF('1.연간시수표'!AF71,$BG$9),COUNTIF('1.연간시수표'!AF71,$BG$7),COUNTIF('1.연간시수표'!AF71,$BH$9),COUNTIF('1.연간시수표'!AF71,$BH$7),COUNTIF('1.연간시수표'!AF71,$BI$9),COUNTIF('1.연간시수표'!AF71,$BI$7),COUNTIF('1.연간시수표'!AF71,$BJ$9),COUNTIF('1.연간시수표'!AF71,$BJ$7),COUNTIF('1.연간시수표'!AF71,$BK$9),COUNTIF('1.연간시수표'!AF71,$BK$7),COUNTIF('1.연간시수표'!AF71,$BL$9),COUNTIF('1.연간시수표'!AF71,$BL$7),COUNTIF('1.연간시수표'!AF71,$BM$9),COUNTIF('1.연간시수표'!AF71,$BM$7)),$BF$6,IF(OR(COUNTIF('1.연간시수표'!AF71,$BO$9),COUNTIF('1.연간시수표'!AF71,$BO$7)),$BO$6,IF(OR(COUNTIF('1.연간시수표'!AF71,$BP$9),COUNTIF('1.연간시수표'!AF71,$BP$7)),$BP$6,IF(OR(COUNTIF('1.연간시수표'!AF71,$BQ$9),COUNTIF('1.연간시수표'!AF71,$BQ$7)),$BQ$6,IF(OR(COUNTIF('1.연간시수표'!AF71,$BR$9),COUNTIF('1.연간시수표'!AF71,$BR$7)),$BR$6,"_")))))))))))))))</f>
        <v>자율활동</v>
      </c>
      <c r="AG71" s="148" t="str">
        <f>IF(OR(COUNTIF('1.연간시수표'!AG71,$AT$9),COUNTIF('1.연간시수표'!AG71,$AT$7)),$AT$6,IF(OR(COUNTIF('1.연간시수표'!AG71,$AU$9),COUNTIF('1.연간시수표'!AG71,$AU$7)),$AU$6,IF(OR(COUNTIF('1.연간시수표'!AG71,$AV$9),COUNTIF('1.연간시수표'!AG71,$AV$7)),$AV$6,IF(OR(COUNTIF('1.연간시수표'!AG71,$AW$9),COUNTIF('1.연간시수표'!AG71,$AW$7)),$AW$6,IF(OR(COUNTIF('1.연간시수표'!AG71,$AX$9),COUNTIF('1.연간시수표'!AG71,$AX$7)),$AX$6,IF(OR(COUNTIF('1.연간시수표'!AG71,$AY$9),COUNTIF('1.연간시수표'!AG71,$AY$7)),$AY$6,IF(OR(COUNTIF('1.연간시수표'!AG71,$AZ$9),COUNTIF('1.연간시수표'!AG71,$AZ$7)),$AZ$6,IF(OR(COUNTIF('1.연간시수표'!AG71,$BA$9),COUNTIF('1.연간시수표'!AG71,$BA$7)),$BA$6,IF(OR(COUNTIF('1.연간시수표'!AG71,$BB$9),COUNTIF('1.연간시수표'!AG71,$BB$7)),$BB$6,IF(OR(COUNTIF('1.연간시수표'!AG71,$BC$9),COUNTIF('1.연간시수표'!AG71,$BC$7)),$BC$6,IF(OR(COUNTIF('1.연간시수표'!AG71,$BF$9),COUNTIF('1.연간시수표'!AG71,$BF$7),COUNTIF('1.연간시수표'!AG71,$BG$9),COUNTIF('1.연간시수표'!AG71,$BG$7),COUNTIF('1.연간시수표'!AG71,$BH$9),COUNTIF('1.연간시수표'!AG71,$BH$7),COUNTIF('1.연간시수표'!AG71,$BI$9),COUNTIF('1.연간시수표'!AG71,$BI$7),COUNTIF('1.연간시수표'!AG71,$BJ$9),COUNTIF('1.연간시수표'!AG71,$BJ$7),COUNTIF('1.연간시수표'!AG71,$BK$9),COUNTIF('1.연간시수표'!AG71,$BK$7),COUNTIF('1.연간시수표'!AG71,$BL$9),COUNTIF('1.연간시수표'!AG71,$BL$7),COUNTIF('1.연간시수표'!AG71,$BM$9),COUNTIF('1.연간시수표'!AG71,$BM$7)),$BF$6,IF(OR(COUNTIF('1.연간시수표'!AG71,$BO$9),COUNTIF('1.연간시수표'!AG71,$BO$7)),$BO$6,IF(OR(COUNTIF('1.연간시수표'!AG71,$BP$9),COUNTIF('1.연간시수표'!AG71,$BP$7)),$BP$6,IF(OR(COUNTIF('1.연간시수표'!AG71,$BQ$9),COUNTIF('1.연간시수표'!AG71,$BQ$7)),$BQ$6,IF(OR(COUNTIF('1.연간시수표'!AG71,$BR$9),COUNTIF('1.연간시수표'!AG71,$BR$7)),$BR$6,"_")))))))))))))))</f>
        <v>과학</v>
      </c>
      <c r="AH71" s="148" t="str">
        <f>IF(OR(COUNTIF('1.연간시수표'!AH71,$AT$9),COUNTIF('1.연간시수표'!AH71,$AT$7)),$AT$6,IF(OR(COUNTIF('1.연간시수표'!AH71,$AU$9),COUNTIF('1.연간시수표'!AH71,$AU$7)),$AU$6,IF(OR(COUNTIF('1.연간시수표'!AH71,$AV$9),COUNTIF('1.연간시수표'!AH71,$AV$7)),$AV$6,IF(OR(COUNTIF('1.연간시수표'!AH71,$AW$9),COUNTIF('1.연간시수표'!AH71,$AW$7)),$AW$6,IF(OR(COUNTIF('1.연간시수표'!AH71,$AX$9),COUNTIF('1.연간시수표'!AH71,$AX$7)),$AX$6,IF(OR(COUNTIF('1.연간시수표'!AH71,$AY$9),COUNTIF('1.연간시수표'!AH71,$AY$7)),$AY$6,IF(OR(COUNTIF('1.연간시수표'!AH71,$AZ$9),COUNTIF('1.연간시수표'!AH71,$AZ$7)),$AZ$6,IF(OR(COUNTIF('1.연간시수표'!AH71,$BA$9),COUNTIF('1.연간시수표'!AH71,$BA$7)),$BA$6,IF(OR(COUNTIF('1.연간시수표'!AH71,$BB$9),COUNTIF('1.연간시수표'!AH71,$BB$7)),$BB$6,IF(OR(COUNTIF('1.연간시수표'!AH71,$BC$9),COUNTIF('1.연간시수표'!AH71,$BC$7)),$BC$6,IF(OR(COUNTIF('1.연간시수표'!AH71,$BF$9),COUNTIF('1.연간시수표'!AH71,$BF$7),COUNTIF('1.연간시수표'!AH71,$BG$9),COUNTIF('1.연간시수표'!AH71,$BG$7),COUNTIF('1.연간시수표'!AH71,$BH$9),COUNTIF('1.연간시수표'!AH71,$BH$7),COUNTIF('1.연간시수표'!AH71,$BI$9),COUNTIF('1.연간시수표'!AH71,$BI$7),COUNTIF('1.연간시수표'!AH71,$BJ$9),COUNTIF('1.연간시수표'!AH71,$BJ$7),COUNTIF('1.연간시수표'!AH71,$BK$9),COUNTIF('1.연간시수표'!AH71,$BK$7),COUNTIF('1.연간시수표'!AH71,$BL$9),COUNTIF('1.연간시수표'!AH71,$BL$7),COUNTIF('1.연간시수표'!AH71,$BM$9),COUNTIF('1.연간시수표'!AH71,$BM$7)),$BF$6,IF(OR(COUNTIF('1.연간시수표'!AH71,$BO$9),COUNTIF('1.연간시수표'!AH71,$BO$7)),$BO$6,IF(OR(COUNTIF('1.연간시수표'!AH71,$BP$9),COUNTIF('1.연간시수표'!AH71,$BP$7)),$BP$6,IF(OR(COUNTIF('1.연간시수표'!AH71,$BQ$9),COUNTIF('1.연간시수표'!AH71,$BQ$7)),$BQ$6,IF(OR(COUNTIF('1.연간시수표'!AH71,$BR$9),COUNTIF('1.연간시수표'!AH71,$BR$7)),$BR$6,"_")))))))))))))))</f>
        <v>_</v>
      </c>
      <c r="AI71" s="148" t="str">
        <f>IF(OR(COUNTIF('1.연간시수표'!AI71,$AT$9),COUNTIF('1.연간시수표'!AI71,$AT$7)),$AT$6,IF(OR(COUNTIF('1.연간시수표'!AI71,$AU$9),COUNTIF('1.연간시수표'!AI71,$AU$7)),$AU$6,IF(OR(COUNTIF('1.연간시수표'!AI71,$AV$9),COUNTIF('1.연간시수표'!AI71,$AV$7)),$AV$6,IF(OR(COUNTIF('1.연간시수표'!AI71,$AW$9),COUNTIF('1.연간시수표'!AI71,$AW$7)),$AW$6,IF(OR(COUNTIF('1.연간시수표'!AI71,$AX$9),COUNTIF('1.연간시수표'!AI71,$AX$7)),$AX$6,IF(OR(COUNTIF('1.연간시수표'!AI71,$AY$9),COUNTIF('1.연간시수표'!AI71,$AY$7)),$AY$6,IF(OR(COUNTIF('1.연간시수표'!AI71,$AZ$9),COUNTIF('1.연간시수표'!AI71,$AZ$7)),$AZ$6,IF(OR(COUNTIF('1.연간시수표'!AI71,$BA$9),COUNTIF('1.연간시수표'!AI71,$BA$7)),$BA$6,IF(OR(COUNTIF('1.연간시수표'!AI71,$BB$9),COUNTIF('1.연간시수표'!AI71,$BB$7)),$BB$6,IF(OR(COUNTIF('1.연간시수표'!AI71,$BC$9),COUNTIF('1.연간시수표'!AI71,$BC$7)),$BC$6,IF(OR(COUNTIF('1.연간시수표'!AI71,$BF$9),COUNTIF('1.연간시수표'!AI71,$BF$7),COUNTIF('1.연간시수표'!AI71,$BG$9),COUNTIF('1.연간시수표'!AI71,$BG$7),COUNTIF('1.연간시수표'!AI71,$BH$9),COUNTIF('1.연간시수표'!AI71,$BH$7),COUNTIF('1.연간시수표'!AI71,$BI$9),COUNTIF('1.연간시수표'!AI71,$BI$7),COUNTIF('1.연간시수표'!AI71,$BJ$9),COUNTIF('1.연간시수표'!AI71,$BJ$7),COUNTIF('1.연간시수표'!AI71,$BK$9),COUNTIF('1.연간시수표'!AI71,$BK$7),COUNTIF('1.연간시수표'!AI71,$BL$9),COUNTIF('1.연간시수표'!AI71,$BL$7),COUNTIF('1.연간시수표'!AI71,$BM$9),COUNTIF('1.연간시수표'!AI71,$BM$7)),$BF$6,IF(OR(COUNTIF('1.연간시수표'!AI71,$BO$9),COUNTIF('1.연간시수표'!AI71,$BO$7)),$BO$6,IF(OR(COUNTIF('1.연간시수표'!AI71,$BP$9),COUNTIF('1.연간시수표'!AI71,$BP$7)),$BP$6,IF(OR(COUNTIF('1.연간시수표'!AI71,$BQ$9),COUNTIF('1.연간시수표'!AI71,$BQ$7)),$BQ$6,IF(OR(COUNTIF('1.연간시수표'!AI71,$BR$9),COUNTIF('1.연간시수표'!AI71,$BR$7)),$BR$6,"_")))))))))))))))</f>
        <v>_</v>
      </c>
      <c r="AJ71" s="148" t="str">
        <f>IF(OR(COUNTIF('1.연간시수표'!AJ71,$AT$9),COUNTIF('1.연간시수표'!AJ71,$AT$7)),$AT$6,IF(OR(COUNTIF('1.연간시수표'!AJ71,$AU$9),COUNTIF('1.연간시수표'!AJ71,$AU$7)),$AU$6,IF(OR(COUNTIF('1.연간시수표'!AJ71,$AV$9),COUNTIF('1.연간시수표'!AJ71,$AV$7)),$AV$6,IF(OR(COUNTIF('1.연간시수표'!AJ71,$AW$9),COUNTIF('1.연간시수표'!AJ71,$AW$7)),$AW$6,IF(OR(COUNTIF('1.연간시수표'!AJ71,$AX$9),COUNTIF('1.연간시수표'!AJ71,$AX$7)),$AX$6,IF(OR(COUNTIF('1.연간시수표'!AJ71,$AY$9),COUNTIF('1.연간시수표'!AJ71,$AY$7)),$AY$6,IF(OR(COUNTIF('1.연간시수표'!AJ71,$AZ$9),COUNTIF('1.연간시수표'!AJ71,$AZ$7)),$AZ$6,IF(OR(COUNTIF('1.연간시수표'!AJ71,$BA$9),COUNTIF('1.연간시수표'!AJ71,$BA$7)),$BA$6,IF(OR(COUNTIF('1.연간시수표'!AJ71,$BB$9),COUNTIF('1.연간시수표'!AJ71,$BB$7)),$BB$6,IF(OR(COUNTIF('1.연간시수표'!AJ71,$BC$9),COUNTIF('1.연간시수표'!AJ71,$BC$7)),$BC$6,IF(OR(COUNTIF('1.연간시수표'!AJ71,$BF$9),COUNTIF('1.연간시수표'!AJ71,$BF$7),COUNTIF('1.연간시수표'!AJ71,$BG$9),COUNTIF('1.연간시수표'!AJ71,$BG$7),COUNTIF('1.연간시수표'!AJ71,$BH$9),COUNTIF('1.연간시수표'!AJ71,$BH$7),COUNTIF('1.연간시수표'!AJ71,$BI$9),COUNTIF('1.연간시수표'!AJ71,$BI$7),COUNTIF('1.연간시수표'!AJ71,$BJ$9),COUNTIF('1.연간시수표'!AJ71,$BJ$7),COUNTIF('1.연간시수표'!AJ71,$BK$9),COUNTIF('1.연간시수표'!AJ71,$BK$7),COUNTIF('1.연간시수표'!AJ71,$BL$9),COUNTIF('1.연간시수표'!AJ71,$BL$7),COUNTIF('1.연간시수표'!AJ71,$BM$9),COUNTIF('1.연간시수표'!AJ71,$BM$7)),$BF$6,IF(OR(COUNTIF('1.연간시수표'!AJ71,$BO$9),COUNTIF('1.연간시수표'!AJ71,$BO$7)),$BO$6,IF(OR(COUNTIF('1.연간시수표'!AJ71,$BP$9),COUNTIF('1.연간시수표'!AJ71,$BP$7)),$BP$6,IF(OR(COUNTIF('1.연간시수표'!AJ71,$BQ$9),COUNTIF('1.연간시수표'!AJ71,$BQ$7)),$BQ$6,IF(OR(COUNTIF('1.연간시수표'!AJ71,$BR$9),COUNTIF('1.연간시수표'!AJ71,$BR$7)),$BR$6,"_")))))))))))))))</f>
        <v>_</v>
      </c>
      <c r="AK71" s="148" t="str">
        <f>IF(OR(COUNTIF('1.연간시수표'!AK71,$AT$9),COUNTIF('1.연간시수표'!AK71,$AT$7)),$AT$6,IF(OR(COUNTIF('1.연간시수표'!AK71,$AU$9),COUNTIF('1.연간시수표'!AK71,$AU$7)),$AU$6,IF(OR(COUNTIF('1.연간시수표'!AK71,$AV$9),COUNTIF('1.연간시수표'!AK71,$AV$7)),$AV$6,IF(OR(COUNTIF('1.연간시수표'!AK71,$AW$9),COUNTIF('1.연간시수표'!AK71,$AW$7)),$AW$6,IF(OR(COUNTIF('1.연간시수표'!AK71,$AX$9),COUNTIF('1.연간시수표'!AK71,$AX$7)),$AX$6,IF(OR(COUNTIF('1.연간시수표'!AK71,$AY$9),COUNTIF('1.연간시수표'!AK71,$AY$7)),$AY$6,IF(OR(COUNTIF('1.연간시수표'!AK71,$AZ$9),COUNTIF('1.연간시수표'!AK71,$AZ$7)),$AZ$6,IF(OR(COUNTIF('1.연간시수표'!AK71,$BA$9),COUNTIF('1.연간시수표'!AK71,$BA$7)),$BA$6,IF(OR(COUNTIF('1.연간시수표'!AK71,$BB$9),COUNTIF('1.연간시수표'!AK71,$BB$7)),$BB$6,IF(OR(COUNTIF('1.연간시수표'!AK71,$BC$9),COUNTIF('1.연간시수표'!AK71,$BC$7)),$BC$6,IF(OR(COUNTIF('1.연간시수표'!AK71,$BF$9),COUNTIF('1.연간시수표'!AK71,$BF$7),COUNTIF('1.연간시수표'!AK71,$BG$9),COUNTIF('1.연간시수표'!AK71,$BG$7),COUNTIF('1.연간시수표'!AK71,$BH$9),COUNTIF('1.연간시수표'!AK71,$BH$7),COUNTIF('1.연간시수표'!AK71,$BI$9),COUNTIF('1.연간시수표'!AK71,$BI$7),COUNTIF('1.연간시수표'!AK71,$BJ$9),COUNTIF('1.연간시수표'!AK71,$BJ$7),COUNTIF('1.연간시수표'!AK71,$BK$9),COUNTIF('1.연간시수표'!AK71,$BK$7),COUNTIF('1.연간시수표'!AK71,$BL$9),COUNTIF('1.연간시수표'!AK71,$BL$7),COUNTIF('1.연간시수표'!AK71,$BM$9),COUNTIF('1.연간시수표'!AK71,$BM$7)),$BF$6,IF(OR(COUNTIF('1.연간시수표'!AK71,$BO$9),COUNTIF('1.연간시수표'!AK71,$BO$7)),$BO$6,IF(OR(COUNTIF('1.연간시수표'!AK71,$BP$9),COUNTIF('1.연간시수표'!AK71,$BP$7)),$BP$6,IF(OR(COUNTIF('1.연간시수표'!AK71,$BQ$9),COUNTIF('1.연간시수표'!AK71,$BQ$7)),$BQ$6,IF(OR(COUNTIF('1.연간시수표'!AK71,$BR$9),COUNTIF('1.연간시수표'!AK71,$BR$7)),$BR$6,"_")))))))))))))))</f>
        <v>국어</v>
      </c>
      <c r="AL71" s="148" t="str">
        <f>IF(OR(COUNTIF('1.연간시수표'!AL71,$AT$9),COUNTIF('1.연간시수표'!AL71,$AT$7)),$AT$6,IF(OR(COUNTIF('1.연간시수표'!AL71,$AU$9),COUNTIF('1.연간시수표'!AL71,$AU$7)),$AU$6,IF(OR(COUNTIF('1.연간시수표'!AL71,$AV$9),COUNTIF('1.연간시수표'!AL71,$AV$7)),$AV$6,IF(OR(COUNTIF('1.연간시수표'!AL71,$AW$9),COUNTIF('1.연간시수표'!AL71,$AW$7)),$AW$6,IF(OR(COUNTIF('1.연간시수표'!AL71,$AX$9),COUNTIF('1.연간시수표'!AL71,$AX$7)),$AX$6,IF(OR(COUNTIF('1.연간시수표'!AL71,$AY$9),COUNTIF('1.연간시수표'!AL71,$AY$7)),$AY$6,IF(OR(COUNTIF('1.연간시수표'!AL71,$AZ$9),COUNTIF('1.연간시수표'!AL71,$AZ$7)),$AZ$6,IF(OR(COUNTIF('1.연간시수표'!AL71,$BA$9),COUNTIF('1.연간시수표'!AL71,$BA$7)),$BA$6,IF(OR(COUNTIF('1.연간시수표'!AL71,$BB$9),COUNTIF('1.연간시수표'!AL71,$BB$7)),$BB$6,IF(OR(COUNTIF('1.연간시수표'!AL71,$BC$9),COUNTIF('1.연간시수표'!AL71,$BC$7)),$BC$6,IF(OR(COUNTIF('1.연간시수표'!AL71,$BF$9),COUNTIF('1.연간시수표'!AL71,$BF$7),COUNTIF('1.연간시수표'!AL71,$BG$9),COUNTIF('1.연간시수표'!AL71,$BG$7),COUNTIF('1.연간시수표'!AL71,$BH$9),COUNTIF('1.연간시수표'!AL71,$BH$7),COUNTIF('1.연간시수표'!AL71,$BI$9),COUNTIF('1.연간시수표'!AL71,$BI$7),COUNTIF('1.연간시수표'!AL71,$BJ$9),COUNTIF('1.연간시수표'!AL71,$BJ$7),COUNTIF('1.연간시수표'!AL71,$BK$9),COUNTIF('1.연간시수표'!AL71,$BK$7),COUNTIF('1.연간시수표'!AL71,$BL$9),COUNTIF('1.연간시수표'!AL71,$BL$7),COUNTIF('1.연간시수표'!AL71,$BM$9),COUNTIF('1.연간시수표'!AL71,$BM$7)),$BF$6,IF(OR(COUNTIF('1.연간시수표'!AL71,$BO$9),COUNTIF('1.연간시수표'!AL71,$BO$7)),$BO$6,IF(OR(COUNTIF('1.연간시수표'!AL71,$BP$9),COUNTIF('1.연간시수표'!AL71,$BP$7)),$BP$6,IF(OR(COUNTIF('1.연간시수표'!AL71,$BQ$9),COUNTIF('1.연간시수표'!AL71,$BQ$7)),$BQ$6,IF(OR(COUNTIF('1.연간시수표'!AL71,$BR$9),COUNTIF('1.연간시수표'!AL71,$BR$7)),$BR$6,"_")))))))))))))))</f>
        <v>체육</v>
      </c>
      <c r="AM71" s="148" t="str">
        <f>IF(OR(COUNTIF('1.연간시수표'!AM71,$AT$9),COUNTIF('1.연간시수표'!AM71,$AT$7)),$AT$6,IF(OR(COUNTIF('1.연간시수표'!AM71,$AU$9),COUNTIF('1.연간시수표'!AM71,$AU$7)),$AU$6,IF(OR(COUNTIF('1.연간시수표'!AM71,$AV$9),COUNTIF('1.연간시수표'!AM71,$AV$7)),$AV$6,IF(OR(COUNTIF('1.연간시수표'!AM71,$AW$9),COUNTIF('1.연간시수표'!AM71,$AW$7)),$AW$6,IF(OR(COUNTIF('1.연간시수표'!AM71,$AX$9),COUNTIF('1.연간시수표'!AM71,$AX$7)),$AX$6,IF(OR(COUNTIF('1.연간시수표'!AM71,$AY$9),COUNTIF('1.연간시수표'!AM71,$AY$7)),$AY$6,IF(OR(COUNTIF('1.연간시수표'!AM71,$AZ$9),COUNTIF('1.연간시수표'!AM71,$AZ$7)),$AZ$6,IF(OR(COUNTIF('1.연간시수표'!AM71,$BA$9),COUNTIF('1.연간시수표'!AM71,$BA$7)),$BA$6,IF(OR(COUNTIF('1.연간시수표'!AM71,$BB$9),COUNTIF('1.연간시수표'!AM71,$BB$7)),$BB$6,IF(OR(COUNTIF('1.연간시수표'!AM71,$BC$9),COUNTIF('1.연간시수표'!AM71,$BC$7)),$BC$6,IF(OR(COUNTIF('1.연간시수표'!AM71,$BF$9),COUNTIF('1.연간시수표'!AM71,$BF$7),COUNTIF('1.연간시수표'!AM71,$BG$9),COUNTIF('1.연간시수표'!AM71,$BG$7),COUNTIF('1.연간시수표'!AM71,$BH$9),COUNTIF('1.연간시수표'!AM71,$BH$7),COUNTIF('1.연간시수표'!AM71,$BI$9),COUNTIF('1.연간시수표'!AM71,$BI$7),COUNTIF('1.연간시수표'!AM71,$BJ$9),COUNTIF('1.연간시수표'!AM71,$BJ$7),COUNTIF('1.연간시수표'!AM71,$BK$9),COUNTIF('1.연간시수표'!AM71,$BK$7),COUNTIF('1.연간시수표'!AM71,$BL$9),COUNTIF('1.연간시수표'!AM71,$BL$7),COUNTIF('1.연간시수표'!AM71,$BM$9),COUNTIF('1.연간시수표'!AM71,$BM$7)),$BF$6,IF(OR(COUNTIF('1.연간시수표'!AM71,$BO$9),COUNTIF('1.연간시수표'!AM71,$BO$7)),$BO$6,IF(OR(COUNTIF('1.연간시수표'!AM71,$BP$9),COUNTIF('1.연간시수표'!AM71,$BP$7)),$BP$6,IF(OR(COUNTIF('1.연간시수표'!AM71,$BQ$9),COUNTIF('1.연간시수표'!AM71,$BQ$7)),$BQ$6,IF(OR(COUNTIF('1.연간시수표'!AM71,$BR$9),COUNTIF('1.연간시수표'!AM71,$BR$7)),$BR$6,"_")))))))))))))))</f>
        <v>수학</v>
      </c>
      <c r="AN71" s="148" t="str">
        <f>IF(OR(COUNTIF('1.연간시수표'!AN71,$AT$9),COUNTIF('1.연간시수표'!AN71,$AT$7)),$AT$6,IF(OR(COUNTIF('1.연간시수표'!AN71,$AU$9),COUNTIF('1.연간시수표'!AN71,$AU$7)),$AU$6,IF(OR(COUNTIF('1.연간시수표'!AN71,$AV$9),COUNTIF('1.연간시수표'!AN71,$AV$7)),$AV$6,IF(OR(COUNTIF('1.연간시수표'!AN71,$AW$9),COUNTIF('1.연간시수표'!AN71,$AW$7)),$AW$6,IF(OR(COUNTIF('1.연간시수표'!AN71,$AX$9),COUNTIF('1.연간시수표'!AN71,$AX$7)),$AX$6,IF(OR(COUNTIF('1.연간시수표'!AN71,$AY$9),COUNTIF('1.연간시수표'!AN71,$AY$7)),$AY$6,IF(OR(COUNTIF('1.연간시수표'!AN71,$AZ$9),COUNTIF('1.연간시수표'!AN71,$AZ$7)),$AZ$6,IF(OR(COUNTIF('1.연간시수표'!AN71,$BA$9),COUNTIF('1.연간시수표'!AN71,$BA$7)),$BA$6,IF(OR(COUNTIF('1.연간시수표'!AN71,$BB$9),COUNTIF('1.연간시수표'!AN71,$BB$7)),$BB$6,IF(OR(COUNTIF('1.연간시수표'!AN71,$BC$9),COUNTIF('1.연간시수표'!AN71,$BC$7)),$BC$6,IF(OR(COUNTIF('1.연간시수표'!AN71,$BF$9),COUNTIF('1.연간시수표'!AN71,$BF$7),COUNTIF('1.연간시수표'!AN71,$BG$9),COUNTIF('1.연간시수표'!AN71,$BG$7),COUNTIF('1.연간시수표'!AN71,$BH$9),COUNTIF('1.연간시수표'!AN71,$BH$7),COUNTIF('1.연간시수표'!AN71,$BI$9),COUNTIF('1.연간시수표'!AN71,$BI$7),COUNTIF('1.연간시수표'!AN71,$BJ$9),COUNTIF('1.연간시수표'!AN71,$BJ$7),COUNTIF('1.연간시수표'!AN71,$BK$9),COUNTIF('1.연간시수표'!AN71,$BK$7),COUNTIF('1.연간시수표'!AN71,$BL$9),COUNTIF('1.연간시수표'!AN71,$BL$7),COUNTIF('1.연간시수표'!AN71,$BM$9),COUNTIF('1.연간시수표'!AN71,$BM$7)),$BF$6,IF(OR(COUNTIF('1.연간시수표'!AN71,$BO$9),COUNTIF('1.연간시수표'!AN71,$BO$7)),$BO$6,IF(OR(COUNTIF('1.연간시수표'!AN71,$BP$9),COUNTIF('1.연간시수표'!AN71,$BP$7)),$BP$6,IF(OR(COUNTIF('1.연간시수표'!AN71,$BQ$9),COUNTIF('1.연간시수표'!AN71,$BQ$7)),$BQ$6,IF(OR(COUNTIF('1.연간시수표'!AN71,$BR$9),COUNTIF('1.연간시수표'!AN71,$BR$7)),$BR$6,"_")))))))))))))))</f>
        <v>국어</v>
      </c>
      <c r="AO71" s="148" t="str">
        <f>IF(OR(COUNTIF('1.연간시수표'!AO71,$AT$9),COUNTIF('1.연간시수표'!AO71,$AT$7)),$AT$6,IF(OR(COUNTIF('1.연간시수표'!AO71,$AU$9),COUNTIF('1.연간시수표'!AO71,$AU$7)),$AU$6,IF(OR(COUNTIF('1.연간시수표'!AO71,$AV$9),COUNTIF('1.연간시수표'!AO71,$AV$7)),$AV$6,IF(OR(COUNTIF('1.연간시수표'!AO71,$AW$9),COUNTIF('1.연간시수표'!AO71,$AW$7)),$AW$6,IF(OR(COUNTIF('1.연간시수표'!AO71,$AX$9),COUNTIF('1.연간시수표'!AO71,$AX$7)),$AX$6,IF(OR(COUNTIF('1.연간시수표'!AO71,$AY$9),COUNTIF('1.연간시수표'!AO71,$AY$7)),$AY$6,IF(OR(COUNTIF('1.연간시수표'!AO71,$AZ$9),COUNTIF('1.연간시수표'!AO71,$AZ$7)),$AZ$6,IF(OR(COUNTIF('1.연간시수표'!AO71,$BA$9),COUNTIF('1.연간시수표'!AO71,$BA$7)),$BA$6,IF(OR(COUNTIF('1.연간시수표'!AO71,$BB$9),COUNTIF('1.연간시수표'!AO71,$BB$7)),$BB$6,IF(OR(COUNTIF('1.연간시수표'!AO71,$BC$9),COUNTIF('1.연간시수표'!AO71,$BC$7)),$BC$6,IF(OR(COUNTIF('1.연간시수표'!AO71,$BF$9),COUNTIF('1.연간시수표'!AO71,$BF$7),COUNTIF('1.연간시수표'!AO71,$BG$9),COUNTIF('1.연간시수표'!AO71,$BG$7),COUNTIF('1.연간시수표'!AO71,$BH$9),COUNTIF('1.연간시수표'!AO71,$BH$7),COUNTIF('1.연간시수표'!AO71,$BI$9),COUNTIF('1.연간시수표'!AO71,$BI$7),COUNTIF('1.연간시수표'!AO71,$BJ$9),COUNTIF('1.연간시수표'!AO71,$BJ$7),COUNTIF('1.연간시수표'!AO71,$BK$9),COUNTIF('1.연간시수표'!AO71,$BK$7),COUNTIF('1.연간시수표'!AO71,$BL$9),COUNTIF('1.연간시수표'!AO71,$BL$7),COUNTIF('1.연간시수표'!AO71,$BM$9),COUNTIF('1.연간시수표'!AO71,$BM$7)),$BF$6,IF(OR(COUNTIF('1.연간시수표'!AO71,$BO$9),COUNTIF('1.연간시수표'!AO71,$BO$7)),$BO$6,IF(OR(COUNTIF('1.연간시수표'!AO71,$BP$9),COUNTIF('1.연간시수표'!AO71,$BP$7)),$BP$6,IF(OR(COUNTIF('1.연간시수표'!AO71,$BQ$9),COUNTIF('1.연간시수표'!AO71,$BQ$7)),$BQ$6,IF(OR(COUNTIF('1.연간시수표'!AO71,$BR$9),COUNTIF('1.연간시수표'!AO71,$BR$7)),$BR$6,"_")))))))))))))))</f>
        <v>사회</v>
      </c>
      <c r="AP71" s="148" t="str">
        <f>IF(OR(COUNTIF('1.연간시수표'!AP71,$AT$9),COUNTIF('1.연간시수표'!AP71,$AT$7)),$AT$6,IF(OR(COUNTIF('1.연간시수표'!AP71,$AU$9),COUNTIF('1.연간시수표'!AP71,$AU$7)),$AU$6,IF(OR(COUNTIF('1.연간시수표'!AP71,$AV$9),COUNTIF('1.연간시수표'!AP71,$AV$7)),$AV$6,IF(OR(COUNTIF('1.연간시수표'!AP71,$AW$9),COUNTIF('1.연간시수표'!AP71,$AW$7)),$AW$6,IF(OR(COUNTIF('1.연간시수표'!AP71,$AX$9),COUNTIF('1.연간시수표'!AP71,$AX$7)),$AX$6,IF(OR(COUNTIF('1.연간시수표'!AP71,$AY$9),COUNTIF('1.연간시수표'!AP71,$AY$7)),$AY$6,IF(OR(COUNTIF('1.연간시수표'!AP71,$AZ$9),COUNTIF('1.연간시수표'!AP71,$AZ$7)),$AZ$6,IF(OR(COUNTIF('1.연간시수표'!AP71,$BA$9),COUNTIF('1.연간시수표'!AP71,$BA$7)),$BA$6,IF(OR(COUNTIF('1.연간시수표'!AP71,$BB$9),COUNTIF('1.연간시수표'!AP71,$BB$7)),$BB$6,IF(OR(COUNTIF('1.연간시수표'!AP71,$BC$9),COUNTIF('1.연간시수표'!AP71,$BC$7)),$BC$6,IF(OR(COUNTIF('1.연간시수표'!AP71,$BF$9),COUNTIF('1.연간시수표'!AP71,$BF$7),COUNTIF('1.연간시수표'!AP71,$BG$9),COUNTIF('1.연간시수표'!AP71,$BG$7),COUNTIF('1.연간시수표'!AP71,$BH$9),COUNTIF('1.연간시수표'!AP71,$BH$7),COUNTIF('1.연간시수표'!AP71,$BI$9),COUNTIF('1.연간시수표'!AP71,$BI$7),COUNTIF('1.연간시수표'!AP71,$BJ$9),COUNTIF('1.연간시수표'!AP71,$BJ$7),COUNTIF('1.연간시수표'!AP71,$BK$9),COUNTIF('1.연간시수표'!AP71,$BK$7),COUNTIF('1.연간시수표'!AP71,$BL$9),COUNTIF('1.연간시수표'!AP71,$BL$7),COUNTIF('1.연간시수표'!AP71,$BM$9),COUNTIF('1.연간시수표'!AP71,$BM$7)),$BF$6,IF(OR(COUNTIF('1.연간시수표'!AP71,$BO$9),COUNTIF('1.연간시수표'!AP71,$BO$7)),$BO$6,IF(OR(COUNTIF('1.연간시수표'!AP71,$BP$9),COUNTIF('1.연간시수표'!AP71,$BP$7)),$BP$6,IF(OR(COUNTIF('1.연간시수표'!AP71,$BQ$9),COUNTIF('1.연간시수표'!AP71,$BQ$7)),$BQ$6,IF(OR(COUNTIF('1.연간시수표'!AP71,$BR$9),COUNTIF('1.연간시수표'!AP71,$BR$7)),$BR$6,"_")))))))))))))))</f>
        <v>체육</v>
      </c>
      <c r="AQ71" s="148" t="str">
        <f>IF(OR(COUNTIF('1.연간시수표'!AQ71,$AT$9),COUNTIF('1.연간시수표'!AQ71,$AT$7)),$AT$6,IF(OR(COUNTIF('1.연간시수표'!AQ71,$AU$9),COUNTIF('1.연간시수표'!AQ71,$AU$7)),$AU$6,IF(OR(COUNTIF('1.연간시수표'!AQ71,$AV$9),COUNTIF('1.연간시수표'!AQ71,$AV$7)),$AV$6,IF(OR(COUNTIF('1.연간시수표'!AQ71,$AW$9),COUNTIF('1.연간시수표'!AQ71,$AW$7)),$AW$6,IF(OR(COUNTIF('1.연간시수표'!AQ71,$AX$9),COUNTIF('1.연간시수표'!AQ71,$AX$7)),$AX$6,IF(OR(COUNTIF('1.연간시수표'!AQ71,$AY$9),COUNTIF('1.연간시수표'!AQ71,$AY$7)),$AY$6,IF(OR(COUNTIF('1.연간시수표'!AQ71,$AZ$9),COUNTIF('1.연간시수표'!AQ71,$AZ$7)),$AZ$6,IF(OR(COUNTIF('1.연간시수표'!AQ71,$BA$9),COUNTIF('1.연간시수표'!AQ71,$BA$7)),$BA$6,IF(OR(COUNTIF('1.연간시수표'!AQ71,$BB$9),COUNTIF('1.연간시수표'!AQ71,$BB$7)),$BB$6,IF(OR(COUNTIF('1.연간시수표'!AQ71,$BC$9),COUNTIF('1.연간시수표'!AQ71,$BC$7)),$BC$6,IF(OR(COUNTIF('1.연간시수표'!AQ71,$BF$9),COUNTIF('1.연간시수표'!AQ71,$BF$7),COUNTIF('1.연간시수표'!AQ71,$BG$9),COUNTIF('1.연간시수표'!AQ71,$BG$7),COUNTIF('1.연간시수표'!AQ71,$BH$9),COUNTIF('1.연간시수표'!AQ71,$BH$7),COUNTIF('1.연간시수표'!AQ71,$BI$9),COUNTIF('1.연간시수표'!AQ71,$BI$7),COUNTIF('1.연간시수표'!AQ71,$BJ$9),COUNTIF('1.연간시수표'!AQ71,$BJ$7),COUNTIF('1.연간시수표'!AQ71,$BK$9),COUNTIF('1.연간시수표'!AQ71,$BK$7),COUNTIF('1.연간시수표'!AQ71,$BL$9),COUNTIF('1.연간시수표'!AQ71,$BL$7),COUNTIF('1.연간시수표'!AQ71,$BM$9),COUNTIF('1.연간시수표'!AQ71,$BM$7)),$BF$6,IF(OR(COUNTIF('1.연간시수표'!AQ71,$BO$9),COUNTIF('1.연간시수표'!AQ71,$BO$7)),$BO$6,IF(OR(COUNTIF('1.연간시수표'!AQ71,$BP$9),COUNTIF('1.연간시수표'!AQ71,$BP$7)),$BP$6,IF(OR(COUNTIF('1.연간시수표'!AQ71,$BQ$9),COUNTIF('1.연간시수표'!AQ71,$BQ$7)),$BQ$6,IF(OR(COUNTIF('1.연간시수표'!AQ71,$BR$9),COUNTIF('1.연간시수표'!AQ71,$BR$7)),$BR$6,"_")))))))))))))))</f>
        <v>_</v>
      </c>
      <c r="AR71" s="148" t="str">
        <f>IF(OR(COUNTIF('1.연간시수표'!AR71,$AT$9),COUNTIF('1.연간시수표'!AR71,$AT$7)),$AT$6,IF(OR(COUNTIF('1.연간시수표'!AR71,$AU$9),COUNTIF('1.연간시수표'!AR71,$AU$7)),$AU$6,IF(OR(COUNTIF('1.연간시수표'!AR71,$AV$9),COUNTIF('1.연간시수표'!AR71,$AV$7)),$AV$6,IF(OR(COUNTIF('1.연간시수표'!AR71,$AW$9),COUNTIF('1.연간시수표'!AR71,$AW$7)),$AW$6,IF(OR(COUNTIF('1.연간시수표'!AR71,$AX$9),COUNTIF('1.연간시수표'!AR71,$AX$7)),$AX$6,IF(OR(COUNTIF('1.연간시수표'!AR71,$AY$9),COUNTIF('1.연간시수표'!AR71,$AY$7)),$AY$6,IF(OR(COUNTIF('1.연간시수표'!AR71,$AZ$9),COUNTIF('1.연간시수표'!AR71,$AZ$7)),$AZ$6,IF(OR(COUNTIF('1.연간시수표'!AR71,$BA$9),COUNTIF('1.연간시수표'!AR71,$BA$7)),$BA$6,IF(OR(COUNTIF('1.연간시수표'!AR71,$BB$9),COUNTIF('1.연간시수표'!AR71,$BB$7)),$BB$6,IF(OR(COUNTIF('1.연간시수표'!AR71,$BC$9),COUNTIF('1.연간시수표'!AR71,$BC$7)),$BC$6,IF(OR(COUNTIF('1.연간시수표'!AR71,$BF$9),COUNTIF('1.연간시수표'!AR71,$BF$7),COUNTIF('1.연간시수표'!AR71,$BG$9),COUNTIF('1.연간시수표'!AR71,$BG$7),COUNTIF('1.연간시수표'!AR71,$BH$9),COUNTIF('1.연간시수표'!AR71,$BH$7),COUNTIF('1.연간시수표'!AR71,$BI$9),COUNTIF('1.연간시수표'!AR71,$BI$7),COUNTIF('1.연간시수표'!AR71,$BJ$9),COUNTIF('1.연간시수표'!AR71,$BJ$7),COUNTIF('1.연간시수표'!AR71,$BK$9),COUNTIF('1.연간시수표'!AR71,$BK$7),COUNTIF('1.연간시수표'!AR71,$BL$9),COUNTIF('1.연간시수표'!AR71,$BL$7),COUNTIF('1.연간시수표'!AR71,$BM$9),COUNTIF('1.연간시수표'!AR71,$BM$7)),$BF$6,IF(OR(COUNTIF('1.연간시수표'!AR71,$BO$9),COUNTIF('1.연간시수표'!AR71,$BO$7)),$BO$6,IF(OR(COUNTIF('1.연간시수표'!AR71,$BP$9),COUNTIF('1.연간시수표'!AR71,$BP$7)),$BP$6,IF(OR(COUNTIF('1.연간시수표'!AR71,$BQ$9),COUNTIF('1.연간시수표'!AR71,$BQ$7)),$BQ$6,IF(OR(COUNTIF('1.연간시수표'!AR71,$BR$9),COUNTIF('1.연간시수표'!AR71,$BR$7)),$BR$6,"_")))))))))))))))</f>
        <v>_</v>
      </c>
    </row>
    <row r="72" spans="2:44">
      <c r="B72" s="6"/>
      <c r="C72" s="79">
        <f>'1.연간시수표'!C72</f>
        <v>41</v>
      </c>
      <c r="D72" s="3"/>
      <c r="E72" s="148" t="str">
        <f>IF(OR(COUNTIF('1.연간시수표'!E72,$AT$9),COUNTIF('1.연간시수표'!E72,$AT$7)),$AT$6,IF(OR(COUNTIF('1.연간시수표'!E72,$AU$9),COUNTIF('1.연간시수표'!E72,$AU$7)),$AU$6,IF(OR(COUNTIF('1.연간시수표'!E72,$AV$9),COUNTIF('1.연간시수표'!E72,$AV$7)),$AV$6,IF(OR(COUNTIF('1.연간시수표'!E72,$AW$9),COUNTIF('1.연간시수표'!E72,$AW$7)),$AW$6,IF(OR(COUNTIF('1.연간시수표'!E72,$AX$9),COUNTIF('1.연간시수표'!E72,$AX$7)),$AX$6,IF(OR(COUNTIF('1.연간시수표'!E72,$AY$9),COUNTIF('1.연간시수표'!E72,$AY$7)),$AY$6,IF(OR(COUNTIF('1.연간시수표'!E72,$AZ$9),COUNTIF('1.연간시수표'!E72,$AZ$7)),$AZ$6,IF(OR(COUNTIF('1.연간시수표'!E72,$BA$9),COUNTIF('1.연간시수표'!E72,$BA$7)),$BA$6,IF(OR(COUNTIF('1.연간시수표'!E72,$BB$9),COUNTIF('1.연간시수표'!E72,$BB$7)),$BB$6,IF(OR(COUNTIF('1.연간시수표'!E72,$BC$9),COUNTIF('1.연간시수표'!E72,$BC$7)),$BC$6,IF(OR(COUNTIF('1.연간시수표'!E72,$BF$9),COUNTIF('1.연간시수표'!E72,$BF$7),COUNTIF('1.연간시수표'!E72,$BG$9),COUNTIF('1.연간시수표'!E72,$BG$7),COUNTIF('1.연간시수표'!E72,$BH$9),COUNTIF('1.연간시수표'!E72,$BH$7),COUNTIF('1.연간시수표'!E72,$BI$9),COUNTIF('1.연간시수표'!E72,$BI$7),COUNTIF('1.연간시수표'!E72,$BJ$9),COUNTIF('1.연간시수표'!E72,$BJ$7),COUNTIF('1.연간시수표'!E72,$BK$9),COUNTIF('1.연간시수표'!E72,$BK$7),COUNTIF('1.연간시수표'!E72,$BL$9),COUNTIF('1.연간시수표'!E72,$BL$7),COUNTIF('1.연간시수표'!E72,$BM$9),COUNTIF('1.연간시수표'!E72,$BM$7)),$BF$6,IF(OR(COUNTIF('1.연간시수표'!E72,$BO$9),COUNTIF('1.연간시수표'!E72,$BO$7)),$BO$6,IF(OR(COUNTIF('1.연간시수표'!E72,$BP$9),COUNTIF('1.연간시수표'!E72,$BP$7)),$BP$6,IF(OR(COUNTIF('1.연간시수표'!E72,$BQ$9),COUNTIF('1.연간시수표'!E72,$BQ$7)),$BQ$6,IF(OR(COUNTIF('1.연간시수표'!E72,$BR$9),COUNTIF('1.연간시수표'!E72,$BR$7)),$BR$6,"_")))))))))))))))</f>
        <v>국어</v>
      </c>
      <c r="F72" s="148" t="str">
        <f>IF(OR(COUNTIF('1.연간시수표'!F72,$AT$9),COUNTIF('1.연간시수표'!F72,$AT$7)),$AT$6,IF(OR(COUNTIF('1.연간시수표'!F72,$AU$9),COUNTIF('1.연간시수표'!F72,$AU$7)),$AU$6,IF(OR(COUNTIF('1.연간시수표'!F72,$AV$9),COUNTIF('1.연간시수표'!F72,$AV$7)),$AV$6,IF(OR(COUNTIF('1.연간시수표'!F72,$AW$9),COUNTIF('1.연간시수표'!F72,$AW$7)),$AW$6,IF(OR(COUNTIF('1.연간시수표'!F72,$AX$9),COUNTIF('1.연간시수표'!F72,$AX$7)),$AX$6,IF(OR(COUNTIF('1.연간시수표'!F72,$AY$9),COUNTIF('1.연간시수표'!F72,$AY$7)),$AY$6,IF(OR(COUNTIF('1.연간시수표'!F72,$AZ$9),COUNTIF('1.연간시수표'!F72,$AZ$7)),$AZ$6,IF(OR(COUNTIF('1.연간시수표'!F72,$BA$9),COUNTIF('1.연간시수표'!F72,$BA$7)),$BA$6,IF(OR(COUNTIF('1.연간시수표'!F72,$BB$9),COUNTIF('1.연간시수표'!F72,$BB$7)),$BB$6,IF(OR(COUNTIF('1.연간시수표'!F72,$BC$9),COUNTIF('1.연간시수표'!F72,$BC$7)),$BC$6,IF(OR(COUNTIF('1.연간시수표'!F72,$BF$9),COUNTIF('1.연간시수표'!F72,$BF$7),COUNTIF('1.연간시수표'!F72,$BG$9),COUNTIF('1.연간시수표'!F72,$BG$7),COUNTIF('1.연간시수표'!F72,$BH$9),COUNTIF('1.연간시수표'!F72,$BH$7),COUNTIF('1.연간시수표'!F72,$BI$9),COUNTIF('1.연간시수표'!F72,$BI$7),COUNTIF('1.연간시수표'!F72,$BJ$9),COUNTIF('1.연간시수표'!F72,$BJ$7),COUNTIF('1.연간시수표'!F72,$BK$9),COUNTIF('1.연간시수표'!F72,$BK$7),COUNTIF('1.연간시수표'!F72,$BL$9),COUNTIF('1.연간시수표'!F72,$BL$7),COUNTIF('1.연간시수표'!F72,$BM$9),COUNTIF('1.연간시수표'!F72,$BM$7)),$BF$6,IF(OR(COUNTIF('1.연간시수표'!F72,$BO$9),COUNTIF('1.연간시수표'!F72,$BO$7)),$BO$6,IF(OR(COUNTIF('1.연간시수표'!F72,$BP$9),COUNTIF('1.연간시수표'!F72,$BP$7)),$BP$6,IF(OR(COUNTIF('1.연간시수표'!F72,$BQ$9),COUNTIF('1.연간시수표'!F72,$BQ$7)),$BQ$6,IF(OR(COUNTIF('1.연간시수표'!F72,$BR$9),COUNTIF('1.연간시수표'!F72,$BR$7)),$BR$6,"_")))))))))))))))</f>
        <v>미술</v>
      </c>
      <c r="G72" s="148" t="str">
        <f>IF(OR(COUNTIF('1.연간시수표'!G72,$AT$9),COUNTIF('1.연간시수표'!G72,$AT$7)),$AT$6,IF(OR(COUNTIF('1.연간시수표'!G72,$AU$9),COUNTIF('1.연간시수표'!G72,$AU$7)),$AU$6,IF(OR(COUNTIF('1.연간시수표'!G72,$AV$9),COUNTIF('1.연간시수표'!G72,$AV$7)),$AV$6,IF(OR(COUNTIF('1.연간시수표'!G72,$AW$9),COUNTIF('1.연간시수표'!G72,$AW$7)),$AW$6,IF(OR(COUNTIF('1.연간시수표'!G72,$AX$9),COUNTIF('1.연간시수표'!G72,$AX$7)),$AX$6,IF(OR(COUNTIF('1.연간시수표'!G72,$AY$9),COUNTIF('1.연간시수표'!G72,$AY$7)),$AY$6,IF(OR(COUNTIF('1.연간시수표'!G72,$AZ$9),COUNTIF('1.연간시수표'!G72,$AZ$7)),$AZ$6,IF(OR(COUNTIF('1.연간시수표'!G72,$BA$9),COUNTIF('1.연간시수표'!G72,$BA$7)),$BA$6,IF(OR(COUNTIF('1.연간시수표'!G72,$BB$9),COUNTIF('1.연간시수표'!G72,$BB$7)),$BB$6,IF(OR(COUNTIF('1.연간시수표'!G72,$BC$9),COUNTIF('1.연간시수표'!G72,$BC$7)),$BC$6,IF(OR(COUNTIF('1.연간시수표'!G72,$BF$9),COUNTIF('1.연간시수표'!G72,$BF$7),COUNTIF('1.연간시수표'!G72,$BG$9),COUNTIF('1.연간시수표'!G72,$BG$7),COUNTIF('1.연간시수표'!G72,$BH$9),COUNTIF('1.연간시수표'!G72,$BH$7),COUNTIF('1.연간시수표'!G72,$BI$9),COUNTIF('1.연간시수표'!G72,$BI$7),COUNTIF('1.연간시수표'!G72,$BJ$9),COUNTIF('1.연간시수표'!G72,$BJ$7),COUNTIF('1.연간시수표'!G72,$BK$9),COUNTIF('1.연간시수표'!G72,$BK$7),COUNTIF('1.연간시수표'!G72,$BL$9),COUNTIF('1.연간시수표'!G72,$BL$7),COUNTIF('1.연간시수표'!G72,$BM$9),COUNTIF('1.연간시수표'!G72,$BM$7)),$BF$6,IF(OR(COUNTIF('1.연간시수표'!G72,$BO$9),COUNTIF('1.연간시수표'!G72,$BO$7)),$BO$6,IF(OR(COUNTIF('1.연간시수표'!G72,$BP$9),COUNTIF('1.연간시수표'!G72,$BP$7)),$BP$6,IF(OR(COUNTIF('1.연간시수표'!G72,$BQ$9),COUNTIF('1.연간시수표'!G72,$BQ$7)),$BQ$6,IF(OR(COUNTIF('1.연간시수표'!G72,$BR$9),COUNTIF('1.연간시수표'!G72,$BR$7)),$BR$6,"_")))))))))))))))</f>
        <v>미술</v>
      </c>
      <c r="H72" s="148" t="str">
        <f>IF(OR(COUNTIF('1.연간시수표'!H72,$AT$9),COUNTIF('1.연간시수표'!H72,$AT$7)),$AT$6,IF(OR(COUNTIF('1.연간시수표'!H72,$AU$9),COUNTIF('1.연간시수표'!H72,$AU$7)),$AU$6,IF(OR(COUNTIF('1.연간시수표'!H72,$AV$9),COUNTIF('1.연간시수표'!H72,$AV$7)),$AV$6,IF(OR(COUNTIF('1.연간시수표'!H72,$AW$9),COUNTIF('1.연간시수표'!H72,$AW$7)),$AW$6,IF(OR(COUNTIF('1.연간시수표'!H72,$AX$9),COUNTIF('1.연간시수표'!H72,$AX$7)),$AX$6,IF(OR(COUNTIF('1.연간시수표'!H72,$AY$9),COUNTIF('1.연간시수표'!H72,$AY$7)),$AY$6,IF(OR(COUNTIF('1.연간시수표'!H72,$AZ$9),COUNTIF('1.연간시수표'!H72,$AZ$7)),$AZ$6,IF(OR(COUNTIF('1.연간시수표'!H72,$BA$9),COUNTIF('1.연간시수표'!H72,$BA$7)),$BA$6,IF(OR(COUNTIF('1.연간시수표'!H72,$BB$9),COUNTIF('1.연간시수표'!H72,$BB$7)),$BB$6,IF(OR(COUNTIF('1.연간시수표'!H72,$BC$9),COUNTIF('1.연간시수표'!H72,$BC$7)),$BC$6,IF(OR(COUNTIF('1.연간시수표'!H72,$BF$9),COUNTIF('1.연간시수표'!H72,$BF$7),COUNTIF('1.연간시수표'!H72,$BG$9),COUNTIF('1.연간시수표'!H72,$BG$7),COUNTIF('1.연간시수표'!H72,$BH$9),COUNTIF('1.연간시수표'!H72,$BH$7),COUNTIF('1.연간시수표'!H72,$BI$9),COUNTIF('1.연간시수표'!H72,$BI$7),COUNTIF('1.연간시수표'!H72,$BJ$9),COUNTIF('1.연간시수표'!H72,$BJ$7),COUNTIF('1.연간시수표'!H72,$BK$9),COUNTIF('1.연간시수표'!H72,$BK$7),COUNTIF('1.연간시수표'!H72,$BL$9),COUNTIF('1.연간시수표'!H72,$BL$7),COUNTIF('1.연간시수표'!H72,$BM$9),COUNTIF('1.연간시수표'!H72,$BM$7)),$BF$6,IF(OR(COUNTIF('1.연간시수표'!H72,$BO$9),COUNTIF('1.연간시수표'!H72,$BO$7)),$BO$6,IF(OR(COUNTIF('1.연간시수표'!H72,$BP$9),COUNTIF('1.연간시수표'!H72,$BP$7)),$BP$6,IF(OR(COUNTIF('1.연간시수표'!H72,$BQ$9),COUNTIF('1.연간시수표'!H72,$BQ$7)),$BQ$6,IF(OR(COUNTIF('1.연간시수표'!H72,$BR$9),COUNTIF('1.연간시수표'!H72,$BR$7)),$BR$6,"_")))))))))))))))</f>
        <v>영어</v>
      </c>
      <c r="I72" s="148" t="str">
        <f>IF(OR(COUNTIF('1.연간시수표'!I72,$AT$9),COUNTIF('1.연간시수표'!I72,$AT$7)),$AT$6,IF(OR(COUNTIF('1.연간시수표'!I72,$AU$9),COUNTIF('1.연간시수표'!I72,$AU$7)),$AU$6,IF(OR(COUNTIF('1.연간시수표'!I72,$AV$9),COUNTIF('1.연간시수표'!I72,$AV$7)),$AV$6,IF(OR(COUNTIF('1.연간시수표'!I72,$AW$9),COUNTIF('1.연간시수표'!I72,$AW$7)),$AW$6,IF(OR(COUNTIF('1.연간시수표'!I72,$AX$9),COUNTIF('1.연간시수표'!I72,$AX$7)),$AX$6,IF(OR(COUNTIF('1.연간시수표'!I72,$AY$9),COUNTIF('1.연간시수표'!I72,$AY$7)),$AY$6,IF(OR(COUNTIF('1.연간시수표'!I72,$AZ$9),COUNTIF('1.연간시수표'!I72,$AZ$7)),$AZ$6,IF(OR(COUNTIF('1.연간시수표'!I72,$BA$9),COUNTIF('1.연간시수표'!I72,$BA$7)),$BA$6,IF(OR(COUNTIF('1.연간시수표'!I72,$BB$9),COUNTIF('1.연간시수표'!I72,$BB$7)),$BB$6,IF(OR(COUNTIF('1.연간시수표'!I72,$BC$9),COUNTIF('1.연간시수표'!I72,$BC$7)),$BC$6,IF(OR(COUNTIF('1.연간시수표'!I72,$BF$9),COUNTIF('1.연간시수표'!I72,$BF$7),COUNTIF('1.연간시수표'!I72,$BG$9),COUNTIF('1.연간시수표'!I72,$BG$7),COUNTIF('1.연간시수표'!I72,$BH$9),COUNTIF('1.연간시수표'!I72,$BH$7),COUNTIF('1.연간시수표'!I72,$BI$9),COUNTIF('1.연간시수표'!I72,$BI$7),COUNTIF('1.연간시수표'!I72,$BJ$9),COUNTIF('1.연간시수표'!I72,$BJ$7),COUNTIF('1.연간시수표'!I72,$BK$9),COUNTIF('1.연간시수표'!I72,$BK$7),COUNTIF('1.연간시수표'!I72,$BL$9),COUNTIF('1.연간시수표'!I72,$BL$7),COUNTIF('1.연간시수표'!I72,$BM$9),COUNTIF('1.연간시수표'!I72,$BM$7)),$BF$6,IF(OR(COUNTIF('1.연간시수표'!I72,$BO$9),COUNTIF('1.연간시수표'!I72,$BO$7)),$BO$6,IF(OR(COUNTIF('1.연간시수표'!I72,$BP$9),COUNTIF('1.연간시수표'!I72,$BP$7)),$BP$6,IF(OR(COUNTIF('1.연간시수표'!I72,$BQ$9),COUNTIF('1.연간시수표'!I72,$BQ$7)),$BQ$6,IF(OR(COUNTIF('1.연간시수표'!I72,$BR$9),COUNTIF('1.연간시수표'!I72,$BR$7)),$BR$6,"_")))))))))))))))</f>
        <v>수학</v>
      </c>
      <c r="J72" s="148" t="str">
        <f>IF(OR(COUNTIF('1.연간시수표'!J72,$AT$9),COUNTIF('1.연간시수표'!J72,$AT$7)),$AT$6,IF(OR(COUNTIF('1.연간시수표'!J72,$AU$9),COUNTIF('1.연간시수표'!J72,$AU$7)),$AU$6,IF(OR(COUNTIF('1.연간시수표'!J72,$AV$9),COUNTIF('1.연간시수표'!J72,$AV$7)),$AV$6,IF(OR(COUNTIF('1.연간시수표'!J72,$AW$9),COUNTIF('1.연간시수표'!J72,$AW$7)),$AW$6,IF(OR(COUNTIF('1.연간시수표'!J72,$AX$9),COUNTIF('1.연간시수표'!J72,$AX$7)),$AX$6,IF(OR(COUNTIF('1.연간시수표'!J72,$AY$9),COUNTIF('1.연간시수표'!J72,$AY$7)),$AY$6,IF(OR(COUNTIF('1.연간시수표'!J72,$AZ$9),COUNTIF('1.연간시수표'!J72,$AZ$7)),$AZ$6,IF(OR(COUNTIF('1.연간시수표'!J72,$BA$9),COUNTIF('1.연간시수표'!J72,$BA$7)),$BA$6,IF(OR(COUNTIF('1.연간시수표'!J72,$BB$9),COUNTIF('1.연간시수표'!J72,$BB$7)),$BB$6,IF(OR(COUNTIF('1.연간시수표'!J72,$BC$9),COUNTIF('1.연간시수표'!J72,$BC$7)),$BC$6,IF(OR(COUNTIF('1.연간시수표'!J72,$BF$9),COUNTIF('1.연간시수표'!J72,$BF$7),COUNTIF('1.연간시수표'!J72,$BG$9),COUNTIF('1.연간시수표'!J72,$BG$7),COUNTIF('1.연간시수표'!J72,$BH$9),COUNTIF('1.연간시수표'!J72,$BH$7),COUNTIF('1.연간시수표'!J72,$BI$9),COUNTIF('1.연간시수표'!J72,$BI$7),COUNTIF('1.연간시수표'!J72,$BJ$9),COUNTIF('1.연간시수표'!J72,$BJ$7),COUNTIF('1.연간시수표'!J72,$BK$9),COUNTIF('1.연간시수표'!J72,$BK$7),COUNTIF('1.연간시수표'!J72,$BL$9),COUNTIF('1.연간시수표'!J72,$BL$7),COUNTIF('1.연간시수표'!J72,$BM$9),COUNTIF('1.연간시수표'!J72,$BM$7)),$BF$6,IF(OR(COUNTIF('1.연간시수표'!J72,$BO$9),COUNTIF('1.연간시수표'!J72,$BO$7)),$BO$6,IF(OR(COUNTIF('1.연간시수표'!J72,$BP$9),COUNTIF('1.연간시수표'!J72,$BP$7)),$BP$6,IF(OR(COUNTIF('1.연간시수표'!J72,$BQ$9),COUNTIF('1.연간시수표'!J72,$BQ$7)),$BQ$6,IF(OR(COUNTIF('1.연간시수표'!J72,$BR$9),COUNTIF('1.연간시수표'!J72,$BR$7)),$BR$6,"_")))))))))))))))</f>
        <v>국어</v>
      </c>
      <c r="K72" s="148" t="str">
        <f>IF(OR(COUNTIF('1.연간시수표'!K72,$AT$9),COUNTIF('1.연간시수표'!K72,$AT$7)),$AT$6,IF(OR(COUNTIF('1.연간시수표'!K72,$AU$9),COUNTIF('1.연간시수표'!K72,$AU$7)),$AU$6,IF(OR(COUNTIF('1.연간시수표'!K72,$AV$9),COUNTIF('1.연간시수표'!K72,$AV$7)),$AV$6,IF(OR(COUNTIF('1.연간시수표'!K72,$AW$9),COUNTIF('1.연간시수표'!K72,$AW$7)),$AW$6,IF(OR(COUNTIF('1.연간시수표'!K72,$AX$9),COUNTIF('1.연간시수표'!K72,$AX$7)),$AX$6,IF(OR(COUNTIF('1.연간시수표'!K72,$AY$9),COUNTIF('1.연간시수표'!K72,$AY$7)),$AY$6,IF(OR(COUNTIF('1.연간시수표'!K72,$AZ$9),COUNTIF('1.연간시수표'!K72,$AZ$7)),$AZ$6,IF(OR(COUNTIF('1.연간시수표'!K72,$BA$9),COUNTIF('1.연간시수표'!K72,$BA$7)),$BA$6,IF(OR(COUNTIF('1.연간시수표'!K72,$BB$9),COUNTIF('1.연간시수표'!K72,$BB$7)),$BB$6,IF(OR(COUNTIF('1.연간시수표'!K72,$BC$9),COUNTIF('1.연간시수표'!K72,$BC$7)),$BC$6,IF(OR(COUNTIF('1.연간시수표'!K72,$BF$9),COUNTIF('1.연간시수표'!K72,$BF$7),COUNTIF('1.연간시수표'!K72,$BG$9),COUNTIF('1.연간시수표'!K72,$BG$7),COUNTIF('1.연간시수표'!K72,$BH$9),COUNTIF('1.연간시수표'!K72,$BH$7),COUNTIF('1.연간시수표'!K72,$BI$9),COUNTIF('1.연간시수표'!K72,$BI$7),COUNTIF('1.연간시수표'!K72,$BJ$9),COUNTIF('1.연간시수표'!K72,$BJ$7),COUNTIF('1.연간시수표'!K72,$BK$9),COUNTIF('1.연간시수표'!K72,$BK$7),COUNTIF('1.연간시수표'!K72,$BL$9),COUNTIF('1.연간시수표'!K72,$BL$7),COUNTIF('1.연간시수표'!K72,$BM$9),COUNTIF('1.연간시수표'!K72,$BM$7)),$BF$6,IF(OR(COUNTIF('1.연간시수표'!K72,$BO$9),COUNTIF('1.연간시수표'!K72,$BO$7)),$BO$6,IF(OR(COUNTIF('1.연간시수표'!K72,$BP$9),COUNTIF('1.연간시수표'!K72,$BP$7)),$BP$6,IF(OR(COUNTIF('1.연간시수표'!K72,$BQ$9),COUNTIF('1.연간시수표'!K72,$BQ$7)),$BQ$6,IF(OR(COUNTIF('1.연간시수표'!K72,$BR$9),COUNTIF('1.연간시수표'!K72,$BR$7)),$BR$6,"_")))))))))))))))</f>
        <v>_</v>
      </c>
      <c r="L72" s="148" t="str">
        <f>IF(OR(COUNTIF('1.연간시수표'!L72,$AT$9),COUNTIF('1.연간시수표'!L72,$AT$7)),$AT$6,IF(OR(COUNTIF('1.연간시수표'!L72,$AU$9),COUNTIF('1.연간시수표'!L72,$AU$7)),$AU$6,IF(OR(COUNTIF('1.연간시수표'!L72,$AV$9),COUNTIF('1.연간시수표'!L72,$AV$7)),$AV$6,IF(OR(COUNTIF('1.연간시수표'!L72,$AW$9),COUNTIF('1.연간시수표'!L72,$AW$7)),$AW$6,IF(OR(COUNTIF('1.연간시수표'!L72,$AX$9),COUNTIF('1.연간시수표'!L72,$AX$7)),$AX$6,IF(OR(COUNTIF('1.연간시수표'!L72,$AY$9),COUNTIF('1.연간시수표'!L72,$AY$7)),$AY$6,IF(OR(COUNTIF('1.연간시수표'!L72,$AZ$9),COUNTIF('1.연간시수표'!L72,$AZ$7)),$AZ$6,IF(OR(COUNTIF('1.연간시수표'!L72,$BA$9),COUNTIF('1.연간시수표'!L72,$BA$7)),$BA$6,IF(OR(COUNTIF('1.연간시수표'!L72,$BB$9),COUNTIF('1.연간시수표'!L72,$BB$7)),$BB$6,IF(OR(COUNTIF('1.연간시수표'!L72,$BC$9),COUNTIF('1.연간시수표'!L72,$BC$7)),$BC$6,IF(OR(COUNTIF('1.연간시수표'!L72,$BF$9),COUNTIF('1.연간시수표'!L72,$BF$7),COUNTIF('1.연간시수표'!L72,$BG$9),COUNTIF('1.연간시수표'!L72,$BG$7),COUNTIF('1.연간시수표'!L72,$BH$9),COUNTIF('1.연간시수표'!L72,$BH$7),COUNTIF('1.연간시수표'!L72,$BI$9),COUNTIF('1.연간시수표'!L72,$BI$7),COUNTIF('1.연간시수표'!L72,$BJ$9),COUNTIF('1.연간시수표'!L72,$BJ$7),COUNTIF('1.연간시수표'!L72,$BK$9),COUNTIF('1.연간시수표'!L72,$BK$7),COUNTIF('1.연간시수표'!L72,$BL$9),COUNTIF('1.연간시수표'!L72,$BL$7),COUNTIF('1.연간시수표'!L72,$BM$9),COUNTIF('1.연간시수표'!L72,$BM$7)),$BF$6,IF(OR(COUNTIF('1.연간시수표'!L72,$BO$9),COUNTIF('1.연간시수표'!L72,$BO$7)),$BO$6,IF(OR(COUNTIF('1.연간시수표'!L72,$BP$9),COUNTIF('1.연간시수표'!L72,$BP$7)),$BP$6,IF(OR(COUNTIF('1.연간시수표'!L72,$BQ$9),COUNTIF('1.연간시수표'!L72,$BQ$7)),$BQ$6,IF(OR(COUNTIF('1.연간시수표'!L72,$BR$9),COUNTIF('1.연간시수표'!L72,$BR$7)),$BR$6,"_")))))))))))))))</f>
        <v>_</v>
      </c>
      <c r="M72" s="148" t="str">
        <f>IF(OR(COUNTIF('1.연간시수표'!M72,$AT$9),COUNTIF('1.연간시수표'!M72,$AT$7)),$AT$6,IF(OR(COUNTIF('1.연간시수표'!M72,$AU$9),COUNTIF('1.연간시수표'!M72,$AU$7)),$AU$6,IF(OR(COUNTIF('1.연간시수표'!M72,$AV$9),COUNTIF('1.연간시수표'!M72,$AV$7)),$AV$6,IF(OR(COUNTIF('1.연간시수표'!M72,$AW$9),COUNTIF('1.연간시수표'!M72,$AW$7)),$AW$6,IF(OR(COUNTIF('1.연간시수표'!M72,$AX$9),COUNTIF('1.연간시수표'!M72,$AX$7)),$AX$6,IF(OR(COUNTIF('1.연간시수표'!M72,$AY$9),COUNTIF('1.연간시수표'!M72,$AY$7)),$AY$6,IF(OR(COUNTIF('1.연간시수표'!M72,$AZ$9),COUNTIF('1.연간시수표'!M72,$AZ$7)),$AZ$6,IF(OR(COUNTIF('1.연간시수표'!M72,$BA$9),COUNTIF('1.연간시수표'!M72,$BA$7)),$BA$6,IF(OR(COUNTIF('1.연간시수표'!M72,$BB$9),COUNTIF('1.연간시수표'!M72,$BB$7)),$BB$6,IF(OR(COUNTIF('1.연간시수표'!M72,$BC$9),COUNTIF('1.연간시수표'!M72,$BC$7)),$BC$6,IF(OR(COUNTIF('1.연간시수표'!M72,$BF$9),COUNTIF('1.연간시수표'!M72,$BF$7),COUNTIF('1.연간시수표'!M72,$BG$9),COUNTIF('1.연간시수표'!M72,$BG$7),COUNTIF('1.연간시수표'!M72,$BH$9),COUNTIF('1.연간시수표'!M72,$BH$7),COUNTIF('1.연간시수표'!M72,$BI$9),COUNTIF('1.연간시수표'!M72,$BI$7),COUNTIF('1.연간시수표'!M72,$BJ$9),COUNTIF('1.연간시수표'!M72,$BJ$7),COUNTIF('1.연간시수표'!M72,$BK$9),COUNTIF('1.연간시수표'!M72,$BK$7),COUNTIF('1.연간시수표'!M72,$BL$9),COUNTIF('1.연간시수표'!M72,$BL$7),COUNTIF('1.연간시수표'!M72,$BM$9),COUNTIF('1.연간시수표'!M72,$BM$7)),$BF$6,IF(OR(COUNTIF('1.연간시수표'!M72,$BO$9),COUNTIF('1.연간시수표'!M72,$BO$7)),$BO$6,IF(OR(COUNTIF('1.연간시수표'!M72,$BP$9),COUNTIF('1.연간시수표'!M72,$BP$7)),$BP$6,IF(OR(COUNTIF('1.연간시수표'!M72,$BQ$9),COUNTIF('1.연간시수표'!M72,$BQ$7)),$BQ$6,IF(OR(COUNTIF('1.연간시수표'!M72,$BR$9),COUNTIF('1.연간시수표'!M72,$BR$7)),$BR$6,"_")))))))))))))))</f>
        <v>국어</v>
      </c>
      <c r="N72" s="148" t="str">
        <f>IF(OR(COUNTIF('1.연간시수표'!N72,$AT$9),COUNTIF('1.연간시수표'!N72,$AT$7)),$AT$6,IF(OR(COUNTIF('1.연간시수표'!N72,$AU$9),COUNTIF('1.연간시수표'!N72,$AU$7)),$AU$6,IF(OR(COUNTIF('1.연간시수표'!N72,$AV$9),COUNTIF('1.연간시수표'!N72,$AV$7)),$AV$6,IF(OR(COUNTIF('1.연간시수표'!N72,$AW$9),COUNTIF('1.연간시수표'!N72,$AW$7)),$AW$6,IF(OR(COUNTIF('1.연간시수표'!N72,$AX$9),COUNTIF('1.연간시수표'!N72,$AX$7)),$AX$6,IF(OR(COUNTIF('1.연간시수표'!N72,$AY$9),COUNTIF('1.연간시수표'!N72,$AY$7)),$AY$6,IF(OR(COUNTIF('1.연간시수표'!N72,$AZ$9),COUNTIF('1.연간시수표'!N72,$AZ$7)),$AZ$6,IF(OR(COUNTIF('1.연간시수표'!N72,$BA$9),COUNTIF('1.연간시수표'!N72,$BA$7)),$BA$6,IF(OR(COUNTIF('1.연간시수표'!N72,$BB$9),COUNTIF('1.연간시수표'!N72,$BB$7)),$BB$6,IF(OR(COUNTIF('1.연간시수표'!N72,$BC$9),COUNTIF('1.연간시수표'!N72,$BC$7)),$BC$6,IF(OR(COUNTIF('1.연간시수표'!N72,$BF$9),COUNTIF('1.연간시수표'!N72,$BF$7),COUNTIF('1.연간시수표'!N72,$BG$9),COUNTIF('1.연간시수표'!N72,$BG$7),COUNTIF('1.연간시수표'!N72,$BH$9),COUNTIF('1.연간시수표'!N72,$BH$7),COUNTIF('1.연간시수표'!N72,$BI$9),COUNTIF('1.연간시수표'!N72,$BI$7),COUNTIF('1.연간시수표'!N72,$BJ$9),COUNTIF('1.연간시수표'!N72,$BJ$7),COUNTIF('1.연간시수표'!N72,$BK$9),COUNTIF('1.연간시수표'!N72,$BK$7),COUNTIF('1.연간시수표'!N72,$BL$9),COUNTIF('1.연간시수표'!N72,$BL$7),COUNTIF('1.연간시수표'!N72,$BM$9),COUNTIF('1.연간시수표'!N72,$BM$7)),$BF$6,IF(OR(COUNTIF('1.연간시수표'!N72,$BO$9),COUNTIF('1.연간시수표'!N72,$BO$7)),$BO$6,IF(OR(COUNTIF('1.연간시수표'!N72,$BP$9),COUNTIF('1.연간시수표'!N72,$BP$7)),$BP$6,IF(OR(COUNTIF('1.연간시수표'!N72,$BQ$9),COUNTIF('1.연간시수표'!N72,$BQ$7)),$BQ$6,IF(OR(COUNTIF('1.연간시수표'!N72,$BR$9),COUNTIF('1.연간시수표'!N72,$BR$7)),$BR$6,"_")))))))))))))))</f>
        <v>국어</v>
      </c>
      <c r="O72" s="148" t="str">
        <f>IF(OR(COUNTIF('1.연간시수표'!O72,$AT$9),COUNTIF('1.연간시수표'!O72,$AT$7)),$AT$6,IF(OR(COUNTIF('1.연간시수표'!O72,$AU$9),COUNTIF('1.연간시수표'!O72,$AU$7)),$AU$6,IF(OR(COUNTIF('1.연간시수표'!O72,$AV$9),COUNTIF('1.연간시수표'!O72,$AV$7)),$AV$6,IF(OR(COUNTIF('1.연간시수표'!O72,$AW$9),COUNTIF('1.연간시수표'!O72,$AW$7)),$AW$6,IF(OR(COUNTIF('1.연간시수표'!O72,$AX$9),COUNTIF('1.연간시수표'!O72,$AX$7)),$AX$6,IF(OR(COUNTIF('1.연간시수표'!O72,$AY$9),COUNTIF('1.연간시수표'!O72,$AY$7)),$AY$6,IF(OR(COUNTIF('1.연간시수표'!O72,$AZ$9),COUNTIF('1.연간시수표'!O72,$AZ$7)),$AZ$6,IF(OR(COUNTIF('1.연간시수표'!O72,$BA$9),COUNTIF('1.연간시수표'!O72,$BA$7)),$BA$6,IF(OR(COUNTIF('1.연간시수표'!O72,$BB$9),COUNTIF('1.연간시수표'!O72,$BB$7)),$BB$6,IF(OR(COUNTIF('1.연간시수표'!O72,$BC$9),COUNTIF('1.연간시수표'!O72,$BC$7)),$BC$6,IF(OR(COUNTIF('1.연간시수표'!O72,$BF$9),COUNTIF('1.연간시수표'!O72,$BF$7),COUNTIF('1.연간시수표'!O72,$BG$9),COUNTIF('1.연간시수표'!O72,$BG$7),COUNTIF('1.연간시수표'!O72,$BH$9),COUNTIF('1.연간시수표'!O72,$BH$7),COUNTIF('1.연간시수표'!O72,$BI$9),COUNTIF('1.연간시수표'!O72,$BI$7),COUNTIF('1.연간시수표'!O72,$BJ$9),COUNTIF('1.연간시수표'!O72,$BJ$7),COUNTIF('1.연간시수표'!O72,$BK$9),COUNTIF('1.연간시수표'!O72,$BK$7),COUNTIF('1.연간시수표'!O72,$BL$9),COUNTIF('1.연간시수표'!O72,$BL$7),COUNTIF('1.연간시수표'!O72,$BM$9),COUNTIF('1.연간시수표'!O72,$BM$7)),$BF$6,IF(OR(COUNTIF('1.연간시수표'!O72,$BO$9),COUNTIF('1.연간시수표'!O72,$BO$7)),$BO$6,IF(OR(COUNTIF('1.연간시수표'!O72,$BP$9),COUNTIF('1.연간시수표'!O72,$BP$7)),$BP$6,IF(OR(COUNTIF('1.연간시수표'!O72,$BQ$9),COUNTIF('1.연간시수표'!O72,$BQ$7)),$BQ$6,IF(OR(COUNTIF('1.연간시수표'!O72,$BR$9),COUNTIF('1.연간시수표'!O72,$BR$7)),$BR$6,"_")))))))))))))))</f>
        <v>사회</v>
      </c>
      <c r="P72" s="148" t="str">
        <f>IF(OR(COUNTIF('1.연간시수표'!P72,$AT$9),COUNTIF('1.연간시수표'!P72,$AT$7)),$AT$6,IF(OR(COUNTIF('1.연간시수표'!P72,$AU$9),COUNTIF('1.연간시수표'!P72,$AU$7)),$AU$6,IF(OR(COUNTIF('1.연간시수표'!P72,$AV$9),COUNTIF('1.연간시수표'!P72,$AV$7)),$AV$6,IF(OR(COUNTIF('1.연간시수표'!P72,$AW$9),COUNTIF('1.연간시수표'!P72,$AW$7)),$AW$6,IF(OR(COUNTIF('1.연간시수표'!P72,$AX$9),COUNTIF('1.연간시수표'!P72,$AX$7)),$AX$6,IF(OR(COUNTIF('1.연간시수표'!P72,$AY$9),COUNTIF('1.연간시수표'!P72,$AY$7)),$AY$6,IF(OR(COUNTIF('1.연간시수표'!P72,$AZ$9),COUNTIF('1.연간시수표'!P72,$AZ$7)),$AZ$6,IF(OR(COUNTIF('1.연간시수표'!P72,$BA$9),COUNTIF('1.연간시수표'!P72,$BA$7)),$BA$6,IF(OR(COUNTIF('1.연간시수표'!P72,$BB$9),COUNTIF('1.연간시수표'!P72,$BB$7)),$BB$6,IF(OR(COUNTIF('1.연간시수표'!P72,$BC$9),COUNTIF('1.연간시수표'!P72,$BC$7)),$BC$6,IF(OR(COUNTIF('1.연간시수표'!P72,$BF$9),COUNTIF('1.연간시수표'!P72,$BF$7),COUNTIF('1.연간시수표'!P72,$BG$9),COUNTIF('1.연간시수표'!P72,$BG$7),COUNTIF('1.연간시수표'!P72,$BH$9),COUNTIF('1.연간시수표'!P72,$BH$7),COUNTIF('1.연간시수표'!P72,$BI$9),COUNTIF('1.연간시수표'!P72,$BI$7),COUNTIF('1.연간시수표'!P72,$BJ$9),COUNTIF('1.연간시수표'!P72,$BJ$7),COUNTIF('1.연간시수표'!P72,$BK$9),COUNTIF('1.연간시수표'!P72,$BK$7),COUNTIF('1.연간시수표'!P72,$BL$9),COUNTIF('1.연간시수표'!P72,$BL$7),COUNTIF('1.연간시수표'!P72,$BM$9),COUNTIF('1.연간시수표'!P72,$BM$7)),$BF$6,IF(OR(COUNTIF('1.연간시수표'!P72,$BO$9),COUNTIF('1.연간시수표'!P72,$BO$7)),$BO$6,IF(OR(COUNTIF('1.연간시수표'!P72,$BP$9),COUNTIF('1.연간시수표'!P72,$BP$7)),$BP$6,IF(OR(COUNTIF('1.연간시수표'!P72,$BQ$9),COUNTIF('1.연간시수표'!P72,$BQ$7)),$BQ$6,IF(OR(COUNTIF('1.연간시수표'!P72,$BR$9),COUNTIF('1.연간시수표'!P72,$BR$7)),$BR$6,"_")))))))))))))))</f>
        <v>수학</v>
      </c>
      <c r="Q72" s="148" t="str">
        <f>IF(OR(COUNTIF('1.연간시수표'!Q72,$AT$9),COUNTIF('1.연간시수표'!Q72,$AT$7)),$AT$6,IF(OR(COUNTIF('1.연간시수표'!Q72,$AU$9),COUNTIF('1.연간시수표'!Q72,$AU$7)),$AU$6,IF(OR(COUNTIF('1.연간시수표'!Q72,$AV$9),COUNTIF('1.연간시수표'!Q72,$AV$7)),$AV$6,IF(OR(COUNTIF('1.연간시수표'!Q72,$AW$9),COUNTIF('1.연간시수표'!Q72,$AW$7)),$AW$6,IF(OR(COUNTIF('1.연간시수표'!Q72,$AX$9),COUNTIF('1.연간시수표'!Q72,$AX$7)),$AX$6,IF(OR(COUNTIF('1.연간시수표'!Q72,$AY$9),COUNTIF('1.연간시수표'!Q72,$AY$7)),$AY$6,IF(OR(COUNTIF('1.연간시수표'!Q72,$AZ$9),COUNTIF('1.연간시수표'!Q72,$AZ$7)),$AZ$6,IF(OR(COUNTIF('1.연간시수표'!Q72,$BA$9),COUNTIF('1.연간시수표'!Q72,$BA$7)),$BA$6,IF(OR(COUNTIF('1.연간시수표'!Q72,$BB$9),COUNTIF('1.연간시수표'!Q72,$BB$7)),$BB$6,IF(OR(COUNTIF('1.연간시수표'!Q72,$BC$9),COUNTIF('1.연간시수표'!Q72,$BC$7)),$BC$6,IF(OR(COUNTIF('1.연간시수표'!Q72,$BF$9),COUNTIF('1.연간시수표'!Q72,$BF$7),COUNTIF('1.연간시수표'!Q72,$BG$9),COUNTIF('1.연간시수표'!Q72,$BG$7),COUNTIF('1.연간시수표'!Q72,$BH$9),COUNTIF('1.연간시수표'!Q72,$BH$7),COUNTIF('1.연간시수표'!Q72,$BI$9),COUNTIF('1.연간시수표'!Q72,$BI$7),COUNTIF('1.연간시수표'!Q72,$BJ$9),COUNTIF('1.연간시수표'!Q72,$BJ$7),COUNTIF('1.연간시수표'!Q72,$BK$9),COUNTIF('1.연간시수표'!Q72,$BK$7),COUNTIF('1.연간시수표'!Q72,$BL$9),COUNTIF('1.연간시수표'!Q72,$BL$7),COUNTIF('1.연간시수표'!Q72,$BM$9),COUNTIF('1.연간시수표'!Q72,$BM$7)),$BF$6,IF(OR(COUNTIF('1.연간시수표'!Q72,$BO$9),COUNTIF('1.연간시수표'!Q72,$BO$7)),$BO$6,IF(OR(COUNTIF('1.연간시수표'!Q72,$BP$9),COUNTIF('1.연간시수표'!Q72,$BP$7)),$BP$6,IF(OR(COUNTIF('1.연간시수표'!Q72,$BQ$9),COUNTIF('1.연간시수표'!Q72,$BQ$7)),$BQ$6,IF(OR(COUNTIF('1.연간시수표'!Q72,$BR$9),COUNTIF('1.연간시수표'!Q72,$BR$7)),$BR$6,"_")))))))))))))))</f>
        <v>과학</v>
      </c>
      <c r="R72" s="148" t="str">
        <f>IF(OR(COUNTIF('1.연간시수표'!R72,$AT$9),COUNTIF('1.연간시수표'!R72,$AT$7)),$AT$6,IF(OR(COUNTIF('1.연간시수표'!R72,$AU$9),COUNTIF('1.연간시수표'!R72,$AU$7)),$AU$6,IF(OR(COUNTIF('1.연간시수표'!R72,$AV$9),COUNTIF('1.연간시수표'!R72,$AV$7)),$AV$6,IF(OR(COUNTIF('1.연간시수표'!R72,$AW$9),COUNTIF('1.연간시수표'!R72,$AW$7)),$AW$6,IF(OR(COUNTIF('1.연간시수표'!R72,$AX$9),COUNTIF('1.연간시수표'!R72,$AX$7)),$AX$6,IF(OR(COUNTIF('1.연간시수표'!R72,$AY$9),COUNTIF('1.연간시수표'!R72,$AY$7)),$AY$6,IF(OR(COUNTIF('1.연간시수표'!R72,$AZ$9),COUNTIF('1.연간시수표'!R72,$AZ$7)),$AZ$6,IF(OR(COUNTIF('1.연간시수표'!R72,$BA$9),COUNTIF('1.연간시수표'!R72,$BA$7)),$BA$6,IF(OR(COUNTIF('1.연간시수표'!R72,$BB$9),COUNTIF('1.연간시수표'!R72,$BB$7)),$BB$6,IF(OR(COUNTIF('1.연간시수표'!R72,$BC$9),COUNTIF('1.연간시수표'!R72,$BC$7)),$BC$6,IF(OR(COUNTIF('1.연간시수표'!R72,$BF$9),COUNTIF('1.연간시수표'!R72,$BF$7),COUNTIF('1.연간시수표'!R72,$BG$9),COUNTIF('1.연간시수표'!R72,$BG$7),COUNTIF('1.연간시수표'!R72,$BH$9),COUNTIF('1.연간시수표'!R72,$BH$7),COUNTIF('1.연간시수표'!R72,$BI$9),COUNTIF('1.연간시수표'!R72,$BI$7),COUNTIF('1.연간시수표'!R72,$BJ$9),COUNTIF('1.연간시수표'!R72,$BJ$7),COUNTIF('1.연간시수표'!R72,$BK$9),COUNTIF('1.연간시수표'!R72,$BK$7),COUNTIF('1.연간시수표'!R72,$BL$9),COUNTIF('1.연간시수표'!R72,$BL$7),COUNTIF('1.연간시수표'!R72,$BM$9),COUNTIF('1.연간시수표'!R72,$BM$7)),$BF$6,IF(OR(COUNTIF('1.연간시수표'!R72,$BO$9),COUNTIF('1.연간시수표'!R72,$BO$7)),$BO$6,IF(OR(COUNTIF('1.연간시수표'!R72,$BP$9),COUNTIF('1.연간시수표'!R72,$BP$7)),$BP$6,IF(OR(COUNTIF('1.연간시수표'!R72,$BQ$9),COUNTIF('1.연간시수표'!R72,$BQ$7)),$BQ$6,IF(OR(COUNTIF('1.연간시수표'!R72,$BR$9),COUNTIF('1.연간시수표'!R72,$BR$7)),$BR$6,"_")))))))))))))))</f>
        <v>실과</v>
      </c>
      <c r="S72" s="148" t="str">
        <f>IF(OR(COUNTIF('1.연간시수표'!S72,$AT$9),COUNTIF('1.연간시수표'!S72,$AT$7)),$AT$6,IF(OR(COUNTIF('1.연간시수표'!S72,$AU$9),COUNTIF('1.연간시수표'!S72,$AU$7)),$AU$6,IF(OR(COUNTIF('1.연간시수표'!S72,$AV$9),COUNTIF('1.연간시수표'!S72,$AV$7)),$AV$6,IF(OR(COUNTIF('1.연간시수표'!S72,$AW$9),COUNTIF('1.연간시수표'!S72,$AW$7)),$AW$6,IF(OR(COUNTIF('1.연간시수표'!S72,$AX$9),COUNTIF('1.연간시수표'!S72,$AX$7)),$AX$6,IF(OR(COUNTIF('1.연간시수표'!S72,$AY$9),COUNTIF('1.연간시수표'!S72,$AY$7)),$AY$6,IF(OR(COUNTIF('1.연간시수표'!S72,$AZ$9),COUNTIF('1.연간시수표'!S72,$AZ$7)),$AZ$6,IF(OR(COUNTIF('1.연간시수표'!S72,$BA$9),COUNTIF('1.연간시수표'!S72,$BA$7)),$BA$6,IF(OR(COUNTIF('1.연간시수표'!S72,$BB$9),COUNTIF('1.연간시수표'!S72,$BB$7)),$BB$6,IF(OR(COUNTIF('1.연간시수표'!S72,$BC$9),COUNTIF('1.연간시수표'!S72,$BC$7)),$BC$6,IF(OR(COUNTIF('1.연간시수표'!S72,$BF$9),COUNTIF('1.연간시수표'!S72,$BF$7),COUNTIF('1.연간시수표'!S72,$BG$9),COUNTIF('1.연간시수표'!S72,$BG$7),COUNTIF('1.연간시수표'!S72,$BH$9),COUNTIF('1.연간시수표'!S72,$BH$7),COUNTIF('1.연간시수표'!S72,$BI$9),COUNTIF('1.연간시수표'!S72,$BI$7),COUNTIF('1.연간시수표'!S72,$BJ$9),COUNTIF('1.연간시수표'!S72,$BJ$7),COUNTIF('1.연간시수표'!S72,$BK$9),COUNTIF('1.연간시수표'!S72,$BK$7),COUNTIF('1.연간시수표'!S72,$BL$9),COUNTIF('1.연간시수표'!S72,$BL$7),COUNTIF('1.연간시수표'!S72,$BM$9),COUNTIF('1.연간시수표'!S72,$BM$7)),$BF$6,IF(OR(COUNTIF('1.연간시수표'!S72,$BO$9),COUNTIF('1.연간시수표'!S72,$BO$7)),$BO$6,IF(OR(COUNTIF('1.연간시수표'!S72,$BP$9),COUNTIF('1.연간시수표'!S72,$BP$7)),$BP$6,IF(OR(COUNTIF('1.연간시수표'!S72,$BQ$9),COUNTIF('1.연간시수표'!S72,$BQ$7)),$BQ$6,IF(OR(COUNTIF('1.연간시수표'!S72,$BR$9),COUNTIF('1.연간시수표'!S72,$BR$7)),$BR$6,"_")))))))))))))))</f>
        <v>_</v>
      </c>
      <c r="T72" s="148" t="str">
        <f>IF(OR(COUNTIF('1.연간시수표'!T72,$AT$9),COUNTIF('1.연간시수표'!T72,$AT$7)),$AT$6,IF(OR(COUNTIF('1.연간시수표'!T72,$AU$9),COUNTIF('1.연간시수표'!T72,$AU$7)),$AU$6,IF(OR(COUNTIF('1.연간시수표'!T72,$AV$9),COUNTIF('1.연간시수표'!T72,$AV$7)),$AV$6,IF(OR(COUNTIF('1.연간시수표'!T72,$AW$9),COUNTIF('1.연간시수표'!T72,$AW$7)),$AW$6,IF(OR(COUNTIF('1.연간시수표'!T72,$AX$9),COUNTIF('1.연간시수표'!T72,$AX$7)),$AX$6,IF(OR(COUNTIF('1.연간시수표'!T72,$AY$9),COUNTIF('1.연간시수표'!T72,$AY$7)),$AY$6,IF(OR(COUNTIF('1.연간시수표'!T72,$AZ$9),COUNTIF('1.연간시수표'!T72,$AZ$7)),$AZ$6,IF(OR(COUNTIF('1.연간시수표'!T72,$BA$9),COUNTIF('1.연간시수표'!T72,$BA$7)),$BA$6,IF(OR(COUNTIF('1.연간시수표'!T72,$BB$9),COUNTIF('1.연간시수표'!T72,$BB$7)),$BB$6,IF(OR(COUNTIF('1.연간시수표'!T72,$BC$9),COUNTIF('1.연간시수표'!T72,$BC$7)),$BC$6,IF(OR(COUNTIF('1.연간시수표'!T72,$BF$9),COUNTIF('1.연간시수표'!T72,$BF$7),COUNTIF('1.연간시수표'!T72,$BG$9),COUNTIF('1.연간시수표'!T72,$BG$7),COUNTIF('1.연간시수표'!T72,$BH$9),COUNTIF('1.연간시수표'!T72,$BH$7),COUNTIF('1.연간시수표'!T72,$BI$9),COUNTIF('1.연간시수표'!T72,$BI$7),COUNTIF('1.연간시수표'!T72,$BJ$9),COUNTIF('1.연간시수표'!T72,$BJ$7),COUNTIF('1.연간시수표'!T72,$BK$9),COUNTIF('1.연간시수표'!T72,$BK$7),COUNTIF('1.연간시수표'!T72,$BL$9),COUNTIF('1.연간시수표'!T72,$BL$7),COUNTIF('1.연간시수표'!T72,$BM$9),COUNTIF('1.연간시수표'!T72,$BM$7)),$BF$6,IF(OR(COUNTIF('1.연간시수표'!T72,$BO$9),COUNTIF('1.연간시수표'!T72,$BO$7)),$BO$6,IF(OR(COUNTIF('1.연간시수표'!T72,$BP$9),COUNTIF('1.연간시수표'!T72,$BP$7)),$BP$6,IF(OR(COUNTIF('1.연간시수표'!T72,$BQ$9),COUNTIF('1.연간시수표'!T72,$BQ$7)),$BQ$6,IF(OR(COUNTIF('1.연간시수표'!T72,$BR$9),COUNTIF('1.연간시수표'!T72,$BR$7)),$BR$6,"_")))))))))))))))</f>
        <v>_</v>
      </c>
      <c r="U72" s="148" t="str">
        <f>IF(OR(COUNTIF('1.연간시수표'!U72,$AT$9),COUNTIF('1.연간시수표'!U72,$AT$7)),$AT$6,IF(OR(COUNTIF('1.연간시수표'!U72,$AU$9),COUNTIF('1.연간시수표'!U72,$AU$7)),$AU$6,IF(OR(COUNTIF('1.연간시수표'!U72,$AV$9),COUNTIF('1.연간시수표'!U72,$AV$7)),$AV$6,IF(OR(COUNTIF('1.연간시수표'!U72,$AW$9),COUNTIF('1.연간시수표'!U72,$AW$7)),$AW$6,IF(OR(COUNTIF('1.연간시수표'!U72,$AX$9),COUNTIF('1.연간시수표'!U72,$AX$7)),$AX$6,IF(OR(COUNTIF('1.연간시수표'!U72,$AY$9),COUNTIF('1.연간시수표'!U72,$AY$7)),$AY$6,IF(OR(COUNTIF('1.연간시수표'!U72,$AZ$9),COUNTIF('1.연간시수표'!U72,$AZ$7)),$AZ$6,IF(OR(COUNTIF('1.연간시수표'!U72,$BA$9),COUNTIF('1.연간시수표'!U72,$BA$7)),$BA$6,IF(OR(COUNTIF('1.연간시수표'!U72,$BB$9),COUNTIF('1.연간시수표'!U72,$BB$7)),$BB$6,IF(OR(COUNTIF('1.연간시수표'!U72,$BC$9),COUNTIF('1.연간시수표'!U72,$BC$7)),$BC$6,IF(OR(COUNTIF('1.연간시수표'!U72,$BF$9),COUNTIF('1.연간시수표'!U72,$BF$7),COUNTIF('1.연간시수표'!U72,$BG$9),COUNTIF('1.연간시수표'!U72,$BG$7),COUNTIF('1.연간시수표'!U72,$BH$9),COUNTIF('1.연간시수표'!U72,$BH$7),COUNTIF('1.연간시수표'!U72,$BI$9),COUNTIF('1.연간시수표'!U72,$BI$7),COUNTIF('1.연간시수표'!U72,$BJ$9),COUNTIF('1.연간시수표'!U72,$BJ$7),COUNTIF('1.연간시수표'!U72,$BK$9),COUNTIF('1.연간시수표'!U72,$BK$7),COUNTIF('1.연간시수표'!U72,$BL$9),COUNTIF('1.연간시수표'!U72,$BL$7),COUNTIF('1.연간시수표'!U72,$BM$9),COUNTIF('1.연간시수표'!U72,$BM$7)),$BF$6,IF(OR(COUNTIF('1.연간시수표'!U72,$BO$9),COUNTIF('1.연간시수표'!U72,$BO$7)),$BO$6,IF(OR(COUNTIF('1.연간시수표'!U72,$BP$9),COUNTIF('1.연간시수표'!U72,$BP$7)),$BP$6,IF(OR(COUNTIF('1.연간시수표'!U72,$BQ$9),COUNTIF('1.연간시수표'!U72,$BQ$7)),$BQ$6,IF(OR(COUNTIF('1.연간시수표'!U72,$BR$9),COUNTIF('1.연간시수표'!U72,$BR$7)),$BR$6,"_")))))))))))))))</f>
        <v>영어</v>
      </c>
      <c r="V72" s="148" t="str">
        <f>IF(OR(COUNTIF('1.연간시수표'!V72,$AT$9),COUNTIF('1.연간시수표'!V72,$AT$7)),$AT$6,IF(OR(COUNTIF('1.연간시수표'!V72,$AU$9),COUNTIF('1.연간시수표'!V72,$AU$7)),$AU$6,IF(OR(COUNTIF('1.연간시수표'!V72,$AV$9),COUNTIF('1.연간시수표'!V72,$AV$7)),$AV$6,IF(OR(COUNTIF('1.연간시수표'!V72,$AW$9),COUNTIF('1.연간시수표'!V72,$AW$7)),$AW$6,IF(OR(COUNTIF('1.연간시수표'!V72,$AX$9),COUNTIF('1.연간시수표'!V72,$AX$7)),$AX$6,IF(OR(COUNTIF('1.연간시수표'!V72,$AY$9),COUNTIF('1.연간시수표'!V72,$AY$7)),$AY$6,IF(OR(COUNTIF('1.연간시수표'!V72,$AZ$9),COUNTIF('1.연간시수표'!V72,$AZ$7)),$AZ$6,IF(OR(COUNTIF('1.연간시수표'!V72,$BA$9),COUNTIF('1.연간시수표'!V72,$BA$7)),$BA$6,IF(OR(COUNTIF('1.연간시수표'!V72,$BB$9),COUNTIF('1.연간시수표'!V72,$BB$7)),$BB$6,IF(OR(COUNTIF('1.연간시수표'!V72,$BC$9),COUNTIF('1.연간시수표'!V72,$BC$7)),$BC$6,IF(OR(COUNTIF('1.연간시수표'!V72,$BF$9),COUNTIF('1.연간시수표'!V72,$BF$7),COUNTIF('1.연간시수표'!V72,$BG$9),COUNTIF('1.연간시수표'!V72,$BG$7),COUNTIF('1.연간시수표'!V72,$BH$9),COUNTIF('1.연간시수표'!V72,$BH$7),COUNTIF('1.연간시수표'!V72,$BI$9),COUNTIF('1.연간시수표'!V72,$BI$7),COUNTIF('1.연간시수표'!V72,$BJ$9),COUNTIF('1.연간시수표'!V72,$BJ$7),COUNTIF('1.연간시수표'!V72,$BK$9),COUNTIF('1.연간시수표'!V72,$BK$7),COUNTIF('1.연간시수표'!V72,$BL$9),COUNTIF('1.연간시수표'!V72,$BL$7),COUNTIF('1.연간시수표'!V72,$BM$9),COUNTIF('1.연간시수표'!V72,$BM$7)),$BF$6,IF(OR(COUNTIF('1.연간시수표'!V72,$BO$9),COUNTIF('1.연간시수표'!V72,$BO$7)),$BO$6,IF(OR(COUNTIF('1.연간시수표'!V72,$BP$9),COUNTIF('1.연간시수표'!V72,$BP$7)),$BP$6,IF(OR(COUNTIF('1.연간시수표'!V72,$BQ$9),COUNTIF('1.연간시수표'!V72,$BQ$7)),$BQ$6,IF(OR(COUNTIF('1.연간시수표'!V72,$BR$9),COUNTIF('1.연간시수표'!V72,$BR$7)),$BR$6,"_")))))))))))))))</f>
        <v>과학</v>
      </c>
      <c r="W72" s="148" t="str">
        <f>IF(OR(COUNTIF('1.연간시수표'!W72,$AT$9),COUNTIF('1.연간시수표'!W72,$AT$7)),$AT$6,IF(OR(COUNTIF('1.연간시수표'!W72,$AU$9),COUNTIF('1.연간시수표'!W72,$AU$7)),$AU$6,IF(OR(COUNTIF('1.연간시수표'!W72,$AV$9),COUNTIF('1.연간시수표'!W72,$AV$7)),$AV$6,IF(OR(COUNTIF('1.연간시수표'!W72,$AW$9),COUNTIF('1.연간시수표'!W72,$AW$7)),$AW$6,IF(OR(COUNTIF('1.연간시수표'!W72,$AX$9),COUNTIF('1.연간시수표'!W72,$AX$7)),$AX$6,IF(OR(COUNTIF('1.연간시수표'!W72,$AY$9),COUNTIF('1.연간시수표'!W72,$AY$7)),$AY$6,IF(OR(COUNTIF('1.연간시수표'!W72,$AZ$9),COUNTIF('1.연간시수표'!W72,$AZ$7)),$AZ$6,IF(OR(COUNTIF('1.연간시수표'!W72,$BA$9),COUNTIF('1.연간시수표'!W72,$BA$7)),$BA$6,IF(OR(COUNTIF('1.연간시수표'!W72,$BB$9),COUNTIF('1.연간시수표'!W72,$BB$7)),$BB$6,IF(OR(COUNTIF('1.연간시수표'!W72,$BC$9),COUNTIF('1.연간시수표'!W72,$BC$7)),$BC$6,IF(OR(COUNTIF('1.연간시수표'!W72,$BF$9),COUNTIF('1.연간시수표'!W72,$BF$7),COUNTIF('1.연간시수표'!W72,$BG$9),COUNTIF('1.연간시수표'!W72,$BG$7),COUNTIF('1.연간시수표'!W72,$BH$9),COUNTIF('1.연간시수표'!W72,$BH$7),COUNTIF('1.연간시수표'!W72,$BI$9),COUNTIF('1.연간시수표'!W72,$BI$7),COUNTIF('1.연간시수표'!W72,$BJ$9),COUNTIF('1.연간시수표'!W72,$BJ$7),COUNTIF('1.연간시수표'!W72,$BK$9),COUNTIF('1.연간시수표'!W72,$BK$7),COUNTIF('1.연간시수표'!W72,$BL$9),COUNTIF('1.연간시수표'!W72,$BL$7),COUNTIF('1.연간시수표'!W72,$BM$9),COUNTIF('1.연간시수표'!W72,$BM$7)),$BF$6,IF(OR(COUNTIF('1.연간시수표'!W72,$BO$9),COUNTIF('1.연간시수표'!W72,$BO$7)),$BO$6,IF(OR(COUNTIF('1.연간시수표'!W72,$BP$9),COUNTIF('1.연간시수표'!W72,$BP$7)),$BP$6,IF(OR(COUNTIF('1.연간시수표'!W72,$BQ$9),COUNTIF('1.연간시수표'!W72,$BQ$7)),$BQ$6,IF(OR(COUNTIF('1.연간시수표'!W72,$BR$9),COUNTIF('1.연간시수표'!W72,$BR$7)),$BR$6,"_")))))))))))))))</f>
        <v>체육</v>
      </c>
      <c r="X72" s="148" t="str">
        <f>IF(OR(COUNTIF('1.연간시수표'!X72,$AT$9),COUNTIF('1.연간시수표'!X72,$AT$7)),$AT$6,IF(OR(COUNTIF('1.연간시수표'!X72,$AU$9),COUNTIF('1.연간시수표'!X72,$AU$7)),$AU$6,IF(OR(COUNTIF('1.연간시수표'!X72,$AV$9),COUNTIF('1.연간시수표'!X72,$AV$7)),$AV$6,IF(OR(COUNTIF('1.연간시수표'!X72,$AW$9),COUNTIF('1.연간시수표'!X72,$AW$7)),$AW$6,IF(OR(COUNTIF('1.연간시수표'!X72,$AX$9),COUNTIF('1.연간시수표'!X72,$AX$7)),$AX$6,IF(OR(COUNTIF('1.연간시수표'!X72,$AY$9),COUNTIF('1.연간시수표'!X72,$AY$7)),$AY$6,IF(OR(COUNTIF('1.연간시수표'!X72,$AZ$9),COUNTIF('1.연간시수표'!X72,$AZ$7)),$AZ$6,IF(OR(COUNTIF('1.연간시수표'!X72,$BA$9),COUNTIF('1.연간시수표'!X72,$BA$7)),$BA$6,IF(OR(COUNTIF('1.연간시수표'!X72,$BB$9),COUNTIF('1.연간시수표'!X72,$BB$7)),$BB$6,IF(OR(COUNTIF('1.연간시수표'!X72,$BC$9),COUNTIF('1.연간시수표'!X72,$BC$7)),$BC$6,IF(OR(COUNTIF('1.연간시수표'!X72,$BF$9),COUNTIF('1.연간시수표'!X72,$BF$7),COUNTIF('1.연간시수표'!X72,$BG$9),COUNTIF('1.연간시수표'!X72,$BG$7),COUNTIF('1.연간시수표'!X72,$BH$9),COUNTIF('1.연간시수표'!X72,$BH$7),COUNTIF('1.연간시수표'!X72,$BI$9),COUNTIF('1.연간시수표'!X72,$BI$7),COUNTIF('1.연간시수표'!X72,$BJ$9),COUNTIF('1.연간시수표'!X72,$BJ$7),COUNTIF('1.연간시수표'!X72,$BK$9),COUNTIF('1.연간시수표'!X72,$BK$7),COUNTIF('1.연간시수표'!X72,$BL$9),COUNTIF('1.연간시수표'!X72,$BL$7),COUNTIF('1.연간시수표'!X72,$BM$9),COUNTIF('1.연간시수표'!X72,$BM$7)),$BF$6,IF(OR(COUNTIF('1.연간시수표'!X72,$BO$9),COUNTIF('1.연간시수표'!X72,$BO$7)),$BO$6,IF(OR(COUNTIF('1.연간시수표'!X72,$BP$9),COUNTIF('1.연간시수표'!X72,$BP$7)),$BP$6,IF(OR(COUNTIF('1.연간시수표'!X72,$BQ$9),COUNTIF('1.연간시수표'!X72,$BQ$7)),$BQ$6,IF(OR(COUNTIF('1.연간시수표'!X72,$BR$9),COUNTIF('1.연간시수표'!X72,$BR$7)),$BR$6,"_")))))))))))))))</f>
        <v>음악</v>
      </c>
      <c r="Y72" s="148" t="str">
        <f>IF(OR(COUNTIF('1.연간시수표'!Y72,$AT$9),COUNTIF('1.연간시수표'!Y72,$AT$7)),$AT$6,IF(OR(COUNTIF('1.연간시수표'!Y72,$AU$9),COUNTIF('1.연간시수표'!Y72,$AU$7)),$AU$6,IF(OR(COUNTIF('1.연간시수표'!Y72,$AV$9),COUNTIF('1.연간시수표'!Y72,$AV$7)),$AV$6,IF(OR(COUNTIF('1.연간시수표'!Y72,$AW$9),COUNTIF('1.연간시수표'!Y72,$AW$7)),$AW$6,IF(OR(COUNTIF('1.연간시수표'!Y72,$AX$9),COUNTIF('1.연간시수표'!Y72,$AX$7)),$AX$6,IF(OR(COUNTIF('1.연간시수표'!Y72,$AY$9),COUNTIF('1.연간시수표'!Y72,$AY$7)),$AY$6,IF(OR(COUNTIF('1.연간시수표'!Y72,$AZ$9),COUNTIF('1.연간시수표'!Y72,$AZ$7)),$AZ$6,IF(OR(COUNTIF('1.연간시수표'!Y72,$BA$9),COUNTIF('1.연간시수표'!Y72,$BA$7)),$BA$6,IF(OR(COUNTIF('1.연간시수표'!Y72,$BB$9),COUNTIF('1.연간시수표'!Y72,$BB$7)),$BB$6,IF(OR(COUNTIF('1.연간시수표'!Y72,$BC$9),COUNTIF('1.연간시수표'!Y72,$BC$7)),$BC$6,IF(OR(COUNTIF('1.연간시수표'!Y72,$BF$9),COUNTIF('1.연간시수표'!Y72,$BF$7),COUNTIF('1.연간시수표'!Y72,$BG$9),COUNTIF('1.연간시수표'!Y72,$BG$7),COUNTIF('1.연간시수표'!Y72,$BH$9),COUNTIF('1.연간시수표'!Y72,$BH$7),COUNTIF('1.연간시수표'!Y72,$BI$9),COUNTIF('1.연간시수표'!Y72,$BI$7),COUNTIF('1.연간시수표'!Y72,$BJ$9),COUNTIF('1.연간시수표'!Y72,$BJ$7),COUNTIF('1.연간시수표'!Y72,$BK$9),COUNTIF('1.연간시수표'!Y72,$BK$7),COUNTIF('1.연간시수표'!Y72,$BL$9),COUNTIF('1.연간시수표'!Y72,$BL$7),COUNTIF('1.연간시수표'!Y72,$BM$9),COUNTIF('1.연간시수표'!Y72,$BM$7)),$BF$6,IF(OR(COUNTIF('1.연간시수표'!Y72,$BO$9),COUNTIF('1.연간시수표'!Y72,$BO$7)),$BO$6,IF(OR(COUNTIF('1.연간시수표'!Y72,$BP$9),COUNTIF('1.연간시수표'!Y72,$BP$7)),$BP$6,IF(OR(COUNTIF('1.연간시수표'!Y72,$BQ$9),COUNTIF('1.연간시수표'!Y72,$BQ$7)),$BQ$6,IF(OR(COUNTIF('1.연간시수표'!Y72,$BR$9),COUNTIF('1.연간시수표'!Y72,$BR$7)),$BR$6,"_")))))))))))))))</f>
        <v>음악</v>
      </c>
      <c r="Z72" s="148" t="str">
        <f>IF(OR(COUNTIF('1.연간시수표'!Z72,$AT$9),COUNTIF('1.연간시수표'!Z72,$AT$7)),$AT$6,IF(OR(COUNTIF('1.연간시수표'!Z72,$AU$9),COUNTIF('1.연간시수표'!Z72,$AU$7)),$AU$6,IF(OR(COUNTIF('1.연간시수표'!Z72,$AV$9),COUNTIF('1.연간시수표'!Z72,$AV$7)),$AV$6,IF(OR(COUNTIF('1.연간시수표'!Z72,$AW$9),COUNTIF('1.연간시수표'!Z72,$AW$7)),$AW$6,IF(OR(COUNTIF('1.연간시수표'!Z72,$AX$9),COUNTIF('1.연간시수표'!Z72,$AX$7)),$AX$6,IF(OR(COUNTIF('1.연간시수표'!Z72,$AY$9),COUNTIF('1.연간시수표'!Z72,$AY$7)),$AY$6,IF(OR(COUNTIF('1.연간시수표'!Z72,$AZ$9),COUNTIF('1.연간시수표'!Z72,$AZ$7)),$AZ$6,IF(OR(COUNTIF('1.연간시수표'!Z72,$BA$9),COUNTIF('1.연간시수표'!Z72,$BA$7)),$BA$6,IF(OR(COUNTIF('1.연간시수표'!Z72,$BB$9),COUNTIF('1.연간시수표'!Z72,$BB$7)),$BB$6,IF(OR(COUNTIF('1.연간시수표'!Z72,$BC$9),COUNTIF('1.연간시수표'!Z72,$BC$7)),$BC$6,IF(OR(COUNTIF('1.연간시수표'!Z72,$BF$9),COUNTIF('1.연간시수표'!Z72,$BF$7),COUNTIF('1.연간시수표'!Z72,$BG$9),COUNTIF('1.연간시수표'!Z72,$BG$7),COUNTIF('1.연간시수표'!Z72,$BH$9),COUNTIF('1.연간시수표'!Z72,$BH$7),COUNTIF('1.연간시수표'!Z72,$BI$9),COUNTIF('1.연간시수표'!Z72,$BI$7),COUNTIF('1.연간시수표'!Z72,$BJ$9),COUNTIF('1.연간시수표'!Z72,$BJ$7),COUNTIF('1.연간시수표'!Z72,$BK$9),COUNTIF('1.연간시수표'!Z72,$BK$7),COUNTIF('1.연간시수표'!Z72,$BL$9),COUNTIF('1.연간시수표'!Z72,$BL$7),COUNTIF('1.연간시수표'!Z72,$BM$9),COUNTIF('1.연간시수표'!Z72,$BM$7)),$BF$6,IF(OR(COUNTIF('1.연간시수표'!Z72,$BO$9),COUNTIF('1.연간시수표'!Z72,$BO$7)),$BO$6,IF(OR(COUNTIF('1.연간시수표'!Z72,$BP$9),COUNTIF('1.연간시수표'!Z72,$BP$7)),$BP$6,IF(OR(COUNTIF('1.연간시수표'!Z72,$BQ$9),COUNTIF('1.연간시수표'!Z72,$BQ$7)),$BQ$6,IF(OR(COUNTIF('1.연간시수표'!Z72,$BR$9),COUNTIF('1.연간시수표'!Z72,$BR$7)),$BR$6,"_")))))))))))))))</f>
        <v>_</v>
      </c>
      <c r="AA72" s="148" t="str">
        <f>IF(OR(COUNTIF('1.연간시수표'!AA72,$AT$9),COUNTIF('1.연간시수표'!AA72,$AT$7)),$AT$6,IF(OR(COUNTIF('1.연간시수표'!AA72,$AU$9),COUNTIF('1.연간시수표'!AA72,$AU$7)),$AU$6,IF(OR(COUNTIF('1.연간시수표'!AA72,$AV$9),COUNTIF('1.연간시수표'!AA72,$AV$7)),$AV$6,IF(OR(COUNTIF('1.연간시수표'!AA72,$AW$9),COUNTIF('1.연간시수표'!AA72,$AW$7)),$AW$6,IF(OR(COUNTIF('1.연간시수표'!AA72,$AX$9),COUNTIF('1.연간시수표'!AA72,$AX$7)),$AX$6,IF(OR(COUNTIF('1.연간시수표'!AA72,$AY$9),COUNTIF('1.연간시수표'!AA72,$AY$7)),$AY$6,IF(OR(COUNTIF('1.연간시수표'!AA72,$AZ$9),COUNTIF('1.연간시수표'!AA72,$AZ$7)),$AZ$6,IF(OR(COUNTIF('1.연간시수표'!AA72,$BA$9),COUNTIF('1.연간시수표'!AA72,$BA$7)),$BA$6,IF(OR(COUNTIF('1.연간시수표'!AA72,$BB$9),COUNTIF('1.연간시수표'!AA72,$BB$7)),$BB$6,IF(OR(COUNTIF('1.연간시수표'!AA72,$BC$9),COUNTIF('1.연간시수표'!AA72,$BC$7)),$BC$6,IF(OR(COUNTIF('1.연간시수표'!AA72,$BF$9),COUNTIF('1.연간시수표'!AA72,$BF$7),COUNTIF('1.연간시수표'!AA72,$BG$9),COUNTIF('1.연간시수표'!AA72,$BG$7),COUNTIF('1.연간시수표'!AA72,$BH$9),COUNTIF('1.연간시수표'!AA72,$BH$7),COUNTIF('1.연간시수표'!AA72,$BI$9),COUNTIF('1.연간시수표'!AA72,$BI$7),COUNTIF('1.연간시수표'!AA72,$BJ$9),COUNTIF('1.연간시수표'!AA72,$BJ$7),COUNTIF('1.연간시수표'!AA72,$BK$9),COUNTIF('1.연간시수표'!AA72,$BK$7),COUNTIF('1.연간시수표'!AA72,$BL$9),COUNTIF('1.연간시수표'!AA72,$BL$7),COUNTIF('1.연간시수표'!AA72,$BM$9),COUNTIF('1.연간시수표'!AA72,$BM$7)),$BF$6,IF(OR(COUNTIF('1.연간시수표'!AA72,$BO$9),COUNTIF('1.연간시수표'!AA72,$BO$7)),$BO$6,IF(OR(COUNTIF('1.연간시수표'!AA72,$BP$9),COUNTIF('1.연간시수표'!AA72,$BP$7)),$BP$6,IF(OR(COUNTIF('1.연간시수표'!AA72,$BQ$9),COUNTIF('1.연간시수표'!AA72,$BQ$7)),$BQ$6,IF(OR(COUNTIF('1.연간시수표'!AA72,$BR$9),COUNTIF('1.연간시수표'!AA72,$BR$7)),$BR$6,"_")))))))))))))))</f>
        <v>_</v>
      </c>
      <c r="AB72" s="148" t="str">
        <f>IF(OR(COUNTIF('1.연간시수표'!AB72,$AT$9),COUNTIF('1.연간시수표'!AB72,$AT$7)),$AT$6,IF(OR(COUNTIF('1.연간시수표'!AB72,$AU$9),COUNTIF('1.연간시수표'!AB72,$AU$7)),$AU$6,IF(OR(COUNTIF('1.연간시수표'!AB72,$AV$9),COUNTIF('1.연간시수표'!AB72,$AV$7)),$AV$6,IF(OR(COUNTIF('1.연간시수표'!AB72,$AW$9),COUNTIF('1.연간시수표'!AB72,$AW$7)),$AW$6,IF(OR(COUNTIF('1.연간시수표'!AB72,$AX$9),COUNTIF('1.연간시수표'!AB72,$AX$7)),$AX$6,IF(OR(COUNTIF('1.연간시수표'!AB72,$AY$9),COUNTIF('1.연간시수표'!AB72,$AY$7)),$AY$6,IF(OR(COUNTIF('1.연간시수표'!AB72,$AZ$9),COUNTIF('1.연간시수표'!AB72,$AZ$7)),$AZ$6,IF(OR(COUNTIF('1.연간시수표'!AB72,$BA$9),COUNTIF('1.연간시수표'!AB72,$BA$7)),$BA$6,IF(OR(COUNTIF('1.연간시수표'!AB72,$BB$9),COUNTIF('1.연간시수표'!AB72,$BB$7)),$BB$6,IF(OR(COUNTIF('1.연간시수표'!AB72,$BC$9),COUNTIF('1.연간시수표'!AB72,$BC$7)),$BC$6,IF(OR(COUNTIF('1.연간시수표'!AB72,$BF$9),COUNTIF('1.연간시수표'!AB72,$BF$7),COUNTIF('1.연간시수표'!AB72,$BG$9),COUNTIF('1.연간시수표'!AB72,$BG$7),COUNTIF('1.연간시수표'!AB72,$BH$9),COUNTIF('1.연간시수표'!AB72,$BH$7),COUNTIF('1.연간시수표'!AB72,$BI$9),COUNTIF('1.연간시수표'!AB72,$BI$7),COUNTIF('1.연간시수표'!AB72,$BJ$9),COUNTIF('1.연간시수표'!AB72,$BJ$7),COUNTIF('1.연간시수표'!AB72,$BK$9),COUNTIF('1.연간시수표'!AB72,$BK$7),COUNTIF('1.연간시수표'!AB72,$BL$9),COUNTIF('1.연간시수표'!AB72,$BL$7),COUNTIF('1.연간시수표'!AB72,$BM$9),COUNTIF('1.연간시수표'!AB72,$BM$7)),$BF$6,IF(OR(COUNTIF('1.연간시수표'!AB72,$BO$9),COUNTIF('1.연간시수표'!AB72,$BO$7)),$BO$6,IF(OR(COUNTIF('1.연간시수표'!AB72,$BP$9),COUNTIF('1.연간시수표'!AB72,$BP$7)),$BP$6,IF(OR(COUNTIF('1.연간시수표'!AB72,$BQ$9),COUNTIF('1.연간시수표'!AB72,$BQ$7)),$BQ$6,IF(OR(COUNTIF('1.연간시수표'!AB72,$BR$9),COUNTIF('1.연간시수표'!AB72,$BR$7)),$BR$6,"_")))))))))))))))</f>
        <v>_</v>
      </c>
      <c r="AC72" s="148" t="str">
        <f>IF(OR(COUNTIF('1.연간시수표'!AC72,$AT$9),COUNTIF('1.연간시수표'!AC72,$AT$7)),$AT$6,IF(OR(COUNTIF('1.연간시수표'!AC72,$AU$9),COUNTIF('1.연간시수표'!AC72,$AU$7)),$AU$6,IF(OR(COUNTIF('1.연간시수표'!AC72,$AV$9),COUNTIF('1.연간시수표'!AC72,$AV$7)),$AV$6,IF(OR(COUNTIF('1.연간시수표'!AC72,$AW$9),COUNTIF('1.연간시수표'!AC72,$AW$7)),$AW$6,IF(OR(COUNTIF('1.연간시수표'!AC72,$AX$9),COUNTIF('1.연간시수표'!AC72,$AX$7)),$AX$6,IF(OR(COUNTIF('1.연간시수표'!AC72,$AY$9),COUNTIF('1.연간시수표'!AC72,$AY$7)),$AY$6,IF(OR(COUNTIF('1.연간시수표'!AC72,$AZ$9),COUNTIF('1.연간시수표'!AC72,$AZ$7)),$AZ$6,IF(OR(COUNTIF('1.연간시수표'!AC72,$BA$9),COUNTIF('1.연간시수표'!AC72,$BA$7)),$BA$6,IF(OR(COUNTIF('1.연간시수표'!AC72,$BB$9),COUNTIF('1.연간시수표'!AC72,$BB$7)),$BB$6,IF(OR(COUNTIF('1.연간시수표'!AC72,$BC$9),COUNTIF('1.연간시수표'!AC72,$BC$7)),$BC$6,IF(OR(COUNTIF('1.연간시수표'!AC72,$BF$9),COUNTIF('1.연간시수표'!AC72,$BF$7),COUNTIF('1.연간시수표'!AC72,$BG$9),COUNTIF('1.연간시수표'!AC72,$BG$7),COUNTIF('1.연간시수표'!AC72,$BH$9),COUNTIF('1.연간시수표'!AC72,$BH$7),COUNTIF('1.연간시수표'!AC72,$BI$9),COUNTIF('1.연간시수표'!AC72,$BI$7),COUNTIF('1.연간시수표'!AC72,$BJ$9),COUNTIF('1.연간시수표'!AC72,$BJ$7),COUNTIF('1.연간시수표'!AC72,$BK$9),COUNTIF('1.연간시수표'!AC72,$BK$7),COUNTIF('1.연간시수표'!AC72,$BL$9),COUNTIF('1.연간시수표'!AC72,$BL$7),COUNTIF('1.연간시수표'!AC72,$BM$9),COUNTIF('1.연간시수표'!AC72,$BM$7)),$BF$6,IF(OR(COUNTIF('1.연간시수표'!AC72,$BO$9),COUNTIF('1.연간시수표'!AC72,$BO$7)),$BO$6,IF(OR(COUNTIF('1.연간시수표'!AC72,$BP$9),COUNTIF('1.연간시수표'!AC72,$BP$7)),$BP$6,IF(OR(COUNTIF('1.연간시수표'!AC72,$BQ$9),COUNTIF('1.연간시수표'!AC72,$BQ$7)),$BQ$6,IF(OR(COUNTIF('1.연간시수표'!AC72,$BR$9),COUNTIF('1.연간시수표'!AC72,$BR$7)),$BR$6,"_")))))))))))))))</f>
        <v>체육</v>
      </c>
      <c r="AD72" s="148" t="str">
        <f>IF(OR(COUNTIF('1.연간시수표'!AD72,$AT$9),COUNTIF('1.연간시수표'!AD72,$AT$7)),$AT$6,IF(OR(COUNTIF('1.연간시수표'!AD72,$AU$9),COUNTIF('1.연간시수표'!AD72,$AU$7)),$AU$6,IF(OR(COUNTIF('1.연간시수표'!AD72,$AV$9),COUNTIF('1.연간시수표'!AD72,$AV$7)),$AV$6,IF(OR(COUNTIF('1.연간시수표'!AD72,$AW$9),COUNTIF('1.연간시수표'!AD72,$AW$7)),$AW$6,IF(OR(COUNTIF('1.연간시수표'!AD72,$AX$9),COUNTIF('1.연간시수표'!AD72,$AX$7)),$AX$6,IF(OR(COUNTIF('1.연간시수표'!AD72,$AY$9),COUNTIF('1.연간시수표'!AD72,$AY$7)),$AY$6,IF(OR(COUNTIF('1.연간시수표'!AD72,$AZ$9),COUNTIF('1.연간시수표'!AD72,$AZ$7)),$AZ$6,IF(OR(COUNTIF('1.연간시수표'!AD72,$BA$9),COUNTIF('1.연간시수표'!AD72,$BA$7)),$BA$6,IF(OR(COUNTIF('1.연간시수표'!AD72,$BB$9),COUNTIF('1.연간시수표'!AD72,$BB$7)),$BB$6,IF(OR(COUNTIF('1.연간시수표'!AD72,$BC$9),COUNTIF('1.연간시수표'!AD72,$BC$7)),$BC$6,IF(OR(COUNTIF('1.연간시수표'!AD72,$BF$9),COUNTIF('1.연간시수표'!AD72,$BF$7),COUNTIF('1.연간시수표'!AD72,$BG$9),COUNTIF('1.연간시수표'!AD72,$BG$7),COUNTIF('1.연간시수표'!AD72,$BH$9),COUNTIF('1.연간시수표'!AD72,$BH$7),COUNTIF('1.연간시수표'!AD72,$BI$9),COUNTIF('1.연간시수표'!AD72,$BI$7),COUNTIF('1.연간시수표'!AD72,$BJ$9),COUNTIF('1.연간시수표'!AD72,$BJ$7),COUNTIF('1.연간시수표'!AD72,$BK$9),COUNTIF('1.연간시수표'!AD72,$BK$7),COUNTIF('1.연간시수표'!AD72,$BL$9),COUNTIF('1.연간시수표'!AD72,$BL$7),COUNTIF('1.연간시수표'!AD72,$BM$9),COUNTIF('1.연간시수표'!AD72,$BM$7)),$BF$6,IF(OR(COUNTIF('1.연간시수표'!AD72,$BO$9),COUNTIF('1.연간시수표'!AD72,$BO$7)),$BO$6,IF(OR(COUNTIF('1.연간시수표'!AD72,$BP$9),COUNTIF('1.연간시수표'!AD72,$BP$7)),$BP$6,IF(OR(COUNTIF('1.연간시수표'!AD72,$BQ$9),COUNTIF('1.연간시수표'!AD72,$BQ$7)),$BQ$6,IF(OR(COUNTIF('1.연간시수표'!AD72,$BR$9),COUNTIF('1.연간시수표'!AD72,$BR$7)),$BR$6,"_")))))))))))))))</f>
        <v>수학</v>
      </c>
      <c r="AE72" s="148" t="str">
        <f>IF(OR(COUNTIF('1.연간시수표'!AE72,$AT$9),COUNTIF('1.연간시수표'!AE72,$AT$7)),$AT$6,IF(OR(COUNTIF('1.연간시수표'!AE72,$AU$9),COUNTIF('1.연간시수표'!AE72,$AU$7)),$AU$6,IF(OR(COUNTIF('1.연간시수표'!AE72,$AV$9),COUNTIF('1.연간시수표'!AE72,$AV$7)),$AV$6,IF(OR(COUNTIF('1.연간시수표'!AE72,$AW$9),COUNTIF('1.연간시수표'!AE72,$AW$7)),$AW$6,IF(OR(COUNTIF('1.연간시수표'!AE72,$AX$9),COUNTIF('1.연간시수표'!AE72,$AX$7)),$AX$6,IF(OR(COUNTIF('1.연간시수표'!AE72,$AY$9),COUNTIF('1.연간시수표'!AE72,$AY$7)),$AY$6,IF(OR(COUNTIF('1.연간시수표'!AE72,$AZ$9),COUNTIF('1.연간시수표'!AE72,$AZ$7)),$AZ$6,IF(OR(COUNTIF('1.연간시수표'!AE72,$BA$9),COUNTIF('1.연간시수표'!AE72,$BA$7)),$BA$6,IF(OR(COUNTIF('1.연간시수표'!AE72,$BB$9),COUNTIF('1.연간시수표'!AE72,$BB$7)),$BB$6,IF(OR(COUNTIF('1.연간시수표'!AE72,$BC$9),COUNTIF('1.연간시수표'!AE72,$BC$7)),$BC$6,IF(OR(COUNTIF('1.연간시수표'!AE72,$BF$9),COUNTIF('1.연간시수표'!AE72,$BF$7),COUNTIF('1.연간시수표'!AE72,$BG$9),COUNTIF('1.연간시수표'!AE72,$BG$7),COUNTIF('1.연간시수표'!AE72,$BH$9),COUNTIF('1.연간시수표'!AE72,$BH$7),COUNTIF('1.연간시수표'!AE72,$BI$9),COUNTIF('1.연간시수표'!AE72,$BI$7),COUNTIF('1.연간시수표'!AE72,$BJ$9),COUNTIF('1.연간시수표'!AE72,$BJ$7),COUNTIF('1.연간시수표'!AE72,$BK$9),COUNTIF('1.연간시수표'!AE72,$BK$7),COUNTIF('1.연간시수표'!AE72,$BL$9),COUNTIF('1.연간시수표'!AE72,$BL$7),COUNTIF('1.연간시수표'!AE72,$BM$9),COUNTIF('1.연간시수표'!AE72,$BM$7)),$BF$6,IF(OR(COUNTIF('1.연간시수표'!AE72,$BO$9),COUNTIF('1.연간시수표'!AE72,$BO$7)),$BO$6,IF(OR(COUNTIF('1.연간시수표'!AE72,$BP$9),COUNTIF('1.연간시수표'!AE72,$BP$7)),$BP$6,IF(OR(COUNTIF('1.연간시수표'!AE72,$BQ$9),COUNTIF('1.연간시수표'!AE72,$BQ$7)),$BQ$6,IF(OR(COUNTIF('1.연간시수표'!AE72,$BR$9),COUNTIF('1.연간시수표'!AE72,$BR$7)),$BR$6,"_")))))))))))))))</f>
        <v>체육</v>
      </c>
      <c r="AF72" s="148" t="str">
        <f>IF(OR(COUNTIF('1.연간시수표'!AF72,$AT$9),COUNTIF('1.연간시수표'!AF72,$AT$7)),$AT$6,IF(OR(COUNTIF('1.연간시수표'!AF72,$AU$9),COUNTIF('1.연간시수표'!AF72,$AU$7)),$AU$6,IF(OR(COUNTIF('1.연간시수표'!AF72,$AV$9),COUNTIF('1.연간시수표'!AF72,$AV$7)),$AV$6,IF(OR(COUNTIF('1.연간시수표'!AF72,$AW$9),COUNTIF('1.연간시수표'!AF72,$AW$7)),$AW$6,IF(OR(COUNTIF('1.연간시수표'!AF72,$AX$9),COUNTIF('1.연간시수표'!AF72,$AX$7)),$AX$6,IF(OR(COUNTIF('1.연간시수표'!AF72,$AY$9),COUNTIF('1.연간시수표'!AF72,$AY$7)),$AY$6,IF(OR(COUNTIF('1.연간시수표'!AF72,$AZ$9),COUNTIF('1.연간시수표'!AF72,$AZ$7)),$AZ$6,IF(OR(COUNTIF('1.연간시수표'!AF72,$BA$9),COUNTIF('1.연간시수표'!AF72,$BA$7)),$BA$6,IF(OR(COUNTIF('1.연간시수표'!AF72,$BB$9),COUNTIF('1.연간시수표'!AF72,$BB$7)),$BB$6,IF(OR(COUNTIF('1.연간시수표'!AF72,$BC$9),COUNTIF('1.연간시수표'!AF72,$BC$7)),$BC$6,IF(OR(COUNTIF('1.연간시수표'!AF72,$BF$9),COUNTIF('1.연간시수표'!AF72,$BF$7),COUNTIF('1.연간시수표'!AF72,$BG$9),COUNTIF('1.연간시수표'!AF72,$BG$7),COUNTIF('1.연간시수표'!AF72,$BH$9),COUNTIF('1.연간시수표'!AF72,$BH$7),COUNTIF('1.연간시수표'!AF72,$BI$9),COUNTIF('1.연간시수표'!AF72,$BI$7),COUNTIF('1.연간시수표'!AF72,$BJ$9),COUNTIF('1.연간시수표'!AF72,$BJ$7),COUNTIF('1.연간시수표'!AF72,$BK$9),COUNTIF('1.연간시수표'!AF72,$BK$7),COUNTIF('1.연간시수표'!AF72,$BL$9),COUNTIF('1.연간시수표'!AF72,$BL$7),COUNTIF('1.연간시수표'!AF72,$BM$9),COUNTIF('1.연간시수표'!AF72,$BM$7)),$BF$6,IF(OR(COUNTIF('1.연간시수표'!AF72,$BO$9),COUNTIF('1.연간시수표'!AF72,$BO$7)),$BO$6,IF(OR(COUNTIF('1.연간시수표'!AF72,$BP$9),COUNTIF('1.연간시수표'!AF72,$BP$7)),$BP$6,IF(OR(COUNTIF('1.연간시수표'!AF72,$BQ$9),COUNTIF('1.연간시수표'!AF72,$BQ$7)),$BQ$6,IF(OR(COUNTIF('1.연간시수표'!AF72,$BR$9),COUNTIF('1.연간시수표'!AF72,$BR$7)),$BR$6,"_")))))))))))))))</f>
        <v>자율활동</v>
      </c>
      <c r="AG72" s="148" t="str">
        <f>IF(OR(COUNTIF('1.연간시수표'!AG72,$AT$9),COUNTIF('1.연간시수표'!AG72,$AT$7)),$AT$6,IF(OR(COUNTIF('1.연간시수표'!AG72,$AU$9),COUNTIF('1.연간시수표'!AG72,$AU$7)),$AU$6,IF(OR(COUNTIF('1.연간시수표'!AG72,$AV$9),COUNTIF('1.연간시수표'!AG72,$AV$7)),$AV$6,IF(OR(COUNTIF('1.연간시수표'!AG72,$AW$9),COUNTIF('1.연간시수표'!AG72,$AW$7)),$AW$6,IF(OR(COUNTIF('1.연간시수표'!AG72,$AX$9),COUNTIF('1.연간시수표'!AG72,$AX$7)),$AX$6,IF(OR(COUNTIF('1.연간시수표'!AG72,$AY$9),COUNTIF('1.연간시수표'!AG72,$AY$7)),$AY$6,IF(OR(COUNTIF('1.연간시수표'!AG72,$AZ$9),COUNTIF('1.연간시수표'!AG72,$AZ$7)),$AZ$6,IF(OR(COUNTIF('1.연간시수표'!AG72,$BA$9),COUNTIF('1.연간시수표'!AG72,$BA$7)),$BA$6,IF(OR(COUNTIF('1.연간시수표'!AG72,$BB$9),COUNTIF('1.연간시수표'!AG72,$BB$7)),$BB$6,IF(OR(COUNTIF('1.연간시수표'!AG72,$BC$9),COUNTIF('1.연간시수표'!AG72,$BC$7)),$BC$6,IF(OR(COUNTIF('1.연간시수표'!AG72,$BF$9),COUNTIF('1.연간시수표'!AG72,$BF$7),COUNTIF('1.연간시수표'!AG72,$BG$9),COUNTIF('1.연간시수표'!AG72,$BG$7),COUNTIF('1.연간시수표'!AG72,$BH$9),COUNTIF('1.연간시수표'!AG72,$BH$7),COUNTIF('1.연간시수표'!AG72,$BI$9),COUNTIF('1.연간시수표'!AG72,$BI$7),COUNTIF('1.연간시수표'!AG72,$BJ$9),COUNTIF('1.연간시수표'!AG72,$BJ$7),COUNTIF('1.연간시수표'!AG72,$BK$9),COUNTIF('1.연간시수표'!AG72,$BK$7),COUNTIF('1.연간시수표'!AG72,$BL$9),COUNTIF('1.연간시수표'!AG72,$BL$7),COUNTIF('1.연간시수표'!AG72,$BM$9),COUNTIF('1.연간시수표'!AG72,$BM$7)),$BF$6,IF(OR(COUNTIF('1.연간시수표'!AG72,$BO$9),COUNTIF('1.연간시수표'!AG72,$BO$7)),$BO$6,IF(OR(COUNTIF('1.연간시수표'!AG72,$BP$9),COUNTIF('1.연간시수표'!AG72,$BP$7)),$BP$6,IF(OR(COUNTIF('1.연간시수표'!AG72,$BQ$9),COUNTIF('1.연간시수표'!AG72,$BQ$7)),$BQ$6,IF(OR(COUNTIF('1.연간시수표'!AG72,$BR$9),COUNTIF('1.연간시수표'!AG72,$BR$7)),$BR$6,"_")))))))))))))))</f>
        <v>과학</v>
      </c>
      <c r="AH72" s="148" t="str">
        <f>IF(OR(COUNTIF('1.연간시수표'!AH72,$AT$9),COUNTIF('1.연간시수표'!AH72,$AT$7)),$AT$6,IF(OR(COUNTIF('1.연간시수표'!AH72,$AU$9),COUNTIF('1.연간시수표'!AH72,$AU$7)),$AU$6,IF(OR(COUNTIF('1.연간시수표'!AH72,$AV$9),COUNTIF('1.연간시수표'!AH72,$AV$7)),$AV$6,IF(OR(COUNTIF('1.연간시수표'!AH72,$AW$9),COUNTIF('1.연간시수표'!AH72,$AW$7)),$AW$6,IF(OR(COUNTIF('1.연간시수표'!AH72,$AX$9),COUNTIF('1.연간시수표'!AH72,$AX$7)),$AX$6,IF(OR(COUNTIF('1.연간시수표'!AH72,$AY$9),COUNTIF('1.연간시수표'!AH72,$AY$7)),$AY$6,IF(OR(COUNTIF('1.연간시수표'!AH72,$AZ$9),COUNTIF('1.연간시수표'!AH72,$AZ$7)),$AZ$6,IF(OR(COUNTIF('1.연간시수표'!AH72,$BA$9),COUNTIF('1.연간시수표'!AH72,$BA$7)),$BA$6,IF(OR(COUNTIF('1.연간시수표'!AH72,$BB$9),COUNTIF('1.연간시수표'!AH72,$BB$7)),$BB$6,IF(OR(COUNTIF('1.연간시수표'!AH72,$BC$9),COUNTIF('1.연간시수표'!AH72,$BC$7)),$BC$6,IF(OR(COUNTIF('1.연간시수표'!AH72,$BF$9),COUNTIF('1.연간시수표'!AH72,$BF$7),COUNTIF('1.연간시수표'!AH72,$BG$9),COUNTIF('1.연간시수표'!AH72,$BG$7),COUNTIF('1.연간시수표'!AH72,$BH$9),COUNTIF('1.연간시수표'!AH72,$BH$7),COUNTIF('1.연간시수표'!AH72,$BI$9),COUNTIF('1.연간시수표'!AH72,$BI$7),COUNTIF('1.연간시수표'!AH72,$BJ$9),COUNTIF('1.연간시수표'!AH72,$BJ$7),COUNTIF('1.연간시수표'!AH72,$BK$9),COUNTIF('1.연간시수표'!AH72,$BK$7),COUNTIF('1.연간시수표'!AH72,$BL$9),COUNTIF('1.연간시수표'!AH72,$BL$7),COUNTIF('1.연간시수표'!AH72,$BM$9),COUNTIF('1.연간시수표'!AH72,$BM$7)),$BF$6,IF(OR(COUNTIF('1.연간시수표'!AH72,$BO$9),COUNTIF('1.연간시수표'!AH72,$BO$7)),$BO$6,IF(OR(COUNTIF('1.연간시수표'!AH72,$BP$9),COUNTIF('1.연간시수표'!AH72,$BP$7)),$BP$6,IF(OR(COUNTIF('1.연간시수표'!AH72,$BQ$9),COUNTIF('1.연간시수표'!AH72,$BQ$7)),$BQ$6,IF(OR(COUNTIF('1.연간시수표'!AH72,$BR$9),COUNTIF('1.연간시수표'!AH72,$BR$7)),$BR$6,"_")))))))))))))))</f>
        <v>_</v>
      </c>
      <c r="AI72" s="148" t="str">
        <f>IF(OR(COUNTIF('1.연간시수표'!AI72,$AT$9),COUNTIF('1.연간시수표'!AI72,$AT$7)),$AT$6,IF(OR(COUNTIF('1.연간시수표'!AI72,$AU$9),COUNTIF('1.연간시수표'!AI72,$AU$7)),$AU$6,IF(OR(COUNTIF('1.연간시수표'!AI72,$AV$9),COUNTIF('1.연간시수표'!AI72,$AV$7)),$AV$6,IF(OR(COUNTIF('1.연간시수표'!AI72,$AW$9),COUNTIF('1.연간시수표'!AI72,$AW$7)),$AW$6,IF(OR(COUNTIF('1.연간시수표'!AI72,$AX$9),COUNTIF('1.연간시수표'!AI72,$AX$7)),$AX$6,IF(OR(COUNTIF('1.연간시수표'!AI72,$AY$9),COUNTIF('1.연간시수표'!AI72,$AY$7)),$AY$6,IF(OR(COUNTIF('1.연간시수표'!AI72,$AZ$9),COUNTIF('1.연간시수표'!AI72,$AZ$7)),$AZ$6,IF(OR(COUNTIF('1.연간시수표'!AI72,$BA$9),COUNTIF('1.연간시수표'!AI72,$BA$7)),$BA$6,IF(OR(COUNTIF('1.연간시수표'!AI72,$BB$9),COUNTIF('1.연간시수표'!AI72,$BB$7)),$BB$6,IF(OR(COUNTIF('1.연간시수표'!AI72,$BC$9),COUNTIF('1.연간시수표'!AI72,$BC$7)),$BC$6,IF(OR(COUNTIF('1.연간시수표'!AI72,$BF$9),COUNTIF('1.연간시수표'!AI72,$BF$7),COUNTIF('1.연간시수표'!AI72,$BG$9),COUNTIF('1.연간시수표'!AI72,$BG$7),COUNTIF('1.연간시수표'!AI72,$BH$9),COUNTIF('1.연간시수표'!AI72,$BH$7),COUNTIF('1.연간시수표'!AI72,$BI$9),COUNTIF('1.연간시수표'!AI72,$BI$7),COUNTIF('1.연간시수표'!AI72,$BJ$9),COUNTIF('1.연간시수표'!AI72,$BJ$7),COUNTIF('1.연간시수표'!AI72,$BK$9),COUNTIF('1.연간시수표'!AI72,$BK$7),COUNTIF('1.연간시수표'!AI72,$BL$9),COUNTIF('1.연간시수표'!AI72,$BL$7),COUNTIF('1.연간시수표'!AI72,$BM$9),COUNTIF('1.연간시수표'!AI72,$BM$7)),$BF$6,IF(OR(COUNTIF('1.연간시수표'!AI72,$BO$9),COUNTIF('1.연간시수표'!AI72,$BO$7)),$BO$6,IF(OR(COUNTIF('1.연간시수표'!AI72,$BP$9),COUNTIF('1.연간시수표'!AI72,$BP$7)),$BP$6,IF(OR(COUNTIF('1.연간시수표'!AI72,$BQ$9),COUNTIF('1.연간시수표'!AI72,$BQ$7)),$BQ$6,IF(OR(COUNTIF('1.연간시수표'!AI72,$BR$9),COUNTIF('1.연간시수표'!AI72,$BR$7)),$BR$6,"_")))))))))))))))</f>
        <v>_</v>
      </c>
      <c r="AJ72" s="148" t="str">
        <f>IF(OR(COUNTIF('1.연간시수표'!AJ72,$AT$9),COUNTIF('1.연간시수표'!AJ72,$AT$7)),$AT$6,IF(OR(COUNTIF('1.연간시수표'!AJ72,$AU$9),COUNTIF('1.연간시수표'!AJ72,$AU$7)),$AU$6,IF(OR(COUNTIF('1.연간시수표'!AJ72,$AV$9),COUNTIF('1.연간시수표'!AJ72,$AV$7)),$AV$6,IF(OR(COUNTIF('1.연간시수표'!AJ72,$AW$9),COUNTIF('1.연간시수표'!AJ72,$AW$7)),$AW$6,IF(OR(COUNTIF('1.연간시수표'!AJ72,$AX$9),COUNTIF('1.연간시수표'!AJ72,$AX$7)),$AX$6,IF(OR(COUNTIF('1.연간시수표'!AJ72,$AY$9),COUNTIF('1.연간시수표'!AJ72,$AY$7)),$AY$6,IF(OR(COUNTIF('1.연간시수표'!AJ72,$AZ$9),COUNTIF('1.연간시수표'!AJ72,$AZ$7)),$AZ$6,IF(OR(COUNTIF('1.연간시수표'!AJ72,$BA$9),COUNTIF('1.연간시수표'!AJ72,$BA$7)),$BA$6,IF(OR(COUNTIF('1.연간시수표'!AJ72,$BB$9),COUNTIF('1.연간시수표'!AJ72,$BB$7)),$BB$6,IF(OR(COUNTIF('1.연간시수표'!AJ72,$BC$9),COUNTIF('1.연간시수표'!AJ72,$BC$7)),$BC$6,IF(OR(COUNTIF('1.연간시수표'!AJ72,$BF$9),COUNTIF('1.연간시수표'!AJ72,$BF$7),COUNTIF('1.연간시수표'!AJ72,$BG$9),COUNTIF('1.연간시수표'!AJ72,$BG$7),COUNTIF('1.연간시수표'!AJ72,$BH$9),COUNTIF('1.연간시수표'!AJ72,$BH$7),COUNTIF('1.연간시수표'!AJ72,$BI$9),COUNTIF('1.연간시수표'!AJ72,$BI$7),COUNTIF('1.연간시수표'!AJ72,$BJ$9),COUNTIF('1.연간시수표'!AJ72,$BJ$7),COUNTIF('1.연간시수표'!AJ72,$BK$9),COUNTIF('1.연간시수표'!AJ72,$BK$7),COUNTIF('1.연간시수표'!AJ72,$BL$9),COUNTIF('1.연간시수표'!AJ72,$BL$7),COUNTIF('1.연간시수표'!AJ72,$BM$9),COUNTIF('1.연간시수표'!AJ72,$BM$7)),$BF$6,IF(OR(COUNTIF('1.연간시수표'!AJ72,$BO$9),COUNTIF('1.연간시수표'!AJ72,$BO$7)),$BO$6,IF(OR(COUNTIF('1.연간시수표'!AJ72,$BP$9),COUNTIF('1.연간시수표'!AJ72,$BP$7)),$BP$6,IF(OR(COUNTIF('1.연간시수표'!AJ72,$BQ$9),COUNTIF('1.연간시수표'!AJ72,$BQ$7)),$BQ$6,IF(OR(COUNTIF('1.연간시수표'!AJ72,$BR$9),COUNTIF('1.연간시수표'!AJ72,$BR$7)),$BR$6,"_")))))))))))))))</f>
        <v>_</v>
      </c>
      <c r="AK72" s="148" t="str">
        <f>IF(OR(COUNTIF('1.연간시수표'!AK72,$AT$9),COUNTIF('1.연간시수표'!AK72,$AT$7)),$AT$6,IF(OR(COUNTIF('1.연간시수표'!AK72,$AU$9),COUNTIF('1.연간시수표'!AK72,$AU$7)),$AU$6,IF(OR(COUNTIF('1.연간시수표'!AK72,$AV$9),COUNTIF('1.연간시수표'!AK72,$AV$7)),$AV$6,IF(OR(COUNTIF('1.연간시수표'!AK72,$AW$9),COUNTIF('1.연간시수표'!AK72,$AW$7)),$AW$6,IF(OR(COUNTIF('1.연간시수표'!AK72,$AX$9),COUNTIF('1.연간시수표'!AK72,$AX$7)),$AX$6,IF(OR(COUNTIF('1.연간시수표'!AK72,$AY$9),COUNTIF('1.연간시수표'!AK72,$AY$7)),$AY$6,IF(OR(COUNTIF('1.연간시수표'!AK72,$AZ$9),COUNTIF('1.연간시수표'!AK72,$AZ$7)),$AZ$6,IF(OR(COUNTIF('1.연간시수표'!AK72,$BA$9),COUNTIF('1.연간시수표'!AK72,$BA$7)),$BA$6,IF(OR(COUNTIF('1.연간시수표'!AK72,$BB$9),COUNTIF('1.연간시수표'!AK72,$BB$7)),$BB$6,IF(OR(COUNTIF('1.연간시수표'!AK72,$BC$9),COUNTIF('1.연간시수표'!AK72,$BC$7)),$BC$6,IF(OR(COUNTIF('1.연간시수표'!AK72,$BF$9),COUNTIF('1.연간시수표'!AK72,$BF$7),COUNTIF('1.연간시수표'!AK72,$BG$9),COUNTIF('1.연간시수표'!AK72,$BG$7),COUNTIF('1.연간시수표'!AK72,$BH$9),COUNTIF('1.연간시수표'!AK72,$BH$7),COUNTIF('1.연간시수표'!AK72,$BI$9),COUNTIF('1.연간시수표'!AK72,$BI$7),COUNTIF('1.연간시수표'!AK72,$BJ$9),COUNTIF('1.연간시수표'!AK72,$BJ$7),COUNTIF('1.연간시수표'!AK72,$BK$9),COUNTIF('1.연간시수표'!AK72,$BK$7),COUNTIF('1.연간시수표'!AK72,$BL$9),COUNTIF('1.연간시수표'!AK72,$BL$7),COUNTIF('1.연간시수표'!AK72,$BM$9),COUNTIF('1.연간시수표'!AK72,$BM$7)),$BF$6,IF(OR(COUNTIF('1.연간시수표'!AK72,$BO$9),COUNTIF('1.연간시수표'!AK72,$BO$7)),$BO$6,IF(OR(COUNTIF('1.연간시수표'!AK72,$BP$9),COUNTIF('1.연간시수표'!AK72,$BP$7)),$BP$6,IF(OR(COUNTIF('1.연간시수표'!AK72,$BQ$9),COUNTIF('1.연간시수표'!AK72,$BQ$7)),$BQ$6,IF(OR(COUNTIF('1.연간시수표'!AK72,$BR$9),COUNTIF('1.연간시수표'!AK72,$BR$7)),$BR$6,"_")))))))))))))))</f>
        <v>국어</v>
      </c>
      <c r="AL72" s="148" t="str">
        <f>IF(OR(COUNTIF('1.연간시수표'!AL72,$AT$9),COUNTIF('1.연간시수표'!AL72,$AT$7)),$AT$6,IF(OR(COUNTIF('1.연간시수표'!AL72,$AU$9),COUNTIF('1.연간시수표'!AL72,$AU$7)),$AU$6,IF(OR(COUNTIF('1.연간시수표'!AL72,$AV$9),COUNTIF('1.연간시수표'!AL72,$AV$7)),$AV$6,IF(OR(COUNTIF('1.연간시수표'!AL72,$AW$9),COUNTIF('1.연간시수표'!AL72,$AW$7)),$AW$6,IF(OR(COUNTIF('1.연간시수표'!AL72,$AX$9),COUNTIF('1.연간시수표'!AL72,$AX$7)),$AX$6,IF(OR(COUNTIF('1.연간시수표'!AL72,$AY$9),COUNTIF('1.연간시수표'!AL72,$AY$7)),$AY$6,IF(OR(COUNTIF('1.연간시수표'!AL72,$AZ$9),COUNTIF('1.연간시수표'!AL72,$AZ$7)),$AZ$6,IF(OR(COUNTIF('1.연간시수표'!AL72,$BA$9),COUNTIF('1.연간시수표'!AL72,$BA$7)),$BA$6,IF(OR(COUNTIF('1.연간시수표'!AL72,$BB$9),COUNTIF('1.연간시수표'!AL72,$BB$7)),$BB$6,IF(OR(COUNTIF('1.연간시수표'!AL72,$BC$9),COUNTIF('1.연간시수표'!AL72,$BC$7)),$BC$6,IF(OR(COUNTIF('1.연간시수표'!AL72,$BF$9),COUNTIF('1.연간시수표'!AL72,$BF$7),COUNTIF('1.연간시수표'!AL72,$BG$9),COUNTIF('1.연간시수표'!AL72,$BG$7),COUNTIF('1.연간시수표'!AL72,$BH$9),COUNTIF('1.연간시수표'!AL72,$BH$7),COUNTIF('1.연간시수표'!AL72,$BI$9),COUNTIF('1.연간시수표'!AL72,$BI$7),COUNTIF('1.연간시수표'!AL72,$BJ$9),COUNTIF('1.연간시수표'!AL72,$BJ$7),COUNTIF('1.연간시수표'!AL72,$BK$9),COUNTIF('1.연간시수표'!AL72,$BK$7),COUNTIF('1.연간시수표'!AL72,$BL$9),COUNTIF('1.연간시수표'!AL72,$BL$7),COUNTIF('1.연간시수표'!AL72,$BM$9),COUNTIF('1.연간시수표'!AL72,$BM$7)),$BF$6,IF(OR(COUNTIF('1.연간시수표'!AL72,$BO$9),COUNTIF('1.연간시수표'!AL72,$BO$7)),$BO$6,IF(OR(COUNTIF('1.연간시수표'!AL72,$BP$9),COUNTIF('1.연간시수표'!AL72,$BP$7)),$BP$6,IF(OR(COUNTIF('1.연간시수표'!AL72,$BQ$9),COUNTIF('1.연간시수표'!AL72,$BQ$7)),$BQ$6,IF(OR(COUNTIF('1.연간시수표'!AL72,$BR$9),COUNTIF('1.연간시수표'!AL72,$BR$7)),$BR$6,"_")))))))))))))))</f>
        <v>체육</v>
      </c>
      <c r="AM72" s="148" t="str">
        <f>IF(OR(COUNTIF('1.연간시수표'!AM72,$AT$9),COUNTIF('1.연간시수표'!AM72,$AT$7)),$AT$6,IF(OR(COUNTIF('1.연간시수표'!AM72,$AU$9),COUNTIF('1.연간시수표'!AM72,$AU$7)),$AU$6,IF(OR(COUNTIF('1.연간시수표'!AM72,$AV$9),COUNTIF('1.연간시수표'!AM72,$AV$7)),$AV$6,IF(OR(COUNTIF('1.연간시수표'!AM72,$AW$9),COUNTIF('1.연간시수표'!AM72,$AW$7)),$AW$6,IF(OR(COUNTIF('1.연간시수표'!AM72,$AX$9),COUNTIF('1.연간시수표'!AM72,$AX$7)),$AX$6,IF(OR(COUNTIF('1.연간시수표'!AM72,$AY$9),COUNTIF('1.연간시수표'!AM72,$AY$7)),$AY$6,IF(OR(COUNTIF('1.연간시수표'!AM72,$AZ$9),COUNTIF('1.연간시수표'!AM72,$AZ$7)),$AZ$6,IF(OR(COUNTIF('1.연간시수표'!AM72,$BA$9),COUNTIF('1.연간시수표'!AM72,$BA$7)),$BA$6,IF(OR(COUNTIF('1.연간시수표'!AM72,$BB$9),COUNTIF('1.연간시수표'!AM72,$BB$7)),$BB$6,IF(OR(COUNTIF('1.연간시수표'!AM72,$BC$9),COUNTIF('1.연간시수표'!AM72,$BC$7)),$BC$6,IF(OR(COUNTIF('1.연간시수표'!AM72,$BF$9),COUNTIF('1.연간시수표'!AM72,$BF$7),COUNTIF('1.연간시수표'!AM72,$BG$9),COUNTIF('1.연간시수표'!AM72,$BG$7),COUNTIF('1.연간시수표'!AM72,$BH$9),COUNTIF('1.연간시수표'!AM72,$BH$7),COUNTIF('1.연간시수표'!AM72,$BI$9),COUNTIF('1.연간시수표'!AM72,$BI$7),COUNTIF('1.연간시수표'!AM72,$BJ$9),COUNTIF('1.연간시수표'!AM72,$BJ$7),COUNTIF('1.연간시수표'!AM72,$BK$9),COUNTIF('1.연간시수표'!AM72,$BK$7),COUNTIF('1.연간시수표'!AM72,$BL$9),COUNTIF('1.연간시수표'!AM72,$BL$7),COUNTIF('1.연간시수표'!AM72,$BM$9),COUNTIF('1.연간시수표'!AM72,$BM$7)),$BF$6,IF(OR(COUNTIF('1.연간시수표'!AM72,$BO$9),COUNTIF('1.연간시수표'!AM72,$BO$7)),$BO$6,IF(OR(COUNTIF('1.연간시수표'!AM72,$BP$9),COUNTIF('1.연간시수표'!AM72,$BP$7)),$BP$6,IF(OR(COUNTIF('1.연간시수표'!AM72,$BQ$9),COUNTIF('1.연간시수표'!AM72,$BQ$7)),$BQ$6,IF(OR(COUNTIF('1.연간시수표'!AM72,$BR$9),COUNTIF('1.연간시수표'!AM72,$BR$7)),$BR$6,"_")))))))))))))))</f>
        <v>수학</v>
      </c>
      <c r="AN72" s="148" t="str">
        <f>IF(OR(COUNTIF('1.연간시수표'!AN72,$AT$9),COUNTIF('1.연간시수표'!AN72,$AT$7)),$AT$6,IF(OR(COUNTIF('1.연간시수표'!AN72,$AU$9),COUNTIF('1.연간시수표'!AN72,$AU$7)),$AU$6,IF(OR(COUNTIF('1.연간시수표'!AN72,$AV$9),COUNTIF('1.연간시수표'!AN72,$AV$7)),$AV$6,IF(OR(COUNTIF('1.연간시수표'!AN72,$AW$9),COUNTIF('1.연간시수표'!AN72,$AW$7)),$AW$6,IF(OR(COUNTIF('1.연간시수표'!AN72,$AX$9),COUNTIF('1.연간시수표'!AN72,$AX$7)),$AX$6,IF(OR(COUNTIF('1.연간시수표'!AN72,$AY$9),COUNTIF('1.연간시수표'!AN72,$AY$7)),$AY$6,IF(OR(COUNTIF('1.연간시수표'!AN72,$AZ$9),COUNTIF('1.연간시수표'!AN72,$AZ$7)),$AZ$6,IF(OR(COUNTIF('1.연간시수표'!AN72,$BA$9),COUNTIF('1.연간시수표'!AN72,$BA$7)),$BA$6,IF(OR(COUNTIF('1.연간시수표'!AN72,$BB$9),COUNTIF('1.연간시수표'!AN72,$BB$7)),$BB$6,IF(OR(COUNTIF('1.연간시수표'!AN72,$BC$9),COUNTIF('1.연간시수표'!AN72,$BC$7)),$BC$6,IF(OR(COUNTIF('1.연간시수표'!AN72,$BF$9),COUNTIF('1.연간시수표'!AN72,$BF$7),COUNTIF('1.연간시수표'!AN72,$BG$9),COUNTIF('1.연간시수표'!AN72,$BG$7),COUNTIF('1.연간시수표'!AN72,$BH$9),COUNTIF('1.연간시수표'!AN72,$BH$7),COUNTIF('1.연간시수표'!AN72,$BI$9),COUNTIF('1.연간시수표'!AN72,$BI$7),COUNTIF('1.연간시수표'!AN72,$BJ$9),COUNTIF('1.연간시수표'!AN72,$BJ$7),COUNTIF('1.연간시수표'!AN72,$BK$9),COUNTIF('1.연간시수표'!AN72,$BK$7),COUNTIF('1.연간시수표'!AN72,$BL$9),COUNTIF('1.연간시수표'!AN72,$BL$7),COUNTIF('1.연간시수표'!AN72,$BM$9),COUNTIF('1.연간시수표'!AN72,$BM$7)),$BF$6,IF(OR(COUNTIF('1.연간시수표'!AN72,$BO$9),COUNTIF('1.연간시수표'!AN72,$BO$7)),$BO$6,IF(OR(COUNTIF('1.연간시수표'!AN72,$BP$9),COUNTIF('1.연간시수표'!AN72,$BP$7)),$BP$6,IF(OR(COUNTIF('1.연간시수표'!AN72,$BQ$9),COUNTIF('1.연간시수표'!AN72,$BQ$7)),$BQ$6,IF(OR(COUNTIF('1.연간시수표'!AN72,$BR$9),COUNTIF('1.연간시수표'!AN72,$BR$7)),$BR$6,"_")))))))))))))))</f>
        <v>국어</v>
      </c>
      <c r="AO72" s="148" t="str">
        <f>IF(OR(COUNTIF('1.연간시수표'!AO72,$AT$9),COUNTIF('1.연간시수표'!AO72,$AT$7)),$AT$6,IF(OR(COUNTIF('1.연간시수표'!AO72,$AU$9),COUNTIF('1.연간시수표'!AO72,$AU$7)),$AU$6,IF(OR(COUNTIF('1.연간시수표'!AO72,$AV$9),COUNTIF('1.연간시수표'!AO72,$AV$7)),$AV$6,IF(OR(COUNTIF('1.연간시수표'!AO72,$AW$9),COUNTIF('1.연간시수표'!AO72,$AW$7)),$AW$6,IF(OR(COUNTIF('1.연간시수표'!AO72,$AX$9),COUNTIF('1.연간시수표'!AO72,$AX$7)),$AX$6,IF(OR(COUNTIF('1.연간시수표'!AO72,$AY$9),COUNTIF('1.연간시수표'!AO72,$AY$7)),$AY$6,IF(OR(COUNTIF('1.연간시수표'!AO72,$AZ$9),COUNTIF('1.연간시수표'!AO72,$AZ$7)),$AZ$6,IF(OR(COUNTIF('1.연간시수표'!AO72,$BA$9),COUNTIF('1.연간시수표'!AO72,$BA$7)),$BA$6,IF(OR(COUNTIF('1.연간시수표'!AO72,$BB$9),COUNTIF('1.연간시수표'!AO72,$BB$7)),$BB$6,IF(OR(COUNTIF('1.연간시수표'!AO72,$BC$9),COUNTIF('1.연간시수표'!AO72,$BC$7)),$BC$6,IF(OR(COUNTIF('1.연간시수표'!AO72,$BF$9),COUNTIF('1.연간시수표'!AO72,$BF$7),COUNTIF('1.연간시수표'!AO72,$BG$9),COUNTIF('1.연간시수표'!AO72,$BG$7),COUNTIF('1.연간시수표'!AO72,$BH$9),COUNTIF('1.연간시수표'!AO72,$BH$7),COUNTIF('1.연간시수표'!AO72,$BI$9),COUNTIF('1.연간시수표'!AO72,$BI$7),COUNTIF('1.연간시수표'!AO72,$BJ$9),COUNTIF('1.연간시수표'!AO72,$BJ$7),COUNTIF('1.연간시수표'!AO72,$BK$9),COUNTIF('1.연간시수표'!AO72,$BK$7),COUNTIF('1.연간시수표'!AO72,$BL$9),COUNTIF('1.연간시수표'!AO72,$BL$7),COUNTIF('1.연간시수표'!AO72,$BM$9),COUNTIF('1.연간시수표'!AO72,$BM$7)),$BF$6,IF(OR(COUNTIF('1.연간시수표'!AO72,$BO$9),COUNTIF('1.연간시수표'!AO72,$BO$7)),$BO$6,IF(OR(COUNTIF('1.연간시수표'!AO72,$BP$9),COUNTIF('1.연간시수표'!AO72,$BP$7)),$BP$6,IF(OR(COUNTIF('1.연간시수표'!AO72,$BQ$9),COUNTIF('1.연간시수표'!AO72,$BQ$7)),$BQ$6,IF(OR(COUNTIF('1.연간시수표'!AO72,$BR$9),COUNTIF('1.연간시수표'!AO72,$BR$7)),$BR$6,"_")))))))))))))))</f>
        <v>사회</v>
      </c>
      <c r="AP72" s="148" t="str">
        <f>IF(OR(COUNTIF('1.연간시수표'!AP72,$AT$9),COUNTIF('1.연간시수표'!AP72,$AT$7)),$AT$6,IF(OR(COUNTIF('1.연간시수표'!AP72,$AU$9),COUNTIF('1.연간시수표'!AP72,$AU$7)),$AU$6,IF(OR(COUNTIF('1.연간시수표'!AP72,$AV$9),COUNTIF('1.연간시수표'!AP72,$AV$7)),$AV$6,IF(OR(COUNTIF('1.연간시수표'!AP72,$AW$9),COUNTIF('1.연간시수표'!AP72,$AW$7)),$AW$6,IF(OR(COUNTIF('1.연간시수표'!AP72,$AX$9),COUNTIF('1.연간시수표'!AP72,$AX$7)),$AX$6,IF(OR(COUNTIF('1.연간시수표'!AP72,$AY$9),COUNTIF('1.연간시수표'!AP72,$AY$7)),$AY$6,IF(OR(COUNTIF('1.연간시수표'!AP72,$AZ$9),COUNTIF('1.연간시수표'!AP72,$AZ$7)),$AZ$6,IF(OR(COUNTIF('1.연간시수표'!AP72,$BA$9),COUNTIF('1.연간시수표'!AP72,$BA$7)),$BA$6,IF(OR(COUNTIF('1.연간시수표'!AP72,$BB$9),COUNTIF('1.연간시수표'!AP72,$BB$7)),$BB$6,IF(OR(COUNTIF('1.연간시수표'!AP72,$BC$9),COUNTIF('1.연간시수표'!AP72,$BC$7)),$BC$6,IF(OR(COUNTIF('1.연간시수표'!AP72,$BF$9),COUNTIF('1.연간시수표'!AP72,$BF$7),COUNTIF('1.연간시수표'!AP72,$BG$9),COUNTIF('1.연간시수표'!AP72,$BG$7),COUNTIF('1.연간시수표'!AP72,$BH$9),COUNTIF('1.연간시수표'!AP72,$BH$7),COUNTIF('1.연간시수표'!AP72,$BI$9),COUNTIF('1.연간시수표'!AP72,$BI$7),COUNTIF('1.연간시수표'!AP72,$BJ$9),COUNTIF('1.연간시수표'!AP72,$BJ$7),COUNTIF('1.연간시수표'!AP72,$BK$9),COUNTIF('1.연간시수표'!AP72,$BK$7),COUNTIF('1.연간시수표'!AP72,$BL$9),COUNTIF('1.연간시수표'!AP72,$BL$7),COUNTIF('1.연간시수표'!AP72,$BM$9),COUNTIF('1.연간시수표'!AP72,$BM$7)),$BF$6,IF(OR(COUNTIF('1.연간시수표'!AP72,$BO$9),COUNTIF('1.연간시수표'!AP72,$BO$7)),$BO$6,IF(OR(COUNTIF('1.연간시수표'!AP72,$BP$9),COUNTIF('1.연간시수표'!AP72,$BP$7)),$BP$6,IF(OR(COUNTIF('1.연간시수표'!AP72,$BQ$9),COUNTIF('1.연간시수표'!AP72,$BQ$7)),$BQ$6,IF(OR(COUNTIF('1.연간시수표'!AP72,$BR$9),COUNTIF('1.연간시수표'!AP72,$BR$7)),$BR$6,"_")))))))))))))))</f>
        <v>체육</v>
      </c>
      <c r="AQ72" s="148" t="str">
        <f>IF(OR(COUNTIF('1.연간시수표'!AQ72,$AT$9),COUNTIF('1.연간시수표'!AQ72,$AT$7)),$AT$6,IF(OR(COUNTIF('1.연간시수표'!AQ72,$AU$9),COUNTIF('1.연간시수표'!AQ72,$AU$7)),$AU$6,IF(OR(COUNTIF('1.연간시수표'!AQ72,$AV$9),COUNTIF('1.연간시수표'!AQ72,$AV$7)),$AV$6,IF(OR(COUNTIF('1.연간시수표'!AQ72,$AW$9),COUNTIF('1.연간시수표'!AQ72,$AW$7)),$AW$6,IF(OR(COUNTIF('1.연간시수표'!AQ72,$AX$9),COUNTIF('1.연간시수표'!AQ72,$AX$7)),$AX$6,IF(OR(COUNTIF('1.연간시수표'!AQ72,$AY$9),COUNTIF('1.연간시수표'!AQ72,$AY$7)),$AY$6,IF(OR(COUNTIF('1.연간시수표'!AQ72,$AZ$9),COUNTIF('1.연간시수표'!AQ72,$AZ$7)),$AZ$6,IF(OR(COUNTIF('1.연간시수표'!AQ72,$BA$9),COUNTIF('1.연간시수표'!AQ72,$BA$7)),$BA$6,IF(OR(COUNTIF('1.연간시수표'!AQ72,$BB$9),COUNTIF('1.연간시수표'!AQ72,$BB$7)),$BB$6,IF(OR(COUNTIF('1.연간시수표'!AQ72,$BC$9),COUNTIF('1.연간시수표'!AQ72,$BC$7)),$BC$6,IF(OR(COUNTIF('1.연간시수표'!AQ72,$BF$9),COUNTIF('1.연간시수표'!AQ72,$BF$7),COUNTIF('1.연간시수표'!AQ72,$BG$9),COUNTIF('1.연간시수표'!AQ72,$BG$7),COUNTIF('1.연간시수표'!AQ72,$BH$9),COUNTIF('1.연간시수표'!AQ72,$BH$7),COUNTIF('1.연간시수표'!AQ72,$BI$9),COUNTIF('1.연간시수표'!AQ72,$BI$7),COUNTIF('1.연간시수표'!AQ72,$BJ$9),COUNTIF('1.연간시수표'!AQ72,$BJ$7),COUNTIF('1.연간시수표'!AQ72,$BK$9),COUNTIF('1.연간시수표'!AQ72,$BK$7),COUNTIF('1.연간시수표'!AQ72,$BL$9),COUNTIF('1.연간시수표'!AQ72,$BL$7),COUNTIF('1.연간시수표'!AQ72,$BM$9),COUNTIF('1.연간시수표'!AQ72,$BM$7)),$BF$6,IF(OR(COUNTIF('1.연간시수표'!AQ72,$BO$9),COUNTIF('1.연간시수표'!AQ72,$BO$7)),$BO$6,IF(OR(COUNTIF('1.연간시수표'!AQ72,$BP$9),COUNTIF('1.연간시수표'!AQ72,$BP$7)),$BP$6,IF(OR(COUNTIF('1.연간시수표'!AQ72,$BQ$9),COUNTIF('1.연간시수표'!AQ72,$BQ$7)),$BQ$6,IF(OR(COUNTIF('1.연간시수표'!AQ72,$BR$9),COUNTIF('1.연간시수표'!AQ72,$BR$7)),$BR$6,"_")))))))))))))))</f>
        <v>_</v>
      </c>
      <c r="AR72" s="148" t="str">
        <f>IF(OR(COUNTIF('1.연간시수표'!AR72,$AT$9),COUNTIF('1.연간시수표'!AR72,$AT$7)),$AT$6,IF(OR(COUNTIF('1.연간시수표'!AR72,$AU$9),COUNTIF('1.연간시수표'!AR72,$AU$7)),$AU$6,IF(OR(COUNTIF('1.연간시수표'!AR72,$AV$9),COUNTIF('1.연간시수표'!AR72,$AV$7)),$AV$6,IF(OR(COUNTIF('1.연간시수표'!AR72,$AW$9),COUNTIF('1.연간시수표'!AR72,$AW$7)),$AW$6,IF(OR(COUNTIF('1.연간시수표'!AR72,$AX$9),COUNTIF('1.연간시수표'!AR72,$AX$7)),$AX$6,IF(OR(COUNTIF('1.연간시수표'!AR72,$AY$9),COUNTIF('1.연간시수표'!AR72,$AY$7)),$AY$6,IF(OR(COUNTIF('1.연간시수표'!AR72,$AZ$9),COUNTIF('1.연간시수표'!AR72,$AZ$7)),$AZ$6,IF(OR(COUNTIF('1.연간시수표'!AR72,$BA$9),COUNTIF('1.연간시수표'!AR72,$BA$7)),$BA$6,IF(OR(COUNTIF('1.연간시수표'!AR72,$BB$9),COUNTIF('1.연간시수표'!AR72,$BB$7)),$BB$6,IF(OR(COUNTIF('1.연간시수표'!AR72,$BC$9),COUNTIF('1.연간시수표'!AR72,$BC$7)),$BC$6,IF(OR(COUNTIF('1.연간시수표'!AR72,$BF$9),COUNTIF('1.연간시수표'!AR72,$BF$7),COUNTIF('1.연간시수표'!AR72,$BG$9),COUNTIF('1.연간시수표'!AR72,$BG$7),COUNTIF('1.연간시수표'!AR72,$BH$9),COUNTIF('1.연간시수표'!AR72,$BH$7),COUNTIF('1.연간시수표'!AR72,$BI$9),COUNTIF('1.연간시수표'!AR72,$BI$7),COUNTIF('1.연간시수표'!AR72,$BJ$9),COUNTIF('1.연간시수표'!AR72,$BJ$7),COUNTIF('1.연간시수표'!AR72,$BK$9),COUNTIF('1.연간시수표'!AR72,$BK$7),COUNTIF('1.연간시수표'!AR72,$BL$9),COUNTIF('1.연간시수표'!AR72,$BL$7),COUNTIF('1.연간시수표'!AR72,$BM$9),COUNTIF('1.연간시수표'!AR72,$BM$7)),$BF$6,IF(OR(COUNTIF('1.연간시수표'!AR72,$BO$9),COUNTIF('1.연간시수표'!AR72,$BO$7)),$BO$6,IF(OR(COUNTIF('1.연간시수표'!AR72,$BP$9),COUNTIF('1.연간시수표'!AR72,$BP$7)),$BP$6,IF(OR(COUNTIF('1.연간시수표'!AR72,$BQ$9),COUNTIF('1.연간시수표'!AR72,$BQ$7)),$BQ$6,IF(OR(COUNTIF('1.연간시수표'!AR72,$BR$9),COUNTIF('1.연간시수표'!AR72,$BR$7)),$BR$6,"_")))))))))))))))</f>
        <v>_</v>
      </c>
    </row>
    <row r="73" spans="2:44">
      <c r="B73" s="6"/>
      <c r="C73" s="79">
        <f>'1.연간시수표'!C73</f>
        <v>42</v>
      </c>
      <c r="D73" s="3"/>
      <c r="E73" s="148" t="str">
        <f>IF(OR(COUNTIF('1.연간시수표'!E73,$AT$9),COUNTIF('1.연간시수표'!E73,$AT$7)),$AT$6,IF(OR(COUNTIF('1.연간시수표'!E73,$AU$9),COUNTIF('1.연간시수표'!E73,$AU$7)),$AU$6,IF(OR(COUNTIF('1.연간시수표'!E73,$AV$9),COUNTIF('1.연간시수표'!E73,$AV$7)),$AV$6,IF(OR(COUNTIF('1.연간시수표'!E73,$AW$9),COUNTIF('1.연간시수표'!E73,$AW$7)),$AW$6,IF(OR(COUNTIF('1.연간시수표'!E73,$AX$9),COUNTIF('1.연간시수표'!E73,$AX$7)),$AX$6,IF(OR(COUNTIF('1.연간시수표'!E73,$AY$9),COUNTIF('1.연간시수표'!E73,$AY$7)),$AY$6,IF(OR(COUNTIF('1.연간시수표'!E73,$AZ$9),COUNTIF('1.연간시수표'!E73,$AZ$7)),$AZ$6,IF(OR(COUNTIF('1.연간시수표'!E73,$BA$9),COUNTIF('1.연간시수표'!E73,$BA$7)),$BA$6,IF(OR(COUNTIF('1.연간시수표'!E73,$BB$9),COUNTIF('1.연간시수표'!E73,$BB$7)),$BB$6,IF(OR(COUNTIF('1.연간시수표'!E73,$BC$9),COUNTIF('1.연간시수표'!E73,$BC$7)),$BC$6,IF(OR(COUNTIF('1.연간시수표'!E73,$BF$9),COUNTIF('1.연간시수표'!E73,$BF$7),COUNTIF('1.연간시수표'!E73,$BG$9),COUNTIF('1.연간시수표'!E73,$BG$7),COUNTIF('1.연간시수표'!E73,$BH$9),COUNTIF('1.연간시수표'!E73,$BH$7),COUNTIF('1.연간시수표'!E73,$BI$9),COUNTIF('1.연간시수표'!E73,$BI$7),COUNTIF('1.연간시수표'!E73,$BJ$9),COUNTIF('1.연간시수표'!E73,$BJ$7),COUNTIF('1.연간시수표'!E73,$BK$9),COUNTIF('1.연간시수표'!E73,$BK$7),COUNTIF('1.연간시수표'!E73,$BL$9),COUNTIF('1.연간시수표'!E73,$BL$7),COUNTIF('1.연간시수표'!E73,$BM$9),COUNTIF('1.연간시수표'!E73,$BM$7)),$BF$6,IF(OR(COUNTIF('1.연간시수표'!E73,$BO$9),COUNTIF('1.연간시수표'!E73,$BO$7)),$BO$6,IF(OR(COUNTIF('1.연간시수표'!E73,$BP$9),COUNTIF('1.연간시수표'!E73,$BP$7)),$BP$6,IF(OR(COUNTIF('1.연간시수표'!E73,$BQ$9),COUNTIF('1.연간시수표'!E73,$BQ$7)),$BQ$6,IF(OR(COUNTIF('1.연간시수표'!E73,$BR$9),COUNTIF('1.연간시수표'!E73,$BR$7)),$BR$6,"_")))))))))))))))</f>
        <v>국어</v>
      </c>
      <c r="F73" s="148" t="str">
        <f>IF(OR(COUNTIF('1.연간시수표'!F73,$AT$9),COUNTIF('1.연간시수표'!F73,$AT$7)),$AT$6,IF(OR(COUNTIF('1.연간시수표'!F73,$AU$9),COUNTIF('1.연간시수표'!F73,$AU$7)),$AU$6,IF(OR(COUNTIF('1.연간시수표'!F73,$AV$9),COUNTIF('1.연간시수표'!F73,$AV$7)),$AV$6,IF(OR(COUNTIF('1.연간시수표'!F73,$AW$9),COUNTIF('1.연간시수표'!F73,$AW$7)),$AW$6,IF(OR(COUNTIF('1.연간시수표'!F73,$AX$9),COUNTIF('1.연간시수표'!F73,$AX$7)),$AX$6,IF(OR(COUNTIF('1.연간시수표'!F73,$AY$9),COUNTIF('1.연간시수표'!F73,$AY$7)),$AY$6,IF(OR(COUNTIF('1.연간시수표'!F73,$AZ$9),COUNTIF('1.연간시수표'!F73,$AZ$7)),$AZ$6,IF(OR(COUNTIF('1.연간시수표'!F73,$BA$9),COUNTIF('1.연간시수표'!F73,$BA$7)),$BA$6,IF(OR(COUNTIF('1.연간시수표'!F73,$BB$9),COUNTIF('1.연간시수표'!F73,$BB$7)),$BB$6,IF(OR(COUNTIF('1.연간시수표'!F73,$BC$9),COUNTIF('1.연간시수표'!F73,$BC$7)),$BC$6,IF(OR(COUNTIF('1.연간시수표'!F73,$BF$9),COUNTIF('1.연간시수표'!F73,$BF$7),COUNTIF('1.연간시수표'!F73,$BG$9),COUNTIF('1.연간시수표'!F73,$BG$7),COUNTIF('1.연간시수표'!F73,$BH$9),COUNTIF('1.연간시수표'!F73,$BH$7),COUNTIF('1.연간시수표'!F73,$BI$9),COUNTIF('1.연간시수표'!F73,$BI$7),COUNTIF('1.연간시수표'!F73,$BJ$9),COUNTIF('1.연간시수표'!F73,$BJ$7),COUNTIF('1.연간시수표'!F73,$BK$9),COUNTIF('1.연간시수표'!F73,$BK$7),COUNTIF('1.연간시수표'!F73,$BL$9),COUNTIF('1.연간시수표'!F73,$BL$7),COUNTIF('1.연간시수표'!F73,$BM$9),COUNTIF('1.연간시수표'!F73,$BM$7)),$BF$6,IF(OR(COUNTIF('1.연간시수표'!F73,$BO$9),COUNTIF('1.연간시수표'!F73,$BO$7)),$BO$6,IF(OR(COUNTIF('1.연간시수표'!F73,$BP$9),COUNTIF('1.연간시수표'!F73,$BP$7)),$BP$6,IF(OR(COUNTIF('1.연간시수표'!F73,$BQ$9),COUNTIF('1.연간시수표'!F73,$BQ$7)),$BQ$6,IF(OR(COUNTIF('1.연간시수표'!F73,$BR$9),COUNTIF('1.연간시수표'!F73,$BR$7)),$BR$6,"_")))))))))))))))</f>
        <v>미술</v>
      </c>
      <c r="G73" s="148" t="str">
        <f>IF(OR(COUNTIF('1.연간시수표'!G73,$AT$9),COUNTIF('1.연간시수표'!G73,$AT$7)),$AT$6,IF(OR(COUNTIF('1.연간시수표'!G73,$AU$9),COUNTIF('1.연간시수표'!G73,$AU$7)),$AU$6,IF(OR(COUNTIF('1.연간시수표'!G73,$AV$9),COUNTIF('1.연간시수표'!G73,$AV$7)),$AV$6,IF(OR(COUNTIF('1.연간시수표'!G73,$AW$9),COUNTIF('1.연간시수표'!G73,$AW$7)),$AW$6,IF(OR(COUNTIF('1.연간시수표'!G73,$AX$9),COUNTIF('1.연간시수표'!G73,$AX$7)),$AX$6,IF(OR(COUNTIF('1.연간시수표'!G73,$AY$9),COUNTIF('1.연간시수표'!G73,$AY$7)),$AY$6,IF(OR(COUNTIF('1.연간시수표'!G73,$AZ$9),COUNTIF('1.연간시수표'!G73,$AZ$7)),$AZ$6,IF(OR(COUNTIF('1.연간시수표'!G73,$BA$9),COUNTIF('1.연간시수표'!G73,$BA$7)),$BA$6,IF(OR(COUNTIF('1.연간시수표'!G73,$BB$9),COUNTIF('1.연간시수표'!G73,$BB$7)),$BB$6,IF(OR(COUNTIF('1.연간시수표'!G73,$BC$9),COUNTIF('1.연간시수표'!G73,$BC$7)),$BC$6,IF(OR(COUNTIF('1.연간시수표'!G73,$BF$9),COUNTIF('1.연간시수표'!G73,$BF$7),COUNTIF('1.연간시수표'!G73,$BG$9),COUNTIF('1.연간시수표'!G73,$BG$7),COUNTIF('1.연간시수표'!G73,$BH$9),COUNTIF('1.연간시수표'!G73,$BH$7),COUNTIF('1.연간시수표'!G73,$BI$9),COUNTIF('1.연간시수표'!G73,$BI$7),COUNTIF('1.연간시수표'!G73,$BJ$9),COUNTIF('1.연간시수표'!G73,$BJ$7),COUNTIF('1.연간시수표'!G73,$BK$9),COUNTIF('1.연간시수표'!G73,$BK$7),COUNTIF('1.연간시수표'!G73,$BL$9),COUNTIF('1.연간시수표'!G73,$BL$7),COUNTIF('1.연간시수표'!G73,$BM$9),COUNTIF('1.연간시수표'!G73,$BM$7)),$BF$6,IF(OR(COUNTIF('1.연간시수표'!G73,$BO$9),COUNTIF('1.연간시수표'!G73,$BO$7)),$BO$6,IF(OR(COUNTIF('1.연간시수표'!G73,$BP$9),COUNTIF('1.연간시수표'!G73,$BP$7)),$BP$6,IF(OR(COUNTIF('1.연간시수표'!G73,$BQ$9),COUNTIF('1.연간시수표'!G73,$BQ$7)),$BQ$6,IF(OR(COUNTIF('1.연간시수표'!G73,$BR$9),COUNTIF('1.연간시수표'!G73,$BR$7)),$BR$6,"_")))))))))))))))</f>
        <v>미술</v>
      </c>
      <c r="H73" s="148" t="str">
        <f>IF(OR(COUNTIF('1.연간시수표'!H73,$AT$9),COUNTIF('1.연간시수표'!H73,$AT$7)),$AT$6,IF(OR(COUNTIF('1.연간시수표'!H73,$AU$9),COUNTIF('1.연간시수표'!H73,$AU$7)),$AU$6,IF(OR(COUNTIF('1.연간시수표'!H73,$AV$9),COUNTIF('1.연간시수표'!H73,$AV$7)),$AV$6,IF(OR(COUNTIF('1.연간시수표'!H73,$AW$9),COUNTIF('1.연간시수표'!H73,$AW$7)),$AW$6,IF(OR(COUNTIF('1.연간시수표'!H73,$AX$9),COUNTIF('1.연간시수표'!H73,$AX$7)),$AX$6,IF(OR(COUNTIF('1.연간시수표'!H73,$AY$9),COUNTIF('1.연간시수표'!H73,$AY$7)),$AY$6,IF(OR(COUNTIF('1.연간시수표'!H73,$AZ$9),COUNTIF('1.연간시수표'!H73,$AZ$7)),$AZ$6,IF(OR(COUNTIF('1.연간시수표'!H73,$BA$9),COUNTIF('1.연간시수표'!H73,$BA$7)),$BA$6,IF(OR(COUNTIF('1.연간시수표'!H73,$BB$9),COUNTIF('1.연간시수표'!H73,$BB$7)),$BB$6,IF(OR(COUNTIF('1.연간시수표'!H73,$BC$9),COUNTIF('1.연간시수표'!H73,$BC$7)),$BC$6,IF(OR(COUNTIF('1.연간시수표'!H73,$BF$9),COUNTIF('1.연간시수표'!H73,$BF$7),COUNTIF('1.연간시수표'!H73,$BG$9),COUNTIF('1.연간시수표'!H73,$BG$7),COUNTIF('1.연간시수표'!H73,$BH$9),COUNTIF('1.연간시수표'!H73,$BH$7),COUNTIF('1.연간시수표'!H73,$BI$9),COUNTIF('1.연간시수표'!H73,$BI$7),COUNTIF('1.연간시수표'!H73,$BJ$9),COUNTIF('1.연간시수표'!H73,$BJ$7),COUNTIF('1.연간시수표'!H73,$BK$9),COUNTIF('1.연간시수표'!H73,$BK$7),COUNTIF('1.연간시수표'!H73,$BL$9),COUNTIF('1.연간시수표'!H73,$BL$7),COUNTIF('1.연간시수표'!H73,$BM$9),COUNTIF('1.연간시수표'!H73,$BM$7)),$BF$6,IF(OR(COUNTIF('1.연간시수표'!H73,$BO$9),COUNTIF('1.연간시수표'!H73,$BO$7)),$BO$6,IF(OR(COUNTIF('1.연간시수표'!H73,$BP$9),COUNTIF('1.연간시수표'!H73,$BP$7)),$BP$6,IF(OR(COUNTIF('1.연간시수표'!H73,$BQ$9),COUNTIF('1.연간시수표'!H73,$BQ$7)),$BQ$6,IF(OR(COUNTIF('1.연간시수표'!H73,$BR$9),COUNTIF('1.연간시수표'!H73,$BR$7)),$BR$6,"_")))))))))))))))</f>
        <v>영어</v>
      </c>
      <c r="I73" s="148" t="str">
        <f>IF(OR(COUNTIF('1.연간시수표'!I73,$AT$9),COUNTIF('1.연간시수표'!I73,$AT$7)),$AT$6,IF(OR(COUNTIF('1.연간시수표'!I73,$AU$9),COUNTIF('1.연간시수표'!I73,$AU$7)),$AU$6,IF(OR(COUNTIF('1.연간시수표'!I73,$AV$9),COUNTIF('1.연간시수표'!I73,$AV$7)),$AV$6,IF(OR(COUNTIF('1.연간시수표'!I73,$AW$9),COUNTIF('1.연간시수표'!I73,$AW$7)),$AW$6,IF(OR(COUNTIF('1.연간시수표'!I73,$AX$9),COUNTIF('1.연간시수표'!I73,$AX$7)),$AX$6,IF(OR(COUNTIF('1.연간시수표'!I73,$AY$9),COUNTIF('1.연간시수표'!I73,$AY$7)),$AY$6,IF(OR(COUNTIF('1.연간시수표'!I73,$AZ$9),COUNTIF('1.연간시수표'!I73,$AZ$7)),$AZ$6,IF(OR(COUNTIF('1.연간시수표'!I73,$BA$9),COUNTIF('1.연간시수표'!I73,$BA$7)),$BA$6,IF(OR(COUNTIF('1.연간시수표'!I73,$BB$9),COUNTIF('1.연간시수표'!I73,$BB$7)),$BB$6,IF(OR(COUNTIF('1.연간시수표'!I73,$BC$9),COUNTIF('1.연간시수표'!I73,$BC$7)),$BC$6,IF(OR(COUNTIF('1.연간시수표'!I73,$BF$9),COUNTIF('1.연간시수표'!I73,$BF$7),COUNTIF('1.연간시수표'!I73,$BG$9),COUNTIF('1.연간시수표'!I73,$BG$7),COUNTIF('1.연간시수표'!I73,$BH$9),COUNTIF('1.연간시수표'!I73,$BH$7),COUNTIF('1.연간시수표'!I73,$BI$9),COUNTIF('1.연간시수표'!I73,$BI$7),COUNTIF('1.연간시수표'!I73,$BJ$9),COUNTIF('1.연간시수표'!I73,$BJ$7),COUNTIF('1.연간시수표'!I73,$BK$9),COUNTIF('1.연간시수표'!I73,$BK$7),COUNTIF('1.연간시수표'!I73,$BL$9),COUNTIF('1.연간시수표'!I73,$BL$7),COUNTIF('1.연간시수표'!I73,$BM$9),COUNTIF('1.연간시수표'!I73,$BM$7)),$BF$6,IF(OR(COUNTIF('1.연간시수표'!I73,$BO$9),COUNTIF('1.연간시수표'!I73,$BO$7)),$BO$6,IF(OR(COUNTIF('1.연간시수표'!I73,$BP$9),COUNTIF('1.연간시수표'!I73,$BP$7)),$BP$6,IF(OR(COUNTIF('1.연간시수표'!I73,$BQ$9),COUNTIF('1.연간시수표'!I73,$BQ$7)),$BQ$6,IF(OR(COUNTIF('1.연간시수표'!I73,$BR$9),COUNTIF('1.연간시수표'!I73,$BR$7)),$BR$6,"_")))))))))))))))</f>
        <v>수학</v>
      </c>
      <c r="J73" s="148" t="str">
        <f>IF(OR(COUNTIF('1.연간시수표'!J73,$AT$9),COUNTIF('1.연간시수표'!J73,$AT$7)),$AT$6,IF(OR(COUNTIF('1.연간시수표'!J73,$AU$9),COUNTIF('1.연간시수표'!J73,$AU$7)),$AU$6,IF(OR(COUNTIF('1.연간시수표'!J73,$AV$9),COUNTIF('1.연간시수표'!J73,$AV$7)),$AV$6,IF(OR(COUNTIF('1.연간시수표'!J73,$AW$9),COUNTIF('1.연간시수표'!J73,$AW$7)),$AW$6,IF(OR(COUNTIF('1.연간시수표'!J73,$AX$9),COUNTIF('1.연간시수표'!J73,$AX$7)),$AX$6,IF(OR(COUNTIF('1.연간시수표'!J73,$AY$9),COUNTIF('1.연간시수표'!J73,$AY$7)),$AY$6,IF(OR(COUNTIF('1.연간시수표'!J73,$AZ$9),COUNTIF('1.연간시수표'!J73,$AZ$7)),$AZ$6,IF(OR(COUNTIF('1.연간시수표'!J73,$BA$9),COUNTIF('1.연간시수표'!J73,$BA$7)),$BA$6,IF(OR(COUNTIF('1.연간시수표'!J73,$BB$9),COUNTIF('1.연간시수표'!J73,$BB$7)),$BB$6,IF(OR(COUNTIF('1.연간시수표'!J73,$BC$9),COUNTIF('1.연간시수표'!J73,$BC$7)),$BC$6,IF(OR(COUNTIF('1.연간시수표'!J73,$BF$9),COUNTIF('1.연간시수표'!J73,$BF$7),COUNTIF('1.연간시수표'!J73,$BG$9),COUNTIF('1.연간시수표'!J73,$BG$7),COUNTIF('1.연간시수표'!J73,$BH$9),COUNTIF('1.연간시수표'!J73,$BH$7),COUNTIF('1.연간시수표'!J73,$BI$9),COUNTIF('1.연간시수표'!J73,$BI$7),COUNTIF('1.연간시수표'!J73,$BJ$9),COUNTIF('1.연간시수표'!J73,$BJ$7),COUNTIF('1.연간시수표'!J73,$BK$9),COUNTIF('1.연간시수표'!J73,$BK$7),COUNTIF('1.연간시수표'!J73,$BL$9),COUNTIF('1.연간시수표'!J73,$BL$7),COUNTIF('1.연간시수표'!J73,$BM$9),COUNTIF('1.연간시수표'!J73,$BM$7)),$BF$6,IF(OR(COUNTIF('1.연간시수표'!J73,$BO$9),COUNTIF('1.연간시수표'!J73,$BO$7)),$BO$6,IF(OR(COUNTIF('1.연간시수표'!J73,$BP$9),COUNTIF('1.연간시수표'!J73,$BP$7)),$BP$6,IF(OR(COUNTIF('1.연간시수표'!J73,$BQ$9),COUNTIF('1.연간시수표'!J73,$BQ$7)),$BQ$6,IF(OR(COUNTIF('1.연간시수표'!J73,$BR$9),COUNTIF('1.연간시수표'!J73,$BR$7)),$BR$6,"_")))))))))))))))</f>
        <v>국어</v>
      </c>
      <c r="K73" s="148" t="str">
        <f>IF(OR(COUNTIF('1.연간시수표'!K73,$AT$9),COUNTIF('1.연간시수표'!K73,$AT$7)),$AT$6,IF(OR(COUNTIF('1.연간시수표'!K73,$AU$9),COUNTIF('1.연간시수표'!K73,$AU$7)),$AU$6,IF(OR(COUNTIF('1.연간시수표'!K73,$AV$9),COUNTIF('1.연간시수표'!K73,$AV$7)),$AV$6,IF(OR(COUNTIF('1.연간시수표'!K73,$AW$9),COUNTIF('1.연간시수표'!K73,$AW$7)),$AW$6,IF(OR(COUNTIF('1.연간시수표'!K73,$AX$9),COUNTIF('1.연간시수표'!K73,$AX$7)),$AX$6,IF(OR(COUNTIF('1.연간시수표'!K73,$AY$9),COUNTIF('1.연간시수표'!K73,$AY$7)),$AY$6,IF(OR(COUNTIF('1.연간시수표'!K73,$AZ$9),COUNTIF('1.연간시수표'!K73,$AZ$7)),$AZ$6,IF(OR(COUNTIF('1.연간시수표'!K73,$BA$9),COUNTIF('1.연간시수표'!K73,$BA$7)),$BA$6,IF(OR(COUNTIF('1.연간시수표'!K73,$BB$9),COUNTIF('1.연간시수표'!K73,$BB$7)),$BB$6,IF(OR(COUNTIF('1.연간시수표'!K73,$BC$9),COUNTIF('1.연간시수표'!K73,$BC$7)),$BC$6,IF(OR(COUNTIF('1.연간시수표'!K73,$BF$9),COUNTIF('1.연간시수표'!K73,$BF$7),COUNTIF('1.연간시수표'!K73,$BG$9),COUNTIF('1.연간시수표'!K73,$BG$7),COUNTIF('1.연간시수표'!K73,$BH$9),COUNTIF('1.연간시수표'!K73,$BH$7),COUNTIF('1.연간시수표'!K73,$BI$9),COUNTIF('1.연간시수표'!K73,$BI$7),COUNTIF('1.연간시수표'!K73,$BJ$9),COUNTIF('1.연간시수표'!K73,$BJ$7),COUNTIF('1.연간시수표'!K73,$BK$9),COUNTIF('1.연간시수표'!K73,$BK$7),COUNTIF('1.연간시수표'!K73,$BL$9),COUNTIF('1.연간시수표'!K73,$BL$7),COUNTIF('1.연간시수표'!K73,$BM$9),COUNTIF('1.연간시수표'!K73,$BM$7)),$BF$6,IF(OR(COUNTIF('1.연간시수표'!K73,$BO$9),COUNTIF('1.연간시수표'!K73,$BO$7)),$BO$6,IF(OR(COUNTIF('1.연간시수표'!K73,$BP$9),COUNTIF('1.연간시수표'!K73,$BP$7)),$BP$6,IF(OR(COUNTIF('1.연간시수표'!K73,$BQ$9),COUNTIF('1.연간시수표'!K73,$BQ$7)),$BQ$6,IF(OR(COUNTIF('1.연간시수표'!K73,$BR$9),COUNTIF('1.연간시수표'!K73,$BR$7)),$BR$6,"_")))))))))))))))</f>
        <v>_</v>
      </c>
      <c r="L73" s="148" t="str">
        <f>IF(OR(COUNTIF('1.연간시수표'!L73,$AT$9),COUNTIF('1.연간시수표'!L73,$AT$7)),$AT$6,IF(OR(COUNTIF('1.연간시수표'!L73,$AU$9),COUNTIF('1.연간시수표'!L73,$AU$7)),$AU$6,IF(OR(COUNTIF('1.연간시수표'!L73,$AV$9),COUNTIF('1.연간시수표'!L73,$AV$7)),$AV$6,IF(OR(COUNTIF('1.연간시수표'!L73,$AW$9),COUNTIF('1.연간시수표'!L73,$AW$7)),$AW$6,IF(OR(COUNTIF('1.연간시수표'!L73,$AX$9),COUNTIF('1.연간시수표'!L73,$AX$7)),$AX$6,IF(OR(COUNTIF('1.연간시수표'!L73,$AY$9),COUNTIF('1.연간시수표'!L73,$AY$7)),$AY$6,IF(OR(COUNTIF('1.연간시수표'!L73,$AZ$9),COUNTIF('1.연간시수표'!L73,$AZ$7)),$AZ$6,IF(OR(COUNTIF('1.연간시수표'!L73,$BA$9),COUNTIF('1.연간시수표'!L73,$BA$7)),$BA$6,IF(OR(COUNTIF('1.연간시수표'!L73,$BB$9),COUNTIF('1.연간시수표'!L73,$BB$7)),$BB$6,IF(OR(COUNTIF('1.연간시수표'!L73,$BC$9),COUNTIF('1.연간시수표'!L73,$BC$7)),$BC$6,IF(OR(COUNTIF('1.연간시수표'!L73,$BF$9),COUNTIF('1.연간시수표'!L73,$BF$7),COUNTIF('1.연간시수표'!L73,$BG$9),COUNTIF('1.연간시수표'!L73,$BG$7),COUNTIF('1.연간시수표'!L73,$BH$9),COUNTIF('1.연간시수표'!L73,$BH$7),COUNTIF('1.연간시수표'!L73,$BI$9),COUNTIF('1.연간시수표'!L73,$BI$7),COUNTIF('1.연간시수표'!L73,$BJ$9),COUNTIF('1.연간시수표'!L73,$BJ$7),COUNTIF('1.연간시수표'!L73,$BK$9),COUNTIF('1.연간시수표'!L73,$BK$7),COUNTIF('1.연간시수표'!L73,$BL$9),COUNTIF('1.연간시수표'!L73,$BL$7),COUNTIF('1.연간시수표'!L73,$BM$9),COUNTIF('1.연간시수표'!L73,$BM$7)),$BF$6,IF(OR(COUNTIF('1.연간시수표'!L73,$BO$9),COUNTIF('1.연간시수표'!L73,$BO$7)),$BO$6,IF(OR(COUNTIF('1.연간시수표'!L73,$BP$9),COUNTIF('1.연간시수표'!L73,$BP$7)),$BP$6,IF(OR(COUNTIF('1.연간시수표'!L73,$BQ$9),COUNTIF('1.연간시수표'!L73,$BQ$7)),$BQ$6,IF(OR(COUNTIF('1.연간시수표'!L73,$BR$9),COUNTIF('1.연간시수표'!L73,$BR$7)),$BR$6,"_")))))))))))))))</f>
        <v>_</v>
      </c>
      <c r="M73" s="148" t="str">
        <f>IF(OR(COUNTIF('1.연간시수표'!M73,$AT$9),COUNTIF('1.연간시수표'!M73,$AT$7)),$AT$6,IF(OR(COUNTIF('1.연간시수표'!M73,$AU$9),COUNTIF('1.연간시수표'!M73,$AU$7)),$AU$6,IF(OR(COUNTIF('1.연간시수표'!M73,$AV$9),COUNTIF('1.연간시수표'!M73,$AV$7)),$AV$6,IF(OR(COUNTIF('1.연간시수표'!M73,$AW$9),COUNTIF('1.연간시수표'!M73,$AW$7)),$AW$6,IF(OR(COUNTIF('1.연간시수표'!M73,$AX$9),COUNTIF('1.연간시수표'!M73,$AX$7)),$AX$6,IF(OR(COUNTIF('1.연간시수표'!M73,$AY$9),COUNTIF('1.연간시수표'!M73,$AY$7)),$AY$6,IF(OR(COUNTIF('1.연간시수표'!M73,$AZ$9),COUNTIF('1.연간시수표'!M73,$AZ$7)),$AZ$6,IF(OR(COUNTIF('1.연간시수표'!M73,$BA$9),COUNTIF('1.연간시수표'!M73,$BA$7)),$BA$6,IF(OR(COUNTIF('1.연간시수표'!M73,$BB$9),COUNTIF('1.연간시수표'!M73,$BB$7)),$BB$6,IF(OR(COUNTIF('1.연간시수표'!M73,$BC$9),COUNTIF('1.연간시수표'!M73,$BC$7)),$BC$6,IF(OR(COUNTIF('1.연간시수표'!M73,$BF$9),COUNTIF('1.연간시수표'!M73,$BF$7),COUNTIF('1.연간시수표'!M73,$BG$9),COUNTIF('1.연간시수표'!M73,$BG$7),COUNTIF('1.연간시수표'!M73,$BH$9),COUNTIF('1.연간시수표'!M73,$BH$7),COUNTIF('1.연간시수표'!M73,$BI$9),COUNTIF('1.연간시수표'!M73,$BI$7),COUNTIF('1.연간시수표'!M73,$BJ$9),COUNTIF('1.연간시수표'!M73,$BJ$7),COUNTIF('1.연간시수표'!M73,$BK$9),COUNTIF('1.연간시수표'!M73,$BK$7),COUNTIF('1.연간시수표'!M73,$BL$9),COUNTIF('1.연간시수표'!M73,$BL$7),COUNTIF('1.연간시수표'!M73,$BM$9),COUNTIF('1.연간시수표'!M73,$BM$7)),$BF$6,IF(OR(COUNTIF('1.연간시수표'!M73,$BO$9),COUNTIF('1.연간시수표'!M73,$BO$7)),$BO$6,IF(OR(COUNTIF('1.연간시수표'!M73,$BP$9),COUNTIF('1.연간시수표'!M73,$BP$7)),$BP$6,IF(OR(COUNTIF('1.연간시수표'!M73,$BQ$9),COUNTIF('1.연간시수표'!M73,$BQ$7)),$BQ$6,IF(OR(COUNTIF('1.연간시수표'!M73,$BR$9),COUNTIF('1.연간시수표'!M73,$BR$7)),$BR$6,"_")))))))))))))))</f>
        <v>국어</v>
      </c>
      <c r="N73" s="148" t="str">
        <f>IF(OR(COUNTIF('1.연간시수표'!N73,$AT$9),COUNTIF('1.연간시수표'!N73,$AT$7)),$AT$6,IF(OR(COUNTIF('1.연간시수표'!N73,$AU$9),COUNTIF('1.연간시수표'!N73,$AU$7)),$AU$6,IF(OR(COUNTIF('1.연간시수표'!N73,$AV$9),COUNTIF('1.연간시수표'!N73,$AV$7)),$AV$6,IF(OR(COUNTIF('1.연간시수표'!N73,$AW$9),COUNTIF('1.연간시수표'!N73,$AW$7)),$AW$6,IF(OR(COUNTIF('1.연간시수표'!N73,$AX$9),COUNTIF('1.연간시수표'!N73,$AX$7)),$AX$6,IF(OR(COUNTIF('1.연간시수표'!N73,$AY$9),COUNTIF('1.연간시수표'!N73,$AY$7)),$AY$6,IF(OR(COUNTIF('1.연간시수표'!N73,$AZ$9),COUNTIF('1.연간시수표'!N73,$AZ$7)),$AZ$6,IF(OR(COUNTIF('1.연간시수표'!N73,$BA$9),COUNTIF('1.연간시수표'!N73,$BA$7)),$BA$6,IF(OR(COUNTIF('1.연간시수표'!N73,$BB$9),COUNTIF('1.연간시수표'!N73,$BB$7)),$BB$6,IF(OR(COUNTIF('1.연간시수표'!N73,$BC$9),COUNTIF('1.연간시수표'!N73,$BC$7)),$BC$6,IF(OR(COUNTIF('1.연간시수표'!N73,$BF$9),COUNTIF('1.연간시수표'!N73,$BF$7),COUNTIF('1.연간시수표'!N73,$BG$9),COUNTIF('1.연간시수표'!N73,$BG$7),COUNTIF('1.연간시수표'!N73,$BH$9),COUNTIF('1.연간시수표'!N73,$BH$7),COUNTIF('1.연간시수표'!N73,$BI$9),COUNTIF('1.연간시수표'!N73,$BI$7),COUNTIF('1.연간시수표'!N73,$BJ$9),COUNTIF('1.연간시수표'!N73,$BJ$7),COUNTIF('1.연간시수표'!N73,$BK$9),COUNTIF('1.연간시수표'!N73,$BK$7),COUNTIF('1.연간시수표'!N73,$BL$9),COUNTIF('1.연간시수표'!N73,$BL$7),COUNTIF('1.연간시수표'!N73,$BM$9),COUNTIF('1.연간시수표'!N73,$BM$7)),$BF$6,IF(OR(COUNTIF('1.연간시수표'!N73,$BO$9),COUNTIF('1.연간시수표'!N73,$BO$7)),$BO$6,IF(OR(COUNTIF('1.연간시수표'!N73,$BP$9),COUNTIF('1.연간시수표'!N73,$BP$7)),$BP$6,IF(OR(COUNTIF('1.연간시수표'!N73,$BQ$9),COUNTIF('1.연간시수표'!N73,$BQ$7)),$BQ$6,IF(OR(COUNTIF('1.연간시수표'!N73,$BR$9),COUNTIF('1.연간시수표'!N73,$BR$7)),$BR$6,"_")))))))))))))))</f>
        <v>국어</v>
      </c>
      <c r="O73" s="148" t="str">
        <f>IF(OR(COUNTIF('1.연간시수표'!O73,$AT$9),COUNTIF('1.연간시수표'!O73,$AT$7)),$AT$6,IF(OR(COUNTIF('1.연간시수표'!O73,$AU$9),COUNTIF('1.연간시수표'!O73,$AU$7)),$AU$6,IF(OR(COUNTIF('1.연간시수표'!O73,$AV$9),COUNTIF('1.연간시수표'!O73,$AV$7)),$AV$6,IF(OR(COUNTIF('1.연간시수표'!O73,$AW$9),COUNTIF('1.연간시수표'!O73,$AW$7)),$AW$6,IF(OR(COUNTIF('1.연간시수표'!O73,$AX$9),COUNTIF('1.연간시수표'!O73,$AX$7)),$AX$6,IF(OR(COUNTIF('1.연간시수표'!O73,$AY$9),COUNTIF('1.연간시수표'!O73,$AY$7)),$AY$6,IF(OR(COUNTIF('1.연간시수표'!O73,$AZ$9),COUNTIF('1.연간시수표'!O73,$AZ$7)),$AZ$6,IF(OR(COUNTIF('1.연간시수표'!O73,$BA$9),COUNTIF('1.연간시수표'!O73,$BA$7)),$BA$6,IF(OR(COUNTIF('1.연간시수표'!O73,$BB$9),COUNTIF('1.연간시수표'!O73,$BB$7)),$BB$6,IF(OR(COUNTIF('1.연간시수표'!O73,$BC$9),COUNTIF('1.연간시수표'!O73,$BC$7)),$BC$6,IF(OR(COUNTIF('1.연간시수표'!O73,$BF$9),COUNTIF('1.연간시수표'!O73,$BF$7),COUNTIF('1.연간시수표'!O73,$BG$9),COUNTIF('1.연간시수표'!O73,$BG$7),COUNTIF('1.연간시수표'!O73,$BH$9),COUNTIF('1.연간시수표'!O73,$BH$7),COUNTIF('1.연간시수표'!O73,$BI$9),COUNTIF('1.연간시수표'!O73,$BI$7),COUNTIF('1.연간시수표'!O73,$BJ$9),COUNTIF('1.연간시수표'!O73,$BJ$7),COUNTIF('1.연간시수표'!O73,$BK$9),COUNTIF('1.연간시수표'!O73,$BK$7),COUNTIF('1.연간시수표'!O73,$BL$9),COUNTIF('1.연간시수표'!O73,$BL$7),COUNTIF('1.연간시수표'!O73,$BM$9),COUNTIF('1.연간시수표'!O73,$BM$7)),$BF$6,IF(OR(COUNTIF('1.연간시수표'!O73,$BO$9),COUNTIF('1.연간시수표'!O73,$BO$7)),$BO$6,IF(OR(COUNTIF('1.연간시수표'!O73,$BP$9),COUNTIF('1.연간시수표'!O73,$BP$7)),$BP$6,IF(OR(COUNTIF('1.연간시수표'!O73,$BQ$9),COUNTIF('1.연간시수표'!O73,$BQ$7)),$BQ$6,IF(OR(COUNTIF('1.연간시수표'!O73,$BR$9),COUNTIF('1.연간시수표'!O73,$BR$7)),$BR$6,"_")))))))))))))))</f>
        <v>사회</v>
      </c>
      <c r="P73" s="148" t="str">
        <f>IF(OR(COUNTIF('1.연간시수표'!P73,$AT$9),COUNTIF('1.연간시수표'!P73,$AT$7)),$AT$6,IF(OR(COUNTIF('1.연간시수표'!P73,$AU$9),COUNTIF('1.연간시수표'!P73,$AU$7)),$AU$6,IF(OR(COUNTIF('1.연간시수표'!P73,$AV$9),COUNTIF('1.연간시수표'!P73,$AV$7)),$AV$6,IF(OR(COUNTIF('1.연간시수표'!P73,$AW$9),COUNTIF('1.연간시수표'!P73,$AW$7)),$AW$6,IF(OR(COUNTIF('1.연간시수표'!P73,$AX$9),COUNTIF('1.연간시수표'!P73,$AX$7)),$AX$6,IF(OR(COUNTIF('1.연간시수표'!P73,$AY$9),COUNTIF('1.연간시수표'!P73,$AY$7)),$AY$6,IF(OR(COUNTIF('1.연간시수표'!P73,$AZ$9),COUNTIF('1.연간시수표'!P73,$AZ$7)),$AZ$6,IF(OR(COUNTIF('1.연간시수표'!P73,$BA$9),COUNTIF('1.연간시수표'!P73,$BA$7)),$BA$6,IF(OR(COUNTIF('1.연간시수표'!P73,$BB$9),COUNTIF('1.연간시수표'!P73,$BB$7)),$BB$6,IF(OR(COUNTIF('1.연간시수표'!P73,$BC$9),COUNTIF('1.연간시수표'!P73,$BC$7)),$BC$6,IF(OR(COUNTIF('1.연간시수표'!P73,$BF$9),COUNTIF('1.연간시수표'!P73,$BF$7),COUNTIF('1.연간시수표'!P73,$BG$9),COUNTIF('1.연간시수표'!P73,$BG$7),COUNTIF('1.연간시수표'!P73,$BH$9),COUNTIF('1.연간시수표'!P73,$BH$7),COUNTIF('1.연간시수표'!P73,$BI$9),COUNTIF('1.연간시수표'!P73,$BI$7),COUNTIF('1.연간시수표'!P73,$BJ$9),COUNTIF('1.연간시수표'!P73,$BJ$7),COUNTIF('1.연간시수표'!P73,$BK$9),COUNTIF('1.연간시수표'!P73,$BK$7),COUNTIF('1.연간시수표'!P73,$BL$9),COUNTIF('1.연간시수표'!P73,$BL$7),COUNTIF('1.연간시수표'!P73,$BM$9),COUNTIF('1.연간시수표'!P73,$BM$7)),$BF$6,IF(OR(COUNTIF('1.연간시수표'!P73,$BO$9),COUNTIF('1.연간시수표'!P73,$BO$7)),$BO$6,IF(OR(COUNTIF('1.연간시수표'!P73,$BP$9),COUNTIF('1.연간시수표'!P73,$BP$7)),$BP$6,IF(OR(COUNTIF('1.연간시수표'!P73,$BQ$9),COUNTIF('1.연간시수표'!P73,$BQ$7)),$BQ$6,IF(OR(COUNTIF('1.연간시수표'!P73,$BR$9),COUNTIF('1.연간시수표'!P73,$BR$7)),$BR$6,"_")))))))))))))))</f>
        <v>수학</v>
      </c>
      <c r="Q73" s="148" t="str">
        <f>IF(OR(COUNTIF('1.연간시수표'!Q73,$AT$9),COUNTIF('1.연간시수표'!Q73,$AT$7)),$AT$6,IF(OR(COUNTIF('1.연간시수표'!Q73,$AU$9),COUNTIF('1.연간시수표'!Q73,$AU$7)),$AU$6,IF(OR(COUNTIF('1.연간시수표'!Q73,$AV$9),COUNTIF('1.연간시수표'!Q73,$AV$7)),$AV$6,IF(OR(COUNTIF('1.연간시수표'!Q73,$AW$9),COUNTIF('1.연간시수표'!Q73,$AW$7)),$AW$6,IF(OR(COUNTIF('1.연간시수표'!Q73,$AX$9),COUNTIF('1.연간시수표'!Q73,$AX$7)),$AX$6,IF(OR(COUNTIF('1.연간시수표'!Q73,$AY$9),COUNTIF('1.연간시수표'!Q73,$AY$7)),$AY$6,IF(OR(COUNTIF('1.연간시수표'!Q73,$AZ$9),COUNTIF('1.연간시수표'!Q73,$AZ$7)),$AZ$6,IF(OR(COUNTIF('1.연간시수표'!Q73,$BA$9),COUNTIF('1.연간시수표'!Q73,$BA$7)),$BA$6,IF(OR(COUNTIF('1.연간시수표'!Q73,$BB$9),COUNTIF('1.연간시수표'!Q73,$BB$7)),$BB$6,IF(OR(COUNTIF('1.연간시수표'!Q73,$BC$9),COUNTIF('1.연간시수표'!Q73,$BC$7)),$BC$6,IF(OR(COUNTIF('1.연간시수표'!Q73,$BF$9),COUNTIF('1.연간시수표'!Q73,$BF$7),COUNTIF('1.연간시수표'!Q73,$BG$9),COUNTIF('1.연간시수표'!Q73,$BG$7),COUNTIF('1.연간시수표'!Q73,$BH$9),COUNTIF('1.연간시수표'!Q73,$BH$7),COUNTIF('1.연간시수표'!Q73,$BI$9),COUNTIF('1.연간시수표'!Q73,$BI$7),COUNTIF('1.연간시수표'!Q73,$BJ$9),COUNTIF('1.연간시수표'!Q73,$BJ$7),COUNTIF('1.연간시수표'!Q73,$BK$9),COUNTIF('1.연간시수표'!Q73,$BK$7),COUNTIF('1.연간시수표'!Q73,$BL$9),COUNTIF('1.연간시수표'!Q73,$BL$7),COUNTIF('1.연간시수표'!Q73,$BM$9),COUNTIF('1.연간시수표'!Q73,$BM$7)),$BF$6,IF(OR(COUNTIF('1.연간시수표'!Q73,$BO$9),COUNTIF('1.연간시수표'!Q73,$BO$7)),$BO$6,IF(OR(COUNTIF('1.연간시수표'!Q73,$BP$9),COUNTIF('1.연간시수표'!Q73,$BP$7)),$BP$6,IF(OR(COUNTIF('1.연간시수표'!Q73,$BQ$9),COUNTIF('1.연간시수표'!Q73,$BQ$7)),$BQ$6,IF(OR(COUNTIF('1.연간시수표'!Q73,$BR$9),COUNTIF('1.연간시수표'!Q73,$BR$7)),$BR$6,"_")))))))))))))))</f>
        <v>과학</v>
      </c>
      <c r="R73" s="148" t="str">
        <f>IF(OR(COUNTIF('1.연간시수표'!R73,$AT$9),COUNTIF('1.연간시수표'!R73,$AT$7)),$AT$6,IF(OR(COUNTIF('1.연간시수표'!R73,$AU$9),COUNTIF('1.연간시수표'!R73,$AU$7)),$AU$6,IF(OR(COUNTIF('1.연간시수표'!R73,$AV$9),COUNTIF('1.연간시수표'!R73,$AV$7)),$AV$6,IF(OR(COUNTIF('1.연간시수표'!R73,$AW$9),COUNTIF('1.연간시수표'!R73,$AW$7)),$AW$6,IF(OR(COUNTIF('1.연간시수표'!R73,$AX$9),COUNTIF('1.연간시수표'!R73,$AX$7)),$AX$6,IF(OR(COUNTIF('1.연간시수표'!R73,$AY$9),COUNTIF('1.연간시수표'!R73,$AY$7)),$AY$6,IF(OR(COUNTIF('1.연간시수표'!R73,$AZ$9),COUNTIF('1.연간시수표'!R73,$AZ$7)),$AZ$6,IF(OR(COUNTIF('1.연간시수표'!R73,$BA$9),COUNTIF('1.연간시수표'!R73,$BA$7)),$BA$6,IF(OR(COUNTIF('1.연간시수표'!R73,$BB$9),COUNTIF('1.연간시수표'!R73,$BB$7)),$BB$6,IF(OR(COUNTIF('1.연간시수표'!R73,$BC$9),COUNTIF('1.연간시수표'!R73,$BC$7)),$BC$6,IF(OR(COUNTIF('1.연간시수표'!R73,$BF$9),COUNTIF('1.연간시수표'!R73,$BF$7),COUNTIF('1.연간시수표'!R73,$BG$9),COUNTIF('1.연간시수표'!R73,$BG$7),COUNTIF('1.연간시수표'!R73,$BH$9),COUNTIF('1.연간시수표'!R73,$BH$7),COUNTIF('1.연간시수표'!R73,$BI$9),COUNTIF('1.연간시수표'!R73,$BI$7),COUNTIF('1.연간시수표'!R73,$BJ$9),COUNTIF('1.연간시수표'!R73,$BJ$7),COUNTIF('1.연간시수표'!R73,$BK$9),COUNTIF('1.연간시수표'!R73,$BK$7),COUNTIF('1.연간시수표'!R73,$BL$9),COUNTIF('1.연간시수표'!R73,$BL$7),COUNTIF('1.연간시수표'!R73,$BM$9),COUNTIF('1.연간시수표'!R73,$BM$7)),$BF$6,IF(OR(COUNTIF('1.연간시수표'!R73,$BO$9),COUNTIF('1.연간시수표'!R73,$BO$7)),$BO$6,IF(OR(COUNTIF('1.연간시수표'!R73,$BP$9),COUNTIF('1.연간시수표'!R73,$BP$7)),$BP$6,IF(OR(COUNTIF('1.연간시수표'!R73,$BQ$9),COUNTIF('1.연간시수표'!R73,$BQ$7)),$BQ$6,IF(OR(COUNTIF('1.연간시수표'!R73,$BR$9),COUNTIF('1.연간시수표'!R73,$BR$7)),$BR$6,"_")))))))))))))))</f>
        <v>_</v>
      </c>
      <c r="S73" s="148" t="str">
        <f>IF(OR(COUNTIF('1.연간시수표'!S73,$AT$9),COUNTIF('1.연간시수표'!S73,$AT$7)),$AT$6,IF(OR(COUNTIF('1.연간시수표'!S73,$AU$9),COUNTIF('1.연간시수표'!S73,$AU$7)),$AU$6,IF(OR(COUNTIF('1.연간시수표'!S73,$AV$9),COUNTIF('1.연간시수표'!S73,$AV$7)),$AV$6,IF(OR(COUNTIF('1.연간시수표'!S73,$AW$9),COUNTIF('1.연간시수표'!S73,$AW$7)),$AW$6,IF(OR(COUNTIF('1.연간시수표'!S73,$AX$9),COUNTIF('1.연간시수표'!S73,$AX$7)),$AX$6,IF(OR(COUNTIF('1.연간시수표'!S73,$AY$9),COUNTIF('1.연간시수표'!S73,$AY$7)),$AY$6,IF(OR(COUNTIF('1.연간시수표'!S73,$AZ$9),COUNTIF('1.연간시수표'!S73,$AZ$7)),$AZ$6,IF(OR(COUNTIF('1.연간시수표'!S73,$BA$9),COUNTIF('1.연간시수표'!S73,$BA$7)),$BA$6,IF(OR(COUNTIF('1.연간시수표'!S73,$BB$9),COUNTIF('1.연간시수표'!S73,$BB$7)),$BB$6,IF(OR(COUNTIF('1.연간시수표'!S73,$BC$9),COUNTIF('1.연간시수표'!S73,$BC$7)),$BC$6,IF(OR(COUNTIF('1.연간시수표'!S73,$BF$9),COUNTIF('1.연간시수표'!S73,$BF$7),COUNTIF('1.연간시수표'!S73,$BG$9),COUNTIF('1.연간시수표'!S73,$BG$7),COUNTIF('1.연간시수표'!S73,$BH$9),COUNTIF('1.연간시수표'!S73,$BH$7),COUNTIF('1.연간시수표'!S73,$BI$9),COUNTIF('1.연간시수표'!S73,$BI$7),COUNTIF('1.연간시수표'!S73,$BJ$9),COUNTIF('1.연간시수표'!S73,$BJ$7),COUNTIF('1.연간시수표'!S73,$BK$9),COUNTIF('1.연간시수표'!S73,$BK$7),COUNTIF('1.연간시수표'!S73,$BL$9),COUNTIF('1.연간시수표'!S73,$BL$7),COUNTIF('1.연간시수표'!S73,$BM$9),COUNTIF('1.연간시수표'!S73,$BM$7)),$BF$6,IF(OR(COUNTIF('1.연간시수표'!S73,$BO$9),COUNTIF('1.연간시수표'!S73,$BO$7)),$BO$6,IF(OR(COUNTIF('1.연간시수표'!S73,$BP$9),COUNTIF('1.연간시수표'!S73,$BP$7)),$BP$6,IF(OR(COUNTIF('1.연간시수표'!S73,$BQ$9),COUNTIF('1.연간시수표'!S73,$BQ$7)),$BQ$6,IF(OR(COUNTIF('1.연간시수표'!S73,$BR$9),COUNTIF('1.연간시수표'!S73,$BR$7)),$BR$6,"_")))))))))))))))</f>
        <v>_</v>
      </c>
      <c r="T73" s="148" t="str">
        <f>IF(OR(COUNTIF('1.연간시수표'!T73,$AT$9),COUNTIF('1.연간시수표'!T73,$AT$7)),$AT$6,IF(OR(COUNTIF('1.연간시수표'!T73,$AU$9),COUNTIF('1.연간시수표'!T73,$AU$7)),$AU$6,IF(OR(COUNTIF('1.연간시수표'!T73,$AV$9),COUNTIF('1.연간시수표'!T73,$AV$7)),$AV$6,IF(OR(COUNTIF('1.연간시수표'!T73,$AW$9),COUNTIF('1.연간시수표'!T73,$AW$7)),$AW$6,IF(OR(COUNTIF('1.연간시수표'!T73,$AX$9),COUNTIF('1.연간시수표'!T73,$AX$7)),$AX$6,IF(OR(COUNTIF('1.연간시수표'!T73,$AY$9),COUNTIF('1.연간시수표'!T73,$AY$7)),$AY$6,IF(OR(COUNTIF('1.연간시수표'!T73,$AZ$9),COUNTIF('1.연간시수표'!T73,$AZ$7)),$AZ$6,IF(OR(COUNTIF('1.연간시수표'!T73,$BA$9),COUNTIF('1.연간시수표'!T73,$BA$7)),$BA$6,IF(OR(COUNTIF('1.연간시수표'!T73,$BB$9),COUNTIF('1.연간시수표'!T73,$BB$7)),$BB$6,IF(OR(COUNTIF('1.연간시수표'!T73,$BC$9),COUNTIF('1.연간시수표'!T73,$BC$7)),$BC$6,IF(OR(COUNTIF('1.연간시수표'!T73,$BF$9),COUNTIF('1.연간시수표'!T73,$BF$7),COUNTIF('1.연간시수표'!T73,$BG$9),COUNTIF('1.연간시수표'!T73,$BG$7),COUNTIF('1.연간시수표'!T73,$BH$9),COUNTIF('1.연간시수표'!T73,$BH$7),COUNTIF('1.연간시수표'!T73,$BI$9),COUNTIF('1.연간시수표'!T73,$BI$7),COUNTIF('1.연간시수표'!T73,$BJ$9),COUNTIF('1.연간시수표'!T73,$BJ$7),COUNTIF('1.연간시수표'!T73,$BK$9),COUNTIF('1.연간시수표'!T73,$BK$7),COUNTIF('1.연간시수표'!T73,$BL$9),COUNTIF('1.연간시수표'!T73,$BL$7),COUNTIF('1.연간시수표'!T73,$BM$9),COUNTIF('1.연간시수표'!T73,$BM$7)),$BF$6,IF(OR(COUNTIF('1.연간시수표'!T73,$BO$9),COUNTIF('1.연간시수표'!T73,$BO$7)),$BO$6,IF(OR(COUNTIF('1.연간시수표'!T73,$BP$9),COUNTIF('1.연간시수표'!T73,$BP$7)),$BP$6,IF(OR(COUNTIF('1.연간시수표'!T73,$BQ$9),COUNTIF('1.연간시수표'!T73,$BQ$7)),$BQ$6,IF(OR(COUNTIF('1.연간시수표'!T73,$BR$9),COUNTIF('1.연간시수표'!T73,$BR$7)),$BR$6,"_")))))))))))))))</f>
        <v>_</v>
      </c>
      <c r="U73" s="148" t="str">
        <f>IF(OR(COUNTIF('1.연간시수표'!U73,$AT$9),COUNTIF('1.연간시수표'!U73,$AT$7)),$AT$6,IF(OR(COUNTIF('1.연간시수표'!U73,$AU$9),COUNTIF('1.연간시수표'!U73,$AU$7)),$AU$6,IF(OR(COUNTIF('1.연간시수표'!U73,$AV$9),COUNTIF('1.연간시수표'!U73,$AV$7)),$AV$6,IF(OR(COUNTIF('1.연간시수표'!U73,$AW$9),COUNTIF('1.연간시수표'!U73,$AW$7)),$AW$6,IF(OR(COUNTIF('1.연간시수표'!U73,$AX$9),COUNTIF('1.연간시수표'!U73,$AX$7)),$AX$6,IF(OR(COUNTIF('1.연간시수표'!U73,$AY$9),COUNTIF('1.연간시수표'!U73,$AY$7)),$AY$6,IF(OR(COUNTIF('1.연간시수표'!U73,$AZ$9),COUNTIF('1.연간시수표'!U73,$AZ$7)),$AZ$6,IF(OR(COUNTIF('1.연간시수표'!U73,$BA$9),COUNTIF('1.연간시수표'!U73,$BA$7)),$BA$6,IF(OR(COUNTIF('1.연간시수표'!U73,$BB$9),COUNTIF('1.연간시수표'!U73,$BB$7)),$BB$6,IF(OR(COUNTIF('1.연간시수표'!U73,$BC$9),COUNTIF('1.연간시수표'!U73,$BC$7)),$BC$6,IF(OR(COUNTIF('1.연간시수표'!U73,$BF$9),COUNTIF('1.연간시수표'!U73,$BF$7),COUNTIF('1.연간시수표'!U73,$BG$9),COUNTIF('1.연간시수표'!U73,$BG$7),COUNTIF('1.연간시수표'!U73,$BH$9),COUNTIF('1.연간시수표'!U73,$BH$7),COUNTIF('1.연간시수표'!U73,$BI$9),COUNTIF('1.연간시수표'!U73,$BI$7),COUNTIF('1.연간시수표'!U73,$BJ$9),COUNTIF('1.연간시수표'!U73,$BJ$7),COUNTIF('1.연간시수표'!U73,$BK$9),COUNTIF('1.연간시수표'!U73,$BK$7),COUNTIF('1.연간시수표'!U73,$BL$9),COUNTIF('1.연간시수표'!U73,$BL$7),COUNTIF('1.연간시수표'!U73,$BM$9),COUNTIF('1.연간시수표'!U73,$BM$7)),$BF$6,IF(OR(COUNTIF('1.연간시수표'!U73,$BO$9),COUNTIF('1.연간시수표'!U73,$BO$7)),$BO$6,IF(OR(COUNTIF('1.연간시수표'!U73,$BP$9),COUNTIF('1.연간시수표'!U73,$BP$7)),$BP$6,IF(OR(COUNTIF('1.연간시수표'!U73,$BQ$9),COUNTIF('1.연간시수표'!U73,$BQ$7)),$BQ$6,IF(OR(COUNTIF('1.연간시수표'!U73,$BR$9),COUNTIF('1.연간시수표'!U73,$BR$7)),$BR$6,"_")))))))))))))))</f>
        <v>영어</v>
      </c>
      <c r="V73" s="148" t="str">
        <f>IF(OR(COUNTIF('1.연간시수표'!V73,$AT$9),COUNTIF('1.연간시수표'!V73,$AT$7)),$AT$6,IF(OR(COUNTIF('1.연간시수표'!V73,$AU$9),COUNTIF('1.연간시수표'!V73,$AU$7)),$AU$6,IF(OR(COUNTIF('1.연간시수표'!V73,$AV$9),COUNTIF('1.연간시수표'!V73,$AV$7)),$AV$6,IF(OR(COUNTIF('1.연간시수표'!V73,$AW$9),COUNTIF('1.연간시수표'!V73,$AW$7)),$AW$6,IF(OR(COUNTIF('1.연간시수표'!V73,$AX$9),COUNTIF('1.연간시수표'!V73,$AX$7)),$AX$6,IF(OR(COUNTIF('1.연간시수표'!V73,$AY$9),COUNTIF('1.연간시수표'!V73,$AY$7)),$AY$6,IF(OR(COUNTIF('1.연간시수표'!V73,$AZ$9),COUNTIF('1.연간시수표'!V73,$AZ$7)),$AZ$6,IF(OR(COUNTIF('1.연간시수표'!V73,$BA$9),COUNTIF('1.연간시수표'!V73,$BA$7)),$BA$6,IF(OR(COUNTIF('1.연간시수표'!V73,$BB$9),COUNTIF('1.연간시수표'!V73,$BB$7)),$BB$6,IF(OR(COUNTIF('1.연간시수표'!V73,$BC$9),COUNTIF('1.연간시수표'!V73,$BC$7)),$BC$6,IF(OR(COUNTIF('1.연간시수표'!V73,$BF$9),COUNTIF('1.연간시수표'!V73,$BF$7),COUNTIF('1.연간시수표'!V73,$BG$9),COUNTIF('1.연간시수표'!V73,$BG$7),COUNTIF('1.연간시수표'!V73,$BH$9),COUNTIF('1.연간시수표'!V73,$BH$7),COUNTIF('1.연간시수표'!V73,$BI$9),COUNTIF('1.연간시수표'!V73,$BI$7),COUNTIF('1.연간시수표'!V73,$BJ$9),COUNTIF('1.연간시수표'!V73,$BJ$7),COUNTIF('1.연간시수표'!V73,$BK$9),COUNTIF('1.연간시수표'!V73,$BK$7),COUNTIF('1.연간시수표'!V73,$BL$9),COUNTIF('1.연간시수표'!V73,$BL$7),COUNTIF('1.연간시수표'!V73,$BM$9),COUNTIF('1.연간시수표'!V73,$BM$7)),$BF$6,IF(OR(COUNTIF('1.연간시수표'!V73,$BO$9),COUNTIF('1.연간시수표'!V73,$BO$7)),$BO$6,IF(OR(COUNTIF('1.연간시수표'!V73,$BP$9),COUNTIF('1.연간시수표'!V73,$BP$7)),$BP$6,IF(OR(COUNTIF('1.연간시수표'!V73,$BQ$9),COUNTIF('1.연간시수표'!V73,$BQ$7)),$BQ$6,IF(OR(COUNTIF('1.연간시수표'!V73,$BR$9),COUNTIF('1.연간시수표'!V73,$BR$7)),$BR$6,"_")))))))))))))))</f>
        <v>과학</v>
      </c>
      <c r="W73" s="148" t="str">
        <f>IF(OR(COUNTIF('1.연간시수표'!W73,$AT$9),COUNTIF('1.연간시수표'!W73,$AT$7)),$AT$6,IF(OR(COUNTIF('1.연간시수표'!W73,$AU$9),COUNTIF('1.연간시수표'!W73,$AU$7)),$AU$6,IF(OR(COUNTIF('1.연간시수표'!W73,$AV$9),COUNTIF('1.연간시수표'!W73,$AV$7)),$AV$6,IF(OR(COUNTIF('1.연간시수표'!W73,$AW$9),COUNTIF('1.연간시수표'!W73,$AW$7)),$AW$6,IF(OR(COUNTIF('1.연간시수표'!W73,$AX$9),COUNTIF('1.연간시수표'!W73,$AX$7)),$AX$6,IF(OR(COUNTIF('1.연간시수표'!W73,$AY$9),COUNTIF('1.연간시수표'!W73,$AY$7)),$AY$6,IF(OR(COUNTIF('1.연간시수표'!W73,$AZ$9),COUNTIF('1.연간시수표'!W73,$AZ$7)),$AZ$6,IF(OR(COUNTIF('1.연간시수표'!W73,$BA$9),COUNTIF('1.연간시수표'!W73,$BA$7)),$BA$6,IF(OR(COUNTIF('1.연간시수표'!W73,$BB$9),COUNTIF('1.연간시수표'!W73,$BB$7)),$BB$6,IF(OR(COUNTIF('1.연간시수표'!W73,$BC$9),COUNTIF('1.연간시수표'!W73,$BC$7)),$BC$6,IF(OR(COUNTIF('1.연간시수표'!W73,$BF$9),COUNTIF('1.연간시수표'!W73,$BF$7),COUNTIF('1.연간시수표'!W73,$BG$9),COUNTIF('1.연간시수표'!W73,$BG$7),COUNTIF('1.연간시수표'!W73,$BH$9),COUNTIF('1.연간시수표'!W73,$BH$7),COUNTIF('1.연간시수표'!W73,$BI$9),COUNTIF('1.연간시수표'!W73,$BI$7),COUNTIF('1.연간시수표'!W73,$BJ$9),COUNTIF('1.연간시수표'!W73,$BJ$7),COUNTIF('1.연간시수표'!W73,$BK$9),COUNTIF('1.연간시수표'!W73,$BK$7),COUNTIF('1.연간시수표'!W73,$BL$9),COUNTIF('1.연간시수표'!W73,$BL$7),COUNTIF('1.연간시수표'!W73,$BM$9),COUNTIF('1.연간시수표'!W73,$BM$7)),$BF$6,IF(OR(COUNTIF('1.연간시수표'!W73,$BO$9),COUNTIF('1.연간시수표'!W73,$BO$7)),$BO$6,IF(OR(COUNTIF('1.연간시수표'!W73,$BP$9),COUNTIF('1.연간시수표'!W73,$BP$7)),$BP$6,IF(OR(COUNTIF('1.연간시수표'!W73,$BQ$9),COUNTIF('1.연간시수표'!W73,$BQ$7)),$BQ$6,IF(OR(COUNTIF('1.연간시수표'!W73,$BR$9),COUNTIF('1.연간시수표'!W73,$BR$7)),$BR$6,"_")))))))))))))))</f>
        <v>체육</v>
      </c>
      <c r="X73" s="148" t="str">
        <f>IF(OR(COUNTIF('1.연간시수표'!X73,$AT$9),COUNTIF('1.연간시수표'!X73,$AT$7)),$AT$6,IF(OR(COUNTIF('1.연간시수표'!X73,$AU$9),COUNTIF('1.연간시수표'!X73,$AU$7)),$AU$6,IF(OR(COUNTIF('1.연간시수표'!X73,$AV$9),COUNTIF('1.연간시수표'!X73,$AV$7)),$AV$6,IF(OR(COUNTIF('1.연간시수표'!X73,$AW$9),COUNTIF('1.연간시수표'!X73,$AW$7)),$AW$6,IF(OR(COUNTIF('1.연간시수표'!X73,$AX$9),COUNTIF('1.연간시수표'!X73,$AX$7)),$AX$6,IF(OR(COUNTIF('1.연간시수표'!X73,$AY$9),COUNTIF('1.연간시수표'!X73,$AY$7)),$AY$6,IF(OR(COUNTIF('1.연간시수표'!X73,$AZ$9),COUNTIF('1.연간시수표'!X73,$AZ$7)),$AZ$6,IF(OR(COUNTIF('1.연간시수표'!X73,$BA$9),COUNTIF('1.연간시수표'!X73,$BA$7)),$BA$6,IF(OR(COUNTIF('1.연간시수표'!X73,$BB$9),COUNTIF('1.연간시수표'!X73,$BB$7)),$BB$6,IF(OR(COUNTIF('1.연간시수표'!X73,$BC$9),COUNTIF('1.연간시수표'!X73,$BC$7)),$BC$6,IF(OR(COUNTIF('1.연간시수표'!X73,$BF$9),COUNTIF('1.연간시수표'!X73,$BF$7),COUNTIF('1.연간시수표'!X73,$BG$9),COUNTIF('1.연간시수표'!X73,$BG$7),COUNTIF('1.연간시수표'!X73,$BH$9),COUNTIF('1.연간시수표'!X73,$BH$7),COUNTIF('1.연간시수표'!X73,$BI$9),COUNTIF('1.연간시수표'!X73,$BI$7),COUNTIF('1.연간시수표'!X73,$BJ$9),COUNTIF('1.연간시수표'!X73,$BJ$7),COUNTIF('1.연간시수표'!X73,$BK$9),COUNTIF('1.연간시수표'!X73,$BK$7),COUNTIF('1.연간시수표'!X73,$BL$9),COUNTIF('1.연간시수표'!X73,$BL$7),COUNTIF('1.연간시수표'!X73,$BM$9),COUNTIF('1.연간시수표'!X73,$BM$7)),$BF$6,IF(OR(COUNTIF('1.연간시수표'!X73,$BO$9),COUNTIF('1.연간시수표'!X73,$BO$7)),$BO$6,IF(OR(COUNTIF('1.연간시수표'!X73,$BP$9),COUNTIF('1.연간시수표'!X73,$BP$7)),$BP$6,IF(OR(COUNTIF('1.연간시수표'!X73,$BQ$9),COUNTIF('1.연간시수표'!X73,$BQ$7)),$BQ$6,IF(OR(COUNTIF('1.연간시수표'!X73,$BR$9),COUNTIF('1.연간시수표'!X73,$BR$7)),$BR$6,"_")))))))))))))))</f>
        <v>음악</v>
      </c>
      <c r="Y73" s="148" t="str">
        <f>IF(OR(COUNTIF('1.연간시수표'!Y73,$AT$9),COUNTIF('1.연간시수표'!Y73,$AT$7)),$AT$6,IF(OR(COUNTIF('1.연간시수표'!Y73,$AU$9),COUNTIF('1.연간시수표'!Y73,$AU$7)),$AU$6,IF(OR(COUNTIF('1.연간시수표'!Y73,$AV$9),COUNTIF('1.연간시수표'!Y73,$AV$7)),$AV$6,IF(OR(COUNTIF('1.연간시수표'!Y73,$AW$9),COUNTIF('1.연간시수표'!Y73,$AW$7)),$AW$6,IF(OR(COUNTIF('1.연간시수표'!Y73,$AX$9),COUNTIF('1.연간시수표'!Y73,$AX$7)),$AX$6,IF(OR(COUNTIF('1.연간시수표'!Y73,$AY$9),COUNTIF('1.연간시수표'!Y73,$AY$7)),$AY$6,IF(OR(COUNTIF('1.연간시수표'!Y73,$AZ$9),COUNTIF('1.연간시수표'!Y73,$AZ$7)),$AZ$6,IF(OR(COUNTIF('1.연간시수표'!Y73,$BA$9),COUNTIF('1.연간시수표'!Y73,$BA$7)),$BA$6,IF(OR(COUNTIF('1.연간시수표'!Y73,$BB$9),COUNTIF('1.연간시수표'!Y73,$BB$7)),$BB$6,IF(OR(COUNTIF('1.연간시수표'!Y73,$BC$9),COUNTIF('1.연간시수표'!Y73,$BC$7)),$BC$6,IF(OR(COUNTIF('1.연간시수표'!Y73,$BF$9),COUNTIF('1.연간시수표'!Y73,$BF$7),COUNTIF('1.연간시수표'!Y73,$BG$9),COUNTIF('1.연간시수표'!Y73,$BG$7),COUNTIF('1.연간시수표'!Y73,$BH$9),COUNTIF('1.연간시수표'!Y73,$BH$7),COUNTIF('1.연간시수표'!Y73,$BI$9),COUNTIF('1.연간시수표'!Y73,$BI$7),COUNTIF('1.연간시수표'!Y73,$BJ$9),COUNTIF('1.연간시수표'!Y73,$BJ$7),COUNTIF('1.연간시수표'!Y73,$BK$9),COUNTIF('1.연간시수표'!Y73,$BK$7),COUNTIF('1.연간시수표'!Y73,$BL$9),COUNTIF('1.연간시수표'!Y73,$BL$7),COUNTIF('1.연간시수표'!Y73,$BM$9),COUNTIF('1.연간시수표'!Y73,$BM$7)),$BF$6,IF(OR(COUNTIF('1.연간시수표'!Y73,$BO$9),COUNTIF('1.연간시수표'!Y73,$BO$7)),$BO$6,IF(OR(COUNTIF('1.연간시수표'!Y73,$BP$9),COUNTIF('1.연간시수표'!Y73,$BP$7)),$BP$6,IF(OR(COUNTIF('1.연간시수표'!Y73,$BQ$9),COUNTIF('1.연간시수표'!Y73,$BQ$7)),$BQ$6,IF(OR(COUNTIF('1.연간시수표'!Y73,$BR$9),COUNTIF('1.연간시수표'!Y73,$BR$7)),$BR$6,"_")))))))))))))))</f>
        <v>음악</v>
      </c>
      <c r="Z73" s="148" t="str">
        <f>IF(OR(COUNTIF('1.연간시수표'!Z73,$AT$9),COUNTIF('1.연간시수표'!Z73,$AT$7)),$AT$6,IF(OR(COUNTIF('1.연간시수표'!Z73,$AU$9),COUNTIF('1.연간시수표'!Z73,$AU$7)),$AU$6,IF(OR(COUNTIF('1.연간시수표'!Z73,$AV$9),COUNTIF('1.연간시수표'!Z73,$AV$7)),$AV$6,IF(OR(COUNTIF('1.연간시수표'!Z73,$AW$9),COUNTIF('1.연간시수표'!Z73,$AW$7)),$AW$6,IF(OR(COUNTIF('1.연간시수표'!Z73,$AX$9),COUNTIF('1.연간시수표'!Z73,$AX$7)),$AX$6,IF(OR(COUNTIF('1.연간시수표'!Z73,$AY$9),COUNTIF('1.연간시수표'!Z73,$AY$7)),$AY$6,IF(OR(COUNTIF('1.연간시수표'!Z73,$AZ$9),COUNTIF('1.연간시수표'!Z73,$AZ$7)),$AZ$6,IF(OR(COUNTIF('1.연간시수표'!Z73,$BA$9),COUNTIF('1.연간시수표'!Z73,$BA$7)),$BA$6,IF(OR(COUNTIF('1.연간시수표'!Z73,$BB$9),COUNTIF('1.연간시수표'!Z73,$BB$7)),$BB$6,IF(OR(COUNTIF('1.연간시수표'!Z73,$BC$9),COUNTIF('1.연간시수표'!Z73,$BC$7)),$BC$6,IF(OR(COUNTIF('1.연간시수표'!Z73,$BF$9),COUNTIF('1.연간시수표'!Z73,$BF$7),COUNTIF('1.연간시수표'!Z73,$BG$9),COUNTIF('1.연간시수표'!Z73,$BG$7),COUNTIF('1.연간시수표'!Z73,$BH$9),COUNTIF('1.연간시수표'!Z73,$BH$7),COUNTIF('1.연간시수표'!Z73,$BI$9),COUNTIF('1.연간시수표'!Z73,$BI$7),COUNTIF('1.연간시수표'!Z73,$BJ$9),COUNTIF('1.연간시수표'!Z73,$BJ$7),COUNTIF('1.연간시수표'!Z73,$BK$9),COUNTIF('1.연간시수표'!Z73,$BK$7),COUNTIF('1.연간시수표'!Z73,$BL$9),COUNTIF('1.연간시수표'!Z73,$BL$7),COUNTIF('1.연간시수표'!Z73,$BM$9),COUNTIF('1.연간시수표'!Z73,$BM$7)),$BF$6,IF(OR(COUNTIF('1.연간시수표'!Z73,$BO$9),COUNTIF('1.연간시수표'!Z73,$BO$7)),$BO$6,IF(OR(COUNTIF('1.연간시수표'!Z73,$BP$9),COUNTIF('1.연간시수표'!Z73,$BP$7)),$BP$6,IF(OR(COUNTIF('1.연간시수표'!Z73,$BQ$9),COUNTIF('1.연간시수표'!Z73,$BQ$7)),$BQ$6,IF(OR(COUNTIF('1.연간시수표'!Z73,$BR$9),COUNTIF('1.연간시수표'!Z73,$BR$7)),$BR$6,"_")))))))))))))))</f>
        <v>_</v>
      </c>
      <c r="AA73" s="148" t="str">
        <f>IF(OR(COUNTIF('1.연간시수표'!AA73,$AT$9),COUNTIF('1.연간시수표'!AA73,$AT$7)),$AT$6,IF(OR(COUNTIF('1.연간시수표'!AA73,$AU$9),COUNTIF('1.연간시수표'!AA73,$AU$7)),$AU$6,IF(OR(COUNTIF('1.연간시수표'!AA73,$AV$9),COUNTIF('1.연간시수표'!AA73,$AV$7)),$AV$6,IF(OR(COUNTIF('1.연간시수표'!AA73,$AW$9),COUNTIF('1.연간시수표'!AA73,$AW$7)),$AW$6,IF(OR(COUNTIF('1.연간시수표'!AA73,$AX$9),COUNTIF('1.연간시수표'!AA73,$AX$7)),$AX$6,IF(OR(COUNTIF('1.연간시수표'!AA73,$AY$9),COUNTIF('1.연간시수표'!AA73,$AY$7)),$AY$6,IF(OR(COUNTIF('1.연간시수표'!AA73,$AZ$9),COUNTIF('1.연간시수표'!AA73,$AZ$7)),$AZ$6,IF(OR(COUNTIF('1.연간시수표'!AA73,$BA$9),COUNTIF('1.연간시수표'!AA73,$BA$7)),$BA$6,IF(OR(COUNTIF('1.연간시수표'!AA73,$BB$9),COUNTIF('1.연간시수표'!AA73,$BB$7)),$BB$6,IF(OR(COUNTIF('1.연간시수표'!AA73,$BC$9),COUNTIF('1.연간시수표'!AA73,$BC$7)),$BC$6,IF(OR(COUNTIF('1.연간시수표'!AA73,$BF$9),COUNTIF('1.연간시수표'!AA73,$BF$7),COUNTIF('1.연간시수표'!AA73,$BG$9),COUNTIF('1.연간시수표'!AA73,$BG$7),COUNTIF('1.연간시수표'!AA73,$BH$9),COUNTIF('1.연간시수표'!AA73,$BH$7),COUNTIF('1.연간시수표'!AA73,$BI$9),COUNTIF('1.연간시수표'!AA73,$BI$7),COUNTIF('1.연간시수표'!AA73,$BJ$9),COUNTIF('1.연간시수표'!AA73,$BJ$7),COUNTIF('1.연간시수표'!AA73,$BK$9),COUNTIF('1.연간시수표'!AA73,$BK$7),COUNTIF('1.연간시수표'!AA73,$BL$9),COUNTIF('1.연간시수표'!AA73,$BL$7),COUNTIF('1.연간시수표'!AA73,$BM$9),COUNTIF('1.연간시수표'!AA73,$BM$7)),$BF$6,IF(OR(COUNTIF('1.연간시수표'!AA73,$BO$9),COUNTIF('1.연간시수표'!AA73,$BO$7)),$BO$6,IF(OR(COUNTIF('1.연간시수표'!AA73,$BP$9),COUNTIF('1.연간시수표'!AA73,$BP$7)),$BP$6,IF(OR(COUNTIF('1.연간시수표'!AA73,$BQ$9),COUNTIF('1.연간시수표'!AA73,$BQ$7)),$BQ$6,IF(OR(COUNTIF('1.연간시수표'!AA73,$BR$9),COUNTIF('1.연간시수표'!AA73,$BR$7)),$BR$6,"_")))))))))))))))</f>
        <v>_</v>
      </c>
      <c r="AB73" s="148" t="str">
        <f>IF(OR(COUNTIF('1.연간시수표'!AB73,$AT$9),COUNTIF('1.연간시수표'!AB73,$AT$7)),$AT$6,IF(OR(COUNTIF('1.연간시수표'!AB73,$AU$9),COUNTIF('1.연간시수표'!AB73,$AU$7)),$AU$6,IF(OR(COUNTIF('1.연간시수표'!AB73,$AV$9),COUNTIF('1.연간시수표'!AB73,$AV$7)),$AV$6,IF(OR(COUNTIF('1.연간시수표'!AB73,$AW$9),COUNTIF('1.연간시수표'!AB73,$AW$7)),$AW$6,IF(OR(COUNTIF('1.연간시수표'!AB73,$AX$9),COUNTIF('1.연간시수표'!AB73,$AX$7)),$AX$6,IF(OR(COUNTIF('1.연간시수표'!AB73,$AY$9),COUNTIF('1.연간시수표'!AB73,$AY$7)),$AY$6,IF(OR(COUNTIF('1.연간시수표'!AB73,$AZ$9),COUNTIF('1.연간시수표'!AB73,$AZ$7)),$AZ$6,IF(OR(COUNTIF('1.연간시수표'!AB73,$BA$9),COUNTIF('1.연간시수표'!AB73,$BA$7)),$BA$6,IF(OR(COUNTIF('1.연간시수표'!AB73,$BB$9),COUNTIF('1.연간시수표'!AB73,$BB$7)),$BB$6,IF(OR(COUNTIF('1.연간시수표'!AB73,$BC$9),COUNTIF('1.연간시수표'!AB73,$BC$7)),$BC$6,IF(OR(COUNTIF('1.연간시수표'!AB73,$BF$9),COUNTIF('1.연간시수표'!AB73,$BF$7),COUNTIF('1.연간시수표'!AB73,$BG$9),COUNTIF('1.연간시수표'!AB73,$BG$7),COUNTIF('1.연간시수표'!AB73,$BH$9),COUNTIF('1.연간시수표'!AB73,$BH$7),COUNTIF('1.연간시수표'!AB73,$BI$9),COUNTIF('1.연간시수표'!AB73,$BI$7),COUNTIF('1.연간시수표'!AB73,$BJ$9),COUNTIF('1.연간시수표'!AB73,$BJ$7),COUNTIF('1.연간시수표'!AB73,$BK$9),COUNTIF('1.연간시수표'!AB73,$BK$7),COUNTIF('1.연간시수표'!AB73,$BL$9),COUNTIF('1.연간시수표'!AB73,$BL$7),COUNTIF('1.연간시수표'!AB73,$BM$9),COUNTIF('1.연간시수표'!AB73,$BM$7)),$BF$6,IF(OR(COUNTIF('1.연간시수표'!AB73,$BO$9),COUNTIF('1.연간시수표'!AB73,$BO$7)),$BO$6,IF(OR(COUNTIF('1.연간시수표'!AB73,$BP$9),COUNTIF('1.연간시수표'!AB73,$BP$7)),$BP$6,IF(OR(COUNTIF('1.연간시수표'!AB73,$BQ$9),COUNTIF('1.연간시수표'!AB73,$BQ$7)),$BQ$6,IF(OR(COUNTIF('1.연간시수표'!AB73,$BR$9),COUNTIF('1.연간시수표'!AB73,$BR$7)),$BR$6,"_")))))))))))))))</f>
        <v>_</v>
      </c>
      <c r="AC73" s="148" t="str">
        <f>IF(OR(COUNTIF('1.연간시수표'!AC73,$AT$9),COUNTIF('1.연간시수표'!AC73,$AT$7)),$AT$6,IF(OR(COUNTIF('1.연간시수표'!AC73,$AU$9),COUNTIF('1.연간시수표'!AC73,$AU$7)),$AU$6,IF(OR(COUNTIF('1.연간시수표'!AC73,$AV$9),COUNTIF('1.연간시수표'!AC73,$AV$7)),$AV$6,IF(OR(COUNTIF('1.연간시수표'!AC73,$AW$9),COUNTIF('1.연간시수표'!AC73,$AW$7)),$AW$6,IF(OR(COUNTIF('1.연간시수표'!AC73,$AX$9),COUNTIF('1.연간시수표'!AC73,$AX$7)),$AX$6,IF(OR(COUNTIF('1.연간시수표'!AC73,$AY$9),COUNTIF('1.연간시수표'!AC73,$AY$7)),$AY$6,IF(OR(COUNTIF('1.연간시수표'!AC73,$AZ$9),COUNTIF('1.연간시수표'!AC73,$AZ$7)),$AZ$6,IF(OR(COUNTIF('1.연간시수표'!AC73,$BA$9),COUNTIF('1.연간시수표'!AC73,$BA$7)),$BA$6,IF(OR(COUNTIF('1.연간시수표'!AC73,$BB$9),COUNTIF('1.연간시수표'!AC73,$BB$7)),$BB$6,IF(OR(COUNTIF('1.연간시수표'!AC73,$BC$9),COUNTIF('1.연간시수표'!AC73,$BC$7)),$BC$6,IF(OR(COUNTIF('1.연간시수표'!AC73,$BF$9),COUNTIF('1.연간시수표'!AC73,$BF$7),COUNTIF('1.연간시수표'!AC73,$BG$9),COUNTIF('1.연간시수표'!AC73,$BG$7),COUNTIF('1.연간시수표'!AC73,$BH$9),COUNTIF('1.연간시수표'!AC73,$BH$7),COUNTIF('1.연간시수표'!AC73,$BI$9),COUNTIF('1.연간시수표'!AC73,$BI$7),COUNTIF('1.연간시수표'!AC73,$BJ$9),COUNTIF('1.연간시수표'!AC73,$BJ$7),COUNTIF('1.연간시수표'!AC73,$BK$9),COUNTIF('1.연간시수표'!AC73,$BK$7),COUNTIF('1.연간시수표'!AC73,$BL$9),COUNTIF('1.연간시수표'!AC73,$BL$7),COUNTIF('1.연간시수표'!AC73,$BM$9),COUNTIF('1.연간시수표'!AC73,$BM$7)),$BF$6,IF(OR(COUNTIF('1.연간시수표'!AC73,$BO$9),COUNTIF('1.연간시수표'!AC73,$BO$7)),$BO$6,IF(OR(COUNTIF('1.연간시수표'!AC73,$BP$9),COUNTIF('1.연간시수표'!AC73,$BP$7)),$BP$6,IF(OR(COUNTIF('1.연간시수표'!AC73,$BQ$9),COUNTIF('1.연간시수표'!AC73,$BQ$7)),$BQ$6,IF(OR(COUNTIF('1.연간시수표'!AC73,$BR$9),COUNTIF('1.연간시수표'!AC73,$BR$7)),$BR$6,"_")))))))))))))))</f>
        <v>음악</v>
      </c>
      <c r="AD73" s="148" t="str">
        <f>IF(OR(COUNTIF('1.연간시수표'!AD73,$AT$9),COUNTIF('1.연간시수표'!AD73,$AT$7)),$AT$6,IF(OR(COUNTIF('1.연간시수표'!AD73,$AU$9),COUNTIF('1.연간시수표'!AD73,$AU$7)),$AU$6,IF(OR(COUNTIF('1.연간시수표'!AD73,$AV$9),COUNTIF('1.연간시수표'!AD73,$AV$7)),$AV$6,IF(OR(COUNTIF('1.연간시수표'!AD73,$AW$9),COUNTIF('1.연간시수표'!AD73,$AW$7)),$AW$6,IF(OR(COUNTIF('1.연간시수표'!AD73,$AX$9),COUNTIF('1.연간시수표'!AD73,$AX$7)),$AX$6,IF(OR(COUNTIF('1.연간시수표'!AD73,$AY$9),COUNTIF('1.연간시수표'!AD73,$AY$7)),$AY$6,IF(OR(COUNTIF('1.연간시수표'!AD73,$AZ$9),COUNTIF('1.연간시수표'!AD73,$AZ$7)),$AZ$6,IF(OR(COUNTIF('1.연간시수표'!AD73,$BA$9),COUNTIF('1.연간시수표'!AD73,$BA$7)),$BA$6,IF(OR(COUNTIF('1.연간시수표'!AD73,$BB$9),COUNTIF('1.연간시수표'!AD73,$BB$7)),$BB$6,IF(OR(COUNTIF('1.연간시수표'!AD73,$BC$9),COUNTIF('1.연간시수표'!AD73,$BC$7)),$BC$6,IF(OR(COUNTIF('1.연간시수표'!AD73,$BF$9),COUNTIF('1.연간시수표'!AD73,$BF$7),COUNTIF('1.연간시수표'!AD73,$BG$9),COUNTIF('1.연간시수표'!AD73,$BG$7),COUNTIF('1.연간시수표'!AD73,$BH$9),COUNTIF('1.연간시수표'!AD73,$BH$7),COUNTIF('1.연간시수표'!AD73,$BI$9),COUNTIF('1.연간시수표'!AD73,$BI$7),COUNTIF('1.연간시수표'!AD73,$BJ$9),COUNTIF('1.연간시수표'!AD73,$BJ$7),COUNTIF('1.연간시수표'!AD73,$BK$9),COUNTIF('1.연간시수표'!AD73,$BK$7),COUNTIF('1.연간시수표'!AD73,$BL$9),COUNTIF('1.연간시수표'!AD73,$BL$7),COUNTIF('1.연간시수표'!AD73,$BM$9),COUNTIF('1.연간시수표'!AD73,$BM$7)),$BF$6,IF(OR(COUNTIF('1.연간시수표'!AD73,$BO$9),COUNTIF('1.연간시수표'!AD73,$BO$7)),$BO$6,IF(OR(COUNTIF('1.연간시수표'!AD73,$BP$9),COUNTIF('1.연간시수표'!AD73,$BP$7)),$BP$6,IF(OR(COUNTIF('1.연간시수표'!AD73,$BQ$9),COUNTIF('1.연간시수표'!AD73,$BQ$7)),$BQ$6,IF(OR(COUNTIF('1.연간시수표'!AD73,$BR$9),COUNTIF('1.연간시수표'!AD73,$BR$7)),$BR$6,"_")))))))))))))))</f>
        <v>수학</v>
      </c>
      <c r="AE73" s="148" t="str">
        <f>IF(OR(COUNTIF('1.연간시수표'!AE73,$AT$9),COUNTIF('1.연간시수표'!AE73,$AT$7)),$AT$6,IF(OR(COUNTIF('1.연간시수표'!AE73,$AU$9),COUNTIF('1.연간시수표'!AE73,$AU$7)),$AU$6,IF(OR(COUNTIF('1.연간시수표'!AE73,$AV$9),COUNTIF('1.연간시수표'!AE73,$AV$7)),$AV$6,IF(OR(COUNTIF('1.연간시수표'!AE73,$AW$9),COUNTIF('1.연간시수표'!AE73,$AW$7)),$AW$6,IF(OR(COUNTIF('1.연간시수표'!AE73,$AX$9),COUNTIF('1.연간시수표'!AE73,$AX$7)),$AX$6,IF(OR(COUNTIF('1.연간시수표'!AE73,$AY$9),COUNTIF('1.연간시수표'!AE73,$AY$7)),$AY$6,IF(OR(COUNTIF('1.연간시수표'!AE73,$AZ$9),COUNTIF('1.연간시수표'!AE73,$AZ$7)),$AZ$6,IF(OR(COUNTIF('1.연간시수표'!AE73,$BA$9),COUNTIF('1.연간시수표'!AE73,$BA$7)),$BA$6,IF(OR(COUNTIF('1.연간시수표'!AE73,$BB$9),COUNTIF('1.연간시수표'!AE73,$BB$7)),$BB$6,IF(OR(COUNTIF('1.연간시수표'!AE73,$BC$9),COUNTIF('1.연간시수표'!AE73,$BC$7)),$BC$6,IF(OR(COUNTIF('1.연간시수표'!AE73,$BF$9),COUNTIF('1.연간시수표'!AE73,$BF$7),COUNTIF('1.연간시수표'!AE73,$BG$9),COUNTIF('1.연간시수표'!AE73,$BG$7),COUNTIF('1.연간시수표'!AE73,$BH$9),COUNTIF('1.연간시수표'!AE73,$BH$7),COUNTIF('1.연간시수표'!AE73,$BI$9),COUNTIF('1.연간시수표'!AE73,$BI$7),COUNTIF('1.연간시수표'!AE73,$BJ$9),COUNTIF('1.연간시수표'!AE73,$BJ$7),COUNTIF('1.연간시수표'!AE73,$BK$9),COUNTIF('1.연간시수표'!AE73,$BK$7),COUNTIF('1.연간시수표'!AE73,$BL$9),COUNTIF('1.연간시수표'!AE73,$BL$7),COUNTIF('1.연간시수표'!AE73,$BM$9),COUNTIF('1.연간시수표'!AE73,$BM$7)),$BF$6,IF(OR(COUNTIF('1.연간시수표'!AE73,$BO$9),COUNTIF('1.연간시수표'!AE73,$BO$7)),$BO$6,IF(OR(COUNTIF('1.연간시수표'!AE73,$BP$9),COUNTIF('1.연간시수표'!AE73,$BP$7)),$BP$6,IF(OR(COUNTIF('1.연간시수표'!AE73,$BQ$9),COUNTIF('1.연간시수표'!AE73,$BQ$7)),$BQ$6,IF(OR(COUNTIF('1.연간시수표'!AE73,$BR$9),COUNTIF('1.연간시수표'!AE73,$BR$7)),$BR$6,"_")))))))))))))))</f>
        <v>체육</v>
      </c>
      <c r="AF73" s="148" t="str">
        <f>IF(OR(COUNTIF('1.연간시수표'!AF73,$AT$9),COUNTIF('1.연간시수표'!AF73,$AT$7)),$AT$6,IF(OR(COUNTIF('1.연간시수표'!AF73,$AU$9),COUNTIF('1.연간시수표'!AF73,$AU$7)),$AU$6,IF(OR(COUNTIF('1.연간시수표'!AF73,$AV$9),COUNTIF('1.연간시수표'!AF73,$AV$7)),$AV$6,IF(OR(COUNTIF('1.연간시수표'!AF73,$AW$9),COUNTIF('1.연간시수표'!AF73,$AW$7)),$AW$6,IF(OR(COUNTIF('1.연간시수표'!AF73,$AX$9),COUNTIF('1.연간시수표'!AF73,$AX$7)),$AX$6,IF(OR(COUNTIF('1.연간시수표'!AF73,$AY$9),COUNTIF('1.연간시수표'!AF73,$AY$7)),$AY$6,IF(OR(COUNTIF('1.연간시수표'!AF73,$AZ$9),COUNTIF('1.연간시수표'!AF73,$AZ$7)),$AZ$6,IF(OR(COUNTIF('1.연간시수표'!AF73,$BA$9),COUNTIF('1.연간시수표'!AF73,$BA$7)),$BA$6,IF(OR(COUNTIF('1.연간시수표'!AF73,$BB$9),COUNTIF('1.연간시수표'!AF73,$BB$7)),$BB$6,IF(OR(COUNTIF('1.연간시수표'!AF73,$BC$9),COUNTIF('1.연간시수표'!AF73,$BC$7)),$BC$6,IF(OR(COUNTIF('1.연간시수표'!AF73,$BF$9),COUNTIF('1.연간시수표'!AF73,$BF$7),COUNTIF('1.연간시수표'!AF73,$BG$9),COUNTIF('1.연간시수표'!AF73,$BG$7),COUNTIF('1.연간시수표'!AF73,$BH$9),COUNTIF('1.연간시수표'!AF73,$BH$7),COUNTIF('1.연간시수표'!AF73,$BI$9),COUNTIF('1.연간시수표'!AF73,$BI$7),COUNTIF('1.연간시수표'!AF73,$BJ$9),COUNTIF('1.연간시수표'!AF73,$BJ$7),COUNTIF('1.연간시수표'!AF73,$BK$9),COUNTIF('1.연간시수표'!AF73,$BK$7),COUNTIF('1.연간시수표'!AF73,$BL$9),COUNTIF('1.연간시수표'!AF73,$BL$7),COUNTIF('1.연간시수표'!AF73,$BM$9),COUNTIF('1.연간시수표'!AF73,$BM$7)),$BF$6,IF(OR(COUNTIF('1.연간시수표'!AF73,$BO$9),COUNTIF('1.연간시수표'!AF73,$BO$7)),$BO$6,IF(OR(COUNTIF('1.연간시수표'!AF73,$BP$9),COUNTIF('1.연간시수표'!AF73,$BP$7)),$BP$6,IF(OR(COUNTIF('1.연간시수표'!AF73,$BQ$9),COUNTIF('1.연간시수표'!AF73,$BQ$7)),$BQ$6,IF(OR(COUNTIF('1.연간시수표'!AF73,$BR$9),COUNTIF('1.연간시수표'!AF73,$BR$7)),$BR$6,"_")))))))))))))))</f>
        <v>자율활동</v>
      </c>
      <c r="AG73" s="148" t="str">
        <f>IF(OR(COUNTIF('1.연간시수표'!AG73,$AT$9),COUNTIF('1.연간시수표'!AG73,$AT$7)),$AT$6,IF(OR(COUNTIF('1.연간시수표'!AG73,$AU$9),COUNTIF('1.연간시수표'!AG73,$AU$7)),$AU$6,IF(OR(COUNTIF('1.연간시수표'!AG73,$AV$9),COUNTIF('1.연간시수표'!AG73,$AV$7)),$AV$6,IF(OR(COUNTIF('1.연간시수표'!AG73,$AW$9),COUNTIF('1.연간시수표'!AG73,$AW$7)),$AW$6,IF(OR(COUNTIF('1.연간시수표'!AG73,$AX$9),COUNTIF('1.연간시수표'!AG73,$AX$7)),$AX$6,IF(OR(COUNTIF('1.연간시수표'!AG73,$AY$9),COUNTIF('1.연간시수표'!AG73,$AY$7)),$AY$6,IF(OR(COUNTIF('1.연간시수표'!AG73,$AZ$9),COUNTIF('1.연간시수표'!AG73,$AZ$7)),$AZ$6,IF(OR(COUNTIF('1.연간시수표'!AG73,$BA$9),COUNTIF('1.연간시수표'!AG73,$BA$7)),$BA$6,IF(OR(COUNTIF('1.연간시수표'!AG73,$BB$9),COUNTIF('1.연간시수표'!AG73,$BB$7)),$BB$6,IF(OR(COUNTIF('1.연간시수표'!AG73,$BC$9),COUNTIF('1.연간시수표'!AG73,$BC$7)),$BC$6,IF(OR(COUNTIF('1.연간시수표'!AG73,$BF$9),COUNTIF('1.연간시수표'!AG73,$BF$7),COUNTIF('1.연간시수표'!AG73,$BG$9),COUNTIF('1.연간시수표'!AG73,$BG$7),COUNTIF('1.연간시수표'!AG73,$BH$9),COUNTIF('1.연간시수표'!AG73,$BH$7),COUNTIF('1.연간시수표'!AG73,$BI$9),COUNTIF('1.연간시수표'!AG73,$BI$7),COUNTIF('1.연간시수표'!AG73,$BJ$9),COUNTIF('1.연간시수표'!AG73,$BJ$7),COUNTIF('1.연간시수표'!AG73,$BK$9),COUNTIF('1.연간시수표'!AG73,$BK$7),COUNTIF('1.연간시수표'!AG73,$BL$9),COUNTIF('1.연간시수표'!AG73,$BL$7),COUNTIF('1.연간시수표'!AG73,$BM$9),COUNTIF('1.연간시수표'!AG73,$BM$7)),$BF$6,IF(OR(COUNTIF('1.연간시수표'!AG73,$BO$9),COUNTIF('1.연간시수표'!AG73,$BO$7)),$BO$6,IF(OR(COUNTIF('1.연간시수표'!AG73,$BP$9),COUNTIF('1.연간시수표'!AG73,$BP$7)),$BP$6,IF(OR(COUNTIF('1.연간시수표'!AG73,$BQ$9),COUNTIF('1.연간시수표'!AG73,$BQ$7)),$BQ$6,IF(OR(COUNTIF('1.연간시수표'!AG73,$BR$9),COUNTIF('1.연간시수표'!AG73,$BR$7)),$BR$6,"_")))))))))))))))</f>
        <v>과학</v>
      </c>
      <c r="AH73" s="148" t="str">
        <f>IF(OR(COUNTIF('1.연간시수표'!AH73,$AT$9),COUNTIF('1.연간시수표'!AH73,$AT$7)),$AT$6,IF(OR(COUNTIF('1.연간시수표'!AH73,$AU$9),COUNTIF('1.연간시수표'!AH73,$AU$7)),$AU$6,IF(OR(COUNTIF('1.연간시수표'!AH73,$AV$9),COUNTIF('1.연간시수표'!AH73,$AV$7)),$AV$6,IF(OR(COUNTIF('1.연간시수표'!AH73,$AW$9),COUNTIF('1.연간시수표'!AH73,$AW$7)),$AW$6,IF(OR(COUNTIF('1.연간시수표'!AH73,$AX$9),COUNTIF('1.연간시수표'!AH73,$AX$7)),$AX$6,IF(OR(COUNTIF('1.연간시수표'!AH73,$AY$9),COUNTIF('1.연간시수표'!AH73,$AY$7)),$AY$6,IF(OR(COUNTIF('1.연간시수표'!AH73,$AZ$9),COUNTIF('1.연간시수표'!AH73,$AZ$7)),$AZ$6,IF(OR(COUNTIF('1.연간시수표'!AH73,$BA$9),COUNTIF('1.연간시수표'!AH73,$BA$7)),$BA$6,IF(OR(COUNTIF('1.연간시수표'!AH73,$BB$9),COUNTIF('1.연간시수표'!AH73,$BB$7)),$BB$6,IF(OR(COUNTIF('1.연간시수표'!AH73,$BC$9),COUNTIF('1.연간시수표'!AH73,$BC$7)),$BC$6,IF(OR(COUNTIF('1.연간시수표'!AH73,$BF$9),COUNTIF('1.연간시수표'!AH73,$BF$7),COUNTIF('1.연간시수표'!AH73,$BG$9),COUNTIF('1.연간시수표'!AH73,$BG$7),COUNTIF('1.연간시수표'!AH73,$BH$9),COUNTIF('1.연간시수표'!AH73,$BH$7),COUNTIF('1.연간시수표'!AH73,$BI$9),COUNTIF('1.연간시수표'!AH73,$BI$7),COUNTIF('1.연간시수표'!AH73,$BJ$9),COUNTIF('1.연간시수표'!AH73,$BJ$7),COUNTIF('1.연간시수표'!AH73,$BK$9),COUNTIF('1.연간시수표'!AH73,$BK$7),COUNTIF('1.연간시수표'!AH73,$BL$9),COUNTIF('1.연간시수표'!AH73,$BL$7),COUNTIF('1.연간시수표'!AH73,$BM$9),COUNTIF('1.연간시수표'!AH73,$BM$7)),$BF$6,IF(OR(COUNTIF('1.연간시수표'!AH73,$BO$9),COUNTIF('1.연간시수표'!AH73,$BO$7)),$BO$6,IF(OR(COUNTIF('1.연간시수표'!AH73,$BP$9),COUNTIF('1.연간시수표'!AH73,$BP$7)),$BP$6,IF(OR(COUNTIF('1.연간시수표'!AH73,$BQ$9),COUNTIF('1.연간시수표'!AH73,$BQ$7)),$BQ$6,IF(OR(COUNTIF('1.연간시수표'!AH73,$BR$9),COUNTIF('1.연간시수표'!AH73,$BR$7)),$BR$6,"_")))))))))))))))</f>
        <v>_</v>
      </c>
      <c r="AI73" s="148" t="str">
        <f>IF(OR(COUNTIF('1.연간시수표'!AI73,$AT$9),COUNTIF('1.연간시수표'!AI73,$AT$7)),$AT$6,IF(OR(COUNTIF('1.연간시수표'!AI73,$AU$9),COUNTIF('1.연간시수표'!AI73,$AU$7)),$AU$6,IF(OR(COUNTIF('1.연간시수표'!AI73,$AV$9),COUNTIF('1.연간시수표'!AI73,$AV$7)),$AV$6,IF(OR(COUNTIF('1.연간시수표'!AI73,$AW$9),COUNTIF('1.연간시수표'!AI73,$AW$7)),$AW$6,IF(OR(COUNTIF('1.연간시수표'!AI73,$AX$9),COUNTIF('1.연간시수표'!AI73,$AX$7)),$AX$6,IF(OR(COUNTIF('1.연간시수표'!AI73,$AY$9),COUNTIF('1.연간시수표'!AI73,$AY$7)),$AY$6,IF(OR(COUNTIF('1.연간시수표'!AI73,$AZ$9),COUNTIF('1.연간시수표'!AI73,$AZ$7)),$AZ$6,IF(OR(COUNTIF('1.연간시수표'!AI73,$BA$9),COUNTIF('1.연간시수표'!AI73,$BA$7)),$BA$6,IF(OR(COUNTIF('1.연간시수표'!AI73,$BB$9),COUNTIF('1.연간시수표'!AI73,$BB$7)),$BB$6,IF(OR(COUNTIF('1.연간시수표'!AI73,$BC$9),COUNTIF('1.연간시수표'!AI73,$BC$7)),$BC$6,IF(OR(COUNTIF('1.연간시수표'!AI73,$BF$9),COUNTIF('1.연간시수표'!AI73,$BF$7),COUNTIF('1.연간시수표'!AI73,$BG$9),COUNTIF('1.연간시수표'!AI73,$BG$7),COUNTIF('1.연간시수표'!AI73,$BH$9),COUNTIF('1.연간시수표'!AI73,$BH$7),COUNTIF('1.연간시수표'!AI73,$BI$9),COUNTIF('1.연간시수표'!AI73,$BI$7),COUNTIF('1.연간시수표'!AI73,$BJ$9),COUNTIF('1.연간시수표'!AI73,$BJ$7),COUNTIF('1.연간시수표'!AI73,$BK$9),COUNTIF('1.연간시수표'!AI73,$BK$7),COUNTIF('1.연간시수표'!AI73,$BL$9),COUNTIF('1.연간시수표'!AI73,$BL$7),COUNTIF('1.연간시수표'!AI73,$BM$9),COUNTIF('1.연간시수표'!AI73,$BM$7)),$BF$6,IF(OR(COUNTIF('1.연간시수표'!AI73,$BO$9),COUNTIF('1.연간시수표'!AI73,$BO$7)),$BO$6,IF(OR(COUNTIF('1.연간시수표'!AI73,$BP$9),COUNTIF('1.연간시수표'!AI73,$BP$7)),$BP$6,IF(OR(COUNTIF('1.연간시수표'!AI73,$BQ$9),COUNTIF('1.연간시수표'!AI73,$BQ$7)),$BQ$6,IF(OR(COUNTIF('1.연간시수표'!AI73,$BR$9),COUNTIF('1.연간시수표'!AI73,$BR$7)),$BR$6,"_")))))))))))))))</f>
        <v>_</v>
      </c>
      <c r="AJ73" s="148" t="str">
        <f>IF(OR(COUNTIF('1.연간시수표'!AJ73,$AT$9),COUNTIF('1.연간시수표'!AJ73,$AT$7)),$AT$6,IF(OR(COUNTIF('1.연간시수표'!AJ73,$AU$9),COUNTIF('1.연간시수표'!AJ73,$AU$7)),$AU$6,IF(OR(COUNTIF('1.연간시수표'!AJ73,$AV$9),COUNTIF('1.연간시수표'!AJ73,$AV$7)),$AV$6,IF(OR(COUNTIF('1.연간시수표'!AJ73,$AW$9),COUNTIF('1.연간시수표'!AJ73,$AW$7)),$AW$6,IF(OR(COUNTIF('1.연간시수표'!AJ73,$AX$9),COUNTIF('1.연간시수표'!AJ73,$AX$7)),$AX$6,IF(OR(COUNTIF('1.연간시수표'!AJ73,$AY$9),COUNTIF('1.연간시수표'!AJ73,$AY$7)),$AY$6,IF(OR(COUNTIF('1.연간시수표'!AJ73,$AZ$9),COUNTIF('1.연간시수표'!AJ73,$AZ$7)),$AZ$6,IF(OR(COUNTIF('1.연간시수표'!AJ73,$BA$9),COUNTIF('1.연간시수표'!AJ73,$BA$7)),$BA$6,IF(OR(COUNTIF('1.연간시수표'!AJ73,$BB$9),COUNTIF('1.연간시수표'!AJ73,$BB$7)),$BB$6,IF(OR(COUNTIF('1.연간시수표'!AJ73,$BC$9),COUNTIF('1.연간시수표'!AJ73,$BC$7)),$BC$6,IF(OR(COUNTIF('1.연간시수표'!AJ73,$BF$9),COUNTIF('1.연간시수표'!AJ73,$BF$7),COUNTIF('1.연간시수표'!AJ73,$BG$9),COUNTIF('1.연간시수표'!AJ73,$BG$7),COUNTIF('1.연간시수표'!AJ73,$BH$9),COUNTIF('1.연간시수표'!AJ73,$BH$7),COUNTIF('1.연간시수표'!AJ73,$BI$9),COUNTIF('1.연간시수표'!AJ73,$BI$7),COUNTIF('1.연간시수표'!AJ73,$BJ$9),COUNTIF('1.연간시수표'!AJ73,$BJ$7),COUNTIF('1.연간시수표'!AJ73,$BK$9),COUNTIF('1.연간시수표'!AJ73,$BK$7),COUNTIF('1.연간시수표'!AJ73,$BL$9),COUNTIF('1.연간시수표'!AJ73,$BL$7),COUNTIF('1.연간시수표'!AJ73,$BM$9),COUNTIF('1.연간시수표'!AJ73,$BM$7)),$BF$6,IF(OR(COUNTIF('1.연간시수표'!AJ73,$BO$9),COUNTIF('1.연간시수표'!AJ73,$BO$7)),$BO$6,IF(OR(COUNTIF('1.연간시수표'!AJ73,$BP$9),COUNTIF('1.연간시수표'!AJ73,$BP$7)),$BP$6,IF(OR(COUNTIF('1.연간시수표'!AJ73,$BQ$9),COUNTIF('1.연간시수표'!AJ73,$BQ$7)),$BQ$6,IF(OR(COUNTIF('1.연간시수표'!AJ73,$BR$9),COUNTIF('1.연간시수표'!AJ73,$BR$7)),$BR$6,"_")))))))))))))))</f>
        <v>_</v>
      </c>
      <c r="AK73" s="148" t="str">
        <f>IF(OR(COUNTIF('1.연간시수표'!AK73,$AT$9),COUNTIF('1.연간시수표'!AK73,$AT$7)),$AT$6,IF(OR(COUNTIF('1.연간시수표'!AK73,$AU$9),COUNTIF('1.연간시수표'!AK73,$AU$7)),$AU$6,IF(OR(COUNTIF('1.연간시수표'!AK73,$AV$9),COUNTIF('1.연간시수표'!AK73,$AV$7)),$AV$6,IF(OR(COUNTIF('1.연간시수표'!AK73,$AW$9),COUNTIF('1.연간시수표'!AK73,$AW$7)),$AW$6,IF(OR(COUNTIF('1.연간시수표'!AK73,$AX$9),COUNTIF('1.연간시수표'!AK73,$AX$7)),$AX$6,IF(OR(COUNTIF('1.연간시수표'!AK73,$AY$9),COUNTIF('1.연간시수표'!AK73,$AY$7)),$AY$6,IF(OR(COUNTIF('1.연간시수표'!AK73,$AZ$9),COUNTIF('1.연간시수표'!AK73,$AZ$7)),$AZ$6,IF(OR(COUNTIF('1.연간시수표'!AK73,$BA$9),COUNTIF('1.연간시수표'!AK73,$BA$7)),$BA$6,IF(OR(COUNTIF('1.연간시수표'!AK73,$BB$9),COUNTIF('1.연간시수표'!AK73,$BB$7)),$BB$6,IF(OR(COUNTIF('1.연간시수표'!AK73,$BC$9),COUNTIF('1.연간시수표'!AK73,$BC$7)),$BC$6,IF(OR(COUNTIF('1.연간시수표'!AK73,$BF$9),COUNTIF('1.연간시수표'!AK73,$BF$7),COUNTIF('1.연간시수표'!AK73,$BG$9),COUNTIF('1.연간시수표'!AK73,$BG$7),COUNTIF('1.연간시수표'!AK73,$BH$9),COUNTIF('1.연간시수표'!AK73,$BH$7),COUNTIF('1.연간시수표'!AK73,$BI$9),COUNTIF('1.연간시수표'!AK73,$BI$7),COUNTIF('1.연간시수표'!AK73,$BJ$9),COUNTIF('1.연간시수표'!AK73,$BJ$7),COUNTIF('1.연간시수표'!AK73,$BK$9),COUNTIF('1.연간시수표'!AK73,$BK$7),COUNTIF('1.연간시수표'!AK73,$BL$9),COUNTIF('1.연간시수표'!AK73,$BL$7),COUNTIF('1.연간시수표'!AK73,$BM$9),COUNTIF('1.연간시수표'!AK73,$BM$7)),$BF$6,IF(OR(COUNTIF('1.연간시수표'!AK73,$BO$9),COUNTIF('1.연간시수표'!AK73,$BO$7)),$BO$6,IF(OR(COUNTIF('1.연간시수표'!AK73,$BP$9),COUNTIF('1.연간시수표'!AK73,$BP$7)),$BP$6,IF(OR(COUNTIF('1.연간시수표'!AK73,$BQ$9),COUNTIF('1.연간시수표'!AK73,$BQ$7)),$BQ$6,IF(OR(COUNTIF('1.연간시수표'!AK73,$BR$9),COUNTIF('1.연간시수표'!AK73,$BR$7)),$BR$6,"_")))))))))))))))</f>
        <v>자율활동</v>
      </c>
      <c r="AL73" s="148" t="str">
        <f>IF(OR(COUNTIF('1.연간시수표'!AL73,$AT$9),COUNTIF('1.연간시수표'!AL73,$AT$7)),$AT$6,IF(OR(COUNTIF('1.연간시수표'!AL73,$AU$9),COUNTIF('1.연간시수표'!AL73,$AU$7)),$AU$6,IF(OR(COUNTIF('1.연간시수표'!AL73,$AV$9),COUNTIF('1.연간시수표'!AL73,$AV$7)),$AV$6,IF(OR(COUNTIF('1.연간시수표'!AL73,$AW$9),COUNTIF('1.연간시수표'!AL73,$AW$7)),$AW$6,IF(OR(COUNTIF('1.연간시수표'!AL73,$AX$9),COUNTIF('1.연간시수표'!AL73,$AX$7)),$AX$6,IF(OR(COUNTIF('1.연간시수표'!AL73,$AY$9),COUNTIF('1.연간시수표'!AL73,$AY$7)),$AY$6,IF(OR(COUNTIF('1.연간시수표'!AL73,$AZ$9),COUNTIF('1.연간시수표'!AL73,$AZ$7)),$AZ$6,IF(OR(COUNTIF('1.연간시수표'!AL73,$BA$9),COUNTIF('1.연간시수표'!AL73,$BA$7)),$BA$6,IF(OR(COUNTIF('1.연간시수표'!AL73,$BB$9),COUNTIF('1.연간시수표'!AL73,$BB$7)),$BB$6,IF(OR(COUNTIF('1.연간시수표'!AL73,$BC$9),COUNTIF('1.연간시수표'!AL73,$BC$7)),$BC$6,IF(OR(COUNTIF('1.연간시수표'!AL73,$BF$9),COUNTIF('1.연간시수표'!AL73,$BF$7),COUNTIF('1.연간시수표'!AL73,$BG$9),COUNTIF('1.연간시수표'!AL73,$BG$7),COUNTIF('1.연간시수표'!AL73,$BH$9),COUNTIF('1.연간시수표'!AL73,$BH$7),COUNTIF('1.연간시수표'!AL73,$BI$9),COUNTIF('1.연간시수표'!AL73,$BI$7),COUNTIF('1.연간시수표'!AL73,$BJ$9),COUNTIF('1.연간시수표'!AL73,$BJ$7),COUNTIF('1.연간시수표'!AL73,$BK$9),COUNTIF('1.연간시수표'!AL73,$BK$7),COUNTIF('1.연간시수표'!AL73,$BL$9),COUNTIF('1.연간시수표'!AL73,$BL$7),COUNTIF('1.연간시수표'!AL73,$BM$9),COUNTIF('1.연간시수표'!AL73,$BM$7)),$BF$6,IF(OR(COUNTIF('1.연간시수표'!AL73,$BO$9),COUNTIF('1.연간시수표'!AL73,$BO$7)),$BO$6,IF(OR(COUNTIF('1.연간시수표'!AL73,$BP$9),COUNTIF('1.연간시수표'!AL73,$BP$7)),$BP$6,IF(OR(COUNTIF('1.연간시수표'!AL73,$BQ$9),COUNTIF('1.연간시수표'!AL73,$BQ$7)),$BQ$6,IF(OR(COUNTIF('1.연간시수표'!AL73,$BR$9),COUNTIF('1.연간시수표'!AL73,$BR$7)),$BR$6,"_")))))))))))))))</f>
        <v>자율활동</v>
      </c>
      <c r="AM73" s="148" t="str">
        <f>IF(OR(COUNTIF('1.연간시수표'!AM73,$AT$9),COUNTIF('1.연간시수표'!AM73,$AT$7)),$AT$6,IF(OR(COUNTIF('1.연간시수표'!AM73,$AU$9),COUNTIF('1.연간시수표'!AM73,$AU$7)),$AU$6,IF(OR(COUNTIF('1.연간시수표'!AM73,$AV$9),COUNTIF('1.연간시수표'!AM73,$AV$7)),$AV$6,IF(OR(COUNTIF('1.연간시수표'!AM73,$AW$9),COUNTIF('1.연간시수표'!AM73,$AW$7)),$AW$6,IF(OR(COUNTIF('1.연간시수표'!AM73,$AX$9),COUNTIF('1.연간시수표'!AM73,$AX$7)),$AX$6,IF(OR(COUNTIF('1.연간시수표'!AM73,$AY$9),COUNTIF('1.연간시수표'!AM73,$AY$7)),$AY$6,IF(OR(COUNTIF('1.연간시수표'!AM73,$AZ$9),COUNTIF('1.연간시수표'!AM73,$AZ$7)),$AZ$6,IF(OR(COUNTIF('1.연간시수표'!AM73,$BA$9),COUNTIF('1.연간시수표'!AM73,$BA$7)),$BA$6,IF(OR(COUNTIF('1.연간시수표'!AM73,$BB$9),COUNTIF('1.연간시수표'!AM73,$BB$7)),$BB$6,IF(OR(COUNTIF('1.연간시수표'!AM73,$BC$9),COUNTIF('1.연간시수표'!AM73,$BC$7)),$BC$6,IF(OR(COUNTIF('1.연간시수표'!AM73,$BF$9),COUNTIF('1.연간시수표'!AM73,$BF$7),COUNTIF('1.연간시수표'!AM73,$BG$9),COUNTIF('1.연간시수표'!AM73,$BG$7),COUNTIF('1.연간시수표'!AM73,$BH$9),COUNTIF('1.연간시수표'!AM73,$BH$7),COUNTIF('1.연간시수표'!AM73,$BI$9),COUNTIF('1.연간시수표'!AM73,$BI$7),COUNTIF('1.연간시수표'!AM73,$BJ$9),COUNTIF('1.연간시수표'!AM73,$BJ$7),COUNTIF('1.연간시수표'!AM73,$BK$9),COUNTIF('1.연간시수표'!AM73,$BK$7),COUNTIF('1.연간시수표'!AM73,$BL$9),COUNTIF('1.연간시수표'!AM73,$BL$7),COUNTIF('1.연간시수표'!AM73,$BM$9),COUNTIF('1.연간시수표'!AM73,$BM$7)),$BF$6,IF(OR(COUNTIF('1.연간시수표'!AM73,$BO$9),COUNTIF('1.연간시수표'!AM73,$BO$7)),$BO$6,IF(OR(COUNTIF('1.연간시수표'!AM73,$BP$9),COUNTIF('1.연간시수표'!AM73,$BP$7)),$BP$6,IF(OR(COUNTIF('1.연간시수표'!AM73,$BQ$9),COUNTIF('1.연간시수표'!AM73,$BQ$7)),$BQ$6,IF(OR(COUNTIF('1.연간시수표'!AM73,$BR$9),COUNTIF('1.연간시수표'!AM73,$BR$7)),$BR$6,"_")))))))))))))))</f>
        <v>자율활동</v>
      </c>
      <c r="AN73" s="148" t="str">
        <f>IF(OR(COUNTIF('1.연간시수표'!AN73,$AT$9),COUNTIF('1.연간시수표'!AN73,$AT$7)),$AT$6,IF(OR(COUNTIF('1.연간시수표'!AN73,$AU$9),COUNTIF('1.연간시수표'!AN73,$AU$7)),$AU$6,IF(OR(COUNTIF('1.연간시수표'!AN73,$AV$9),COUNTIF('1.연간시수표'!AN73,$AV$7)),$AV$6,IF(OR(COUNTIF('1.연간시수표'!AN73,$AW$9),COUNTIF('1.연간시수표'!AN73,$AW$7)),$AW$6,IF(OR(COUNTIF('1.연간시수표'!AN73,$AX$9),COUNTIF('1.연간시수표'!AN73,$AX$7)),$AX$6,IF(OR(COUNTIF('1.연간시수표'!AN73,$AY$9),COUNTIF('1.연간시수표'!AN73,$AY$7)),$AY$6,IF(OR(COUNTIF('1.연간시수표'!AN73,$AZ$9),COUNTIF('1.연간시수표'!AN73,$AZ$7)),$AZ$6,IF(OR(COUNTIF('1.연간시수표'!AN73,$BA$9),COUNTIF('1.연간시수표'!AN73,$BA$7)),$BA$6,IF(OR(COUNTIF('1.연간시수표'!AN73,$BB$9),COUNTIF('1.연간시수표'!AN73,$BB$7)),$BB$6,IF(OR(COUNTIF('1.연간시수표'!AN73,$BC$9),COUNTIF('1.연간시수표'!AN73,$BC$7)),$BC$6,IF(OR(COUNTIF('1.연간시수표'!AN73,$BF$9),COUNTIF('1.연간시수표'!AN73,$BF$7),COUNTIF('1.연간시수표'!AN73,$BG$9),COUNTIF('1.연간시수표'!AN73,$BG$7),COUNTIF('1.연간시수표'!AN73,$BH$9),COUNTIF('1.연간시수표'!AN73,$BH$7),COUNTIF('1.연간시수표'!AN73,$BI$9),COUNTIF('1.연간시수표'!AN73,$BI$7),COUNTIF('1.연간시수표'!AN73,$BJ$9),COUNTIF('1.연간시수표'!AN73,$BJ$7),COUNTIF('1.연간시수표'!AN73,$BK$9),COUNTIF('1.연간시수표'!AN73,$BK$7),COUNTIF('1.연간시수표'!AN73,$BL$9),COUNTIF('1.연간시수표'!AN73,$BL$7),COUNTIF('1.연간시수표'!AN73,$BM$9),COUNTIF('1.연간시수표'!AN73,$BM$7)),$BF$6,IF(OR(COUNTIF('1.연간시수표'!AN73,$BO$9),COUNTIF('1.연간시수표'!AN73,$BO$7)),$BO$6,IF(OR(COUNTIF('1.연간시수표'!AN73,$BP$9),COUNTIF('1.연간시수표'!AN73,$BP$7)),$BP$6,IF(OR(COUNTIF('1.연간시수표'!AN73,$BQ$9),COUNTIF('1.연간시수표'!AN73,$BQ$7)),$BQ$6,IF(OR(COUNTIF('1.연간시수표'!AN73,$BR$9),COUNTIF('1.연간시수표'!AN73,$BR$7)),$BR$6,"_")))))))))))))))</f>
        <v>봉사활동</v>
      </c>
      <c r="AO73" s="148" t="str">
        <f>IF(OR(COUNTIF('1.연간시수표'!AO73,$AT$9),COUNTIF('1.연간시수표'!AO73,$AT$7)),$AT$6,IF(OR(COUNTIF('1.연간시수표'!AO73,$AU$9),COUNTIF('1.연간시수표'!AO73,$AU$7)),$AU$6,IF(OR(COUNTIF('1.연간시수표'!AO73,$AV$9),COUNTIF('1.연간시수표'!AO73,$AV$7)),$AV$6,IF(OR(COUNTIF('1.연간시수표'!AO73,$AW$9),COUNTIF('1.연간시수표'!AO73,$AW$7)),$AW$6,IF(OR(COUNTIF('1.연간시수표'!AO73,$AX$9),COUNTIF('1.연간시수표'!AO73,$AX$7)),$AX$6,IF(OR(COUNTIF('1.연간시수표'!AO73,$AY$9),COUNTIF('1.연간시수표'!AO73,$AY$7)),$AY$6,IF(OR(COUNTIF('1.연간시수표'!AO73,$AZ$9),COUNTIF('1.연간시수표'!AO73,$AZ$7)),$AZ$6,IF(OR(COUNTIF('1.연간시수표'!AO73,$BA$9),COUNTIF('1.연간시수표'!AO73,$BA$7)),$BA$6,IF(OR(COUNTIF('1.연간시수표'!AO73,$BB$9),COUNTIF('1.연간시수표'!AO73,$BB$7)),$BB$6,IF(OR(COUNTIF('1.연간시수표'!AO73,$BC$9),COUNTIF('1.연간시수표'!AO73,$BC$7)),$BC$6,IF(OR(COUNTIF('1.연간시수표'!AO73,$BF$9),COUNTIF('1.연간시수표'!AO73,$BF$7),COUNTIF('1.연간시수표'!AO73,$BG$9),COUNTIF('1.연간시수표'!AO73,$BG$7),COUNTIF('1.연간시수표'!AO73,$BH$9),COUNTIF('1.연간시수표'!AO73,$BH$7),COUNTIF('1.연간시수표'!AO73,$BI$9),COUNTIF('1.연간시수표'!AO73,$BI$7),COUNTIF('1.연간시수표'!AO73,$BJ$9),COUNTIF('1.연간시수표'!AO73,$BJ$7),COUNTIF('1.연간시수표'!AO73,$BK$9),COUNTIF('1.연간시수표'!AO73,$BK$7),COUNTIF('1.연간시수표'!AO73,$BL$9),COUNTIF('1.연간시수표'!AO73,$BL$7),COUNTIF('1.연간시수표'!AO73,$BM$9),COUNTIF('1.연간시수표'!AO73,$BM$7)),$BF$6,IF(OR(COUNTIF('1.연간시수표'!AO73,$BO$9),COUNTIF('1.연간시수표'!AO73,$BO$7)),$BO$6,IF(OR(COUNTIF('1.연간시수표'!AO73,$BP$9),COUNTIF('1.연간시수표'!AO73,$BP$7)),$BP$6,IF(OR(COUNTIF('1.연간시수표'!AO73,$BQ$9),COUNTIF('1.연간시수표'!AO73,$BQ$7)),$BQ$6,IF(OR(COUNTIF('1.연간시수표'!AO73,$BR$9),COUNTIF('1.연간시수표'!AO73,$BR$7)),$BR$6,"_")))))))))))))))</f>
        <v>_</v>
      </c>
      <c r="AP73" s="148" t="str">
        <f>IF(OR(COUNTIF('1.연간시수표'!AP73,$AT$9),COUNTIF('1.연간시수표'!AP73,$AT$7)),$AT$6,IF(OR(COUNTIF('1.연간시수표'!AP73,$AU$9),COUNTIF('1.연간시수표'!AP73,$AU$7)),$AU$6,IF(OR(COUNTIF('1.연간시수표'!AP73,$AV$9),COUNTIF('1.연간시수표'!AP73,$AV$7)),$AV$6,IF(OR(COUNTIF('1.연간시수표'!AP73,$AW$9),COUNTIF('1.연간시수표'!AP73,$AW$7)),$AW$6,IF(OR(COUNTIF('1.연간시수표'!AP73,$AX$9),COUNTIF('1.연간시수표'!AP73,$AX$7)),$AX$6,IF(OR(COUNTIF('1.연간시수표'!AP73,$AY$9),COUNTIF('1.연간시수표'!AP73,$AY$7)),$AY$6,IF(OR(COUNTIF('1.연간시수표'!AP73,$AZ$9),COUNTIF('1.연간시수표'!AP73,$AZ$7)),$AZ$6,IF(OR(COUNTIF('1.연간시수표'!AP73,$BA$9),COUNTIF('1.연간시수표'!AP73,$BA$7)),$BA$6,IF(OR(COUNTIF('1.연간시수표'!AP73,$BB$9),COUNTIF('1.연간시수표'!AP73,$BB$7)),$BB$6,IF(OR(COUNTIF('1.연간시수표'!AP73,$BC$9),COUNTIF('1.연간시수표'!AP73,$BC$7)),$BC$6,IF(OR(COUNTIF('1.연간시수표'!AP73,$BF$9),COUNTIF('1.연간시수표'!AP73,$BF$7),COUNTIF('1.연간시수표'!AP73,$BG$9),COUNTIF('1.연간시수표'!AP73,$BG$7),COUNTIF('1.연간시수표'!AP73,$BH$9),COUNTIF('1.연간시수표'!AP73,$BH$7),COUNTIF('1.연간시수표'!AP73,$BI$9),COUNTIF('1.연간시수표'!AP73,$BI$7),COUNTIF('1.연간시수표'!AP73,$BJ$9),COUNTIF('1.연간시수표'!AP73,$BJ$7),COUNTIF('1.연간시수표'!AP73,$BK$9),COUNTIF('1.연간시수표'!AP73,$BK$7),COUNTIF('1.연간시수표'!AP73,$BL$9),COUNTIF('1.연간시수표'!AP73,$BL$7),COUNTIF('1.연간시수표'!AP73,$BM$9),COUNTIF('1.연간시수표'!AP73,$BM$7)),$BF$6,IF(OR(COUNTIF('1.연간시수표'!AP73,$BO$9),COUNTIF('1.연간시수표'!AP73,$BO$7)),$BO$6,IF(OR(COUNTIF('1.연간시수표'!AP73,$BP$9),COUNTIF('1.연간시수표'!AP73,$BP$7)),$BP$6,IF(OR(COUNTIF('1.연간시수표'!AP73,$BQ$9),COUNTIF('1.연간시수표'!AP73,$BQ$7)),$BQ$6,IF(OR(COUNTIF('1.연간시수표'!AP73,$BR$9),COUNTIF('1.연간시수표'!AP73,$BR$7)),$BR$6,"_")))))))))))))))</f>
        <v>_</v>
      </c>
      <c r="AQ73" s="148" t="str">
        <f>IF(OR(COUNTIF('1.연간시수표'!AQ73,$AT$9),COUNTIF('1.연간시수표'!AQ73,$AT$7)),$AT$6,IF(OR(COUNTIF('1.연간시수표'!AQ73,$AU$9),COUNTIF('1.연간시수표'!AQ73,$AU$7)),$AU$6,IF(OR(COUNTIF('1.연간시수표'!AQ73,$AV$9),COUNTIF('1.연간시수표'!AQ73,$AV$7)),$AV$6,IF(OR(COUNTIF('1.연간시수표'!AQ73,$AW$9),COUNTIF('1.연간시수표'!AQ73,$AW$7)),$AW$6,IF(OR(COUNTIF('1.연간시수표'!AQ73,$AX$9),COUNTIF('1.연간시수표'!AQ73,$AX$7)),$AX$6,IF(OR(COUNTIF('1.연간시수표'!AQ73,$AY$9),COUNTIF('1.연간시수표'!AQ73,$AY$7)),$AY$6,IF(OR(COUNTIF('1.연간시수표'!AQ73,$AZ$9),COUNTIF('1.연간시수표'!AQ73,$AZ$7)),$AZ$6,IF(OR(COUNTIF('1.연간시수표'!AQ73,$BA$9),COUNTIF('1.연간시수표'!AQ73,$BA$7)),$BA$6,IF(OR(COUNTIF('1.연간시수표'!AQ73,$BB$9),COUNTIF('1.연간시수표'!AQ73,$BB$7)),$BB$6,IF(OR(COUNTIF('1.연간시수표'!AQ73,$BC$9),COUNTIF('1.연간시수표'!AQ73,$BC$7)),$BC$6,IF(OR(COUNTIF('1.연간시수표'!AQ73,$BF$9),COUNTIF('1.연간시수표'!AQ73,$BF$7),COUNTIF('1.연간시수표'!AQ73,$BG$9),COUNTIF('1.연간시수표'!AQ73,$BG$7),COUNTIF('1.연간시수표'!AQ73,$BH$9),COUNTIF('1.연간시수표'!AQ73,$BH$7),COUNTIF('1.연간시수표'!AQ73,$BI$9),COUNTIF('1.연간시수표'!AQ73,$BI$7),COUNTIF('1.연간시수표'!AQ73,$BJ$9),COUNTIF('1.연간시수표'!AQ73,$BJ$7),COUNTIF('1.연간시수표'!AQ73,$BK$9),COUNTIF('1.연간시수표'!AQ73,$BK$7),COUNTIF('1.연간시수표'!AQ73,$BL$9),COUNTIF('1.연간시수표'!AQ73,$BL$7),COUNTIF('1.연간시수표'!AQ73,$BM$9),COUNTIF('1.연간시수표'!AQ73,$BM$7)),$BF$6,IF(OR(COUNTIF('1.연간시수표'!AQ73,$BO$9),COUNTIF('1.연간시수표'!AQ73,$BO$7)),$BO$6,IF(OR(COUNTIF('1.연간시수표'!AQ73,$BP$9),COUNTIF('1.연간시수표'!AQ73,$BP$7)),$BP$6,IF(OR(COUNTIF('1.연간시수표'!AQ73,$BQ$9),COUNTIF('1.연간시수표'!AQ73,$BQ$7)),$BQ$6,IF(OR(COUNTIF('1.연간시수표'!AQ73,$BR$9),COUNTIF('1.연간시수표'!AQ73,$BR$7)),$BR$6,"_")))))))))))))))</f>
        <v>_</v>
      </c>
      <c r="AR73" s="148" t="str">
        <f>IF(OR(COUNTIF('1.연간시수표'!AR73,$AT$9),COUNTIF('1.연간시수표'!AR73,$AT$7)),$AT$6,IF(OR(COUNTIF('1.연간시수표'!AR73,$AU$9),COUNTIF('1.연간시수표'!AR73,$AU$7)),$AU$6,IF(OR(COUNTIF('1.연간시수표'!AR73,$AV$9),COUNTIF('1.연간시수표'!AR73,$AV$7)),$AV$6,IF(OR(COUNTIF('1.연간시수표'!AR73,$AW$9),COUNTIF('1.연간시수표'!AR73,$AW$7)),$AW$6,IF(OR(COUNTIF('1.연간시수표'!AR73,$AX$9),COUNTIF('1.연간시수표'!AR73,$AX$7)),$AX$6,IF(OR(COUNTIF('1.연간시수표'!AR73,$AY$9),COUNTIF('1.연간시수표'!AR73,$AY$7)),$AY$6,IF(OR(COUNTIF('1.연간시수표'!AR73,$AZ$9),COUNTIF('1.연간시수표'!AR73,$AZ$7)),$AZ$6,IF(OR(COUNTIF('1.연간시수표'!AR73,$BA$9),COUNTIF('1.연간시수표'!AR73,$BA$7)),$BA$6,IF(OR(COUNTIF('1.연간시수표'!AR73,$BB$9),COUNTIF('1.연간시수표'!AR73,$BB$7)),$BB$6,IF(OR(COUNTIF('1.연간시수표'!AR73,$BC$9),COUNTIF('1.연간시수표'!AR73,$BC$7)),$BC$6,IF(OR(COUNTIF('1.연간시수표'!AR73,$BF$9),COUNTIF('1.연간시수표'!AR73,$BF$7),COUNTIF('1.연간시수표'!AR73,$BG$9),COUNTIF('1.연간시수표'!AR73,$BG$7),COUNTIF('1.연간시수표'!AR73,$BH$9),COUNTIF('1.연간시수표'!AR73,$BH$7),COUNTIF('1.연간시수표'!AR73,$BI$9),COUNTIF('1.연간시수표'!AR73,$BI$7),COUNTIF('1.연간시수표'!AR73,$BJ$9),COUNTIF('1.연간시수표'!AR73,$BJ$7),COUNTIF('1.연간시수표'!AR73,$BK$9),COUNTIF('1.연간시수표'!AR73,$BK$7),COUNTIF('1.연간시수표'!AR73,$BL$9),COUNTIF('1.연간시수표'!AR73,$BL$7),COUNTIF('1.연간시수표'!AR73,$BM$9),COUNTIF('1.연간시수표'!AR73,$BM$7)),$BF$6,IF(OR(COUNTIF('1.연간시수표'!AR73,$BO$9),COUNTIF('1.연간시수표'!AR73,$BO$7)),$BO$6,IF(OR(COUNTIF('1.연간시수표'!AR73,$BP$9),COUNTIF('1.연간시수표'!AR73,$BP$7)),$BP$6,IF(OR(COUNTIF('1.연간시수표'!AR73,$BQ$9),COUNTIF('1.연간시수표'!AR73,$BQ$7)),$BQ$6,IF(OR(COUNTIF('1.연간시수표'!AR73,$BR$9),COUNTIF('1.연간시수표'!AR73,$BR$7)),$BR$6,"_")))))))))))))))</f>
        <v>_</v>
      </c>
    </row>
    <row r="74" spans="2:44">
      <c r="B74" s="6"/>
      <c r="C74" s="79">
        <f>'1.연간시수표'!C74</f>
        <v>0</v>
      </c>
      <c r="D74" s="3"/>
      <c r="E74" s="148" t="str">
        <f>IF(OR(COUNTIF('1.연간시수표'!E74,$AT$9),COUNTIF('1.연간시수표'!E74,$AT$7)),$AT$6,IF(OR(COUNTIF('1.연간시수표'!E74,$AU$9),COUNTIF('1.연간시수표'!E74,$AU$7)),$AU$6,IF(OR(COUNTIF('1.연간시수표'!E74,$AV$9),COUNTIF('1.연간시수표'!E74,$AV$7)),$AV$6,IF(OR(COUNTIF('1.연간시수표'!E74,$AW$9),COUNTIF('1.연간시수표'!E74,$AW$7)),$AW$6,IF(OR(COUNTIF('1.연간시수표'!E74,$AX$9),COUNTIF('1.연간시수표'!E74,$AX$7)),$AX$6,IF(OR(COUNTIF('1.연간시수표'!E74,$AY$9),COUNTIF('1.연간시수표'!E74,$AY$7)),$AY$6,IF(OR(COUNTIF('1.연간시수표'!E74,$AZ$9),COUNTIF('1.연간시수표'!E74,$AZ$7)),$AZ$6,IF(OR(COUNTIF('1.연간시수표'!E74,$BA$9),COUNTIF('1.연간시수표'!E74,$BA$7)),$BA$6,IF(OR(COUNTIF('1.연간시수표'!E74,$BB$9),COUNTIF('1.연간시수표'!E74,$BB$7)),$BB$6,IF(OR(COUNTIF('1.연간시수표'!E74,$BC$9),COUNTIF('1.연간시수표'!E74,$BC$7)),$BC$6,IF(OR(COUNTIF('1.연간시수표'!E74,$BF$9),COUNTIF('1.연간시수표'!E74,$BF$7),COUNTIF('1.연간시수표'!E74,$BG$9),COUNTIF('1.연간시수표'!E74,$BG$7),COUNTIF('1.연간시수표'!E74,$BH$9),COUNTIF('1.연간시수표'!E74,$BH$7),COUNTIF('1.연간시수표'!E74,$BI$9),COUNTIF('1.연간시수표'!E74,$BI$7),COUNTIF('1.연간시수표'!E74,$BJ$9),COUNTIF('1.연간시수표'!E74,$BJ$7),COUNTIF('1.연간시수표'!E74,$BK$9),COUNTIF('1.연간시수표'!E74,$BK$7),COUNTIF('1.연간시수표'!E74,$BL$9),COUNTIF('1.연간시수표'!E74,$BL$7),COUNTIF('1.연간시수표'!E74,$BM$9),COUNTIF('1.연간시수표'!E74,$BM$7)),$BF$6,IF(OR(COUNTIF('1.연간시수표'!E74,$BO$9),COUNTIF('1.연간시수표'!E74,$BO$7)),$BO$6,IF(OR(COUNTIF('1.연간시수표'!E74,$BP$9),COUNTIF('1.연간시수표'!E74,$BP$7)),$BP$6,IF(OR(COUNTIF('1.연간시수표'!E74,$BQ$9),COUNTIF('1.연간시수표'!E74,$BQ$7)),$BQ$6,IF(OR(COUNTIF('1.연간시수표'!E74,$BR$9),COUNTIF('1.연간시수표'!E74,$BR$7)),$BR$6,"_")))))))))))))))</f>
        <v>_</v>
      </c>
      <c r="F74" s="148" t="str">
        <f>IF(OR(COUNTIF('1.연간시수표'!F74,$AT$9),COUNTIF('1.연간시수표'!F74,$AT$7)),$AT$6,IF(OR(COUNTIF('1.연간시수표'!F74,$AU$9),COUNTIF('1.연간시수표'!F74,$AU$7)),$AU$6,IF(OR(COUNTIF('1.연간시수표'!F74,$AV$9),COUNTIF('1.연간시수표'!F74,$AV$7)),$AV$6,IF(OR(COUNTIF('1.연간시수표'!F74,$AW$9),COUNTIF('1.연간시수표'!F74,$AW$7)),$AW$6,IF(OR(COUNTIF('1.연간시수표'!F74,$AX$9),COUNTIF('1.연간시수표'!F74,$AX$7)),$AX$6,IF(OR(COUNTIF('1.연간시수표'!F74,$AY$9),COUNTIF('1.연간시수표'!F74,$AY$7)),$AY$6,IF(OR(COUNTIF('1.연간시수표'!F74,$AZ$9),COUNTIF('1.연간시수표'!F74,$AZ$7)),$AZ$6,IF(OR(COUNTIF('1.연간시수표'!F74,$BA$9),COUNTIF('1.연간시수표'!F74,$BA$7)),$BA$6,IF(OR(COUNTIF('1.연간시수표'!F74,$BB$9),COUNTIF('1.연간시수표'!F74,$BB$7)),$BB$6,IF(OR(COUNTIF('1.연간시수표'!F74,$BC$9),COUNTIF('1.연간시수표'!F74,$BC$7)),$BC$6,IF(OR(COUNTIF('1.연간시수표'!F74,$BF$9),COUNTIF('1.연간시수표'!F74,$BF$7),COUNTIF('1.연간시수표'!F74,$BG$9),COUNTIF('1.연간시수표'!F74,$BG$7),COUNTIF('1.연간시수표'!F74,$BH$9),COUNTIF('1.연간시수표'!F74,$BH$7),COUNTIF('1.연간시수표'!F74,$BI$9),COUNTIF('1.연간시수표'!F74,$BI$7),COUNTIF('1.연간시수표'!F74,$BJ$9),COUNTIF('1.연간시수표'!F74,$BJ$7),COUNTIF('1.연간시수표'!F74,$BK$9),COUNTIF('1.연간시수표'!F74,$BK$7),COUNTIF('1.연간시수표'!F74,$BL$9),COUNTIF('1.연간시수표'!F74,$BL$7),COUNTIF('1.연간시수표'!F74,$BM$9),COUNTIF('1.연간시수표'!F74,$BM$7)),$BF$6,IF(OR(COUNTIF('1.연간시수표'!F74,$BO$9),COUNTIF('1.연간시수표'!F74,$BO$7)),$BO$6,IF(OR(COUNTIF('1.연간시수표'!F74,$BP$9),COUNTIF('1.연간시수표'!F74,$BP$7)),$BP$6,IF(OR(COUNTIF('1.연간시수표'!F74,$BQ$9),COUNTIF('1.연간시수표'!F74,$BQ$7)),$BQ$6,IF(OR(COUNTIF('1.연간시수표'!F74,$BR$9),COUNTIF('1.연간시수표'!F74,$BR$7)),$BR$6,"_")))))))))))))))</f>
        <v>_</v>
      </c>
      <c r="G74" s="148" t="str">
        <f>IF(OR(COUNTIF('1.연간시수표'!G74,$AT$9),COUNTIF('1.연간시수표'!G74,$AT$7)),$AT$6,IF(OR(COUNTIF('1.연간시수표'!G74,$AU$9),COUNTIF('1.연간시수표'!G74,$AU$7)),$AU$6,IF(OR(COUNTIF('1.연간시수표'!G74,$AV$9),COUNTIF('1.연간시수표'!G74,$AV$7)),$AV$6,IF(OR(COUNTIF('1.연간시수표'!G74,$AW$9),COUNTIF('1.연간시수표'!G74,$AW$7)),$AW$6,IF(OR(COUNTIF('1.연간시수표'!G74,$AX$9),COUNTIF('1.연간시수표'!G74,$AX$7)),$AX$6,IF(OR(COUNTIF('1.연간시수표'!G74,$AY$9),COUNTIF('1.연간시수표'!G74,$AY$7)),$AY$6,IF(OR(COUNTIF('1.연간시수표'!G74,$AZ$9),COUNTIF('1.연간시수표'!G74,$AZ$7)),$AZ$6,IF(OR(COUNTIF('1.연간시수표'!G74,$BA$9),COUNTIF('1.연간시수표'!G74,$BA$7)),$BA$6,IF(OR(COUNTIF('1.연간시수표'!G74,$BB$9),COUNTIF('1.연간시수표'!G74,$BB$7)),$BB$6,IF(OR(COUNTIF('1.연간시수표'!G74,$BC$9),COUNTIF('1.연간시수표'!G74,$BC$7)),$BC$6,IF(OR(COUNTIF('1.연간시수표'!G74,$BF$9),COUNTIF('1.연간시수표'!G74,$BF$7),COUNTIF('1.연간시수표'!G74,$BG$9),COUNTIF('1.연간시수표'!G74,$BG$7),COUNTIF('1.연간시수표'!G74,$BH$9),COUNTIF('1.연간시수표'!G74,$BH$7),COUNTIF('1.연간시수표'!G74,$BI$9),COUNTIF('1.연간시수표'!G74,$BI$7),COUNTIF('1.연간시수표'!G74,$BJ$9),COUNTIF('1.연간시수표'!G74,$BJ$7),COUNTIF('1.연간시수표'!G74,$BK$9),COUNTIF('1.연간시수표'!G74,$BK$7),COUNTIF('1.연간시수표'!G74,$BL$9),COUNTIF('1.연간시수표'!G74,$BL$7),COUNTIF('1.연간시수표'!G74,$BM$9),COUNTIF('1.연간시수표'!G74,$BM$7)),$BF$6,IF(OR(COUNTIF('1.연간시수표'!G74,$BO$9),COUNTIF('1.연간시수표'!G74,$BO$7)),$BO$6,IF(OR(COUNTIF('1.연간시수표'!G74,$BP$9),COUNTIF('1.연간시수표'!G74,$BP$7)),$BP$6,IF(OR(COUNTIF('1.연간시수표'!G74,$BQ$9),COUNTIF('1.연간시수표'!G74,$BQ$7)),$BQ$6,IF(OR(COUNTIF('1.연간시수표'!G74,$BR$9),COUNTIF('1.연간시수표'!G74,$BR$7)),$BR$6,"_")))))))))))))))</f>
        <v>_</v>
      </c>
      <c r="H74" s="148" t="str">
        <f>IF(OR(COUNTIF('1.연간시수표'!H74,$AT$9),COUNTIF('1.연간시수표'!H74,$AT$7)),$AT$6,IF(OR(COUNTIF('1.연간시수표'!H74,$AU$9),COUNTIF('1.연간시수표'!H74,$AU$7)),$AU$6,IF(OR(COUNTIF('1.연간시수표'!H74,$AV$9),COUNTIF('1.연간시수표'!H74,$AV$7)),$AV$6,IF(OR(COUNTIF('1.연간시수표'!H74,$AW$9),COUNTIF('1.연간시수표'!H74,$AW$7)),$AW$6,IF(OR(COUNTIF('1.연간시수표'!H74,$AX$9),COUNTIF('1.연간시수표'!H74,$AX$7)),$AX$6,IF(OR(COUNTIF('1.연간시수표'!H74,$AY$9),COUNTIF('1.연간시수표'!H74,$AY$7)),$AY$6,IF(OR(COUNTIF('1.연간시수표'!H74,$AZ$9),COUNTIF('1.연간시수표'!H74,$AZ$7)),$AZ$6,IF(OR(COUNTIF('1.연간시수표'!H74,$BA$9),COUNTIF('1.연간시수표'!H74,$BA$7)),$BA$6,IF(OR(COUNTIF('1.연간시수표'!H74,$BB$9),COUNTIF('1.연간시수표'!H74,$BB$7)),$BB$6,IF(OR(COUNTIF('1.연간시수표'!H74,$BC$9),COUNTIF('1.연간시수표'!H74,$BC$7)),$BC$6,IF(OR(COUNTIF('1.연간시수표'!H74,$BF$9),COUNTIF('1.연간시수표'!H74,$BF$7),COUNTIF('1.연간시수표'!H74,$BG$9),COUNTIF('1.연간시수표'!H74,$BG$7),COUNTIF('1.연간시수표'!H74,$BH$9),COUNTIF('1.연간시수표'!H74,$BH$7),COUNTIF('1.연간시수표'!H74,$BI$9),COUNTIF('1.연간시수표'!H74,$BI$7),COUNTIF('1.연간시수표'!H74,$BJ$9),COUNTIF('1.연간시수표'!H74,$BJ$7),COUNTIF('1.연간시수표'!H74,$BK$9),COUNTIF('1.연간시수표'!H74,$BK$7),COUNTIF('1.연간시수표'!H74,$BL$9),COUNTIF('1.연간시수표'!H74,$BL$7),COUNTIF('1.연간시수표'!H74,$BM$9),COUNTIF('1.연간시수표'!H74,$BM$7)),$BF$6,IF(OR(COUNTIF('1.연간시수표'!H74,$BO$9),COUNTIF('1.연간시수표'!H74,$BO$7)),$BO$6,IF(OR(COUNTIF('1.연간시수표'!H74,$BP$9),COUNTIF('1.연간시수표'!H74,$BP$7)),$BP$6,IF(OR(COUNTIF('1.연간시수표'!H74,$BQ$9),COUNTIF('1.연간시수표'!H74,$BQ$7)),$BQ$6,IF(OR(COUNTIF('1.연간시수표'!H74,$BR$9),COUNTIF('1.연간시수표'!H74,$BR$7)),$BR$6,"_")))))))))))))))</f>
        <v>_</v>
      </c>
      <c r="I74" s="148" t="str">
        <f>IF(OR(COUNTIF('1.연간시수표'!I74,$AT$9),COUNTIF('1.연간시수표'!I74,$AT$7)),$AT$6,IF(OR(COUNTIF('1.연간시수표'!I74,$AU$9),COUNTIF('1.연간시수표'!I74,$AU$7)),$AU$6,IF(OR(COUNTIF('1.연간시수표'!I74,$AV$9),COUNTIF('1.연간시수표'!I74,$AV$7)),$AV$6,IF(OR(COUNTIF('1.연간시수표'!I74,$AW$9),COUNTIF('1.연간시수표'!I74,$AW$7)),$AW$6,IF(OR(COUNTIF('1.연간시수표'!I74,$AX$9),COUNTIF('1.연간시수표'!I74,$AX$7)),$AX$6,IF(OR(COUNTIF('1.연간시수표'!I74,$AY$9),COUNTIF('1.연간시수표'!I74,$AY$7)),$AY$6,IF(OR(COUNTIF('1.연간시수표'!I74,$AZ$9),COUNTIF('1.연간시수표'!I74,$AZ$7)),$AZ$6,IF(OR(COUNTIF('1.연간시수표'!I74,$BA$9),COUNTIF('1.연간시수표'!I74,$BA$7)),$BA$6,IF(OR(COUNTIF('1.연간시수표'!I74,$BB$9),COUNTIF('1.연간시수표'!I74,$BB$7)),$BB$6,IF(OR(COUNTIF('1.연간시수표'!I74,$BC$9),COUNTIF('1.연간시수표'!I74,$BC$7)),$BC$6,IF(OR(COUNTIF('1.연간시수표'!I74,$BF$9),COUNTIF('1.연간시수표'!I74,$BF$7),COUNTIF('1.연간시수표'!I74,$BG$9),COUNTIF('1.연간시수표'!I74,$BG$7),COUNTIF('1.연간시수표'!I74,$BH$9),COUNTIF('1.연간시수표'!I74,$BH$7),COUNTIF('1.연간시수표'!I74,$BI$9),COUNTIF('1.연간시수표'!I74,$BI$7),COUNTIF('1.연간시수표'!I74,$BJ$9),COUNTIF('1.연간시수표'!I74,$BJ$7),COUNTIF('1.연간시수표'!I74,$BK$9),COUNTIF('1.연간시수표'!I74,$BK$7),COUNTIF('1.연간시수표'!I74,$BL$9),COUNTIF('1.연간시수표'!I74,$BL$7),COUNTIF('1.연간시수표'!I74,$BM$9),COUNTIF('1.연간시수표'!I74,$BM$7)),$BF$6,IF(OR(COUNTIF('1.연간시수표'!I74,$BO$9),COUNTIF('1.연간시수표'!I74,$BO$7)),$BO$6,IF(OR(COUNTIF('1.연간시수표'!I74,$BP$9),COUNTIF('1.연간시수표'!I74,$BP$7)),$BP$6,IF(OR(COUNTIF('1.연간시수표'!I74,$BQ$9),COUNTIF('1.연간시수표'!I74,$BQ$7)),$BQ$6,IF(OR(COUNTIF('1.연간시수표'!I74,$BR$9),COUNTIF('1.연간시수표'!I74,$BR$7)),$BR$6,"_")))))))))))))))</f>
        <v>_</v>
      </c>
      <c r="J74" s="148" t="str">
        <f>IF(OR(COUNTIF('1.연간시수표'!J74,$AT$9),COUNTIF('1.연간시수표'!J74,$AT$7)),$AT$6,IF(OR(COUNTIF('1.연간시수표'!J74,$AU$9),COUNTIF('1.연간시수표'!J74,$AU$7)),$AU$6,IF(OR(COUNTIF('1.연간시수표'!J74,$AV$9),COUNTIF('1.연간시수표'!J74,$AV$7)),$AV$6,IF(OR(COUNTIF('1.연간시수표'!J74,$AW$9),COUNTIF('1.연간시수표'!J74,$AW$7)),$AW$6,IF(OR(COUNTIF('1.연간시수표'!J74,$AX$9),COUNTIF('1.연간시수표'!J74,$AX$7)),$AX$6,IF(OR(COUNTIF('1.연간시수표'!J74,$AY$9),COUNTIF('1.연간시수표'!J74,$AY$7)),$AY$6,IF(OR(COUNTIF('1.연간시수표'!J74,$AZ$9),COUNTIF('1.연간시수표'!J74,$AZ$7)),$AZ$6,IF(OR(COUNTIF('1.연간시수표'!J74,$BA$9),COUNTIF('1.연간시수표'!J74,$BA$7)),$BA$6,IF(OR(COUNTIF('1.연간시수표'!J74,$BB$9),COUNTIF('1.연간시수표'!J74,$BB$7)),$BB$6,IF(OR(COUNTIF('1.연간시수표'!J74,$BC$9),COUNTIF('1.연간시수표'!J74,$BC$7)),$BC$6,IF(OR(COUNTIF('1.연간시수표'!J74,$BF$9),COUNTIF('1.연간시수표'!J74,$BF$7),COUNTIF('1.연간시수표'!J74,$BG$9),COUNTIF('1.연간시수표'!J74,$BG$7),COUNTIF('1.연간시수표'!J74,$BH$9),COUNTIF('1.연간시수표'!J74,$BH$7),COUNTIF('1.연간시수표'!J74,$BI$9),COUNTIF('1.연간시수표'!J74,$BI$7),COUNTIF('1.연간시수표'!J74,$BJ$9),COUNTIF('1.연간시수표'!J74,$BJ$7),COUNTIF('1.연간시수표'!J74,$BK$9),COUNTIF('1.연간시수표'!J74,$BK$7),COUNTIF('1.연간시수표'!J74,$BL$9),COUNTIF('1.연간시수표'!J74,$BL$7),COUNTIF('1.연간시수표'!J74,$BM$9),COUNTIF('1.연간시수표'!J74,$BM$7)),$BF$6,IF(OR(COUNTIF('1.연간시수표'!J74,$BO$9),COUNTIF('1.연간시수표'!J74,$BO$7)),$BO$6,IF(OR(COUNTIF('1.연간시수표'!J74,$BP$9),COUNTIF('1.연간시수표'!J74,$BP$7)),$BP$6,IF(OR(COUNTIF('1.연간시수표'!J74,$BQ$9),COUNTIF('1.연간시수표'!J74,$BQ$7)),$BQ$6,IF(OR(COUNTIF('1.연간시수표'!J74,$BR$9),COUNTIF('1.연간시수표'!J74,$BR$7)),$BR$6,"_")))))))))))))))</f>
        <v>_</v>
      </c>
      <c r="K74" s="148" t="str">
        <f>IF(OR(COUNTIF('1.연간시수표'!K74,$AT$9),COUNTIF('1.연간시수표'!K74,$AT$7)),$AT$6,IF(OR(COUNTIF('1.연간시수표'!K74,$AU$9),COUNTIF('1.연간시수표'!K74,$AU$7)),$AU$6,IF(OR(COUNTIF('1.연간시수표'!K74,$AV$9),COUNTIF('1.연간시수표'!K74,$AV$7)),$AV$6,IF(OR(COUNTIF('1.연간시수표'!K74,$AW$9),COUNTIF('1.연간시수표'!K74,$AW$7)),$AW$6,IF(OR(COUNTIF('1.연간시수표'!K74,$AX$9),COUNTIF('1.연간시수표'!K74,$AX$7)),$AX$6,IF(OR(COUNTIF('1.연간시수표'!K74,$AY$9),COUNTIF('1.연간시수표'!K74,$AY$7)),$AY$6,IF(OR(COUNTIF('1.연간시수표'!K74,$AZ$9),COUNTIF('1.연간시수표'!K74,$AZ$7)),$AZ$6,IF(OR(COUNTIF('1.연간시수표'!K74,$BA$9),COUNTIF('1.연간시수표'!K74,$BA$7)),$BA$6,IF(OR(COUNTIF('1.연간시수표'!K74,$BB$9),COUNTIF('1.연간시수표'!K74,$BB$7)),$BB$6,IF(OR(COUNTIF('1.연간시수표'!K74,$BC$9),COUNTIF('1.연간시수표'!K74,$BC$7)),$BC$6,IF(OR(COUNTIF('1.연간시수표'!K74,$BF$9),COUNTIF('1.연간시수표'!K74,$BF$7),COUNTIF('1.연간시수표'!K74,$BG$9),COUNTIF('1.연간시수표'!K74,$BG$7),COUNTIF('1.연간시수표'!K74,$BH$9),COUNTIF('1.연간시수표'!K74,$BH$7),COUNTIF('1.연간시수표'!K74,$BI$9),COUNTIF('1.연간시수표'!K74,$BI$7),COUNTIF('1.연간시수표'!K74,$BJ$9),COUNTIF('1.연간시수표'!K74,$BJ$7),COUNTIF('1.연간시수표'!K74,$BK$9),COUNTIF('1.연간시수표'!K74,$BK$7),COUNTIF('1.연간시수표'!K74,$BL$9),COUNTIF('1.연간시수표'!K74,$BL$7),COUNTIF('1.연간시수표'!K74,$BM$9),COUNTIF('1.연간시수표'!K74,$BM$7)),$BF$6,IF(OR(COUNTIF('1.연간시수표'!K74,$BO$9),COUNTIF('1.연간시수표'!K74,$BO$7)),$BO$6,IF(OR(COUNTIF('1.연간시수표'!K74,$BP$9),COUNTIF('1.연간시수표'!K74,$BP$7)),$BP$6,IF(OR(COUNTIF('1.연간시수표'!K74,$BQ$9),COUNTIF('1.연간시수표'!K74,$BQ$7)),$BQ$6,IF(OR(COUNTIF('1.연간시수표'!K74,$BR$9),COUNTIF('1.연간시수표'!K74,$BR$7)),$BR$6,"_")))))))))))))))</f>
        <v>_</v>
      </c>
      <c r="L74" s="148" t="str">
        <f>IF(OR(COUNTIF('1.연간시수표'!L74,$AT$9),COUNTIF('1.연간시수표'!L74,$AT$7)),$AT$6,IF(OR(COUNTIF('1.연간시수표'!L74,$AU$9),COUNTIF('1.연간시수표'!L74,$AU$7)),$AU$6,IF(OR(COUNTIF('1.연간시수표'!L74,$AV$9),COUNTIF('1.연간시수표'!L74,$AV$7)),$AV$6,IF(OR(COUNTIF('1.연간시수표'!L74,$AW$9),COUNTIF('1.연간시수표'!L74,$AW$7)),$AW$6,IF(OR(COUNTIF('1.연간시수표'!L74,$AX$9),COUNTIF('1.연간시수표'!L74,$AX$7)),$AX$6,IF(OR(COUNTIF('1.연간시수표'!L74,$AY$9),COUNTIF('1.연간시수표'!L74,$AY$7)),$AY$6,IF(OR(COUNTIF('1.연간시수표'!L74,$AZ$9),COUNTIF('1.연간시수표'!L74,$AZ$7)),$AZ$6,IF(OR(COUNTIF('1.연간시수표'!L74,$BA$9),COUNTIF('1.연간시수표'!L74,$BA$7)),$BA$6,IF(OR(COUNTIF('1.연간시수표'!L74,$BB$9),COUNTIF('1.연간시수표'!L74,$BB$7)),$BB$6,IF(OR(COUNTIF('1.연간시수표'!L74,$BC$9),COUNTIF('1.연간시수표'!L74,$BC$7)),$BC$6,IF(OR(COUNTIF('1.연간시수표'!L74,$BF$9),COUNTIF('1.연간시수표'!L74,$BF$7),COUNTIF('1.연간시수표'!L74,$BG$9),COUNTIF('1.연간시수표'!L74,$BG$7),COUNTIF('1.연간시수표'!L74,$BH$9),COUNTIF('1.연간시수표'!L74,$BH$7),COUNTIF('1.연간시수표'!L74,$BI$9),COUNTIF('1.연간시수표'!L74,$BI$7),COUNTIF('1.연간시수표'!L74,$BJ$9),COUNTIF('1.연간시수표'!L74,$BJ$7),COUNTIF('1.연간시수표'!L74,$BK$9),COUNTIF('1.연간시수표'!L74,$BK$7),COUNTIF('1.연간시수표'!L74,$BL$9),COUNTIF('1.연간시수표'!L74,$BL$7),COUNTIF('1.연간시수표'!L74,$BM$9),COUNTIF('1.연간시수표'!L74,$BM$7)),$BF$6,IF(OR(COUNTIF('1.연간시수표'!L74,$BO$9),COUNTIF('1.연간시수표'!L74,$BO$7)),$BO$6,IF(OR(COUNTIF('1.연간시수표'!L74,$BP$9),COUNTIF('1.연간시수표'!L74,$BP$7)),$BP$6,IF(OR(COUNTIF('1.연간시수표'!L74,$BQ$9),COUNTIF('1.연간시수표'!L74,$BQ$7)),$BQ$6,IF(OR(COUNTIF('1.연간시수표'!L74,$BR$9),COUNTIF('1.연간시수표'!L74,$BR$7)),$BR$6,"_")))))))))))))))</f>
        <v>_</v>
      </c>
      <c r="M74" s="148" t="str">
        <f>IF(OR(COUNTIF('1.연간시수표'!M74,$AT$9),COUNTIF('1.연간시수표'!M74,$AT$7)),$AT$6,IF(OR(COUNTIF('1.연간시수표'!M74,$AU$9),COUNTIF('1.연간시수표'!M74,$AU$7)),$AU$6,IF(OR(COUNTIF('1.연간시수표'!M74,$AV$9),COUNTIF('1.연간시수표'!M74,$AV$7)),$AV$6,IF(OR(COUNTIF('1.연간시수표'!M74,$AW$9),COUNTIF('1.연간시수표'!M74,$AW$7)),$AW$6,IF(OR(COUNTIF('1.연간시수표'!M74,$AX$9),COUNTIF('1.연간시수표'!M74,$AX$7)),$AX$6,IF(OR(COUNTIF('1.연간시수표'!M74,$AY$9),COUNTIF('1.연간시수표'!M74,$AY$7)),$AY$6,IF(OR(COUNTIF('1.연간시수표'!M74,$AZ$9),COUNTIF('1.연간시수표'!M74,$AZ$7)),$AZ$6,IF(OR(COUNTIF('1.연간시수표'!M74,$BA$9),COUNTIF('1.연간시수표'!M74,$BA$7)),$BA$6,IF(OR(COUNTIF('1.연간시수표'!M74,$BB$9),COUNTIF('1.연간시수표'!M74,$BB$7)),$BB$6,IF(OR(COUNTIF('1.연간시수표'!M74,$BC$9),COUNTIF('1.연간시수표'!M74,$BC$7)),$BC$6,IF(OR(COUNTIF('1.연간시수표'!M74,$BF$9),COUNTIF('1.연간시수표'!M74,$BF$7),COUNTIF('1.연간시수표'!M74,$BG$9),COUNTIF('1.연간시수표'!M74,$BG$7),COUNTIF('1.연간시수표'!M74,$BH$9),COUNTIF('1.연간시수표'!M74,$BH$7),COUNTIF('1.연간시수표'!M74,$BI$9),COUNTIF('1.연간시수표'!M74,$BI$7),COUNTIF('1.연간시수표'!M74,$BJ$9),COUNTIF('1.연간시수표'!M74,$BJ$7),COUNTIF('1.연간시수표'!M74,$BK$9),COUNTIF('1.연간시수표'!M74,$BK$7),COUNTIF('1.연간시수표'!M74,$BL$9),COUNTIF('1.연간시수표'!M74,$BL$7),COUNTIF('1.연간시수표'!M74,$BM$9),COUNTIF('1.연간시수표'!M74,$BM$7)),$BF$6,IF(OR(COUNTIF('1.연간시수표'!M74,$BO$9),COUNTIF('1.연간시수표'!M74,$BO$7)),$BO$6,IF(OR(COUNTIF('1.연간시수표'!M74,$BP$9),COUNTIF('1.연간시수표'!M74,$BP$7)),$BP$6,IF(OR(COUNTIF('1.연간시수표'!M74,$BQ$9),COUNTIF('1.연간시수표'!M74,$BQ$7)),$BQ$6,IF(OR(COUNTIF('1.연간시수표'!M74,$BR$9),COUNTIF('1.연간시수표'!M74,$BR$7)),$BR$6,"_")))))))))))))))</f>
        <v>_</v>
      </c>
      <c r="N74" s="148" t="str">
        <f>IF(OR(COUNTIF('1.연간시수표'!N74,$AT$9),COUNTIF('1.연간시수표'!N74,$AT$7)),$AT$6,IF(OR(COUNTIF('1.연간시수표'!N74,$AU$9),COUNTIF('1.연간시수표'!N74,$AU$7)),$AU$6,IF(OR(COUNTIF('1.연간시수표'!N74,$AV$9),COUNTIF('1.연간시수표'!N74,$AV$7)),$AV$6,IF(OR(COUNTIF('1.연간시수표'!N74,$AW$9),COUNTIF('1.연간시수표'!N74,$AW$7)),$AW$6,IF(OR(COUNTIF('1.연간시수표'!N74,$AX$9),COUNTIF('1.연간시수표'!N74,$AX$7)),$AX$6,IF(OR(COUNTIF('1.연간시수표'!N74,$AY$9),COUNTIF('1.연간시수표'!N74,$AY$7)),$AY$6,IF(OR(COUNTIF('1.연간시수표'!N74,$AZ$9),COUNTIF('1.연간시수표'!N74,$AZ$7)),$AZ$6,IF(OR(COUNTIF('1.연간시수표'!N74,$BA$9),COUNTIF('1.연간시수표'!N74,$BA$7)),$BA$6,IF(OR(COUNTIF('1.연간시수표'!N74,$BB$9),COUNTIF('1.연간시수표'!N74,$BB$7)),$BB$6,IF(OR(COUNTIF('1.연간시수표'!N74,$BC$9),COUNTIF('1.연간시수표'!N74,$BC$7)),$BC$6,IF(OR(COUNTIF('1.연간시수표'!N74,$BF$9),COUNTIF('1.연간시수표'!N74,$BF$7),COUNTIF('1.연간시수표'!N74,$BG$9),COUNTIF('1.연간시수표'!N74,$BG$7),COUNTIF('1.연간시수표'!N74,$BH$9),COUNTIF('1.연간시수표'!N74,$BH$7),COUNTIF('1.연간시수표'!N74,$BI$9),COUNTIF('1.연간시수표'!N74,$BI$7),COUNTIF('1.연간시수표'!N74,$BJ$9),COUNTIF('1.연간시수표'!N74,$BJ$7),COUNTIF('1.연간시수표'!N74,$BK$9),COUNTIF('1.연간시수표'!N74,$BK$7),COUNTIF('1.연간시수표'!N74,$BL$9),COUNTIF('1.연간시수표'!N74,$BL$7),COUNTIF('1.연간시수표'!N74,$BM$9),COUNTIF('1.연간시수표'!N74,$BM$7)),$BF$6,IF(OR(COUNTIF('1.연간시수표'!N74,$BO$9),COUNTIF('1.연간시수표'!N74,$BO$7)),$BO$6,IF(OR(COUNTIF('1.연간시수표'!N74,$BP$9),COUNTIF('1.연간시수표'!N74,$BP$7)),$BP$6,IF(OR(COUNTIF('1.연간시수표'!N74,$BQ$9),COUNTIF('1.연간시수표'!N74,$BQ$7)),$BQ$6,IF(OR(COUNTIF('1.연간시수표'!N74,$BR$9),COUNTIF('1.연간시수표'!N74,$BR$7)),$BR$6,"_")))))))))))))))</f>
        <v>_</v>
      </c>
      <c r="O74" s="148" t="str">
        <f>IF(OR(COUNTIF('1.연간시수표'!O74,$AT$9),COUNTIF('1.연간시수표'!O74,$AT$7)),$AT$6,IF(OR(COUNTIF('1.연간시수표'!O74,$AU$9),COUNTIF('1.연간시수표'!O74,$AU$7)),$AU$6,IF(OR(COUNTIF('1.연간시수표'!O74,$AV$9),COUNTIF('1.연간시수표'!O74,$AV$7)),$AV$6,IF(OR(COUNTIF('1.연간시수표'!O74,$AW$9),COUNTIF('1.연간시수표'!O74,$AW$7)),$AW$6,IF(OR(COUNTIF('1.연간시수표'!O74,$AX$9),COUNTIF('1.연간시수표'!O74,$AX$7)),$AX$6,IF(OR(COUNTIF('1.연간시수표'!O74,$AY$9),COUNTIF('1.연간시수표'!O74,$AY$7)),$AY$6,IF(OR(COUNTIF('1.연간시수표'!O74,$AZ$9),COUNTIF('1.연간시수표'!O74,$AZ$7)),$AZ$6,IF(OR(COUNTIF('1.연간시수표'!O74,$BA$9),COUNTIF('1.연간시수표'!O74,$BA$7)),$BA$6,IF(OR(COUNTIF('1.연간시수표'!O74,$BB$9),COUNTIF('1.연간시수표'!O74,$BB$7)),$BB$6,IF(OR(COUNTIF('1.연간시수표'!O74,$BC$9),COUNTIF('1.연간시수표'!O74,$BC$7)),$BC$6,IF(OR(COUNTIF('1.연간시수표'!O74,$BF$9),COUNTIF('1.연간시수표'!O74,$BF$7),COUNTIF('1.연간시수표'!O74,$BG$9),COUNTIF('1.연간시수표'!O74,$BG$7),COUNTIF('1.연간시수표'!O74,$BH$9),COUNTIF('1.연간시수표'!O74,$BH$7),COUNTIF('1.연간시수표'!O74,$BI$9),COUNTIF('1.연간시수표'!O74,$BI$7),COUNTIF('1.연간시수표'!O74,$BJ$9),COUNTIF('1.연간시수표'!O74,$BJ$7),COUNTIF('1.연간시수표'!O74,$BK$9),COUNTIF('1.연간시수표'!O74,$BK$7),COUNTIF('1.연간시수표'!O74,$BL$9),COUNTIF('1.연간시수표'!O74,$BL$7),COUNTIF('1.연간시수표'!O74,$BM$9),COUNTIF('1.연간시수표'!O74,$BM$7)),$BF$6,IF(OR(COUNTIF('1.연간시수표'!O74,$BO$9),COUNTIF('1.연간시수표'!O74,$BO$7)),$BO$6,IF(OR(COUNTIF('1.연간시수표'!O74,$BP$9),COUNTIF('1.연간시수표'!O74,$BP$7)),$BP$6,IF(OR(COUNTIF('1.연간시수표'!O74,$BQ$9),COUNTIF('1.연간시수표'!O74,$BQ$7)),$BQ$6,IF(OR(COUNTIF('1.연간시수표'!O74,$BR$9),COUNTIF('1.연간시수표'!O74,$BR$7)),$BR$6,"_")))))))))))))))</f>
        <v>_</v>
      </c>
      <c r="P74" s="148" t="str">
        <f>IF(OR(COUNTIF('1.연간시수표'!P74,$AT$9),COUNTIF('1.연간시수표'!P74,$AT$7)),$AT$6,IF(OR(COUNTIF('1.연간시수표'!P74,$AU$9),COUNTIF('1.연간시수표'!P74,$AU$7)),$AU$6,IF(OR(COUNTIF('1.연간시수표'!P74,$AV$9),COUNTIF('1.연간시수표'!P74,$AV$7)),$AV$6,IF(OR(COUNTIF('1.연간시수표'!P74,$AW$9),COUNTIF('1.연간시수표'!P74,$AW$7)),$AW$6,IF(OR(COUNTIF('1.연간시수표'!P74,$AX$9),COUNTIF('1.연간시수표'!P74,$AX$7)),$AX$6,IF(OR(COUNTIF('1.연간시수표'!P74,$AY$9),COUNTIF('1.연간시수표'!P74,$AY$7)),$AY$6,IF(OR(COUNTIF('1.연간시수표'!P74,$AZ$9),COUNTIF('1.연간시수표'!P74,$AZ$7)),$AZ$6,IF(OR(COUNTIF('1.연간시수표'!P74,$BA$9),COUNTIF('1.연간시수표'!P74,$BA$7)),$BA$6,IF(OR(COUNTIF('1.연간시수표'!P74,$BB$9),COUNTIF('1.연간시수표'!P74,$BB$7)),$BB$6,IF(OR(COUNTIF('1.연간시수표'!P74,$BC$9),COUNTIF('1.연간시수표'!P74,$BC$7)),$BC$6,IF(OR(COUNTIF('1.연간시수표'!P74,$BF$9),COUNTIF('1.연간시수표'!P74,$BF$7),COUNTIF('1.연간시수표'!P74,$BG$9),COUNTIF('1.연간시수표'!P74,$BG$7),COUNTIF('1.연간시수표'!P74,$BH$9),COUNTIF('1.연간시수표'!P74,$BH$7),COUNTIF('1.연간시수표'!P74,$BI$9),COUNTIF('1.연간시수표'!P74,$BI$7),COUNTIF('1.연간시수표'!P74,$BJ$9),COUNTIF('1.연간시수표'!P74,$BJ$7),COUNTIF('1.연간시수표'!P74,$BK$9),COUNTIF('1.연간시수표'!P74,$BK$7),COUNTIF('1.연간시수표'!P74,$BL$9),COUNTIF('1.연간시수표'!P74,$BL$7),COUNTIF('1.연간시수표'!P74,$BM$9),COUNTIF('1.연간시수표'!P74,$BM$7)),$BF$6,IF(OR(COUNTIF('1.연간시수표'!P74,$BO$9),COUNTIF('1.연간시수표'!P74,$BO$7)),$BO$6,IF(OR(COUNTIF('1.연간시수표'!P74,$BP$9),COUNTIF('1.연간시수표'!P74,$BP$7)),$BP$6,IF(OR(COUNTIF('1.연간시수표'!P74,$BQ$9),COUNTIF('1.연간시수표'!P74,$BQ$7)),$BQ$6,IF(OR(COUNTIF('1.연간시수표'!P74,$BR$9),COUNTIF('1.연간시수표'!P74,$BR$7)),$BR$6,"_")))))))))))))))</f>
        <v>_</v>
      </c>
      <c r="Q74" s="148" t="str">
        <f>IF(OR(COUNTIF('1.연간시수표'!Q74,$AT$9),COUNTIF('1.연간시수표'!Q74,$AT$7)),$AT$6,IF(OR(COUNTIF('1.연간시수표'!Q74,$AU$9),COUNTIF('1.연간시수표'!Q74,$AU$7)),$AU$6,IF(OR(COUNTIF('1.연간시수표'!Q74,$AV$9),COUNTIF('1.연간시수표'!Q74,$AV$7)),$AV$6,IF(OR(COUNTIF('1.연간시수표'!Q74,$AW$9),COUNTIF('1.연간시수표'!Q74,$AW$7)),$AW$6,IF(OR(COUNTIF('1.연간시수표'!Q74,$AX$9),COUNTIF('1.연간시수표'!Q74,$AX$7)),$AX$6,IF(OR(COUNTIF('1.연간시수표'!Q74,$AY$9),COUNTIF('1.연간시수표'!Q74,$AY$7)),$AY$6,IF(OR(COUNTIF('1.연간시수표'!Q74,$AZ$9),COUNTIF('1.연간시수표'!Q74,$AZ$7)),$AZ$6,IF(OR(COUNTIF('1.연간시수표'!Q74,$BA$9),COUNTIF('1.연간시수표'!Q74,$BA$7)),$BA$6,IF(OR(COUNTIF('1.연간시수표'!Q74,$BB$9),COUNTIF('1.연간시수표'!Q74,$BB$7)),$BB$6,IF(OR(COUNTIF('1.연간시수표'!Q74,$BC$9),COUNTIF('1.연간시수표'!Q74,$BC$7)),$BC$6,IF(OR(COUNTIF('1.연간시수표'!Q74,$BF$9),COUNTIF('1.연간시수표'!Q74,$BF$7),COUNTIF('1.연간시수표'!Q74,$BG$9),COUNTIF('1.연간시수표'!Q74,$BG$7),COUNTIF('1.연간시수표'!Q74,$BH$9),COUNTIF('1.연간시수표'!Q74,$BH$7),COUNTIF('1.연간시수표'!Q74,$BI$9),COUNTIF('1.연간시수표'!Q74,$BI$7),COUNTIF('1.연간시수표'!Q74,$BJ$9),COUNTIF('1.연간시수표'!Q74,$BJ$7),COUNTIF('1.연간시수표'!Q74,$BK$9),COUNTIF('1.연간시수표'!Q74,$BK$7),COUNTIF('1.연간시수표'!Q74,$BL$9),COUNTIF('1.연간시수표'!Q74,$BL$7),COUNTIF('1.연간시수표'!Q74,$BM$9),COUNTIF('1.연간시수표'!Q74,$BM$7)),$BF$6,IF(OR(COUNTIF('1.연간시수표'!Q74,$BO$9),COUNTIF('1.연간시수표'!Q74,$BO$7)),$BO$6,IF(OR(COUNTIF('1.연간시수표'!Q74,$BP$9),COUNTIF('1.연간시수표'!Q74,$BP$7)),$BP$6,IF(OR(COUNTIF('1.연간시수표'!Q74,$BQ$9),COUNTIF('1.연간시수표'!Q74,$BQ$7)),$BQ$6,IF(OR(COUNTIF('1.연간시수표'!Q74,$BR$9),COUNTIF('1.연간시수표'!Q74,$BR$7)),$BR$6,"_")))))))))))))))</f>
        <v>_</v>
      </c>
      <c r="R74" s="148" t="str">
        <f>IF(OR(COUNTIF('1.연간시수표'!R74,$AT$9),COUNTIF('1.연간시수표'!R74,$AT$7)),$AT$6,IF(OR(COUNTIF('1.연간시수표'!R74,$AU$9),COUNTIF('1.연간시수표'!R74,$AU$7)),$AU$6,IF(OR(COUNTIF('1.연간시수표'!R74,$AV$9),COUNTIF('1.연간시수표'!R74,$AV$7)),$AV$6,IF(OR(COUNTIF('1.연간시수표'!R74,$AW$9),COUNTIF('1.연간시수표'!R74,$AW$7)),$AW$6,IF(OR(COUNTIF('1.연간시수표'!R74,$AX$9),COUNTIF('1.연간시수표'!R74,$AX$7)),$AX$6,IF(OR(COUNTIF('1.연간시수표'!R74,$AY$9),COUNTIF('1.연간시수표'!R74,$AY$7)),$AY$6,IF(OR(COUNTIF('1.연간시수표'!R74,$AZ$9),COUNTIF('1.연간시수표'!R74,$AZ$7)),$AZ$6,IF(OR(COUNTIF('1.연간시수표'!R74,$BA$9),COUNTIF('1.연간시수표'!R74,$BA$7)),$BA$6,IF(OR(COUNTIF('1.연간시수표'!R74,$BB$9),COUNTIF('1.연간시수표'!R74,$BB$7)),$BB$6,IF(OR(COUNTIF('1.연간시수표'!R74,$BC$9),COUNTIF('1.연간시수표'!R74,$BC$7)),$BC$6,IF(OR(COUNTIF('1.연간시수표'!R74,$BF$9),COUNTIF('1.연간시수표'!R74,$BF$7),COUNTIF('1.연간시수표'!R74,$BG$9),COUNTIF('1.연간시수표'!R74,$BG$7),COUNTIF('1.연간시수표'!R74,$BH$9),COUNTIF('1.연간시수표'!R74,$BH$7),COUNTIF('1.연간시수표'!R74,$BI$9),COUNTIF('1.연간시수표'!R74,$BI$7),COUNTIF('1.연간시수표'!R74,$BJ$9),COUNTIF('1.연간시수표'!R74,$BJ$7),COUNTIF('1.연간시수표'!R74,$BK$9),COUNTIF('1.연간시수표'!R74,$BK$7),COUNTIF('1.연간시수표'!R74,$BL$9),COUNTIF('1.연간시수표'!R74,$BL$7),COUNTIF('1.연간시수표'!R74,$BM$9),COUNTIF('1.연간시수표'!R74,$BM$7)),$BF$6,IF(OR(COUNTIF('1.연간시수표'!R74,$BO$9),COUNTIF('1.연간시수표'!R74,$BO$7)),$BO$6,IF(OR(COUNTIF('1.연간시수표'!R74,$BP$9),COUNTIF('1.연간시수표'!R74,$BP$7)),$BP$6,IF(OR(COUNTIF('1.연간시수표'!R74,$BQ$9),COUNTIF('1.연간시수표'!R74,$BQ$7)),$BQ$6,IF(OR(COUNTIF('1.연간시수표'!R74,$BR$9),COUNTIF('1.연간시수표'!R74,$BR$7)),$BR$6,"_")))))))))))))))</f>
        <v>_</v>
      </c>
      <c r="S74" s="148" t="str">
        <f>IF(OR(COUNTIF('1.연간시수표'!S74,$AT$9),COUNTIF('1.연간시수표'!S74,$AT$7)),$AT$6,IF(OR(COUNTIF('1.연간시수표'!S74,$AU$9),COUNTIF('1.연간시수표'!S74,$AU$7)),$AU$6,IF(OR(COUNTIF('1.연간시수표'!S74,$AV$9),COUNTIF('1.연간시수표'!S74,$AV$7)),$AV$6,IF(OR(COUNTIF('1.연간시수표'!S74,$AW$9),COUNTIF('1.연간시수표'!S74,$AW$7)),$AW$6,IF(OR(COUNTIF('1.연간시수표'!S74,$AX$9),COUNTIF('1.연간시수표'!S74,$AX$7)),$AX$6,IF(OR(COUNTIF('1.연간시수표'!S74,$AY$9),COUNTIF('1.연간시수표'!S74,$AY$7)),$AY$6,IF(OR(COUNTIF('1.연간시수표'!S74,$AZ$9),COUNTIF('1.연간시수표'!S74,$AZ$7)),$AZ$6,IF(OR(COUNTIF('1.연간시수표'!S74,$BA$9),COUNTIF('1.연간시수표'!S74,$BA$7)),$BA$6,IF(OR(COUNTIF('1.연간시수표'!S74,$BB$9),COUNTIF('1.연간시수표'!S74,$BB$7)),$BB$6,IF(OR(COUNTIF('1.연간시수표'!S74,$BC$9),COUNTIF('1.연간시수표'!S74,$BC$7)),$BC$6,IF(OR(COUNTIF('1.연간시수표'!S74,$BF$9),COUNTIF('1.연간시수표'!S74,$BF$7),COUNTIF('1.연간시수표'!S74,$BG$9),COUNTIF('1.연간시수표'!S74,$BG$7),COUNTIF('1.연간시수표'!S74,$BH$9),COUNTIF('1.연간시수표'!S74,$BH$7),COUNTIF('1.연간시수표'!S74,$BI$9),COUNTIF('1.연간시수표'!S74,$BI$7),COUNTIF('1.연간시수표'!S74,$BJ$9),COUNTIF('1.연간시수표'!S74,$BJ$7),COUNTIF('1.연간시수표'!S74,$BK$9),COUNTIF('1.연간시수표'!S74,$BK$7),COUNTIF('1.연간시수표'!S74,$BL$9),COUNTIF('1.연간시수표'!S74,$BL$7),COUNTIF('1.연간시수표'!S74,$BM$9),COUNTIF('1.연간시수표'!S74,$BM$7)),$BF$6,IF(OR(COUNTIF('1.연간시수표'!S74,$BO$9),COUNTIF('1.연간시수표'!S74,$BO$7)),$BO$6,IF(OR(COUNTIF('1.연간시수표'!S74,$BP$9),COUNTIF('1.연간시수표'!S74,$BP$7)),$BP$6,IF(OR(COUNTIF('1.연간시수표'!S74,$BQ$9),COUNTIF('1.연간시수표'!S74,$BQ$7)),$BQ$6,IF(OR(COUNTIF('1.연간시수표'!S74,$BR$9),COUNTIF('1.연간시수표'!S74,$BR$7)),$BR$6,"_")))))))))))))))</f>
        <v>_</v>
      </c>
      <c r="T74" s="148" t="str">
        <f>IF(OR(COUNTIF('1.연간시수표'!T74,$AT$9),COUNTIF('1.연간시수표'!T74,$AT$7)),$AT$6,IF(OR(COUNTIF('1.연간시수표'!T74,$AU$9),COUNTIF('1.연간시수표'!T74,$AU$7)),$AU$6,IF(OR(COUNTIF('1.연간시수표'!T74,$AV$9),COUNTIF('1.연간시수표'!T74,$AV$7)),$AV$6,IF(OR(COUNTIF('1.연간시수표'!T74,$AW$9),COUNTIF('1.연간시수표'!T74,$AW$7)),$AW$6,IF(OR(COUNTIF('1.연간시수표'!T74,$AX$9),COUNTIF('1.연간시수표'!T74,$AX$7)),$AX$6,IF(OR(COUNTIF('1.연간시수표'!T74,$AY$9),COUNTIF('1.연간시수표'!T74,$AY$7)),$AY$6,IF(OR(COUNTIF('1.연간시수표'!T74,$AZ$9),COUNTIF('1.연간시수표'!T74,$AZ$7)),$AZ$6,IF(OR(COUNTIF('1.연간시수표'!T74,$BA$9),COUNTIF('1.연간시수표'!T74,$BA$7)),$BA$6,IF(OR(COUNTIF('1.연간시수표'!T74,$BB$9),COUNTIF('1.연간시수표'!T74,$BB$7)),$BB$6,IF(OR(COUNTIF('1.연간시수표'!T74,$BC$9),COUNTIF('1.연간시수표'!T74,$BC$7)),$BC$6,IF(OR(COUNTIF('1.연간시수표'!T74,$BF$9),COUNTIF('1.연간시수표'!T74,$BF$7),COUNTIF('1.연간시수표'!T74,$BG$9),COUNTIF('1.연간시수표'!T74,$BG$7),COUNTIF('1.연간시수표'!T74,$BH$9),COUNTIF('1.연간시수표'!T74,$BH$7),COUNTIF('1.연간시수표'!T74,$BI$9),COUNTIF('1.연간시수표'!T74,$BI$7),COUNTIF('1.연간시수표'!T74,$BJ$9),COUNTIF('1.연간시수표'!T74,$BJ$7),COUNTIF('1.연간시수표'!T74,$BK$9),COUNTIF('1.연간시수표'!T74,$BK$7),COUNTIF('1.연간시수표'!T74,$BL$9),COUNTIF('1.연간시수표'!T74,$BL$7),COUNTIF('1.연간시수표'!T74,$BM$9),COUNTIF('1.연간시수표'!T74,$BM$7)),$BF$6,IF(OR(COUNTIF('1.연간시수표'!T74,$BO$9),COUNTIF('1.연간시수표'!T74,$BO$7)),$BO$6,IF(OR(COUNTIF('1.연간시수표'!T74,$BP$9),COUNTIF('1.연간시수표'!T74,$BP$7)),$BP$6,IF(OR(COUNTIF('1.연간시수표'!T74,$BQ$9),COUNTIF('1.연간시수표'!T74,$BQ$7)),$BQ$6,IF(OR(COUNTIF('1.연간시수표'!T74,$BR$9),COUNTIF('1.연간시수표'!T74,$BR$7)),$BR$6,"_")))))))))))))))</f>
        <v>_</v>
      </c>
      <c r="U74" s="148" t="str">
        <f>IF(OR(COUNTIF('1.연간시수표'!U74,$AT$9),COUNTIF('1.연간시수표'!U74,$AT$7)),$AT$6,IF(OR(COUNTIF('1.연간시수표'!U74,$AU$9),COUNTIF('1.연간시수표'!U74,$AU$7)),$AU$6,IF(OR(COUNTIF('1.연간시수표'!U74,$AV$9),COUNTIF('1.연간시수표'!U74,$AV$7)),$AV$6,IF(OR(COUNTIF('1.연간시수표'!U74,$AW$9),COUNTIF('1.연간시수표'!U74,$AW$7)),$AW$6,IF(OR(COUNTIF('1.연간시수표'!U74,$AX$9),COUNTIF('1.연간시수표'!U74,$AX$7)),$AX$6,IF(OR(COUNTIF('1.연간시수표'!U74,$AY$9),COUNTIF('1.연간시수표'!U74,$AY$7)),$AY$6,IF(OR(COUNTIF('1.연간시수표'!U74,$AZ$9),COUNTIF('1.연간시수표'!U74,$AZ$7)),$AZ$6,IF(OR(COUNTIF('1.연간시수표'!U74,$BA$9),COUNTIF('1.연간시수표'!U74,$BA$7)),$BA$6,IF(OR(COUNTIF('1.연간시수표'!U74,$BB$9),COUNTIF('1.연간시수표'!U74,$BB$7)),$BB$6,IF(OR(COUNTIF('1.연간시수표'!U74,$BC$9),COUNTIF('1.연간시수표'!U74,$BC$7)),$BC$6,IF(OR(COUNTIF('1.연간시수표'!U74,$BF$9),COUNTIF('1.연간시수표'!U74,$BF$7),COUNTIF('1.연간시수표'!U74,$BG$9),COUNTIF('1.연간시수표'!U74,$BG$7),COUNTIF('1.연간시수표'!U74,$BH$9),COUNTIF('1.연간시수표'!U74,$BH$7),COUNTIF('1.연간시수표'!U74,$BI$9),COUNTIF('1.연간시수표'!U74,$BI$7),COUNTIF('1.연간시수표'!U74,$BJ$9),COUNTIF('1.연간시수표'!U74,$BJ$7),COUNTIF('1.연간시수표'!U74,$BK$9),COUNTIF('1.연간시수표'!U74,$BK$7),COUNTIF('1.연간시수표'!U74,$BL$9),COUNTIF('1.연간시수표'!U74,$BL$7),COUNTIF('1.연간시수표'!U74,$BM$9),COUNTIF('1.연간시수표'!U74,$BM$7)),$BF$6,IF(OR(COUNTIF('1.연간시수표'!U74,$BO$9),COUNTIF('1.연간시수표'!U74,$BO$7)),$BO$6,IF(OR(COUNTIF('1.연간시수표'!U74,$BP$9),COUNTIF('1.연간시수표'!U74,$BP$7)),$BP$6,IF(OR(COUNTIF('1.연간시수표'!U74,$BQ$9),COUNTIF('1.연간시수표'!U74,$BQ$7)),$BQ$6,IF(OR(COUNTIF('1.연간시수표'!U74,$BR$9),COUNTIF('1.연간시수표'!U74,$BR$7)),$BR$6,"_")))))))))))))))</f>
        <v>_</v>
      </c>
      <c r="V74" s="148" t="str">
        <f>IF(OR(COUNTIF('1.연간시수표'!V74,$AT$9),COUNTIF('1.연간시수표'!V74,$AT$7)),$AT$6,IF(OR(COUNTIF('1.연간시수표'!V74,$AU$9),COUNTIF('1.연간시수표'!V74,$AU$7)),$AU$6,IF(OR(COUNTIF('1.연간시수표'!V74,$AV$9),COUNTIF('1.연간시수표'!V74,$AV$7)),$AV$6,IF(OR(COUNTIF('1.연간시수표'!V74,$AW$9),COUNTIF('1.연간시수표'!V74,$AW$7)),$AW$6,IF(OR(COUNTIF('1.연간시수표'!V74,$AX$9),COUNTIF('1.연간시수표'!V74,$AX$7)),$AX$6,IF(OR(COUNTIF('1.연간시수표'!V74,$AY$9),COUNTIF('1.연간시수표'!V74,$AY$7)),$AY$6,IF(OR(COUNTIF('1.연간시수표'!V74,$AZ$9),COUNTIF('1.연간시수표'!V74,$AZ$7)),$AZ$6,IF(OR(COUNTIF('1.연간시수표'!V74,$BA$9),COUNTIF('1.연간시수표'!V74,$BA$7)),$BA$6,IF(OR(COUNTIF('1.연간시수표'!V74,$BB$9),COUNTIF('1.연간시수표'!V74,$BB$7)),$BB$6,IF(OR(COUNTIF('1.연간시수표'!V74,$BC$9),COUNTIF('1.연간시수표'!V74,$BC$7)),$BC$6,IF(OR(COUNTIF('1.연간시수표'!V74,$BF$9),COUNTIF('1.연간시수표'!V74,$BF$7),COUNTIF('1.연간시수표'!V74,$BG$9),COUNTIF('1.연간시수표'!V74,$BG$7),COUNTIF('1.연간시수표'!V74,$BH$9),COUNTIF('1.연간시수표'!V74,$BH$7),COUNTIF('1.연간시수표'!V74,$BI$9),COUNTIF('1.연간시수표'!V74,$BI$7),COUNTIF('1.연간시수표'!V74,$BJ$9),COUNTIF('1.연간시수표'!V74,$BJ$7),COUNTIF('1.연간시수표'!V74,$BK$9),COUNTIF('1.연간시수표'!V74,$BK$7),COUNTIF('1.연간시수표'!V74,$BL$9),COUNTIF('1.연간시수표'!V74,$BL$7),COUNTIF('1.연간시수표'!V74,$BM$9),COUNTIF('1.연간시수표'!V74,$BM$7)),$BF$6,IF(OR(COUNTIF('1.연간시수표'!V74,$BO$9),COUNTIF('1.연간시수표'!V74,$BO$7)),$BO$6,IF(OR(COUNTIF('1.연간시수표'!V74,$BP$9),COUNTIF('1.연간시수표'!V74,$BP$7)),$BP$6,IF(OR(COUNTIF('1.연간시수표'!V74,$BQ$9),COUNTIF('1.연간시수표'!V74,$BQ$7)),$BQ$6,IF(OR(COUNTIF('1.연간시수표'!V74,$BR$9),COUNTIF('1.연간시수표'!V74,$BR$7)),$BR$6,"_")))))))))))))))</f>
        <v>_</v>
      </c>
      <c r="W74" s="148" t="str">
        <f>IF(OR(COUNTIF('1.연간시수표'!W74,$AT$9),COUNTIF('1.연간시수표'!W74,$AT$7)),$AT$6,IF(OR(COUNTIF('1.연간시수표'!W74,$AU$9),COUNTIF('1.연간시수표'!W74,$AU$7)),$AU$6,IF(OR(COUNTIF('1.연간시수표'!W74,$AV$9),COUNTIF('1.연간시수표'!W74,$AV$7)),$AV$6,IF(OR(COUNTIF('1.연간시수표'!W74,$AW$9),COUNTIF('1.연간시수표'!W74,$AW$7)),$AW$6,IF(OR(COUNTIF('1.연간시수표'!W74,$AX$9),COUNTIF('1.연간시수표'!W74,$AX$7)),$AX$6,IF(OR(COUNTIF('1.연간시수표'!W74,$AY$9),COUNTIF('1.연간시수표'!W74,$AY$7)),$AY$6,IF(OR(COUNTIF('1.연간시수표'!W74,$AZ$9),COUNTIF('1.연간시수표'!W74,$AZ$7)),$AZ$6,IF(OR(COUNTIF('1.연간시수표'!W74,$BA$9),COUNTIF('1.연간시수표'!W74,$BA$7)),$BA$6,IF(OR(COUNTIF('1.연간시수표'!W74,$BB$9),COUNTIF('1.연간시수표'!W74,$BB$7)),$BB$6,IF(OR(COUNTIF('1.연간시수표'!W74,$BC$9),COUNTIF('1.연간시수표'!W74,$BC$7)),$BC$6,IF(OR(COUNTIF('1.연간시수표'!W74,$BF$9),COUNTIF('1.연간시수표'!W74,$BF$7),COUNTIF('1.연간시수표'!W74,$BG$9),COUNTIF('1.연간시수표'!W74,$BG$7),COUNTIF('1.연간시수표'!W74,$BH$9),COUNTIF('1.연간시수표'!W74,$BH$7),COUNTIF('1.연간시수표'!W74,$BI$9),COUNTIF('1.연간시수표'!W74,$BI$7),COUNTIF('1.연간시수표'!W74,$BJ$9),COUNTIF('1.연간시수표'!W74,$BJ$7),COUNTIF('1.연간시수표'!W74,$BK$9),COUNTIF('1.연간시수표'!W74,$BK$7),COUNTIF('1.연간시수표'!W74,$BL$9),COUNTIF('1.연간시수표'!W74,$BL$7),COUNTIF('1.연간시수표'!W74,$BM$9),COUNTIF('1.연간시수표'!W74,$BM$7)),$BF$6,IF(OR(COUNTIF('1.연간시수표'!W74,$BO$9),COUNTIF('1.연간시수표'!W74,$BO$7)),$BO$6,IF(OR(COUNTIF('1.연간시수표'!W74,$BP$9),COUNTIF('1.연간시수표'!W74,$BP$7)),$BP$6,IF(OR(COUNTIF('1.연간시수표'!W74,$BQ$9),COUNTIF('1.연간시수표'!W74,$BQ$7)),$BQ$6,IF(OR(COUNTIF('1.연간시수표'!W74,$BR$9),COUNTIF('1.연간시수표'!W74,$BR$7)),$BR$6,"_")))))))))))))))</f>
        <v>_</v>
      </c>
      <c r="X74" s="148" t="str">
        <f>IF(OR(COUNTIF('1.연간시수표'!X74,$AT$9),COUNTIF('1.연간시수표'!X74,$AT$7)),$AT$6,IF(OR(COUNTIF('1.연간시수표'!X74,$AU$9),COUNTIF('1.연간시수표'!X74,$AU$7)),$AU$6,IF(OR(COUNTIF('1.연간시수표'!X74,$AV$9),COUNTIF('1.연간시수표'!X74,$AV$7)),$AV$6,IF(OR(COUNTIF('1.연간시수표'!X74,$AW$9),COUNTIF('1.연간시수표'!X74,$AW$7)),$AW$6,IF(OR(COUNTIF('1.연간시수표'!X74,$AX$9),COUNTIF('1.연간시수표'!X74,$AX$7)),$AX$6,IF(OR(COUNTIF('1.연간시수표'!X74,$AY$9),COUNTIF('1.연간시수표'!X74,$AY$7)),$AY$6,IF(OR(COUNTIF('1.연간시수표'!X74,$AZ$9),COUNTIF('1.연간시수표'!X74,$AZ$7)),$AZ$6,IF(OR(COUNTIF('1.연간시수표'!X74,$BA$9),COUNTIF('1.연간시수표'!X74,$BA$7)),$BA$6,IF(OR(COUNTIF('1.연간시수표'!X74,$BB$9),COUNTIF('1.연간시수표'!X74,$BB$7)),$BB$6,IF(OR(COUNTIF('1.연간시수표'!X74,$BC$9),COUNTIF('1.연간시수표'!X74,$BC$7)),$BC$6,IF(OR(COUNTIF('1.연간시수표'!X74,$BF$9),COUNTIF('1.연간시수표'!X74,$BF$7),COUNTIF('1.연간시수표'!X74,$BG$9),COUNTIF('1.연간시수표'!X74,$BG$7),COUNTIF('1.연간시수표'!X74,$BH$9),COUNTIF('1.연간시수표'!X74,$BH$7),COUNTIF('1.연간시수표'!X74,$BI$9),COUNTIF('1.연간시수표'!X74,$BI$7),COUNTIF('1.연간시수표'!X74,$BJ$9),COUNTIF('1.연간시수표'!X74,$BJ$7),COUNTIF('1.연간시수표'!X74,$BK$9),COUNTIF('1.연간시수표'!X74,$BK$7),COUNTIF('1.연간시수표'!X74,$BL$9),COUNTIF('1.연간시수표'!X74,$BL$7),COUNTIF('1.연간시수표'!X74,$BM$9),COUNTIF('1.연간시수표'!X74,$BM$7)),$BF$6,IF(OR(COUNTIF('1.연간시수표'!X74,$BO$9),COUNTIF('1.연간시수표'!X74,$BO$7)),$BO$6,IF(OR(COUNTIF('1.연간시수표'!X74,$BP$9),COUNTIF('1.연간시수표'!X74,$BP$7)),$BP$6,IF(OR(COUNTIF('1.연간시수표'!X74,$BQ$9),COUNTIF('1.연간시수표'!X74,$BQ$7)),$BQ$6,IF(OR(COUNTIF('1.연간시수표'!X74,$BR$9),COUNTIF('1.연간시수표'!X74,$BR$7)),$BR$6,"_")))))))))))))))</f>
        <v>_</v>
      </c>
      <c r="Y74" s="148" t="str">
        <f>IF(OR(COUNTIF('1.연간시수표'!Y74,$AT$9),COUNTIF('1.연간시수표'!Y74,$AT$7)),$AT$6,IF(OR(COUNTIF('1.연간시수표'!Y74,$AU$9),COUNTIF('1.연간시수표'!Y74,$AU$7)),$AU$6,IF(OR(COUNTIF('1.연간시수표'!Y74,$AV$9),COUNTIF('1.연간시수표'!Y74,$AV$7)),$AV$6,IF(OR(COUNTIF('1.연간시수표'!Y74,$AW$9),COUNTIF('1.연간시수표'!Y74,$AW$7)),$AW$6,IF(OR(COUNTIF('1.연간시수표'!Y74,$AX$9),COUNTIF('1.연간시수표'!Y74,$AX$7)),$AX$6,IF(OR(COUNTIF('1.연간시수표'!Y74,$AY$9),COUNTIF('1.연간시수표'!Y74,$AY$7)),$AY$6,IF(OR(COUNTIF('1.연간시수표'!Y74,$AZ$9),COUNTIF('1.연간시수표'!Y74,$AZ$7)),$AZ$6,IF(OR(COUNTIF('1.연간시수표'!Y74,$BA$9),COUNTIF('1.연간시수표'!Y74,$BA$7)),$BA$6,IF(OR(COUNTIF('1.연간시수표'!Y74,$BB$9),COUNTIF('1.연간시수표'!Y74,$BB$7)),$BB$6,IF(OR(COUNTIF('1.연간시수표'!Y74,$BC$9),COUNTIF('1.연간시수표'!Y74,$BC$7)),$BC$6,IF(OR(COUNTIF('1.연간시수표'!Y74,$BF$9),COUNTIF('1.연간시수표'!Y74,$BF$7),COUNTIF('1.연간시수표'!Y74,$BG$9),COUNTIF('1.연간시수표'!Y74,$BG$7),COUNTIF('1.연간시수표'!Y74,$BH$9),COUNTIF('1.연간시수표'!Y74,$BH$7),COUNTIF('1.연간시수표'!Y74,$BI$9),COUNTIF('1.연간시수표'!Y74,$BI$7),COUNTIF('1.연간시수표'!Y74,$BJ$9),COUNTIF('1.연간시수표'!Y74,$BJ$7),COUNTIF('1.연간시수표'!Y74,$BK$9),COUNTIF('1.연간시수표'!Y74,$BK$7),COUNTIF('1.연간시수표'!Y74,$BL$9),COUNTIF('1.연간시수표'!Y74,$BL$7),COUNTIF('1.연간시수표'!Y74,$BM$9),COUNTIF('1.연간시수표'!Y74,$BM$7)),$BF$6,IF(OR(COUNTIF('1.연간시수표'!Y74,$BO$9),COUNTIF('1.연간시수표'!Y74,$BO$7)),$BO$6,IF(OR(COUNTIF('1.연간시수표'!Y74,$BP$9),COUNTIF('1.연간시수표'!Y74,$BP$7)),$BP$6,IF(OR(COUNTIF('1.연간시수표'!Y74,$BQ$9),COUNTIF('1.연간시수표'!Y74,$BQ$7)),$BQ$6,IF(OR(COUNTIF('1.연간시수표'!Y74,$BR$9),COUNTIF('1.연간시수표'!Y74,$BR$7)),$BR$6,"_")))))))))))))))</f>
        <v>_</v>
      </c>
      <c r="Z74" s="148" t="str">
        <f>IF(OR(COUNTIF('1.연간시수표'!Z74,$AT$9),COUNTIF('1.연간시수표'!Z74,$AT$7)),$AT$6,IF(OR(COUNTIF('1.연간시수표'!Z74,$AU$9),COUNTIF('1.연간시수표'!Z74,$AU$7)),$AU$6,IF(OR(COUNTIF('1.연간시수표'!Z74,$AV$9),COUNTIF('1.연간시수표'!Z74,$AV$7)),$AV$6,IF(OR(COUNTIF('1.연간시수표'!Z74,$AW$9),COUNTIF('1.연간시수표'!Z74,$AW$7)),$AW$6,IF(OR(COUNTIF('1.연간시수표'!Z74,$AX$9),COUNTIF('1.연간시수표'!Z74,$AX$7)),$AX$6,IF(OR(COUNTIF('1.연간시수표'!Z74,$AY$9),COUNTIF('1.연간시수표'!Z74,$AY$7)),$AY$6,IF(OR(COUNTIF('1.연간시수표'!Z74,$AZ$9),COUNTIF('1.연간시수표'!Z74,$AZ$7)),$AZ$6,IF(OR(COUNTIF('1.연간시수표'!Z74,$BA$9),COUNTIF('1.연간시수표'!Z74,$BA$7)),$BA$6,IF(OR(COUNTIF('1.연간시수표'!Z74,$BB$9),COUNTIF('1.연간시수표'!Z74,$BB$7)),$BB$6,IF(OR(COUNTIF('1.연간시수표'!Z74,$BC$9),COUNTIF('1.연간시수표'!Z74,$BC$7)),$BC$6,IF(OR(COUNTIF('1.연간시수표'!Z74,$BF$9),COUNTIF('1.연간시수표'!Z74,$BF$7),COUNTIF('1.연간시수표'!Z74,$BG$9),COUNTIF('1.연간시수표'!Z74,$BG$7),COUNTIF('1.연간시수표'!Z74,$BH$9),COUNTIF('1.연간시수표'!Z74,$BH$7),COUNTIF('1.연간시수표'!Z74,$BI$9),COUNTIF('1.연간시수표'!Z74,$BI$7),COUNTIF('1.연간시수표'!Z74,$BJ$9),COUNTIF('1.연간시수표'!Z74,$BJ$7),COUNTIF('1.연간시수표'!Z74,$BK$9),COUNTIF('1.연간시수표'!Z74,$BK$7),COUNTIF('1.연간시수표'!Z74,$BL$9),COUNTIF('1.연간시수표'!Z74,$BL$7),COUNTIF('1.연간시수표'!Z74,$BM$9),COUNTIF('1.연간시수표'!Z74,$BM$7)),$BF$6,IF(OR(COUNTIF('1.연간시수표'!Z74,$BO$9),COUNTIF('1.연간시수표'!Z74,$BO$7)),$BO$6,IF(OR(COUNTIF('1.연간시수표'!Z74,$BP$9),COUNTIF('1.연간시수표'!Z74,$BP$7)),$BP$6,IF(OR(COUNTIF('1.연간시수표'!Z74,$BQ$9),COUNTIF('1.연간시수표'!Z74,$BQ$7)),$BQ$6,IF(OR(COUNTIF('1.연간시수표'!Z74,$BR$9),COUNTIF('1.연간시수표'!Z74,$BR$7)),$BR$6,"_")))))))))))))))</f>
        <v>_</v>
      </c>
      <c r="AA74" s="148" t="str">
        <f>IF(OR(COUNTIF('1.연간시수표'!AA74,$AT$9),COUNTIF('1.연간시수표'!AA74,$AT$7)),$AT$6,IF(OR(COUNTIF('1.연간시수표'!AA74,$AU$9),COUNTIF('1.연간시수표'!AA74,$AU$7)),$AU$6,IF(OR(COUNTIF('1.연간시수표'!AA74,$AV$9),COUNTIF('1.연간시수표'!AA74,$AV$7)),$AV$6,IF(OR(COUNTIF('1.연간시수표'!AA74,$AW$9),COUNTIF('1.연간시수표'!AA74,$AW$7)),$AW$6,IF(OR(COUNTIF('1.연간시수표'!AA74,$AX$9),COUNTIF('1.연간시수표'!AA74,$AX$7)),$AX$6,IF(OR(COUNTIF('1.연간시수표'!AA74,$AY$9),COUNTIF('1.연간시수표'!AA74,$AY$7)),$AY$6,IF(OR(COUNTIF('1.연간시수표'!AA74,$AZ$9),COUNTIF('1.연간시수표'!AA74,$AZ$7)),$AZ$6,IF(OR(COUNTIF('1.연간시수표'!AA74,$BA$9),COUNTIF('1.연간시수표'!AA74,$BA$7)),$BA$6,IF(OR(COUNTIF('1.연간시수표'!AA74,$BB$9),COUNTIF('1.연간시수표'!AA74,$BB$7)),$BB$6,IF(OR(COUNTIF('1.연간시수표'!AA74,$BC$9),COUNTIF('1.연간시수표'!AA74,$BC$7)),$BC$6,IF(OR(COUNTIF('1.연간시수표'!AA74,$BF$9),COUNTIF('1.연간시수표'!AA74,$BF$7),COUNTIF('1.연간시수표'!AA74,$BG$9),COUNTIF('1.연간시수표'!AA74,$BG$7),COUNTIF('1.연간시수표'!AA74,$BH$9),COUNTIF('1.연간시수표'!AA74,$BH$7),COUNTIF('1.연간시수표'!AA74,$BI$9),COUNTIF('1.연간시수표'!AA74,$BI$7),COUNTIF('1.연간시수표'!AA74,$BJ$9),COUNTIF('1.연간시수표'!AA74,$BJ$7),COUNTIF('1.연간시수표'!AA74,$BK$9),COUNTIF('1.연간시수표'!AA74,$BK$7),COUNTIF('1.연간시수표'!AA74,$BL$9),COUNTIF('1.연간시수표'!AA74,$BL$7),COUNTIF('1.연간시수표'!AA74,$BM$9),COUNTIF('1.연간시수표'!AA74,$BM$7)),$BF$6,IF(OR(COUNTIF('1.연간시수표'!AA74,$BO$9),COUNTIF('1.연간시수표'!AA74,$BO$7)),$BO$6,IF(OR(COUNTIF('1.연간시수표'!AA74,$BP$9),COUNTIF('1.연간시수표'!AA74,$BP$7)),$BP$6,IF(OR(COUNTIF('1.연간시수표'!AA74,$BQ$9),COUNTIF('1.연간시수표'!AA74,$BQ$7)),$BQ$6,IF(OR(COUNTIF('1.연간시수표'!AA74,$BR$9),COUNTIF('1.연간시수표'!AA74,$BR$7)),$BR$6,"_")))))))))))))))</f>
        <v>_</v>
      </c>
      <c r="AB74" s="148" t="str">
        <f>IF(OR(COUNTIF('1.연간시수표'!AB74,$AT$9),COUNTIF('1.연간시수표'!AB74,$AT$7)),$AT$6,IF(OR(COUNTIF('1.연간시수표'!AB74,$AU$9),COUNTIF('1.연간시수표'!AB74,$AU$7)),$AU$6,IF(OR(COUNTIF('1.연간시수표'!AB74,$AV$9),COUNTIF('1.연간시수표'!AB74,$AV$7)),$AV$6,IF(OR(COUNTIF('1.연간시수표'!AB74,$AW$9),COUNTIF('1.연간시수표'!AB74,$AW$7)),$AW$6,IF(OR(COUNTIF('1.연간시수표'!AB74,$AX$9),COUNTIF('1.연간시수표'!AB74,$AX$7)),$AX$6,IF(OR(COUNTIF('1.연간시수표'!AB74,$AY$9),COUNTIF('1.연간시수표'!AB74,$AY$7)),$AY$6,IF(OR(COUNTIF('1.연간시수표'!AB74,$AZ$9),COUNTIF('1.연간시수표'!AB74,$AZ$7)),$AZ$6,IF(OR(COUNTIF('1.연간시수표'!AB74,$BA$9),COUNTIF('1.연간시수표'!AB74,$BA$7)),$BA$6,IF(OR(COUNTIF('1.연간시수표'!AB74,$BB$9),COUNTIF('1.연간시수표'!AB74,$BB$7)),$BB$6,IF(OR(COUNTIF('1.연간시수표'!AB74,$BC$9),COUNTIF('1.연간시수표'!AB74,$BC$7)),$BC$6,IF(OR(COUNTIF('1.연간시수표'!AB74,$BF$9),COUNTIF('1.연간시수표'!AB74,$BF$7),COUNTIF('1.연간시수표'!AB74,$BG$9),COUNTIF('1.연간시수표'!AB74,$BG$7),COUNTIF('1.연간시수표'!AB74,$BH$9),COUNTIF('1.연간시수표'!AB74,$BH$7),COUNTIF('1.연간시수표'!AB74,$BI$9),COUNTIF('1.연간시수표'!AB74,$BI$7),COUNTIF('1.연간시수표'!AB74,$BJ$9),COUNTIF('1.연간시수표'!AB74,$BJ$7),COUNTIF('1.연간시수표'!AB74,$BK$9),COUNTIF('1.연간시수표'!AB74,$BK$7),COUNTIF('1.연간시수표'!AB74,$BL$9),COUNTIF('1.연간시수표'!AB74,$BL$7),COUNTIF('1.연간시수표'!AB74,$BM$9),COUNTIF('1.연간시수표'!AB74,$BM$7)),$BF$6,IF(OR(COUNTIF('1.연간시수표'!AB74,$BO$9),COUNTIF('1.연간시수표'!AB74,$BO$7)),$BO$6,IF(OR(COUNTIF('1.연간시수표'!AB74,$BP$9),COUNTIF('1.연간시수표'!AB74,$BP$7)),$BP$6,IF(OR(COUNTIF('1.연간시수표'!AB74,$BQ$9),COUNTIF('1.연간시수표'!AB74,$BQ$7)),$BQ$6,IF(OR(COUNTIF('1.연간시수표'!AB74,$BR$9),COUNTIF('1.연간시수표'!AB74,$BR$7)),$BR$6,"_")))))))))))))))</f>
        <v>_</v>
      </c>
      <c r="AC74" s="148" t="str">
        <f>IF(OR(COUNTIF('1.연간시수표'!AC74,$AT$9),COUNTIF('1.연간시수표'!AC74,$AT$7)),$AT$6,IF(OR(COUNTIF('1.연간시수표'!AC74,$AU$9),COUNTIF('1.연간시수표'!AC74,$AU$7)),$AU$6,IF(OR(COUNTIF('1.연간시수표'!AC74,$AV$9),COUNTIF('1.연간시수표'!AC74,$AV$7)),$AV$6,IF(OR(COUNTIF('1.연간시수표'!AC74,$AW$9),COUNTIF('1.연간시수표'!AC74,$AW$7)),$AW$6,IF(OR(COUNTIF('1.연간시수표'!AC74,$AX$9),COUNTIF('1.연간시수표'!AC74,$AX$7)),$AX$6,IF(OR(COUNTIF('1.연간시수표'!AC74,$AY$9),COUNTIF('1.연간시수표'!AC74,$AY$7)),$AY$6,IF(OR(COUNTIF('1.연간시수표'!AC74,$AZ$9),COUNTIF('1.연간시수표'!AC74,$AZ$7)),$AZ$6,IF(OR(COUNTIF('1.연간시수표'!AC74,$BA$9),COUNTIF('1.연간시수표'!AC74,$BA$7)),$BA$6,IF(OR(COUNTIF('1.연간시수표'!AC74,$BB$9),COUNTIF('1.연간시수표'!AC74,$BB$7)),$BB$6,IF(OR(COUNTIF('1.연간시수표'!AC74,$BC$9),COUNTIF('1.연간시수표'!AC74,$BC$7)),$BC$6,IF(OR(COUNTIF('1.연간시수표'!AC74,$BF$9),COUNTIF('1.연간시수표'!AC74,$BF$7),COUNTIF('1.연간시수표'!AC74,$BG$9),COUNTIF('1.연간시수표'!AC74,$BG$7),COUNTIF('1.연간시수표'!AC74,$BH$9),COUNTIF('1.연간시수표'!AC74,$BH$7),COUNTIF('1.연간시수표'!AC74,$BI$9),COUNTIF('1.연간시수표'!AC74,$BI$7),COUNTIF('1.연간시수표'!AC74,$BJ$9),COUNTIF('1.연간시수표'!AC74,$BJ$7),COUNTIF('1.연간시수표'!AC74,$BK$9),COUNTIF('1.연간시수표'!AC74,$BK$7),COUNTIF('1.연간시수표'!AC74,$BL$9),COUNTIF('1.연간시수표'!AC74,$BL$7),COUNTIF('1.연간시수표'!AC74,$BM$9),COUNTIF('1.연간시수표'!AC74,$BM$7)),$BF$6,IF(OR(COUNTIF('1.연간시수표'!AC74,$BO$9),COUNTIF('1.연간시수표'!AC74,$BO$7)),$BO$6,IF(OR(COUNTIF('1.연간시수표'!AC74,$BP$9),COUNTIF('1.연간시수표'!AC74,$BP$7)),$BP$6,IF(OR(COUNTIF('1.연간시수표'!AC74,$BQ$9),COUNTIF('1.연간시수표'!AC74,$BQ$7)),$BQ$6,IF(OR(COUNTIF('1.연간시수표'!AC74,$BR$9),COUNTIF('1.연간시수표'!AC74,$BR$7)),$BR$6,"_")))))))))))))))</f>
        <v>_</v>
      </c>
      <c r="AD74" s="148" t="str">
        <f>IF(OR(COUNTIF('1.연간시수표'!AD74,$AT$9),COUNTIF('1.연간시수표'!AD74,$AT$7)),$AT$6,IF(OR(COUNTIF('1.연간시수표'!AD74,$AU$9),COUNTIF('1.연간시수표'!AD74,$AU$7)),$AU$6,IF(OR(COUNTIF('1.연간시수표'!AD74,$AV$9),COUNTIF('1.연간시수표'!AD74,$AV$7)),$AV$6,IF(OR(COUNTIF('1.연간시수표'!AD74,$AW$9),COUNTIF('1.연간시수표'!AD74,$AW$7)),$AW$6,IF(OR(COUNTIF('1.연간시수표'!AD74,$AX$9),COUNTIF('1.연간시수표'!AD74,$AX$7)),$AX$6,IF(OR(COUNTIF('1.연간시수표'!AD74,$AY$9),COUNTIF('1.연간시수표'!AD74,$AY$7)),$AY$6,IF(OR(COUNTIF('1.연간시수표'!AD74,$AZ$9),COUNTIF('1.연간시수표'!AD74,$AZ$7)),$AZ$6,IF(OR(COUNTIF('1.연간시수표'!AD74,$BA$9),COUNTIF('1.연간시수표'!AD74,$BA$7)),$BA$6,IF(OR(COUNTIF('1.연간시수표'!AD74,$BB$9),COUNTIF('1.연간시수표'!AD74,$BB$7)),$BB$6,IF(OR(COUNTIF('1.연간시수표'!AD74,$BC$9),COUNTIF('1.연간시수표'!AD74,$BC$7)),$BC$6,IF(OR(COUNTIF('1.연간시수표'!AD74,$BF$9),COUNTIF('1.연간시수표'!AD74,$BF$7),COUNTIF('1.연간시수표'!AD74,$BG$9),COUNTIF('1.연간시수표'!AD74,$BG$7),COUNTIF('1.연간시수표'!AD74,$BH$9),COUNTIF('1.연간시수표'!AD74,$BH$7),COUNTIF('1.연간시수표'!AD74,$BI$9),COUNTIF('1.연간시수표'!AD74,$BI$7),COUNTIF('1.연간시수표'!AD74,$BJ$9),COUNTIF('1.연간시수표'!AD74,$BJ$7),COUNTIF('1.연간시수표'!AD74,$BK$9),COUNTIF('1.연간시수표'!AD74,$BK$7),COUNTIF('1.연간시수표'!AD74,$BL$9),COUNTIF('1.연간시수표'!AD74,$BL$7),COUNTIF('1.연간시수표'!AD74,$BM$9),COUNTIF('1.연간시수표'!AD74,$BM$7)),$BF$6,IF(OR(COUNTIF('1.연간시수표'!AD74,$BO$9),COUNTIF('1.연간시수표'!AD74,$BO$7)),$BO$6,IF(OR(COUNTIF('1.연간시수표'!AD74,$BP$9),COUNTIF('1.연간시수표'!AD74,$BP$7)),$BP$6,IF(OR(COUNTIF('1.연간시수표'!AD74,$BQ$9),COUNTIF('1.연간시수표'!AD74,$BQ$7)),$BQ$6,IF(OR(COUNTIF('1.연간시수표'!AD74,$BR$9),COUNTIF('1.연간시수표'!AD74,$BR$7)),$BR$6,"_")))))))))))))))</f>
        <v>_</v>
      </c>
      <c r="AE74" s="148" t="str">
        <f>IF(OR(COUNTIF('1.연간시수표'!AE74,$AT$9),COUNTIF('1.연간시수표'!AE74,$AT$7)),$AT$6,IF(OR(COUNTIF('1.연간시수표'!AE74,$AU$9),COUNTIF('1.연간시수표'!AE74,$AU$7)),$AU$6,IF(OR(COUNTIF('1.연간시수표'!AE74,$AV$9),COUNTIF('1.연간시수표'!AE74,$AV$7)),$AV$6,IF(OR(COUNTIF('1.연간시수표'!AE74,$AW$9),COUNTIF('1.연간시수표'!AE74,$AW$7)),$AW$6,IF(OR(COUNTIF('1.연간시수표'!AE74,$AX$9),COUNTIF('1.연간시수표'!AE74,$AX$7)),$AX$6,IF(OR(COUNTIF('1.연간시수표'!AE74,$AY$9),COUNTIF('1.연간시수표'!AE74,$AY$7)),$AY$6,IF(OR(COUNTIF('1.연간시수표'!AE74,$AZ$9),COUNTIF('1.연간시수표'!AE74,$AZ$7)),$AZ$6,IF(OR(COUNTIF('1.연간시수표'!AE74,$BA$9),COUNTIF('1.연간시수표'!AE74,$BA$7)),$BA$6,IF(OR(COUNTIF('1.연간시수표'!AE74,$BB$9),COUNTIF('1.연간시수표'!AE74,$BB$7)),$BB$6,IF(OR(COUNTIF('1.연간시수표'!AE74,$BC$9),COUNTIF('1.연간시수표'!AE74,$BC$7)),$BC$6,IF(OR(COUNTIF('1.연간시수표'!AE74,$BF$9),COUNTIF('1.연간시수표'!AE74,$BF$7),COUNTIF('1.연간시수표'!AE74,$BG$9),COUNTIF('1.연간시수표'!AE74,$BG$7),COUNTIF('1.연간시수표'!AE74,$BH$9),COUNTIF('1.연간시수표'!AE74,$BH$7),COUNTIF('1.연간시수표'!AE74,$BI$9),COUNTIF('1.연간시수표'!AE74,$BI$7),COUNTIF('1.연간시수표'!AE74,$BJ$9),COUNTIF('1.연간시수표'!AE74,$BJ$7),COUNTIF('1.연간시수표'!AE74,$BK$9),COUNTIF('1.연간시수표'!AE74,$BK$7),COUNTIF('1.연간시수표'!AE74,$BL$9),COUNTIF('1.연간시수표'!AE74,$BL$7),COUNTIF('1.연간시수표'!AE74,$BM$9),COUNTIF('1.연간시수표'!AE74,$BM$7)),$BF$6,IF(OR(COUNTIF('1.연간시수표'!AE74,$BO$9),COUNTIF('1.연간시수표'!AE74,$BO$7)),$BO$6,IF(OR(COUNTIF('1.연간시수표'!AE74,$BP$9),COUNTIF('1.연간시수표'!AE74,$BP$7)),$BP$6,IF(OR(COUNTIF('1.연간시수표'!AE74,$BQ$9),COUNTIF('1.연간시수표'!AE74,$BQ$7)),$BQ$6,IF(OR(COUNTIF('1.연간시수표'!AE74,$BR$9),COUNTIF('1.연간시수표'!AE74,$BR$7)),$BR$6,"_")))))))))))))))</f>
        <v>_</v>
      </c>
      <c r="AF74" s="148" t="str">
        <f>IF(OR(COUNTIF('1.연간시수표'!AF74,$AT$9),COUNTIF('1.연간시수표'!AF74,$AT$7)),$AT$6,IF(OR(COUNTIF('1.연간시수표'!AF74,$AU$9),COUNTIF('1.연간시수표'!AF74,$AU$7)),$AU$6,IF(OR(COUNTIF('1.연간시수표'!AF74,$AV$9),COUNTIF('1.연간시수표'!AF74,$AV$7)),$AV$6,IF(OR(COUNTIF('1.연간시수표'!AF74,$AW$9),COUNTIF('1.연간시수표'!AF74,$AW$7)),$AW$6,IF(OR(COUNTIF('1.연간시수표'!AF74,$AX$9),COUNTIF('1.연간시수표'!AF74,$AX$7)),$AX$6,IF(OR(COUNTIF('1.연간시수표'!AF74,$AY$9),COUNTIF('1.연간시수표'!AF74,$AY$7)),$AY$6,IF(OR(COUNTIF('1.연간시수표'!AF74,$AZ$9),COUNTIF('1.연간시수표'!AF74,$AZ$7)),$AZ$6,IF(OR(COUNTIF('1.연간시수표'!AF74,$BA$9),COUNTIF('1.연간시수표'!AF74,$BA$7)),$BA$6,IF(OR(COUNTIF('1.연간시수표'!AF74,$BB$9),COUNTIF('1.연간시수표'!AF74,$BB$7)),$BB$6,IF(OR(COUNTIF('1.연간시수표'!AF74,$BC$9),COUNTIF('1.연간시수표'!AF74,$BC$7)),$BC$6,IF(OR(COUNTIF('1.연간시수표'!AF74,$BF$9),COUNTIF('1.연간시수표'!AF74,$BF$7),COUNTIF('1.연간시수표'!AF74,$BG$9),COUNTIF('1.연간시수표'!AF74,$BG$7),COUNTIF('1.연간시수표'!AF74,$BH$9),COUNTIF('1.연간시수표'!AF74,$BH$7),COUNTIF('1.연간시수표'!AF74,$BI$9),COUNTIF('1.연간시수표'!AF74,$BI$7),COUNTIF('1.연간시수표'!AF74,$BJ$9),COUNTIF('1.연간시수표'!AF74,$BJ$7),COUNTIF('1.연간시수표'!AF74,$BK$9),COUNTIF('1.연간시수표'!AF74,$BK$7),COUNTIF('1.연간시수표'!AF74,$BL$9),COUNTIF('1.연간시수표'!AF74,$BL$7),COUNTIF('1.연간시수표'!AF74,$BM$9),COUNTIF('1.연간시수표'!AF74,$BM$7)),$BF$6,IF(OR(COUNTIF('1.연간시수표'!AF74,$BO$9),COUNTIF('1.연간시수표'!AF74,$BO$7)),$BO$6,IF(OR(COUNTIF('1.연간시수표'!AF74,$BP$9),COUNTIF('1.연간시수표'!AF74,$BP$7)),$BP$6,IF(OR(COUNTIF('1.연간시수표'!AF74,$BQ$9),COUNTIF('1.연간시수표'!AF74,$BQ$7)),$BQ$6,IF(OR(COUNTIF('1.연간시수표'!AF74,$BR$9),COUNTIF('1.연간시수표'!AF74,$BR$7)),$BR$6,"_")))))))))))))))</f>
        <v>_</v>
      </c>
      <c r="AG74" s="148" t="str">
        <f>IF(OR(COUNTIF('1.연간시수표'!AG74,$AT$9),COUNTIF('1.연간시수표'!AG74,$AT$7)),$AT$6,IF(OR(COUNTIF('1.연간시수표'!AG74,$AU$9),COUNTIF('1.연간시수표'!AG74,$AU$7)),$AU$6,IF(OR(COUNTIF('1.연간시수표'!AG74,$AV$9),COUNTIF('1.연간시수표'!AG74,$AV$7)),$AV$6,IF(OR(COUNTIF('1.연간시수표'!AG74,$AW$9),COUNTIF('1.연간시수표'!AG74,$AW$7)),$AW$6,IF(OR(COUNTIF('1.연간시수표'!AG74,$AX$9),COUNTIF('1.연간시수표'!AG74,$AX$7)),$AX$6,IF(OR(COUNTIF('1.연간시수표'!AG74,$AY$9),COUNTIF('1.연간시수표'!AG74,$AY$7)),$AY$6,IF(OR(COUNTIF('1.연간시수표'!AG74,$AZ$9),COUNTIF('1.연간시수표'!AG74,$AZ$7)),$AZ$6,IF(OR(COUNTIF('1.연간시수표'!AG74,$BA$9),COUNTIF('1.연간시수표'!AG74,$BA$7)),$BA$6,IF(OR(COUNTIF('1.연간시수표'!AG74,$BB$9),COUNTIF('1.연간시수표'!AG74,$BB$7)),$BB$6,IF(OR(COUNTIF('1.연간시수표'!AG74,$BC$9),COUNTIF('1.연간시수표'!AG74,$BC$7)),$BC$6,IF(OR(COUNTIF('1.연간시수표'!AG74,$BF$9),COUNTIF('1.연간시수표'!AG74,$BF$7),COUNTIF('1.연간시수표'!AG74,$BG$9),COUNTIF('1.연간시수표'!AG74,$BG$7),COUNTIF('1.연간시수표'!AG74,$BH$9),COUNTIF('1.연간시수표'!AG74,$BH$7),COUNTIF('1.연간시수표'!AG74,$BI$9),COUNTIF('1.연간시수표'!AG74,$BI$7),COUNTIF('1.연간시수표'!AG74,$BJ$9),COUNTIF('1.연간시수표'!AG74,$BJ$7),COUNTIF('1.연간시수표'!AG74,$BK$9),COUNTIF('1.연간시수표'!AG74,$BK$7),COUNTIF('1.연간시수표'!AG74,$BL$9),COUNTIF('1.연간시수표'!AG74,$BL$7),COUNTIF('1.연간시수표'!AG74,$BM$9),COUNTIF('1.연간시수표'!AG74,$BM$7)),$BF$6,IF(OR(COUNTIF('1.연간시수표'!AG74,$BO$9),COUNTIF('1.연간시수표'!AG74,$BO$7)),$BO$6,IF(OR(COUNTIF('1.연간시수표'!AG74,$BP$9),COUNTIF('1.연간시수표'!AG74,$BP$7)),$BP$6,IF(OR(COUNTIF('1.연간시수표'!AG74,$BQ$9),COUNTIF('1.연간시수표'!AG74,$BQ$7)),$BQ$6,IF(OR(COUNTIF('1.연간시수표'!AG74,$BR$9),COUNTIF('1.연간시수표'!AG74,$BR$7)),$BR$6,"_")))))))))))))))</f>
        <v>_</v>
      </c>
      <c r="AH74" s="148" t="str">
        <f>IF(OR(COUNTIF('1.연간시수표'!AH74,$AT$9),COUNTIF('1.연간시수표'!AH74,$AT$7)),$AT$6,IF(OR(COUNTIF('1.연간시수표'!AH74,$AU$9),COUNTIF('1.연간시수표'!AH74,$AU$7)),$AU$6,IF(OR(COUNTIF('1.연간시수표'!AH74,$AV$9),COUNTIF('1.연간시수표'!AH74,$AV$7)),$AV$6,IF(OR(COUNTIF('1.연간시수표'!AH74,$AW$9),COUNTIF('1.연간시수표'!AH74,$AW$7)),$AW$6,IF(OR(COUNTIF('1.연간시수표'!AH74,$AX$9),COUNTIF('1.연간시수표'!AH74,$AX$7)),$AX$6,IF(OR(COUNTIF('1.연간시수표'!AH74,$AY$9),COUNTIF('1.연간시수표'!AH74,$AY$7)),$AY$6,IF(OR(COUNTIF('1.연간시수표'!AH74,$AZ$9),COUNTIF('1.연간시수표'!AH74,$AZ$7)),$AZ$6,IF(OR(COUNTIF('1.연간시수표'!AH74,$BA$9),COUNTIF('1.연간시수표'!AH74,$BA$7)),$BA$6,IF(OR(COUNTIF('1.연간시수표'!AH74,$BB$9),COUNTIF('1.연간시수표'!AH74,$BB$7)),$BB$6,IF(OR(COUNTIF('1.연간시수표'!AH74,$BC$9),COUNTIF('1.연간시수표'!AH74,$BC$7)),$BC$6,IF(OR(COUNTIF('1.연간시수표'!AH74,$BF$9),COUNTIF('1.연간시수표'!AH74,$BF$7),COUNTIF('1.연간시수표'!AH74,$BG$9),COUNTIF('1.연간시수표'!AH74,$BG$7),COUNTIF('1.연간시수표'!AH74,$BH$9),COUNTIF('1.연간시수표'!AH74,$BH$7),COUNTIF('1.연간시수표'!AH74,$BI$9),COUNTIF('1.연간시수표'!AH74,$BI$7),COUNTIF('1.연간시수표'!AH74,$BJ$9),COUNTIF('1.연간시수표'!AH74,$BJ$7),COUNTIF('1.연간시수표'!AH74,$BK$9),COUNTIF('1.연간시수표'!AH74,$BK$7),COUNTIF('1.연간시수표'!AH74,$BL$9),COUNTIF('1.연간시수표'!AH74,$BL$7),COUNTIF('1.연간시수표'!AH74,$BM$9),COUNTIF('1.연간시수표'!AH74,$BM$7)),$BF$6,IF(OR(COUNTIF('1.연간시수표'!AH74,$BO$9),COUNTIF('1.연간시수표'!AH74,$BO$7)),$BO$6,IF(OR(COUNTIF('1.연간시수표'!AH74,$BP$9),COUNTIF('1.연간시수표'!AH74,$BP$7)),$BP$6,IF(OR(COUNTIF('1.연간시수표'!AH74,$BQ$9),COUNTIF('1.연간시수표'!AH74,$BQ$7)),$BQ$6,IF(OR(COUNTIF('1.연간시수표'!AH74,$BR$9),COUNTIF('1.연간시수표'!AH74,$BR$7)),$BR$6,"_")))))))))))))))</f>
        <v>_</v>
      </c>
      <c r="AI74" s="148" t="str">
        <f>IF(OR(COUNTIF('1.연간시수표'!AI74,$AT$9),COUNTIF('1.연간시수표'!AI74,$AT$7)),$AT$6,IF(OR(COUNTIF('1.연간시수표'!AI74,$AU$9),COUNTIF('1.연간시수표'!AI74,$AU$7)),$AU$6,IF(OR(COUNTIF('1.연간시수표'!AI74,$AV$9),COUNTIF('1.연간시수표'!AI74,$AV$7)),$AV$6,IF(OR(COUNTIF('1.연간시수표'!AI74,$AW$9),COUNTIF('1.연간시수표'!AI74,$AW$7)),$AW$6,IF(OR(COUNTIF('1.연간시수표'!AI74,$AX$9),COUNTIF('1.연간시수표'!AI74,$AX$7)),$AX$6,IF(OR(COUNTIF('1.연간시수표'!AI74,$AY$9),COUNTIF('1.연간시수표'!AI74,$AY$7)),$AY$6,IF(OR(COUNTIF('1.연간시수표'!AI74,$AZ$9),COUNTIF('1.연간시수표'!AI74,$AZ$7)),$AZ$6,IF(OR(COUNTIF('1.연간시수표'!AI74,$BA$9),COUNTIF('1.연간시수표'!AI74,$BA$7)),$BA$6,IF(OR(COUNTIF('1.연간시수표'!AI74,$BB$9),COUNTIF('1.연간시수표'!AI74,$BB$7)),$BB$6,IF(OR(COUNTIF('1.연간시수표'!AI74,$BC$9),COUNTIF('1.연간시수표'!AI74,$BC$7)),$BC$6,IF(OR(COUNTIF('1.연간시수표'!AI74,$BF$9),COUNTIF('1.연간시수표'!AI74,$BF$7),COUNTIF('1.연간시수표'!AI74,$BG$9),COUNTIF('1.연간시수표'!AI74,$BG$7),COUNTIF('1.연간시수표'!AI74,$BH$9),COUNTIF('1.연간시수표'!AI74,$BH$7),COUNTIF('1.연간시수표'!AI74,$BI$9),COUNTIF('1.연간시수표'!AI74,$BI$7),COUNTIF('1.연간시수표'!AI74,$BJ$9),COUNTIF('1.연간시수표'!AI74,$BJ$7),COUNTIF('1.연간시수표'!AI74,$BK$9),COUNTIF('1.연간시수표'!AI74,$BK$7),COUNTIF('1.연간시수표'!AI74,$BL$9),COUNTIF('1.연간시수표'!AI74,$BL$7),COUNTIF('1.연간시수표'!AI74,$BM$9),COUNTIF('1.연간시수표'!AI74,$BM$7)),$BF$6,IF(OR(COUNTIF('1.연간시수표'!AI74,$BO$9),COUNTIF('1.연간시수표'!AI74,$BO$7)),$BO$6,IF(OR(COUNTIF('1.연간시수표'!AI74,$BP$9),COUNTIF('1.연간시수표'!AI74,$BP$7)),$BP$6,IF(OR(COUNTIF('1.연간시수표'!AI74,$BQ$9),COUNTIF('1.연간시수표'!AI74,$BQ$7)),$BQ$6,IF(OR(COUNTIF('1.연간시수표'!AI74,$BR$9),COUNTIF('1.연간시수표'!AI74,$BR$7)),$BR$6,"_")))))))))))))))</f>
        <v>_</v>
      </c>
      <c r="AJ74" s="148" t="str">
        <f>IF(OR(COUNTIF('1.연간시수표'!AJ74,$AT$9),COUNTIF('1.연간시수표'!AJ74,$AT$7)),$AT$6,IF(OR(COUNTIF('1.연간시수표'!AJ74,$AU$9),COUNTIF('1.연간시수표'!AJ74,$AU$7)),$AU$6,IF(OR(COUNTIF('1.연간시수표'!AJ74,$AV$9),COUNTIF('1.연간시수표'!AJ74,$AV$7)),$AV$6,IF(OR(COUNTIF('1.연간시수표'!AJ74,$AW$9),COUNTIF('1.연간시수표'!AJ74,$AW$7)),$AW$6,IF(OR(COUNTIF('1.연간시수표'!AJ74,$AX$9),COUNTIF('1.연간시수표'!AJ74,$AX$7)),$AX$6,IF(OR(COUNTIF('1.연간시수표'!AJ74,$AY$9),COUNTIF('1.연간시수표'!AJ74,$AY$7)),$AY$6,IF(OR(COUNTIF('1.연간시수표'!AJ74,$AZ$9),COUNTIF('1.연간시수표'!AJ74,$AZ$7)),$AZ$6,IF(OR(COUNTIF('1.연간시수표'!AJ74,$BA$9),COUNTIF('1.연간시수표'!AJ74,$BA$7)),$BA$6,IF(OR(COUNTIF('1.연간시수표'!AJ74,$BB$9),COUNTIF('1.연간시수표'!AJ74,$BB$7)),$BB$6,IF(OR(COUNTIF('1.연간시수표'!AJ74,$BC$9),COUNTIF('1.연간시수표'!AJ74,$BC$7)),$BC$6,IF(OR(COUNTIF('1.연간시수표'!AJ74,$BF$9),COUNTIF('1.연간시수표'!AJ74,$BF$7),COUNTIF('1.연간시수표'!AJ74,$BG$9),COUNTIF('1.연간시수표'!AJ74,$BG$7),COUNTIF('1.연간시수표'!AJ74,$BH$9),COUNTIF('1.연간시수표'!AJ74,$BH$7),COUNTIF('1.연간시수표'!AJ74,$BI$9),COUNTIF('1.연간시수표'!AJ74,$BI$7),COUNTIF('1.연간시수표'!AJ74,$BJ$9),COUNTIF('1.연간시수표'!AJ74,$BJ$7),COUNTIF('1.연간시수표'!AJ74,$BK$9),COUNTIF('1.연간시수표'!AJ74,$BK$7),COUNTIF('1.연간시수표'!AJ74,$BL$9),COUNTIF('1.연간시수표'!AJ74,$BL$7),COUNTIF('1.연간시수표'!AJ74,$BM$9),COUNTIF('1.연간시수표'!AJ74,$BM$7)),$BF$6,IF(OR(COUNTIF('1.연간시수표'!AJ74,$BO$9),COUNTIF('1.연간시수표'!AJ74,$BO$7)),$BO$6,IF(OR(COUNTIF('1.연간시수표'!AJ74,$BP$9),COUNTIF('1.연간시수표'!AJ74,$BP$7)),$BP$6,IF(OR(COUNTIF('1.연간시수표'!AJ74,$BQ$9),COUNTIF('1.연간시수표'!AJ74,$BQ$7)),$BQ$6,IF(OR(COUNTIF('1.연간시수표'!AJ74,$BR$9),COUNTIF('1.연간시수표'!AJ74,$BR$7)),$BR$6,"_")))))))))))))))</f>
        <v>_</v>
      </c>
      <c r="AK74" s="148" t="str">
        <f>IF(OR(COUNTIF('1.연간시수표'!AK74,$AT$9),COUNTIF('1.연간시수표'!AK74,$AT$7)),$AT$6,IF(OR(COUNTIF('1.연간시수표'!AK74,$AU$9),COUNTIF('1.연간시수표'!AK74,$AU$7)),$AU$6,IF(OR(COUNTIF('1.연간시수표'!AK74,$AV$9),COUNTIF('1.연간시수표'!AK74,$AV$7)),$AV$6,IF(OR(COUNTIF('1.연간시수표'!AK74,$AW$9),COUNTIF('1.연간시수표'!AK74,$AW$7)),$AW$6,IF(OR(COUNTIF('1.연간시수표'!AK74,$AX$9),COUNTIF('1.연간시수표'!AK74,$AX$7)),$AX$6,IF(OR(COUNTIF('1.연간시수표'!AK74,$AY$9),COUNTIF('1.연간시수표'!AK74,$AY$7)),$AY$6,IF(OR(COUNTIF('1.연간시수표'!AK74,$AZ$9),COUNTIF('1.연간시수표'!AK74,$AZ$7)),$AZ$6,IF(OR(COUNTIF('1.연간시수표'!AK74,$BA$9),COUNTIF('1.연간시수표'!AK74,$BA$7)),$BA$6,IF(OR(COUNTIF('1.연간시수표'!AK74,$BB$9),COUNTIF('1.연간시수표'!AK74,$BB$7)),$BB$6,IF(OR(COUNTIF('1.연간시수표'!AK74,$BC$9),COUNTIF('1.연간시수표'!AK74,$BC$7)),$BC$6,IF(OR(COUNTIF('1.연간시수표'!AK74,$BF$9),COUNTIF('1.연간시수표'!AK74,$BF$7),COUNTIF('1.연간시수표'!AK74,$BG$9),COUNTIF('1.연간시수표'!AK74,$BG$7),COUNTIF('1.연간시수표'!AK74,$BH$9),COUNTIF('1.연간시수표'!AK74,$BH$7),COUNTIF('1.연간시수표'!AK74,$BI$9),COUNTIF('1.연간시수표'!AK74,$BI$7),COUNTIF('1.연간시수표'!AK74,$BJ$9),COUNTIF('1.연간시수표'!AK74,$BJ$7),COUNTIF('1.연간시수표'!AK74,$BK$9),COUNTIF('1.연간시수표'!AK74,$BK$7),COUNTIF('1.연간시수표'!AK74,$BL$9),COUNTIF('1.연간시수표'!AK74,$BL$7),COUNTIF('1.연간시수표'!AK74,$BM$9),COUNTIF('1.연간시수표'!AK74,$BM$7)),$BF$6,IF(OR(COUNTIF('1.연간시수표'!AK74,$BO$9),COUNTIF('1.연간시수표'!AK74,$BO$7)),$BO$6,IF(OR(COUNTIF('1.연간시수표'!AK74,$BP$9),COUNTIF('1.연간시수표'!AK74,$BP$7)),$BP$6,IF(OR(COUNTIF('1.연간시수표'!AK74,$BQ$9),COUNTIF('1.연간시수표'!AK74,$BQ$7)),$BQ$6,IF(OR(COUNTIF('1.연간시수표'!AK74,$BR$9),COUNTIF('1.연간시수표'!AK74,$BR$7)),$BR$6,"_")))))))))))))))</f>
        <v>_</v>
      </c>
      <c r="AL74" s="148" t="str">
        <f>IF(OR(COUNTIF('1.연간시수표'!AL74,$AT$9),COUNTIF('1.연간시수표'!AL74,$AT$7)),$AT$6,IF(OR(COUNTIF('1.연간시수표'!AL74,$AU$9),COUNTIF('1.연간시수표'!AL74,$AU$7)),$AU$6,IF(OR(COUNTIF('1.연간시수표'!AL74,$AV$9),COUNTIF('1.연간시수표'!AL74,$AV$7)),$AV$6,IF(OR(COUNTIF('1.연간시수표'!AL74,$AW$9),COUNTIF('1.연간시수표'!AL74,$AW$7)),$AW$6,IF(OR(COUNTIF('1.연간시수표'!AL74,$AX$9),COUNTIF('1.연간시수표'!AL74,$AX$7)),$AX$6,IF(OR(COUNTIF('1.연간시수표'!AL74,$AY$9),COUNTIF('1.연간시수표'!AL74,$AY$7)),$AY$6,IF(OR(COUNTIF('1.연간시수표'!AL74,$AZ$9),COUNTIF('1.연간시수표'!AL74,$AZ$7)),$AZ$6,IF(OR(COUNTIF('1.연간시수표'!AL74,$BA$9),COUNTIF('1.연간시수표'!AL74,$BA$7)),$BA$6,IF(OR(COUNTIF('1.연간시수표'!AL74,$BB$9),COUNTIF('1.연간시수표'!AL74,$BB$7)),$BB$6,IF(OR(COUNTIF('1.연간시수표'!AL74,$BC$9),COUNTIF('1.연간시수표'!AL74,$BC$7)),$BC$6,IF(OR(COUNTIF('1.연간시수표'!AL74,$BF$9),COUNTIF('1.연간시수표'!AL74,$BF$7),COUNTIF('1.연간시수표'!AL74,$BG$9),COUNTIF('1.연간시수표'!AL74,$BG$7),COUNTIF('1.연간시수표'!AL74,$BH$9),COUNTIF('1.연간시수표'!AL74,$BH$7),COUNTIF('1.연간시수표'!AL74,$BI$9),COUNTIF('1.연간시수표'!AL74,$BI$7),COUNTIF('1.연간시수표'!AL74,$BJ$9),COUNTIF('1.연간시수표'!AL74,$BJ$7),COUNTIF('1.연간시수표'!AL74,$BK$9),COUNTIF('1.연간시수표'!AL74,$BK$7),COUNTIF('1.연간시수표'!AL74,$BL$9),COUNTIF('1.연간시수표'!AL74,$BL$7),COUNTIF('1.연간시수표'!AL74,$BM$9),COUNTIF('1.연간시수표'!AL74,$BM$7)),$BF$6,IF(OR(COUNTIF('1.연간시수표'!AL74,$BO$9),COUNTIF('1.연간시수표'!AL74,$BO$7)),$BO$6,IF(OR(COUNTIF('1.연간시수표'!AL74,$BP$9),COUNTIF('1.연간시수표'!AL74,$BP$7)),$BP$6,IF(OR(COUNTIF('1.연간시수표'!AL74,$BQ$9),COUNTIF('1.연간시수표'!AL74,$BQ$7)),$BQ$6,IF(OR(COUNTIF('1.연간시수표'!AL74,$BR$9),COUNTIF('1.연간시수표'!AL74,$BR$7)),$BR$6,"_")))))))))))))))</f>
        <v>_</v>
      </c>
      <c r="AM74" s="148" t="str">
        <f>IF(OR(COUNTIF('1.연간시수표'!AM74,$AT$9),COUNTIF('1.연간시수표'!AM74,$AT$7)),$AT$6,IF(OR(COUNTIF('1.연간시수표'!AM74,$AU$9),COUNTIF('1.연간시수표'!AM74,$AU$7)),$AU$6,IF(OR(COUNTIF('1.연간시수표'!AM74,$AV$9),COUNTIF('1.연간시수표'!AM74,$AV$7)),$AV$6,IF(OR(COUNTIF('1.연간시수표'!AM74,$AW$9),COUNTIF('1.연간시수표'!AM74,$AW$7)),$AW$6,IF(OR(COUNTIF('1.연간시수표'!AM74,$AX$9),COUNTIF('1.연간시수표'!AM74,$AX$7)),$AX$6,IF(OR(COUNTIF('1.연간시수표'!AM74,$AY$9),COUNTIF('1.연간시수표'!AM74,$AY$7)),$AY$6,IF(OR(COUNTIF('1.연간시수표'!AM74,$AZ$9),COUNTIF('1.연간시수표'!AM74,$AZ$7)),$AZ$6,IF(OR(COUNTIF('1.연간시수표'!AM74,$BA$9),COUNTIF('1.연간시수표'!AM74,$BA$7)),$BA$6,IF(OR(COUNTIF('1.연간시수표'!AM74,$BB$9),COUNTIF('1.연간시수표'!AM74,$BB$7)),$BB$6,IF(OR(COUNTIF('1.연간시수표'!AM74,$BC$9),COUNTIF('1.연간시수표'!AM74,$BC$7)),$BC$6,IF(OR(COUNTIF('1.연간시수표'!AM74,$BF$9),COUNTIF('1.연간시수표'!AM74,$BF$7),COUNTIF('1.연간시수표'!AM74,$BG$9),COUNTIF('1.연간시수표'!AM74,$BG$7),COUNTIF('1.연간시수표'!AM74,$BH$9),COUNTIF('1.연간시수표'!AM74,$BH$7),COUNTIF('1.연간시수표'!AM74,$BI$9),COUNTIF('1.연간시수표'!AM74,$BI$7),COUNTIF('1.연간시수표'!AM74,$BJ$9),COUNTIF('1.연간시수표'!AM74,$BJ$7),COUNTIF('1.연간시수표'!AM74,$BK$9),COUNTIF('1.연간시수표'!AM74,$BK$7),COUNTIF('1.연간시수표'!AM74,$BL$9),COUNTIF('1.연간시수표'!AM74,$BL$7),COUNTIF('1.연간시수표'!AM74,$BM$9),COUNTIF('1.연간시수표'!AM74,$BM$7)),$BF$6,IF(OR(COUNTIF('1.연간시수표'!AM74,$BO$9),COUNTIF('1.연간시수표'!AM74,$BO$7)),$BO$6,IF(OR(COUNTIF('1.연간시수표'!AM74,$BP$9),COUNTIF('1.연간시수표'!AM74,$BP$7)),$BP$6,IF(OR(COUNTIF('1.연간시수표'!AM74,$BQ$9),COUNTIF('1.연간시수표'!AM74,$BQ$7)),$BQ$6,IF(OR(COUNTIF('1.연간시수표'!AM74,$BR$9),COUNTIF('1.연간시수표'!AM74,$BR$7)),$BR$6,"_")))))))))))))))</f>
        <v>_</v>
      </c>
      <c r="AN74" s="148" t="str">
        <f>IF(OR(COUNTIF('1.연간시수표'!AN74,$AT$9),COUNTIF('1.연간시수표'!AN74,$AT$7)),$AT$6,IF(OR(COUNTIF('1.연간시수표'!AN74,$AU$9),COUNTIF('1.연간시수표'!AN74,$AU$7)),$AU$6,IF(OR(COUNTIF('1.연간시수표'!AN74,$AV$9),COUNTIF('1.연간시수표'!AN74,$AV$7)),$AV$6,IF(OR(COUNTIF('1.연간시수표'!AN74,$AW$9),COUNTIF('1.연간시수표'!AN74,$AW$7)),$AW$6,IF(OR(COUNTIF('1.연간시수표'!AN74,$AX$9),COUNTIF('1.연간시수표'!AN74,$AX$7)),$AX$6,IF(OR(COUNTIF('1.연간시수표'!AN74,$AY$9),COUNTIF('1.연간시수표'!AN74,$AY$7)),$AY$6,IF(OR(COUNTIF('1.연간시수표'!AN74,$AZ$9),COUNTIF('1.연간시수표'!AN74,$AZ$7)),$AZ$6,IF(OR(COUNTIF('1.연간시수표'!AN74,$BA$9),COUNTIF('1.연간시수표'!AN74,$BA$7)),$BA$6,IF(OR(COUNTIF('1.연간시수표'!AN74,$BB$9),COUNTIF('1.연간시수표'!AN74,$BB$7)),$BB$6,IF(OR(COUNTIF('1.연간시수표'!AN74,$BC$9),COUNTIF('1.연간시수표'!AN74,$BC$7)),$BC$6,IF(OR(COUNTIF('1.연간시수표'!AN74,$BF$9),COUNTIF('1.연간시수표'!AN74,$BF$7),COUNTIF('1.연간시수표'!AN74,$BG$9),COUNTIF('1.연간시수표'!AN74,$BG$7),COUNTIF('1.연간시수표'!AN74,$BH$9),COUNTIF('1.연간시수표'!AN74,$BH$7),COUNTIF('1.연간시수표'!AN74,$BI$9),COUNTIF('1.연간시수표'!AN74,$BI$7),COUNTIF('1.연간시수표'!AN74,$BJ$9),COUNTIF('1.연간시수표'!AN74,$BJ$7),COUNTIF('1.연간시수표'!AN74,$BK$9),COUNTIF('1.연간시수표'!AN74,$BK$7),COUNTIF('1.연간시수표'!AN74,$BL$9),COUNTIF('1.연간시수표'!AN74,$BL$7),COUNTIF('1.연간시수표'!AN74,$BM$9),COUNTIF('1.연간시수표'!AN74,$BM$7)),$BF$6,IF(OR(COUNTIF('1.연간시수표'!AN74,$BO$9),COUNTIF('1.연간시수표'!AN74,$BO$7)),$BO$6,IF(OR(COUNTIF('1.연간시수표'!AN74,$BP$9),COUNTIF('1.연간시수표'!AN74,$BP$7)),$BP$6,IF(OR(COUNTIF('1.연간시수표'!AN74,$BQ$9),COUNTIF('1.연간시수표'!AN74,$BQ$7)),$BQ$6,IF(OR(COUNTIF('1.연간시수표'!AN74,$BR$9),COUNTIF('1.연간시수표'!AN74,$BR$7)),$BR$6,"_")))))))))))))))</f>
        <v>_</v>
      </c>
      <c r="AO74" s="148" t="str">
        <f>IF(OR(COUNTIF('1.연간시수표'!AO74,$AT$9),COUNTIF('1.연간시수표'!AO74,$AT$7)),$AT$6,IF(OR(COUNTIF('1.연간시수표'!AO74,$AU$9),COUNTIF('1.연간시수표'!AO74,$AU$7)),$AU$6,IF(OR(COUNTIF('1.연간시수표'!AO74,$AV$9),COUNTIF('1.연간시수표'!AO74,$AV$7)),$AV$6,IF(OR(COUNTIF('1.연간시수표'!AO74,$AW$9),COUNTIF('1.연간시수표'!AO74,$AW$7)),$AW$6,IF(OR(COUNTIF('1.연간시수표'!AO74,$AX$9),COUNTIF('1.연간시수표'!AO74,$AX$7)),$AX$6,IF(OR(COUNTIF('1.연간시수표'!AO74,$AY$9),COUNTIF('1.연간시수표'!AO74,$AY$7)),$AY$6,IF(OR(COUNTIF('1.연간시수표'!AO74,$AZ$9),COUNTIF('1.연간시수표'!AO74,$AZ$7)),$AZ$6,IF(OR(COUNTIF('1.연간시수표'!AO74,$BA$9),COUNTIF('1.연간시수표'!AO74,$BA$7)),$BA$6,IF(OR(COUNTIF('1.연간시수표'!AO74,$BB$9),COUNTIF('1.연간시수표'!AO74,$BB$7)),$BB$6,IF(OR(COUNTIF('1.연간시수표'!AO74,$BC$9),COUNTIF('1.연간시수표'!AO74,$BC$7)),$BC$6,IF(OR(COUNTIF('1.연간시수표'!AO74,$BF$9),COUNTIF('1.연간시수표'!AO74,$BF$7),COUNTIF('1.연간시수표'!AO74,$BG$9),COUNTIF('1.연간시수표'!AO74,$BG$7),COUNTIF('1.연간시수표'!AO74,$BH$9),COUNTIF('1.연간시수표'!AO74,$BH$7),COUNTIF('1.연간시수표'!AO74,$BI$9),COUNTIF('1.연간시수표'!AO74,$BI$7),COUNTIF('1.연간시수표'!AO74,$BJ$9),COUNTIF('1.연간시수표'!AO74,$BJ$7),COUNTIF('1.연간시수표'!AO74,$BK$9),COUNTIF('1.연간시수표'!AO74,$BK$7),COUNTIF('1.연간시수표'!AO74,$BL$9),COUNTIF('1.연간시수표'!AO74,$BL$7),COUNTIF('1.연간시수표'!AO74,$BM$9),COUNTIF('1.연간시수표'!AO74,$BM$7)),$BF$6,IF(OR(COUNTIF('1.연간시수표'!AO74,$BO$9),COUNTIF('1.연간시수표'!AO74,$BO$7)),$BO$6,IF(OR(COUNTIF('1.연간시수표'!AO74,$BP$9),COUNTIF('1.연간시수표'!AO74,$BP$7)),$BP$6,IF(OR(COUNTIF('1.연간시수표'!AO74,$BQ$9),COUNTIF('1.연간시수표'!AO74,$BQ$7)),$BQ$6,IF(OR(COUNTIF('1.연간시수표'!AO74,$BR$9),COUNTIF('1.연간시수표'!AO74,$BR$7)),$BR$6,"_")))))))))))))))</f>
        <v>_</v>
      </c>
      <c r="AP74" s="148" t="str">
        <f>IF(OR(COUNTIF('1.연간시수표'!AP74,$AT$9),COUNTIF('1.연간시수표'!AP74,$AT$7)),$AT$6,IF(OR(COUNTIF('1.연간시수표'!AP74,$AU$9),COUNTIF('1.연간시수표'!AP74,$AU$7)),$AU$6,IF(OR(COUNTIF('1.연간시수표'!AP74,$AV$9),COUNTIF('1.연간시수표'!AP74,$AV$7)),$AV$6,IF(OR(COUNTIF('1.연간시수표'!AP74,$AW$9),COUNTIF('1.연간시수표'!AP74,$AW$7)),$AW$6,IF(OR(COUNTIF('1.연간시수표'!AP74,$AX$9),COUNTIF('1.연간시수표'!AP74,$AX$7)),$AX$6,IF(OR(COUNTIF('1.연간시수표'!AP74,$AY$9),COUNTIF('1.연간시수표'!AP74,$AY$7)),$AY$6,IF(OR(COUNTIF('1.연간시수표'!AP74,$AZ$9),COUNTIF('1.연간시수표'!AP74,$AZ$7)),$AZ$6,IF(OR(COUNTIF('1.연간시수표'!AP74,$BA$9),COUNTIF('1.연간시수표'!AP74,$BA$7)),$BA$6,IF(OR(COUNTIF('1.연간시수표'!AP74,$BB$9),COUNTIF('1.연간시수표'!AP74,$BB$7)),$BB$6,IF(OR(COUNTIF('1.연간시수표'!AP74,$BC$9),COUNTIF('1.연간시수표'!AP74,$BC$7)),$BC$6,IF(OR(COUNTIF('1.연간시수표'!AP74,$BF$9),COUNTIF('1.연간시수표'!AP74,$BF$7),COUNTIF('1.연간시수표'!AP74,$BG$9),COUNTIF('1.연간시수표'!AP74,$BG$7),COUNTIF('1.연간시수표'!AP74,$BH$9),COUNTIF('1.연간시수표'!AP74,$BH$7),COUNTIF('1.연간시수표'!AP74,$BI$9),COUNTIF('1.연간시수표'!AP74,$BI$7),COUNTIF('1.연간시수표'!AP74,$BJ$9),COUNTIF('1.연간시수표'!AP74,$BJ$7),COUNTIF('1.연간시수표'!AP74,$BK$9),COUNTIF('1.연간시수표'!AP74,$BK$7),COUNTIF('1.연간시수표'!AP74,$BL$9),COUNTIF('1.연간시수표'!AP74,$BL$7),COUNTIF('1.연간시수표'!AP74,$BM$9),COUNTIF('1.연간시수표'!AP74,$BM$7)),$BF$6,IF(OR(COUNTIF('1.연간시수표'!AP74,$BO$9),COUNTIF('1.연간시수표'!AP74,$BO$7)),$BO$6,IF(OR(COUNTIF('1.연간시수표'!AP74,$BP$9),COUNTIF('1.연간시수표'!AP74,$BP$7)),$BP$6,IF(OR(COUNTIF('1.연간시수표'!AP74,$BQ$9),COUNTIF('1.연간시수표'!AP74,$BQ$7)),$BQ$6,IF(OR(COUNTIF('1.연간시수표'!AP74,$BR$9),COUNTIF('1.연간시수표'!AP74,$BR$7)),$BR$6,"_")))))))))))))))</f>
        <v>_</v>
      </c>
      <c r="AQ74" s="148" t="str">
        <f>IF(OR(COUNTIF('1.연간시수표'!AQ74,$AT$9),COUNTIF('1.연간시수표'!AQ74,$AT$7)),$AT$6,IF(OR(COUNTIF('1.연간시수표'!AQ74,$AU$9),COUNTIF('1.연간시수표'!AQ74,$AU$7)),$AU$6,IF(OR(COUNTIF('1.연간시수표'!AQ74,$AV$9),COUNTIF('1.연간시수표'!AQ74,$AV$7)),$AV$6,IF(OR(COUNTIF('1.연간시수표'!AQ74,$AW$9),COUNTIF('1.연간시수표'!AQ74,$AW$7)),$AW$6,IF(OR(COUNTIF('1.연간시수표'!AQ74,$AX$9),COUNTIF('1.연간시수표'!AQ74,$AX$7)),$AX$6,IF(OR(COUNTIF('1.연간시수표'!AQ74,$AY$9),COUNTIF('1.연간시수표'!AQ74,$AY$7)),$AY$6,IF(OR(COUNTIF('1.연간시수표'!AQ74,$AZ$9),COUNTIF('1.연간시수표'!AQ74,$AZ$7)),$AZ$6,IF(OR(COUNTIF('1.연간시수표'!AQ74,$BA$9),COUNTIF('1.연간시수표'!AQ74,$BA$7)),$BA$6,IF(OR(COUNTIF('1.연간시수표'!AQ74,$BB$9),COUNTIF('1.연간시수표'!AQ74,$BB$7)),$BB$6,IF(OR(COUNTIF('1.연간시수표'!AQ74,$BC$9),COUNTIF('1.연간시수표'!AQ74,$BC$7)),$BC$6,IF(OR(COUNTIF('1.연간시수표'!AQ74,$BF$9),COUNTIF('1.연간시수표'!AQ74,$BF$7),COUNTIF('1.연간시수표'!AQ74,$BG$9),COUNTIF('1.연간시수표'!AQ74,$BG$7),COUNTIF('1.연간시수표'!AQ74,$BH$9),COUNTIF('1.연간시수표'!AQ74,$BH$7),COUNTIF('1.연간시수표'!AQ74,$BI$9),COUNTIF('1.연간시수표'!AQ74,$BI$7),COUNTIF('1.연간시수표'!AQ74,$BJ$9),COUNTIF('1.연간시수표'!AQ74,$BJ$7),COUNTIF('1.연간시수표'!AQ74,$BK$9),COUNTIF('1.연간시수표'!AQ74,$BK$7),COUNTIF('1.연간시수표'!AQ74,$BL$9),COUNTIF('1.연간시수표'!AQ74,$BL$7),COUNTIF('1.연간시수표'!AQ74,$BM$9),COUNTIF('1.연간시수표'!AQ74,$BM$7)),$BF$6,IF(OR(COUNTIF('1.연간시수표'!AQ74,$BO$9),COUNTIF('1.연간시수표'!AQ74,$BO$7)),$BO$6,IF(OR(COUNTIF('1.연간시수표'!AQ74,$BP$9),COUNTIF('1.연간시수표'!AQ74,$BP$7)),$BP$6,IF(OR(COUNTIF('1.연간시수표'!AQ74,$BQ$9),COUNTIF('1.연간시수표'!AQ74,$BQ$7)),$BQ$6,IF(OR(COUNTIF('1.연간시수표'!AQ74,$BR$9),COUNTIF('1.연간시수표'!AQ74,$BR$7)),$BR$6,"_")))))))))))))))</f>
        <v>_</v>
      </c>
      <c r="AR74" s="148" t="str">
        <f>IF(OR(COUNTIF('1.연간시수표'!AR74,$AT$9),COUNTIF('1.연간시수표'!AR74,$AT$7)),$AT$6,IF(OR(COUNTIF('1.연간시수표'!AR74,$AU$9),COUNTIF('1.연간시수표'!AR74,$AU$7)),$AU$6,IF(OR(COUNTIF('1.연간시수표'!AR74,$AV$9),COUNTIF('1.연간시수표'!AR74,$AV$7)),$AV$6,IF(OR(COUNTIF('1.연간시수표'!AR74,$AW$9),COUNTIF('1.연간시수표'!AR74,$AW$7)),$AW$6,IF(OR(COUNTIF('1.연간시수표'!AR74,$AX$9),COUNTIF('1.연간시수표'!AR74,$AX$7)),$AX$6,IF(OR(COUNTIF('1.연간시수표'!AR74,$AY$9),COUNTIF('1.연간시수표'!AR74,$AY$7)),$AY$6,IF(OR(COUNTIF('1.연간시수표'!AR74,$AZ$9),COUNTIF('1.연간시수표'!AR74,$AZ$7)),$AZ$6,IF(OR(COUNTIF('1.연간시수표'!AR74,$BA$9),COUNTIF('1.연간시수표'!AR74,$BA$7)),$BA$6,IF(OR(COUNTIF('1.연간시수표'!AR74,$BB$9),COUNTIF('1.연간시수표'!AR74,$BB$7)),$BB$6,IF(OR(COUNTIF('1.연간시수표'!AR74,$BC$9),COUNTIF('1.연간시수표'!AR74,$BC$7)),$BC$6,IF(OR(COUNTIF('1.연간시수표'!AR74,$BF$9),COUNTIF('1.연간시수표'!AR74,$BF$7),COUNTIF('1.연간시수표'!AR74,$BG$9),COUNTIF('1.연간시수표'!AR74,$BG$7),COUNTIF('1.연간시수표'!AR74,$BH$9),COUNTIF('1.연간시수표'!AR74,$BH$7),COUNTIF('1.연간시수표'!AR74,$BI$9),COUNTIF('1.연간시수표'!AR74,$BI$7),COUNTIF('1.연간시수표'!AR74,$BJ$9),COUNTIF('1.연간시수표'!AR74,$BJ$7),COUNTIF('1.연간시수표'!AR74,$BK$9),COUNTIF('1.연간시수표'!AR74,$BK$7),COUNTIF('1.연간시수표'!AR74,$BL$9),COUNTIF('1.연간시수표'!AR74,$BL$7),COUNTIF('1.연간시수표'!AR74,$BM$9),COUNTIF('1.연간시수표'!AR74,$BM$7)),$BF$6,IF(OR(COUNTIF('1.연간시수표'!AR74,$BO$9),COUNTIF('1.연간시수표'!AR74,$BO$7)),$BO$6,IF(OR(COUNTIF('1.연간시수표'!AR74,$BP$9),COUNTIF('1.연간시수표'!AR74,$BP$7)),$BP$6,IF(OR(COUNTIF('1.연간시수표'!AR74,$BQ$9),COUNTIF('1.연간시수표'!AR74,$BQ$7)),$BQ$6,IF(OR(COUNTIF('1.연간시수표'!AR74,$BR$9),COUNTIF('1.연간시수표'!AR74,$BR$7)),$BR$6,"_")))))))))))))))</f>
        <v>_</v>
      </c>
    </row>
    <row r="75" spans="2:44" ht="13.5" customHeight="1">
      <c r="B75" s="6"/>
      <c r="C75" s="79">
        <f>'1.연간시수표'!C75</f>
        <v>0</v>
      </c>
      <c r="D75" s="3"/>
      <c r="E75" s="148" t="str">
        <f>IF(OR(COUNTIF('1.연간시수표'!E75,$AT$9),COUNTIF('1.연간시수표'!E75,$AT$7)),$AT$6,IF(OR(COUNTIF('1.연간시수표'!E75,$AU$9),COUNTIF('1.연간시수표'!E75,$AU$7)),$AU$6,IF(OR(COUNTIF('1.연간시수표'!E75,$AV$9),COUNTIF('1.연간시수표'!E75,$AV$7)),$AV$6,IF(OR(COUNTIF('1.연간시수표'!E75,$AW$9),COUNTIF('1.연간시수표'!E75,$AW$7)),$AW$6,IF(OR(COUNTIF('1.연간시수표'!E75,$AX$9),COUNTIF('1.연간시수표'!E75,$AX$7)),$AX$6,IF(OR(COUNTIF('1.연간시수표'!E75,$AY$9),COUNTIF('1.연간시수표'!E75,$AY$7)),$AY$6,IF(OR(COUNTIF('1.연간시수표'!E75,$AZ$9),COUNTIF('1.연간시수표'!E75,$AZ$7)),$AZ$6,IF(OR(COUNTIF('1.연간시수표'!E75,$BA$9),COUNTIF('1.연간시수표'!E75,$BA$7)),$BA$6,IF(OR(COUNTIF('1.연간시수표'!E75,$BB$9),COUNTIF('1.연간시수표'!E75,$BB$7)),$BB$6,IF(OR(COUNTIF('1.연간시수표'!E75,$BC$9),COUNTIF('1.연간시수표'!E75,$BC$7)),$BC$6,IF(OR(COUNTIF('1.연간시수표'!E75,$BF$9),COUNTIF('1.연간시수표'!E75,$BF$7),COUNTIF('1.연간시수표'!E75,$BG$9),COUNTIF('1.연간시수표'!E75,$BG$7),COUNTIF('1.연간시수표'!E75,$BH$9),COUNTIF('1.연간시수표'!E75,$BH$7),COUNTIF('1.연간시수표'!E75,$BI$9),COUNTIF('1.연간시수표'!E75,$BI$7),COUNTIF('1.연간시수표'!E75,$BJ$9),COUNTIF('1.연간시수표'!E75,$BJ$7),COUNTIF('1.연간시수표'!E75,$BK$9),COUNTIF('1.연간시수표'!E75,$BK$7),COUNTIF('1.연간시수표'!E75,$BL$9),COUNTIF('1.연간시수표'!E75,$BL$7),COUNTIF('1.연간시수표'!E75,$BM$9),COUNTIF('1.연간시수표'!E75,$BM$7)),$BF$6,IF(OR(COUNTIF('1.연간시수표'!E75,$BO$9),COUNTIF('1.연간시수표'!E75,$BO$7)),$BO$6,IF(OR(COUNTIF('1.연간시수표'!E75,$BP$9),COUNTIF('1.연간시수표'!E75,$BP$7)),$BP$6,IF(OR(COUNTIF('1.연간시수표'!E75,$BQ$9),COUNTIF('1.연간시수표'!E75,$BQ$7)),$BQ$6,IF(OR(COUNTIF('1.연간시수표'!E75,$BR$9),COUNTIF('1.연간시수표'!E75,$BR$7)),$BR$6,"_")))))))))))))))</f>
        <v>_</v>
      </c>
      <c r="F75" s="148" t="str">
        <f>IF(OR(COUNTIF('1.연간시수표'!F75,$AT$9),COUNTIF('1.연간시수표'!F75,$AT$7)),$AT$6,IF(OR(COUNTIF('1.연간시수표'!F75,$AU$9),COUNTIF('1.연간시수표'!F75,$AU$7)),$AU$6,IF(OR(COUNTIF('1.연간시수표'!F75,$AV$9),COUNTIF('1.연간시수표'!F75,$AV$7)),$AV$6,IF(OR(COUNTIF('1.연간시수표'!F75,$AW$9),COUNTIF('1.연간시수표'!F75,$AW$7)),$AW$6,IF(OR(COUNTIF('1.연간시수표'!F75,$AX$9),COUNTIF('1.연간시수표'!F75,$AX$7)),$AX$6,IF(OR(COUNTIF('1.연간시수표'!F75,$AY$9),COUNTIF('1.연간시수표'!F75,$AY$7)),$AY$6,IF(OR(COUNTIF('1.연간시수표'!F75,$AZ$9),COUNTIF('1.연간시수표'!F75,$AZ$7)),$AZ$6,IF(OR(COUNTIF('1.연간시수표'!F75,$BA$9),COUNTIF('1.연간시수표'!F75,$BA$7)),$BA$6,IF(OR(COUNTIF('1.연간시수표'!F75,$BB$9),COUNTIF('1.연간시수표'!F75,$BB$7)),$BB$6,IF(OR(COUNTIF('1.연간시수표'!F75,$BC$9),COUNTIF('1.연간시수표'!F75,$BC$7)),$BC$6,IF(OR(COUNTIF('1.연간시수표'!F75,$BF$9),COUNTIF('1.연간시수표'!F75,$BF$7),COUNTIF('1.연간시수표'!F75,$BG$9),COUNTIF('1.연간시수표'!F75,$BG$7),COUNTIF('1.연간시수표'!F75,$BH$9),COUNTIF('1.연간시수표'!F75,$BH$7),COUNTIF('1.연간시수표'!F75,$BI$9),COUNTIF('1.연간시수표'!F75,$BI$7),COUNTIF('1.연간시수표'!F75,$BJ$9),COUNTIF('1.연간시수표'!F75,$BJ$7),COUNTIF('1.연간시수표'!F75,$BK$9),COUNTIF('1.연간시수표'!F75,$BK$7),COUNTIF('1.연간시수표'!F75,$BL$9),COUNTIF('1.연간시수표'!F75,$BL$7),COUNTIF('1.연간시수표'!F75,$BM$9),COUNTIF('1.연간시수표'!F75,$BM$7)),$BF$6,IF(OR(COUNTIF('1.연간시수표'!F75,$BO$9),COUNTIF('1.연간시수표'!F75,$BO$7)),$BO$6,IF(OR(COUNTIF('1.연간시수표'!F75,$BP$9),COUNTIF('1.연간시수표'!F75,$BP$7)),$BP$6,IF(OR(COUNTIF('1.연간시수표'!F75,$BQ$9),COUNTIF('1.연간시수표'!F75,$BQ$7)),$BQ$6,IF(OR(COUNTIF('1.연간시수표'!F75,$BR$9),COUNTIF('1.연간시수표'!F75,$BR$7)),$BR$6,"_")))))))))))))))</f>
        <v>_</v>
      </c>
      <c r="G75" s="148" t="str">
        <f>IF(OR(COUNTIF('1.연간시수표'!G75,$AT$9),COUNTIF('1.연간시수표'!G75,$AT$7)),$AT$6,IF(OR(COUNTIF('1.연간시수표'!G75,$AU$9),COUNTIF('1.연간시수표'!G75,$AU$7)),$AU$6,IF(OR(COUNTIF('1.연간시수표'!G75,$AV$9),COUNTIF('1.연간시수표'!G75,$AV$7)),$AV$6,IF(OR(COUNTIF('1.연간시수표'!G75,$AW$9),COUNTIF('1.연간시수표'!G75,$AW$7)),$AW$6,IF(OR(COUNTIF('1.연간시수표'!G75,$AX$9),COUNTIF('1.연간시수표'!G75,$AX$7)),$AX$6,IF(OR(COUNTIF('1.연간시수표'!G75,$AY$9),COUNTIF('1.연간시수표'!G75,$AY$7)),$AY$6,IF(OR(COUNTIF('1.연간시수표'!G75,$AZ$9),COUNTIF('1.연간시수표'!G75,$AZ$7)),$AZ$6,IF(OR(COUNTIF('1.연간시수표'!G75,$BA$9),COUNTIF('1.연간시수표'!G75,$BA$7)),$BA$6,IF(OR(COUNTIF('1.연간시수표'!G75,$BB$9),COUNTIF('1.연간시수표'!G75,$BB$7)),$BB$6,IF(OR(COUNTIF('1.연간시수표'!G75,$BC$9),COUNTIF('1.연간시수표'!G75,$BC$7)),$BC$6,IF(OR(COUNTIF('1.연간시수표'!G75,$BF$9),COUNTIF('1.연간시수표'!G75,$BF$7),COUNTIF('1.연간시수표'!G75,$BG$9),COUNTIF('1.연간시수표'!G75,$BG$7),COUNTIF('1.연간시수표'!G75,$BH$9),COUNTIF('1.연간시수표'!G75,$BH$7),COUNTIF('1.연간시수표'!G75,$BI$9),COUNTIF('1.연간시수표'!G75,$BI$7),COUNTIF('1.연간시수표'!G75,$BJ$9),COUNTIF('1.연간시수표'!G75,$BJ$7),COUNTIF('1.연간시수표'!G75,$BK$9),COUNTIF('1.연간시수표'!G75,$BK$7),COUNTIF('1.연간시수표'!G75,$BL$9),COUNTIF('1.연간시수표'!G75,$BL$7),COUNTIF('1.연간시수표'!G75,$BM$9),COUNTIF('1.연간시수표'!G75,$BM$7)),$BF$6,IF(OR(COUNTIF('1.연간시수표'!G75,$BO$9),COUNTIF('1.연간시수표'!G75,$BO$7)),$BO$6,IF(OR(COUNTIF('1.연간시수표'!G75,$BP$9),COUNTIF('1.연간시수표'!G75,$BP$7)),$BP$6,IF(OR(COUNTIF('1.연간시수표'!G75,$BQ$9),COUNTIF('1.연간시수표'!G75,$BQ$7)),$BQ$6,IF(OR(COUNTIF('1.연간시수표'!G75,$BR$9),COUNTIF('1.연간시수표'!G75,$BR$7)),$BR$6,"_")))))))))))))))</f>
        <v>_</v>
      </c>
      <c r="H75" s="148" t="str">
        <f>IF(OR(COUNTIF('1.연간시수표'!H75,$AT$9),COUNTIF('1.연간시수표'!H75,$AT$7)),$AT$6,IF(OR(COUNTIF('1.연간시수표'!H75,$AU$9),COUNTIF('1.연간시수표'!H75,$AU$7)),$AU$6,IF(OR(COUNTIF('1.연간시수표'!H75,$AV$9),COUNTIF('1.연간시수표'!H75,$AV$7)),$AV$6,IF(OR(COUNTIF('1.연간시수표'!H75,$AW$9),COUNTIF('1.연간시수표'!H75,$AW$7)),$AW$6,IF(OR(COUNTIF('1.연간시수표'!H75,$AX$9),COUNTIF('1.연간시수표'!H75,$AX$7)),$AX$6,IF(OR(COUNTIF('1.연간시수표'!H75,$AY$9),COUNTIF('1.연간시수표'!H75,$AY$7)),$AY$6,IF(OR(COUNTIF('1.연간시수표'!H75,$AZ$9),COUNTIF('1.연간시수표'!H75,$AZ$7)),$AZ$6,IF(OR(COUNTIF('1.연간시수표'!H75,$BA$9),COUNTIF('1.연간시수표'!H75,$BA$7)),$BA$6,IF(OR(COUNTIF('1.연간시수표'!H75,$BB$9),COUNTIF('1.연간시수표'!H75,$BB$7)),$BB$6,IF(OR(COUNTIF('1.연간시수표'!H75,$BC$9),COUNTIF('1.연간시수표'!H75,$BC$7)),$BC$6,IF(OR(COUNTIF('1.연간시수표'!H75,$BF$9),COUNTIF('1.연간시수표'!H75,$BF$7),COUNTIF('1.연간시수표'!H75,$BG$9),COUNTIF('1.연간시수표'!H75,$BG$7),COUNTIF('1.연간시수표'!H75,$BH$9),COUNTIF('1.연간시수표'!H75,$BH$7),COUNTIF('1.연간시수표'!H75,$BI$9),COUNTIF('1.연간시수표'!H75,$BI$7),COUNTIF('1.연간시수표'!H75,$BJ$9),COUNTIF('1.연간시수표'!H75,$BJ$7),COUNTIF('1.연간시수표'!H75,$BK$9),COUNTIF('1.연간시수표'!H75,$BK$7),COUNTIF('1.연간시수표'!H75,$BL$9),COUNTIF('1.연간시수표'!H75,$BL$7),COUNTIF('1.연간시수표'!H75,$BM$9),COUNTIF('1.연간시수표'!H75,$BM$7)),$BF$6,IF(OR(COUNTIF('1.연간시수표'!H75,$BO$9),COUNTIF('1.연간시수표'!H75,$BO$7)),$BO$6,IF(OR(COUNTIF('1.연간시수표'!H75,$BP$9),COUNTIF('1.연간시수표'!H75,$BP$7)),$BP$6,IF(OR(COUNTIF('1.연간시수표'!H75,$BQ$9),COUNTIF('1.연간시수표'!H75,$BQ$7)),$BQ$6,IF(OR(COUNTIF('1.연간시수표'!H75,$BR$9),COUNTIF('1.연간시수표'!H75,$BR$7)),$BR$6,"_")))))))))))))))</f>
        <v>_</v>
      </c>
      <c r="I75" s="148" t="str">
        <f>IF(OR(COUNTIF('1.연간시수표'!I75,$AT$9),COUNTIF('1.연간시수표'!I75,$AT$7)),$AT$6,IF(OR(COUNTIF('1.연간시수표'!I75,$AU$9),COUNTIF('1.연간시수표'!I75,$AU$7)),$AU$6,IF(OR(COUNTIF('1.연간시수표'!I75,$AV$9),COUNTIF('1.연간시수표'!I75,$AV$7)),$AV$6,IF(OR(COUNTIF('1.연간시수표'!I75,$AW$9),COUNTIF('1.연간시수표'!I75,$AW$7)),$AW$6,IF(OR(COUNTIF('1.연간시수표'!I75,$AX$9),COUNTIF('1.연간시수표'!I75,$AX$7)),$AX$6,IF(OR(COUNTIF('1.연간시수표'!I75,$AY$9),COUNTIF('1.연간시수표'!I75,$AY$7)),$AY$6,IF(OR(COUNTIF('1.연간시수표'!I75,$AZ$9),COUNTIF('1.연간시수표'!I75,$AZ$7)),$AZ$6,IF(OR(COUNTIF('1.연간시수표'!I75,$BA$9),COUNTIF('1.연간시수표'!I75,$BA$7)),$BA$6,IF(OR(COUNTIF('1.연간시수표'!I75,$BB$9),COUNTIF('1.연간시수표'!I75,$BB$7)),$BB$6,IF(OR(COUNTIF('1.연간시수표'!I75,$BC$9),COUNTIF('1.연간시수표'!I75,$BC$7)),$BC$6,IF(OR(COUNTIF('1.연간시수표'!I75,$BF$9),COUNTIF('1.연간시수표'!I75,$BF$7),COUNTIF('1.연간시수표'!I75,$BG$9),COUNTIF('1.연간시수표'!I75,$BG$7),COUNTIF('1.연간시수표'!I75,$BH$9),COUNTIF('1.연간시수표'!I75,$BH$7),COUNTIF('1.연간시수표'!I75,$BI$9),COUNTIF('1.연간시수표'!I75,$BI$7),COUNTIF('1.연간시수표'!I75,$BJ$9),COUNTIF('1.연간시수표'!I75,$BJ$7),COUNTIF('1.연간시수표'!I75,$BK$9),COUNTIF('1.연간시수표'!I75,$BK$7),COUNTIF('1.연간시수표'!I75,$BL$9),COUNTIF('1.연간시수표'!I75,$BL$7),COUNTIF('1.연간시수표'!I75,$BM$9),COUNTIF('1.연간시수표'!I75,$BM$7)),$BF$6,IF(OR(COUNTIF('1.연간시수표'!I75,$BO$9),COUNTIF('1.연간시수표'!I75,$BO$7)),$BO$6,IF(OR(COUNTIF('1.연간시수표'!I75,$BP$9),COUNTIF('1.연간시수표'!I75,$BP$7)),$BP$6,IF(OR(COUNTIF('1.연간시수표'!I75,$BQ$9),COUNTIF('1.연간시수표'!I75,$BQ$7)),$BQ$6,IF(OR(COUNTIF('1.연간시수표'!I75,$BR$9),COUNTIF('1.연간시수표'!I75,$BR$7)),$BR$6,"_")))))))))))))))</f>
        <v>_</v>
      </c>
      <c r="J75" s="148" t="str">
        <f>IF(OR(COUNTIF('1.연간시수표'!J75,$AT$9),COUNTIF('1.연간시수표'!J75,$AT$7)),$AT$6,IF(OR(COUNTIF('1.연간시수표'!J75,$AU$9),COUNTIF('1.연간시수표'!J75,$AU$7)),$AU$6,IF(OR(COUNTIF('1.연간시수표'!J75,$AV$9),COUNTIF('1.연간시수표'!J75,$AV$7)),$AV$6,IF(OR(COUNTIF('1.연간시수표'!J75,$AW$9),COUNTIF('1.연간시수표'!J75,$AW$7)),$AW$6,IF(OR(COUNTIF('1.연간시수표'!J75,$AX$9),COUNTIF('1.연간시수표'!J75,$AX$7)),$AX$6,IF(OR(COUNTIF('1.연간시수표'!J75,$AY$9),COUNTIF('1.연간시수표'!J75,$AY$7)),$AY$6,IF(OR(COUNTIF('1.연간시수표'!J75,$AZ$9),COUNTIF('1.연간시수표'!J75,$AZ$7)),$AZ$6,IF(OR(COUNTIF('1.연간시수표'!J75,$BA$9),COUNTIF('1.연간시수표'!J75,$BA$7)),$BA$6,IF(OR(COUNTIF('1.연간시수표'!J75,$BB$9),COUNTIF('1.연간시수표'!J75,$BB$7)),$BB$6,IF(OR(COUNTIF('1.연간시수표'!J75,$BC$9),COUNTIF('1.연간시수표'!J75,$BC$7)),$BC$6,IF(OR(COUNTIF('1.연간시수표'!J75,$BF$9),COUNTIF('1.연간시수표'!J75,$BF$7),COUNTIF('1.연간시수표'!J75,$BG$9),COUNTIF('1.연간시수표'!J75,$BG$7),COUNTIF('1.연간시수표'!J75,$BH$9),COUNTIF('1.연간시수표'!J75,$BH$7),COUNTIF('1.연간시수표'!J75,$BI$9),COUNTIF('1.연간시수표'!J75,$BI$7),COUNTIF('1.연간시수표'!J75,$BJ$9),COUNTIF('1.연간시수표'!J75,$BJ$7),COUNTIF('1.연간시수표'!J75,$BK$9),COUNTIF('1.연간시수표'!J75,$BK$7),COUNTIF('1.연간시수표'!J75,$BL$9),COUNTIF('1.연간시수표'!J75,$BL$7),COUNTIF('1.연간시수표'!J75,$BM$9),COUNTIF('1.연간시수표'!J75,$BM$7)),$BF$6,IF(OR(COUNTIF('1.연간시수표'!J75,$BO$9),COUNTIF('1.연간시수표'!J75,$BO$7)),$BO$6,IF(OR(COUNTIF('1.연간시수표'!J75,$BP$9),COUNTIF('1.연간시수표'!J75,$BP$7)),$BP$6,IF(OR(COUNTIF('1.연간시수표'!J75,$BQ$9),COUNTIF('1.연간시수표'!J75,$BQ$7)),$BQ$6,IF(OR(COUNTIF('1.연간시수표'!J75,$BR$9),COUNTIF('1.연간시수표'!J75,$BR$7)),$BR$6,"_")))))))))))))))</f>
        <v>_</v>
      </c>
      <c r="K75" s="148" t="str">
        <f>IF(OR(COUNTIF('1.연간시수표'!K75,$AT$9),COUNTIF('1.연간시수표'!K75,$AT$7)),$AT$6,IF(OR(COUNTIF('1.연간시수표'!K75,$AU$9),COUNTIF('1.연간시수표'!K75,$AU$7)),$AU$6,IF(OR(COUNTIF('1.연간시수표'!K75,$AV$9),COUNTIF('1.연간시수표'!K75,$AV$7)),$AV$6,IF(OR(COUNTIF('1.연간시수표'!K75,$AW$9),COUNTIF('1.연간시수표'!K75,$AW$7)),$AW$6,IF(OR(COUNTIF('1.연간시수표'!K75,$AX$9),COUNTIF('1.연간시수표'!K75,$AX$7)),$AX$6,IF(OR(COUNTIF('1.연간시수표'!K75,$AY$9),COUNTIF('1.연간시수표'!K75,$AY$7)),$AY$6,IF(OR(COUNTIF('1.연간시수표'!K75,$AZ$9),COUNTIF('1.연간시수표'!K75,$AZ$7)),$AZ$6,IF(OR(COUNTIF('1.연간시수표'!K75,$BA$9),COUNTIF('1.연간시수표'!K75,$BA$7)),$BA$6,IF(OR(COUNTIF('1.연간시수표'!K75,$BB$9),COUNTIF('1.연간시수표'!K75,$BB$7)),$BB$6,IF(OR(COUNTIF('1.연간시수표'!K75,$BC$9),COUNTIF('1.연간시수표'!K75,$BC$7)),$BC$6,IF(OR(COUNTIF('1.연간시수표'!K75,$BF$9),COUNTIF('1.연간시수표'!K75,$BF$7),COUNTIF('1.연간시수표'!K75,$BG$9),COUNTIF('1.연간시수표'!K75,$BG$7),COUNTIF('1.연간시수표'!K75,$BH$9),COUNTIF('1.연간시수표'!K75,$BH$7),COUNTIF('1.연간시수표'!K75,$BI$9),COUNTIF('1.연간시수표'!K75,$BI$7),COUNTIF('1.연간시수표'!K75,$BJ$9),COUNTIF('1.연간시수표'!K75,$BJ$7),COUNTIF('1.연간시수표'!K75,$BK$9),COUNTIF('1.연간시수표'!K75,$BK$7),COUNTIF('1.연간시수표'!K75,$BL$9),COUNTIF('1.연간시수표'!K75,$BL$7),COUNTIF('1.연간시수표'!K75,$BM$9),COUNTIF('1.연간시수표'!K75,$BM$7)),$BF$6,IF(OR(COUNTIF('1.연간시수표'!K75,$BO$9),COUNTIF('1.연간시수표'!K75,$BO$7)),$BO$6,IF(OR(COUNTIF('1.연간시수표'!K75,$BP$9),COUNTIF('1.연간시수표'!K75,$BP$7)),$BP$6,IF(OR(COUNTIF('1.연간시수표'!K75,$BQ$9),COUNTIF('1.연간시수표'!K75,$BQ$7)),$BQ$6,IF(OR(COUNTIF('1.연간시수표'!K75,$BR$9),COUNTIF('1.연간시수표'!K75,$BR$7)),$BR$6,"_")))))))))))))))</f>
        <v>_</v>
      </c>
      <c r="L75" s="148" t="str">
        <f>IF(OR(COUNTIF('1.연간시수표'!L75,$AT$9),COUNTIF('1.연간시수표'!L75,$AT$7)),$AT$6,IF(OR(COUNTIF('1.연간시수표'!L75,$AU$9),COUNTIF('1.연간시수표'!L75,$AU$7)),$AU$6,IF(OR(COUNTIF('1.연간시수표'!L75,$AV$9),COUNTIF('1.연간시수표'!L75,$AV$7)),$AV$6,IF(OR(COUNTIF('1.연간시수표'!L75,$AW$9),COUNTIF('1.연간시수표'!L75,$AW$7)),$AW$6,IF(OR(COUNTIF('1.연간시수표'!L75,$AX$9),COUNTIF('1.연간시수표'!L75,$AX$7)),$AX$6,IF(OR(COUNTIF('1.연간시수표'!L75,$AY$9),COUNTIF('1.연간시수표'!L75,$AY$7)),$AY$6,IF(OR(COUNTIF('1.연간시수표'!L75,$AZ$9),COUNTIF('1.연간시수표'!L75,$AZ$7)),$AZ$6,IF(OR(COUNTIF('1.연간시수표'!L75,$BA$9),COUNTIF('1.연간시수표'!L75,$BA$7)),$BA$6,IF(OR(COUNTIF('1.연간시수표'!L75,$BB$9),COUNTIF('1.연간시수표'!L75,$BB$7)),$BB$6,IF(OR(COUNTIF('1.연간시수표'!L75,$BC$9),COUNTIF('1.연간시수표'!L75,$BC$7)),$BC$6,IF(OR(COUNTIF('1.연간시수표'!L75,$BF$9),COUNTIF('1.연간시수표'!L75,$BF$7),COUNTIF('1.연간시수표'!L75,$BG$9),COUNTIF('1.연간시수표'!L75,$BG$7),COUNTIF('1.연간시수표'!L75,$BH$9),COUNTIF('1.연간시수표'!L75,$BH$7),COUNTIF('1.연간시수표'!L75,$BI$9),COUNTIF('1.연간시수표'!L75,$BI$7),COUNTIF('1.연간시수표'!L75,$BJ$9),COUNTIF('1.연간시수표'!L75,$BJ$7),COUNTIF('1.연간시수표'!L75,$BK$9),COUNTIF('1.연간시수표'!L75,$BK$7),COUNTIF('1.연간시수표'!L75,$BL$9),COUNTIF('1.연간시수표'!L75,$BL$7),COUNTIF('1.연간시수표'!L75,$BM$9),COUNTIF('1.연간시수표'!L75,$BM$7)),$BF$6,IF(OR(COUNTIF('1.연간시수표'!L75,$BO$9),COUNTIF('1.연간시수표'!L75,$BO$7)),$BO$6,IF(OR(COUNTIF('1.연간시수표'!L75,$BP$9),COUNTIF('1.연간시수표'!L75,$BP$7)),$BP$6,IF(OR(COUNTIF('1.연간시수표'!L75,$BQ$9),COUNTIF('1.연간시수표'!L75,$BQ$7)),$BQ$6,IF(OR(COUNTIF('1.연간시수표'!L75,$BR$9),COUNTIF('1.연간시수표'!L75,$BR$7)),$BR$6,"_")))))))))))))))</f>
        <v>_</v>
      </c>
      <c r="M75" s="148" t="str">
        <f>IF(OR(COUNTIF('1.연간시수표'!M75,$AT$9),COUNTIF('1.연간시수표'!M75,$AT$7)),$AT$6,IF(OR(COUNTIF('1.연간시수표'!M75,$AU$9),COUNTIF('1.연간시수표'!M75,$AU$7)),$AU$6,IF(OR(COUNTIF('1.연간시수표'!M75,$AV$9),COUNTIF('1.연간시수표'!M75,$AV$7)),$AV$6,IF(OR(COUNTIF('1.연간시수표'!M75,$AW$9),COUNTIF('1.연간시수표'!M75,$AW$7)),$AW$6,IF(OR(COUNTIF('1.연간시수표'!M75,$AX$9),COUNTIF('1.연간시수표'!M75,$AX$7)),$AX$6,IF(OR(COUNTIF('1.연간시수표'!M75,$AY$9),COUNTIF('1.연간시수표'!M75,$AY$7)),$AY$6,IF(OR(COUNTIF('1.연간시수표'!M75,$AZ$9),COUNTIF('1.연간시수표'!M75,$AZ$7)),$AZ$6,IF(OR(COUNTIF('1.연간시수표'!M75,$BA$9),COUNTIF('1.연간시수표'!M75,$BA$7)),$BA$6,IF(OR(COUNTIF('1.연간시수표'!M75,$BB$9),COUNTIF('1.연간시수표'!M75,$BB$7)),$BB$6,IF(OR(COUNTIF('1.연간시수표'!M75,$BC$9),COUNTIF('1.연간시수표'!M75,$BC$7)),$BC$6,IF(OR(COUNTIF('1.연간시수표'!M75,$BF$9),COUNTIF('1.연간시수표'!M75,$BF$7),COUNTIF('1.연간시수표'!M75,$BG$9),COUNTIF('1.연간시수표'!M75,$BG$7),COUNTIF('1.연간시수표'!M75,$BH$9),COUNTIF('1.연간시수표'!M75,$BH$7),COUNTIF('1.연간시수표'!M75,$BI$9),COUNTIF('1.연간시수표'!M75,$BI$7),COUNTIF('1.연간시수표'!M75,$BJ$9),COUNTIF('1.연간시수표'!M75,$BJ$7),COUNTIF('1.연간시수표'!M75,$BK$9),COUNTIF('1.연간시수표'!M75,$BK$7),COUNTIF('1.연간시수표'!M75,$BL$9),COUNTIF('1.연간시수표'!M75,$BL$7),COUNTIF('1.연간시수표'!M75,$BM$9),COUNTIF('1.연간시수표'!M75,$BM$7)),$BF$6,IF(OR(COUNTIF('1.연간시수표'!M75,$BO$9),COUNTIF('1.연간시수표'!M75,$BO$7)),$BO$6,IF(OR(COUNTIF('1.연간시수표'!M75,$BP$9),COUNTIF('1.연간시수표'!M75,$BP$7)),$BP$6,IF(OR(COUNTIF('1.연간시수표'!M75,$BQ$9),COUNTIF('1.연간시수표'!M75,$BQ$7)),$BQ$6,IF(OR(COUNTIF('1.연간시수표'!M75,$BR$9),COUNTIF('1.연간시수표'!M75,$BR$7)),$BR$6,"_")))))))))))))))</f>
        <v>_</v>
      </c>
      <c r="N75" s="148" t="str">
        <f>IF(OR(COUNTIF('1.연간시수표'!N75,$AT$9),COUNTIF('1.연간시수표'!N75,$AT$7)),$AT$6,IF(OR(COUNTIF('1.연간시수표'!N75,$AU$9),COUNTIF('1.연간시수표'!N75,$AU$7)),$AU$6,IF(OR(COUNTIF('1.연간시수표'!N75,$AV$9),COUNTIF('1.연간시수표'!N75,$AV$7)),$AV$6,IF(OR(COUNTIF('1.연간시수표'!N75,$AW$9),COUNTIF('1.연간시수표'!N75,$AW$7)),$AW$6,IF(OR(COUNTIF('1.연간시수표'!N75,$AX$9),COUNTIF('1.연간시수표'!N75,$AX$7)),$AX$6,IF(OR(COUNTIF('1.연간시수표'!N75,$AY$9),COUNTIF('1.연간시수표'!N75,$AY$7)),$AY$6,IF(OR(COUNTIF('1.연간시수표'!N75,$AZ$9),COUNTIF('1.연간시수표'!N75,$AZ$7)),$AZ$6,IF(OR(COUNTIF('1.연간시수표'!N75,$BA$9),COUNTIF('1.연간시수표'!N75,$BA$7)),$BA$6,IF(OR(COUNTIF('1.연간시수표'!N75,$BB$9),COUNTIF('1.연간시수표'!N75,$BB$7)),$BB$6,IF(OR(COUNTIF('1.연간시수표'!N75,$BC$9),COUNTIF('1.연간시수표'!N75,$BC$7)),$BC$6,IF(OR(COUNTIF('1.연간시수표'!N75,$BF$9),COUNTIF('1.연간시수표'!N75,$BF$7),COUNTIF('1.연간시수표'!N75,$BG$9),COUNTIF('1.연간시수표'!N75,$BG$7),COUNTIF('1.연간시수표'!N75,$BH$9),COUNTIF('1.연간시수표'!N75,$BH$7),COUNTIF('1.연간시수표'!N75,$BI$9),COUNTIF('1.연간시수표'!N75,$BI$7),COUNTIF('1.연간시수표'!N75,$BJ$9),COUNTIF('1.연간시수표'!N75,$BJ$7),COUNTIF('1.연간시수표'!N75,$BK$9),COUNTIF('1.연간시수표'!N75,$BK$7),COUNTIF('1.연간시수표'!N75,$BL$9),COUNTIF('1.연간시수표'!N75,$BL$7),COUNTIF('1.연간시수표'!N75,$BM$9),COUNTIF('1.연간시수표'!N75,$BM$7)),$BF$6,IF(OR(COUNTIF('1.연간시수표'!N75,$BO$9),COUNTIF('1.연간시수표'!N75,$BO$7)),$BO$6,IF(OR(COUNTIF('1.연간시수표'!N75,$BP$9),COUNTIF('1.연간시수표'!N75,$BP$7)),$BP$6,IF(OR(COUNTIF('1.연간시수표'!N75,$BQ$9),COUNTIF('1.연간시수표'!N75,$BQ$7)),$BQ$6,IF(OR(COUNTIF('1.연간시수표'!N75,$BR$9),COUNTIF('1.연간시수표'!N75,$BR$7)),$BR$6,"_")))))))))))))))</f>
        <v>_</v>
      </c>
      <c r="O75" s="148" t="str">
        <f>IF(OR(COUNTIF('1.연간시수표'!O75,$AT$9),COUNTIF('1.연간시수표'!O75,$AT$7)),$AT$6,IF(OR(COUNTIF('1.연간시수표'!O75,$AU$9),COUNTIF('1.연간시수표'!O75,$AU$7)),$AU$6,IF(OR(COUNTIF('1.연간시수표'!O75,$AV$9),COUNTIF('1.연간시수표'!O75,$AV$7)),$AV$6,IF(OR(COUNTIF('1.연간시수표'!O75,$AW$9),COUNTIF('1.연간시수표'!O75,$AW$7)),$AW$6,IF(OR(COUNTIF('1.연간시수표'!O75,$AX$9),COUNTIF('1.연간시수표'!O75,$AX$7)),$AX$6,IF(OR(COUNTIF('1.연간시수표'!O75,$AY$9),COUNTIF('1.연간시수표'!O75,$AY$7)),$AY$6,IF(OR(COUNTIF('1.연간시수표'!O75,$AZ$9),COUNTIF('1.연간시수표'!O75,$AZ$7)),$AZ$6,IF(OR(COUNTIF('1.연간시수표'!O75,$BA$9),COUNTIF('1.연간시수표'!O75,$BA$7)),$BA$6,IF(OR(COUNTIF('1.연간시수표'!O75,$BB$9),COUNTIF('1.연간시수표'!O75,$BB$7)),$BB$6,IF(OR(COUNTIF('1.연간시수표'!O75,$BC$9),COUNTIF('1.연간시수표'!O75,$BC$7)),$BC$6,IF(OR(COUNTIF('1.연간시수표'!O75,$BF$9),COUNTIF('1.연간시수표'!O75,$BF$7),COUNTIF('1.연간시수표'!O75,$BG$9),COUNTIF('1.연간시수표'!O75,$BG$7),COUNTIF('1.연간시수표'!O75,$BH$9),COUNTIF('1.연간시수표'!O75,$BH$7),COUNTIF('1.연간시수표'!O75,$BI$9),COUNTIF('1.연간시수표'!O75,$BI$7),COUNTIF('1.연간시수표'!O75,$BJ$9),COUNTIF('1.연간시수표'!O75,$BJ$7),COUNTIF('1.연간시수표'!O75,$BK$9),COUNTIF('1.연간시수표'!O75,$BK$7),COUNTIF('1.연간시수표'!O75,$BL$9),COUNTIF('1.연간시수표'!O75,$BL$7),COUNTIF('1.연간시수표'!O75,$BM$9),COUNTIF('1.연간시수표'!O75,$BM$7)),$BF$6,IF(OR(COUNTIF('1.연간시수표'!O75,$BO$9),COUNTIF('1.연간시수표'!O75,$BO$7)),$BO$6,IF(OR(COUNTIF('1.연간시수표'!O75,$BP$9),COUNTIF('1.연간시수표'!O75,$BP$7)),$BP$6,IF(OR(COUNTIF('1.연간시수표'!O75,$BQ$9),COUNTIF('1.연간시수표'!O75,$BQ$7)),$BQ$6,IF(OR(COUNTIF('1.연간시수표'!O75,$BR$9),COUNTIF('1.연간시수표'!O75,$BR$7)),$BR$6,"_")))))))))))))))</f>
        <v>_</v>
      </c>
      <c r="P75" s="148" t="str">
        <f>IF(OR(COUNTIF('1.연간시수표'!P75,$AT$9),COUNTIF('1.연간시수표'!P75,$AT$7)),$AT$6,IF(OR(COUNTIF('1.연간시수표'!P75,$AU$9),COUNTIF('1.연간시수표'!P75,$AU$7)),$AU$6,IF(OR(COUNTIF('1.연간시수표'!P75,$AV$9),COUNTIF('1.연간시수표'!P75,$AV$7)),$AV$6,IF(OR(COUNTIF('1.연간시수표'!P75,$AW$9),COUNTIF('1.연간시수표'!P75,$AW$7)),$AW$6,IF(OR(COUNTIF('1.연간시수표'!P75,$AX$9),COUNTIF('1.연간시수표'!P75,$AX$7)),$AX$6,IF(OR(COUNTIF('1.연간시수표'!P75,$AY$9),COUNTIF('1.연간시수표'!P75,$AY$7)),$AY$6,IF(OR(COUNTIF('1.연간시수표'!P75,$AZ$9),COUNTIF('1.연간시수표'!P75,$AZ$7)),$AZ$6,IF(OR(COUNTIF('1.연간시수표'!P75,$BA$9),COUNTIF('1.연간시수표'!P75,$BA$7)),$BA$6,IF(OR(COUNTIF('1.연간시수표'!P75,$BB$9),COUNTIF('1.연간시수표'!P75,$BB$7)),$BB$6,IF(OR(COUNTIF('1.연간시수표'!P75,$BC$9),COUNTIF('1.연간시수표'!P75,$BC$7)),$BC$6,IF(OR(COUNTIF('1.연간시수표'!P75,$BF$9),COUNTIF('1.연간시수표'!P75,$BF$7),COUNTIF('1.연간시수표'!P75,$BG$9),COUNTIF('1.연간시수표'!P75,$BG$7),COUNTIF('1.연간시수표'!P75,$BH$9),COUNTIF('1.연간시수표'!P75,$BH$7),COUNTIF('1.연간시수표'!P75,$BI$9),COUNTIF('1.연간시수표'!P75,$BI$7),COUNTIF('1.연간시수표'!P75,$BJ$9),COUNTIF('1.연간시수표'!P75,$BJ$7),COUNTIF('1.연간시수표'!P75,$BK$9),COUNTIF('1.연간시수표'!P75,$BK$7),COUNTIF('1.연간시수표'!P75,$BL$9),COUNTIF('1.연간시수표'!P75,$BL$7),COUNTIF('1.연간시수표'!P75,$BM$9),COUNTIF('1.연간시수표'!P75,$BM$7)),$BF$6,IF(OR(COUNTIF('1.연간시수표'!P75,$BO$9),COUNTIF('1.연간시수표'!P75,$BO$7)),$BO$6,IF(OR(COUNTIF('1.연간시수표'!P75,$BP$9),COUNTIF('1.연간시수표'!P75,$BP$7)),$BP$6,IF(OR(COUNTIF('1.연간시수표'!P75,$BQ$9),COUNTIF('1.연간시수표'!P75,$BQ$7)),$BQ$6,IF(OR(COUNTIF('1.연간시수표'!P75,$BR$9),COUNTIF('1.연간시수표'!P75,$BR$7)),$BR$6,"_")))))))))))))))</f>
        <v>_</v>
      </c>
      <c r="Q75" s="148" t="str">
        <f>IF(OR(COUNTIF('1.연간시수표'!Q75,$AT$9),COUNTIF('1.연간시수표'!Q75,$AT$7)),$AT$6,IF(OR(COUNTIF('1.연간시수표'!Q75,$AU$9),COUNTIF('1.연간시수표'!Q75,$AU$7)),$AU$6,IF(OR(COUNTIF('1.연간시수표'!Q75,$AV$9),COUNTIF('1.연간시수표'!Q75,$AV$7)),$AV$6,IF(OR(COUNTIF('1.연간시수표'!Q75,$AW$9),COUNTIF('1.연간시수표'!Q75,$AW$7)),$AW$6,IF(OR(COUNTIF('1.연간시수표'!Q75,$AX$9),COUNTIF('1.연간시수표'!Q75,$AX$7)),$AX$6,IF(OR(COUNTIF('1.연간시수표'!Q75,$AY$9),COUNTIF('1.연간시수표'!Q75,$AY$7)),$AY$6,IF(OR(COUNTIF('1.연간시수표'!Q75,$AZ$9),COUNTIF('1.연간시수표'!Q75,$AZ$7)),$AZ$6,IF(OR(COUNTIF('1.연간시수표'!Q75,$BA$9),COUNTIF('1.연간시수표'!Q75,$BA$7)),$BA$6,IF(OR(COUNTIF('1.연간시수표'!Q75,$BB$9),COUNTIF('1.연간시수표'!Q75,$BB$7)),$BB$6,IF(OR(COUNTIF('1.연간시수표'!Q75,$BC$9),COUNTIF('1.연간시수표'!Q75,$BC$7)),$BC$6,IF(OR(COUNTIF('1.연간시수표'!Q75,$BF$9),COUNTIF('1.연간시수표'!Q75,$BF$7),COUNTIF('1.연간시수표'!Q75,$BG$9),COUNTIF('1.연간시수표'!Q75,$BG$7),COUNTIF('1.연간시수표'!Q75,$BH$9),COUNTIF('1.연간시수표'!Q75,$BH$7),COUNTIF('1.연간시수표'!Q75,$BI$9),COUNTIF('1.연간시수표'!Q75,$BI$7),COUNTIF('1.연간시수표'!Q75,$BJ$9),COUNTIF('1.연간시수표'!Q75,$BJ$7),COUNTIF('1.연간시수표'!Q75,$BK$9),COUNTIF('1.연간시수표'!Q75,$BK$7),COUNTIF('1.연간시수표'!Q75,$BL$9),COUNTIF('1.연간시수표'!Q75,$BL$7),COUNTIF('1.연간시수표'!Q75,$BM$9),COUNTIF('1.연간시수표'!Q75,$BM$7)),$BF$6,IF(OR(COUNTIF('1.연간시수표'!Q75,$BO$9),COUNTIF('1.연간시수표'!Q75,$BO$7)),$BO$6,IF(OR(COUNTIF('1.연간시수표'!Q75,$BP$9),COUNTIF('1.연간시수표'!Q75,$BP$7)),$BP$6,IF(OR(COUNTIF('1.연간시수표'!Q75,$BQ$9),COUNTIF('1.연간시수표'!Q75,$BQ$7)),$BQ$6,IF(OR(COUNTIF('1.연간시수표'!Q75,$BR$9),COUNTIF('1.연간시수표'!Q75,$BR$7)),$BR$6,"_")))))))))))))))</f>
        <v>_</v>
      </c>
      <c r="R75" s="148" t="str">
        <f>IF(OR(COUNTIF('1.연간시수표'!R75,$AT$9),COUNTIF('1.연간시수표'!R75,$AT$7)),$AT$6,IF(OR(COUNTIF('1.연간시수표'!R75,$AU$9),COUNTIF('1.연간시수표'!R75,$AU$7)),$AU$6,IF(OR(COUNTIF('1.연간시수표'!R75,$AV$9),COUNTIF('1.연간시수표'!R75,$AV$7)),$AV$6,IF(OR(COUNTIF('1.연간시수표'!R75,$AW$9),COUNTIF('1.연간시수표'!R75,$AW$7)),$AW$6,IF(OR(COUNTIF('1.연간시수표'!R75,$AX$9),COUNTIF('1.연간시수표'!R75,$AX$7)),$AX$6,IF(OR(COUNTIF('1.연간시수표'!R75,$AY$9),COUNTIF('1.연간시수표'!R75,$AY$7)),$AY$6,IF(OR(COUNTIF('1.연간시수표'!R75,$AZ$9),COUNTIF('1.연간시수표'!R75,$AZ$7)),$AZ$6,IF(OR(COUNTIF('1.연간시수표'!R75,$BA$9),COUNTIF('1.연간시수표'!R75,$BA$7)),$BA$6,IF(OR(COUNTIF('1.연간시수표'!R75,$BB$9),COUNTIF('1.연간시수표'!R75,$BB$7)),$BB$6,IF(OR(COUNTIF('1.연간시수표'!R75,$BC$9),COUNTIF('1.연간시수표'!R75,$BC$7)),$BC$6,IF(OR(COUNTIF('1.연간시수표'!R75,$BF$9),COUNTIF('1.연간시수표'!R75,$BF$7),COUNTIF('1.연간시수표'!R75,$BG$9),COUNTIF('1.연간시수표'!R75,$BG$7),COUNTIF('1.연간시수표'!R75,$BH$9),COUNTIF('1.연간시수표'!R75,$BH$7),COUNTIF('1.연간시수표'!R75,$BI$9),COUNTIF('1.연간시수표'!R75,$BI$7),COUNTIF('1.연간시수표'!R75,$BJ$9),COUNTIF('1.연간시수표'!R75,$BJ$7),COUNTIF('1.연간시수표'!R75,$BK$9),COUNTIF('1.연간시수표'!R75,$BK$7),COUNTIF('1.연간시수표'!R75,$BL$9),COUNTIF('1.연간시수표'!R75,$BL$7),COUNTIF('1.연간시수표'!R75,$BM$9),COUNTIF('1.연간시수표'!R75,$BM$7)),$BF$6,IF(OR(COUNTIF('1.연간시수표'!R75,$BO$9),COUNTIF('1.연간시수표'!R75,$BO$7)),$BO$6,IF(OR(COUNTIF('1.연간시수표'!R75,$BP$9),COUNTIF('1.연간시수표'!R75,$BP$7)),$BP$6,IF(OR(COUNTIF('1.연간시수표'!R75,$BQ$9),COUNTIF('1.연간시수표'!R75,$BQ$7)),$BQ$6,IF(OR(COUNTIF('1.연간시수표'!R75,$BR$9),COUNTIF('1.연간시수표'!R75,$BR$7)),$BR$6,"_")))))))))))))))</f>
        <v>_</v>
      </c>
      <c r="S75" s="148" t="str">
        <f>IF(OR(COUNTIF('1.연간시수표'!S75,$AT$9),COUNTIF('1.연간시수표'!S75,$AT$7)),$AT$6,IF(OR(COUNTIF('1.연간시수표'!S75,$AU$9),COUNTIF('1.연간시수표'!S75,$AU$7)),$AU$6,IF(OR(COUNTIF('1.연간시수표'!S75,$AV$9),COUNTIF('1.연간시수표'!S75,$AV$7)),$AV$6,IF(OR(COUNTIF('1.연간시수표'!S75,$AW$9),COUNTIF('1.연간시수표'!S75,$AW$7)),$AW$6,IF(OR(COUNTIF('1.연간시수표'!S75,$AX$9),COUNTIF('1.연간시수표'!S75,$AX$7)),$AX$6,IF(OR(COUNTIF('1.연간시수표'!S75,$AY$9),COUNTIF('1.연간시수표'!S75,$AY$7)),$AY$6,IF(OR(COUNTIF('1.연간시수표'!S75,$AZ$9),COUNTIF('1.연간시수표'!S75,$AZ$7)),$AZ$6,IF(OR(COUNTIF('1.연간시수표'!S75,$BA$9),COUNTIF('1.연간시수표'!S75,$BA$7)),$BA$6,IF(OR(COUNTIF('1.연간시수표'!S75,$BB$9),COUNTIF('1.연간시수표'!S75,$BB$7)),$BB$6,IF(OR(COUNTIF('1.연간시수표'!S75,$BC$9),COUNTIF('1.연간시수표'!S75,$BC$7)),$BC$6,IF(OR(COUNTIF('1.연간시수표'!S75,$BF$9),COUNTIF('1.연간시수표'!S75,$BF$7),COUNTIF('1.연간시수표'!S75,$BG$9),COUNTIF('1.연간시수표'!S75,$BG$7),COUNTIF('1.연간시수표'!S75,$BH$9),COUNTIF('1.연간시수표'!S75,$BH$7),COUNTIF('1.연간시수표'!S75,$BI$9),COUNTIF('1.연간시수표'!S75,$BI$7),COUNTIF('1.연간시수표'!S75,$BJ$9),COUNTIF('1.연간시수표'!S75,$BJ$7),COUNTIF('1.연간시수표'!S75,$BK$9),COUNTIF('1.연간시수표'!S75,$BK$7),COUNTIF('1.연간시수표'!S75,$BL$9),COUNTIF('1.연간시수표'!S75,$BL$7),COUNTIF('1.연간시수표'!S75,$BM$9),COUNTIF('1.연간시수표'!S75,$BM$7)),$BF$6,IF(OR(COUNTIF('1.연간시수표'!S75,$BO$9),COUNTIF('1.연간시수표'!S75,$BO$7)),$BO$6,IF(OR(COUNTIF('1.연간시수표'!S75,$BP$9),COUNTIF('1.연간시수표'!S75,$BP$7)),$BP$6,IF(OR(COUNTIF('1.연간시수표'!S75,$BQ$9),COUNTIF('1.연간시수표'!S75,$BQ$7)),$BQ$6,IF(OR(COUNTIF('1.연간시수표'!S75,$BR$9),COUNTIF('1.연간시수표'!S75,$BR$7)),$BR$6,"_")))))))))))))))</f>
        <v>_</v>
      </c>
      <c r="T75" s="148" t="str">
        <f>IF(OR(COUNTIF('1.연간시수표'!T75,$AT$9),COUNTIF('1.연간시수표'!T75,$AT$7)),$AT$6,IF(OR(COUNTIF('1.연간시수표'!T75,$AU$9),COUNTIF('1.연간시수표'!T75,$AU$7)),$AU$6,IF(OR(COUNTIF('1.연간시수표'!T75,$AV$9),COUNTIF('1.연간시수표'!T75,$AV$7)),$AV$6,IF(OR(COUNTIF('1.연간시수표'!T75,$AW$9),COUNTIF('1.연간시수표'!T75,$AW$7)),$AW$6,IF(OR(COUNTIF('1.연간시수표'!T75,$AX$9),COUNTIF('1.연간시수표'!T75,$AX$7)),$AX$6,IF(OR(COUNTIF('1.연간시수표'!T75,$AY$9),COUNTIF('1.연간시수표'!T75,$AY$7)),$AY$6,IF(OR(COUNTIF('1.연간시수표'!T75,$AZ$9),COUNTIF('1.연간시수표'!T75,$AZ$7)),$AZ$6,IF(OR(COUNTIF('1.연간시수표'!T75,$BA$9),COUNTIF('1.연간시수표'!T75,$BA$7)),$BA$6,IF(OR(COUNTIF('1.연간시수표'!T75,$BB$9),COUNTIF('1.연간시수표'!T75,$BB$7)),$BB$6,IF(OR(COUNTIF('1.연간시수표'!T75,$BC$9),COUNTIF('1.연간시수표'!T75,$BC$7)),$BC$6,IF(OR(COUNTIF('1.연간시수표'!T75,$BF$9),COUNTIF('1.연간시수표'!T75,$BF$7),COUNTIF('1.연간시수표'!T75,$BG$9),COUNTIF('1.연간시수표'!T75,$BG$7),COUNTIF('1.연간시수표'!T75,$BH$9),COUNTIF('1.연간시수표'!T75,$BH$7),COUNTIF('1.연간시수표'!T75,$BI$9),COUNTIF('1.연간시수표'!T75,$BI$7),COUNTIF('1.연간시수표'!T75,$BJ$9),COUNTIF('1.연간시수표'!T75,$BJ$7),COUNTIF('1.연간시수표'!T75,$BK$9),COUNTIF('1.연간시수표'!T75,$BK$7),COUNTIF('1.연간시수표'!T75,$BL$9),COUNTIF('1.연간시수표'!T75,$BL$7),COUNTIF('1.연간시수표'!T75,$BM$9),COUNTIF('1.연간시수표'!T75,$BM$7)),$BF$6,IF(OR(COUNTIF('1.연간시수표'!T75,$BO$9),COUNTIF('1.연간시수표'!T75,$BO$7)),$BO$6,IF(OR(COUNTIF('1.연간시수표'!T75,$BP$9),COUNTIF('1.연간시수표'!T75,$BP$7)),$BP$6,IF(OR(COUNTIF('1.연간시수표'!T75,$BQ$9),COUNTIF('1.연간시수표'!T75,$BQ$7)),$BQ$6,IF(OR(COUNTIF('1.연간시수표'!T75,$BR$9),COUNTIF('1.연간시수표'!T75,$BR$7)),$BR$6,"_")))))))))))))))</f>
        <v>_</v>
      </c>
      <c r="U75" s="148" t="str">
        <f>IF(OR(COUNTIF('1.연간시수표'!U75,$AT$9),COUNTIF('1.연간시수표'!U75,$AT$7)),$AT$6,IF(OR(COUNTIF('1.연간시수표'!U75,$AU$9),COUNTIF('1.연간시수표'!U75,$AU$7)),$AU$6,IF(OR(COUNTIF('1.연간시수표'!U75,$AV$9),COUNTIF('1.연간시수표'!U75,$AV$7)),$AV$6,IF(OR(COUNTIF('1.연간시수표'!U75,$AW$9),COUNTIF('1.연간시수표'!U75,$AW$7)),$AW$6,IF(OR(COUNTIF('1.연간시수표'!U75,$AX$9),COUNTIF('1.연간시수표'!U75,$AX$7)),$AX$6,IF(OR(COUNTIF('1.연간시수표'!U75,$AY$9),COUNTIF('1.연간시수표'!U75,$AY$7)),$AY$6,IF(OR(COUNTIF('1.연간시수표'!U75,$AZ$9),COUNTIF('1.연간시수표'!U75,$AZ$7)),$AZ$6,IF(OR(COUNTIF('1.연간시수표'!U75,$BA$9),COUNTIF('1.연간시수표'!U75,$BA$7)),$BA$6,IF(OR(COUNTIF('1.연간시수표'!U75,$BB$9),COUNTIF('1.연간시수표'!U75,$BB$7)),$BB$6,IF(OR(COUNTIF('1.연간시수표'!U75,$BC$9),COUNTIF('1.연간시수표'!U75,$BC$7)),$BC$6,IF(OR(COUNTIF('1.연간시수표'!U75,$BF$9),COUNTIF('1.연간시수표'!U75,$BF$7),COUNTIF('1.연간시수표'!U75,$BG$9),COUNTIF('1.연간시수표'!U75,$BG$7),COUNTIF('1.연간시수표'!U75,$BH$9),COUNTIF('1.연간시수표'!U75,$BH$7),COUNTIF('1.연간시수표'!U75,$BI$9),COUNTIF('1.연간시수표'!U75,$BI$7),COUNTIF('1.연간시수표'!U75,$BJ$9),COUNTIF('1.연간시수표'!U75,$BJ$7),COUNTIF('1.연간시수표'!U75,$BK$9),COUNTIF('1.연간시수표'!U75,$BK$7),COUNTIF('1.연간시수표'!U75,$BL$9),COUNTIF('1.연간시수표'!U75,$BL$7),COUNTIF('1.연간시수표'!U75,$BM$9),COUNTIF('1.연간시수표'!U75,$BM$7)),$BF$6,IF(OR(COUNTIF('1.연간시수표'!U75,$BO$9),COUNTIF('1.연간시수표'!U75,$BO$7)),$BO$6,IF(OR(COUNTIF('1.연간시수표'!U75,$BP$9),COUNTIF('1.연간시수표'!U75,$BP$7)),$BP$6,IF(OR(COUNTIF('1.연간시수표'!U75,$BQ$9),COUNTIF('1.연간시수표'!U75,$BQ$7)),$BQ$6,IF(OR(COUNTIF('1.연간시수표'!U75,$BR$9),COUNTIF('1.연간시수표'!U75,$BR$7)),$BR$6,"_")))))))))))))))</f>
        <v>_</v>
      </c>
      <c r="V75" s="148" t="str">
        <f>IF(OR(COUNTIF('1.연간시수표'!V75,$AT$9),COUNTIF('1.연간시수표'!V75,$AT$7)),$AT$6,IF(OR(COUNTIF('1.연간시수표'!V75,$AU$9),COUNTIF('1.연간시수표'!V75,$AU$7)),$AU$6,IF(OR(COUNTIF('1.연간시수표'!V75,$AV$9),COUNTIF('1.연간시수표'!V75,$AV$7)),$AV$6,IF(OR(COUNTIF('1.연간시수표'!V75,$AW$9),COUNTIF('1.연간시수표'!V75,$AW$7)),$AW$6,IF(OR(COUNTIF('1.연간시수표'!V75,$AX$9),COUNTIF('1.연간시수표'!V75,$AX$7)),$AX$6,IF(OR(COUNTIF('1.연간시수표'!V75,$AY$9),COUNTIF('1.연간시수표'!V75,$AY$7)),$AY$6,IF(OR(COUNTIF('1.연간시수표'!V75,$AZ$9),COUNTIF('1.연간시수표'!V75,$AZ$7)),$AZ$6,IF(OR(COUNTIF('1.연간시수표'!V75,$BA$9),COUNTIF('1.연간시수표'!V75,$BA$7)),$BA$6,IF(OR(COUNTIF('1.연간시수표'!V75,$BB$9),COUNTIF('1.연간시수표'!V75,$BB$7)),$BB$6,IF(OR(COUNTIF('1.연간시수표'!V75,$BC$9),COUNTIF('1.연간시수표'!V75,$BC$7)),$BC$6,IF(OR(COUNTIF('1.연간시수표'!V75,$BF$9),COUNTIF('1.연간시수표'!V75,$BF$7),COUNTIF('1.연간시수표'!V75,$BG$9),COUNTIF('1.연간시수표'!V75,$BG$7),COUNTIF('1.연간시수표'!V75,$BH$9),COUNTIF('1.연간시수표'!V75,$BH$7),COUNTIF('1.연간시수표'!V75,$BI$9),COUNTIF('1.연간시수표'!V75,$BI$7),COUNTIF('1.연간시수표'!V75,$BJ$9),COUNTIF('1.연간시수표'!V75,$BJ$7),COUNTIF('1.연간시수표'!V75,$BK$9),COUNTIF('1.연간시수표'!V75,$BK$7),COUNTIF('1.연간시수표'!V75,$BL$9),COUNTIF('1.연간시수표'!V75,$BL$7),COUNTIF('1.연간시수표'!V75,$BM$9),COUNTIF('1.연간시수표'!V75,$BM$7)),$BF$6,IF(OR(COUNTIF('1.연간시수표'!V75,$BO$9),COUNTIF('1.연간시수표'!V75,$BO$7)),$BO$6,IF(OR(COUNTIF('1.연간시수표'!V75,$BP$9),COUNTIF('1.연간시수표'!V75,$BP$7)),$BP$6,IF(OR(COUNTIF('1.연간시수표'!V75,$BQ$9),COUNTIF('1.연간시수표'!V75,$BQ$7)),$BQ$6,IF(OR(COUNTIF('1.연간시수표'!V75,$BR$9),COUNTIF('1.연간시수표'!V75,$BR$7)),$BR$6,"_")))))))))))))))</f>
        <v>_</v>
      </c>
      <c r="W75" s="148" t="str">
        <f>IF(OR(COUNTIF('1.연간시수표'!W75,$AT$9),COUNTIF('1.연간시수표'!W75,$AT$7)),$AT$6,IF(OR(COUNTIF('1.연간시수표'!W75,$AU$9),COUNTIF('1.연간시수표'!W75,$AU$7)),$AU$6,IF(OR(COUNTIF('1.연간시수표'!W75,$AV$9),COUNTIF('1.연간시수표'!W75,$AV$7)),$AV$6,IF(OR(COUNTIF('1.연간시수표'!W75,$AW$9),COUNTIF('1.연간시수표'!W75,$AW$7)),$AW$6,IF(OR(COUNTIF('1.연간시수표'!W75,$AX$9),COUNTIF('1.연간시수표'!W75,$AX$7)),$AX$6,IF(OR(COUNTIF('1.연간시수표'!W75,$AY$9),COUNTIF('1.연간시수표'!W75,$AY$7)),$AY$6,IF(OR(COUNTIF('1.연간시수표'!W75,$AZ$9),COUNTIF('1.연간시수표'!W75,$AZ$7)),$AZ$6,IF(OR(COUNTIF('1.연간시수표'!W75,$BA$9),COUNTIF('1.연간시수표'!W75,$BA$7)),$BA$6,IF(OR(COUNTIF('1.연간시수표'!W75,$BB$9),COUNTIF('1.연간시수표'!W75,$BB$7)),$BB$6,IF(OR(COUNTIF('1.연간시수표'!W75,$BC$9),COUNTIF('1.연간시수표'!W75,$BC$7)),$BC$6,IF(OR(COUNTIF('1.연간시수표'!W75,$BF$9),COUNTIF('1.연간시수표'!W75,$BF$7),COUNTIF('1.연간시수표'!W75,$BG$9),COUNTIF('1.연간시수표'!W75,$BG$7),COUNTIF('1.연간시수표'!W75,$BH$9),COUNTIF('1.연간시수표'!W75,$BH$7),COUNTIF('1.연간시수표'!W75,$BI$9),COUNTIF('1.연간시수표'!W75,$BI$7),COUNTIF('1.연간시수표'!W75,$BJ$9),COUNTIF('1.연간시수표'!W75,$BJ$7),COUNTIF('1.연간시수표'!W75,$BK$9),COUNTIF('1.연간시수표'!W75,$BK$7),COUNTIF('1.연간시수표'!W75,$BL$9),COUNTIF('1.연간시수표'!W75,$BL$7),COUNTIF('1.연간시수표'!W75,$BM$9),COUNTIF('1.연간시수표'!W75,$BM$7)),$BF$6,IF(OR(COUNTIF('1.연간시수표'!W75,$BO$9),COUNTIF('1.연간시수표'!W75,$BO$7)),$BO$6,IF(OR(COUNTIF('1.연간시수표'!W75,$BP$9),COUNTIF('1.연간시수표'!W75,$BP$7)),$BP$6,IF(OR(COUNTIF('1.연간시수표'!W75,$BQ$9),COUNTIF('1.연간시수표'!W75,$BQ$7)),$BQ$6,IF(OR(COUNTIF('1.연간시수표'!W75,$BR$9),COUNTIF('1.연간시수표'!W75,$BR$7)),$BR$6,"_")))))))))))))))</f>
        <v>_</v>
      </c>
      <c r="X75" s="148" t="str">
        <f>IF(OR(COUNTIF('1.연간시수표'!X75,$AT$9),COUNTIF('1.연간시수표'!X75,$AT$7)),$AT$6,IF(OR(COUNTIF('1.연간시수표'!X75,$AU$9),COUNTIF('1.연간시수표'!X75,$AU$7)),$AU$6,IF(OR(COUNTIF('1.연간시수표'!X75,$AV$9),COUNTIF('1.연간시수표'!X75,$AV$7)),$AV$6,IF(OR(COUNTIF('1.연간시수표'!X75,$AW$9),COUNTIF('1.연간시수표'!X75,$AW$7)),$AW$6,IF(OR(COUNTIF('1.연간시수표'!X75,$AX$9),COUNTIF('1.연간시수표'!X75,$AX$7)),$AX$6,IF(OR(COUNTIF('1.연간시수표'!X75,$AY$9),COUNTIF('1.연간시수표'!X75,$AY$7)),$AY$6,IF(OR(COUNTIF('1.연간시수표'!X75,$AZ$9),COUNTIF('1.연간시수표'!X75,$AZ$7)),$AZ$6,IF(OR(COUNTIF('1.연간시수표'!X75,$BA$9),COUNTIF('1.연간시수표'!X75,$BA$7)),$BA$6,IF(OR(COUNTIF('1.연간시수표'!X75,$BB$9),COUNTIF('1.연간시수표'!X75,$BB$7)),$BB$6,IF(OR(COUNTIF('1.연간시수표'!X75,$BC$9),COUNTIF('1.연간시수표'!X75,$BC$7)),$BC$6,IF(OR(COUNTIF('1.연간시수표'!X75,$BF$9),COUNTIF('1.연간시수표'!X75,$BF$7),COUNTIF('1.연간시수표'!X75,$BG$9),COUNTIF('1.연간시수표'!X75,$BG$7),COUNTIF('1.연간시수표'!X75,$BH$9),COUNTIF('1.연간시수표'!X75,$BH$7),COUNTIF('1.연간시수표'!X75,$BI$9),COUNTIF('1.연간시수표'!X75,$BI$7),COUNTIF('1.연간시수표'!X75,$BJ$9),COUNTIF('1.연간시수표'!X75,$BJ$7),COUNTIF('1.연간시수표'!X75,$BK$9),COUNTIF('1.연간시수표'!X75,$BK$7),COUNTIF('1.연간시수표'!X75,$BL$9),COUNTIF('1.연간시수표'!X75,$BL$7),COUNTIF('1.연간시수표'!X75,$BM$9),COUNTIF('1.연간시수표'!X75,$BM$7)),$BF$6,IF(OR(COUNTIF('1.연간시수표'!X75,$BO$9),COUNTIF('1.연간시수표'!X75,$BO$7)),$BO$6,IF(OR(COUNTIF('1.연간시수표'!X75,$BP$9),COUNTIF('1.연간시수표'!X75,$BP$7)),$BP$6,IF(OR(COUNTIF('1.연간시수표'!X75,$BQ$9),COUNTIF('1.연간시수표'!X75,$BQ$7)),$BQ$6,IF(OR(COUNTIF('1.연간시수표'!X75,$BR$9),COUNTIF('1.연간시수표'!X75,$BR$7)),$BR$6,"_")))))))))))))))</f>
        <v>_</v>
      </c>
      <c r="Y75" s="148" t="str">
        <f>IF(OR(COUNTIF('1.연간시수표'!Y75,$AT$9),COUNTIF('1.연간시수표'!Y75,$AT$7)),$AT$6,IF(OR(COUNTIF('1.연간시수표'!Y75,$AU$9),COUNTIF('1.연간시수표'!Y75,$AU$7)),$AU$6,IF(OR(COUNTIF('1.연간시수표'!Y75,$AV$9),COUNTIF('1.연간시수표'!Y75,$AV$7)),$AV$6,IF(OR(COUNTIF('1.연간시수표'!Y75,$AW$9),COUNTIF('1.연간시수표'!Y75,$AW$7)),$AW$6,IF(OR(COUNTIF('1.연간시수표'!Y75,$AX$9),COUNTIF('1.연간시수표'!Y75,$AX$7)),$AX$6,IF(OR(COUNTIF('1.연간시수표'!Y75,$AY$9),COUNTIF('1.연간시수표'!Y75,$AY$7)),$AY$6,IF(OR(COUNTIF('1.연간시수표'!Y75,$AZ$9),COUNTIF('1.연간시수표'!Y75,$AZ$7)),$AZ$6,IF(OR(COUNTIF('1.연간시수표'!Y75,$BA$9),COUNTIF('1.연간시수표'!Y75,$BA$7)),$BA$6,IF(OR(COUNTIF('1.연간시수표'!Y75,$BB$9),COUNTIF('1.연간시수표'!Y75,$BB$7)),$BB$6,IF(OR(COUNTIF('1.연간시수표'!Y75,$BC$9),COUNTIF('1.연간시수표'!Y75,$BC$7)),$BC$6,IF(OR(COUNTIF('1.연간시수표'!Y75,$BF$9),COUNTIF('1.연간시수표'!Y75,$BF$7),COUNTIF('1.연간시수표'!Y75,$BG$9),COUNTIF('1.연간시수표'!Y75,$BG$7),COUNTIF('1.연간시수표'!Y75,$BH$9),COUNTIF('1.연간시수표'!Y75,$BH$7),COUNTIF('1.연간시수표'!Y75,$BI$9),COUNTIF('1.연간시수표'!Y75,$BI$7),COUNTIF('1.연간시수표'!Y75,$BJ$9),COUNTIF('1.연간시수표'!Y75,$BJ$7),COUNTIF('1.연간시수표'!Y75,$BK$9),COUNTIF('1.연간시수표'!Y75,$BK$7),COUNTIF('1.연간시수표'!Y75,$BL$9),COUNTIF('1.연간시수표'!Y75,$BL$7),COUNTIF('1.연간시수표'!Y75,$BM$9),COUNTIF('1.연간시수표'!Y75,$BM$7)),$BF$6,IF(OR(COUNTIF('1.연간시수표'!Y75,$BO$9),COUNTIF('1.연간시수표'!Y75,$BO$7)),$BO$6,IF(OR(COUNTIF('1.연간시수표'!Y75,$BP$9),COUNTIF('1.연간시수표'!Y75,$BP$7)),$BP$6,IF(OR(COUNTIF('1.연간시수표'!Y75,$BQ$9),COUNTIF('1.연간시수표'!Y75,$BQ$7)),$BQ$6,IF(OR(COUNTIF('1.연간시수표'!Y75,$BR$9),COUNTIF('1.연간시수표'!Y75,$BR$7)),$BR$6,"_")))))))))))))))</f>
        <v>_</v>
      </c>
      <c r="Z75" s="148" t="str">
        <f>IF(OR(COUNTIF('1.연간시수표'!Z75,$AT$9),COUNTIF('1.연간시수표'!Z75,$AT$7)),$AT$6,IF(OR(COUNTIF('1.연간시수표'!Z75,$AU$9),COUNTIF('1.연간시수표'!Z75,$AU$7)),$AU$6,IF(OR(COUNTIF('1.연간시수표'!Z75,$AV$9),COUNTIF('1.연간시수표'!Z75,$AV$7)),$AV$6,IF(OR(COUNTIF('1.연간시수표'!Z75,$AW$9),COUNTIF('1.연간시수표'!Z75,$AW$7)),$AW$6,IF(OR(COUNTIF('1.연간시수표'!Z75,$AX$9),COUNTIF('1.연간시수표'!Z75,$AX$7)),$AX$6,IF(OR(COUNTIF('1.연간시수표'!Z75,$AY$9),COUNTIF('1.연간시수표'!Z75,$AY$7)),$AY$6,IF(OR(COUNTIF('1.연간시수표'!Z75,$AZ$9),COUNTIF('1.연간시수표'!Z75,$AZ$7)),$AZ$6,IF(OR(COUNTIF('1.연간시수표'!Z75,$BA$9),COUNTIF('1.연간시수표'!Z75,$BA$7)),$BA$6,IF(OR(COUNTIF('1.연간시수표'!Z75,$BB$9),COUNTIF('1.연간시수표'!Z75,$BB$7)),$BB$6,IF(OR(COUNTIF('1.연간시수표'!Z75,$BC$9),COUNTIF('1.연간시수표'!Z75,$BC$7)),$BC$6,IF(OR(COUNTIF('1.연간시수표'!Z75,$BF$9),COUNTIF('1.연간시수표'!Z75,$BF$7),COUNTIF('1.연간시수표'!Z75,$BG$9),COUNTIF('1.연간시수표'!Z75,$BG$7),COUNTIF('1.연간시수표'!Z75,$BH$9),COUNTIF('1.연간시수표'!Z75,$BH$7),COUNTIF('1.연간시수표'!Z75,$BI$9),COUNTIF('1.연간시수표'!Z75,$BI$7),COUNTIF('1.연간시수표'!Z75,$BJ$9),COUNTIF('1.연간시수표'!Z75,$BJ$7),COUNTIF('1.연간시수표'!Z75,$BK$9),COUNTIF('1.연간시수표'!Z75,$BK$7),COUNTIF('1.연간시수표'!Z75,$BL$9),COUNTIF('1.연간시수표'!Z75,$BL$7),COUNTIF('1.연간시수표'!Z75,$BM$9),COUNTIF('1.연간시수표'!Z75,$BM$7)),$BF$6,IF(OR(COUNTIF('1.연간시수표'!Z75,$BO$9),COUNTIF('1.연간시수표'!Z75,$BO$7)),$BO$6,IF(OR(COUNTIF('1.연간시수표'!Z75,$BP$9),COUNTIF('1.연간시수표'!Z75,$BP$7)),$BP$6,IF(OR(COUNTIF('1.연간시수표'!Z75,$BQ$9),COUNTIF('1.연간시수표'!Z75,$BQ$7)),$BQ$6,IF(OR(COUNTIF('1.연간시수표'!Z75,$BR$9),COUNTIF('1.연간시수표'!Z75,$BR$7)),$BR$6,"_")))))))))))))))</f>
        <v>_</v>
      </c>
      <c r="AA75" s="148" t="str">
        <f>IF(OR(COUNTIF('1.연간시수표'!AA75,$AT$9),COUNTIF('1.연간시수표'!AA75,$AT$7)),$AT$6,IF(OR(COUNTIF('1.연간시수표'!AA75,$AU$9),COUNTIF('1.연간시수표'!AA75,$AU$7)),$AU$6,IF(OR(COUNTIF('1.연간시수표'!AA75,$AV$9),COUNTIF('1.연간시수표'!AA75,$AV$7)),$AV$6,IF(OR(COUNTIF('1.연간시수표'!AA75,$AW$9),COUNTIF('1.연간시수표'!AA75,$AW$7)),$AW$6,IF(OR(COUNTIF('1.연간시수표'!AA75,$AX$9),COUNTIF('1.연간시수표'!AA75,$AX$7)),$AX$6,IF(OR(COUNTIF('1.연간시수표'!AA75,$AY$9),COUNTIF('1.연간시수표'!AA75,$AY$7)),$AY$6,IF(OR(COUNTIF('1.연간시수표'!AA75,$AZ$9),COUNTIF('1.연간시수표'!AA75,$AZ$7)),$AZ$6,IF(OR(COUNTIF('1.연간시수표'!AA75,$BA$9),COUNTIF('1.연간시수표'!AA75,$BA$7)),$BA$6,IF(OR(COUNTIF('1.연간시수표'!AA75,$BB$9),COUNTIF('1.연간시수표'!AA75,$BB$7)),$BB$6,IF(OR(COUNTIF('1.연간시수표'!AA75,$BC$9),COUNTIF('1.연간시수표'!AA75,$BC$7)),$BC$6,IF(OR(COUNTIF('1.연간시수표'!AA75,$BF$9),COUNTIF('1.연간시수표'!AA75,$BF$7),COUNTIF('1.연간시수표'!AA75,$BG$9),COUNTIF('1.연간시수표'!AA75,$BG$7),COUNTIF('1.연간시수표'!AA75,$BH$9),COUNTIF('1.연간시수표'!AA75,$BH$7),COUNTIF('1.연간시수표'!AA75,$BI$9),COUNTIF('1.연간시수표'!AA75,$BI$7),COUNTIF('1.연간시수표'!AA75,$BJ$9),COUNTIF('1.연간시수표'!AA75,$BJ$7),COUNTIF('1.연간시수표'!AA75,$BK$9),COUNTIF('1.연간시수표'!AA75,$BK$7),COUNTIF('1.연간시수표'!AA75,$BL$9),COUNTIF('1.연간시수표'!AA75,$BL$7),COUNTIF('1.연간시수표'!AA75,$BM$9),COUNTIF('1.연간시수표'!AA75,$BM$7)),$BF$6,IF(OR(COUNTIF('1.연간시수표'!AA75,$BO$9),COUNTIF('1.연간시수표'!AA75,$BO$7)),$BO$6,IF(OR(COUNTIF('1.연간시수표'!AA75,$BP$9),COUNTIF('1.연간시수표'!AA75,$BP$7)),$BP$6,IF(OR(COUNTIF('1.연간시수표'!AA75,$BQ$9),COUNTIF('1.연간시수표'!AA75,$BQ$7)),$BQ$6,IF(OR(COUNTIF('1.연간시수표'!AA75,$BR$9),COUNTIF('1.연간시수표'!AA75,$BR$7)),$BR$6,"_")))))))))))))))</f>
        <v>_</v>
      </c>
      <c r="AB75" s="148" t="str">
        <f>IF(OR(COUNTIF('1.연간시수표'!AB75,$AT$9),COUNTIF('1.연간시수표'!AB75,$AT$7)),$AT$6,IF(OR(COUNTIF('1.연간시수표'!AB75,$AU$9),COUNTIF('1.연간시수표'!AB75,$AU$7)),$AU$6,IF(OR(COUNTIF('1.연간시수표'!AB75,$AV$9),COUNTIF('1.연간시수표'!AB75,$AV$7)),$AV$6,IF(OR(COUNTIF('1.연간시수표'!AB75,$AW$9),COUNTIF('1.연간시수표'!AB75,$AW$7)),$AW$6,IF(OR(COUNTIF('1.연간시수표'!AB75,$AX$9),COUNTIF('1.연간시수표'!AB75,$AX$7)),$AX$6,IF(OR(COUNTIF('1.연간시수표'!AB75,$AY$9),COUNTIF('1.연간시수표'!AB75,$AY$7)),$AY$6,IF(OR(COUNTIF('1.연간시수표'!AB75,$AZ$9),COUNTIF('1.연간시수표'!AB75,$AZ$7)),$AZ$6,IF(OR(COUNTIF('1.연간시수표'!AB75,$BA$9),COUNTIF('1.연간시수표'!AB75,$BA$7)),$BA$6,IF(OR(COUNTIF('1.연간시수표'!AB75,$BB$9),COUNTIF('1.연간시수표'!AB75,$BB$7)),$BB$6,IF(OR(COUNTIF('1.연간시수표'!AB75,$BC$9),COUNTIF('1.연간시수표'!AB75,$BC$7)),$BC$6,IF(OR(COUNTIF('1.연간시수표'!AB75,$BF$9),COUNTIF('1.연간시수표'!AB75,$BF$7),COUNTIF('1.연간시수표'!AB75,$BG$9),COUNTIF('1.연간시수표'!AB75,$BG$7),COUNTIF('1.연간시수표'!AB75,$BH$9),COUNTIF('1.연간시수표'!AB75,$BH$7),COUNTIF('1.연간시수표'!AB75,$BI$9),COUNTIF('1.연간시수표'!AB75,$BI$7),COUNTIF('1.연간시수표'!AB75,$BJ$9),COUNTIF('1.연간시수표'!AB75,$BJ$7),COUNTIF('1.연간시수표'!AB75,$BK$9),COUNTIF('1.연간시수표'!AB75,$BK$7),COUNTIF('1.연간시수표'!AB75,$BL$9),COUNTIF('1.연간시수표'!AB75,$BL$7),COUNTIF('1.연간시수표'!AB75,$BM$9),COUNTIF('1.연간시수표'!AB75,$BM$7)),$BF$6,IF(OR(COUNTIF('1.연간시수표'!AB75,$BO$9),COUNTIF('1.연간시수표'!AB75,$BO$7)),$BO$6,IF(OR(COUNTIF('1.연간시수표'!AB75,$BP$9),COUNTIF('1.연간시수표'!AB75,$BP$7)),$BP$6,IF(OR(COUNTIF('1.연간시수표'!AB75,$BQ$9),COUNTIF('1.연간시수표'!AB75,$BQ$7)),$BQ$6,IF(OR(COUNTIF('1.연간시수표'!AB75,$BR$9),COUNTIF('1.연간시수표'!AB75,$BR$7)),$BR$6,"_")))))))))))))))</f>
        <v>_</v>
      </c>
      <c r="AC75" s="148" t="str">
        <f>IF(OR(COUNTIF('1.연간시수표'!AC75,$AT$9),COUNTIF('1.연간시수표'!AC75,$AT$7)),$AT$6,IF(OR(COUNTIF('1.연간시수표'!AC75,$AU$9),COUNTIF('1.연간시수표'!AC75,$AU$7)),$AU$6,IF(OR(COUNTIF('1.연간시수표'!AC75,$AV$9),COUNTIF('1.연간시수표'!AC75,$AV$7)),$AV$6,IF(OR(COUNTIF('1.연간시수표'!AC75,$AW$9),COUNTIF('1.연간시수표'!AC75,$AW$7)),$AW$6,IF(OR(COUNTIF('1.연간시수표'!AC75,$AX$9),COUNTIF('1.연간시수표'!AC75,$AX$7)),$AX$6,IF(OR(COUNTIF('1.연간시수표'!AC75,$AY$9),COUNTIF('1.연간시수표'!AC75,$AY$7)),$AY$6,IF(OR(COUNTIF('1.연간시수표'!AC75,$AZ$9),COUNTIF('1.연간시수표'!AC75,$AZ$7)),$AZ$6,IF(OR(COUNTIF('1.연간시수표'!AC75,$BA$9),COUNTIF('1.연간시수표'!AC75,$BA$7)),$BA$6,IF(OR(COUNTIF('1.연간시수표'!AC75,$BB$9),COUNTIF('1.연간시수표'!AC75,$BB$7)),$BB$6,IF(OR(COUNTIF('1.연간시수표'!AC75,$BC$9),COUNTIF('1.연간시수표'!AC75,$BC$7)),$BC$6,IF(OR(COUNTIF('1.연간시수표'!AC75,$BF$9),COUNTIF('1.연간시수표'!AC75,$BF$7),COUNTIF('1.연간시수표'!AC75,$BG$9),COUNTIF('1.연간시수표'!AC75,$BG$7),COUNTIF('1.연간시수표'!AC75,$BH$9),COUNTIF('1.연간시수표'!AC75,$BH$7),COUNTIF('1.연간시수표'!AC75,$BI$9),COUNTIF('1.연간시수표'!AC75,$BI$7),COUNTIF('1.연간시수표'!AC75,$BJ$9),COUNTIF('1.연간시수표'!AC75,$BJ$7),COUNTIF('1.연간시수표'!AC75,$BK$9),COUNTIF('1.연간시수표'!AC75,$BK$7),COUNTIF('1.연간시수표'!AC75,$BL$9),COUNTIF('1.연간시수표'!AC75,$BL$7),COUNTIF('1.연간시수표'!AC75,$BM$9),COUNTIF('1.연간시수표'!AC75,$BM$7)),$BF$6,IF(OR(COUNTIF('1.연간시수표'!AC75,$BO$9),COUNTIF('1.연간시수표'!AC75,$BO$7)),$BO$6,IF(OR(COUNTIF('1.연간시수표'!AC75,$BP$9),COUNTIF('1.연간시수표'!AC75,$BP$7)),$BP$6,IF(OR(COUNTIF('1.연간시수표'!AC75,$BQ$9),COUNTIF('1.연간시수표'!AC75,$BQ$7)),$BQ$6,IF(OR(COUNTIF('1.연간시수표'!AC75,$BR$9),COUNTIF('1.연간시수표'!AC75,$BR$7)),$BR$6,"_")))))))))))))))</f>
        <v>_</v>
      </c>
      <c r="AD75" s="148" t="str">
        <f>IF(OR(COUNTIF('1.연간시수표'!AD75,$AT$9),COUNTIF('1.연간시수표'!AD75,$AT$7)),$AT$6,IF(OR(COUNTIF('1.연간시수표'!AD75,$AU$9),COUNTIF('1.연간시수표'!AD75,$AU$7)),$AU$6,IF(OR(COUNTIF('1.연간시수표'!AD75,$AV$9),COUNTIF('1.연간시수표'!AD75,$AV$7)),$AV$6,IF(OR(COUNTIF('1.연간시수표'!AD75,$AW$9),COUNTIF('1.연간시수표'!AD75,$AW$7)),$AW$6,IF(OR(COUNTIF('1.연간시수표'!AD75,$AX$9),COUNTIF('1.연간시수표'!AD75,$AX$7)),$AX$6,IF(OR(COUNTIF('1.연간시수표'!AD75,$AY$9),COUNTIF('1.연간시수표'!AD75,$AY$7)),$AY$6,IF(OR(COUNTIF('1.연간시수표'!AD75,$AZ$9),COUNTIF('1.연간시수표'!AD75,$AZ$7)),$AZ$6,IF(OR(COUNTIF('1.연간시수표'!AD75,$BA$9),COUNTIF('1.연간시수표'!AD75,$BA$7)),$BA$6,IF(OR(COUNTIF('1.연간시수표'!AD75,$BB$9),COUNTIF('1.연간시수표'!AD75,$BB$7)),$BB$6,IF(OR(COUNTIF('1.연간시수표'!AD75,$BC$9),COUNTIF('1.연간시수표'!AD75,$BC$7)),$BC$6,IF(OR(COUNTIF('1.연간시수표'!AD75,$BF$9),COUNTIF('1.연간시수표'!AD75,$BF$7),COUNTIF('1.연간시수표'!AD75,$BG$9),COUNTIF('1.연간시수표'!AD75,$BG$7),COUNTIF('1.연간시수표'!AD75,$BH$9),COUNTIF('1.연간시수표'!AD75,$BH$7),COUNTIF('1.연간시수표'!AD75,$BI$9),COUNTIF('1.연간시수표'!AD75,$BI$7),COUNTIF('1.연간시수표'!AD75,$BJ$9),COUNTIF('1.연간시수표'!AD75,$BJ$7),COUNTIF('1.연간시수표'!AD75,$BK$9),COUNTIF('1.연간시수표'!AD75,$BK$7),COUNTIF('1.연간시수표'!AD75,$BL$9),COUNTIF('1.연간시수표'!AD75,$BL$7),COUNTIF('1.연간시수표'!AD75,$BM$9),COUNTIF('1.연간시수표'!AD75,$BM$7)),$BF$6,IF(OR(COUNTIF('1.연간시수표'!AD75,$BO$9),COUNTIF('1.연간시수표'!AD75,$BO$7)),$BO$6,IF(OR(COUNTIF('1.연간시수표'!AD75,$BP$9),COUNTIF('1.연간시수표'!AD75,$BP$7)),$BP$6,IF(OR(COUNTIF('1.연간시수표'!AD75,$BQ$9),COUNTIF('1.연간시수표'!AD75,$BQ$7)),$BQ$6,IF(OR(COUNTIF('1.연간시수표'!AD75,$BR$9),COUNTIF('1.연간시수표'!AD75,$BR$7)),$BR$6,"_")))))))))))))))</f>
        <v>_</v>
      </c>
      <c r="AE75" s="148" t="str">
        <f>IF(OR(COUNTIF('1.연간시수표'!AE75,$AT$9),COUNTIF('1.연간시수표'!AE75,$AT$7)),$AT$6,IF(OR(COUNTIF('1.연간시수표'!AE75,$AU$9),COUNTIF('1.연간시수표'!AE75,$AU$7)),$AU$6,IF(OR(COUNTIF('1.연간시수표'!AE75,$AV$9),COUNTIF('1.연간시수표'!AE75,$AV$7)),$AV$6,IF(OR(COUNTIF('1.연간시수표'!AE75,$AW$9),COUNTIF('1.연간시수표'!AE75,$AW$7)),$AW$6,IF(OR(COUNTIF('1.연간시수표'!AE75,$AX$9),COUNTIF('1.연간시수표'!AE75,$AX$7)),$AX$6,IF(OR(COUNTIF('1.연간시수표'!AE75,$AY$9),COUNTIF('1.연간시수표'!AE75,$AY$7)),$AY$6,IF(OR(COUNTIF('1.연간시수표'!AE75,$AZ$9),COUNTIF('1.연간시수표'!AE75,$AZ$7)),$AZ$6,IF(OR(COUNTIF('1.연간시수표'!AE75,$BA$9),COUNTIF('1.연간시수표'!AE75,$BA$7)),$BA$6,IF(OR(COUNTIF('1.연간시수표'!AE75,$BB$9),COUNTIF('1.연간시수표'!AE75,$BB$7)),$BB$6,IF(OR(COUNTIF('1.연간시수표'!AE75,$BC$9),COUNTIF('1.연간시수표'!AE75,$BC$7)),$BC$6,IF(OR(COUNTIF('1.연간시수표'!AE75,$BF$9),COUNTIF('1.연간시수표'!AE75,$BF$7),COUNTIF('1.연간시수표'!AE75,$BG$9),COUNTIF('1.연간시수표'!AE75,$BG$7),COUNTIF('1.연간시수표'!AE75,$BH$9),COUNTIF('1.연간시수표'!AE75,$BH$7),COUNTIF('1.연간시수표'!AE75,$BI$9),COUNTIF('1.연간시수표'!AE75,$BI$7),COUNTIF('1.연간시수표'!AE75,$BJ$9),COUNTIF('1.연간시수표'!AE75,$BJ$7),COUNTIF('1.연간시수표'!AE75,$BK$9),COUNTIF('1.연간시수표'!AE75,$BK$7),COUNTIF('1.연간시수표'!AE75,$BL$9),COUNTIF('1.연간시수표'!AE75,$BL$7),COUNTIF('1.연간시수표'!AE75,$BM$9),COUNTIF('1.연간시수표'!AE75,$BM$7)),$BF$6,IF(OR(COUNTIF('1.연간시수표'!AE75,$BO$9),COUNTIF('1.연간시수표'!AE75,$BO$7)),$BO$6,IF(OR(COUNTIF('1.연간시수표'!AE75,$BP$9),COUNTIF('1.연간시수표'!AE75,$BP$7)),$BP$6,IF(OR(COUNTIF('1.연간시수표'!AE75,$BQ$9),COUNTIF('1.연간시수표'!AE75,$BQ$7)),$BQ$6,IF(OR(COUNTIF('1.연간시수표'!AE75,$BR$9),COUNTIF('1.연간시수표'!AE75,$BR$7)),$BR$6,"_")))))))))))))))</f>
        <v>_</v>
      </c>
      <c r="AF75" s="148" t="str">
        <f>IF(OR(COUNTIF('1.연간시수표'!AF75,$AT$9),COUNTIF('1.연간시수표'!AF75,$AT$7)),$AT$6,IF(OR(COUNTIF('1.연간시수표'!AF75,$AU$9),COUNTIF('1.연간시수표'!AF75,$AU$7)),$AU$6,IF(OR(COUNTIF('1.연간시수표'!AF75,$AV$9),COUNTIF('1.연간시수표'!AF75,$AV$7)),$AV$6,IF(OR(COUNTIF('1.연간시수표'!AF75,$AW$9),COUNTIF('1.연간시수표'!AF75,$AW$7)),$AW$6,IF(OR(COUNTIF('1.연간시수표'!AF75,$AX$9),COUNTIF('1.연간시수표'!AF75,$AX$7)),$AX$6,IF(OR(COUNTIF('1.연간시수표'!AF75,$AY$9),COUNTIF('1.연간시수표'!AF75,$AY$7)),$AY$6,IF(OR(COUNTIF('1.연간시수표'!AF75,$AZ$9),COUNTIF('1.연간시수표'!AF75,$AZ$7)),$AZ$6,IF(OR(COUNTIF('1.연간시수표'!AF75,$BA$9),COUNTIF('1.연간시수표'!AF75,$BA$7)),$BA$6,IF(OR(COUNTIF('1.연간시수표'!AF75,$BB$9),COUNTIF('1.연간시수표'!AF75,$BB$7)),$BB$6,IF(OR(COUNTIF('1.연간시수표'!AF75,$BC$9),COUNTIF('1.연간시수표'!AF75,$BC$7)),$BC$6,IF(OR(COUNTIF('1.연간시수표'!AF75,$BF$9),COUNTIF('1.연간시수표'!AF75,$BF$7),COUNTIF('1.연간시수표'!AF75,$BG$9),COUNTIF('1.연간시수표'!AF75,$BG$7),COUNTIF('1.연간시수표'!AF75,$BH$9),COUNTIF('1.연간시수표'!AF75,$BH$7),COUNTIF('1.연간시수표'!AF75,$BI$9),COUNTIF('1.연간시수표'!AF75,$BI$7),COUNTIF('1.연간시수표'!AF75,$BJ$9),COUNTIF('1.연간시수표'!AF75,$BJ$7),COUNTIF('1.연간시수표'!AF75,$BK$9),COUNTIF('1.연간시수표'!AF75,$BK$7),COUNTIF('1.연간시수표'!AF75,$BL$9),COUNTIF('1.연간시수표'!AF75,$BL$7),COUNTIF('1.연간시수표'!AF75,$BM$9),COUNTIF('1.연간시수표'!AF75,$BM$7)),$BF$6,IF(OR(COUNTIF('1.연간시수표'!AF75,$BO$9),COUNTIF('1.연간시수표'!AF75,$BO$7)),$BO$6,IF(OR(COUNTIF('1.연간시수표'!AF75,$BP$9),COUNTIF('1.연간시수표'!AF75,$BP$7)),$BP$6,IF(OR(COUNTIF('1.연간시수표'!AF75,$BQ$9),COUNTIF('1.연간시수표'!AF75,$BQ$7)),$BQ$6,IF(OR(COUNTIF('1.연간시수표'!AF75,$BR$9),COUNTIF('1.연간시수표'!AF75,$BR$7)),$BR$6,"_")))))))))))))))</f>
        <v>_</v>
      </c>
      <c r="AG75" s="148" t="str">
        <f>IF(OR(COUNTIF('1.연간시수표'!AG75,$AT$9),COUNTIF('1.연간시수표'!AG75,$AT$7)),$AT$6,IF(OR(COUNTIF('1.연간시수표'!AG75,$AU$9),COUNTIF('1.연간시수표'!AG75,$AU$7)),$AU$6,IF(OR(COUNTIF('1.연간시수표'!AG75,$AV$9),COUNTIF('1.연간시수표'!AG75,$AV$7)),$AV$6,IF(OR(COUNTIF('1.연간시수표'!AG75,$AW$9),COUNTIF('1.연간시수표'!AG75,$AW$7)),$AW$6,IF(OR(COUNTIF('1.연간시수표'!AG75,$AX$9),COUNTIF('1.연간시수표'!AG75,$AX$7)),$AX$6,IF(OR(COUNTIF('1.연간시수표'!AG75,$AY$9),COUNTIF('1.연간시수표'!AG75,$AY$7)),$AY$6,IF(OR(COUNTIF('1.연간시수표'!AG75,$AZ$9),COUNTIF('1.연간시수표'!AG75,$AZ$7)),$AZ$6,IF(OR(COUNTIF('1.연간시수표'!AG75,$BA$9),COUNTIF('1.연간시수표'!AG75,$BA$7)),$BA$6,IF(OR(COUNTIF('1.연간시수표'!AG75,$BB$9),COUNTIF('1.연간시수표'!AG75,$BB$7)),$BB$6,IF(OR(COUNTIF('1.연간시수표'!AG75,$BC$9),COUNTIF('1.연간시수표'!AG75,$BC$7)),$BC$6,IF(OR(COUNTIF('1.연간시수표'!AG75,$BF$9),COUNTIF('1.연간시수표'!AG75,$BF$7),COUNTIF('1.연간시수표'!AG75,$BG$9),COUNTIF('1.연간시수표'!AG75,$BG$7),COUNTIF('1.연간시수표'!AG75,$BH$9),COUNTIF('1.연간시수표'!AG75,$BH$7),COUNTIF('1.연간시수표'!AG75,$BI$9),COUNTIF('1.연간시수표'!AG75,$BI$7),COUNTIF('1.연간시수표'!AG75,$BJ$9),COUNTIF('1.연간시수표'!AG75,$BJ$7),COUNTIF('1.연간시수표'!AG75,$BK$9),COUNTIF('1.연간시수표'!AG75,$BK$7),COUNTIF('1.연간시수표'!AG75,$BL$9),COUNTIF('1.연간시수표'!AG75,$BL$7),COUNTIF('1.연간시수표'!AG75,$BM$9),COUNTIF('1.연간시수표'!AG75,$BM$7)),$BF$6,IF(OR(COUNTIF('1.연간시수표'!AG75,$BO$9),COUNTIF('1.연간시수표'!AG75,$BO$7)),$BO$6,IF(OR(COUNTIF('1.연간시수표'!AG75,$BP$9),COUNTIF('1.연간시수표'!AG75,$BP$7)),$BP$6,IF(OR(COUNTIF('1.연간시수표'!AG75,$BQ$9),COUNTIF('1.연간시수표'!AG75,$BQ$7)),$BQ$6,IF(OR(COUNTIF('1.연간시수표'!AG75,$BR$9),COUNTIF('1.연간시수표'!AG75,$BR$7)),$BR$6,"_")))))))))))))))</f>
        <v>_</v>
      </c>
      <c r="AH75" s="148" t="str">
        <f>IF(OR(COUNTIF('1.연간시수표'!AH75,$AT$9),COUNTIF('1.연간시수표'!AH75,$AT$7)),$AT$6,IF(OR(COUNTIF('1.연간시수표'!AH75,$AU$9),COUNTIF('1.연간시수표'!AH75,$AU$7)),$AU$6,IF(OR(COUNTIF('1.연간시수표'!AH75,$AV$9),COUNTIF('1.연간시수표'!AH75,$AV$7)),$AV$6,IF(OR(COUNTIF('1.연간시수표'!AH75,$AW$9),COUNTIF('1.연간시수표'!AH75,$AW$7)),$AW$6,IF(OR(COUNTIF('1.연간시수표'!AH75,$AX$9),COUNTIF('1.연간시수표'!AH75,$AX$7)),$AX$6,IF(OR(COUNTIF('1.연간시수표'!AH75,$AY$9),COUNTIF('1.연간시수표'!AH75,$AY$7)),$AY$6,IF(OR(COUNTIF('1.연간시수표'!AH75,$AZ$9),COUNTIF('1.연간시수표'!AH75,$AZ$7)),$AZ$6,IF(OR(COUNTIF('1.연간시수표'!AH75,$BA$9),COUNTIF('1.연간시수표'!AH75,$BA$7)),$BA$6,IF(OR(COUNTIF('1.연간시수표'!AH75,$BB$9),COUNTIF('1.연간시수표'!AH75,$BB$7)),$BB$6,IF(OR(COUNTIF('1.연간시수표'!AH75,$BC$9),COUNTIF('1.연간시수표'!AH75,$BC$7)),$BC$6,IF(OR(COUNTIF('1.연간시수표'!AH75,$BF$9),COUNTIF('1.연간시수표'!AH75,$BF$7),COUNTIF('1.연간시수표'!AH75,$BG$9),COUNTIF('1.연간시수표'!AH75,$BG$7),COUNTIF('1.연간시수표'!AH75,$BH$9),COUNTIF('1.연간시수표'!AH75,$BH$7),COUNTIF('1.연간시수표'!AH75,$BI$9),COUNTIF('1.연간시수표'!AH75,$BI$7),COUNTIF('1.연간시수표'!AH75,$BJ$9),COUNTIF('1.연간시수표'!AH75,$BJ$7),COUNTIF('1.연간시수표'!AH75,$BK$9),COUNTIF('1.연간시수표'!AH75,$BK$7),COUNTIF('1.연간시수표'!AH75,$BL$9),COUNTIF('1.연간시수표'!AH75,$BL$7),COUNTIF('1.연간시수표'!AH75,$BM$9),COUNTIF('1.연간시수표'!AH75,$BM$7)),$BF$6,IF(OR(COUNTIF('1.연간시수표'!AH75,$BO$9),COUNTIF('1.연간시수표'!AH75,$BO$7)),$BO$6,IF(OR(COUNTIF('1.연간시수표'!AH75,$BP$9),COUNTIF('1.연간시수표'!AH75,$BP$7)),$BP$6,IF(OR(COUNTIF('1.연간시수표'!AH75,$BQ$9),COUNTIF('1.연간시수표'!AH75,$BQ$7)),$BQ$6,IF(OR(COUNTIF('1.연간시수표'!AH75,$BR$9),COUNTIF('1.연간시수표'!AH75,$BR$7)),$BR$6,"_")))))))))))))))</f>
        <v>_</v>
      </c>
      <c r="AI75" s="148" t="str">
        <f>IF(OR(COUNTIF('1.연간시수표'!AI75,$AT$9),COUNTIF('1.연간시수표'!AI75,$AT$7)),$AT$6,IF(OR(COUNTIF('1.연간시수표'!AI75,$AU$9),COUNTIF('1.연간시수표'!AI75,$AU$7)),$AU$6,IF(OR(COUNTIF('1.연간시수표'!AI75,$AV$9),COUNTIF('1.연간시수표'!AI75,$AV$7)),$AV$6,IF(OR(COUNTIF('1.연간시수표'!AI75,$AW$9),COUNTIF('1.연간시수표'!AI75,$AW$7)),$AW$6,IF(OR(COUNTIF('1.연간시수표'!AI75,$AX$9),COUNTIF('1.연간시수표'!AI75,$AX$7)),$AX$6,IF(OR(COUNTIF('1.연간시수표'!AI75,$AY$9),COUNTIF('1.연간시수표'!AI75,$AY$7)),$AY$6,IF(OR(COUNTIF('1.연간시수표'!AI75,$AZ$9),COUNTIF('1.연간시수표'!AI75,$AZ$7)),$AZ$6,IF(OR(COUNTIF('1.연간시수표'!AI75,$BA$9),COUNTIF('1.연간시수표'!AI75,$BA$7)),$BA$6,IF(OR(COUNTIF('1.연간시수표'!AI75,$BB$9),COUNTIF('1.연간시수표'!AI75,$BB$7)),$BB$6,IF(OR(COUNTIF('1.연간시수표'!AI75,$BC$9),COUNTIF('1.연간시수표'!AI75,$BC$7)),$BC$6,IF(OR(COUNTIF('1.연간시수표'!AI75,$BF$9),COUNTIF('1.연간시수표'!AI75,$BF$7),COUNTIF('1.연간시수표'!AI75,$BG$9),COUNTIF('1.연간시수표'!AI75,$BG$7),COUNTIF('1.연간시수표'!AI75,$BH$9),COUNTIF('1.연간시수표'!AI75,$BH$7),COUNTIF('1.연간시수표'!AI75,$BI$9),COUNTIF('1.연간시수표'!AI75,$BI$7),COUNTIF('1.연간시수표'!AI75,$BJ$9),COUNTIF('1.연간시수표'!AI75,$BJ$7),COUNTIF('1.연간시수표'!AI75,$BK$9),COUNTIF('1.연간시수표'!AI75,$BK$7),COUNTIF('1.연간시수표'!AI75,$BL$9),COUNTIF('1.연간시수표'!AI75,$BL$7),COUNTIF('1.연간시수표'!AI75,$BM$9),COUNTIF('1.연간시수표'!AI75,$BM$7)),$BF$6,IF(OR(COUNTIF('1.연간시수표'!AI75,$BO$9),COUNTIF('1.연간시수표'!AI75,$BO$7)),$BO$6,IF(OR(COUNTIF('1.연간시수표'!AI75,$BP$9),COUNTIF('1.연간시수표'!AI75,$BP$7)),$BP$6,IF(OR(COUNTIF('1.연간시수표'!AI75,$BQ$9),COUNTIF('1.연간시수표'!AI75,$BQ$7)),$BQ$6,IF(OR(COUNTIF('1.연간시수표'!AI75,$BR$9),COUNTIF('1.연간시수표'!AI75,$BR$7)),$BR$6,"_")))))))))))))))</f>
        <v>_</v>
      </c>
      <c r="AJ75" s="148" t="str">
        <f>IF(OR(COUNTIF('1.연간시수표'!AJ75,$AT$9),COUNTIF('1.연간시수표'!AJ75,$AT$7)),$AT$6,IF(OR(COUNTIF('1.연간시수표'!AJ75,$AU$9),COUNTIF('1.연간시수표'!AJ75,$AU$7)),$AU$6,IF(OR(COUNTIF('1.연간시수표'!AJ75,$AV$9),COUNTIF('1.연간시수표'!AJ75,$AV$7)),$AV$6,IF(OR(COUNTIF('1.연간시수표'!AJ75,$AW$9),COUNTIF('1.연간시수표'!AJ75,$AW$7)),$AW$6,IF(OR(COUNTIF('1.연간시수표'!AJ75,$AX$9),COUNTIF('1.연간시수표'!AJ75,$AX$7)),$AX$6,IF(OR(COUNTIF('1.연간시수표'!AJ75,$AY$9),COUNTIF('1.연간시수표'!AJ75,$AY$7)),$AY$6,IF(OR(COUNTIF('1.연간시수표'!AJ75,$AZ$9),COUNTIF('1.연간시수표'!AJ75,$AZ$7)),$AZ$6,IF(OR(COUNTIF('1.연간시수표'!AJ75,$BA$9),COUNTIF('1.연간시수표'!AJ75,$BA$7)),$BA$6,IF(OR(COUNTIF('1.연간시수표'!AJ75,$BB$9),COUNTIF('1.연간시수표'!AJ75,$BB$7)),$BB$6,IF(OR(COUNTIF('1.연간시수표'!AJ75,$BC$9),COUNTIF('1.연간시수표'!AJ75,$BC$7)),$BC$6,IF(OR(COUNTIF('1.연간시수표'!AJ75,$BF$9),COUNTIF('1.연간시수표'!AJ75,$BF$7),COUNTIF('1.연간시수표'!AJ75,$BG$9),COUNTIF('1.연간시수표'!AJ75,$BG$7),COUNTIF('1.연간시수표'!AJ75,$BH$9),COUNTIF('1.연간시수표'!AJ75,$BH$7),COUNTIF('1.연간시수표'!AJ75,$BI$9),COUNTIF('1.연간시수표'!AJ75,$BI$7),COUNTIF('1.연간시수표'!AJ75,$BJ$9),COUNTIF('1.연간시수표'!AJ75,$BJ$7),COUNTIF('1.연간시수표'!AJ75,$BK$9),COUNTIF('1.연간시수표'!AJ75,$BK$7),COUNTIF('1.연간시수표'!AJ75,$BL$9),COUNTIF('1.연간시수표'!AJ75,$BL$7),COUNTIF('1.연간시수표'!AJ75,$BM$9),COUNTIF('1.연간시수표'!AJ75,$BM$7)),$BF$6,IF(OR(COUNTIF('1.연간시수표'!AJ75,$BO$9),COUNTIF('1.연간시수표'!AJ75,$BO$7)),$BO$6,IF(OR(COUNTIF('1.연간시수표'!AJ75,$BP$9),COUNTIF('1.연간시수표'!AJ75,$BP$7)),$BP$6,IF(OR(COUNTIF('1.연간시수표'!AJ75,$BQ$9),COUNTIF('1.연간시수표'!AJ75,$BQ$7)),$BQ$6,IF(OR(COUNTIF('1.연간시수표'!AJ75,$BR$9),COUNTIF('1.연간시수표'!AJ75,$BR$7)),$BR$6,"_")))))))))))))))</f>
        <v>_</v>
      </c>
      <c r="AK75" s="148" t="str">
        <f>IF(OR(COUNTIF('1.연간시수표'!AK75,$AT$9),COUNTIF('1.연간시수표'!AK75,$AT$7)),$AT$6,IF(OR(COUNTIF('1.연간시수표'!AK75,$AU$9),COUNTIF('1.연간시수표'!AK75,$AU$7)),$AU$6,IF(OR(COUNTIF('1.연간시수표'!AK75,$AV$9),COUNTIF('1.연간시수표'!AK75,$AV$7)),$AV$6,IF(OR(COUNTIF('1.연간시수표'!AK75,$AW$9),COUNTIF('1.연간시수표'!AK75,$AW$7)),$AW$6,IF(OR(COUNTIF('1.연간시수표'!AK75,$AX$9),COUNTIF('1.연간시수표'!AK75,$AX$7)),$AX$6,IF(OR(COUNTIF('1.연간시수표'!AK75,$AY$9),COUNTIF('1.연간시수표'!AK75,$AY$7)),$AY$6,IF(OR(COUNTIF('1.연간시수표'!AK75,$AZ$9),COUNTIF('1.연간시수표'!AK75,$AZ$7)),$AZ$6,IF(OR(COUNTIF('1.연간시수표'!AK75,$BA$9),COUNTIF('1.연간시수표'!AK75,$BA$7)),$BA$6,IF(OR(COUNTIF('1.연간시수표'!AK75,$BB$9),COUNTIF('1.연간시수표'!AK75,$BB$7)),$BB$6,IF(OR(COUNTIF('1.연간시수표'!AK75,$BC$9),COUNTIF('1.연간시수표'!AK75,$BC$7)),$BC$6,IF(OR(COUNTIF('1.연간시수표'!AK75,$BF$9),COUNTIF('1.연간시수표'!AK75,$BF$7),COUNTIF('1.연간시수표'!AK75,$BG$9),COUNTIF('1.연간시수표'!AK75,$BG$7),COUNTIF('1.연간시수표'!AK75,$BH$9),COUNTIF('1.연간시수표'!AK75,$BH$7),COUNTIF('1.연간시수표'!AK75,$BI$9),COUNTIF('1.연간시수표'!AK75,$BI$7),COUNTIF('1.연간시수표'!AK75,$BJ$9),COUNTIF('1.연간시수표'!AK75,$BJ$7),COUNTIF('1.연간시수표'!AK75,$BK$9),COUNTIF('1.연간시수표'!AK75,$BK$7),COUNTIF('1.연간시수표'!AK75,$BL$9),COUNTIF('1.연간시수표'!AK75,$BL$7),COUNTIF('1.연간시수표'!AK75,$BM$9),COUNTIF('1.연간시수표'!AK75,$BM$7)),$BF$6,IF(OR(COUNTIF('1.연간시수표'!AK75,$BO$9),COUNTIF('1.연간시수표'!AK75,$BO$7)),$BO$6,IF(OR(COUNTIF('1.연간시수표'!AK75,$BP$9),COUNTIF('1.연간시수표'!AK75,$BP$7)),$BP$6,IF(OR(COUNTIF('1.연간시수표'!AK75,$BQ$9),COUNTIF('1.연간시수표'!AK75,$BQ$7)),$BQ$6,IF(OR(COUNTIF('1.연간시수표'!AK75,$BR$9),COUNTIF('1.연간시수표'!AK75,$BR$7)),$BR$6,"_")))))))))))))))</f>
        <v>_</v>
      </c>
      <c r="AL75" s="148" t="str">
        <f>IF(OR(COUNTIF('1.연간시수표'!AL75,$AT$9),COUNTIF('1.연간시수표'!AL75,$AT$7)),$AT$6,IF(OR(COUNTIF('1.연간시수표'!AL75,$AU$9),COUNTIF('1.연간시수표'!AL75,$AU$7)),$AU$6,IF(OR(COUNTIF('1.연간시수표'!AL75,$AV$9),COUNTIF('1.연간시수표'!AL75,$AV$7)),$AV$6,IF(OR(COUNTIF('1.연간시수표'!AL75,$AW$9),COUNTIF('1.연간시수표'!AL75,$AW$7)),$AW$6,IF(OR(COUNTIF('1.연간시수표'!AL75,$AX$9),COUNTIF('1.연간시수표'!AL75,$AX$7)),$AX$6,IF(OR(COUNTIF('1.연간시수표'!AL75,$AY$9),COUNTIF('1.연간시수표'!AL75,$AY$7)),$AY$6,IF(OR(COUNTIF('1.연간시수표'!AL75,$AZ$9),COUNTIF('1.연간시수표'!AL75,$AZ$7)),$AZ$6,IF(OR(COUNTIF('1.연간시수표'!AL75,$BA$9),COUNTIF('1.연간시수표'!AL75,$BA$7)),$BA$6,IF(OR(COUNTIF('1.연간시수표'!AL75,$BB$9),COUNTIF('1.연간시수표'!AL75,$BB$7)),$BB$6,IF(OR(COUNTIF('1.연간시수표'!AL75,$BC$9),COUNTIF('1.연간시수표'!AL75,$BC$7)),$BC$6,IF(OR(COUNTIF('1.연간시수표'!AL75,$BF$9),COUNTIF('1.연간시수표'!AL75,$BF$7),COUNTIF('1.연간시수표'!AL75,$BG$9),COUNTIF('1.연간시수표'!AL75,$BG$7),COUNTIF('1.연간시수표'!AL75,$BH$9),COUNTIF('1.연간시수표'!AL75,$BH$7),COUNTIF('1.연간시수표'!AL75,$BI$9),COUNTIF('1.연간시수표'!AL75,$BI$7),COUNTIF('1.연간시수표'!AL75,$BJ$9),COUNTIF('1.연간시수표'!AL75,$BJ$7),COUNTIF('1.연간시수표'!AL75,$BK$9),COUNTIF('1.연간시수표'!AL75,$BK$7),COUNTIF('1.연간시수표'!AL75,$BL$9),COUNTIF('1.연간시수표'!AL75,$BL$7),COUNTIF('1.연간시수표'!AL75,$BM$9),COUNTIF('1.연간시수표'!AL75,$BM$7)),$BF$6,IF(OR(COUNTIF('1.연간시수표'!AL75,$BO$9),COUNTIF('1.연간시수표'!AL75,$BO$7)),$BO$6,IF(OR(COUNTIF('1.연간시수표'!AL75,$BP$9),COUNTIF('1.연간시수표'!AL75,$BP$7)),$BP$6,IF(OR(COUNTIF('1.연간시수표'!AL75,$BQ$9),COUNTIF('1.연간시수표'!AL75,$BQ$7)),$BQ$6,IF(OR(COUNTIF('1.연간시수표'!AL75,$BR$9),COUNTIF('1.연간시수표'!AL75,$BR$7)),$BR$6,"_")))))))))))))))</f>
        <v>_</v>
      </c>
      <c r="AM75" s="148" t="str">
        <f>IF(OR(COUNTIF('1.연간시수표'!AM75,$AT$9),COUNTIF('1.연간시수표'!AM75,$AT$7)),$AT$6,IF(OR(COUNTIF('1.연간시수표'!AM75,$AU$9),COUNTIF('1.연간시수표'!AM75,$AU$7)),$AU$6,IF(OR(COUNTIF('1.연간시수표'!AM75,$AV$9),COUNTIF('1.연간시수표'!AM75,$AV$7)),$AV$6,IF(OR(COUNTIF('1.연간시수표'!AM75,$AW$9),COUNTIF('1.연간시수표'!AM75,$AW$7)),$AW$6,IF(OR(COUNTIF('1.연간시수표'!AM75,$AX$9),COUNTIF('1.연간시수표'!AM75,$AX$7)),$AX$6,IF(OR(COUNTIF('1.연간시수표'!AM75,$AY$9),COUNTIF('1.연간시수표'!AM75,$AY$7)),$AY$6,IF(OR(COUNTIF('1.연간시수표'!AM75,$AZ$9),COUNTIF('1.연간시수표'!AM75,$AZ$7)),$AZ$6,IF(OR(COUNTIF('1.연간시수표'!AM75,$BA$9),COUNTIF('1.연간시수표'!AM75,$BA$7)),$BA$6,IF(OR(COUNTIF('1.연간시수표'!AM75,$BB$9),COUNTIF('1.연간시수표'!AM75,$BB$7)),$BB$6,IF(OR(COUNTIF('1.연간시수표'!AM75,$BC$9),COUNTIF('1.연간시수표'!AM75,$BC$7)),$BC$6,IF(OR(COUNTIF('1.연간시수표'!AM75,$BF$9),COUNTIF('1.연간시수표'!AM75,$BF$7),COUNTIF('1.연간시수표'!AM75,$BG$9),COUNTIF('1.연간시수표'!AM75,$BG$7),COUNTIF('1.연간시수표'!AM75,$BH$9),COUNTIF('1.연간시수표'!AM75,$BH$7),COUNTIF('1.연간시수표'!AM75,$BI$9),COUNTIF('1.연간시수표'!AM75,$BI$7),COUNTIF('1.연간시수표'!AM75,$BJ$9),COUNTIF('1.연간시수표'!AM75,$BJ$7),COUNTIF('1.연간시수표'!AM75,$BK$9),COUNTIF('1.연간시수표'!AM75,$BK$7),COUNTIF('1.연간시수표'!AM75,$BL$9),COUNTIF('1.연간시수표'!AM75,$BL$7),COUNTIF('1.연간시수표'!AM75,$BM$9),COUNTIF('1.연간시수표'!AM75,$BM$7)),$BF$6,IF(OR(COUNTIF('1.연간시수표'!AM75,$BO$9),COUNTIF('1.연간시수표'!AM75,$BO$7)),$BO$6,IF(OR(COUNTIF('1.연간시수표'!AM75,$BP$9),COUNTIF('1.연간시수표'!AM75,$BP$7)),$BP$6,IF(OR(COUNTIF('1.연간시수표'!AM75,$BQ$9),COUNTIF('1.연간시수표'!AM75,$BQ$7)),$BQ$6,IF(OR(COUNTIF('1.연간시수표'!AM75,$BR$9),COUNTIF('1.연간시수표'!AM75,$BR$7)),$BR$6,"_")))))))))))))))</f>
        <v>_</v>
      </c>
      <c r="AN75" s="148" t="str">
        <f>IF(OR(COUNTIF('1.연간시수표'!AN75,$AT$9),COUNTIF('1.연간시수표'!AN75,$AT$7)),$AT$6,IF(OR(COUNTIF('1.연간시수표'!AN75,$AU$9),COUNTIF('1.연간시수표'!AN75,$AU$7)),$AU$6,IF(OR(COUNTIF('1.연간시수표'!AN75,$AV$9),COUNTIF('1.연간시수표'!AN75,$AV$7)),$AV$6,IF(OR(COUNTIF('1.연간시수표'!AN75,$AW$9),COUNTIF('1.연간시수표'!AN75,$AW$7)),$AW$6,IF(OR(COUNTIF('1.연간시수표'!AN75,$AX$9),COUNTIF('1.연간시수표'!AN75,$AX$7)),$AX$6,IF(OR(COUNTIF('1.연간시수표'!AN75,$AY$9),COUNTIF('1.연간시수표'!AN75,$AY$7)),$AY$6,IF(OR(COUNTIF('1.연간시수표'!AN75,$AZ$9),COUNTIF('1.연간시수표'!AN75,$AZ$7)),$AZ$6,IF(OR(COUNTIF('1.연간시수표'!AN75,$BA$9),COUNTIF('1.연간시수표'!AN75,$BA$7)),$BA$6,IF(OR(COUNTIF('1.연간시수표'!AN75,$BB$9),COUNTIF('1.연간시수표'!AN75,$BB$7)),$BB$6,IF(OR(COUNTIF('1.연간시수표'!AN75,$BC$9),COUNTIF('1.연간시수표'!AN75,$BC$7)),$BC$6,IF(OR(COUNTIF('1.연간시수표'!AN75,$BF$9),COUNTIF('1.연간시수표'!AN75,$BF$7),COUNTIF('1.연간시수표'!AN75,$BG$9),COUNTIF('1.연간시수표'!AN75,$BG$7),COUNTIF('1.연간시수표'!AN75,$BH$9),COUNTIF('1.연간시수표'!AN75,$BH$7),COUNTIF('1.연간시수표'!AN75,$BI$9),COUNTIF('1.연간시수표'!AN75,$BI$7),COUNTIF('1.연간시수표'!AN75,$BJ$9),COUNTIF('1.연간시수표'!AN75,$BJ$7),COUNTIF('1.연간시수표'!AN75,$BK$9),COUNTIF('1.연간시수표'!AN75,$BK$7),COUNTIF('1.연간시수표'!AN75,$BL$9),COUNTIF('1.연간시수표'!AN75,$BL$7),COUNTIF('1.연간시수표'!AN75,$BM$9),COUNTIF('1.연간시수표'!AN75,$BM$7)),$BF$6,IF(OR(COUNTIF('1.연간시수표'!AN75,$BO$9),COUNTIF('1.연간시수표'!AN75,$BO$7)),$BO$6,IF(OR(COUNTIF('1.연간시수표'!AN75,$BP$9),COUNTIF('1.연간시수표'!AN75,$BP$7)),$BP$6,IF(OR(COUNTIF('1.연간시수표'!AN75,$BQ$9),COUNTIF('1.연간시수표'!AN75,$BQ$7)),$BQ$6,IF(OR(COUNTIF('1.연간시수표'!AN75,$BR$9),COUNTIF('1.연간시수표'!AN75,$BR$7)),$BR$6,"_")))))))))))))))</f>
        <v>_</v>
      </c>
      <c r="AO75" s="148" t="str">
        <f>IF(OR(COUNTIF('1.연간시수표'!AO75,$AT$9),COUNTIF('1.연간시수표'!AO75,$AT$7)),$AT$6,IF(OR(COUNTIF('1.연간시수표'!AO75,$AU$9),COUNTIF('1.연간시수표'!AO75,$AU$7)),$AU$6,IF(OR(COUNTIF('1.연간시수표'!AO75,$AV$9),COUNTIF('1.연간시수표'!AO75,$AV$7)),$AV$6,IF(OR(COUNTIF('1.연간시수표'!AO75,$AW$9),COUNTIF('1.연간시수표'!AO75,$AW$7)),$AW$6,IF(OR(COUNTIF('1.연간시수표'!AO75,$AX$9),COUNTIF('1.연간시수표'!AO75,$AX$7)),$AX$6,IF(OR(COUNTIF('1.연간시수표'!AO75,$AY$9),COUNTIF('1.연간시수표'!AO75,$AY$7)),$AY$6,IF(OR(COUNTIF('1.연간시수표'!AO75,$AZ$9),COUNTIF('1.연간시수표'!AO75,$AZ$7)),$AZ$6,IF(OR(COUNTIF('1.연간시수표'!AO75,$BA$9),COUNTIF('1.연간시수표'!AO75,$BA$7)),$BA$6,IF(OR(COUNTIF('1.연간시수표'!AO75,$BB$9),COUNTIF('1.연간시수표'!AO75,$BB$7)),$BB$6,IF(OR(COUNTIF('1.연간시수표'!AO75,$BC$9),COUNTIF('1.연간시수표'!AO75,$BC$7)),$BC$6,IF(OR(COUNTIF('1.연간시수표'!AO75,$BF$9),COUNTIF('1.연간시수표'!AO75,$BF$7),COUNTIF('1.연간시수표'!AO75,$BG$9),COUNTIF('1.연간시수표'!AO75,$BG$7),COUNTIF('1.연간시수표'!AO75,$BH$9),COUNTIF('1.연간시수표'!AO75,$BH$7),COUNTIF('1.연간시수표'!AO75,$BI$9),COUNTIF('1.연간시수표'!AO75,$BI$7),COUNTIF('1.연간시수표'!AO75,$BJ$9),COUNTIF('1.연간시수표'!AO75,$BJ$7),COUNTIF('1.연간시수표'!AO75,$BK$9),COUNTIF('1.연간시수표'!AO75,$BK$7),COUNTIF('1.연간시수표'!AO75,$BL$9),COUNTIF('1.연간시수표'!AO75,$BL$7),COUNTIF('1.연간시수표'!AO75,$BM$9),COUNTIF('1.연간시수표'!AO75,$BM$7)),$BF$6,IF(OR(COUNTIF('1.연간시수표'!AO75,$BO$9),COUNTIF('1.연간시수표'!AO75,$BO$7)),$BO$6,IF(OR(COUNTIF('1.연간시수표'!AO75,$BP$9),COUNTIF('1.연간시수표'!AO75,$BP$7)),$BP$6,IF(OR(COUNTIF('1.연간시수표'!AO75,$BQ$9),COUNTIF('1.연간시수표'!AO75,$BQ$7)),$BQ$6,IF(OR(COUNTIF('1.연간시수표'!AO75,$BR$9),COUNTIF('1.연간시수표'!AO75,$BR$7)),$BR$6,"_")))))))))))))))</f>
        <v>_</v>
      </c>
      <c r="AP75" s="148" t="str">
        <f>IF(OR(COUNTIF('1.연간시수표'!AP75,$AT$9),COUNTIF('1.연간시수표'!AP75,$AT$7)),$AT$6,IF(OR(COUNTIF('1.연간시수표'!AP75,$AU$9),COUNTIF('1.연간시수표'!AP75,$AU$7)),$AU$6,IF(OR(COUNTIF('1.연간시수표'!AP75,$AV$9),COUNTIF('1.연간시수표'!AP75,$AV$7)),$AV$6,IF(OR(COUNTIF('1.연간시수표'!AP75,$AW$9),COUNTIF('1.연간시수표'!AP75,$AW$7)),$AW$6,IF(OR(COUNTIF('1.연간시수표'!AP75,$AX$9),COUNTIF('1.연간시수표'!AP75,$AX$7)),$AX$6,IF(OR(COUNTIF('1.연간시수표'!AP75,$AY$9),COUNTIF('1.연간시수표'!AP75,$AY$7)),$AY$6,IF(OR(COUNTIF('1.연간시수표'!AP75,$AZ$9),COUNTIF('1.연간시수표'!AP75,$AZ$7)),$AZ$6,IF(OR(COUNTIF('1.연간시수표'!AP75,$BA$9),COUNTIF('1.연간시수표'!AP75,$BA$7)),$BA$6,IF(OR(COUNTIF('1.연간시수표'!AP75,$BB$9),COUNTIF('1.연간시수표'!AP75,$BB$7)),$BB$6,IF(OR(COUNTIF('1.연간시수표'!AP75,$BC$9),COUNTIF('1.연간시수표'!AP75,$BC$7)),$BC$6,IF(OR(COUNTIF('1.연간시수표'!AP75,$BF$9),COUNTIF('1.연간시수표'!AP75,$BF$7),COUNTIF('1.연간시수표'!AP75,$BG$9),COUNTIF('1.연간시수표'!AP75,$BG$7),COUNTIF('1.연간시수표'!AP75,$BH$9),COUNTIF('1.연간시수표'!AP75,$BH$7),COUNTIF('1.연간시수표'!AP75,$BI$9),COUNTIF('1.연간시수표'!AP75,$BI$7),COUNTIF('1.연간시수표'!AP75,$BJ$9),COUNTIF('1.연간시수표'!AP75,$BJ$7),COUNTIF('1.연간시수표'!AP75,$BK$9),COUNTIF('1.연간시수표'!AP75,$BK$7),COUNTIF('1.연간시수표'!AP75,$BL$9),COUNTIF('1.연간시수표'!AP75,$BL$7),COUNTIF('1.연간시수표'!AP75,$BM$9),COUNTIF('1.연간시수표'!AP75,$BM$7)),$BF$6,IF(OR(COUNTIF('1.연간시수표'!AP75,$BO$9),COUNTIF('1.연간시수표'!AP75,$BO$7)),$BO$6,IF(OR(COUNTIF('1.연간시수표'!AP75,$BP$9),COUNTIF('1.연간시수표'!AP75,$BP$7)),$BP$6,IF(OR(COUNTIF('1.연간시수표'!AP75,$BQ$9),COUNTIF('1.연간시수표'!AP75,$BQ$7)),$BQ$6,IF(OR(COUNTIF('1.연간시수표'!AP75,$BR$9),COUNTIF('1.연간시수표'!AP75,$BR$7)),$BR$6,"_")))))))))))))))</f>
        <v>_</v>
      </c>
      <c r="AQ75" s="148" t="str">
        <f>IF(OR(COUNTIF('1.연간시수표'!AQ75,$AT$9),COUNTIF('1.연간시수표'!AQ75,$AT$7)),$AT$6,IF(OR(COUNTIF('1.연간시수표'!AQ75,$AU$9),COUNTIF('1.연간시수표'!AQ75,$AU$7)),$AU$6,IF(OR(COUNTIF('1.연간시수표'!AQ75,$AV$9),COUNTIF('1.연간시수표'!AQ75,$AV$7)),$AV$6,IF(OR(COUNTIF('1.연간시수표'!AQ75,$AW$9),COUNTIF('1.연간시수표'!AQ75,$AW$7)),$AW$6,IF(OR(COUNTIF('1.연간시수표'!AQ75,$AX$9),COUNTIF('1.연간시수표'!AQ75,$AX$7)),$AX$6,IF(OR(COUNTIF('1.연간시수표'!AQ75,$AY$9),COUNTIF('1.연간시수표'!AQ75,$AY$7)),$AY$6,IF(OR(COUNTIF('1.연간시수표'!AQ75,$AZ$9),COUNTIF('1.연간시수표'!AQ75,$AZ$7)),$AZ$6,IF(OR(COUNTIF('1.연간시수표'!AQ75,$BA$9),COUNTIF('1.연간시수표'!AQ75,$BA$7)),$BA$6,IF(OR(COUNTIF('1.연간시수표'!AQ75,$BB$9),COUNTIF('1.연간시수표'!AQ75,$BB$7)),$BB$6,IF(OR(COUNTIF('1.연간시수표'!AQ75,$BC$9),COUNTIF('1.연간시수표'!AQ75,$BC$7)),$BC$6,IF(OR(COUNTIF('1.연간시수표'!AQ75,$BF$9),COUNTIF('1.연간시수표'!AQ75,$BF$7),COUNTIF('1.연간시수표'!AQ75,$BG$9),COUNTIF('1.연간시수표'!AQ75,$BG$7),COUNTIF('1.연간시수표'!AQ75,$BH$9),COUNTIF('1.연간시수표'!AQ75,$BH$7),COUNTIF('1.연간시수표'!AQ75,$BI$9),COUNTIF('1.연간시수표'!AQ75,$BI$7),COUNTIF('1.연간시수표'!AQ75,$BJ$9),COUNTIF('1.연간시수표'!AQ75,$BJ$7),COUNTIF('1.연간시수표'!AQ75,$BK$9),COUNTIF('1.연간시수표'!AQ75,$BK$7),COUNTIF('1.연간시수표'!AQ75,$BL$9),COUNTIF('1.연간시수표'!AQ75,$BL$7),COUNTIF('1.연간시수표'!AQ75,$BM$9),COUNTIF('1.연간시수표'!AQ75,$BM$7)),$BF$6,IF(OR(COUNTIF('1.연간시수표'!AQ75,$BO$9),COUNTIF('1.연간시수표'!AQ75,$BO$7)),$BO$6,IF(OR(COUNTIF('1.연간시수표'!AQ75,$BP$9),COUNTIF('1.연간시수표'!AQ75,$BP$7)),$BP$6,IF(OR(COUNTIF('1.연간시수표'!AQ75,$BQ$9),COUNTIF('1.연간시수표'!AQ75,$BQ$7)),$BQ$6,IF(OR(COUNTIF('1.연간시수표'!AQ75,$BR$9),COUNTIF('1.연간시수표'!AQ75,$BR$7)),$BR$6,"_")))))))))))))))</f>
        <v>_</v>
      </c>
      <c r="AR75" s="148" t="str">
        <f>IF(OR(COUNTIF('1.연간시수표'!AR75,$AT$9),COUNTIF('1.연간시수표'!AR75,$AT$7)),$AT$6,IF(OR(COUNTIF('1.연간시수표'!AR75,$AU$9),COUNTIF('1.연간시수표'!AR75,$AU$7)),$AU$6,IF(OR(COUNTIF('1.연간시수표'!AR75,$AV$9),COUNTIF('1.연간시수표'!AR75,$AV$7)),$AV$6,IF(OR(COUNTIF('1.연간시수표'!AR75,$AW$9),COUNTIF('1.연간시수표'!AR75,$AW$7)),$AW$6,IF(OR(COUNTIF('1.연간시수표'!AR75,$AX$9),COUNTIF('1.연간시수표'!AR75,$AX$7)),$AX$6,IF(OR(COUNTIF('1.연간시수표'!AR75,$AY$9),COUNTIF('1.연간시수표'!AR75,$AY$7)),$AY$6,IF(OR(COUNTIF('1.연간시수표'!AR75,$AZ$9),COUNTIF('1.연간시수표'!AR75,$AZ$7)),$AZ$6,IF(OR(COUNTIF('1.연간시수표'!AR75,$BA$9),COUNTIF('1.연간시수표'!AR75,$BA$7)),$BA$6,IF(OR(COUNTIF('1.연간시수표'!AR75,$BB$9),COUNTIF('1.연간시수표'!AR75,$BB$7)),$BB$6,IF(OR(COUNTIF('1.연간시수표'!AR75,$BC$9),COUNTIF('1.연간시수표'!AR75,$BC$7)),$BC$6,IF(OR(COUNTIF('1.연간시수표'!AR75,$BF$9),COUNTIF('1.연간시수표'!AR75,$BF$7),COUNTIF('1.연간시수표'!AR75,$BG$9),COUNTIF('1.연간시수표'!AR75,$BG$7),COUNTIF('1.연간시수표'!AR75,$BH$9),COUNTIF('1.연간시수표'!AR75,$BH$7),COUNTIF('1.연간시수표'!AR75,$BI$9),COUNTIF('1.연간시수표'!AR75,$BI$7),COUNTIF('1.연간시수표'!AR75,$BJ$9),COUNTIF('1.연간시수표'!AR75,$BJ$7),COUNTIF('1.연간시수표'!AR75,$BK$9),COUNTIF('1.연간시수표'!AR75,$BK$7),COUNTIF('1.연간시수표'!AR75,$BL$9),COUNTIF('1.연간시수표'!AR75,$BL$7),COUNTIF('1.연간시수표'!AR75,$BM$9),COUNTIF('1.연간시수표'!AR75,$BM$7)),$BF$6,IF(OR(COUNTIF('1.연간시수표'!AR75,$BO$9),COUNTIF('1.연간시수표'!AR75,$BO$7)),$BO$6,IF(OR(COUNTIF('1.연간시수표'!AR75,$BP$9),COUNTIF('1.연간시수표'!AR75,$BP$7)),$BP$6,IF(OR(COUNTIF('1.연간시수표'!AR75,$BQ$9),COUNTIF('1.연간시수표'!AR75,$BQ$7)),$BQ$6,IF(OR(COUNTIF('1.연간시수표'!AR75,$BR$9),COUNTIF('1.연간시수표'!AR75,$BR$7)),$BR$6,"_")))))))))))))))</f>
        <v>_</v>
      </c>
    </row>
    <row r="76" spans="2:44">
      <c r="B76" s="6"/>
      <c r="C76" s="79">
        <f>'1.연간시수표'!C76</f>
        <v>0</v>
      </c>
      <c r="D76" s="3"/>
      <c r="E76" s="148" t="str">
        <f>IF(OR(COUNTIF('1.연간시수표'!E76,$AT$9),COUNTIF('1.연간시수표'!E76,$AT$7)),$AT$6,IF(OR(COUNTIF('1.연간시수표'!E76,$AU$9),COUNTIF('1.연간시수표'!E76,$AU$7)),$AU$6,IF(OR(COUNTIF('1.연간시수표'!E76,$AV$9),COUNTIF('1.연간시수표'!E76,$AV$7)),$AV$6,IF(OR(COUNTIF('1.연간시수표'!E76,$AW$9),COUNTIF('1.연간시수표'!E76,$AW$7)),$AW$6,IF(OR(COUNTIF('1.연간시수표'!E76,$AX$9),COUNTIF('1.연간시수표'!E76,$AX$7)),$AX$6,IF(OR(COUNTIF('1.연간시수표'!E76,$AY$9),COUNTIF('1.연간시수표'!E76,$AY$7)),$AY$6,IF(OR(COUNTIF('1.연간시수표'!E76,$AZ$9),COUNTIF('1.연간시수표'!E76,$AZ$7)),$AZ$6,IF(OR(COUNTIF('1.연간시수표'!E76,$BA$9),COUNTIF('1.연간시수표'!E76,$BA$7)),$BA$6,IF(OR(COUNTIF('1.연간시수표'!E76,$BB$9),COUNTIF('1.연간시수표'!E76,$BB$7)),$BB$6,IF(OR(COUNTIF('1.연간시수표'!E76,$BC$9),COUNTIF('1.연간시수표'!E76,$BC$7)),$BC$6,IF(OR(COUNTIF('1.연간시수표'!E76,$BF$9),COUNTIF('1.연간시수표'!E76,$BF$7),COUNTIF('1.연간시수표'!E76,$BG$9),COUNTIF('1.연간시수표'!E76,$BG$7),COUNTIF('1.연간시수표'!E76,$BH$9),COUNTIF('1.연간시수표'!E76,$BH$7),COUNTIF('1.연간시수표'!E76,$BI$9),COUNTIF('1.연간시수표'!E76,$BI$7),COUNTIF('1.연간시수표'!E76,$BJ$9),COUNTIF('1.연간시수표'!E76,$BJ$7),COUNTIF('1.연간시수표'!E76,$BK$9),COUNTIF('1.연간시수표'!E76,$BK$7),COUNTIF('1.연간시수표'!E76,$BL$9),COUNTIF('1.연간시수표'!E76,$BL$7),COUNTIF('1.연간시수표'!E76,$BM$9),COUNTIF('1.연간시수표'!E76,$BM$7)),$BF$6,IF(OR(COUNTIF('1.연간시수표'!E76,$BO$9),COUNTIF('1.연간시수표'!E76,$BO$7)),$BO$6,IF(OR(COUNTIF('1.연간시수표'!E76,$BP$9),COUNTIF('1.연간시수표'!E76,$BP$7)),$BP$6,IF(OR(COUNTIF('1.연간시수표'!E76,$BQ$9),COUNTIF('1.연간시수표'!E76,$BQ$7)),$BQ$6,IF(OR(COUNTIF('1.연간시수표'!E76,$BR$9),COUNTIF('1.연간시수표'!E76,$BR$7)),$BR$6,"_")))))))))))))))</f>
        <v>_</v>
      </c>
      <c r="F76" s="148" t="str">
        <f>IF(OR(COUNTIF('1.연간시수표'!F76,$AT$9),COUNTIF('1.연간시수표'!F76,$AT$7)),$AT$6,IF(OR(COUNTIF('1.연간시수표'!F76,$AU$9),COUNTIF('1.연간시수표'!F76,$AU$7)),$AU$6,IF(OR(COUNTIF('1.연간시수표'!F76,$AV$9),COUNTIF('1.연간시수표'!F76,$AV$7)),$AV$6,IF(OR(COUNTIF('1.연간시수표'!F76,$AW$9),COUNTIF('1.연간시수표'!F76,$AW$7)),$AW$6,IF(OR(COUNTIF('1.연간시수표'!F76,$AX$9),COUNTIF('1.연간시수표'!F76,$AX$7)),$AX$6,IF(OR(COUNTIF('1.연간시수표'!F76,$AY$9),COUNTIF('1.연간시수표'!F76,$AY$7)),$AY$6,IF(OR(COUNTIF('1.연간시수표'!F76,$AZ$9),COUNTIF('1.연간시수표'!F76,$AZ$7)),$AZ$6,IF(OR(COUNTIF('1.연간시수표'!F76,$BA$9),COUNTIF('1.연간시수표'!F76,$BA$7)),$BA$6,IF(OR(COUNTIF('1.연간시수표'!F76,$BB$9),COUNTIF('1.연간시수표'!F76,$BB$7)),$BB$6,IF(OR(COUNTIF('1.연간시수표'!F76,$BC$9),COUNTIF('1.연간시수표'!F76,$BC$7)),$BC$6,IF(OR(COUNTIF('1.연간시수표'!F76,$BF$9),COUNTIF('1.연간시수표'!F76,$BF$7),COUNTIF('1.연간시수표'!F76,$BG$9),COUNTIF('1.연간시수표'!F76,$BG$7),COUNTIF('1.연간시수표'!F76,$BH$9),COUNTIF('1.연간시수표'!F76,$BH$7),COUNTIF('1.연간시수표'!F76,$BI$9),COUNTIF('1.연간시수표'!F76,$BI$7),COUNTIF('1.연간시수표'!F76,$BJ$9),COUNTIF('1.연간시수표'!F76,$BJ$7),COUNTIF('1.연간시수표'!F76,$BK$9),COUNTIF('1.연간시수표'!F76,$BK$7),COUNTIF('1.연간시수표'!F76,$BL$9),COUNTIF('1.연간시수표'!F76,$BL$7),COUNTIF('1.연간시수표'!F76,$BM$9),COUNTIF('1.연간시수표'!F76,$BM$7)),$BF$6,IF(OR(COUNTIF('1.연간시수표'!F76,$BO$9),COUNTIF('1.연간시수표'!F76,$BO$7)),$BO$6,IF(OR(COUNTIF('1.연간시수표'!F76,$BP$9),COUNTIF('1.연간시수표'!F76,$BP$7)),$BP$6,IF(OR(COUNTIF('1.연간시수표'!F76,$BQ$9),COUNTIF('1.연간시수표'!F76,$BQ$7)),$BQ$6,IF(OR(COUNTIF('1.연간시수표'!F76,$BR$9),COUNTIF('1.연간시수표'!F76,$BR$7)),$BR$6,"_")))))))))))))))</f>
        <v>_</v>
      </c>
      <c r="G76" s="148" t="str">
        <f>IF(OR(COUNTIF('1.연간시수표'!G76,$AT$9),COUNTIF('1.연간시수표'!G76,$AT$7)),$AT$6,IF(OR(COUNTIF('1.연간시수표'!G76,$AU$9),COUNTIF('1.연간시수표'!G76,$AU$7)),$AU$6,IF(OR(COUNTIF('1.연간시수표'!G76,$AV$9),COUNTIF('1.연간시수표'!G76,$AV$7)),$AV$6,IF(OR(COUNTIF('1.연간시수표'!G76,$AW$9),COUNTIF('1.연간시수표'!G76,$AW$7)),$AW$6,IF(OR(COUNTIF('1.연간시수표'!G76,$AX$9),COUNTIF('1.연간시수표'!G76,$AX$7)),$AX$6,IF(OR(COUNTIF('1.연간시수표'!G76,$AY$9),COUNTIF('1.연간시수표'!G76,$AY$7)),$AY$6,IF(OR(COUNTIF('1.연간시수표'!G76,$AZ$9),COUNTIF('1.연간시수표'!G76,$AZ$7)),$AZ$6,IF(OR(COUNTIF('1.연간시수표'!G76,$BA$9),COUNTIF('1.연간시수표'!G76,$BA$7)),$BA$6,IF(OR(COUNTIF('1.연간시수표'!G76,$BB$9),COUNTIF('1.연간시수표'!G76,$BB$7)),$BB$6,IF(OR(COUNTIF('1.연간시수표'!G76,$BC$9),COUNTIF('1.연간시수표'!G76,$BC$7)),$BC$6,IF(OR(COUNTIF('1.연간시수표'!G76,$BF$9),COUNTIF('1.연간시수표'!G76,$BF$7),COUNTIF('1.연간시수표'!G76,$BG$9),COUNTIF('1.연간시수표'!G76,$BG$7),COUNTIF('1.연간시수표'!G76,$BH$9),COUNTIF('1.연간시수표'!G76,$BH$7),COUNTIF('1.연간시수표'!G76,$BI$9),COUNTIF('1.연간시수표'!G76,$BI$7),COUNTIF('1.연간시수표'!G76,$BJ$9),COUNTIF('1.연간시수표'!G76,$BJ$7),COUNTIF('1.연간시수표'!G76,$BK$9),COUNTIF('1.연간시수표'!G76,$BK$7),COUNTIF('1.연간시수표'!G76,$BL$9),COUNTIF('1.연간시수표'!G76,$BL$7),COUNTIF('1.연간시수표'!G76,$BM$9),COUNTIF('1.연간시수표'!G76,$BM$7)),$BF$6,IF(OR(COUNTIF('1.연간시수표'!G76,$BO$9),COUNTIF('1.연간시수표'!G76,$BO$7)),$BO$6,IF(OR(COUNTIF('1.연간시수표'!G76,$BP$9),COUNTIF('1.연간시수표'!G76,$BP$7)),$BP$6,IF(OR(COUNTIF('1.연간시수표'!G76,$BQ$9),COUNTIF('1.연간시수표'!G76,$BQ$7)),$BQ$6,IF(OR(COUNTIF('1.연간시수표'!G76,$BR$9),COUNTIF('1.연간시수표'!G76,$BR$7)),$BR$6,"_")))))))))))))))</f>
        <v>_</v>
      </c>
      <c r="H76" s="148" t="str">
        <f>IF(OR(COUNTIF('1.연간시수표'!H76,$AT$9),COUNTIF('1.연간시수표'!H76,$AT$7)),$AT$6,IF(OR(COUNTIF('1.연간시수표'!H76,$AU$9),COUNTIF('1.연간시수표'!H76,$AU$7)),$AU$6,IF(OR(COUNTIF('1.연간시수표'!H76,$AV$9),COUNTIF('1.연간시수표'!H76,$AV$7)),$AV$6,IF(OR(COUNTIF('1.연간시수표'!H76,$AW$9),COUNTIF('1.연간시수표'!H76,$AW$7)),$AW$6,IF(OR(COUNTIF('1.연간시수표'!H76,$AX$9),COUNTIF('1.연간시수표'!H76,$AX$7)),$AX$6,IF(OR(COUNTIF('1.연간시수표'!H76,$AY$9),COUNTIF('1.연간시수표'!H76,$AY$7)),$AY$6,IF(OR(COUNTIF('1.연간시수표'!H76,$AZ$9),COUNTIF('1.연간시수표'!H76,$AZ$7)),$AZ$6,IF(OR(COUNTIF('1.연간시수표'!H76,$BA$9),COUNTIF('1.연간시수표'!H76,$BA$7)),$BA$6,IF(OR(COUNTIF('1.연간시수표'!H76,$BB$9),COUNTIF('1.연간시수표'!H76,$BB$7)),$BB$6,IF(OR(COUNTIF('1.연간시수표'!H76,$BC$9),COUNTIF('1.연간시수표'!H76,$BC$7)),$BC$6,IF(OR(COUNTIF('1.연간시수표'!H76,$BF$9),COUNTIF('1.연간시수표'!H76,$BF$7),COUNTIF('1.연간시수표'!H76,$BG$9),COUNTIF('1.연간시수표'!H76,$BG$7),COUNTIF('1.연간시수표'!H76,$BH$9),COUNTIF('1.연간시수표'!H76,$BH$7),COUNTIF('1.연간시수표'!H76,$BI$9),COUNTIF('1.연간시수표'!H76,$BI$7),COUNTIF('1.연간시수표'!H76,$BJ$9),COUNTIF('1.연간시수표'!H76,$BJ$7),COUNTIF('1.연간시수표'!H76,$BK$9),COUNTIF('1.연간시수표'!H76,$BK$7),COUNTIF('1.연간시수표'!H76,$BL$9),COUNTIF('1.연간시수표'!H76,$BL$7),COUNTIF('1.연간시수표'!H76,$BM$9),COUNTIF('1.연간시수표'!H76,$BM$7)),$BF$6,IF(OR(COUNTIF('1.연간시수표'!H76,$BO$9),COUNTIF('1.연간시수표'!H76,$BO$7)),$BO$6,IF(OR(COUNTIF('1.연간시수표'!H76,$BP$9),COUNTIF('1.연간시수표'!H76,$BP$7)),$BP$6,IF(OR(COUNTIF('1.연간시수표'!H76,$BQ$9),COUNTIF('1.연간시수표'!H76,$BQ$7)),$BQ$6,IF(OR(COUNTIF('1.연간시수표'!H76,$BR$9),COUNTIF('1.연간시수표'!H76,$BR$7)),$BR$6,"_")))))))))))))))</f>
        <v>_</v>
      </c>
      <c r="I76" s="148" t="str">
        <f>IF(OR(COUNTIF('1.연간시수표'!I76,$AT$9),COUNTIF('1.연간시수표'!I76,$AT$7)),$AT$6,IF(OR(COUNTIF('1.연간시수표'!I76,$AU$9),COUNTIF('1.연간시수표'!I76,$AU$7)),$AU$6,IF(OR(COUNTIF('1.연간시수표'!I76,$AV$9),COUNTIF('1.연간시수표'!I76,$AV$7)),$AV$6,IF(OR(COUNTIF('1.연간시수표'!I76,$AW$9),COUNTIF('1.연간시수표'!I76,$AW$7)),$AW$6,IF(OR(COUNTIF('1.연간시수표'!I76,$AX$9),COUNTIF('1.연간시수표'!I76,$AX$7)),$AX$6,IF(OR(COUNTIF('1.연간시수표'!I76,$AY$9),COUNTIF('1.연간시수표'!I76,$AY$7)),$AY$6,IF(OR(COUNTIF('1.연간시수표'!I76,$AZ$9),COUNTIF('1.연간시수표'!I76,$AZ$7)),$AZ$6,IF(OR(COUNTIF('1.연간시수표'!I76,$BA$9),COUNTIF('1.연간시수표'!I76,$BA$7)),$BA$6,IF(OR(COUNTIF('1.연간시수표'!I76,$BB$9),COUNTIF('1.연간시수표'!I76,$BB$7)),$BB$6,IF(OR(COUNTIF('1.연간시수표'!I76,$BC$9),COUNTIF('1.연간시수표'!I76,$BC$7)),$BC$6,IF(OR(COUNTIF('1.연간시수표'!I76,$BF$9),COUNTIF('1.연간시수표'!I76,$BF$7),COUNTIF('1.연간시수표'!I76,$BG$9),COUNTIF('1.연간시수표'!I76,$BG$7),COUNTIF('1.연간시수표'!I76,$BH$9),COUNTIF('1.연간시수표'!I76,$BH$7),COUNTIF('1.연간시수표'!I76,$BI$9),COUNTIF('1.연간시수표'!I76,$BI$7),COUNTIF('1.연간시수표'!I76,$BJ$9),COUNTIF('1.연간시수표'!I76,$BJ$7),COUNTIF('1.연간시수표'!I76,$BK$9),COUNTIF('1.연간시수표'!I76,$BK$7),COUNTIF('1.연간시수표'!I76,$BL$9),COUNTIF('1.연간시수표'!I76,$BL$7),COUNTIF('1.연간시수표'!I76,$BM$9),COUNTIF('1.연간시수표'!I76,$BM$7)),$BF$6,IF(OR(COUNTIF('1.연간시수표'!I76,$BO$9),COUNTIF('1.연간시수표'!I76,$BO$7)),$BO$6,IF(OR(COUNTIF('1.연간시수표'!I76,$BP$9),COUNTIF('1.연간시수표'!I76,$BP$7)),$BP$6,IF(OR(COUNTIF('1.연간시수표'!I76,$BQ$9),COUNTIF('1.연간시수표'!I76,$BQ$7)),$BQ$6,IF(OR(COUNTIF('1.연간시수표'!I76,$BR$9),COUNTIF('1.연간시수표'!I76,$BR$7)),$BR$6,"_")))))))))))))))</f>
        <v>_</v>
      </c>
      <c r="J76" s="148" t="str">
        <f>IF(OR(COUNTIF('1.연간시수표'!J76,$AT$9),COUNTIF('1.연간시수표'!J76,$AT$7)),$AT$6,IF(OR(COUNTIF('1.연간시수표'!J76,$AU$9),COUNTIF('1.연간시수표'!J76,$AU$7)),$AU$6,IF(OR(COUNTIF('1.연간시수표'!J76,$AV$9),COUNTIF('1.연간시수표'!J76,$AV$7)),$AV$6,IF(OR(COUNTIF('1.연간시수표'!J76,$AW$9),COUNTIF('1.연간시수표'!J76,$AW$7)),$AW$6,IF(OR(COUNTIF('1.연간시수표'!J76,$AX$9),COUNTIF('1.연간시수표'!J76,$AX$7)),$AX$6,IF(OR(COUNTIF('1.연간시수표'!J76,$AY$9),COUNTIF('1.연간시수표'!J76,$AY$7)),$AY$6,IF(OR(COUNTIF('1.연간시수표'!J76,$AZ$9),COUNTIF('1.연간시수표'!J76,$AZ$7)),$AZ$6,IF(OR(COUNTIF('1.연간시수표'!J76,$BA$9),COUNTIF('1.연간시수표'!J76,$BA$7)),$BA$6,IF(OR(COUNTIF('1.연간시수표'!J76,$BB$9),COUNTIF('1.연간시수표'!J76,$BB$7)),$BB$6,IF(OR(COUNTIF('1.연간시수표'!J76,$BC$9),COUNTIF('1.연간시수표'!J76,$BC$7)),$BC$6,IF(OR(COUNTIF('1.연간시수표'!J76,$BF$9),COUNTIF('1.연간시수표'!J76,$BF$7),COUNTIF('1.연간시수표'!J76,$BG$9),COUNTIF('1.연간시수표'!J76,$BG$7),COUNTIF('1.연간시수표'!J76,$BH$9),COUNTIF('1.연간시수표'!J76,$BH$7),COUNTIF('1.연간시수표'!J76,$BI$9),COUNTIF('1.연간시수표'!J76,$BI$7),COUNTIF('1.연간시수표'!J76,$BJ$9),COUNTIF('1.연간시수표'!J76,$BJ$7),COUNTIF('1.연간시수표'!J76,$BK$9),COUNTIF('1.연간시수표'!J76,$BK$7),COUNTIF('1.연간시수표'!J76,$BL$9),COUNTIF('1.연간시수표'!J76,$BL$7),COUNTIF('1.연간시수표'!J76,$BM$9),COUNTIF('1.연간시수표'!J76,$BM$7)),$BF$6,IF(OR(COUNTIF('1.연간시수표'!J76,$BO$9),COUNTIF('1.연간시수표'!J76,$BO$7)),$BO$6,IF(OR(COUNTIF('1.연간시수표'!J76,$BP$9),COUNTIF('1.연간시수표'!J76,$BP$7)),$BP$6,IF(OR(COUNTIF('1.연간시수표'!J76,$BQ$9),COUNTIF('1.연간시수표'!J76,$BQ$7)),$BQ$6,IF(OR(COUNTIF('1.연간시수표'!J76,$BR$9),COUNTIF('1.연간시수표'!J76,$BR$7)),$BR$6,"_")))))))))))))))</f>
        <v>_</v>
      </c>
      <c r="K76" s="148" t="str">
        <f>IF(OR(COUNTIF('1.연간시수표'!K76,$AT$9),COUNTIF('1.연간시수표'!K76,$AT$7)),$AT$6,IF(OR(COUNTIF('1.연간시수표'!K76,$AU$9),COUNTIF('1.연간시수표'!K76,$AU$7)),$AU$6,IF(OR(COUNTIF('1.연간시수표'!K76,$AV$9),COUNTIF('1.연간시수표'!K76,$AV$7)),$AV$6,IF(OR(COUNTIF('1.연간시수표'!K76,$AW$9),COUNTIF('1.연간시수표'!K76,$AW$7)),$AW$6,IF(OR(COUNTIF('1.연간시수표'!K76,$AX$9),COUNTIF('1.연간시수표'!K76,$AX$7)),$AX$6,IF(OR(COUNTIF('1.연간시수표'!K76,$AY$9),COUNTIF('1.연간시수표'!K76,$AY$7)),$AY$6,IF(OR(COUNTIF('1.연간시수표'!K76,$AZ$9),COUNTIF('1.연간시수표'!K76,$AZ$7)),$AZ$6,IF(OR(COUNTIF('1.연간시수표'!K76,$BA$9),COUNTIF('1.연간시수표'!K76,$BA$7)),$BA$6,IF(OR(COUNTIF('1.연간시수표'!K76,$BB$9),COUNTIF('1.연간시수표'!K76,$BB$7)),$BB$6,IF(OR(COUNTIF('1.연간시수표'!K76,$BC$9),COUNTIF('1.연간시수표'!K76,$BC$7)),$BC$6,IF(OR(COUNTIF('1.연간시수표'!K76,$BF$9),COUNTIF('1.연간시수표'!K76,$BF$7),COUNTIF('1.연간시수표'!K76,$BG$9),COUNTIF('1.연간시수표'!K76,$BG$7),COUNTIF('1.연간시수표'!K76,$BH$9),COUNTIF('1.연간시수표'!K76,$BH$7),COUNTIF('1.연간시수표'!K76,$BI$9),COUNTIF('1.연간시수표'!K76,$BI$7),COUNTIF('1.연간시수표'!K76,$BJ$9),COUNTIF('1.연간시수표'!K76,$BJ$7),COUNTIF('1.연간시수표'!K76,$BK$9),COUNTIF('1.연간시수표'!K76,$BK$7),COUNTIF('1.연간시수표'!K76,$BL$9),COUNTIF('1.연간시수표'!K76,$BL$7),COUNTIF('1.연간시수표'!K76,$BM$9),COUNTIF('1.연간시수표'!K76,$BM$7)),$BF$6,IF(OR(COUNTIF('1.연간시수표'!K76,$BO$9),COUNTIF('1.연간시수표'!K76,$BO$7)),$BO$6,IF(OR(COUNTIF('1.연간시수표'!K76,$BP$9),COUNTIF('1.연간시수표'!K76,$BP$7)),$BP$6,IF(OR(COUNTIF('1.연간시수표'!K76,$BQ$9),COUNTIF('1.연간시수표'!K76,$BQ$7)),$BQ$6,IF(OR(COUNTIF('1.연간시수표'!K76,$BR$9),COUNTIF('1.연간시수표'!K76,$BR$7)),$BR$6,"_")))))))))))))))</f>
        <v>_</v>
      </c>
      <c r="L76" s="148" t="str">
        <f>IF(OR(COUNTIF('1.연간시수표'!L76,$AT$9),COUNTIF('1.연간시수표'!L76,$AT$7)),$AT$6,IF(OR(COUNTIF('1.연간시수표'!L76,$AU$9),COUNTIF('1.연간시수표'!L76,$AU$7)),$AU$6,IF(OR(COUNTIF('1.연간시수표'!L76,$AV$9),COUNTIF('1.연간시수표'!L76,$AV$7)),$AV$6,IF(OR(COUNTIF('1.연간시수표'!L76,$AW$9),COUNTIF('1.연간시수표'!L76,$AW$7)),$AW$6,IF(OR(COUNTIF('1.연간시수표'!L76,$AX$9),COUNTIF('1.연간시수표'!L76,$AX$7)),$AX$6,IF(OR(COUNTIF('1.연간시수표'!L76,$AY$9),COUNTIF('1.연간시수표'!L76,$AY$7)),$AY$6,IF(OR(COUNTIF('1.연간시수표'!L76,$AZ$9),COUNTIF('1.연간시수표'!L76,$AZ$7)),$AZ$6,IF(OR(COUNTIF('1.연간시수표'!L76,$BA$9),COUNTIF('1.연간시수표'!L76,$BA$7)),$BA$6,IF(OR(COUNTIF('1.연간시수표'!L76,$BB$9),COUNTIF('1.연간시수표'!L76,$BB$7)),$BB$6,IF(OR(COUNTIF('1.연간시수표'!L76,$BC$9),COUNTIF('1.연간시수표'!L76,$BC$7)),$BC$6,IF(OR(COUNTIF('1.연간시수표'!L76,$BF$9),COUNTIF('1.연간시수표'!L76,$BF$7),COUNTIF('1.연간시수표'!L76,$BG$9),COUNTIF('1.연간시수표'!L76,$BG$7),COUNTIF('1.연간시수표'!L76,$BH$9),COUNTIF('1.연간시수표'!L76,$BH$7),COUNTIF('1.연간시수표'!L76,$BI$9),COUNTIF('1.연간시수표'!L76,$BI$7),COUNTIF('1.연간시수표'!L76,$BJ$9),COUNTIF('1.연간시수표'!L76,$BJ$7),COUNTIF('1.연간시수표'!L76,$BK$9),COUNTIF('1.연간시수표'!L76,$BK$7),COUNTIF('1.연간시수표'!L76,$BL$9),COUNTIF('1.연간시수표'!L76,$BL$7),COUNTIF('1.연간시수표'!L76,$BM$9),COUNTIF('1.연간시수표'!L76,$BM$7)),$BF$6,IF(OR(COUNTIF('1.연간시수표'!L76,$BO$9),COUNTIF('1.연간시수표'!L76,$BO$7)),$BO$6,IF(OR(COUNTIF('1.연간시수표'!L76,$BP$9),COUNTIF('1.연간시수표'!L76,$BP$7)),$BP$6,IF(OR(COUNTIF('1.연간시수표'!L76,$BQ$9),COUNTIF('1.연간시수표'!L76,$BQ$7)),$BQ$6,IF(OR(COUNTIF('1.연간시수표'!L76,$BR$9),COUNTIF('1.연간시수표'!L76,$BR$7)),$BR$6,"_")))))))))))))))</f>
        <v>_</v>
      </c>
      <c r="M76" s="148" t="str">
        <f>IF(OR(COUNTIF('1.연간시수표'!M76,$AT$9),COUNTIF('1.연간시수표'!M76,$AT$7)),$AT$6,IF(OR(COUNTIF('1.연간시수표'!M76,$AU$9),COUNTIF('1.연간시수표'!M76,$AU$7)),$AU$6,IF(OR(COUNTIF('1.연간시수표'!M76,$AV$9),COUNTIF('1.연간시수표'!M76,$AV$7)),$AV$6,IF(OR(COUNTIF('1.연간시수표'!M76,$AW$9),COUNTIF('1.연간시수표'!M76,$AW$7)),$AW$6,IF(OR(COUNTIF('1.연간시수표'!M76,$AX$9),COUNTIF('1.연간시수표'!M76,$AX$7)),$AX$6,IF(OR(COUNTIF('1.연간시수표'!M76,$AY$9),COUNTIF('1.연간시수표'!M76,$AY$7)),$AY$6,IF(OR(COUNTIF('1.연간시수표'!M76,$AZ$9),COUNTIF('1.연간시수표'!M76,$AZ$7)),$AZ$6,IF(OR(COUNTIF('1.연간시수표'!M76,$BA$9),COUNTIF('1.연간시수표'!M76,$BA$7)),$BA$6,IF(OR(COUNTIF('1.연간시수표'!M76,$BB$9),COUNTIF('1.연간시수표'!M76,$BB$7)),$BB$6,IF(OR(COUNTIF('1.연간시수표'!M76,$BC$9),COUNTIF('1.연간시수표'!M76,$BC$7)),$BC$6,IF(OR(COUNTIF('1.연간시수표'!M76,$BF$9),COUNTIF('1.연간시수표'!M76,$BF$7),COUNTIF('1.연간시수표'!M76,$BG$9),COUNTIF('1.연간시수표'!M76,$BG$7),COUNTIF('1.연간시수표'!M76,$BH$9),COUNTIF('1.연간시수표'!M76,$BH$7),COUNTIF('1.연간시수표'!M76,$BI$9),COUNTIF('1.연간시수표'!M76,$BI$7),COUNTIF('1.연간시수표'!M76,$BJ$9),COUNTIF('1.연간시수표'!M76,$BJ$7),COUNTIF('1.연간시수표'!M76,$BK$9),COUNTIF('1.연간시수표'!M76,$BK$7),COUNTIF('1.연간시수표'!M76,$BL$9),COUNTIF('1.연간시수표'!M76,$BL$7),COUNTIF('1.연간시수표'!M76,$BM$9),COUNTIF('1.연간시수표'!M76,$BM$7)),$BF$6,IF(OR(COUNTIF('1.연간시수표'!M76,$BO$9),COUNTIF('1.연간시수표'!M76,$BO$7)),$BO$6,IF(OR(COUNTIF('1.연간시수표'!M76,$BP$9),COUNTIF('1.연간시수표'!M76,$BP$7)),$BP$6,IF(OR(COUNTIF('1.연간시수표'!M76,$BQ$9),COUNTIF('1.연간시수표'!M76,$BQ$7)),$BQ$6,IF(OR(COUNTIF('1.연간시수표'!M76,$BR$9),COUNTIF('1.연간시수표'!M76,$BR$7)),$BR$6,"_")))))))))))))))</f>
        <v>_</v>
      </c>
      <c r="N76" s="148" t="str">
        <f>IF(OR(COUNTIF('1.연간시수표'!N76,$AT$9),COUNTIF('1.연간시수표'!N76,$AT$7)),$AT$6,IF(OR(COUNTIF('1.연간시수표'!N76,$AU$9),COUNTIF('1.연간시수표'!N76,$AU$7)),$AU$6,IF(OR(COUNTIF('1.연간시수표'!N76,$AV$9),COUNTIF('1.연간시수표'!N76,$AV$7)),$AV$6,IF(OR(COUNTIF('1.연간시수표'!N76,$AW$9),COUNTIF('1.연간시수표'!N76,$AW$7)),$AW$6,IF(OR(COUNTIF('1.연간시수표'!N76,$AX$9),COUNTIF('1.연간시수표'!N76,$AX$7)),$AX$6,IF(OR(COUNTIF('1.연간시수표'!N76,$AY$9),COUNTIF('1.연간시수표'!N76,$AY$7)),$AY$6,IF(OR(COUNTIF('1.연간시수표'!N76,$AZ$9),COUNTIF('1.연간시수표'!N76,$AZ$7)),$AZ$6,IF(OR(COUNTIF('1.연간시수표'!N76,$BA$9),COUNTIF('1.연간시수표'!N76,$BA$7)),$BA$6,IF(OR(COUNTIF('1.연간시수표'!N76,$BB$9),COUNTIF('1.연간시수표'!N76,$BB$7)),$BB$6,IF(OR(COUNTIF('1.연간시수표'!N76,$BC$9),COUNTIF('1.연간시수표'!N76,$BC$7)),$BC$6,IF(OR(COUNTIF('1.연간시수표'!N76,$BF$9),COUNTIF('1.연간시수표'!N76,$BF$7),COUNTIF('1.연간시수표'!N76,$BG$9),COUNTIF('1.연간시수표'!N76,$BG$7),COUNTIF('1.연간시수표'!N76,$BH$9),COUNTIF('1.연간시수표'!N76,$BH$7),COUNTIF('1.연간시수표'!N76,$BI$9),COUNTIF('1.연간시수표'!N76,$BI$7),COUNTIF('1.연간시수표'!N76,$BJ$9),COUNTIF('1.연간시수표'!N76,$BJ$7),COUNTIF('1.연간시수표'!N76,$BK$9),COUNTIF('1.연간시수표'!N76,$BK$7),COUNTIF('1.연간시수표'!N76,$BL$9),COUNTIF('1.연간시수표'!N76,$BL$7),COUNTIF('1.연간시수표'!N76,$BM$9),COUNTIF('1.연간시수표'!N76,$BM$7)),$BF$6,IF(OR(COUNTIF('1.연간시수표'!N76,$BO$9),COUNTIF('1.연간시수표'!N76,$BO$7)),$BO$6,IF(OR(COUNTIF('1.연간시수표'!N76,$BP$9),COUNTIF('1.연간시수표'!N76,$BP$7)),$BP$6,IF(OR(COUNTIF('1.연간시수표'!N76,$BQ$9),COUNTIF('1.연간시수표'!N76,$BQ$7)),$BQ$6,IF(OR(COUNTIF('1.연간시수표'!N76,$BR$9),COUNTIF('1.연간시수표'!N76,$BR$7)),$BR$6,"_")))))))))))))))</f>
        <v>_</v>
      </c>
      <c r="O76" s="148" t="str">
        <f>IF(OR(COUNTIF('1.연간시수표'!O76,$AT$9),COUNTIF('1.연간시수표'!O76,$AT$7)),$AT$6,IF(OR(COUNTIF('1.연간시수표'!O76,$AU$9),COUNTIF('1.연간시수표'!O76,$AU$7)),$AU$6,IF(OR(COUNTIF('1.연간시수표'!O76,$AV$9),COUNTIF('1.연간시수표'!O76,$AV$7)),$AV$6,IF(OR(COUNTIF('1.연간시수표'!O76,$AW$9),COUNTIF('1.연간시수표'!O76,$AW$7)),$AW$6,IF(OR(COUNTIF('1.연간시수표'!O76,$AX$9),COUNTIF('1.연간시수표'!O76,$AX$7)),$AX$6,IF(OR(COUNTIF('1.연간시수표'!O76,$AY$9),COUNTIF('1.연간시수표'!O76,$AY$7)),$AY$6,IF(OR(COUNTIF('1.연간시수표'!O76,$AZ$9),COUNTIF('1.연간시수표'!O76,$AZ$7)),$AZ$6,IF(OR(COUNTIF('1.연간시수표'!O76,$BA$9),COUNTIF('1.연간시수표'!O76,$BA$7)),$BA$6,IF(OR(COUNTIF('1.연간시수표'!O76,$BB$9),COUNTIF('1.연간시수표'!O76,$BB$7)),$BB$6,IF(OR(COUNTIF('1.연간시수표'!O76,$BC$9),COUNTIF('1.연간시수표'!O76,$BC$7)),$BC$6,IF(OR(COUNTIF('1.연간시수표'!O76,$BF$9),COUNTIF('1.연간시수표'!O76,$BF$7),COUNTIF('1.연간시수표'!O76,$BG$9),COUNTIF('1.연간시수표'!O76,$BG$7),COUNTIF('1.연간시수표'!O76,$BH$9),COUNTIF('1.연간시수표'!O76,$BH$7),COUNTIF('1.연간시수표'!O76,$BI$9),COUNTIF('1.연간시수표'!O76,$BI$7),COUNTIF('1.연간시수표'!O76,$BJ$9),COUNTIF('1.연간시수표'!O76,$BJ$7),COUNTIF('1.연간시수표'!O76,$BK$9),COUNTIF('1.연간시수표'!O76,$BK$7),COUNTIF('1.연간시수표'!O76,$BL$9),COUNTIF('1.연간시수표'!O76,$BL$7),COUNTIF('1.연간시수표'!O76,$BM$9),COUNTIF('1.연간시수표'!O76,$BM$7)),$BF$6,IF(OR(COUNTIF('1.연간시수표'!O76,$BO$9),COUNTIF('1.연간시수표'!O76,$BO$7)),$BO$6,IF(OR(COUNTIF('1.연간시수표'!O76,$BP$9),COUNTIF('1.연간시수표'!O76,$BP$7)),$BP$6,IF(OR(COUNTIF('1.연간시수표'!O76,$BQ$9),COUNTIF('1.연간시수표'!O76,$BQ$7)),$BQ$6,IF(OR(COUNTIF('1.연간시수표'!O76,$BR$9),COUNTIF('1.연간시수표'!O76,$BR$7)),$BR$6,"_")))))))))))))))</f>
        <v>_</v>
      </c>
      <c r="P76" s="148" t="str">
        <f>IF(OR(COUNTIF('1.연간시수표'!P76,$AT$9),COUNTIF('1.연간시수표'!P76,$AT$7)),$AT$6,IF(OR(COUNTIF('1.연간시수표'!P76,$AU$9),COUNTIF('1.연간시수표'!P76,$AU$7)),$AU$6,IF(OR(COUNTIF('1.연간시수표'!P76,$AV$9),COUNTIF('1.연간시수표'!P76,$AV$7)),$AV$6,IF(OR(COUNTIF('1.연간시수표'!P76,$AW$9),COUNTIF('1.연간시수표'!P76,$AW$7)),$AW$6,IF(OR(COUNTIF('1.연간시수표'!P76,$AX$9),COUNTIF('1.연간시수표'!P76,$AX$7)),$AX$6,IF(OR(COUNTIF('1.연간시수표'!P76,$AY$9),COUNTIF('1.연간시수표'!P76,$AY$7)),$AY$6,IF(OR(COUNTIF('1.연간시수표'!P76,$AZ$9),COUNTIF('1.연간시수표'!P76,$AZ$7)),$AZ$6,IF(OR(COUNTIF('1.연간시수표'!P76,$BA$9),COUNTIF('1.연간시수표'!P76,$BA$7)),$BA$6,IF(OR(COUNTIF('1.연간시수표'!P76,$BB$9),COUNTIF('1.연간시수표'!P76,$BB$7)),$BB$6,IF(OR(COUNTIF('1.연간시수표'!P76,$BC$9),COUNTIF('1.연간시수표'!P76,$BC$7)),$BC$6,IF(OR(COUNTIF('1.연간시수표'!P76,$BF$9),COUNTIF('1.연간시수표'!P76,$BF$7),COUNTIF('1.연간시수표'!P76,$BG$9),COUNTIF('1.연간시수표'!P76,$BG$7),COUNTIF('1.연간시수표'!P76,$BH$9),COUNTIF('1.연간시수표'!P76,$BH$7),COUNTIF('1.연간시수표'!P76,$BI$9),COUNTIF('1.연간시수표'!P76,$BI$7),COUNTIF('1.연간시수표'!P76,$BJ$9),COUNTIF('1.연간시수표'!P76,$BJ$7),COUNTIF('1.연간시수표'!P76,$BK$9),COUNTIF('1.연간시수표'!P76,$BK$7),COUNTIF('1.연간시수표'!P76,$BL$9),COUNTIF('1.연간시수표'!P76,$BL$7),COUNTIF('1.연간시수표'!P76,$BM$9),COUNTIF('1.연간시수표'!P76,$BM$7)),$BF$6,IF(OR(COUNTIF('1.연간시수표'!P76,$BO$9),COUNTIF('1.연간시수표'!P76,$BO$7)),$BO$6,IF(OR(COUNTIF('1.연간시수표'!P76,$BP$9),COUNTIF('1.연간시수표'!P76,$BP$7)),$BP$6,IF(OR(COUNTIF('1.연간시수표'!P76,$BQ$9),COUNTIF('1.연간시수표'!P76,$BQ$7)),$BQ$6,IF(OR(COUNTIF('1.연간시수표'!P76,$BR$9),COUNTIF('1.연간시수표'!P76,$BR$7)),$BR$6,"_")))))))))))))))</f>
        <v>_</v>
      </c>
      <c r="Q76" s="148" t="str">
        <f>IF(OR(COUNTIF('1.연간시수표'!Q76,$AT$9),COUNTIF('1.연간시수표'!Q76,$AT$7)),$AT$6,IF(OR(COUNTIF('1.연간시수표'!Q76,$AU$9),COUNTIF('1.연간시수표'!Q76,$AU$7)),$AU$6,IF(OR(COUNTIF('1.연간시수표'!Q76,$AV$9),COUNTIF('1.연간시수표'!Q76,$AV$7)),$AV$6,IF(OR(COUNTIF('1.연간시수표'!Q76,$AW$9),COUNTIF('1.연간시수표'!Q76,$AW$7)),$AW$6,IF(OR(COUNTIF('1.연간시수표'!Q76,$AX$9),COUNTIF('1.연간시수표'!Q76,$AX$7)),$AX$6,IF(OR(COUNTIF('1.연간시수표'!Q76,$AY$9),COUNTIF('1.연간시수표'!Q76,$AY$7)),$AY$6,IF(OR(COUNTIF('1.연간시수표'!Q76,$AZ$9),COUNTIF('1.연간시수표'!Q76,$AZ$7)),$AZ$6,IF(OR(COUNTIF('1.연간시수표'!Q76,$BA$9),COUNTIF('1.연간시수표'!Q76,$BA$7)),$BA$6,IF(OR(COUNTIF('1.연간시수표'!Q76,$BB$9),COUNTIF('1.연간시수표'!Q76,$BB$7)),$BB$6,IF(OR(COUNTIF('1.연간시수표'!Q76,$BC$9),COUNTIF('1.연간시수표'!Q76,$BC$7)),$BC$6,IF(OR(COUNTIF('1.연간시수표'!Q76,$BF$9),COUNTIF('1.연간시수표'!Q76,$BF$7),COUNTIF('1.연간시수표'!Q76,$BG$9),COUNTIF('1.연간시수표'!Q76,$BG$7),COUNTIF('1.연간시수표'!Q76,$BH$9),COUNTIF('1.연간시수표'!Q76,$BH$7),COUNTIF('1.연간시수표'!Q76,$BI$9),COUNTIF('1.연간시수표'!Q76,$BI$7),COUNTIF('1.연간시수표'!Q76,$BJ$9),COUNTIF('1.연간시수표'!Q76,$BJ$7),COUNTIF('1.연간시수표'!Q76,$BK$9),COUNTIF('1.연간시수표'!Q76,$BK$7),COUNTIF('1.연간시수표'!Q76,$BL$9),COUNTIF('1.연간시수표'!Q76,$BL$7),COUNTIF('1.연간시수표'!Q76,$BM$9),COUNTIF('1.연간시수표'!Q76,$BM$7)),$BF$6,IF(OR(COUNTIF('1.연간시수표'!Q76,$BO$9),COUNTIF('1.연간시수표'!Q76,$BO$7)),$BO$6,IF(OR(COUNTIF('1.연간시수표'!Q76,$BP$9),COUNTIF('1.연간시수표'!Q76,$BP$7)),$BP$6,IF(OR(COUNTIF('1.연간시수표'!Q76,$BQ$9),COUNTIF('1.연간시수표'!Q76,$BQ$7)),$BQ$6,IF(OR(COUNTIF('1.연간시수표'!Q76,$BR$9),COUNTIF('1.연간시수표'!Q76,$BR$7)),$BR$6,"_")))))))))))))))</f>
        <v>_</v>
      </c>
      <c r="R76" s="148" t="str">
        <f>IF(OR(COUNTIF('1.연간시수표'!R76,$AT$9),COUNTIF('1.연간시수표'!R76,$AT$7)),$AT$6,IF(OR(COUNTIF('1.연간시수표'!R76,$AU$9),COUNTIF('1.연간시수표'!R76,$AU$7)),$AU$6,IF(OR(COUNTIF('1.연간시수표'!R76,$AV$9),COUNTIF('1.연간시수표'!R76,$AV$7)),$AV$6,IF(OR(COUNTIF('1.연간시수표'!R76,$AW$9),COUNTIF('1.연간시수표'!R76,$AW$7)),$AW$6,IF(OR(COUNTIF('1.연간시수표'!R76,$AX$9),COUNTIF('1.연간시수표'!R76,$AX$7)),$AX$6,IF(OR(COUNTIF('1.연간시수표'!R76,$AY$9),COUNTIF('1.연간시수표'!R76,$AY$7)),$AY$6,IF(OR(COUNTIF('1.연간시수표'!R76,$AZ$9),COUNTIF('1.연간시수표'!R76,$AZ$7)),$AZ$6,IF(OR(COUNTIF('1.연간시수표'!R76,$BA$9),COUNTIF('1.연간시수표'!R76,$BA$7)),$BA$6,IF(OR(COUNTIF('1.연간시수표'!R76,$BB$9),COUNTIF('1.연간시수표'!R76,$BB$7)),$BB$6,IF(OR(COUNTIF('1.연간시수표'!R76,$BC$9),COUNTIF('1.연간시수표'!R76,$BC$7)),$BC$6,IF(OR(COUNTIF('1.연간시수표'!R76,$BF$9),COUNTIF('1.연간시수표'!R76,$BF$7),COUNTIF('1.연간시수표'!R76,$BG$9),COUNTIF('1.연간시수표'!R76,$BG$7),COUNTIF('1.연간시수표'!R76,$BH$9),COUNTIF('1.연간시수표'!R76,$BH$7),COUNTIF('1.연간시수표'!R76,$BI$9),COUNTIF('1.연간시수표'!R76,$BI$7),COUNTIF('1.연간시수표'!R76,$BJ$9),COUNTIF('1.연간시수표'!R76,$BJ$7),COUNTIF('1.연간시수표'!R76,$BK$9),COUNTIF('1.연간시수표'!R76,$BK$7),COUNTIF('1.연간시수표'!R76,$BL$9),COUNTIF('1.연간시수표'!R76,$BL$7),COUNTIF('1.연간시수표'!R76,$BM$9),COUNTIF('1.연간시수표'!R76,$BM$7)),$BF$6,IF(OR(COUNTIF('1.연간시수표'!R76,$BO$9),COUNTIF('1.연간시수표'!R76,$BO$7)),$BO$6,IF(OR(COUNTIF('1.연간시수표'!R76,$BP$9),COUNTIF('1.연간시수표'!R76,$BP$7)),$BP$6,IF(OR(COUNTIF('1.연간시수표'!R76,$BQ$9),COUNTIF('1.연간시수표'!R76,$BQ$7)),$BQ$6,IF(OR(COUNTIF('1.연간시수표'!R76,$BR$9),COUNTIF('1.연간시수표'!R76,$BR$7)),$BR$6,"_")))))))))))))))</f>
        <v>_</v>
      </c>
      <c r="S76" s="148" t="str">
        <f>IF(OR(COUNTIF('1.연간시수표'!S76,$AT$9),COUNTIF('1.연간시수표'!S76,$AT$7)),$AT$6,IF(OR(COUNTIF('1.연간시수표'!S76,$AU$9),COUNTIF('1.연간시수표'!S76,$AU$7)),$AU$6,IF(OR(COUNTIF('1.연간시수표'!S76,$AV$9),COUNTIF('1.연간시수표'!S76,$AV$7)),$AV$6,IF(OR(COUNTIF('1.연간시수표'!S76,$AW$9),COUNTIF('1.연간시수표'!S76,$AW$7)),$AW$6,IF(OR(COUNTIF('1.연간시수표'!S76,$AX$9),COUNTIF('1.연간시수표'!S76,$AX$7)),$AX$6,IF(OR(COUNTIF('1.연간시수표'!S76,$AY$9),COUNTIF('1.연간시수표'!S76,$AY$7)),$AY$6,IF(OR(COUNTIF('1.연간시수표'!S76,$AZ$9),COUNTIF('1.연간시수표'!S76,$AZ$7)),$AZ$6,IF(OR(COUNTIF('1.연간시수표'!S76,$BA$9),COUNTIF('1.연간시수표'!S76,$BA$7)),$BA$6,IF(OR(COUNTIF('1.연간시수표'!S76,$BB$9),COUNTIF('1.연간시수표'!S76,$BB$7)),$BB$6,IF(OR(COUNTIF('1.연간시수표'!S76,$BC$9),COUNTIF('1.연간시수표'!S76,$BC$7)),$BC$6,IF(OR(COUNTIF('1.연간시수표'!S76,$BF$9),COUNTIF('1.연간시수표'!S76,$BF$7),COUNTIF('1.연간시수표'!S76,$BG$9),COUNTIF('1.연간시수표'!S76,$BG$7),COUNTIF('1.연간시수표'!S76,$BH$9),COUNTIF('1.연간시수표'!S76,$BH$7),COUNTIF('1.연간시수표'!S76,$BI$9),COUNTIF('1.연간시수표'!S76,$BI$7),COUNTIF('1.연간시수표'!S76,$BJ$9),COUNTIF('1.연간시수표'!S76,$BJ$7),COUNTIF('1.연간시수표'!S76,$BK$9),COUNTIF('1.연간시수표'!S76,$BK$7),COUNTIF('1.연간시수표'!S76,$BL$9),COUNTIF('1.연간시수표'!S76,$BL$7),COUNTIF('1.연간시수표'!S76,$BM$9),COUNTIF('1.연간시수표'!S76,$BM$7)),$BF$6,IF(OR(COUNTIF('1.연간시수표'!S76,$BO$9),COUNTIF('1.연간시수표'!S76,$BO$7)),$BO$6,IF(OR(COUNTIF('1.연간시수표'!S76,$BP$9),COUNTIF('1.연간시수표'!S76,$BP$7)),$BP$6,IF(OR(COUNTIF('1.연간시수표'!S76,$BQ$9),COUNTIF('1.연간시수표'!S76,$BQ$7)),$BQ$6,IF(OR(COUNTIF('1.연간시수표'!S76,$BR$9),COUNTIF('1.연간시수표'!S76,$BR$7)),$BR$6,"_")))))))))))))))</f>
        <v>_</v>
      </c>
      <c r="T76" s="148" t="str">
        <f>IF(OR(COUNTIF('1.연간시수표'!T76,$AT$9),COUNTIF('1.연간시수표'!T76,$AT$7)),$AT$6,IF(OR(COUNTIF('1.연간시수표'!T76,$AU$9),COUNTIF('1.연간시수표'!T76,$AU$7)),$AU$6,IF(OR(COUNTIF('1.연간시수표'!T76,$AV$9),COUNTIF('1.연간시수표'!T76,$AV$7)),$AV$6,IF(OR(COUNTIF('1.연간시수표'!T76,$AW$9),COUNTIF('1.연간시수표'!T76,$AW$7)),$AW$6,IF(OR(COUNTIF('1.연간시수표'!T76,$AX$9),COUNTIF('1.연간시수표'!T76,$AX$7)),$AX$6,IF(OR(COUNTIF('1.연간시수표'!T76,$AY$9),COUNTIF('1.연간시수표'!T76,$AY$7)),$AY$6,IF(OR(COUNTIF('1.연간시수표'!T76,$AZ$9),COUNTIF('1.연간시수표'!T76,$AZ$7)),$AZ$6,IF(OR(COUNTIF('1.연간시수표'!T76,$BA$9),COUNTIF('1.연간시수표'!T76,$BA$7)),$BA$6,IF(OR(COUNTIF('1.연간시수표'!T76,$BB$9),COUNTIF('1.연간시수표'!T76,$BB$7)),$BB$6,IF(OR(COUNTIF('1.연간시수표'!T76,$BC$9),COUNTIF('1.연간시수표'!T76,$BC$7)),$BC$6,IF(OR(COUNTIF('1.연간시수표'!T76,$BF$9),COUNTIF('1.연간시수표'!T76,$BF$7),COUNTIF('1.연간시수표'!T76,$BG$9),COUNTIF('1.연간시수표'!T76,$BG$7),COUNTIF('1.연간시수표'!T76,$BH$9),COUNTIF('1.연간시수표'!T76,$BH$7),COUNTIF('1.연간시수표'!T76,$BI$9),COUNTIF('1.연간시수표'!T76,$BI$7),COUNTIF('1.연간시수표'!T76,$BJ$9),COUNTIF('1.연간시수표'!T76,$BJ$7),COUNTIF('1.연간시수표'!T76,$BK$9),COUNTIF('1.연간시수표'!T76,$BK$7),COUNTIF('1.연간시수표'!T76,$BL$9),COUNTIF('1.연간시수표'!T76,$BL$7),COUNTIF('1.연간시수표'!T76,$BM$9),COUNTIF('1.연간시수표'!T76,$BM$7)),$BF$6,IF(OR(COUNTIF('1.연간시수표'!T76,$BO$9),COUNTIF('1.연간시수표'!T76,$BO$7)),$BO$6,IF(OR(COUNTIF('1.연간시수표'!T76,$BP$9),COUNTIF('1.연간시수표'!T76,$BP$7)),$BP$6,IF(OR(COUNTIF('1.연간시수표'!T76,$BQ$9),COUNTIF('1.연간시수표'!T76,$BQ$7)),$BQ$6,IF(OR(COUNTIF('1.연간시수표'!T76,$BR$9),COUNTIF('1.연간시수표'!T76,$BR$7)),$BR$6,"_")))))))))))))))</f>
        <v>_</v>
      </c>
      <c r="U76" s="148" t="str">
        <f>IF(OR(COUNTIF('1.연간시수표'!U76,$AT$9),COUNTIF('1.연간시수표'!U76,$AT$7)),$AT$6,IF(OR(COUNTIF('1.연간시수표'!U76,$AU$9),COUNTIF('1.연간시수표'!U76,$AU$7)),$AU$6,IF(OR(COUNTIF('1.연간시수표'!U76,$AV$9),COUNTIF('1.연간시수표'!U76,$AV$7)),$AV$6,IF(OR(COUNTIF('1.연간시수표'!U76,$AW$9),COUNTIF('1.연간시수표'!U76,$AW$7)),$AW$6,IF(OR(COUNTIF('1.연간시수표'!U76,$AX$9),COUNTIF('1.연간시수표'!U76,$AX$7)),$AX$6,IF(OR(COUNTIF('1.연간시수표'!U76,$AY$9),COUNTIF('1.연간시수표'!U76,$AY$7)),$AY$6,IF(OR(COUNTIF('1.연간시수표'!U76,$AZ$9),COUNTIF('1.연간시수표'!U76,$AZ$7)),$AZ$6,IF(OR(COUNTIF('1.연간시수표'!U76,$BA$9),COUNTIF('1.연간시수표'!U76,$BA$7)),$BA$6,IF(OR(COUNTIF('1.연간시수표'!U76,$BB$9),COUNTIF('1.연간시수표'!U76,$BB$7)),$BB$6,IF(OR(COUNTIF('1.연간시수표'!U76,$BC$9),COUNTIF('1.연간시수표'!U76,$BC$7)),$BC$6,IF(OR(COUNTIF('1.연간시수표'!U76,$BF$9),COUNTIF('1.연간시수표'!U76,$BF$7),COUNTIF('1.연간시수표'!U76,$BG$9),COUNTIF('1.연간시수표'!U76,$BG$7),COUNTIF('1.연간시수표'!U76,$BH$9),COUNTIF('1.연간시수표'!U76,$BH$7),COUNTIF('1.연간시수표'!U76,$BI$9),COUNTIF('1.연간시수표'!U76,$BI$7),COUNTIF('1.연간시수표'!U76,$BJ$9),COUNTIF('1.연간시수표'!U76,$BJ$7),COUNTIF('1.연간시수표'!U76,$BK$9),COUNTIF('1.연간시수표'!U76,$BK$7),COUNTIF('1.연간시수표'!U76,$BL$9),COUNTIF('1.연간시수표'!U76,$BL$7),COUNTIF('1.연간시수표'!U76,$BM$9),COUNTIF('1.연간시수표'!U76,$BM$7)),$BF$6,IF(OR(COUNTIF('1.연간시수표'!U76,$BO$9),COUNTIF('1.연간시수표'!U76,$BO$7)),$BO$6,IF(OR(COUNTIF('1.연간시수표'!U76,$BP$9),COUNTIF('1.연간시수표'!U76,$BP$7)),$BP$6,IF(OR(COUNTIF('1.연간시수표'!U76,$BQ$9),COUNTIF('1.연간시수표'!U76,$BQ$7)),$BQ$6,IF(OR(COUNTIF('1.연간시수표'!U76,$BR$9),COUNTIF('1.연간시수표'!U76,$BR$7)),$BR$6,"_")))))))))))))))</f>
        <v>_</v>
      </c>
      <c r="V76" s="148" t="str">
        <f>IF(OR(COUNTIF('1.연간시수표'!V76,$AT$9),COUNTIF('1.연간시수표'!V76,$AT$7)),$AT$6,IF(OR(COUNTIF('1.연간시수표'!V76,$AU$9),COUNTIF('1.연간시수표'!V76,$AU$7)),$AU$6,IF(OR(COUNTIF('1.연간시수표'!V76,$AV$9),COUNTIF('1.연간시수표'!V76,$AV$7)),$AV$6,IF(OR(COUNTIF('1.연간시수표'!V76,$AW$9),COUNTIF('1.연간시수표'!V76,$AW$7)),$AW$6,IF(OR(COUNTIF('1.연간시수표'!V76,$AX$9),COUNTIF('1.연간시수표'!V76,$AX$7)),$AX$6,IF(OR(COUNTIF('1.연간시수표'!V76,$AY$9),COUNTIF('1.연간시수표'!V76,$AY$7)),$AY$6,IF(OR(COUNTIF('1.연간시수표'!V76,$AZ$9),COUNTIF('1.연간시수표'!V76,$AZ$7)),$AZ$6,IF(OR(COUNTIF('1.연간시수표'!V76,$BA$9),COUNTIF('1.연간시수표'!V76,$BA$7)),$BA$6,IF(OR(COUNTIF('1.연간시수표'!V76,$BB$9),COUNTIF('1.연간시수표'!V76,$BB$7)),$BB$6,IF(OR(COUNTIF('1.연간시수표'!V76,$BC$9),COUNTIF('1.연간시수표'!V76,$BC$7)),$BC$6,IF(OR(COUNTIF('1.연간시수표'!V76,$BF$9),COUNTIF('1.연간시수표'!V76,$BF$7),COUNTIF('1.연간시수표'!V76,$BG$9),COUNTIF('1.연간시수표'!V76,$BG$7),COUNTIF('1.연간시수표'!V76,$BH$9),COUNTIF('1.연간시수표'!V76,$BH$7),COUNTIF('1.연간시수표'!V76,$BI$9),COUNTIF('1.연간시수표'!V76,$BI$7),COUNTIF('1.연간시수표'!V76,$BJ$9),COUNTIF('1.연간시수표'!V76,$BJ$7),COUNTIF('1.연간시수표'!V76,$BK$9),COUNTIF('1.연간시수표'!V76,$BK$7),COUNTIF('1.연간시수표'!V76,$BL$9),COUNTIF('1.연간시수표'!V76,$BL$7),COUNTIF('1.연간시수표'!V76,$BM$9),COUNTIF('1.연간시수표'!V76,$BM$7)),$BF$6,IF(OR(COUNTIF('1.연간시수표'!V76,$BO$9),COUNTIF('1.연간시수표'!V76,$BO$7)),$BO$6,IF(OR(COUNTIF('1.연간시수표'!V76,$BP$9),COUNTIF('1.연간시수표'!V76,$BP$7)),$BP$6,IF(OR(COUNTIF('1.연간시수표'!V76,$BQ$9),COUNTIF('1.연간시수표'!V76,$BQ$7)),$BQ$6,IF(OR(COUNTIF('1.연간시수표'!V76,$BR$9),COUNTIF('1.연간시수표'!V76,$BR$7)),$BR$6,"_")))))))))))))))</f>
        <v>_</v>
      </c>
      <c r="W76" s="148" t="str">
        <f>IF(OR(COUNTIF('1.연간시수표'!W76,$AT$9),COUNTIF('1.연간시수표'!W76,$AT$7)),$AT$6,IF(OR(COUNTIF('1.연간시수표'!W76,$AU$9),COUNTIF('1.연간시수표'!W76,$AU$7)),$AU$6,IF(OR(COUNTIF('1.연간시수표'!W76,$AV$9),COUNTIF('1.연간시수표'!W76,$AV$7)),$AV$6,IF(OR(COUNTIF('1.연간시수표'!W76,$AW$9),COUNTIF('1.연간시수표'!W76,$AW$7)),$AW$6,IF(OR(COUNTIF('1.연간시수표'!W76,$AX$9),COUNTIF('1.연간시수표'!W76,$AX$7)),$AX$6,IF(OR(COUNTIF('1.연간시수표'!W76,$AY$9),COUNTIF('1.연간시수표'!W76,$AY$7)),$AY$6,IF(OR(COUNTIF('1.연간시수표'!W76,$AZ$9),COUNTIF('1.연간시수표'!W76,$AZ$7)),$AZ$6,IF(OR(COUNTIF('1.연간시수표'!W76,$BA$9),COUNTIF('1.연간시수표'!W76,$BA$7)),$BA$6,IF(OR(COUNTIF('1.연간시수표'!W76,$BB$9),COUNTIF('1.연간시수표'!W76,$BB$7)),$BB$6,IF(OR(COUNTIF('1.연간시수표'!W76,$BC$9),COUNTIF('1.연간시수표'!W76,$BC$7)),$BC$6,IF(OR(COUNTIF('1.연간시수표'!W76,$BF$9),COUNTIF('1.연간시수표'!W76,$BF$7),COUNTIF('1.연간시수표'!W76,$BG$9),COUNTIF('1.연간시수표'!W76,$BG$7),COUNTIF('1.연간시수표'!W76,$BH$9),COUNTIF('1.연간시수표'!W76,$BH$7),COUNTIF('1.연간시수표'!W76,$BI$9),COUNTIF('1.연간시수표'!W76,$BI$7),COUNTIF('1.연간시수표'!W76,$BJ$9),COUNTIF('1.연간시수표'!W76,$BJ$7),COUNTIF('1.연간시수표'!W76,$BK$9),COUNTIF('1.연간시수표'!W76,$BK$7),COUNTIF('1.연간시수표'!W76,$BL$9),COUNTIF('1.연간시수표'!W76,$BL$7),COUNTIF('1.연간시수표'!W76,$BM$9),COUNTIF('1.연간시수표'!W76,$BM$7)),$BF$6,IF(OR(COUNTIF('1.연간시수표'!W76,$BO$9),COUNTIF('1.연간시수표'!W76,$BO$7)),$BO$6,IF(OR(COUNTIF('1.연간시수표'!W76,$BP$9),COUNTIF('1.연간시수표'!W76,$BP$7)),$BP$6,IF(OR(COUNTIF('1.연간시수표'!W76,$BQ$9),COUNTIF('1.연간시수표'!W76,$BQ$7)),$BQ$6,IF(OR(COUNTIF('1.연간시수표'!W76,$BR$9),COUNTIF('1.연간시수표'!W76,$BR$7)),$BR$6,"_")))))))))))))))</f>
        <v>_</v>
      </c>
      <c r="X76" s="148" t="str">
        <f>IF(OR(COUNTIF('1.연간시수표'!X76,$AT$9),COUNTIF('1.연간시수표'!X76,$AT$7)),$AT$6,IF(OR(COUNTIF('1.연간시수표'!X76,$AU$9),COUNTIF('1.연간시수표'!X76,$AU$7)),$AU$6,IF(OR(COUNTIF('1.연간시수표'!X76,$AV$9),COUNTIF('1.연간시수표'!X76,$AV$7)),$AV$6,IF(OR(COUNTIF('1.연간시수표'!X76,$AW$9),COUNTIF('1.연간시수표'!X76,$AW$7)),$AW$6,IF(OR(COUNTIF('1.연간시수표'!X76,$AX$9),COUNTIF('1.연간시수표'!X76,$AX$7)),$AX$6,IF(OR(COUNTIF('1.연간시수표'!X76,$AY$9),COUNTIF('1.연간시수표'!X76,$AY$7)),$AY$6,IF(OR(COUNTIF('1.연간시수표'!X76,$AZ$9),COUNTIF('1.연간시수표'!X76,$AZ$7)),$AZ$6,IF(OR(COUNTIF('1.연간시수표'!X76,$BA$9),COUNTIF('1.연간시수표'!X76,$BA$7)),$BA$6,IF(OR(COUNTIF('1.연간시수표'!X76,$BB$9),COUNTIF('1.연간시수표'!X76,$BB$7)),$BB$6,IF(OR(COUNTIF('1.연간시수표'!X76,$BC$9),COUNTIF('1.연간시수표'!X76,$BC$7)),$BC$6,IF(OR(COUNTIF('1.연간시수표'!X76,$BF$9),COUNTIF('1.연간시수표'!X76,$BF$7),COUNTIF('1.연간시수표'!X76,$BG$9),COUNTIF('1.연간시수표'!X76,$BG$7),COUNTIF('1.연간시수표'!X76,$BH$9),COUNTIF('1.연간시수표'!X76,$BH$7),COUNTIF('1.연간시수표'!X76,$BI$9),COUNTIF('1.연간시수표'!X76,$BI$7),COUNTIF('1.연간시수표'!X76,$BJ$9),COUNTIF('1.연간시수표'!X76,$BJ$7),COUNTIF('1.연간시수표'!X76,$BK$9),COUNTIF('1.연간시수표'!X76,$BK$7),COUNTIF('1.연간시수표'!X76,$BL$9),COUNTIF('1.연간시수표'!X76,$BL$7),COUNTIF('1.연간시수표'!X76,$BM$9),COUNTIF('1.연간시수표'!X76,$BM$7)),$BF$6,IF(OR(COUNTIF('1.연간시수표'!X76,$BO$9),COUNTIF('1.연간시수표'!X76,$BO$7)),$BO$6,IF(OR(COUNTIF('1.연간시수표'!X76,$BP$9),COUNTIF('1.연간시수표'!X76,$BP$7)),$BP$6,IF(OR(COUNTIF('1.연간시수표'!X76,$BQ$9),COUNTIF('1.연간시수표'!X76,$BQ$7)),$BQ$6,IF(OR(COUNTIF('1.연간시수표'!X76,$BR$9),COUNTIF('1.연간시수표'!X76,$BR$7)),$BR$6,"_")))))))))))))))</f>
        <v>_</v>
      </c>
      <c r="Y76" s="148" t="str">
        <f>IF(OR(COUNTIF('1.연간시수표'!Y76,$AT$9),COUNTIF('1.연간시수표'!Y76,$AT$7)),$AT$6,IF(OR(COUNTIF('1.연간시수표'!Y76,$AU$9),COUNTIF('1.연간시수표'!Y76,$AU$7)),$AU$6,IF(OR(COUNTIF('1.연간시수표'!Y76,$AV$9),COUNTIF('1.연간시수표'!Y76,$AV$7)),$AV$6,IF(OR(COUNTIF('1.연간시수표'!Y76,$AW$9),COUNTIF('1.연간시수표'!Y76,$AW$7)),$AW$6,IF(OR(COUNTIF('1.연간시수표'!Y76,$AX$9),COUNTIF('1.연간시수표'!Y76,$AX$7)),$AX$6,IF(OR(COUNTIF('1.연간시수표'!Y76,$AY$9),COUNTIF('1.연간시수표'!Y76,$AY$7)),$AY$6,IF(OR(COUNTIF('1.연간시수표'!Y76,$AZ$9),COUNTIF('1.연간시수표'!Y76,$AZ$7)),$AZ$6,IF(OR(COUNTIF('1.연간시수표'!Y76,$BA$9),COUNTIF('1.연간시수표'!Y76,$BA$7)),$BA$6,IF(OR(COUNTIF('1.연간시수표'!Y76,$BB$9),COUNTIF('1.연간시수표'!Y76,$BB$7)),$BB$6,IF(OR(COUNTIF('1.연간시수표'!Y76,$BC$9),COUNTIF('1.연간시수표'!Y76,$BC$7)),$BC$6,IF(OR(COUNTIF('1.연간시수표'!Y76,$BF$9),COUNTIF('1.연간시수표'!Y76,$BF$7),COUNTIF('1.연간시수표'!Y76,$BG$9),COUNTIF('1.연간시수표'!Y76,$BG$7),COUNTIF('1.연간시수표'!Y76,$BH$9),COUNTIF('1.연간시수표'!Y76,$BH$7),COUNTIF('1.연간시수표'!Y76,$BI$9),COUNTIF('1.연간시수표'!Y76,$BI$7),COUNTIF('1.연간시수표'!Y76,$BJ$9),COUNTIF('1.연간시수표'!Y76,$BJ$7),COUNTIF('1.연간시수표'!Y76,$BK$9),COUNTIF('1.연간시수표'!Y76,$BK$7),COUNTIF('1.연간시수표'!Y76,$BL$9),COUNTIF('1.연간시수표'!Y76,$BL$7),COUNTIF('1.연간시수표'!Y76,$BM$9),COUNTIF('1.연간시수표'!Y76,$BM$7)),$BF$6,IF(OR(COUNTIF('1.연간시수표'!Y76,$BO$9),COUNTIF('1.연간시수표'!Y76,$BO$7)),$BO$6,IF(OR(COUNTIF('1.연간시수표'!Y76,$BP$9),COUNTIF('1.연간시수표'!Y76,$BP$7)),$BP$6,IF(OR(COUNTIF('1.연간시수표'!Y76,$BQ$9),COUNTIF('1.연간시수표'!Y76,$BQ$7)),$BQ$6,IF(OR(COUNTIF('1.연간시수표'!Y76,$BR$9),COUNTIF('1.연간시수표'!Y76,$BR$7)),$BR$6,"_")))))))))))))))</f>
        <v>_</v>
      </c>
      <c r="Z76" s="148" t="str">
        <f>IF(OR(COUNTIF('1.연간시수표'!Z76,$AT$9),COUNTIF('1.연간시수표'!Z76,$AT$7)),$AT$6,IF(OR(COUNTIF('1.연간시수표'!Z76,$AU$9),COUNTIF('1.연간시수표'!Z76,$AU$7)),$AU$6,IF(OR(COUNTIF('1.연간시수표'!Z76,$AV$9),COUNTIF('1.연간시수표'!Z76,$AV$7)),$AV$6,IF(OR(COUNTIF('1.연간시수표'!Z76,$AW$9),COUNTIF('1.연간시수표'!Z76,$AW$7)),$AW$6,IF(OR(COUNTIF('1.연간시수표'!Z76,$AX$9),COUNTIF('1.연간시수표'!Z76,$AX$7)),$AX$6,IF(OR(COUNTIF('1.연간시수표'!Z76,$AY$9),COUNTIF('1.연간시수표'!Z76,$AY$7)),$AY$6,IF(OR(COUNTIF('1.연간시수표'!Z76,$AZ$9),COUNTIF('1.연간시수표'!Z76,$AZ$7)),$AZ$6,IF(OR(COUNTIF('1.연간시수표'!Z76,$BA$9),COUNTIF('1.연간시수표'!Z76,$BA$7)),$BA$6,IF(OR(COUNTIF('1.연간시수표'!Z76,$BB$9),COUNTIF('1.연간시수표'!Z76,$BB$7)),$BB$6,IF(OR(COUNTIF('1.연간시수표'!Z76,$BC$9),COUNTIF('1.연간시수표'!Z76,$BC$7)),$BC$6,IF(OR(COUNTIF('1.연간시수표'!Z76,$BF$9),COUNTIF('1.연간시수표'!Z76,$BF$7),COUNTIF('1.연간시수표'!Z76,$BG$9),COUNTIF('1.연간시수표'!Z76,$BG$7),COUNTIF('1.연간시수표'!Z76,$BH$9),COUNTIF('1.연간시수표'!Z76,$BH$7),COUNTIF('1.연간시수표'!Z76,$BI$9),COUNTIF('1.연간시수표'!Z76,$BI$7),COUNTIF('1.연간시수표'!Z76,$BJ$9),COUNTIF('1.연간시수표'!Z76,$BJ$7),COUNTIF('1.연간시수표'!Z76,$BK$9),COUNTIF('1.연간시수표'!Z76,$BK$7),COUNTIF('1.연간시수표'!Z76,$BL$9),COUNTIF('1.연간시수표'!Z76,$BL$7),COUNTIF('1.연간시수표'!Z76,$BM$9),COUNTIF('1.연간시수표'!Z76,$BM$7)),$BF$6,IF(OR(COUNTIF('1.연간시수표'!Z76,$BO$9),COUNTIF('1.연간시수표'!Z76,$BO$7)),$BO$6,IF(OR(COUNTIF('1.연간시수표'!Z76,$BP$9),COUNTIF('1.연간시수표'!Z76,$BP$7)),$BP$6,IF(OR(COUNTIF('1.연간시수표'!Z76,$BQ$9),COUNTIF('1.연간시수표'!Z76,$BQ$7)),$BQ$6,IF(OR(COUNTIF('1.연간시수표'!Z76,$BR$9),COUNTIF('1.연간시수표'!Z76,$BR$7)),$BR$6,"_")))))))))))))))</f>
        <v>_</v>
      </c>
      <c r="AA76" s="148" t="str">
        <f>IF(OR(COUNTIF('1.연간시수표'!AA76,$AT$9),COUNTIF('1.연간시수표'!AA76,$AT$7)),$AT$6,IF(OR(COUNTIF('1.연간시수표'!AA76,$AU$9),COUNTIF('1.연간시수표'!AA76,$AU$7)),$AU$6,IF(OR(COUNTIF('1.연간시수표'!AA76,$AV$9),COUNTIF('1.연간시수표'!AA76,$AV$7)),$AV$6,IF(OR(COUNTIF('1.연간시수표'!AA76,$AW$9),COUNTIF('1.연간시수표'!AA76,$AW$7)),$AW$6,IF(OR(COUNTIF('1.연간시수표'!AA76,$AX$9),COUNTIF('1.연간시수표'!AA76,$AX$7)),$AX$6,IF(OR(COUNTIF('1.연간시수표'!AA76,$AY$9),COUNTIF('1.연간시수표'!AA76,$AY$7)),$AY$6,IF(OR(COUNTIF('1.연간시수표'!AA76,$AZ$9),COUNTIF('1.연간시수표'!AA76,$AZ$7)),$AZ$6,IF(OR(COUNTIF('1.연간시수표'!AA76,$BA$9),COUNTIF('1.연간시수표'!AA76,$BA$7)),$BA$6,IF(OR(COUNTIF('1.연간시수표'!AA76,$BB$9),COUNTIF('1.연간시수표'!AA76,$BB$7)),$BB$6,IF(OR(COUNTIF('1.연간시수표'!AA76,$BC$9),COUNTIF('1.연간시수표'!AA76,$BC$7)),$BC$6,IF(OR(COUNTIF('1.연간시수표'!AA76,$BF$9),COUNTIF('1.연간시수표'!AA76,$BF$7),COUNTIF('1.연간시수표'!AA76,$BG$9),COUNTIF('1.연간시수표'!AA76,$BG$7),COUNTIF('1.연간시수표'!AA76,$BH$9),COUNTIF('1.연간시수표'!AA76,$BH$7),COUNTIF('1.연간시수표'!AA76,$BI$9),COUNTIF('1.연간시수표'!AA76,$BI$7),COUNTIF('1.연간시수표'!AA76,$BJ$9),COUNTIF('1.연간시수표'!AA76,$BJ$7),COUNTIF('1.연간시수표'!AA76,$BK$9),COUNTIF('1.연간시수표'!AA76,$BK$7),COUNTIF('1.연간시수표'!AA76,$BL$9),COUNTIF('1.연간시수표'!AA76,$BL$7),COUNTIF('1.연간시수표'!AA76,$BM$9),COUNTIF('1.연간시수표'!AA76,$BM$7)),$BF$6,IF(OR(COUNTIF('1.연간시수표'!AA76,$BO$9),COUNTIF('1.연간시수표'!AA76,$BO$7)),$BO$6,IF(OR(COUNTIF('1.연간시수표'!AA76,$BP$9),COUNTIF('1.연간시수표'!AA76,$BP$7)),$BP$6,IF(OR(COUNTIF('1.연간시수표'!AA76,$BQ$9),COUNTIF('1.연간시수표'!AA76,$BQ$7)),$BQ$6,IF(OR(COUNTIF('1.연간시수표'!AA76,$BR$9),COUNTIF('1.연간시수표'!AA76,$BR$7)),$BR$6,"_")))))))))))))))</f>
        <v>_</v>
      </c>
      <c r="AB76" s="148" t="str">
        <f>IF(OR(COUNTIF('1.연간시수표'!AB76,$AT$9),COUNTIF('1.연간시수표'!AB76,$AT$7)),$AT$6,IF(OR(COUNTIF('1.연간시수표'!AB76,$AU$9),COUNTIF('1.연간시수표'!AB76,$AU$7)),$AU$6,IF(OR(COUNTIF('1.연간시수표'!AB76,$AV$9),COUNTIF('1.연간시수표'!AB76,$AV$7)),$AV$6,IF(OR(COUNTIF('1.연간시수표'!AB76,$AW$9),COUNTIF('1.연간시수표'!AB76,$AW$7)),$AW$6,IF(OR(COUNTIF('1.연간시수표'!AB76,$AX$9),COUNTIF('1.연간시수표'!AB76,$AX$7)),$AX$6,IF(OR(COUNTIF('1.연간시수표'!AB76,$AY$9),COUNTIF('1.연간시수표'!AB76,$AY$7)),$AY$6,IF(OR(COUNTIF('1.연간시수표'!AB76,$AZ$9),COUNTIF('1.연간시수표'!AB76,$AZ$7)),$AZ$6,IF(OR(COUNTIF('1.연간시수표'!AB76,$BA$9),COUNTIF('1.연간시수표'!AB76,$BA$7)),$BA$6,IF(OR(COUNTIF('1.연간시수표'!AB76,$BB$9),COUNTIF('1.연간시수표'!AB76,$BB$7)),$BB$6,IF(OR(COUNTIF('1.연간시수표'!AB76,$BC$9),COUNTIF('1.연간시수표'!AB76,$BC$7)),$BC$6,IF(OR(COUNTIF('1.연간시수표'!AB76,$BF$9),COUNTIF('1.연간시수표'!AB76,$BF$7),COUNTIF('1.연간시수표'!AB76,$BG$9),COUNTIF('1.연간시수표'!AB76,$BG$7),COUNTIF('1.연간시수표'!AB76,$BH$9),COUNTIF('1.연간시수표'!AB76,$BH$7),COUNTIF('1.연간시수표'!AB76,$BI$9),COUNTIF('1.연간시수표'!AB76,$BI$7),COUNTIF('1.연간시수표'!AB76,$BJ$9),COUNTIF('1.연간시수표'!AB76,$BJ$7),COUNTIF('1.연간시수표'!AB76,$BK$9),COUNTIF('1.연간시수표'!AB76,$BK$7),COUNTIF('1.연간시수표'!AB76,$BL$9),COUNTIF('1.연간시수표'!AB76,$BL$7),COUNTIF('1.연간시수표'!AB76,$BM$9),COUNTIF('1.연간시수표'!AB76,$BM$7)),$BF$6,IF(OR(COUNTIF('1.연간시수표'!AB76,$BO$9),COUNTIF('1.연간시수표'!AB76,$BO$7)),$BO$6,IF(OR(COUNTIF('1.연간시수표'!AB76,$BP$9),COUNTIF('1.연간시수표'!AB76,$BP$7)),$BP$6,IF(OR(COUNTIF('1.연간시수표'!AB76,$BQ$9),COUNTIF('1.연간시수표'!AB76,$BQ$7)),$BQ$6,IF(OR(COUNTIF('1.연간시수표'!AB76,$BR$9),COUNTIF('1.연간시수표'!AB76,$BR$7)),$BR$6,"_")))))))))))))))</f>
        <v>_</v>
      </c>
      <c r="AC76" s="148" t="str">
        <f>IF(OR(COUNTIF('1.연간시수표'!AC76,$AT$9),COUNTIF('1.연간시수표'!AC76,$AT$7)),$AT$6,IF(OR(COUNTIF('1.연간시수표'!AC76,$AU$9),COUNTIF('1.연간시수표'!AC76,$AU$7)),$AU$6,IF(OR(COUNTIF('1.연간시수표'!AC76,$AV$9),COUNTIF('1.연간시수표'!AC76,$AV$7)),$AV$6,IF(OR(COUNTIF('1.연간시수표'!AC76,$AW$9),COUNTIF('1.연간시수표'!AC76,$AW$7)),$AW$6,IF(OR(COUNTIF('1.연간시수표'!AC76,$AX$9),COUNTIF('1.연간시수표'!AC76,$AX$7)),$AX$6,IF(OR(COUNTIF('1.연간시수표'!AC76,$AY$9),COUNTIF('1.연간시수표'!AC76,$AY$7)),$AY$6,IF(OR(COUNTIF('1.연간시수표'!AC76,$AZ$9),COUNTIF('1.연간시수표'!AC76,$AZ$7)),$AZ$6,IF(OR(COUNTIF('1.연간시수표'!AC76,$BA$9),COUNTIF('1.연간시수표'!AC76,$BA$7)),$BA$6,IF(OR(COUNTIF('1.연간시수표'!AC76,$BB$9),COUNTIF('1.연간시수표'!AC76,$BB$7)),$BB$6,IF(OR(COUNTIF('1.연간시수표'!AC76,$BC$9),COUNTIF('1.연간시수표'!AC76,$BC$7)),$BC$6,IF(OR(COUNTIF('1.연간시수표'!AC76,$BF$9),COUNTIF('1.연간시수표'!AC76,$BF$7),COUNTIF('1.연간시수표'!AC76,$BG$9),COUNTIF('1.연간시수표'!AC76,$BG$7),COUNTIF('1.연간시수표'!AC76,$BH$9),COUNTIF('1.연간시수표'!AC76,$BH$7),COUNTIF('1.연간시수표'!AC76,$BI$9),COUNTIF('1.연간시수표'!AC76,$BI$7),COUNTIF('1.연간시수표'!AC76,$BJ$9),COUNTIF('1.연간시수표'!AC76,$BJ$7),COUNTIF('1.연간시수표'!AC76,$BK$9),COUNTIF('1.연간시수표'!AC76,$BK$7),COUNTIF('1.연간시수표'!AC76,$BL$9),COUNTIF('1.연간시수표'!AC76,$BL$7),COUNTIF('1.연간시수표'!AC76,$BM$9),COUNTIF('1.연간시수표'!AC76,$BM$7)),$BF$6,IF(OR(COUNTIF('1.연간시수표'!AC76,$BO$9),COUNTIF('1.연간시수표'!AC76,$BO$7)),$BO$6,IF(OR(COUNTIF('1.연간시수표'!AC76,$BP$9),COUNTIF('1.연간시수표'!AC76,$BP$7)),$BP$6,IF(OR(COUNTIF('1.연간시수표'!AC76,$BQ$9),COUNTIF('1.연간시수표'!AC76,$BQ$7)),$BQ$6,IF(OR(COUNTIF('1.연간시수표'!AC76,$BR$9),COUNTIF('1.연간시수표'!AC76,$BR$7)),$BR$6,"_")))))))))))))))</f>
        <v>_</v>
      </c>
      <c r="AD76" s="148" t="str">
        <f>IF(OR(COUNTIF('1.연간시수표'!AD76,$AT$9),COUNTIF('1.연간시수표'!AD76,$AT$7)),$AT$6,IF(OR(COUNTIF('1.연간시수표'!AD76,$AU$9),COUNTIF('1.연간시수표'!AD76,$AU$7)),$AU$6,IF(OR(COUNTIF('1.연간시수표'!AD76,$AV$9),COUNTIF('1.연간시수표'!AD76,$AV$7)),$AV$6,IF(OR(COUNTIF('1.연간시수표'!AD76,$AW$9),COUNTIF('1.연간시수표'!AD76,$AW$7)),$AW$6,IF(OR(COUNTIF('1.연간시수표'!AD76,$AX$9),COUNTIF('1.연간시수표'!AD76,$AX$7)),$AX$6,IF(OR(COUNTIF('1.연간시수표'!AD76,$AY$9),COUNTIF('1.연간시수표'!AD76,$AY$7)),$AY$6,IF(OR(COUNTIF('1.연간시수표'!AD76,$AZ$9),COUNTIF('1.연간시수표'!AD76,$AZ$7)),$AZ$6,IF(OR(COUNTIF('1.연간시수표'!AD76,$BA$9),COUNTIF('1.연간시수표'!AD76,$BA$7)),$BA$6,IF(OR(COUNTIF('1.연간시수표'!AD76,$BB$9),COUNTIF('1.연간시수표'!AD76,$BB$7)),$BB$6,IF(OR(COUNTIF('1.연간시수표'!AD76,$BC$9),COUNTIF('1.연간시수표'!AD76,$BC$7)),$BC$6,IF(OR(COUNTIF('1.연간시수표'!AD76,$BF$9),COUNTIF('1.연간시수표'!AD76,$BF$7),COUNTIF('1.연간시수표'!AD76,$BG$9),COUNTIF('1.연간시수표'!AD76,$BG$7),COUNTIF('1.연간시수표'!AD76,$BH$9),COUNTIF('1.연간시수표'!AD76,$BH$7),COUNTIF('1.연간시수표'!AD76,$BI$9),COUNTIF('1.연간시수표'!AD76,$BI$7),COUNTIF('1.연간시수표'!AD76,$BJ$9),COUNTIF('1.연간시수표'!AD76,$BJ$7),COUNTIF('1.연간시수표'!AD76,$BK$9),COUNTIF('1.연간시수표'!AD76,$BK$7),COUNTIF('1.연간시수표'!AD76,$BL$9),COUNTIF('1.연간시수표'!AD76,$BL$7),COUNTIF('1.연간시수표'!AD76,$BM$9),COUNTIF('1.연간시수표'!AD76,$BM$7)),$BF$6,IF(OR(COUNTIF('1.연간시수표'!AD76,$BO$9),COUNTIF('1.연간시수표'!AD76,$BO$7)),$BO$6,IF(OR(COUNTIF('1.연간시수표'!AD76,$BP$9),COUNTIF('1.연간시수표'!AD76,$BP$7)),$BP$6,IF(OR(COUNTIF('1.연간시수표'!AD76,$BQ$9),COUNTIF('1.연간시수표'!AD76,$BQ$7)),$BQ$6,IF(OR(COUNTIF('1.연간시수표'!AD76,$BR$9),COUNTIF('1.연간시수표'!AD76,$BR$7)),$BR$6,"_")))))))))))))))</f>
        <v>_</v>
      </c>
      <c r="AE76" s="148" t="str">
        <f>IF(OR(COUNTIF('1.연간시수표'!AE76,$AT$9),COUNTIF('1.연간시수표'!AE76,$AT$7)),$AT$6,IF(OR(COUNTIF('1.연간시수표'!AE76,$AU$9),COUNTIF('1.연간시수표'!AE76,$AU$7)),$AU$6,IF(OR(COUNTIF('1.연간시수표'!AE76,$AV$9),COUNTIF('1.연간시수표'!AE76,$AV$7)),$AV$6,IF(OR(COUNTIF('1.연간시수표'!AE76,$AW$9),COUNTIF('1.연간시수표'!AE76,$AW$7)),$AW$6,IF(OR(COUNTIF('1.연간시수표'!AE76,$AX$9),COUNTIF('1.연간시수표'!AE76,$AX$7)),$AX$6,IF(OR(COUNTIF('1.연간시수표'!AE76,$AY$9),COUNTIF('1.연간시수표'!AE76,$AY$7)),$AY$6,IF(OR(COUNTIF('1.연간시수표'!AE76,$AZ$9),COUNTIF('1.연간시수표'!AE76,$AZ$7)),$AZ$6,IF(OR(COUNTIF('1.연간시수표'!AE76,$BA$9),COUNTIF('1.연간시수표'!AE76,$BA$7)),$BA$6,IF(OR(COUNTIF('1.연간시수표'!AE76,$BB$9),COUNTIF('1.연간시수표'!AE76,$BB$7)),$BB$6,IF(OR(COUNTIF('1.연간시수표'!AE76,$BC$9),COUNTIF('1.연간시수표'!AE76,$BC$7)),$BC$6,IF(OR(COUNTIF('1.연간시수표'!AE76,$BF$9),COUNTIF('1.연간시수표'!AE76,$BF$7),COUNTIF('1.연간시수표'!AE76,$BG$9),COUNTIF('1.연간시수표'!AE76,$BG$7),COUNTIF('1.연간시수표'!AE76,$BH$9),COUNTIF('1.연간시수표'!AE76,$BH$7),COUNTIF('1.연간시수표'!AE76,$BI$9),COUNTIF('1.연간시수표'!AE76,$BI$7),COUNTIF('1.연간시수표'!AE76,$BJ$9),COUNTIF('1.연간시수표'!AE76,$BJ$7),COUNTIF('1.연간시수표'!AE76,$BK$9),COUNTIF('1.연간시수표'!AE76,$BK$7),COUNTIF('1.연간시수표'!AE76,$BL$9),COUNTIF('1.연간시수표'!AE76,$BL$7),COUNTIF('1.연간시수표'!AE76,$BM$9),COUNTIF('1.연간시수표'!AE76,$BM$7)),$BF$6,IF(OR(COUNTIF('1.연간시수표'!AE76,$BO$9),COUNTIF('1.연간시수표'!AE76,$BO$7)),$BO$6,IF(OR(COUNTIF('1.연간시수표'!AE76,$BP$9),COUNTIF('1.연간시수표'!AE76,$BP$7)),$BP$6,IF(OR(COUNTIF('1.연간시수표'!AE76,$BQ$9),COUNTIF('1.연간시수표'!AE76,$BQ$7)),$BQ$6,IF(OR(COUNTIF('1.연간시수표'!AE76,$BR$9),COUNTIF('1.연간시수표'!AE76,$BR$7)),$BR$6,"_")))))))))))))))</f>
        <v>_</v>
      </c>
      <c r="AF76" s="148" t="str">
        <f>IF(OR(COUNTIF('1.연간시수표'!AF76,$AT$9),COUNTIF('1.연간시수표'!AF76,$AT$7)),$AT$6,IF(OR(COUNTIF('1.연간시수표'!AF76,$AU$9),COUNTIF('1.연간시수표'!AF76,$AU$7)),$AU$6,IF(OR(COUNTIF('1.연간시수표'!AF76,$AV$9),COUNTIF('1.연간시수표'!AF76,$AV$7)),$AV$6,IF(OR(COUNTIF('1.연간시수표'!AF76,$AW$9),COUNTIF('1.연간시수표'!AF76,$AW$7)),$AW$6,IF(OR(COUNTIF('1.연간시수표'!AF76,$AX$9),COUNTIF('1.연간시수표'!AF76,$AX$7)),$AX$6,IF(OR(COUNTIF('1.연간시수표'!AF76,$AY$9),COUNTIF('1.연간시수표'!AF76,$AY$7)),$AY$6,IF(OR(COUNTIF('1.연간시수표'!AF76,$AZ$9),COUNTIF('1.연간시수표'!AF76,$AZ$7)),$AZ$6,IF(OR(COUNTIF('1.연간시수표'!AF76,$BA$9),COUNTIF('1.연간시수표'!AF76,$BA$7)),$BA$6,IF(OR(COUNTIF('1.연간시수표'!AF76,$BB$9),COUNTIF('1.연간시수표'!AF76,$BB$7)),$BB$6,IF(OR(COUNTIF('1.연간시수표'!AF76,$BC$9),COUNTIF('1.연간시수표'!AF76,$BC$7)),$BC$6,IF(OR(COUNTIF('1.연간시수표'!AF76,$BF$9),COUNTIF('1.연간시수표'!AF76,$BF$7),COUNTIF('1.연간시수표'!AF76,$BG$9),COUNTIF('1.연간시수표'!AF76,$BG$7),COUNTIF('1.연간시수표'!AF76,$BH$9),COUNTIF('1.연간시수표'!AF76,$BH$7),COUNTIF('1.연간시수표'!AF76,$BI$9),COUNTIF('1.연간시수표'!AF76,$BI$7),COUNTIF('1.연간시수표'!AF76,$BJ$9),COUNTIF('1.연간시수표'!AF76,$BJ$7),COUNTIF('1.연간시수표'!AF76,$BK$9),COUNTIF('1.연간시수표'!AF76,$BK$7),COUNTIF('1.연간시수표'!AF76,$BL$9),COUNTIF('1.연간시수표'!AF76,$BL$7),COUNTIF('1.연간시수표'!AF76,$BM$9),COUNTIF('1.연간시수표'!AF76,$BM$7)),$BF$6,IF(OR(COUNTIF('1.연간시수표'!AF76,$BO$9),COUNTIF('1.연간시수표'!AF76,$BO$7)),$BO$6,IF(OR(COUNTIF('1.연간시수표'!AF76,$BP$9),COUNTIF('1.연간시수표'!AF76,$BP$7)),$BP$6,IF(OR(COUNTIF('1.연간시수표'!AF76,$BQ$9),COUNTIF('1.연간시수표'!AF76,$BQ$7)),$BQ$6,IF(OR(COUNTIF('1.연간시수표'!AF76,$BR$9),COUNTIF('1.연간시수표'!AF76,$BR$7)),$BR$6,"_")))))))))))))))</f>
        <v>_</v>
      </c>
      <c r="AG76" s="148" t="str">
        <f>IF(OR(COUNTIF('1.연간시수표'!AG76,$AT$9),COUNTIF('1.연간시수표'!AG76,$AT$7)),$AT$6,IF(OR(COUNTIF('1.연간시수표'!AG76,$AU$9),COUNTIF('1.연간시수표'!AG76,$AU$7)),$AU$6,IF(OR(COUNTIF('1.연간시수표'!AG76,$AV$9),COUNTIF('1.연간시수표'!AG76,$AV$7)),$AV$6,IF(OR(COUNTIF('1.연간시수표'!AG76,$AW$9),COUNTIF('1.연간시수표'!AG76,$AW$7)),$AW$6,IF(OR(COUNTIF('1.연간시수표'!AG76,$AX$9),COUNTIF('1.연간시수표'!AG76,$AX$7)),$AX$6,IF(OR(COUNTIF('1.연간시수표'!AG76,$AY$9),COUNTIF('1.연간시수표'!AG76,$AY$7)),$AY$6,IF(OR(COUNTIF('1.연간시수표'!AG76,$AZ$9),COUNTIF('1.연간시수표'!AG76,$AZ$7)),$AZ$6,IF(OR(COUNTIF('1.연간시수표'!AG76,$BA$9),COUNTIF('1.연간시수표'!AG76,$BA$7)),$BA$6,IF(OR(COUNTIF('1.연간시수표'!AG76,$BB$9),COUNTIF('1.연간시수표'!AG76,$BB$7)),$BB$6,IF(OR(COUNTIF('1.연간시수표'!AG76,$BC$9),COUNTIF('1.연간시수표'!AG76,$BC$7)),$BC$6,IF(OR(COUNTIF('1.연간시수표'!AG76,$BF$9),COUNTIF('1.연간시수표'!AG76,$BF$7),COUNTIF('1.연간시수표'!AG76,$BG$9),COUNTIF('1.연간시수표'!AG76,$BG$7),COUNTIF('1.연간시수표'!AG76,$BH$9),COUNTIF('1.연간시수표'!AG76,$BH$7),COUNTIF('1.연간시수표'!AG76,$BI$9),COUNTIF('1.연간시수표'!AG76,$BI$7),COUNTIF('1.연간시수표'!AG76,$BJ$9),COUNTIF('1.연간시수표'!AG76,$BJ$7),COUNTIF('1.연간시수표'!AG76,$BK$9),COUNTIF('1.연간시수표'!AG76,$BK$7),COUNTIF('1.연간시수표'!AG76,$BL$9),COUNTIF('1.연간시수표'!AG76,$BL$7),COUNTIF('1.연간시수표'!AG76,$BM$9),COUNTIF('1.연간시수표'!AG76,$BM$7)),$BF$6,IF(OR(COUNTIF('1.연간시수표'!AG76,$BO$9),COUNTIF('1.연간시수표'!AG76,$BO$7)),$BO$6,IF(OR(COUNTIF('1.연간시수표'!AG76,$BP$9),COUNTIF('1.연간시수표'!AG76,$BP$7)),$BP$6,IF(OR(COUNTIF('1.연간시수표'!AG76,$BQ$9),COUNTIF('1.연간시수표'!AG76,$BQ$7)),$BQ$6,IF(OR(COUNTIF('1.연간시수표'!AG76,$BR$9),COUNTIF('1.연간시수표'!AG76,$BR$7)),$BR$6,"_")))))))))))))))</f>
        <v>_</v>
      </c>
      <c r="AH76" s="148" t="str">
        <f>IF(OR(COUNTIF('1.연간시수표'!AH76,$AT$9),COUNTIF('1.연간시수표'!AH76,$AT$7)),$AT$6,IF(OR(COUNTIF('1.연간시수표'!AH76,$AU$9),COUNTIF('1.연간시수표'!AH76,$AU$7)),$AU$6,IF(OR(COUNTIF('1.연간시수표'!AH76,$AV$9),COUNTIF('1.연간시수표'!AH76,$AV$7)),$AV$6,IF(OR(COUNTIF('1.연간시수표'!AH76,$AW$9),COUNTIF('1.연간시수표'!AH76,$AW$7)),$AW$6,IF(OR(COUNTIF('1.연간시수표'!AH76,$AX$9),COUNTIF('1.연간시수표'!AH76,$AX$7)),$AX$6,IF(OR(COUNTIF('1.연간시수표'!AH76,$AY$9),COUNTIF('1.연간시수표'!AH76,$AY$7)),$AY$6,IF(OR(COUNTIF('1.연간시수표'!AH76,$AZ$9),COUNTIF('1.연간시수표'!AH76,$AZ$7)),$AZ$6,IF(OR(COUNTIF('1.연간시수표'!AH76,$BA$9),COUNTIF('1.연간시수표'!AH76,$BA$7)),$BA$6,IF(OR(COUNTIF('1.연간시수표'!AH76,$BB$9),COUNTIF('1.연간시수표'!AH76,$BB$7)),$BB$6,IF(OR(COUNTIF('1.연간시수표'!AH76,$BC$9),COUNTIF('1.연간시수표'!AH76,$BC$7)),$BC$6,IF(OR(COUNTIF('1.연간시수표'!AH76,$BF$9),COUNTIF('1.연간시수표'!AH76,$BF$7),COUNTIF('1.연간시수표'!AH76,$BG$9),COUNTIF('1.연간시수표'!AH76,$BG$7),COUNTIF('1.연간시수표'!AH76,$BH$9),COUNTIF('1.연간시수표'!AH76,$BH$7),COUNTIF('1.연간시수표'!AH76,$BI$9),COUNTIF('1.연간시수표'!AH76,$BI$7),COUNTIF('1.연간시수표'!AH76,$BJ$9),COUNTIF('1.연간시수표'!AH76,$BJ$7),COUNTIF('1.연간시수표'!AH76,$BK$9),COUNTIF('1.연간시수표'!AH76,$BK$7),COUNTIF('1.연간시수표'!AH76,$BL$9),COUNTIF('1.연간시수표'!AH76,$BL$7),COUNTIF('1.연간시수표'!AH76,$BM$9),COUNTIF('1.연간시수표'!AH76,$BM$7)),$BF$6,IF(OR(COUNTIF('1.연간시수표'!AH76,$BO$9),COUNTIF('1.연간시수표'!AH76,$BO$7)),$BO$6,IF(OR(COUNTIF('1.연간시수표'!AH76,$BP$9),COUNTIF('1.연간시수표'!AH76,$BP$7)),$BP$6,IF(OR(COUNTIF('1.연간시수표'!AH76,$BQ$9),COUNTIF('1.연간시수표'!AH76,$BQ$7)),$BQ$6,IF(OR(COUNTIF('1.연간시수표'!AH76,$BR$9),COUNTIF('1.연간시수표'!AH76,$BR$7)),$BR$6,"_")))))))))))))))</f>
        <v>_</v>
      </c>
      <c r="AI76" s="148" t="str">
        <f>IF(OR(COUNTIF('1.연간시수표'!AI76,$AT$9),COUNTIF('1.연간시수표'!AI76,$AT$7)),$AT$6,IF(OR(COUNTIF('1.연간시수표'!AI76,$AU$9),COUNTIF('1.연간시수표'!AI76,$AU$7)),$AU$6,IF(OR(COUNTIF('1.연간시수표'!AI76,$AV$9),COUNTIF('1.연간시수표'!AI76,$AV$7)),$AV$6,IF(OR(COUNTIF('1.연간시수표'!AI76,$AW$9),COUNTIF('1.연간시수표'!AI76,$AW$7)),$AW$6,IF(OR(COUNTIF('1.연간시수표'!AI76,$AX$9),COUNTIF('1.연간시수표'!AI76,$AX$7)),$AX$6,IF(OR(COUNTIF('1.연간시수표'!AI76,$AY$9),COUNTIF('1.연간시수표'!AI76,$AY$7)),$AY$6,IF(OR(COUNTIF('1.연간시수표'!AI76,$AZ$9),COUNTIF('1.연간시수표'!AI76,$AZ$7)),$AZ$6,IF(OR(COUNTIF('1.연간시수표'!AI76,$BA$9),COUNTIF('1.연간시수표'!AI76,$BA$7)),$BA$6,IF(OR(COUNTIF('1.연간시수표'!AI76,$BB$9),COUNTIF('1.연간시수표'!AI76,$BB$7)),$BB$6,IF(OR(COUNTIF('1.연간시수표'!AI76,$BC$9),COUNTIF('1.연간시수표'!AI76,$BC$7)),$BC$6,IF(OR(COUNTIF('1.연간시수표'!AI76,$BF$9),COUNTIF('1.연간시수표'!AI76,$BF$7),COUNTIF('1.연간시수표'!AI76,$BG$9),COUNTIF('1.연간시수표'!AI76,$BG$7),COUNTIF('1.연간시수표'!AI76,$BH$9),COUNTIF('1.연간시수표'!AI76,$BH$7),COUNTIF('1.연간시수표'!AI76,$BI$9),COUNTIF('1.연간시수표'!AI76,$BI$7),COUNTIF('1.연간시수표'!AI76,$BJ$9),COUNTIF('1.연간시수표'!AI76,$BJ$7),COUNTIF('1.연간시수표'!AI76,$BK$9),COUNTIF('1.연간시수표'!AI76,$BK$7),COUNTIF('1.연간시수표'!AI76,$BL$9),COUNTIF('1.연간시수표'!AI76,$BL$7),COUNTIF('1.연간시수표'!AI76,$BM$9),COUNTIF('1.연간시수표'!AI76,$BM$7)),$BF$6,IF(OR(COUNTIF('1.연간시수표'!AI76,$BO$9),COUNTIF('1.연간시수표'!AI76,$BO$7)),$BO$6,IF(OR(COUNTIF('1.연간시수표'!AI76,$BP$9),COUNTIF('1.연간시수표'!AI76,$BP$7)),$BP$6,IF(OR(COUNTIF('1.연간시수표'!AI76,$BQ$9),COUNTIF('1.연간시수표'!AI76,$BQ$7)),$BQ$6,IF(OR(COUNTIF('1.연간시수표'!AI76,$BR$9),COUNTIF('1.연간시수표'!AI76,$BR$7)),$BR$6,"_")))))))))))))))</f>
        <v>_</v>
      </c>
      <c r="AJ76" s="148" t="str">
        <f>IF(OR(COUNTIF('1.연간시수표'!AJ76,$AT$9),COUNTIF('1.연간시수표'!AJ76,$AT$7)),$AT$6,IF(OR(COUNTIF('1.연간시수표'!AJ76,$AU$9),COUNTIF('1.연간시수표'!AJ76,$AU$7)),$AU$6,IF(OR(COUNTIF('1.연간시수표'!AJ76,$AV$9),COUNTIF('1.연간시수표'!AJ76,$AV$7)),$AV$6,IF(OR(COUNTIF('1.연간시수표'!AJ76,$AW$9),COUNTIF('1.연간시수표'!AJ76,$AW$7)),$AW$6,IF(OR(COUNTIF('1.연간시수표'!AJ76,$AX$9),COUNTIF('1.연간시수표'!AJ76,$AX$7)),$AX$6,IF(OR(COUNTIF('1.연간시수표'!AJ76,$AY$9),COUNTIF('1.연간시수표'!AJ76,$AY$7)),$AY$6,IF(OR(COUNTIF('1.연간시수표'!AJ76,$AZ$9),COUNTIF('1.연간시수표'!AJ76,$AZ$7)),$AZ$6,IF(OR(COUNTIF('1.연간시수표'!AJ76,$BA$9),COUNTIF('1.연간시수표'!AJ76,$BA$7)),$BA$6,IF(OR(COUNTIF('1.연간시수표'!AJ76,$BB$9),COUNTIF('1.연간시수표'!AJ76,$BB$7)),$BB$6,IF(OR(COUNTIF('1.연간시수표'!AJ76,$BC$9),COUNTIF('1.연간시수표'!AJ76,$BC$7)),$BC$6,IF(OR(COUNTIF('1.연간시수표'!AJ76,$BF$9),COUNTIF('1.연간시수표'!AJ76,$BF$7),COUNTIF('1.연간시수표'!AJ76,$BG$9),COUNTIF('1.연간시수표'!AJ76,$BG$7),COUNTIF('1.연간시수표'!AJ76,$BH$9),COUNTIF('1.연간시수표'!AJ76,$BH$7),COUNTIF('1.연간시수표'!AJ76,$BI$9),COUNTIF('1.연간시수표'!AJ76,$BI$7),COUNTIF('1.연간시수표'!AJ76,$BJ$9),COUNTIF('1.연간시수표'!AJ76,$BJ$7),COUNTIF('1.연간시수표'!AJ76,$BK$9),COUNTIF('1.연간시수표'!AJ76,$BK$7),COUNTIF('1.연간시수표'!AJ76,$BL$9),COUNTIF('1.연간시수표'!AJ76,$BL$7),COUNTIF('1.연간시수표'!AJ76,$BM$9),COUNTIF('1.연간시수표'!AJ76,$BM$7)),$BF$6,IF(OR(COUNTIF('1.연간시수표'!AJ76,$BO$9),COUNTIF('1.연간시수표'!AJ76,$BO$7)),$BO$6,IF(OR(COUNTIF('1.연간시수표'!AJ76,$BP$9),COUNTIF('1.연간시수표'!AJ76,$BP$7)),$BP$6,IF(OR(COUNTIF('1.연간시수표'!AJ76,$BQ$9),COUNTIF('1.연간시수표'!AJ76,$BQ$7)),$BQ$6,IF(OR(COUNTIF('1.연간시수표'!AJ76,$BR$9),COUNTIF('1.연간시수표'!AJ76,$BR$7)),$BR$6,"_")))))))))))))))</f>
        <v>_</v>
      </c>
      <c r="AK76" s="148" t="str">
        <f>IF(OR(COUNTIF('1.연간시수표'!AK76,$AT$9),COUNTIF('1.연간시수표'!AK76,$AT$7)),$AT$6,IF(OR(COUNTIF('1.연간시수표'!AK76,$AU$9),COUNTIF('1.연간시수표'!AK76,$AU$7)),$AU$6,IF(OR(COUNTIF('1.연간시수표'!AK76,$AV$9),COUNTIF('1.연간시수표'!AK76,$AV$7)),$AV$6,IF(OR(COUNTIF('1.연간시수표'!AK76,$AW$9),COUNTIF('1.연간시수표'!AK76,$AW$7)),$AW$6,IF(OR(COUNTIF('1.연간시수표'!AK76,$AX$9),COUNTIF('1.연간시수표'!AK76,$AX$7)),$AX$6,IF(OR(COUNTIF('1.연간시수표'!AK76,$AY$9),COUNTIF('1.연간시수표'!AK76,$AY$7)),$AY$6,IF(OR(COUNTIF('1.연간시수표'!AK76,$AZ$9),COUNTIF('1.연간시수표'!AK76,$AZ$7)),$AZ$6,IF(OR(COUNTIF('1.연간시수표'!AK76,$BA$9),COUNTIF('1.연간시수표'!AK76,$BA$7)),$BA$6,IF(OR(COUNTIF('1.연간시수표'!AK76,$BB$9),COUNTIF('1.연간시수표'!AK76,$BB$7)),$BB$6,IF(OR(COUNTIF('1.연간시수표'!AK76,$BC$9),COUNTIF('1.연간시수표'!AK76,$BC$7)),$BC$6,IF(OR(COUNTIF('1.연간시수표'!AK76,$BF$9),COUNTIF('1.연간시수표'!AK76,$BF$7),COUNTIF('1.연간시수표'!AK76,$BG$9),COUNTIF('1.연간시수표'!AK76,$BG$7),COUNTIF('1.연간시수표'!AK76,$BH$9),COUNTIF('1.연간시수표'!AK76,$BH$7),COUNTIF('1.연간시수표'!AK76,$BI$9),COUNTIF('1.연간시수표'!AK76,$BI$7),COUNTIF('1.연간시수표'!AK76,$BJ$9),COUNTIF('1.연간시수표'!AK76,$BJ$7),COUNTIF('1.연간시수표'!AK76,$BK$9),COUNTIF('1.연간시수표'!AK76,$BK$7),COUNTIF('1.연간시수표'!AK76,$BL$9),COUNTIF('1.연간시수표'!AK76,$BL$7),COUNTIF('1.연간시수표'!AK76,$BM$9),COUNTIF('1.연간시수표'!AK76,$BM$7)),$BF$6,IF(OR(COUNTIF('1.연간시수표'!AK76,$BO$9),COUNTIF('1.연간시수표'!AK76,$BO$7)),$BO$6,IF(OR(COUNTIF('1.연간시수표'!AK76,$BP$9),COUNTIF('1.연간시수표'!AK76,$BP$7)),$BP$6,IF(OR(COUNTIF('1.연간시수표'!AK76,$BQ$9),COUNTIF('1.연간시수표'!AK76,$BQ$7)),$BQ$6,IF(OR(COUNTIF('1.연간시수표'!AK76,$BR$9),COUNTIF('1.연간시수표'!AK76,$BR$7)),$BR$6,"_")))))))))))))))</f>
        <v>_</v>
      </c>
      <c r="AL76" s="148" t="str">
        <f>IF(OR(COUNTIF('1.연간시수표'!AL76,$AT$9),COUNTIF('1.연간시수표'!AL76,$AT$7)),$AT$6,IF(OR(COUNTIF('1.연간시수표'!AL76,$AU$9),COUNTIF('1.연간시수표'!AL76,$AU$7)),$AU$6,IF(OR(COUNTIF('1.연간시수표'!AL76,$AV$9),COUNTIF('1.연간시수표'!AL76,$AV$7)),$AV$6,IF(OR(COUNTIF('1.연간시수표'!AL76,$AW$9),COUNTIF('1.연간시수표'!AL76,$AW$7)),$AW$6,IF(OR(COUNTIF('1.연간시수표'!AL76,$AX$9),COUNTIF('1.연간시수표'!AL76,$AX$7)),$AX$6,IF(OR(COUNTIF('1.연간시수표'!AL76,$AY$9),COUNTIF('1.연간시수표'!AL76,$AY$7)),$AY$6,IF(OR(COUNTIF('1.연간시수표'!AL76,$AZ$9),COUNTIF('1.연간시수표'!AL76,$AZ$7)),$AZ$6,IF(OR(COUNTIF('1.연간시수표'!AL76,$BA$9),COUNTIF('1.연간시수표'!AL76,$BA$7)),$BA$6,IF(OR(COUNTIF('1.연간시수표'!AL76,$BB$9),COUNTIF('1.연간시수표'!AL76,$BB$7)),$BB$6,IF(OR(COUNTIF('1.연간시수표'!AL76,$BC$9),COUNTIF('1.연간시수표'!AL76,$BC$7)),$BC$6,IF(OR(COUNTIF('1.연간시수표'!AL76,$BF$9),COUNTIF('1.연간시수표'!AL76,$BF$7),COUNTIF('1.연간시수표'!AL76,$BG$9),COUNTIF('1.연간시수표'!AL76,$BG$7),COUNTIF('1.연간시수표'!AL76,$BH$9),COUNTIF('1.연간시수표'!AL76,$BH$7),COUNTIF('1.연간시수표'!AL76,$BI$9),COUNTIF('1.연간시수표'!AL76,$BI$7),COUNTIF('1.연간시수표'!AL76,$BJ$9),COUNTIF('1.연간시수표'!AL76,$BJ$7),COUNTIF('1.연간시수표'!AL76,$BK$9),COUNTIF('1.연간시수표'!AL76,$BK$7),COUNTIF('1.연간시수표'!AL76,$BL$9),COUNTIF('1.연간시수표'!AL76,$BL$7),COUNTIF('1.연간시수표'!AL76,$BM$9),COUNTIF('1.연간시수표'!AL76,$BM$7)),$BF$6,IF(OR(COUNTIF('1.연간시수표'!AL76,$BO$9),COUNTIF('1.연간시수표'!AL76,$BO$7)),$BO$6,IF(OR(COUNTIF('1.연간시수표'!AL76,$BP$9),COUNTIF('1.연간시수표'!AL76,$BP$7)),$BP$6,IF(OR(COUNTIF('1.연간시수표'!AL76,$BQ$9),COUNTIF('1.연간시수표'!AL76,$BQ$7)),$BQ$6,IF(OR(COUNTIF('1.연간시수표'!AL76,$BR$9),COUNTIF('1.연간시수표'!AL76,$BR$7)),$BR$6,"_")))))))))))))))</f>
        <v>_</v>
      </c>
      <c r="AM76" s="148" t="str">
        <f>IF(OR(COUNTIF('1.연간시수표'!AM76,$AT$9),COUNTIF('1.연간시수표'!AM76,$AT$7)),$AT$6,IF(OR(COUNTIF('1.연간시수표'!AM76,$AU$9),COUNTIF('1.연간시수표'!AM76,$AU$7)),$AU$6,IF(OR(COUNTIF('1.연간시수표'!AM76,$AV$9),COUNTIF('1.연간시수표'!AM76,$AV$7)),$AV$6,IF(OR(COUNTIF('1.연간시수표'!AM76,$AW$9),COUNTIF('1.연간시수표'!AM76,$AW$7)),$AW$6,IF(OR(COUNTIF('1.연간시수표'!AM76,$AX$9),COUNTIF('1.연간시수표'!AM76,$AX$7)),$AX$6,IF(OR(COUNTIF('1.연간시수표'!AM76,$AY$9),COUNTIF('1.연간시수표'!AM76,$AY$7)),$AY$6,IF(OR(COUNTIF('1.연간시수표'!AM76,$AZ$9),COUNTIF('1.연간시수표'!AM76,$AZ$7)),$AZ$6,IF(OR(COUNTIF('1.연간시수표'!AM76,$BA$9),COUNTIF('1.연간시수표'!AM76,$BA$7)),$BA$6,IF(OR(COUNTIF('1.연간시수표'!AM76,$BB$9),COUNTIF('1.연간시수표'!AM76,$BB$7)),$BB$6,IF(OR(COUNTIF('1.연간시수표'!AM76,$BC$9),COUNTIF('1.연간시수표'!AM76,$BC$7)),$BC$6,IF(OR(COUNTIF('1.연간시수표'!AM76,$BF$9),COUNTIF('1.연간시수표'!AM76,$BF$7),COUNTIF('1.연간시수표'!AM76,$BG$9),COUNTIF('1.연간시수표'!AM76,$BG$7),COUNTIF('1.연간시수표'!AM76,$BH$9),COUNTIF('1.연간시수표'!AM76,$BH$7),COUNTIF('1.연간시수표'!AM76,$BI$9),COUNTIF('1.연간시수표'!AM76,$BI$7),COUNTIF('1.연간시수표'!AM76,$BJ$9),COUNTIF('1.연간시수표'!AM76,$BJ$7),COUNTIF('1.연간시수표'!AM76,$BK$9),COUNTIF('1.연간시수표'!AM76,$BK$7),COUNTIF('1.연간시수표'!AM76,$BL$9),COUNTIF('1.연간시수표'!AM76,$BL$7),COUNTIF('1.연간시수표'!AM76,$BM$9),COUNTIF('1.연간시수표'!AM76,$BM$7)),$BF$6,IF(OR(COUNTIF('1.연간시수표'!AM76,$BO$9),COUNTIF('1.연간시수표'!AM76,$BO$7)),$BO$6,IF(OR(COUNTIF('1.연간시수표'!AM76,$BP$9),COUNTIF('1.연간시수표'!AM76,$BP$7)),$BP$6,IF(OR(COUNTIF('1.연간시수표'!AM76,$BQ$9),COUNTIF('1.연간시수표'!AM76,$BQ$7)),$BQ$6,IF(OR(COUNTIF('1.연간시수표'!AM76,$BR$9),COUNTIF('1.연간시수표'!AM76,$BR$7)),$BR$6,"_")))))))))))))))</f>
        <v>_</v>
      </c>
      <c r="AN76" s="148" t="str">
        <f>IF(OR(COUNTIF('1.연간시수표'!AN76,$AT$9),COUNTIF('1.연간시수표'!AN76,$AT$7)),$AT$6,IF(OR(COUNTIF('1.연간시수표'!AN76,$AU$9),COUNTIF('1.연간시수표'!AN76,$AU$7)),$AU$6,IF(OR(COUNTIF('1.연간시수표'!AN76,$AV$9),COUNTIF('1.연간시수표'!AN76,$AV$7)),$AV$6,IF(OR(COUNTIF('1.연간시수표'!AN76,$AW$9),COUNTIF('1.연간시수표'!AN76,$AW$7)),$AW$6,IF(OR(COUNTIF('1.연간시수표'!AN76,$AX$9),COUNTIF('1.연간시수표'!AN76,$AX$7)),$AX$6,IF(OR(COUNTIF('1.연간시수표'!AN76,$AY$9),COUNTIF('1.연간시수표'!AN76,$AY$7)),$AY$6,IF(OR(COUNTIF('1.연간시수표'!AN76,$AZ$9),COUNTIF('1.연간시수표'!AN76,$AZ$7)),$AZ$6,IF(OR(COUNTIF('1.연간시수표'!AN76,$BA$9),COUNTIF('1.연간시수표'!AN76,$BA$7)),$BA$6,IF(OR(COUNTIF('1.연간시수표'!AN76,$BB$9),COUNTIF('1.연간시수표'!AN76,$BB$7)),$BB$6,IF(OR(COUNTIF('1.연간시수표'!AN76,$BC$9),COUNTIF('1.연간시수표'!AN76,$BC$7)),$BC$6,IF(OR(COUNTIF('1.연간시수표'!AN76,$BF$9),COUNTIF('1.연간시수표'!AN76,$BF$7),COUNTIF('1.연간시수표'!AN76,$BG$9),COUNTIF('1.연간시수표'!AN76,$BG$7),COUNTIF('1.연간시수표'!AN76,$BH$9),COUNTIF('1.연간시수표'!AN76,$BH$7),COUNTIF('1.연간시수표'!AN76,$BI$9),COUNTIF('1.연간시수표'!AN76,$BI$7),COUNTIF('1.연간시수표'!AN76,$BJ$9),COUNTIF('1.연간시수표'!AN76,$BJ$7),COUNTIF('1.연간시수표'!AN76,$BK$9),COUNTIF('1.연간시수표'!AN76,$BK$7),COUNTIF('1.연간시수표'!AN76,$BL$9),COUNTIF('1.연간시수표'!AN76,$BL$7),COUNTIF('1.연간시수표'!AN76,$BM$9),COUNTIF('1.연간시수표'!AN76,$BM$7)),$BF$6,IF(OR(COUNTIF('1.연간시수표'!AN76,$BO$9),COUNTIF('1.연간시수표'!AN76,$BO$7)),$BO$6,IF(OR(COUNTIF('1.연간시수표'!AN76,$BP$9),COUNTIF('1.연간시수표'!AN76,$BP$7)),$BP$6,IF(OR(COUNTIF('1.연간시수표'!AN76,$BQ$9),COUNTIF('1.연간시수표'!AN76,$BQ$7)),$BQ$6,IF(OR(COUNTIF('1.연간시수표'!AN76,$BR$9),COUNTIF('1.연간시수표'!AN76,$BR$7)),$BR$6,"_")))))))))))))))</f>
        <v>_</v>
      </c>
      <c r="AO76" s="148" t="str">
        <f>IF(OR(COUNTIF('1.연간시수표'!AO76,$AT$9),COUNTIF('1.연간시수표'!AO76,$AT$7)),$AT$6,IF(OR(COUNTIF('1.연간시수표'!AO76,$AU$9),COUNTIF('1.연간시수표'!AO76,$AU$7)),$AU$6,IF(OR(COUNTIF('1.연간시수표'!AO76,$AV$9),COUNTIF('1.연간시수표'!AO76,$AV$7)),$AV$6,IF(OR(COUNTIF('1.연간시수표'!AO76,$AW$9),COUNTIF('1.연간시수표'!AO76,$AW$7)),$AW$6,IF(OR(COUNTIF('1.연간시수표'!AO76,$AX$9),COUNTIF('1.연간시수표'!AO76,$AX$7)),$AX$6,IF(OR(COUNTIF('1.연간시수표'!AO76,$AY$9),COUNTIF('1.연간시수표'!AO76,$AY$7)),$AY$6,IF(OR(COUNTIF('1.연간시수표'!AO76,$AZ$9),COUNTIF('1.연간시수표'!AO76,$AZ$7)),$AZ$6,IF(OR(COUNTIF('1.연간시수표'!AO76,$BA$9),COUNTIF('1.연간시수표'!AO76,$BA$7)),$BA$6,IF(OR(COUNTIF('1.연간시수표'!AO76,$BB$9),COUNTIF('1.연간시수표'!AO76,$BB$7)),$BB$6,IF(OR(COUNTIF('1.연간시수표'!AO76,$BC$9),COUNTIF('1.연간시수표'!AO76,$BC$7)),$BC$6,IF(OR(COUNTIF('1.연간시수표'!AO76,$BF$9),COUNTIF('1.연간시수표'!AO76,$BF$7),COUNTIF('1.연간시수표'!AO76,$BG$9),COUNTIF('1.연간시수표'!AO76,$BG$7),COUNTIF('1.연간시수표'!AO76,$BH$9),COUNTIF('1.연간시수표'!AO76,$BH$7),COUNTIF('1.연간시수표'!AO76,$BI$9),COUNTIF('1.연간시수표'!AO76,$BI$7),COUNTIF('1.연간시수표'!AO76,$BJ$9),COUNTIF('1.연간시수표'!AO76,$BJ$7),COUNTIF('1.연간시수표'!AO76,$BK$9),COUNTIF('1.연간시수표'!AO76,$BK$7),COUNTIF('1.연간시수표'!AO76,$BL$9),COUNTIF('1.연간시수표'!AO76,$BL$7),COUNTIF('1.연간시수표'!AO76,$BM$9),COUNTIF('1.연간시수표'!AO76,$BM$7)),$BF$6,IF(OR(COUNTIF('1.연간시수표'!AO76,$BO$9),COUNTIF('1.연간시수표'!AO76,$BO$7)),$BO$6,IF(OR(COUNTIF('1.연간시수표'!AO76,$BP$9),COUNTIF('1.연간시수표'!AO76,$BP$7)),$BP$6,IF(OR(COUNTIF('1.연간시수표'!AO76,$BQ$9),COUNTIF('1.연간시수표'!AO76,$BQ$7)),$BQ$6,IF(OR(COUNTIF('1.연간시수표'!AO76,$BR$9),COUNTIF('1.연간시수표'!AO76,$BR$7)),$BR$6,"_")))))))))))))))</f>
        <v>_</v>
      </c>
      <c r="AP76" s="148" t="str">
        <f>IF(OR(COUNTIF('1.연간시수표'!AP76,$AT$9),COUNTIF('1.연간시수표'!AP76,$AT$7)),$AT$6,IF(OR(COUNTIF('1.연간시수표'!AP76,$AU$9),COUNTIF('1.연간시수표'!AP76,$AU$7)),$AU$6,IF(OR(COUNTIF('1.연간시수표'!AP76,$AV$9),COUNTIF('1.연간시수표'!AP76,$AV$7)),$AV$6,IF(OR(COUNTIF('1.연간시수표'!AP76,$AW$9),COUNTIF('1.연간시수표'!AP76,$AW$7)),$AW$6,IF(OR(COUNTIF('1.연간시수표'!AP76,$AX$9),COUNTIF('1.연간시수표'!AP76,$AX$7)),$AX$6,IF(OR(COUNTIF('1.연간시수표'!AP76,$AY$9),COUNTIF('1.연간시수표'!AP76,$AY$7)),$AY$6,IF(OR(COUNTIF('1.연간시수표'!AP76,$AZ$9),COUNTIF('1.연간시수표'!AP76,$AZ$7)),$AZ$6,IF(OR(COUNTIF('1.연간시수표'!AP76,$BA$9),COUNTIF('1.연간시수표'!AP76,$BA$7)),$BA$6,IF(OR(COUNTIF('1.연간시수표'!AP76,$BB$9),COUNTIF('1.연간시수표'!AP76,$BB$7)),$BB$6,IF(OR(COUNTIF('1.연간시수표'!AP76,$BC$9),COUNTIF('1.연간시수표'!AP76,$BC$7)),$BC$6,IF(OR(COUNTIF('1.연간시수표'!AP76,$BF$9),COUNTIF('1.연간시수표'!AP76,$BF$7),COUNTIF('1.연간시수표'!AP76,$BG$9),COUNTIF('1.연간시수표'!AP76,$BG$7),COUNTIF('1.연간시수표'!AP76,$BH$9),COUNTIF('1.연간시수표'!AP76,$BH$7),COUNTIF('1.연간시수표'!AP76,$BI$9),COUNTIF('1.연간시수표'!AP76,$BI$7),COUNTIF('1.연간시수표'!AP76,$BJ$9),COUNTIF('1.연간시수표'!AP76,$BJ$7),COUNTIF('1.연간시수표'!AP76,$BK$9),COUNTIF('1.연간시수표'!AP76,$BK$7),COUNTIF('1.연간시수표'!AP76,$BL$9),COUNTIF('1.연간시수표'!AP76,$BL$7),COUNTIF('1.연간시수표'!AP76,$BM$9),COUNTIF('1.연간시수표'!AP76,$BM$7)),$BF$6,IF(OR(COUNTIF('1.연간시수표'!AP76,$BO$9),COUNTIF('1.연간시수표'!AP76,$BO$7)),$BO$6,IF(OR(COUNTIF('1.연간시수표'!AP76,$BP$9),COUNTIF('1.연간시수표'!AP76,$BP$7)),$BP$6,IF(OR(COUNTIF('1.연간시수표'!AP76,$BQ$9),COUNTIF('1.연간시수표'!AP76,$BQ$7)),$BQ$6,IF(OR(COUNTIF('1.연간시수표'!AP76,$BR$9),COUNTIF('1.연간시수표'!AP76,$BR$7)),$BR$6,"_")))))))))))))))</f>
        <v>_</v>
      </c>
      <c r="AQ76" s="148" t="str">
        <f>IF(OR(COUNTIF('1.연간시수표'!AQ76,$AT$9),COUNTIF('1.연간시수표'!AQ76,$AT$7)),$AT$6,IF(OR(COUNTIF('1.연간시수표'!AQ76,$AU$9),COUNTIF('1.연간시수표'!AQ76,$AU$7)),$AU$6,IF(OR(COUNTIF('1.연간시수표'!AQ76,$AV$9),COUNTIF('1.연간시수표'!AQ76,$AV$7)),$AV$6,IF(OR(COUNTIF('1.연간시수표'!AQ76,$AW$9),COUNTIF('1.연간시수표'!AQ76,$AW$7)),$AW$6,IF(OR(COUNTIF('1.연간시수표'!AQ76,$AX$9),COUNTIF('1.연간시수표'!AQ76,$AX$7)),$AX$6,IF(OR(COUNTIF('1.연간시수표'!AQ76,$AY$9),COUNTIF('1.연간시수표'!AQ76,$AY$7)),$AY$6,IF(OR(COUNTIF('1.연간시수표'!AQ76,$AZ$9),COUNTIF('1.연간시수표'!AQ76,$AZ$7)),$AZ$6,IF(OR(COUNTIF('1.연간시수표'!AQ76,$BA$9),COUNTIF('1.연간시수표'!AQ76,$BA$7)),$BA$6,IF(OR(COUNTIF('1.연간시수표'!AQ76,$BB$9),COUNTIF('1.연간시수표'!AQ76,$BB$7)),$BB$6,IF(OR(COUNTIF('1.연간시수표'!AQ76,$BC$9),COUNTIF('1.연간시수표'!AQ76,$BC$7)),$BC$6,IF(OR(COUNTIF('1.연간시수표'!AQ76,$BF$9),COUNTIF('1.연간시수표'!AQ76,$BF$7),COUNTIF('1.연간시수표'!AQ76,$BG$9),COUNTIF('1.연간시수표'!AQ76,$BG$7),COUNTIF('1.연간시수표'!AQ76,$BH$9),COUNTIF('1.연간시수표'!AQ76,$BH$7),COUNTIF('1.연간시수표'!AQ76,$BI$9),COUNTIF('1.연간시수표'!AQ76,$BI$7),COUNTIF('1.연간시수표'!AQ76,$BJ$9),COUNTIF('1.연간시수표'!AQ76,$BJ$7),COUNTIF('1.연간시수표'!AQ76,$BK$9),COUNTIF('1.연간시수표'!AQ76,$BK$7),COUNTIF('1.연간시수표'!AQ76,$BL$9),COUNTIF('1.연간시수표'!AQ76,$BL$7),COUNTIF('1.연간시수표'!AQ76,$BM$9),COUNTIF('1.연간시수표'!AQ76,$BM$7)),$BF$6,IF(OR(COUNTIF('1.연간시수표'!AQ76,$BO$9),COUNTIF('1.연간시수표'!AQ76,$BO$7)),$BO$6,IF(OR(COUNTIF('1.연간시수표'!AQ76,$BP$9),COUNTIF('1.연간시수표'!AQ76,$BP$7)),$BP$6,IF(OR(COUNTIF('1.연간시수표'!AQ76,$BQ$9),COUNTIF('1.연간시수표'!AQ76,$BQ$7)),$BQ$6,IF(OR(COUNTIF('1.연간시수표'!AQ76,$BR$9),COUNTIF('1.연간시수표'!AQ76,$BR$7)),$BR$6,"_")))))))))))))))</f>
        <v>_</v>
      </c>
      <c r="AR76" s="148" t="str">
        <f>IF(OR(COUNTIF('1.연간시수표'!AR76,$AT$9),COUNTIF('1.연간시수표'!AR76,$AT$7)),$AT$6,IF(OR(COUNTIF('1.연간시수표'!AR76,$AU$9),COUNTIF('1.연간시수표'!AR76,$AU$7)),$AU$6,IF(OR(COUNTIF('1.연간시수표'!AR76,$AV$9),COUNTIF('1.연간시수표'!AR76,$AV$7)),$AV$6,IF(OR(COUNTIF('1.연간시수표'!AR76,$AW$9),COUNTIF('1.연간시수표'!AR76,$AW$7)),$AW$6,IF(OR(COUNTIF('1.연간시수표'!AR76,$AX$9),COUNTIF('1.연간시수표'!AR76,$AX$7)),$AX$6,IF(OR(COUNTIF('1.연간시수표'!AR76,$AY$9),COUNTIF('1.연간시수표'!AR76,$AY$7)),$AY$6,IF(OR(COUNTIF('1.연간시수표'!AR76,$AZ$9),COUNTIF('1.연간시수표'!AR76,$AZ$7)),$AZ$6,IF(OR(COUNTIF('1.연간시수표'!AR76,$BA$9),COUNTIF('1.연간시수표'!AR76,$BA$7)),$BA$6,IF(OR(COUNTIF('1.연간시수표'!AR76,$BB$9),COUNTIF('1.연간시수표'!AR76,$BB$7)),$BB$6,IF(OR(COUNTIF('1.연간시수표'!AR76,$BC$9),COUNTIF('1.연간시수표'!AR76,$BC$7)),$BC$6,IF(OR(COUNTIF('1.연간시수표'!AR76,$BF$9),COUNTIF('1.연간시수표'!AR76,$BF$7),COUNTIF('1.연간시수표'!AR76,$BG$9),COUNTIF('1.연간시수표'!AR76,$BG$7),COUNTIF('1.연간시수표'!AR76,$BH$9),COUNTIF('1.연간시수표'!AR76,$BH$7),COUNTIF('1.연간시수표'!AR76,$BI$9),COUNTIF('1.연간시수표'!AR76,$BI$7),COUNTIF('1.연간시수표'!AR76,$BJ$9),COUNTIF('1.연간시수표'!AR76,$BJ$7),COUNTIF('1.연간시수표'!AR76,$BK$9),COUNTIF('1.연간시수표'!AR76,$BK$7),COUNTIF('1.연간시수표'!AR76,$BL$9),COUNTIF('1.연간시수표'!AR76,$BL$7),COUNTIF('1.연간시수표'!AR76,$BM$9),COUNTIF('1.연간시수표'!AR76,$BM$7)),$BF$6,IF(OR(COUNTIF('1.연간시수표'!AR76,$BO$9),COUNTIF('1.연간시수표'!AR76,$BO$7)),$BO$6,IF(OR(COUNTIF('1.연간시수표'!AR76,$BP$9),COUNTIF('1.연간시수표'!AR76,$BP$7)),$BP$6,IF(OR(COUNTIF('1.연간시수표'!AR76,$BQ$9),COUNTIF('1.연간시수표'!AR76,$BQ$7)),$BQ$6,IF(OR(COUNTIF('1.연간시수표'!AR76,$BR$9),COUNTIF('1.연간시수표'!AR76,$BR$7)),$BR$6,"_")))))))))))))))</f>
        <v>_</v>
      </c>
    </row>
    <row r="77" spans="2:44">
      <c r="B77" s="6"/>
      <c r="C77" s="79">
        <f>'1.연간시수표'!C77</f>
        <v>0</v>
      </c>
      <c r="D77" s="3"/>
      <c r="E77" s="148" t="str">
        <f>IF(OR(COUNTIF('1.연간시수표'!E77,$AT$9),COUNTIF('1.연간시수표'!E77,$AT$7)),$AT$6,IF(OR(COUNTIF('1.연간시수표'!E77,$AU$9),COUNTIF('1.연간시수표'!E77,$AU$7)),$AU$6,IF(OR(COUNTIF('1.연간시수표'!E77,$AV$9),COUNTIF('1.연간시수표'!E77,$AV$7)),$AV$6,IF(OR(COUNTIF('1.연간시수표'!E77,$AW$9),COUNTIF('1.연간시수표'!E77,$AW$7)),$AW$6,IF(OR(COUNTIF('1.연간시수표'!E77,$AX$9),COUNTIF('1.연간시수표'!E77,$AX$7)),$AX$6,IF(OR(COUNTIF('1.연간시수표'!E77,$AY$9),COUNTIF('1.연간시수표'!E77,$AY$7)),$AY$6,IF(OR(COUNTIF('1.연간시수표'!E77,$AZ$9),COUNTIF('1.연간시수표'!E77,$AZ$7)),$AZ$6,IF(OR(COUNTIF('1.연간시수표'!E77,$BA$9),COUNTIF('1.연간시수표'!E77,$BA$7)),$BA$6,IF(OR(COUNTIF('1.연간시수표'!E77,$BB$9),COUNTIF('1.연간시수표'!E77,$BB$7)),$BB$6,IF(OR(COUNTIF('1.연간시수표'!E77,$BC$9),COUNTIF('1.연간시수표'!E77,$BC$7)),$BC$6,IF(OR(COUNTIF('1.연간시수표'!E77,$BF$9),COUNTIF('1.연간시수표'!E77,$BF$7),COUNTIF('1.연간시수표'!E77,$BG$9),COUNTIF('1.연간시수표'!E77,$BG$7),COUNTIF('1.연간시수표'!E77,$BH$9),COUNTIF('1.연간시수표'!E77,$BH$7),COUNTIF('1.연간시수표'!E77,$BI$9),COUNTIF('1.연간시수표'!E77,$BI$7),COUNTIF('1.연간시수표'!E77,$BJ$9),COUNTIF('1.연간시수표'!E77,$BJ$7),COUNTIF('1.연간시수표'!E77,$BK$9),COUNTIF('1.연간시수표'!E77,$BK$7),COUNTIF('1.연간시수표'!E77,$BL$9),COUNTIF('1.연간시수표'!E77,$BL$7),COUNTIF('1.연간시수표'!E77,$BM$9),COUNTIF('1.연간시수표'!E77,$BM$7)),$BF$6,IF(OR(COUNTIF('1.연간시수표'!E77,$BO$9),COUNTIF('1.연간시수표'!E77,$BO$7)),$BO$6,IF(OR(COUNTIF('1.연간시수표'!E77,$BP$9),COUNTIF('1.연간시수표'!E77,$BP$7)),$BP$6,IF(OR(COUNTIF('1.연간시수표'!E77,$BQ$9),COUNTIF('1.연간시수표'!E77,$BQ$7)),$BQ$6,IF(OR(COUNTIF('1.연간시수표'!E77,$BR$9),COUNTIF('1.연간시수표'!E77,$BR$7)),$BR$6,"_")))))))))))))))</f>
        <v>_</v>
      </c>
      <c r="F77" s="148" t="str">
        <f>IF(OR(COUNTIF('1.연간시수표'!F77,$AT$9),COUNTIF('1.연간시수표'!F77,$AT$7)),$AT$6,IF(OR(COUNTIF('1.연간시수표'!F77,$AU$9),COUNTIF('1.연간시수표'!F77,$AU$7)),$AU$6,IF(OR(COUNTIF('1.연간시수표'!F77,$AV$9),COUNTIF('1.연간시수표'!F77,$AV$7)),$AV$6,IF(OR(COUNTIF('1.연간시수표'!F77,$AW$9),COUNTIF('1.연간시수표'!F77,$AW$7)),$AW$6,IF(OR(COUNTIF('1.연간시수표'!F77,$AX$9),COUNTIF('1.연간시수표'!F77,$AX$7)),$AX$6,IF(OR(COUNTIF('1.연간시수표'!F77,$AY$9),COUNTIF('1.연간시수표'!F77,$AY$7)),$AY$6,IF(OR(COUNTIF('1.연간시수표'!F77,$AZ$9),COUNTIF('1.연간시수표'!F77,$AZ$7)),$AZ$6,IF(OR(COUNTIF('1.연간시수표'!F77,$BA$9),COUNTIF('1.연간시수표'!F77,$BA$7)),$BA$6,IF(OR(COUNTIF('1.연간시수표'!F77,$BB$9),COUNTIF('1.연간시수표'!F77,$BB$7)),$BB$6,IF(OR(COUNTIF('1.연간시수표'!F77,$BC$9),COUNTIF('1.연간시수표'!F77,$BC$7)),$BC$6,IF(OR(COUNTIF('1.연간시수표'!F77,$BF$9),COUNTIF('1.연간시수표'!F77,$BF$7),COUNTIF('1.연간시수표'!F77,$BG$9),COUNTIF('1.연간시수표'!F77,$BG$7),COUNTIF('1.연간시수표'!F77,$BH$9),COUNTIF('1.연간시수표'!F77,$BH$7),COUNTIF('1.연간시수표'!F77,$BI$9),COUNTIF('1.연간시수표'!F77,$BI$7),COUNTIF('1.연간시수표'!F77,$BJ$9),COUNTIF('1.연간시수표'!F77,$BJ$7),COUNTIF('1.연간시수표'!F77,$BK$9),COUNTIF('1.연간시수표'!F77,$BK$7),COUNTIF('1.연간시수표'!F77,$BL$9),COUNTIF('1.연간시수표'!F77,$BL$7),COUNTIF('1.연간시수표'!F77,$BM$9),COUNTIF('1.연간시수표'!F77,$BM$7)),$BF$6,IF(OR(COUNTIF('1.연간시수표'!F77,$BO$9),COUNTIF('1.연간시수표'!F77,$BO$7)),$BO$6,IF(OR(COUNTIF('1.연간시수표'!F77,$BP$9),COUNTIF('1.연간시수표'!F77,$BP$7)),$BP$6,IF(OR(COUNTIF('1.연간시수표'!F77,$BQ$9),COUNTIF('1.연간시수표'!F77,$BQ$7)),$BQ$6,IF(OR(COUNTIF('1.연간시수표'!F77,$BR$9),COUNTIF('1.연간시수표'!F77,$BR$7)),$BR$6,"_")))))))))))))))</f>
        <v>_</v>
      </c>
      <c r="G77" s="148" t="str">
        <f>IF(OR(COUNTIF('1.연간시수표'!G77,$AT$9),COUNTIF('1.연간시수표'!G77,$AT$7)),$AT$6,IF(OR(COUNTIF('1.연간시수표'!G77,$AU$9),COUNTIF('1.연간시수표'!G77,$AU$7)),$AU$6,IF(OR(COUNTIF('1.연간시수표'!G77,$AV$9),COUNTIF('1.연간시수표'!G77,$AV$7)),$AV$6,IF(OR(COUNTIF('1.연간시수표'!G77,$AW$9),COUNTIF('1.연간시수표'!G77,$AW$7)),$AW$6,IF(OR(COUNTIF('1.연간시수표'!G77,$AX$9),COUNTIF('1.연간시수표'!G77,$AX$7)),$AX$6,IF(OR(COUNTIF('1.연간시수표'!G77,$AY$9),COUNTIF('1.연간시수표'!G77,$AY$7)),$AY$6,IF(OR(COUNTIF('1.연간시수표'!G77,$AZ$9),COUNTIF('1.연간시수표'!G77,$AZ$7)),$AZ$6,IF(OR(COUNTIF('1.연간시수표'!G77,$BA$9),COUNTIF('1.연간시수표'!G77,$BA$7)),$BA$6,IF(OR(COUNTIF('1.연간시수표'!G77,$BB$9),COUNTIF('1.연간시수표'!G77,$BB$7)),$BB$6,IF(OR(COUNTIF('1.연간시수표'!G77,$BC$9),COUNTIF('1.연간시수표'!G77,$BC$7)),$BC$6,IF(OR(COUNTIF('1.연간시수표'!G77,$BF$9),COUNTIF('1.연간시수표'!G77,$BF$7),COUNTIF('1.연간시수표'!G77,$BG$9),COUNTIF('1.연간시수표'!G77,$BG$7),COUNTIF('1.연간시수표'!G77,$BH$9),COUNTIF('1.연간시수표'!G77,$BH$7),COUNTIF('1.연간시수표'!G77,$BI$9),COUNTIF('1.연간시수표'!G77,$BI$7),COUNTIF('1.연간시수표'!G77,$BJ$9),COUNTIF('1.연간시수표'!G77,$BJ$7),COUNTIF('1.연간시수표'!G77,$BK$9),COUNTIF('1.연간시수표'!G77,$BK$7),COUNTIF('1.연간시수표'!G77,$BL$9),COUNTIF('1.연간시수표'!G77,$BL$7),COUNTIF('1.연간시수표'!G77,$BM$9),COUNTIF('1.연간시수표'!G77,$BM$7)),$BF$6,IF(OR(COUNTIF('1.연간시수표'!G77,$BO$9),COUNTIF('1.연간시수표'!G77,$BO$7)),$BO$6,IF(OR(COUNTIF('1.연간시수표'!G77,$BP$9),COUNTIF('1.연간시수표'!G77,$BP$7)),$BP$6,IF(OR(COUNTIF('1.연간시수표'!G77,$BQ$9),COUNTIF('1.연간시수표'!G77,$BQ$7)),$BQ$6,IF(OR(COUNTIF('1.연간시수표'!G77,$BR$9),COUNTIF('1.연간시수표'!G77,$BR$7)),$BR$6,"_")))))))))))))))</f>
        <v>_</v>
      </c>
      <c r="H77" s="148" t="str">
        <f>IF(OR(COUNTIF('1.연간시수표'!H77,$AT$9),COUNTIF('1.연간시수표'!H77,$AT$7)),$AT$6,IF(OR(COUNTIF('1.연간시수표'!H77,$AU$9),COUNTIF('1.연간시수표'!H77,$AU$7)),$AU$6,IF(OR(COUNTIF('1.연간시수표'!H77,$AV$9),COUNTIF('1.연간시수표'!H77,$AV$7)),$AV$6,IF(OR(COUNTIF('1.연간시수표'!H77,$AW$9),COUNTIF('1.연간시수표'!H77,$AW$7)),$AW$6,IF(OR(COUNTIF('1.연간시수표'!H77,$AX$9),COUNTIF('1.연간시수표'!H77,$AX$7)),$AX$6,IF(OR(COUNTIF('1.연간시수표'!H77,$AY$9),COUNTIF('1.연간시수표'!H77,$AY$7)),$AY$6,IF(OR(COUNTIF('1.연간시수표'!H77,$AZ$9),COUNTIF('1.연간시수표'!H77,$AZ$7)),$AZ$6,IF(OR(COUNTIF('1.연간시수표'!H77,$BA$9),COUNTIF('1.연간시수표'!H77,$BA$7)),$BA$6,IF(OR(COUNTIF('1.연간시수표'!H77,$BB$9),COUNTIF('1.연간시수표'!H77,$BB$7)),$BB$6,IF(OR(COUNTIF('1.연간시수표'!H77,$BC$9),COUNTIF('1.연간시수표'!H77,$BC$7)),$BC$6,IF(OR(COUNTIF('1.연간시수표'!H77,$BF$9),COUNTIF('1.연간시수표'!H77,$BF$7),COUNTIF('1.연간시수표'!H77,$BG$9),COUNTIF('1.연간시수표'!H77,$BG$7),COUNTIF('1.연간시수표'!H77,$BH$9),COUNTIF('1.연간시수표'!H77,$BH$7),COUNTIF('1.연간시수표'!H77,$BI$9),COUNTIF('1.연간시수표'!H77,$BI$7),COUNTIF('1.연간시수표'!H77,$BJ$9),COUNTIF('1.연간시수표'!H77,$BJ$7),COUNTIF('1.연간시수표'!H77,$BK$9),COUNTIF('1.연간시수표'!H77,$BK$7),COUNTIF('1.연간시수표'!H77,$BL$9),COUNTIF('1.연간시수표'!H77,$BL$7),COUNTIF('1.연간시수표'!H77,$BM$9),COUNTIF('1.연간시수표'!H77,$BM$7)),$BF$6,IF(OR(COUNTIF('1.연간시수표'!H77,$BO$9),COUNTIF('1.연간시수표'!H77,$BO$7)),$BO$6,IF(OR(COUNTIF('1.연간시수표'!H77,$BP$9),COUNTIF('1.연간시수표'!H77,$BP$7)),$BP$6,IF(OR(COUNTIF('1.연간시수표'!H77,$BQ$9),COUNTIF('1.연간시수표'!H77,$BQ$7)),$BQ$6,IF(OR(COUNTIF('1.연간시수표'!H77,$BR$9),COUNTIF('1.연간시수표'!H77,$BR$7)),$BR$6,"_")))))))))))))))</f>
        <v>_</v>
      </c>
      <c r="I77" s="148" t="str">
        <f>IF(OR(COUNTIF('1.연간시수표'!I77,$AT$9),COUNTIF('1.연간시수표'!I77,$AT$7)),$AT$6,IF(OR(COUNTIF('1.연간시수표'!I77,$AU$9),COUNTIF('1.연간시수표'!I77,$AU$7)),$AU$6,IF(OR(COUNTIF('1.연간시수표'!I77,$AV$9),COUNTIF('1.연간시수표'!I77,$AV$7)),$AV$6,IF(OR(COUNTIF('1.연간시수표'!I77,$AW$9),COUNTIF('1.연간시수표'!I77,$AW$7)),$AW$6,IF(OR(COUNTIF('1.연간시수표'!I77,$AX$9),COUNTIF('1.연간시수표'!I77,$AX$7)),$AX$6,IF(OR(COUNTIF('1.연간시수표'!I77,$AY$9),COUNTIF('1.연간시수표'!I77,$AY$7)),$AY$6,IF(OR(COUNTIF('1.연간시수표'!I77,$AZ$9),COUNTIF('1.연간시수표'!I77,$AZ$7)),$AZ$6,IF(OR(COUNTIF('1.연간시수표'!I77,$BA$9),COUNTIF('1.연간시수표'!I77,$BA$7)),$BA$6,IF(OR(COUNTIF('1.연간시수표'!I77,$BB$9),COUNTIF('1.연간시수표'!I77,$BB$7)),$BB$6,IF(OR(COUNTIF('1.연간시수표'!I77,$BC$9),COUNTIF('1.연간시수표'!I77,$BC$7)),$BC$6,IF(OR(COUNTIF('1.연간시수표'!I77,$BF$9),COUNTIF('1.연간시수표'!I77,$BF$7),COUNTIF('1.연간시수표'!I77,$BG$9),COUNTIF('1.연간시수표'!I77,$BG$7),COUNTIF('1.연간시수표'!I77,$BH$9),COUNTIF('1.연간시수표'!I77,$BH$7),COUNTIF('1.연간시수표'!I77,$BI$9),COUNTIF('1.연간시수표'!I77,$BI$7),COUNTIF('1.연간시수표'!I77,$BJ$9),COUNTIF('1.연간시수표'!I77,$BJ$7),COUNTIF('1.연간시수표'!I77,$BK$9),COUNTIF('1.연간시수표'!I77,$BK$7),COUNTIF('1.연간시수표'!I77,$BL$9),COUNTIF('1.연간시수표'!I77,$BL$7),COUNTIF('1.연간시수표'!I77,$BM$9),COUNTIF('1.연간시수표'!I77,$BM$7)),$BF$6,IF(OR(COUNTIF('1.연간시수표'!I77,$BO$9),COUNTIF('1.연간시수표'!I77,$BO$7)),$BO$6,IF(OR(COUNTIF('1.연간시수표'!I77,$BP$9),COUNTIF('1.연간시수표'!I77,$BP$7)),$BP$6,IF(OR(COUNTIF('1.연간시수표'!I77,$BQ$9),COUNTIF('1.연간시수표'!I77,$BQ$7)),$BQ$6,IF(OR(COUNTIF('1.연간시수표'!I77,$BR$9),COUNTIF('1.연간시수표'!I77,$BR$7)),$BR$6,"_")))))))))))))))</f>
        <v>_</v>
      </c>
      <c r="J77" s="148" t="str">
        <f>IF(OR(COUNTIF('1.연간시수표'!J77,$AT$9),COUNTIF('1.연간시수표'!J77,$AT$7)),$AT$6,IF(OR(COUNTIF('1.연간시수표'!J77,$AU$9),COUNTIF('1.연간시수표'!J77,$AU$7)),$AU$6,IF(OR(COUNTIF('1.연간시수표'!J77,$AV$9),COUNTIF('1.연간시수표'!J77,$AV$7)),$AV$6,IF(OR(COUNTIF('1.연간시수표'!J77,$AW$9),COUNTIF('1.연간시수표'!J77,$AW$7)),$AW$6,IF(OR(COUNTIF('1.연간시수표'!J77,$AX$9),COUNTIF('1.연간시수표'!J77,$AX$7)),$AX$6,IF(OR(COUNTIF('1.연간시수표'!J77,$AY$9),COUNTIF('1.연간시수표'!J77,$AY$7)),$AY$6,IF(OR(COUNTIF('1.연간시수표'!J77,$AZ$9),COUNTIF('1.연간시수표'!J77,$AZ$7)),$AZ$6,IF(OR(COUNTIF('1.연간시수표'!J77,$BA$9),COUNTIF('1.연간시수표'!J77,$BA$7)),$BA$6,IF(OR(COUNTIF('1.연간시수표'!J77,$BB$9),COUNTIF('1.연간시수표'!J77,$BB$7)),$BB$6,IF(OR(COUNTIF('1.연간시수표'!J77,$BC$9),COUNTIF('1.연간시수표'!J77,$BC$7)),$BC$6,IF(OR(COUNTIF('1.연간시수표'!J77,$BF$9),COUNTIF('1.연간시수표'!J77,$BF$7),COUNTIF('1.연간시수표'!J77,$BG$9),COUNTIF('1.연간시수표'!J77,$BG$7),COUNTIF('1.연간시수표'!J77,$BH$9),COUNTIF('1.연간시수표'!J77,$BH$7),COUNTIF('1.연간시수표'!J77,$BI$9),COUNTIF('1.연간시수표'!J77,$BI$7),COUNTIF('1.연간시수표'!J77,$BJ$9),COUNTIF('1.연간시수표'!J77,$BJ$7),COUNTIF('1.연간시수표'!J77,$BK$9),COUNTIF('1.연간시수표'!J77,$BK$7),COUNTIF('1.연간시수표'!J77,$BL$9),COUNTIF('1.연간시수표'!J77,$BL$7),COUNTIF('1.연간시수표'!J77,$BM$9),COUNTIF('1.연간시수표'!J77,$BM$7)),$BF$6,IF(OR(COUNTIF('1.연간시수표'!J77,$BO$9),COUNTIF('1.연간시수표'!J77,$BO$7)),$BO$6,IF(OR(COUNTIF('1.연간시수표'!J77,$BP$9),COUNTIF('1.연간시수표'!J77,$BP$7)),$BP$6,IF(OR(COUNTIF('1.연간시수표'!J77,$BQ$9),COUNTIF('1.연간시수표'!J77,$BQ$7)),$BQ$6,IF(OR(COUNTIF('1.연간시수표'!J77,$BR$9),COUNTIF('1.연간시수표'!J77,$BR$7)),$BR$6,"_")))))))))))))))</f>
        <v>_</v>
      </c>
      <c r="K77" s="148" t="str">
        <f>IF(OR(COUNTIF('1.연간시수표'!K77,$AT$9),COUNTIF('1.연간시수표'!K77,$AT$7)),$AT$6,IF(OR(COUNTIF('1.연간시수표'!K77,$AU$9),COUNTIF('1.연간시수표'!K77,$AU$7)),$AU$6,IF(OR(COUNTIF('1.연간시수표'!K77,$AV$9),COUNTIF('1.연간시수표'!K77,$AV$7)),$AV$6,IF(OR(COUNTIF('1.연간시수표'!K77,$AW$9),COUNTIF('1.연간시수표'!K77,$AW$7)),$AW$6,IF(OR(COUNTIF('1.연간시수표'!K77,$AX$9),COUNTIF('1.연간시수표'!K77,$AX$7)),$AX$6,IF(OR(COUNTIF('1.연간시수표'!K77,$AY$9),COUNTIF('1.연간시수표'!K77,$AY$7)),$AY$6,IF(OR(COUNTIF('1.연간시수표'!K77,$AZ$9),COUNTIF('1.연간시수표'!K77,$AZ$7)),$AZ$6,IF(OR(COUNTIF('1.연간시수표'!K77,$BA$9),COUNTIF('1.연간시수표'!K77,$BA$7)),$BA$6,IF(OR(COUNTIF('1.연간시수표'!K77,$BB$9),COUNTIF('1.연간시수표'!K77,$BB$7)),$BB$6,IF(OR(COUNTIF('1.연간시수표'!K77,$BC$9),COUNTIF('1.연간시수표'!K77,$BC$7)),$BC$6,IF(OR(COUNTIF('1.연간시수표'!K77,$BF$9),COUNTIF('1.연간시수표'!K77,$BF$7),COUNTIF('1.연간시수표'!K77,$BG$9),COUNTIF('1.연간시수표'!K77,$BG$7),COUNTIF('1.연간시수표'!K77,$BH$9),COUNTIF('1.연간시수표'!K77,$BH$7),COUNTIF('1.연간시수표'!K77,$BI$9),COUNTIF('1.연간시수표'!K77,$BI$7),COUNTIF('1.연간시수표'!K77,$BJ$9),COUNTIF('1.연간시수표'!K77,$BJ$7),COUNTIF('1.연간시수표'!K77,$BK$9),COUNTIF('1.연간시수표'!K77,$BK$7),COUNTIF('1.연간시수표'!K77,$BL$9),COUNTIF('1.연간시수표'!K77,$BL$7),COUNTIF('1.연간시수표'!K77,$BM$9),COUNTIF('1.연간시수표'!K77,$BM$7)),$BF$6,IF(OR(COUNTIF('1.연간시수표'!K77,$BO$9),COUNTIF('1.연간시수표'!K77,$BO$7)),$BO$6,IF(OR(COUNTIF('1.연간시수표'!K77,$BP$9),COUNTIF('1.연간시수표'!K77,$BP$7)),$BP$6,IF(OR(COUNTIF('1.연간시수표'!K77,$BQ$9),COUNTIF('1.연간시수표'!K77,$BQ$7)),$BQ$6,IF(OR(COUNTIF('1.연간시수표'!K77,$BR$9),COUNTIF('1.연간시수표'!K77,$BR$7)),$BR$6,"_")))))))))))))))</f>
        <v>_</v>
      </c>
      <c r="L77" s="148" t="str">
        <f>IF(OR(COUNTIF('1.연간시수표'!L77,$AT$9),COUNTIF('1.연간시수표'!L77,$AT$7)),$AT$6,IF(OR(COUNTIF('1.연간시수표'!L77,$AU$9),COUNTIF('1.연간시수표'!L77,$AU$7)),$AU$6,IF(OR(COUNTIF('1.연간시수표'!L77,$AV$9),COUNTIF('1.연간시수표'!L77,$AV$7)),$AV$6,IF(OR(COUNTIF('1.연간시수표'!L77,$AW$9),COUNTIF('1.연간시수표'!L77,$AW$7)),$AW$6,IF(OR(COUNTIF('1.연간시수표'!L77,$AX$9),COUNTIF('1.연간시수표'!L77,$AX$7)),$AX$6,IF(OR(COUNTIF('1.연간시수표'!L77,$AY$9),COUNTIF('1.연간시수표'!L77,$AY$7)),$AY$6,IF(OR(COUNTIF('1.연간시수표'!L77,$AZ$9),COUNTIF('1.연간시수표'!L77,$AZ$7)),$AZ$6,IF(OR(COUNTIF('1.연간시수표'!L77,$BA$9),COUNTIF('1.연간시수표'!L77,$BA$7)),$BA$6,IF(OR(COUNTIF('1.연간시수표'!L77,$BB$9),COUNTIF('1.연간시수표'!L77,$BB$7)),$BB$6,IF(OR(COUNTIF('1.연간시수표'!L77,$BC$9),COUNTIF('1.연간시수표'!L77,$BC$7)),$BC$6,IF(OR(COUNTIF('1.연간시수표'!L77,$BF$9),COUNTIF('1.연간시수표'!L77,$BF$7),COUNTIF('1.연간시수표'!L77,$BG$9),COUNTIF('1.연간시수표'!L77,$BG$7),COUNTIF('1.연간시수표'!L77,$BH$9),COUNTIF('1.연간시수표'!L77,$BH$7),COUNTIF('1.연간시수표'!L77,$BI$9),COUNTIF('1.연간시수표'!L77,$BI$7),COUNTIF('1.연간시수표'!L77,$BJ$9),COUNTIF('1.연간시수표'!L77,$BJ$7),COUNTIF('1.연간시수표'!L77,$BK$9),COUNTIF('1.연간시수표'!L77,$BK$7),COUNTIF('1.연간시수표'!L77,$BL$9),COUNTIF('1.연간시수표'!L77,$BL$7),COUNTIF('1.연간시수표'!L77,$BM$9),COUNTIF('1.연간시수표'!L77,$BM$7)),$BF$6,IF(OR(COUNTIF('1.연간시수표'!L77,$BO$9),COUNTIF('1.연간시수표'!L77,$BO$7)),$BO$6,IF(OR(COUNTIF('1.연간시수표'!L77,$BP$9),COUNTIF('1.연간시수표'!L77,$BP$7)),$BP$6,IF(OR(COUNTIF('1.연간시수표'!L77,$BQ$9),COUNTIF('1.연간시수표'!L77,$BQ$7)),$BQ$6,IF(OR(COUNTIF('1.연간시수표'!L77,$BR$9),COUNTIF('1.연간시수표'!L77,$BR$7)),$BR$6,"_")))))))))))))))</f>
        <v>_</v>
      </c>
      <c r="M77" s="148" t="str">
        <f>IF(OR(COUNTIF('1.연간시수표'!M77,$AT$9),COUNTIF('1.연간시수표'!M77,$AT$7)),$AT$6,IF(OR(COUNTIF('1.연간시수표'!M77,$AU$9),COUNTIF('1.연간시수표'!M77,$AU$7)),$AU$6,IF(OR(COUNTIF('1.연간시수표'!M77,$AV$9),COUNTIF('1.연간시수표'!M77,$AV$7)),$AV$6,IF(OR(COUNTIF('1.연간시수표'!M77,$AW$9),COUNTIF('1.연간시수표'!M77,$AW$7)),$AW$6,IF(OR(COUNTIF('1.연간시수표'!M77,$AX$9),COUNTIF('1.연간시수표'!M77,$AX$7)),$AX$6,IF(OR(COUNTIF('1.연간시수표'!M77,$AY$9),COUNTIF('1.연간시수표'!M77,$AY$7)),$AY$6,IF(OR(COUNTIF('1.연간시수표'!M77,$AZ$9),COUNTIF('1.연간시수표'!M77,$AZ$7)),$AZ$6,IF(OR(COUNTIF('1.연간시수표'!M77,$BA$9),COUNTIF('1.연간시수표'!M77,$BA$7)),$BA$6,IF(OR(COUNTIF('1.연간시수표'!M77,$BB$9),COUNTIF('1.연간시수표'!M77,$BB$7)),$BB$6,IF(OR(COUNTIF('1.연간시수표'!M77,$BC$9),COUNTIF('1.연간시수표'!M77,$BC$7)),$BC$6,IF(OR(COUNTIF('1.연간시수표'!M77,$BF$9),COUNTIF('1.연간시수표'!M77,$BF$7),COUNTIF('1.연간시수표'!M77,$BG$9),COUNTIF('1.연간시수표'!M77,$BG$7),COUNTIF('1.연간시수표'!M77,$BH$9),COUNTIF('1.연간시수표'!M77,$BH$7),COUNTIF('1.연간시수표'!M77,$BI$9),COUNTIF('1.연간시수표'!M77,$BI$7),COUNTIF('1.연간시수표'!M77,$BJ$9),COUNTIF('1.연간시수표'!M77,$BJ$7),COUNTIF('1.연간시수표'!M77,$BK$9),COUNTIF('1.연간시수표'!M77,$BK$7),COUNTIF('1.연간시수표'!M77,$BL$9),COUNTIF('1.연간시수표'!M77,$BL$7),COUNTIF('1.연간시수표'!M77,$BM$9),COUNTIF('1.연간시수표'!M77,$BM$7)),$BF$6,IF(OR(COUNTIF('1.연간시수표'!M77,$BO$9),COUNTIF('1.연간시수표'!M77,$BO$7)),$BO$6,IF(OR(COUNTIF('1.연간시수표'!M77,$BP$9),COUNTIF('1.연간시수표'!M77,$BP$7)),$BP$6,IF(OR(COUNTIF('1.연간시수표'!M77,$BQ$9),COUNTIF('1.연간시수표'!M77,$BQ$7)),$BQ$6,IF(OR(COUNTIF('1.연간시수표'!M77,$BR$9),COUNTIF('1.연간시수표'!M77,$BR$7)),$BR$6,"_")))))))))))))))</f>
        <v>_</v>
      </c>
      <c r="N77" s="148" t="str">
        <f>IF(OR(COUNTIF('1.연간시수표'!N77,$AT$9),COUNTIF('1.연간시수표'!N77,$AT$7)),$AT$6,IF(OR(COUNTIF('1.연간시수표'!N77,$AU$9),COUNTIF('1.연간시수표'!N77,$AU$7)),$AU$6,IF(OR(COUNTIF('1.연간시수표'!N77,$AV$9),COUNTIF('1.연간시수표'!N77,$AV$7)),$AV$6,IF(OR(COUNTIF('1.연간시수표'!N77,$AW$9),COUNTIF('1.연간시수표'!N77,$AW$7)),$AW$6,IF(OR(COUNTIF('1.연간시수표'!N77,$AX$9),COUNTIF('1.연간시수표'!N77,$AX$7)),$AX$6,IF(OR(COUNTIF('1.연간시수표'!N77,$AY$9),COUNTIF('1.연간시수표'!N77,$AY$7)),$AY$6,IF(OR(COUNTIF('1.연간시수표'!N77,$AZ$9),COUNTIF('1.연간시수표'!N77,$AZ$7)),$AZ$6,IF(OR(COUNTIF('1.연간시수표'!N77,$BA$9),COUNTIF('1.연간시수표'!N77,$BA$7)),$BA$6,IF(OR(COUNTIF('1.연간시수표'!N77,$BB$9),COUNTIF('1.연간시수표'!N77,$BB$7)),$BB$6,IF(OR(COUNTIF('1.연간시수표'!N77,$BC$9),COUNTIF('1.연간시수표'!N77,$BC$7)),$BC$6,IF(OR(COUNTIF('1.연간시수표'!N77,$BF$9),COUNTIF('1.연간시수표'!N77,$BF$7),COUNTIF('1.연간시수표'!N77,$BG$9),COUNTIF('1.연간시수표'!N77,$BG$7),COUNTIF('1.연간시수표'!N77,$BH$9),COUNTIF('1.연간시수표'!N77,$BH$7),COUNTIF('1.연간시수표'!N77,$BI$9),COUNTIF('1.연간시수표'!N77,$BI$7),COUNTIF('1.연간시수표'!N77,$BJ$9),COUNTIF('1.연간시수표'!N77,$BJ$7),COUNTIF('1.연간시수표'!N77,$BK$9),COUNTIF('1.연간시수표'!N77,$BK$7),COUNTIF('1.연간시수표'!N77,$BL$9),COUNTIF('1.연간시수표'!N77,$BL$7),COUNTIF('1.연간시수표'!N77,$BM$9),COUNTIF('1.연간시수표'!N77,$BM$7)),$BF$6,IF(OR(COUNTIF('1.연간시수표'!N77,$BO$9),COUNTIF('1.연간시수표'!N77,$BO$7)),$BO$6,IF(OR(COUNTIF('1.연간시수표'!N77,$BP$9),COUNTIF('1.연간시수표'!N77,$BP$7)),$BP$6,IF(OR(COUNTIF('1.연간시수표'!N77,$BQ$9),COUNTIF('1.연간시수표'!N77,$BQ$7)),$BQ$6,IF(OR(COUNTIF('1.연간시수표'!N77,$BR$9),COUNTIF('1.연간시수표'!N77,$BR$7)),$BR$6,"_")))))))))))))))</f>
        <v>_</v>
      </c>
      <c r="O77" s="148" t="str">
        <f>IF(OR(COUNTIF('1.연간시수표'!O77,$AT$9),COUNTIF('1.연간시수표'!O77,$AT$7)),$AT$6,IF(OR(COUNTIF('1.연간시수표'!O77,$AU$9),COUNTIF('1.연간시수표'!O77,$AU$7)),$AU$6,IF(OR(COUNTIF('1.연간시수표'!O77,$AV$9),COUNTIF('1.연간시수표'!O77,$AV$7)),$AV$6,IF(OR(COUNTIF('1.연간시수표'!O77,$AW$9),COUNTIF('1.연간시수표'!O77,$AW$7)),$AW$6,IF(OR(COUNTIF('1.연간시수표'!O77,$AX$9),COUNTIF('1.연간시수표'!O77,$AX$7)),$AX$6,IF(OR(COUNTIF('1.연간시수표'!O77,$AY$9),COUNTIF('1.연간시수표'!O77,$AY$7)),$AY$6,IF(OR(COUNTIF('1.연간시수표'!O77,$AZ$9),COUNTIF('1.연간시수표'!O77,$AZ$7)),$AZ$6,IF(OR(COUNTIF('1.연간시수표'!O77,$BA$9),COUNTIF('1.연간시수표'!O77,$BA$7)),$BA$6,IF(OR(COUNTIF('1.연간시수표'!O77,$BB$9),COUNTIF('1.연간시수표'!O77,$BB$7)),$BB$6,IF(OR(COUNTIF('1.연간시수표'!O77,$BC$9),COUNTIF('1.연간시수표'!O77,$BC$7)),$BC$6,IF(OR(COUNTIF('1.연간시수표'!O77,$BF$9),COUNTIF('1.연간시수표'!O77,$BF$7),COUNTIF('1.연간시수표'!O77,$BG$9),COUNTIF('1.연간시수표'!O77,$BG$7),COUNTIF('1.연간시수표'!O77,$BH$9),COUNTIF('1.연간시수표'!O77,$BH$7),COUNTIF('1.연간시수표'!O77,$BI$9),COUNTIF('1.연간시수표'!O77,$BI$7),COUNTIF('1.연간시수표'!O77,$BJ$9),COUNTIF('1.연간시수표'!O77,$BJ$7),COUNTIF('1.연간시수표'!O77,$BK$9),COUNTIF('1.연간시수표'!O77,$BK$7),COUNTIF('1.연간시수표'!O77,$BL$9),COUNTIF('1.연간시수표'!O77,$BL$7),COUNTIF('1.연간시수표'!O77,$BM$9),COUNTIF('1.연간시수표'!O77,$BM$7)),$BF$6,IF(OR(COUNTIF('1.연간시수표'!O77,$BO$9),COUNTIF('1.연간시수표'!O77,$BO$7)),$BO$6,IF(OR(COUNTIF('1.연간시수표'!O77,$BP$9),COUNTIF('1.연간시수표'!O77,$BP$7)),$BP$6,IF(OR(COUNTIF('1.연간시수표'!O77,$BQ$9),COUNTIF('1.연간시수표'!O77,$BQ$7)),$BQ$6,IF(OR(COUNTIF('1.연간시수표'!O77,$BR$9),COUNTIF('1.연간시수표'!O77,$BR$7)),$BR$6,"_")))))))))))))))</f>
        <v>_</v>
      </c>
      <c r="P77" s="148" t="str">
        <f>IF(OR(COUNTIF('1.연간시수표'!P77,$AT$9),COUNTIF('1.연간시수표'!P77,$AT$7)),$AT$6,IF(OR(COUNTIF('1.연간시수표'!P77,$AU$9),COUNTIF('1.연간시수표'!P77,$AU$7)),$AU$6,IF(OR(COUNTIF('1.연간시수표'!P77,$AV$9),COUNTIF('1.연간시수표'!P77,$AV$7)),$AV$6,IF(OR(COUNTIF('1.연간시수표'!P77,$AW$9),COUNTIF('1.연간시수표'!P77,$AW$7)),$AW$6,IF(OR(COUNTIF('1.연간시수표'!P77,$AX$9),COUNTIF('1.연간시수표'!P77,$AX$7)),$AX$6,IF(OR(COUNTIF('1.연간시수표'!P77,$AY$9),COUNTIF('1.연간시수표'!P77,$AY$7)),$AY$6,IF(OR(COUNTIF('1.연간시수표'!P77,$AZ$9),COUNTIF('1.연간시수표'!P77,$AZ$7)),$AZ$6,IF(OR(COUNTIF('1.연간시수표'!P77,$BA$9),COUNTIF('1.연간시수표'!P77,$BA$7)),$BA$6,IF(OR(COUNTIF('1.연간시수표'!P77,$BB$9),COUNTIF('1.연간시수표'!P77,$BB$7)),$BB$6,IF(OR(COUNTIF('1.연간시수표'!P77,$BC$9),COUNTIF('1.연간시수표'!P77,$BC$7)),$BC$6,IF(OR(COUNTIF('1.연간시수표'!P77,$BF$9),COUNTIF('1.연간시수표'!P77,$BF$7),COUNTIF('1.연간시수표'!P77,$BG$9),COUNTIF('1.연간시수표'!P77,$BG$7),COUNTIF('1.연간시수표'!P77,$BH$9),COUNTIF('1.연간시수표'!P77,$BH$7),COUNTIF('1.연간시수표'!P77,$BI$9),COUNTIF('1.연간시수표'!P77,$BI$7),COUNTIF('1.연간시수표'!P77,$BJ$9),COUNTIF('1.연간시수표'!P77,$BJ$7),COUNTIF('1.연간시수표'!P77,$BK$9),COUNTIF('1.연간시수표'!P77,$BK$7),COUNTIF('1.연간시수표'!P77,$BL$9),COUNTIF('1.연간시수표'!P77,$BL$7),COUNTIF('1.연간시수표'!P77,$BM$9),COUNTIF('1.연간시수표'!P77,$BM$7)),$BF$6,IF(OR(COUNTIF('1.연간시수표'!P77,$BO$9),COUNTIF('1.연간시수표'!P77,$BO$7)),$BO$6,IF(OR(COUNTIF('1.연간시수표'!P77,$BP$9),COUNTIF('1.연간시수표'!P77,$BP$7)),$BP$6,IF(OR(COUNTIF('1.연간시수표'!P77,$BQ$9),COUNTIF('1.연간시수표'!P77,$BQ$7)),$BQ$6,IF(OR(COUNTIF('1.연간시수표'!P77,$BR$9),COUNTIF('1.연간시수표'!P77,$BR$7)),$BR$6,"_")))))))))))))))</f>
        <v>_</v>
      </c>
      <c r="Q77" s="148" t="str">
        <f>IF(OR(COUNTIF('1.연간시수표'!Q77,$AT$9),COUNTIF('1.연간시수표'!Q77,$AT$7)),$AT$6,IF(OR(COUNTIF('1.연간시수표'!Q77,$AU$9),COUNTIF('1.연간시수표'!Q77,$AU$7)),$AU$6,IF(OR(COUNTIF('1.연간시수표'!Q77,$AV$9),COUNTIF('1.연간시수표'!Q77,$AV$7)),$AV$6,IF(OR(COUNTIF('1.연간시수표'!Q77,$AW$9),COUNTIF('1.연간시수표'!Q77,$AW$7)),$AW$6,IF(OR(COUNTIF('1.연간시수표'!Q77,$AX$9),COUNTIF('1.연간시수표'!Q77,$AX$7)),$AX$6,IF(OR(COUNTIF('1.연간시수표'!Q77,$AY$9),COUNTIF('1.연간시수표'!Q77,$AY$7)),$AY$6,IF(OR(COUNTIF('1.연간시수표'!Q77,$AZ$9),COUNTIF('1.연간시수표'!Q77,$AZ$7)),$AZ$6,IF(OR(COUNTIF('1.연간시수표'!Q77,$BA$9),COUNTIF('1.연간시수표'!Q77,$BA$7)),$BA$6,IF(OR(COUNTIF('1.연간시수표'!Q77,$BB$9),COUNTIF('1.연간시수표'!Q77,$BB$7)),$BB$6,IF(OR(COUNTIF('1.연간시수표'!Q77,$BC$9),COUNTIF('1.연간시수표'!Q77,$BC$7)),$BC$6,IF(OR(COUNTIF('1.연간시수표'!Q77,$BF$9),COUNTIF('1.연간시수표'!Q77,$BF$7),COUNTIF('1.연간시수표'!Q77,$BG$9),COUNTIF('1.연간시수표'!Q77,$BG$7),COUNTIF('1.연간시수표'!Q77,$BH$9),COUNTIF('1.연간시수표'!Q77,$BH$7),COUNTIF('1.연간시수표'!Q77,$BI$9),COUNTIF('1.연간시수표'!Q77,$BI$7),COUNTIF('1.연간시수표'!Q77,$BJ$9),COUNTIF('1.연간시수표'!Q77,$BJ$7),COUNTIF('1.연간시수표'!Q77,$BK$9),COUNTIF('1.연간시수표'!Q77,$BK$7),COUNTIF('1.연간시수표'!Q77,$BL$9),COUNTIF('1.연간시수표'!Q77,$BL$7),COUNTIF('1.연간시수표'!Q77,$BM$9),COUNTIF('1.연간시수표'!Q77,$BM$7)),$BF$6,IF(OR(COUNTIF('1.연간시수표'!Q77,$BO$9),COUNTIF('1.연간시수표'!Q77,$BO$7)),$BO$6,IF(OR(COUNTIF('1.연간시수표'!Q77,$BP$9),COUNTIF('1.연간시수표'!Q77,$BP$7)),$BP$6,IF(OR(COUNTIF('1.연간시수표'!Q77,$BQ$9),COUNTIF('1.연간시수표'!Q77,$BQ$7)),$BQ$6,IF(OR(COUNTIF('1.연간시수표'!Q77,$BR$9),COUNTIF('1.연간시수표'!Q77,$BR$7)),$BR$6,"_")))))))))))))))</f>
        <v>_</v>
      </c>
      <c r="R77" s="148" t="str">
        <f>IF(OR(COUNTIF('1.연간시수표'!R77,$AT$9),COUNTIF('1.연간시수표'!R77,$AT$7)),$AT$6,IF(OR(COUNTIF('1.연간시수표'!R77,$AU$9),COUNTIF('1.연간시수표'!R77,$AU$7)),$AU$6,IF(OR(COUNTIF('1.연간시수표'!R77,$AV$9),COUNTIF('1.연간시수표'!R77,$AV$7)),$AV$6,IF(OR(COUNTIF('1.연간시수표'!R77,$AW$9),COUNTIF('1.연간시수표'!R77,$AW$7)),$AW$6,IF(OR(COUNTIF('1.연간시수표'!R77,$AX$9),COUNTIF('1.연간시수표'!R77,$AX$7)),$AX$6,IF(OR(COUNTIF('1.연간시수표'!R77,$AY$9),COUNTIF('1.연간시수표'!R77,$AY$7)),$AY$6,IF(OR(COUNTIF('1.연간시수표'!R77,$AZ$9),COUNTIF('1.연간시수표'!R77,$AZ$7)),$AZ$6,IF(OR(COUNTIF('1.연간시수표'!R77,$BA$9),COUNTIF('1.연간시수표'!R77,$BA$7)),$BA$6,IF(OR(COUNTIF('1.연간시수표'!R77,$BB$9),COUNTIF('1.연간시수표'!R77,$BB$7)),$BB$6,IF(OR(COUNTIF('1.연간시수표'!R77,$BC$9),COUNTIF('1.연간시수표'!R77,$BC$7)),$BC$6,IF(OR(COUNTIF('1.연간시수표'!R77,$BF$9),COUNTIF('1.연간시수표'!R77,$BF$7),COUNTIF('1.연간시수표'!R77,$BG$9),COUNTIF('1.연간시수표'!R77,$BG$7),COUNTIF('1.연간시수표'!R77,$BH$9),COUNTIF('1.연간시수표'!R77,$BH$7),COUNTIF('1.연간시수표'!R77,$BI$9),COUNTIF('1.연간시수표'!R77,$BI$7),COUNTIF('1.연간시수표'!R77,$BJ$9),COUNTIF('1.연간시수표'!R77,$BJ$7),COUNTIF('1.연간시수표'!R77,$BK$9),COUNTIF('1.연간시수표'!R77,$BK$7),COUNTIF('1.연간시수표'!R77,$BL$9),COUNTIF('1.연간시수표'!R77,$BL$7),COUNTIF('1.연간시수표'!R77,$BM$9),COUNTIF('1.연간시수표'!R77,$BM$7)),$BF$6,IF(OR(COUNTIF('1.연간시수표'!R77,$BO$9),COUNTIF('1.연간시수표'!R77,$BO$7)),$BO$6,IF(OR(COUNTIF('1.연간시수표'!R77,$BP$9),COUNTIF('1.연간시수표'!R77,$BP$7)),$BP$6,IF(OR(COUNTIF('1.연간시수표'!R77,$BQ$9),COUNTIF('1.연간시수표'!R77,$BQ$7)),$BQ$6,IF(OR(COUNTIF('1.연간시수표'!R77,$BR$9),COUNTIF('1.연간시수표'!R77,$BR$7)),$BR$6,"_")))))))))))))))</f>
        <v>_</v>
      </c>
      <c r="S77" s="148" t="str">
        <f>IF(OR(COUNTIF('1.연간시수표'!S77,$AT$9),COUNTIF('1.연간시수표'!S77,$AT$7)),$AT$6,IF(OR(COUNTIF('1.연간시수표'!S77,$AU$9),COUNTIF('1.연간시수표'!S77,$AU$7)),$AU$6,IF(OR(COUNTIF('1.연간시수표'!S77,$AV$9),COUNTIF('1.연간시수표'!S77,$AV$7)),$AV$6,IF(OR(COUNTIF('1.연간시수표'!S77,$AW$9),COUNTIF('1.연간시수표'!S77,$AW$7)),$AW$6,IF(OR(COUNTIF('1.연간시수표'!S77,$AX$9),COUNTIF('1.연간시수표'!S77,$AX$7)),$AX$6,IF(OR(COUNTIF('1.연간시수표'!S77,$AY$9),COUNTIF('1.연간시수표'!S77,$AY$7)),$AY$6,IF(OR(COUNTIF('1.연간시수표'!S77,$AZ$9),COUNTIF('1.연간시수표'!S77,$AZ$7)),$AZ$6,IF(OR(COUNTIF('1.연간시수표'!S77,$BA$9),COUNTIF('1.연간시수표'!S77,$BA$7)),$BA$6,IF(OR(COUNTIF('1.연간시수표'!S77,$BB$9),COUNTIF('1.연간시수표'!S77,$BB$7)),$BB$6,IF(OR(COUNTIF('1.연간시수표'!S77,$BC$9),COUNTIF('1.연간시수표'!S77,$BC$7)),$BC$6,IF(OR(COUNTIF('1.연간시수표'!S77,$BF$9),COUNTIF('1.연간시수표'!S77,$BF$7),COUNTIF('1.연간시수표'!S77,$BG$9),COUNTIF('1.연간시수표'!S77,$BG$7),COUNTIF('1.연간시수표'!S77,$BH$9),COUNTIF('1.연간시수표'!S77,$BH$7),COUNTIF('1.연간시수표'!S77,$BI$9),COUNTIF('1.연간시수표'!S77,$BI$7),COUNTIF('1.연간시수표'!S77,$BJ$9),COUNTIF('1.연간시수표'!S77,$BJ$7),COUNTIF('1.연간시수표'!S77,$BK$9),COUNTIF('1.연간시수표'!S77,$BK$7),COUNTIF('1.연간시수표'!S77,$BL$9),COUNTIF('1.연간시수표'!S77,$BL$7),COUNTIF('1.연간시수표'!S77,$BM$9),COUNTIF('1.연간시수표'!S77,$BM$7)),$BF$6,IF(OR(COUNTIF('1.연간시수표'!S77,$BO$9),COUNTIF('1.연간시수표'!S77,$BO$7)),$BO$6,IF(OR(COUNTIF('1.연간시수표'!S77,$BP$9),COUNTIF('1.연간시수표'!S77,$BP$7)),$BP$6,IF(OR(COUNTIF('1.연간시수표'!S77,$BQ$9),COUNTIF('1.연간시수표'!S77,$BQ$7)),$BQ$6,IF(OR(COUNTIF('1.연간시수표'!S77,$BR$9),COUNTIF('1.연간시수표'!S77,$BR$7)),$BR$6,"_")))))))))))))))</f>
        <v>_</v>
      </c>
      <c r="T77" s="148" t="str">
        <f>IF(OR(COUNTIF('1.연간시수표'!T77,$AT$9),COUNTIF('1.연간시수표'!T77,$AT$7)),$AT$6,IF(OR(COUNTIF('1.연간시수표'!T77,$AU$9),COUNTIF('1.연간시수표'!T77,$AU$7)),$AU$6,IF(OR(COUNTIF('1.연간시수표'!T77,$AV$9),COUNTIF('1.연간시수표'!T77,$AV$7)),$AV$6,IF(OR(COUNTIF('1.연간시수표'!T77,$AW$9),COUNTIF('1.연간시수표'!T77,$AW$7)),$AW$6,IF(OR(COUNTIF('1.연간시수표'!T77,$AX$9),COUNTIF('1.연간시수표'!T77,$AX$7)),$AX$6,IF(OR(COUNTIF('1.연간시수표'!T77,$AY$9),COUNTIF('1.연간시수표'!T77,$AY$7)),$AY$6,IF(OR(COUNTIF('1.연간시수표'!T77,$AZ$9),COUNTIF('1.연간시수표'!T77,$AZ$7)),$AZ$6,IF(OR(COUNTIF('1.연간시수표'!T77,$BA$9),COUNTIF('1.연간시수표'!T77,$BA$7)),$BA$6,IF(OR(COUNTIF('1.연간시수표'!T77,$BB$9),COUNTIF('1.연간시수표'!T77,$BB$7)),$BB$6,IF(OR(COUNTIF('1.연간시수표'!T77,$BC$9),COUNTIF('1.연간시수표'!T77,$BC$7)),$BC$6,IF(OR(COUNTIF('1.연간시수표'!T77,$BF$9),COUNTIF('1.연간시수표'!T77,$BF$7),COUNTIF('1.연간시수표'!T77,$BG$9),COUNTIF('1.연간시수표'!T77,$BG$7),COUNTIF('1.연간시수표'!T77,$BH$9),COUNTIF('1.연간시수표'!T77,$BH$7),COUNTIF('1.연간시수표'!T77,$BI$9),COUNTIF('1.연간시수표'!T77,$BI$7),COUNTIF('1.연간시수표'!T77,$BJ$9),COUNTIF('1.연간시수표'!T77,$BJ$7),COUNTIF('1.연간시수표'!T77,$BK$9),COUNTIF('1.연간시수표'!T77,$BK$7),COUNTIF('1.연간시수표'!T77,$BL$9),COUNTIF('1.연간시수표'!T77,$BL$7),COUNTIF('1.연간시수표'!T77,$BM$9),COUNTIF('1.연간시수표'!T77,$BM$7)),$BF$6,IF(OR(COUNTIF('1.연간시수표'!T77,$BO$9),COUNTIF('1.연간시수표'!T77,$BO$7)),$BO$6,IF(OR(COUNTIF('1.연간시수표'!T77,$BP$9),COUNTIF('1.연간시수표'!T77,$BP$7)),$BP$6,IF(OR(COUNTIF('1.연간시수표'!T77,$BQ$9),COUNTIF('1.연간시수표'!T77,$BQ$7)),$BQ$6,IF(OR(COUNTIF('1.연간시수표'!T77,$BR$9),COUNTIF('1.연간시수표'!T77,$BR$7)),$BR$6,"_")))))))))))))))</f>
        <v>_</v>
      </c>
      <c r="U77" s="148" t="str">
        <f>IF(OR(COUNTIF('1.연간시수표'!U77,$AT$9),COUNTIF('1.연간시수표'!U77,$AT$7)),$AT$6,IF(OR(COUNTIF('1.연간시수표'!U77,$AU$9),COUNTIF('1.연간시수표'!U77,$AU$7)),$AU$6,IF(OR(COUNTIF('1.연간시수표'!U77,$AV$9),COUNTIF('1.연간시수표'!U77,$AV$7)),$AV$6,IF(OR(COUNTIF('1.연간시수표'!U77,$AW$9),COUNTIF('1.연간시수표'!U77,$AW$7)),$AW$6,IF(OR(COUNTIF('1.연간시수표'!U77,$AX$9),COUNTIF('1.연간시수표'!U77,$AX$7)),$AX$6,IF(OR(COUNTIF('1.연간시수표'!U77,$AY$9),COUNTIF('1.연간시수표'!U77,$AY$7)),$AY$6,IF(OR(COUNTIF('1.연간시수표'!U77,$AZ$9),COUNTIF('1.연간시수표'!U77,$AZ$7)),$AZ$6,IF(OR(COUNTIF('1.연간시수표'!U77,$BA$9),COUNTIF('1.연간시수표'!U77,$BA$7)),$BA$6,IF(OR(COUNTIF('1.연간시수표'!U77,$BB$9),COUNTIF('1.연간시수표'!U77,$BB$7)),$BB$6,IF(OR(COUNTIF('1.연간시수표'!U77,$BC$9),COUNTIF('1.연간시수표'!U77,$BC$7)),$BC$6,IF(OR(COUNTIF('1.연간시수표'!U77,$BF$9),COUNTIF('1.연간시수표'!U77,$BF$7),COUNTIF('1.연간시수표'!U77,$BG$9),COUNTIF('1.연간시수표'!U77,$BG$7),COUNTIF('1.연간시수표'!U77,$BH$9),COUNTIF('1.연간시수표'!U77,$BH$7),COUNTIF('1.연간시수표'!U77,$BI$9),COUNTIF('1.연간시수표'!U77,$BI$7),COUNTIF('1.연간시수표'!U77,$BJ$9),COUNTIF('1.연간시수표'!U77,$BJ$7),COUNTIF('1.연간시수표'!U77,$BK$9),COUNTIF('1.연간시수표'!U77,$BK$7),COUNTIF('1.연간시수표'!U77,$BL$9),COUNTIF('1.연간시수표'!U77,$BL$7),COUNTIF('1.연간시수표'!U77,$BM$9),COUNTIF('1.연간시수표'!U77,$BM$7)),$BF$6,IF(OR(COUNTIF('1.연간시수표'!U77,$BO$9),COUNTIF('1.연간시수표'!U77,$BO$7)),$BO$6,IF(OR(COUNTIF('1.연간시수표'!U77,$BP$9),COUNTIF('1.연간시수표'!U77,$BP$7)),$BP$6,IF(OR(COUNTIF('1.연간시수표'!U77,$BQ$9),COUNTIF('1.연간시수표'!U77,$BQ$7)),$BQ$6,IF(OR(COUNTIF('1.연간시수표'!U77,$BR$9),COUNTIF('1.연간시수표'!U77,$BR$7)),$BR$6,"_")))))))))))))))</f>
        <v>_</v>
      </c>
      <c r="V77" s="148" t="str">
        <f>IF(OR(COUNTIF('1.연간시수표'!V77,$AT$9),COUNTIF('1.연간시수표'!V77,$AT$7)),$AT$6,IF(OR(COUNTIF('1.연간시수표'!V77,$AU$9),COUNTIF('1.연간시수표'!V77,$AU$7)),$AU$6,IF(OR(COUNTIF('1.연간시수표'!V77,$AV$9),COUNTIF('1.연간시수표'!V77,$AV$7)),$AV$6,IF(OR(COUNTIF('1.연간시수표'!V77,$AW$9),COUNTIF('1.연간시수표'!V77,$AW$7)),$AW$6,IF(OR(COUNTIF('1.연간시수표'!V77,$AX$9),COUNTIF('1.연간시수표'!V77,$AX$7)),$AX$6,IF(OR(COUNTIF('1.연간시수표'!V77,$AY$9),COUNTIF('1.연간시수표'!V77,$AY$7)),$AY$6,IF(OR(COUNTIF('1.연간시수표'!V77,$AZ$9),COUNTIF('1.연간시수표'!V77,$AZ$7)),$AZ$6,IF(OR(COUNTIF('1.연간시수표'!V77,$BA$9),COUNTIF('1.연간시수표'!V77,$BA$7)),$BA$6,IF(OR(COUNTIF('1.연간시수표'!V77,$BB$9),COUNTIF('1.연간시수표'!V77,$BB$7)),$BB$6,IF(OR(COUNTIF('1.연간시수표'!V77,$BC$9),COUNTIF('1.연간시수표'!V77,$BC$7)),$BC$6,IF(OR(COUNTIF('1.연간시수표'!V77,$BF$9),COUNTIF('1.연간시수표'!V77,$BF$7),COUNTIF('1.연간시수표'!V77,$BG$9),COUNTIF('1.연간시수표'!V77,$BG$7),COUNTIF('1.연간시수표'!V77,$BH$9),COUNTIF('1.연간시수표'!V77,$BH$7),COUNTIF('1.연간시수표'!V77,$BI$9),COUNTIF('1.연간시수표'!V77,$BI$7),COUNTIF('1.연간시수표'!V77,$BJ$9),COUNTIF('1.연간시수표'!V77,$BJ$7),COUNTIF('1.연간시수표'!V77,$BK$9),COUNTIF('1.연간시수표'!V77,$BK$7),COUNTIF('1.연간시수표'!V77,$BL$9),COUNTIF('1.연간시수표'!V77,$BL$7),COUNTIF('1.연간시수표'!V77,$BM$9),COUNTIF('1.연간시수표'!V77,$BM$7)),$BF$6,IF(OR(COUNTIF('1.연간시수표'!V77,$BO$9),COUNTIF('1.연간시수표'!V77,$BO$7)),$BO$6,IF(OR(COUNTIF('1.연간시수표'!V77,$BP$9),COUNTIF('1.연간시수표'!V77,$BP$7)),$BP$6,IF(OR(COUNTIF('1.연간시수표'!V77,$BQ$9),COUNTIF('1.연간시수표'!V77,$BQ$7)),$BQ$6,IF(OR(COUNTIF('1.연간시수표'!V77,$BR$9),COUNTIF('1.연간시수표'!V77,$BR$7)),$BR$6,"_")))))))))))))))</f>
        <v>_</v>
      </c>
      <c r="W77" s="148" t="str">
        <f>IF(OR(COUNTIF('1.연간시수표'!W77,$AT$9),COUNTIF('1.연간시수표'!W77,$AT$7)),$AT$6,IF(OR(COUNTIF('1.연간시수표'!W77,$AU$9),COUNTIF('1.연간시수표'!W77,$AU$7)),$AU$6,IF(OR(COUNTIF('1.연간시수표'!W77,$AV$9),COUNTIF('1.연간시수표'!W77,$AV$7)),$AV$6,IF(OR(COUNTIF('1.연간시수표'!W77,$AW$9),COUNTIF('1.연간시수표'!W77,$AW$7)),$AW$6,IF(OR(COUNTIF('1.연간시수표'!W77,$AX$9),COUNTIF('1.연간시수표'!W77,$AX$7)),$AX$6,IF(OR(COUNTIF('1.연간시수표'!W77,$AY$9),COUNTIF('1.연간시수표'!W77,$AY$7)),$AY$6,IF(OR(COUNTIF('1.연간시수표'!W77,$AZ$9),COUNTIF('1.연간시수표'!W77,$AZ$7)),$AZ$6,IF(OR(COUNTIF('1.연간시수표'!W77,$BA$9),COUNTIF('1.연간시수표'!W77,$BA$7)),$BA$6,IF(OR(COUNTIF('1.연간시수표'!W77,$BB$9),COUNTIF('1.연간시수표'!W77,$BB$7)),$BB$6,IF(OR(COUNTIF('1.연간시수표'!W77,$BC$9),COUNTIF('1.연간시수표'!W77,$BC$7)),$BC$6,IF(OR(COUNTIF('1.연간시수표'!W77,$BF$9),COUNTIF('1.연간시수표'!W77,$BF$7),COUNTIF('1.연간시수표'!W77,$BG$9),COUNTIF('1.연간시수표'!W77,$BG$7),COUNTIF('1.연간시수표'!W77,$BH$9),COUNTIF('1.연간시수표'!W77,$BH$7),COUNTIF('1.연간시수표'!W77,$BI$9),COUNTIF('1.연간시수표'!W77,$BI$7),COUNTIF('1.연간시수표'!W77,$BJ$9),COUNTIF('1.연간시수표'!W77,$BJ$7),COUNTIF('1.연간시수표'!W77,$BK$9),COUNTIF('1.연간시수표'!W77,$BK$7),COUNTIF('1.연간시수표'!W77,$BL$9),COUNTIF('1.연간시수표'!W77,$BL$7),COUNTIF('1.연간시수표'!W77,$BM$9),COUNTIF('1.연간시수표'!W77,$BM$7)),$BF$6,IF(OR(COUNTIF('1.연간시수표'!W77,$BO$9),COUNTIF('1.연간시수표'!W77,$BO$7)),$BO$6,IF(OR(COUNTIF('1.연간시수표'!W77,$BP$9),COUNTIF('1.연간시수표'!W77,$BP$7)),$BP$6,IF(OR(COUNTIF('1.연간시수표'!W77,$BQ$9),COUNTIF('1.연간시수표'!W77,$BQ$7)),$BQ$6,IF(OR(COUNTIF('1.연간시수표'!W77,$BR$9),COUNTIF('1.연간시수표'!W77,$BR$7)),$BR$6,"_")))))))))))))))</f>
        <v>_</v>
      </c>
      <c r="X77" s="148" t="str">
        <f>IF(OR(COUNTIF('1.연간시수표'!X77,$AT$9),COUNTIF('1.연간시수표'!X77,$AT$7)),$AT$6,IF(OR(COUNTIF('1.연간시수표'!X77,$AU$9),COUNTIF('1.연간시수표'!X77,$AU$7)),$AU$6,IF(OR(COUNTIF('1.연간시수표'!X77,$AV$9),COUNTIF('1.연간시수표'!X77,$AV$7)),$AV$6,IF(OR(COUNTIF('1.연간시수표'!X77,$AW$9),COUNTIF('1.연간시수표'!X77,$AW$7)),$AW$6,IF(OR(COUNTIF('1.연간시수표'!X77,$AX$9),COUNTIF('1.연간시수표'!X77,$AX$7)),$AX$6,IF(OR(COUNTIF('1.연간시수표'!X77,$AY$9),COUNTIF('1.연간시수표'!X77,$AY$7)),$AY$6,IF(OR(COUNTIF('1.연간시수표'!X77,$AZ$9),COUNTIF('1.연간시수표'!X77,$AZ$7)),$AZ$6,IF(OR(COUNTIF('1.연간시수표'!X77,$BA$9),COUNTIF('1.연간시수표'!X77,$BA$7)),$BA$6,IF(OR(COUNTIF('1.연간시수표'!X77,$BB$9),COUNTIF('1.연간시수표'!X77,$BB$7)),$BB$6,IF(OR(COUNTIF('1.연간시수표'!X77,$BC$9),COUNTIF('1.연간시수표'!X77,$BC$7)),$BC$6,IF(OR(COUNTIF('1.연간시수표'!X77,$BF$9),COUNTIF('1.연간시수표'!X77,$BF$7),COUNTIF('1.연간시수표'!X77,$BG$9),COUNTIF('1.연간시수표'!X77,$BG$7),COUNTIF('1.연간시수표'!X77,$BH$9),COUNTIF('1.연간시수표'!X77,$BH$7),COUNTIF('1.연간시수표'!X77,$BI$9),COUNTIF('1.연간시수표'!X77,$BI$7),COUNTIF('1.연간시수표'!X77,$BJ$9),COUNTIF('1.연간시수표'!X77,$BJ$7),COUNTIF('1.연간시수표'!X77,$BK$9),COUNTIF('1.연간시수표'!X77,$BK$7),COUNTIF('1.연간시수표'!X77,$BL$9),COUNTIF('1.연간시수표'!X77,$BL$7),COUNTIF('1.연간시수표'!X77,$BM$9),COUNTIF('1.연간시수표'!X77,$BM$7)),$BF$6,IF(OR(COUNTIF('1.연간시수표'!X77,$BO$9),COUNTIF('1.연간시수표'!X77,$BO$7)),$BO$6,IF(OR(COUNTIF('1.연간시수표'!X77,$BP$9),COUNTIF('1.연간시수표'!X77,$BP$7)),$BP$6,IF(OR(COUNTIF('1.연간시수표'!X77,$BQ$9),COUNTIF('1.연간시수표'!X77,$BQ$7)),$BQ$6,IF(OR(COUNTIF('1.연간시수표'!X77,$BR$9),COUNTIF('1.연간시수표'!X77,$BR$7)),$BR$6,"_")))))))))))))))</f>
        <v>_</v>
      </c>
      <c r="Y77" s="148" t="str">
        <f>IF(OR(COUNTIF('1.연간시수표'!Y77,$AT$9),COUNTIF('1.연간시수표'!Y77,$AT$7)),$AT$6,IF(OR(COUNTIF('1.연간시수표'!Y77,$AU$9),COUNTIF('1.연간시수표'!Y77,$AU$7)),$AU$6,IF(OR(COUNTIF('1.연간시수표'!Y77,$AV$9),COUNTIF('1.연간시수표'!Y77,$AV$7)),$AV$6,IF(OR(COUNTIF('1.연간시수표'!Y77,$AW$9),COUNTIF('1.연간시수표'!Y77,$AW$7)),$AW$6,IF(OR(COUNTIF('1.연간시수표'!Y77,$AX$9),COUNTIF('1.연간시수표'!Y77,$AX$7)),$AX$6,IF(OR(COUNTIF('1.연간시수표'!Y77,$AY$9),COUNTIF('1.연간시수표'!Y77,$AY$7)),$AY$6,IF(OR(COUNTIF('1.연간시수표'!Y77,$AZ$9),COUNTIF('1.연간시수표'!Y77,$AZ$7)),$AZ$6,IF(OR(COUNTIF('1.연간시수표'!Y77,$BA$9),COUNTIF('1.연간시수표'!Y77,$BA$7)),$BA$6,IF(OR(COUNTIF('1.연간시수표'!Y77,$BB$9),COUNTIF('1.연간시수표'!Y77,$BB$7)),$BB$6,IF(OR(COUNTIF('1.연간시수표'!Y77,$BC$9),COUNTIF('1.연간시수표'!Y77,$BC$7)),$BC$6,IF(OR(COUNTIF('1.연간시수표'!Y77,$BF$9),COUNTIF('1.연간시수표'!Y77,$BF$7),COUNTIF('1.연간시수표'!Y77,$BG$9),COUNTIF('1.연간시수표'!Y77,$BG$7),COUNTIF('1.연간시수표'!Y77,$BH$9),COUNTIF('1.연간시수표'!Y77,$BH$7),COUNTIF('1.연간시수표'!Y77,$BI$9),COUNTIF('1.연간시수표'!Y77,$BI$7),COUNTIF('1.연간시수표'!Y77,$BJ$9),COUNTIF('1.연간시수표'!Y77,$BJ$7),COUNTIF('1.연간시수표'!Y77,$BK$9),COUNTIF('1.연간시수표'!Y77,$BK$7),COUNTIF('1.연간시수표'!Y77,$BL$9),COUNTIF('1.연간시수표'!Y77,$BL$7),COUNTIF('1.연간시수표'!Y77,$BM$9),COUNTIF('1.연간시수표'!Y77,$BM$7)),$BF$6,IF(OR(COUNTIF('1.연간시수표'!Y77,$BO$9),COUNTIF('1.연간시수표'!Y77,$BO$7)),$BO$6,IF(OR(COUNTIF('1.연간시수표'!Y77,$BP$9),COUNTIF('1.연간시수표'!Y77,$BP$7)),$BP$6,IF(OR(COUNTIF('1.연간시수표'!Y77,$BQ$9),COUNTIF('1.연간시수표'!Y77,$BQ$7)),$BQ$6,IF(OR(COUNTIF('1.연간시수표'!Y77,$BR$9),COUNTIF('1.연간시수표'!Y77,$BR$7)),$BR$6,"_")))))))))))))))</f>
        <v>_</v>
      </c>
      <c r="Z77" s="148" t="str">
        <f>IF(OR(COUNTIF('1.연간시수표'!Z77,$AT$9),COUNTIF('1.연간시수표'!Z77,$AT$7)),$AT$6,IF(OR(COUNTIF('1.연간시수표'!Z77,$AU$9),COUNTIF('1.연간시수표'!Z77,$AU$7)),$AU$6,IF(OR(COUNTIF('1.연간시수표'!Z77,$AV$9),COUNTIF('1.연간시수표'!Z77,$AV$7)),$AV$6,IF(OR(COUNTIF('1.연간시수표'!Z77,$AW$9),COUNTIF('1.연간시수표'!Z77,$AW$7)),$AW$6,IF(OR(COUNTIF('1.연간시수표'!Z77,$AX$9),COUNTIF('1.연간시수표'!Z77,$AX$7)),$AX$6,IF(OR(COUNTIF('1.연간시수표'!Z77,$AY$9),COUNTIF('1.연간시수표'!Z77,$AY$7)),$AY$6,IF(OR(COUNTIF('1.연간시수표'!Z77,$AZ$9),COUNTIF('1.연간시수표'!Z77,$AZ$7)),$AZ$6,IF(OR(COUNTIF('1.연간시수표'!Z77,$BA$9),COUNTIF('1.연간시수표'!Z77,$BA$7)),$BA$6,IF(OR(COUNTIF('1.연간시수표'!Z77,$BB$9),COUNTIF('1.연간시수표'!Z77,$BB$7)),$BB$6,IF(OR(COUNTIF('1.연간시수표'!Z77,$BC$9),COUNTIF('1.연간시수표'!Z77,$BC$7)),$BC$6,IF(OR(COUNTIF('1.연간시수표'!Z77,$BF$9),COUNTIF('1.연간시수표'!Z77,$BF$7),COUNTIF('1.연간시수표'!Z77,$BG$9),COUNTIF('1.연간시수표'!Z77,$BG$7),COUNTIF('1.연간시수표'!Z77,$BH$9),COUNTIF('1.연간시수표'!Z77,$BH$7),COUNTIF('1.연간시수표'!Z77,$BI$9),COUNTIF('1.연간시수표'!Z77,$BI$7),COUNTIF('1.연간시수표'!Z77,$BJ$9),COUNTIF('1.연간시수표'!Z77,$BJ$7),COUNTIF('1.연간시수표'!Z77,$BK$9),COUNTIF('1.연간시수표'!Z77,$BK$7),COUNTIF('1.연간시수표'!Z77,$BL$9),COUNTIF('1.연간시수표'!Z77,$BL$7),COUNTIF('1.연간시수표'!Z77,$BM$9),COUNTIF('1.연간시수표'!Z77,$BM$7)),$BF$6,IF(OR(COUNTIF('1.연간시수표'!Z77,$BO$9),COUNTIF('1.연간시수표'!Z77,$BO$7)),$BO$6,IF(OR(COUNTIF('1.연간시수표'!Z77,$BP$9),COUNTIF('1.연간시수표'!Z77,$BP$7)),$BP$6,IF(OR(COUNTIF('1.연간시수표'!Z77,$BQ$9),COUNTIF('1.연간시수표'!Z77,$BQ$7)),$BQ$6,IF(OR(COUNTIF('1.연간시수표'!Z77,$BR$9),COUNTIF('1.연간시수표'!Z77,$BR$7)),$BR$6,"_")))))))))))))))</f>
        <v>_</v>
      </c>
      <c r="AA77" s="148" t="str">
        <f>IF(OR(COUNTIF('1.연간시수표'!AA77,$AT$9),COUNTIF('1.연간시수표'!AA77,$AT$7)),$AT$6,IF(OR(COUNTIF('1.연간시수표'!AA77,$AU$9),COUNTIF('1.연간시수표'!AA77,$AU$7)),$AU$6,IF(OR(COUNTIF('1.연간시수표'!AA77,$AV$9),COUNTIF('1.연간시수표'!AA77,$AV$7)),$AV$6,IF(OR(COUNTIF('1.연간시수표'!AA77,$AW$9),COUNTIF('1.연간시수표'!AA77,$AW$7)),$AW$6,IF(OR(COUNTIF('1.연간시수표'!AA77,$AX$9),COUNTIF('1.연간시수표'!AA77,$AX$7)),$AX$6,IF(OR(COUNTIF('1.연간시수표'!AA77,$AY$9),COUNTIF('1.연간시수표'!AA77,$AY$7)),$AY$6,IF(OR(COUNTIF('1.연간시수표'!AA77,$AZ$9),COUNTIF('1.연간시수표'!AA77,$AZ$7)),$AZ$6,IF(OR(COUNTIF('1.연간시수표'!AA77,$BA$9),COUNTIF('1.연간시수표'!AA77,$BA$7)),$BA$6,IF(OR(COUNTIF('1.연간시수표'!AA77,$BB$9),COUNTIF('1.연간시수표'!AA77,$BB$7)),$BB$6,IF(OR(COUNTIF('1.연간시수표'!AA77,$BC$9),COUNTIF('1.연간시수표'!AA77,$BC$7)),$BC$6,IF(OR(COUNTIF('1.연간시수표'!AA77,$BF$9),COUNTIF('1.연간시수표'!AA77,$BF$7),COUNTIF('1.연간시수표'!AA77,$BG$9),COUNTIF('1.연간시수표'!AA77,$BG$7),COUNTIF('1.연간시수표'!AA77,$BH$9),COUNTIF('1.연간시수표'!AA77,$BH$7),COUNTIF('1.연간시수표'!AA77,$BI$9),COUNTIF('1.연간시수표'!AA77,$BI$7),COUNTIF('1.연간시수표'!AA77,$BJ$9),COUNTIF('1.연간시수표'!AA77,$BJ$7),COUNTIF('1.연간시수표'!AA77,$BK$9),COUNTIF('1.연간시수표'!AA77,$BK$7),COUNTIF('1.연간시수표'!AA77,$BL$9),COUNTIF('1.연간시수표'!AA77,$BL$7),COUNTIF('1.연간시수표'!AA77,$BM$9),COUNTIF('1.연간시수표'!AA77,$BM$7)),$BF$6,IF(OR(COUNTIF('1.연간시수표'!AA77,$BO$9),COUNTIF('1.연간시수표'!AA77,$BO$7)),$BO$6,IF(OR(COUNTIF('1.연간시수표'!AA77,$BP$9),COUNTIF('1.연간시수표'!AA77,$BP$7)),$BP$6,IF(OR(COUNTIF('1.연간시수표'!AA77,$BQ$9),COUNTIF('1.연간시수표'!AA77,$BQ$7)),$BQ$6,IF(OR(COUNTIF('1.연간시수표'!AA77,$BR$9),COUNTIF('1.연간시수표'!AA77,$BR$7)),$BR$6,"_")))))))))))))))</f>
        <v>_</v>
      </c>
      <c r="AB77" s="148" t="str">
        <f>IF(OR(COUNTIF('1.연간시수표'!AB77,$AT$9),COUNTIF('1.연간시수표'!AB77,$AT$7)),$AT$6,IF(OR(COUNTIF('1.연간시수표'!AB77,$AU$9),COUNTIF('1.연간시수표'!AB77,$AU$7)),$AU$6,IF(OR(COUNTIF('1.연간시수표'!AB77,$AV$9),COUNTIF('1.연간시수표'!AB77,$AV$7)),$AV$6,IF(OR(COUNTIF('1.연간시수표'!AB77,$AW$9),COUNTIF('1.연간시수표'!AB77,$AW$7)),$AW$6,IF(OR(COUNTIF('1.연간시수표'!AB77,$AX$9),COUNTIF('1.연간시수표'!AB77,$AX$7)),$AX$6,IF(OR(COUNTIF('1.연간시수표'!AB77,$AY$9),COUNTIF('1.연간시수표'!AB77,$AY$7)),$AY$6,IF(OR(COUNTIF('1.연간시수표'!AB77,$AZ$9),COUNTIF('1.연간시수표'!AB77,$AZ$7)),$AZ$6,IF(OR(COUNTIF('1.연간시수표'!AB77,$BA$9),COUNTIF('1.연간시수표'!AB77,$BA$7)),$BA$6,IF(OR(COUNTIF('1.연간시수표'!AB77,$BB$9),COUNTIF('1.연간시수표'!AB77,$BB$7)),$BB$6,IF(OR(COUNTIF('1.연간시수표'!AB77,$BC$9),COUNTIF('1.연간시수표'!AB77,$BC$7)),$BC$6,IF(OR(COUNTIF('1.연간시수표'!AB77,$BF$9),COUNTIF('1.연간시수표'!AB77,$BF$7),COUNTIF('1.연간시수표'!AB77,$BG$9),COUNTIF('1.연간시수표'!AB77,$BG$7),COUNTIF('1.연간시수표'!AB77,$BH$9),COUNTIF('1.연간시수표'!AB77,$BH$7),COUNTIF('1.연간시수표'!AB77,$BI$9),COUNTIF('1.연간시수표'!AB77,$BI$7),COUNTIF('1.연간시수표'!AB77,$BJ$9),COUNTIF('1.연간시수표'!AB77,$BJ$7),COUNTIF('1.연간시수표'!AB77,$BK$9),COUNTIF('1.연간시수표'!AB77,$BK$7),COUNTIF('1.연간시수표'!AB77,$BL$9),COUNTIF('1.연간시수표'!AB77,$BL$7),COUNTIF('1.연간시수표'!AB77,$BM$9),COUNTIF('1.연간시수표'!AB77,$BM$7)),$BF$6,IF(OR(COUNTIF('1.연간시수표'!AB77,$BO$9),COUNTIF('1.연간시수표'!AB77,$BO$7)),$BO$6,IF(OR(COUNTIF('1.연간시수표'!AB77,$BP$9),COUNTIF('1.연간시수표'!AB77,$BP$7)),$BP$6,IF(OR(COUNTIF('1.연간시수표'!AB77,$BQ$9),COUNTIF('1.연간시수표'!AB77,$BQ$7)),$BQ$6,IF(OR(COUNTIF('1.연간시수표'!AB77,$BR$9),COUNTIF('1.연간시수표'!AB77,$BR$7)),$BR$6,"_")))))))))))))))</f>
        <v>_</v>
      </c>
      <c r="AC77" s="148" t="str">
        <f>IF(OR(COUNTIF('1.연간시수표'!AC77,$AT$9),COUNTIF('1.연간시수표'!AC77,$AT$7)),$AT$6,IF(OR(COUNTIF('1.연간시수표'!AC77,$AU$9),COUNTIF('1.연간시수표'!AC77,$AU$7)),$AU$6,IF(OR(COUNTIF('1.연간시수표'!AC77,$AV$9),COUNTIF('1.연간시수표'!AC77,$AV$7)),$AV$6,IF(OR(COUNTIF('1.연간시수표'!AC77,$AW$9),COUNTIF('1.연간시수표'!AC77,$AW$7)),$AW$6,IF(OR(COUNTIF('1.연간시수표'!AC77,$AX$9),COUNTIF('1.연간시수표'!AC77,$AX$7)),$AX$6,IF(OR(COUNTIF('1.연간시수표'!AC77,$AY$9),COUNTIF('1.연간시수표'!AC77,$AY$7)),$AY$6,IF(OR(COUNTIF('1.연간시수표'!AC77,$AZ$9),COUNTIF('1.연간시수표'!AC77,$AZ$7)),$AZ$6,IF(OR(COUNTIF('1.연간시수표'!AC77,$BA$9),COUNTIF('1.연간시수표'!AC77,$BA$7)),$BA$6,IF(OR(COUNTIF('1.연간시수표'!AC77,$BB$9),COUNTIF('1.연간시수표'!AC77,$BB$7)),$BB$6,IF(OR(COUNTIF('1.연간시수표'!AC77,$BC$9),COUNTIF('1.연간시수표'!AC77,$BC$7)),$BC$6,IF(OR(COUNTIF('1.연간시수표'!AC77,$BF$9),COUNTIF('1.연간시수표'!AC77,$BF$7),COUNTIF('1.연간시수표'!AC77,$BG$9),COUNTIF('1.연간시수표'!AC77,$BG$7),COUNTIF('1.연간시수표'!AC77,$BH$9),COUNTIF('1.연간시수표'!AC77,$BH$7),COUNTIF('1.연간시수표'!AC77,$BI$9),COUNTIF('1.연간시수표'!AC77,$BI$7),COUNTIF('1.연간시수표'!AC77,$BJ$9),COUNTIF('1.연간시수표'!AC77,$BJ$7),COUNTIF('1.연간시수표'!AC77,$BK$9),COUNTIF('1.연간시수표'!AC77,$BK$7),COUNTIF('1.연간시수표'!AC77,$BL$9),COUNTIF('1.연간시수표'!AC77,$BL$7),COUNTIF('1.연간시수표'!AC77,$BM$9),COUNTIF('1.연간시수표'!AC77,$BM$7)),$BF$6,IF(OR(COUNTIF('1.연간시수표'!AC77,$BO$9),COUNTIF('1.연간시수표'!AC77,$BO$7)),$BO$6,IF(OR(COUNTIF('1.연간시수표'!AC77,$BP$9),COUNTIF('1.연간시수표'!AC77,$BP$7)),$BP$6,IF(OR(COUNTIF('1.연간시수표'!AC77,$BQ$9),COUNTIF('1.연간시수표'!AC77,$BQ$7)),$BQ$6,IF(OR(COUNTIF('1.연간시수표'!AC77,$BR$9),COUNTIF('1.연간시수표'!AC77,$BR$7)),$BR$6,"_")))))))))))))))</f>
        <v>_</v>
      </c>
      <c r="AD77" s="148" t="str">
        <f>IF(OR(COUNTIF('1.연간시수표'!AD77,$AT$9),COUNTIF('1.연간시수표'!AD77,$AT$7)),$AT$6,IF(OR(COUNTIF('1.연간시수표'!AD77,$AU$9),COUNTIF('1.연간시수표'!AD77,$AU$7)),$AU$6,IF(OR(COUNTIF('1.연간시수표'!AD77,$AV$9),COUNTIF('1.연간시수표'!AD77,$AV$7)),$AV$6,IF(OR(COUNTIF('1.연간시수표'!AD77,$AW$9),COUNTIF('1.연간시수표'!AD77,$AW$7)),$AW$6,IF(OR(COUNTIF('1.연간시수표'!AD77,$AX$9),COUNTIF('1.연간시수표'!AD77,$AX$7)),$AX$6,IF(OR(COUNTIF('1.연간시수표'!AD77,$AY$9),COUNTIF('1.연간시수표'!AD77,$AY$7)),$AY$6,IF(OR(COUNTIF('1.연간시수표'!AD77,$AZ$9),COUNTIF('1.연간시수표'!AD77,$AZ$7)),$AZ$6,IF(OR(COUNTIF('1.연간시수표'!AD77,$BA$9),COUNTIF('1.연간시수표'!AD77,$BA$7)),$BA$6,IF(OR(COUNTIF('1.연간시수표'!AD77,$BB$9),COUNTIF('1.연간시수표'!AD77,$BB$7)),$BB$6,IF(OR(COUNTIF('1.연간시수표'!AD77,$BC$9),COUNTIF('1.연간시수표'!AD77,$BC$7)),$BC$6,IF(OR(COUNTIF('1.연간시수표'!AD77,$BF$9),COUNTIF('1.연간시수표'!AD77,$BF$7),COUNTIF('1.연간시수표'!AD77,$BG$9),COUNTIF('1.연간시수표'!AD77,$BG$7),COUNTIF('1.연간시수표'!AD77,$BH$9),COUNTIF('1.연간시수표'!AD77,$BH$7),COUNTIF('1.연간시수표'!AD77,$BI$9),COUNTIF('1.연간시수표'!AD77,$BI$7),COUNTIF('1.연간시수표'!AD77,$BJ$9),COUNTIF('1.연간시수표'!AD77,$BJ$7),COUNTIF('1.연간시수표'!AD77,$BK$9),COUNTIF('1.연간시수표'!AD77,$BK$7),COUNTIF('1.연간시수표'!AD77,$BL$9),COUNTIF('1.연간시수표'!AD77,$BL$7),COUNTIF('1.연간시수표'!AD77,$BM$9),COUNTIF('1.연간시수표'!AD77,$BM$7)),$BF$6,IF(OR(COUNTIF('1.연간시수표'!AD77,$BO$9),COUNTIF('1.연간시수표'!AD77,$BO$7)),$BO$6,IF(OR(COUNTIF('1.연간시수표'!AD77,$BP$9),COUNTIF('1.연간시수표'!AD77,$BP$7)),$BP$6,IF(OR(COUNTIF('1.연간시수표'!AD77,$BQ$9),COUNTIF('1.연간시수표'!AD77,$BQ$7)),$BQ$6,IF(OR(COUNTIF('1.연간시수표'!AD77,$BR$9),COUNTIF('1.연간시수표'!AD77,$BR$7)),$BR$6,"_")))))))))))))))</f>
        <v>_</v>
      </c>
      <c r="AE77" s="148" t="str">
        <f>IF(OR(COUNTIF('1.연간시수표'!AE77,$AT$9),COUNTIF('1.연간시수표'!AE77,$AT$7)),$AT$6,IF(OR(COUNTIF('1.연간시수표'!AE77,$AU$9),COUNTIF('1.연간시수표'!AE77,$AU$7)),$AU$6,IF(OR(COUNTIF('1.연간시수표'!AE77,$AV$9),COUNTIF('1.연간시수표'!AE77,$AV$7)),$AV$6,IF(OR(COUNTIF('1.연간시수표'!AE77,$AW$9),COUNTIF('1.연간시수표'!AE77,$AW$7)),$AW$6,IF(OR(COUNTIF('1.연간시수표'!AE77,$AX$9),COUNTIF('1.연간시수표'!AE77,$AX$7)),$AX$6,IF(OR(COUNTIF('1.연간시수표'!AE77,$AY$9),COUNTIF('1.연간시수표'!AE77,$AY$7)),$AY$6,IF(OR(COUNTIF('1.연간시수표'!AE77,$AZ$9),COUNTIF('1.연간시수표'!AE77,$AZ$7)),$AZ$6,IF(OR(COUNTIF('1.연간시수표'!AE77,$BA$9),COUNTIF('1.연간시수표'!AE77,$BA$7)),$BA$6,IF(OR(COUNTIF('1.연간시수표'!AE77,$BB$9),COUNTIF('1.연간시수표'!AE77,$BB$7)),$BB$6,IF(OR(COUNTIF('1.연간시수표'!AE77,$BC$9),COUNTIF('1.연간시수표'!AE77,$BC$7)),$BC$6,IF(OR(COUNTIF('1.연간시수표'!AE77,$BF$9),COUNTIF('1.연간시수표'!AE77,$BF$7),COUNTIF('1.연간시수표'!AE77,$BG$9),COUNTIF('1.연간시수표'!AE77,$BG$7),COUNTIF('1.연간시수표'!AE77,$BH$9),COUNTIF('1.연간시수표'!AE77,$BH$7),COUNTIF('1.연간시수표'!AE77,$BI$9),COUNTIF('1.연간시수표'!AE77,$BI$7),COUNTIF('1.연간시수표'!AE77,$BJ$9),COUNTIF('1.연간시수표'!AE77,$BJ$7),COUNTIF('1.연간시수표'!AE77,$BK$9),COUNTIF('1.연간시수표'!AE77,$BK$7),COUNTIF('1.연간시수표'!AE77,$BL$9),COUNTIF('1.연간시수표'!AE77,$BL$7),COUNTIF('1.연간시수표'!AE77,$BM$9),COUNTIF('1.연간시수표'!AE77,$BM$7)),$BF$6,IF(OR(COUNTIF('1.연간시수표'!AE77,$BO$9),COUNTIF('1.연간시수표'!AE77,$BO$7)),$BO$6,IF(OR(COUNTIF('1.연간시수표'!AE77,$BP$9),COUNTIF('1.연간시수표'!AE77,$BP$7)),$BP$6,IF(OR(COUNTIF('1.연간시수표'!AE77,$BQ$9),COUNTIF('1.연간시수표'!AE77,$BQ$7)),$BQ$6,IF(OR(COUNTIF('1.연간시수표'!AE77,$BR$9),COUNTIF('1.연간시수표'!AE77,$BR$7)),$BR$6,"_")))))))))))))))</f>
        <v>_</v>
      </c>
      <c r="AF77" s="148" t="str">
        <f>IF(OR(COUNTIF('1.연간시수표'!AF77,$AT$9),COUNTIF('1.연간시수표'!AF77,$AT$7)),$AT$6,IF(OR(COUNTIF('1.연간시수표'!AF77,$AU$9),COUNTIF('1.연간시수표'!AF77,$AU$7)),$AU$6,IF(OR(COUNTIF('1.연간시수표'!AF77,$AV$9),COUNTIF('1.연간시수표'!AF77,$AV$7)),$AV$6,IF(OR(COUNTIF('1.연간시수표'!AF77,$AW$9),COUNTIF('1.연간시수표'!AF77,$AW$7)),$AW$6,IF(OR(COUNTIF('1.연간시수표'!AF77,$AX$9),COUNTIF('1.연간시수표'!AF77,$AX$7)),$AX$6,IF(OR(COUNTIF('1.연간시수표'!AF77,$AY$9),COUNTIF('1.연간시수표'!AF77,$AY$7)),$AY$6,IF(OR(COUNTIF('1.연간시수표'!AF77,$AZ$9),COUNTIF('1.연간시수표'!AF77,$AZ$7)),$AZ$6,IF(OR(COUNTIF('1.연간시수표'!AF77,$BA$9),COUNTIF('1.연간시수표'!AF77,$BA$7)),$BA$6,IF(OR(COUNTIF('1.연간시수표'!AF77,$BB$9),COUNTIF('1.연간시수표'!AF77,$BB$7)),$BB$6,IF(OR(COUNTIF('1.연간시수표'!AF77,$BC$9),COUNTIF('1.연간시수표'!AF77,$BC$7)),$BC$6,IF(OR(COUNTIF('1.연간시수표'!AF77,$BF$9),COUNTIF('1.연간시수표'!AF77,$BF$7),COUNTIF('1.연간시수표'!AF77,$BG$9),COUNTIF('1.연간시수표'!AF77,$BG$7),COUNTIF('1.연간시수표'!AF77,$BH$9),COUNTIF('1.연간시수표'!AF77,$BH$7),COUNTIF('1.연간시수표'!AF77,$BI$9),COUNTIF('1.연간시수표'!AF77,$BI$7),COUNTIF('1.연간시수표'!AF77,$BJ$9),COUNTIF('1.연간시수표'!AF77,$BJ$7),COUNTIF('1.연간시수표'!AF77,$BK$9),COUNTIF('1.연간시수표'!AF77,$BK$7),COUNTIF('1.연간시수표'!AF77,$BL$9),COUNTIF('1.연간시수표'!AF77,$BL$7),COUNTIF('1.연간시수표'!AF77,$BM$9),COUNTIF('1.연간시수표'!AF77,$BM$7)),$BF$6,IF(OR(COUNTIF('1.연간시수표'!AF77,$BO$9),COUNTIF('1.연간시수표'!AF77,$BO$7)),$BO$6,IF(OR(COUNTIF('1.연간시수표'!AF77,$BP$9),COUNTIF('1.연간시수표'!AF77,$BP$7)),$BP$6,IF(OR(COUNTIF('1.연간시수표'!AF77,$BQ$9),COUNTIF('1.연간시수표'!AF77,$BQ$7)),$BQ$6,IF(OR(COUNTIF('1.연간시수표'!AF77,$BR$9),COUNTIF('1.연간시수표'!AF77,$BR$7)),$BR$6,"_")))))))))))))))</f>
        <v>_</v>
      </c>
      <c r="AG77" s="148" t="str">
        <f>IF(OR(COUNTIF('1.연간시수표'!AG77,$AT$9),COUNTIF('1.연간시수표'!AG77,$AT$7)),$AT$6,IF(OR(COUNTIF('1.연간시수표'!AG77,$AU$9),COUNTIF('1.연간시수표'!AG77,$AU$7)),$AU$6,IF(OR(COUNTIF('1.연간시수표'!AG77,$AV$9),COUNTIF('1.연간시수표'!AG77,$AV$7)),$AV$6,IF(OR(COUNTIF('1.연간시수표'!AG77,$AW$9),COUNTIF('1.연간시수표'!AG77,$AW$7)),$AW$6,IF(OR(COUNTIF('1.연간시수표'!AG77,$AX$9),COUNTIF('1.연간시수표'!AG77,$AX$7)),$AX$6,IF(OR(COUNTIF('1.연간시수표'!AG77,$AY$9),COUNTIF('1.연간시수표'!AG77,$AY$7)),$AY$6,IF(OR(COUNTIF('1.연간시수표'!AG77,$AZ$9),COUNTIF('1.연간시수표'!AG77,$AZ$7)),$AZ$6,IF(OR(COUNTIF('1.연간시수표'!AG77,$BA$9),COUNTIF('1.연간시수표'!AG77,$BA$7)),$BA$6,IF(OR(COUNTIF('1.연간시수표'!AG77,$BB$9),COUNTIF('1.연간시수표'!AG77,$BB$7)),$BB$6,IF(OR(COUNTIF('1.연간시수표'!AG77,$BC$9),COUNTIF('1.연간시수표'!AG77,$BC$7)),$BC$6,IF(OR(COUNTIF('1.연간시수표'!AG77,$BF$9),COUNTIF('1.연간시수표'!AG77,$BF$7),COUNTIF('1.연간시수표'!AG77,$BG$9),COUNTIF('1.연간시수표'!AG77,$BG$7),COUNTIF('1.연간시수표'!AG77,$BH$9),COUNTIF('1.연간시수표'!AG77,$BH$7),COUNTIF('1.연간시수표'!AG77,$BI$9),COUNTIF('1.연간시수표'!AG77,$BI$7),COUNTIF('1.연간시수표'!AG77,$BJ$9),COUNTIF('1.연간시수표'!AG77,$BJ$7),COUNTIF('1.연간시수표'!AG77,$BK$9),COUNTIF('1.연간시수표'!AG77,$BK$7),COUNTIF('1.연간시수표'!AG77,$BL$9),COUNTIF('1.연간시수표'!AG77,$BL$7),COUNTIF('1.연간시수표'!AG77,$BM$9),COUNTIF('1.연간시수표'!AG77,$BM$7)),$BF$6,IF(OR(COUNTIF('1.연간시수표'!AG77,$BO$9),COUNTIF('1.연간시수표'!AG77,$BO$7)),$BO$6,IF(OR(COUNTIF('1.연간시수표'!AG77,$BP$9),COUNTIF('1.연간시수표'!AG77,$BP$7)),$BP$6,IF(OR(COUNTIF('1.연간시수표'!AG77,$BQ$9),COUNTIF('1.연간시수표'!AG77,$BQ$7)),$BQ$6,IF(OR(COUNTIF('1.연간시수표'!AG77,$BR$9),COUNTIF('1.연간시수표'!AG77,$BR$7)),$BR$6,"_")))))))))))))))</f>
        <v>_</v>
      </c>
      <c r="AH77" s="148" t="str">
        <f>IF(OR(COUNTIF('1.연간시수표'!AH77,$AT$9),COUNTIF('1.연간시수표'!AH77,$AT$7)),$AT$6,IF(OR(COUNTIF('1.연간시수표'!AH77,$AU$9),COUNTIF('1.연간시수표'!AH77,$AU$7)),$AU$6,IF(OR(COUNTIF('1.연간시수표'!AH77,$AV$9),COUNTIF('1.연간시수표'!AH77,$AV$7)),$AV$6,IF(OR(COUNTIF('1.연간시수표'!AH77,$AW$9),COUNTIF('1.연간시수표'!AH77,$AW$7)),$AW$6,IF(OR(COUNTIF('1.연간시수표'!AH77,$AX$9),COUNTIF('1.연간시수표'!AH77,$AX$7)),$AX$6,IF(OR(COUNTIF('1.연간시수표'!AH77,$AY$9),COUNTIF('1.연간시수표'!AH77,$AY$7)),$AY$6,IF(OR(COUNTIF('1.연간시수표'!AH77,$AZ$9),COUNTIF('1.연간시수표'!AH77,$AZ$7)),$AZ$6,IF(OR(COUNTIF('1.연간시수표'!AH77,$BA$9),COUNTIF('1.연간시수표'!AH77,$BA$7)),$BA$6,IF(OR(COUNTIF('1.연간시수표'!AH77,$BB$9),COUNTIF('1.연간시수표'!AH77,$BB$7)),$BB$6,IF(OR(COUNTIF('1.연간시수표'!AH77,$BC$9),COUNTIF('1.연간시수표'!AH77,$BC$7)),$BC$6,IF(OR(COUNTIF('1.연간시수표'!AH77,$BF$9),COUNTIF('1.연간시수표'!AH77,$BF$7),COUNTIF('1.연간시수표'!AH77,$BG$9),COUNTIF('1.연간시수표'!AH77,$BG$7),COUNTIF('1.연간시수표'!AH77,$BH$9),COUNTIF('1.연간시수표'!AH77,$BH$7),COUNTIF('1.연간시수표'!AH77,$BI$9),COUNTIF('1.연간시수표'!AH77,$BI$7),COUNTIF('1.연간시수표'!AH77,$BJ$9),COUNTIF('1.연간시수표'!AH77,$BJ$7),COUNTIF('1.연간시수표'!AH77,$BK$9),COUNTIF('1.연간시수표'!AH77,$BK$7),COUNTIF('1.연간시수표'!AH77,$BL$9),COUNTIF('1.연간시수표'!AH77,$BL$7),COUNTIF('1.연간시수표'!AH77,$BM$9),COUNTIF('1.연간시수표'!AH77,$BM$7)),$BF$6,IF(OR(COUNTIF('1.연간시수표'!AH77,$BO$9),COUNTIF('1.연간시수표'!AH77,$BO$7)),$BO$6,IF(OR(COUNTIF('1.연간시수표'!AH77,$BP$9),COUNTIF('1.연간시수표'!AH77,$BP$7)),$BP$6,IF(OR(COUNTIF('1.연간시수표'!AH77,$BQ$9),COUNTIF('1.연간시수표'!AH77,$BQ$7)),$BQ$6,IF(OR(COUNTIF('1.연간시수표'!AH77,$BR$9),COUNTIF('1.연간시수표'!AH77,$BR$7)),$BR$6,"_")))))))))))))))</f>
        <v>_</v>
      </c>
      <c r="AI77" s="148" t="str">
        <f>IF(OR(COUNTIF('1.연간시수표'!AI77,$AT$9),COUNTIF('1.연간시수표'!AI77,$AT$7)),$AT$6,IF(OR(COUNTIF('1.연간시수표'!AI77,$AU$9),COUNTIF('1.연간시수표'!AI77,$AU$7)),$AU$6,IF(OR(COUNTIF('1.연간시수표'!AI77,$AV$9),COUNTIF('1.연간시수표'!AI77,$AV$7)),$AV$6,IF(OR(COUNTIF('1.연간시수표'!AI77,$AW$9),COUNTIF('1.연간시수표'!AI77,$AW$7)),$AW$6,IF(OR(COUNTIF('1.연간시수표'!AI77,$AX$9),COUNTIF('1.연간시수표'!AI77,$AX$7)),$AX$6,IF(OR(COUNTIF('1.연간시수표'!AI77,$AY$9),COUNTIF('1.연간시수표'!AI77,$AY$7)),$AY$6,IF(OR(COUNTIF('1.연간시수표'!AI77,$AZ$9),COUNTIF('1.연간시수표'!AI77,$AZ$7)),$AZ$6,IF(OR(COUNTIF('1.연간시수표'!AI77,$BA$9),COUNTIF('1.연간시수표'!AI77,$BA$7)),$BA$6,IF(OR(COUNTIF('1.연간시수표'!AI77,$BB$9),COUNTIF('1.연간시수표'!AI77,$BB$7)),$BB$6,IF(OR(COUNTIF('1.연간시수표'!AI77,$BC$9),COUNTIF('1.연간시수표'!AI77,$BC$7)),$BC$6,IF(OR(COUNTIF('1.연간시수표'!AI77,$BF$9),COUNTIF('1.연간시수표'!AI77,$BF$7),COUNTIF('1.연간시수표'!AI77,$BG$9),COUNTIF('1.연간시수표'!AI77,$BG$7),COUNTIF('1.연간시수표'!AI77,$BH$9),COUNTIF('1.연간시수표'!AI77,$BH$7),COUNTIF('1.연간시수표'!AI77,$BI$9),COUNTIF('1.연간시수표'!AI77,$BI$7),COUNTIF('1.연간시수표'!AI77,$BJ$9),COUNTIF('1.연간시수표'!AI77,$BJ$7),COUNTIF('1.연간시수표'!AI77,$BK$9),COUNTIF('1.연간시수표'!AI77,$BK$7),COUNTIF('1.연간시수표'!AI77,$BL$9),COUNTIF('1.연간시수표'!AI77,$BL$7),COUNTIF('1.연간시수표'!AI77,$BM$9),COUNTIF('1.연간시수표'!AI77,$BM$7)),$BF$6,IF(OR(COUNTIF('1.연간시수표'!AI77,$BO$9),COUNTIF('1.연간시수표'!AI77,$BO$7)),$BO$6,IF(OR(COUNTIF('1.연간시수표'!AI77,$BP$9),COUNTIF('1.연간시수표'!AI77,$BP$7)),$BP$6,IF(OR(COUNTIF('1.연간시수표'!AI77,$BQ$9),COUNTIF('1.연간시수표'!AI77,$BQ$7)),$BQ$6,IF(OR(COUNTIF('1.연간시수표'!AI77,$BR$9),COUNTIF('1.연간시수표'!AI77,$BR$7)),$BR$6,"_")))))))))))))))</f>
        <v>_</v>
      </c>
      <c r="AJ77" s="148" t="str">
        <f>IF(OR(COUNTIF('1.연간시수표'!AJ77,$AT$9),COUNTIF('1.연간시수표'!AJ77,$AT$7)),$AT$6,IF(OR(COUNTIF('1.연간시수표'!AJ77,$AU$9),COUNTIF('1.연간시수표'!AJ77,$AU$7)),$AU$6,IF(OR(COUNTIF('1.연간시수표'!AJ77,$AV$9),COUNTIF('1.연간시수표'!AJ77,$AV$7)),$AV$6,IF(OR(COUNTIF('1.연간시수표'!AJ77,$AW$9),COUNTIF('1.연간시수표'!AJ77,$AW$7)),$AW$6,IF(OR(COUNTIF('1.연간시수표'!AJ77,$AX$9),COUNTIF('1.연간시수표'!AJ77,$AX$7)),$AX$6,IF(OR(COUNTIF('1.연간시수표'!AJ77,$AY$9),COUNTIF('1.연간시수표'!AJ77,$AY$7)),$AY$6,IF(OR(COUNTIF('1.연간시수표'!AJ77,$AZ$9),COUNTIF('1.연간시수표'!AJ77,$AZ$7)),$AZ$6,IF(OR(COUNTIF('1.연간시수표'!AJ77,$BA$9),COUNTIF('1.연간시수표'!AJ77,$BA$7)),$BA$6,IF(OR(COUNTIF('1.연간시수표'!AJ77,$BB$9),COUNTIF('1.연간시수표'!AJ77,$BB$7)),$BB$6,IF(OR(COUNTIF('1.연간시수표'!AJ77,$BC$9),COUNTIF('1.연간시수표'!AJ77,$BC$7)),$BC$6,IF(OR(COUNTIF('1.연간시수표'!AJ77,$BF$9),COUNTIF('1.연간시수표'!AJ77,$BF$7),COUNTIF('1.연간시수표'!AJ77,$BG$9),COUNTIF('1.연간시수표'!AJ77,$BG$7),COUNTIF('1.연간시수표'!AJ77,$BH$9),COUNTIF('1.연간시수표'!AJ77,$BH$7),COUNTIF('1.연간시수표'!AJ77,$BI$9),COUNTIF('1.연간시수표'!AJ77,$BI$7),COUNTIF('1.연간시수표'!AJ77,$BJ$9),COUNTIF('1.연간시수표'!AJ77,$BJ$7),COUNTIF('1.연간시수표'!AJ77,$BK$9),COUNTIF('1.연간시수표'!AJ77,$BK$7),COUNTIF('1.연간시수표'!AJ77,$BL$9),COUNTIF('1.연간시수표'!AJ77,$BL$7),COUNTIF('1.연간시수표'!AJ77,$BM$9),COUNTIF('1.연간시수표'!AJ77,$BM$7)),$BF$6,IF(OR(COUNTIF('1.연간시수표'!AJ77,$BO$9),COUNTIF('1.연간시수표'!AJ77,$BO$7)),$BO$6,IF(OR(COUNTIF('1.연간시수표'!AJ77,$BP$9),COUNTIF('1.연간시수표'!AJ77,$BP$7)),$BP$6,IF(OR(COUNTIF('1.연간시수표'!AJ77,$BQ$9),COUNTIF('1.연간시수표'!AJ77,$BQ$7)),$BQ$6,IF(OR(COUNTIF('1.연간시수표'!AJ77,$BR$9),COUNTIF('1.연간시수표'!AJ77,$BR$7)),$BR$6,"_")))))))))))))))</f>
        <v>_</v>
      </c>
      <c r="AK77" s="148" t="str">
        <f>IF(OR(COUNTIF('1.연간시수표'!AK77,$AT$9),COUNTIF('1.연간시수표'!AK77,$AT$7)),$AT$6,IF(OR(COUNTIF('1.연간시수표'!AK77,$AU$9),COUNTIF('1.연간시수표'!AK77,$AU$7)),$AU$6,IF(OR(COUNTIF('1.연간시수표'!AK77,$AV$9),COUNTIF('1.연간시수표'!AK77,$AV$7)),$AV$6,IF(OR(COUNTIF('1.연간시수표'!AK77,$AW$9),COUNTIF('1.연간시수표'!AK77,$AW$7)),$AW$6,IF(OR(COUNTIF('1.연간시수표'!AK77,$AX$9),COUNTIF('1.연간시수표'!AK77,$AX$7)),$AX$6,IF(OR(COUNTIF('1.연간시수표'!AK77,$AY$9),COUNTIF('1.연간시수표'!AK77,$AY$7)),$AY$6,IF(OR(COUNTIF('1.연간시수표'!AK77,$AZ$9),COUNTIF('1.연간시수표'!AK77,$AZ$7)),$AZ$6,IF(OR(COUNTIF('1.연간시수표'!AK77,$BA$9),COUNTIF('1.연간시수표'!AK77,$BA$7)),$BA$6,IF(OR(COUNTIF('1.연간시수표'!AK77,$BB$9),COUNTIF('1.연간시수표'!AK77,$BB$7)),$BB$6,IF(OR(COUNTIF('1.연간시수표'!AK77,$BC$9),COUNTIF('1.연간시수표'!AK77,$BC$7)),$BC$6,IF(OR(COUNTIF('1.연간시수표'!AK77,$BF$9),COUNTIF('1.연간시수표'!AK77,$BF$7),COUNTIF('1.연간시수표'!AK77,$BG$9),COUNTIF('1.연간시수표'!AK77,$BG$7),COUNTIF('1.연간시수표'!AK77,$BH$9),COUNTIF('1.연간시수표'!AK77,$BH$7),COUNTIF('1.연간시수표'!AK77,$BI$9),COUNTIF('1.연간시수표'!AK77,$BI$7),COUNTIF('1.연간시수표'!AK77,$BJ$9),COUNTIF('1.연간시수표'!AK77,$BJ$7),COUNTIF('1.연간시수표'!AK77,$BK$9),COUNTIF('1.연간시수표'!AK77,$BK$7),COUNTIF('1.연간시수표'!AK77,$BL$9),COUNTIF('1.연간시수표'!AK77,$BL$7),COUNTIF('1.연간시수표'!AK77,$BM$9),COUNTIF('1.연간시수표'!AK77,$BM$7)),$BF$6,IF(OR(COUNTIF('1.연간시수표'!AK77,$BO$9),COUNTIF('1.연간시수표'!AK77,$BO$7)),$BO$6,IF(OR(COUNTIF('1.연간시수표'!AK77,$BP$9),COUNTIF('1.연간시수표'!AK77,$BP$7)),$BP$6,IF(OR(COUNTIF('1.연간시수표'!AK77,$BQ$9),COUNTIF('1.연간시수표'!AK77,$BQ$7)),$BQ$6,IF(OR(COUNTIF('1.연간시수표'!AK77,$BR$9),COUNTIF('1.연간시수표'!AK77,$BR$7)),$BR$6,"_")))))))))))))))</f>
        <v>_</v>
      </c>
      <c r="AL77" s="148" t="str">
        <f>IF(OR(COUNTIF('1.연간시수표'!AL77,$AT$9),COUNTIF('1.연간시수표'!AL77,$AT$7)),$AT$6,IF(OR(COUNTIF('1.연간시수표'!AL77,$AU$9),COUNTIF('1.연간시수표'!AL77,$AU$7)),$AU$6,IF(OR(COUNTIF('1.연간시수표'!AL77,$AV$9),COUNTIF('1.연간시수표'!AL77,$AV$7)),$AV$6,IF(OR(COUNTIF('1.연간시수표'!AL77,$AW$9),COUNTIF('1.연간시수표'!AL77,$AW$7)),$AW$6,IF(OR(COUNTIF('1.연간시수표'!AL77,$AX$9),COUNTIF('1.연간시수표'!AL77,$AX$7)),$AX$6,IF(OR(COUNTIF('1.연간시수표'!AL77,$AY$9),COUNTIF('1.연간시수표'!AL77,$AY$7)),$AY$6,IF(OR(COUNTIF('1.연간시수표'!AL77,$AZ$9),COUNTIF('1.연간시수표'!AL77,$AZ$7)),$AZ$6,IF(OR(COUNTIF('1.연간시수표'!AL77,$BA$9),COUNTIF('1.연간시수표'!AL77,$BA$7)),$BA$6,IF(OR(COUNTIF('1.연간시수표'!AL77,$BB$9),COUNTIF('1.연간시수표'!AL77,$BB$7)),$BB$6,IF(OR(COUNTIF('1.연간시수표'!AL77,$BC$9),COUNTIF('1.연간시수표'!AL77,$BC$7)),$BC$6,IF(OR(COUNTIF('1.연간시수표'!AL77,$BF$9),COUNTIF('1.연간시수표'!AL77,$BF$7),COUNTIF('1.연간시수표'!AL77,$BG$9),COUNTIF('1.연간시수표'!AL77,$BG$7),COUNTIF('1.연간시수표'!AL77,$BH$9),COUNTIF('1.연간시수표'!AL77,$BH$7),COUNTIF('1.연간시수표'!AL77,$BI$9),COUNTIF('1.연간시수표'!AL77,$BI$7),COUNTIF('1.연간시수표'!AL77,$BJ$9),COUNTIF('1.연간시수표'!AL77,$BJ$7),COUNTIF('1.연간시수표'!AL77,$BK$9),COUNTIF('1.연간시수표'!AL77,$BK$7),COUNTIF('1.연간시수표'!AL77,$BL$9),COUNTIF('1.연간시수표'!AL77,$BL$7),COUNTIF('1.연간시수표'!AL77,$BM$9),COUNTIF('1.연간시수표'!AL77,$BM$7)),$BF$6,IF(OR(COUNTIF('1.연간시수표'!AL77,$BO$9),COUNTIF('1.연간시수표'!AL77,$BO$7)),$BO$6,IF(OR(COUNTIF('1.연간시수표'!AL77,$BP$9),COUNTIF('1.연간시수표'!AL77,$BP$7)),$BP$6,IF(OR(COUNTIF('1.연간시수표'!AL77,$BQ$9),COUNTIF('1.연간시수표'!AL77,$BQ$7)),$BQ$6,IF(OR(COUNTIF('1.연간시수표'!AL77,$BR$9),COUNTIF('1.연간시수표'!AL77,$BR$7)),$BR$6,"_")))))))))))))))</f>
        <v>_</v>
      </c>
      <c r="AM77" s="148" t="str">
        <f>IF(OR(COUNTIF('1.연간시수표'!AM77,$AT$9),COUNTIF('1.연간시수표'!AM77,$AT$7)),$AT$6,IF(OR(COUNTIF('1.연간시수표'!AM77,$AU$9),COUNTIF('1.연간시수표'!AM77,$AU$7)),$AU$6,IF(OR(COUNTIF('1.연간시수표'!AM77,$AV$9),COUNTIF('1.연간시수표'!AM77,$AV$7)),$AV$6,IF(OR(COUNTIF('1.연간시수표'!AM77,$AW$9),COUNTIF('1.연간시수표'!AM77,$AW$7)),$AW$6,IF(OR(COUNTIF('1.연간시수표'!AM77,$AX$9),COUNTIF('1.연간시수표'!AM77,$AX$7)),$AX$6,IF(OR(COUNTIF('1.연간시수표'!AM77,$AY$9),COUNTIF('1.연간시수표'!AM77,$AY$7)),$AY$6,IF(OR(COUNTIF('1.연간시수표'!AM77,$AZ$9),COUNTIF('1.연간시수표'!AM77,$AZ$7)),$AZ$6,IF(OR(COUNTIF('1.연간시수표'!AM77,$BA$9),COUNTIF('1.연간시수표'!AM77,$BA$7)),$BA$6,IF(OR(COUNTIF('1.연간시수표'!AM77,$BB$9),COUNTIF('1.연간시수표'!AM77,$BB$7)),$BB$6,IF(OR(COUNTIF('1.연간시수표'!AM77,$BC$9),COUNTIF('1.연간시수표'!AM77,$BC$7)),$BC$6,IF(OR(COUNTIF('1.연간시수표'!AM77,$BF$9),COUNTIF('1.연간시수표'!AM77,$BF$7),COUNTIF('1.연간시수표'!AM77,$BG$9),COUNTIF('1.연간시수표'!AM77,$BG$7),COUNTIF('1.연간시수표'!AM77,$BH$9),COUNTIF('1.연간시수표'!AM77,$BH$7),COUNTIF('1.연간시수표'!AM77,$BI$9),COUNTIF('1.연간시수표'!AM77,$BI$7),COUNTIF('1.연간시수표'!AM77,$BJ$9),COUNTIF('1.연간시수표'!AM77,$BJ$7),COUNTIF('1.연간시수표'!AM77,$BK$9),COUNTIF('1.연간시수표'!AM77,$BK$7),COUNTIF('1.연간시수표'!AM77,$BL$9),COUNTIF('1.연간시수표'!AM77,$BL$7),COUNTIF('1.연간시수표'!AM77,$BM$9),COUNTIF('1.연간시수표'!AM77,$BM$7)),$BF$6,IF(OR(COUNTIF('1.연간시수표'!AM77,$BO$9),COUNTIF('1.연간시수표'!AM77,$BO$7)),$BO$6,IF(OR(COUNTIF('1.연간시수표'!AM77,$BP$9),COUNTIF('1.연간시수표'!AM77,$BP$7)),$BP$6,IF(OR(COUNTIF('1.연간시수표'!AM77,$BQ$9),COUNTIF('1.연간시수표'!AM77,$BQ$7)),$BQ$6,IF(OR(COUNTIF('1.연간시수표'!AM77,$BR$9),COUNTIF('1.연간시수표'!AM77,$BR$7)),$BR$6,"_")))))))))))))))</f>
        <v>_</v>
      </c>
      <c r="AN77" s="148" t="str">
        <f>IF(OR(COUNTIF('1.연간시수표'!AN77,$AT$9),COUNTIF('1.연간시수표'!AN77,$AT$7)),$AT$6,IF(OR(COUNTIF('1.연간시수표'!AN77,$AU$9),COUNTIF('1.연간시수표'!AN77,$AU$7)),$AU$6,IF(OR(COUNTIF('1.연간시수표'!AN77,$AV$9),COUNTIF('1.연간시수표'!AN77,$AV$7)),$AV$6,IF(OR(COUNTIF('1.연간시수표'!AN77,$AW$9),COUNTIF('1.연간시수표'!AN77,$AW$7)),$AW$6,IF(OR(COUNTIF('1.연간시수표'!AN77,$AX$9),COUNTIF('1.연간시수표'!AN77,$AX$7)),$AX$6,IF(OR(COUNTIF('1.연간시수표'!AN77,$AY$9),COUNTIF('1.연간시수표'!AN77,$AY$7)),$AY$6,IF(OR(COUNTIF('1.연간시수표'!AN77,$AZ$9),COUNTIF('1.연간시수표'!AN77,$AZ$7)),$AZ$6,IF(OR(COUNTIF('1.연간시수표'!AN77,$BA$9),COUNTIF('1.연간시수표'!AN77,$BA$7)),$BA$6,IF(OR(COUNTIF('1.연간시수표'!AN77,$BB$9),COUNTIF('1.연간시수표'!AN77,$BB$7)),$BB$6,IF(OR(COUNTIF('1.연간시수표'!AN77,$BC$9),COUNTIF('1.연간시수표'!AN77,$BC$7)),$BC$6,IF(OR(COUNTIF('1.연간시수표'!AN77,$BF$9),COUNTIF('1.연간시수표'!AN77,$BF$7),COUNTIF('1.연간시수표'!AN77,$BG$9),COUNTIF('1.연간시수표'!AN77,$BG$7),COUNTIF('1.연간시수표'!AN77,$BH$9),COUNTIF('1.연간시수표'!AN77,$BH$7),COUNTIF('1.연간시수표'!AN77,$BI$9),COUNTIF('1.연간시수표'!AN77,$BI$7),COUNTIF('1.연간시수표'!AN77,$BJ$9),COUNTIF('1.연간시수표'!AN77,$BJ$7),COUNTIF('1.연간시수표'!AN77,$BK$9),COUNTIF('1.연간시수표'!AN77,$BK$7),COUNTIF('1.연간시수표'!AN77,$BL$9),COUNTIF('1.연간시수표'!AN77,$BL$7),COUNTIF('1.연간시수표'!AN77,$BM$9),COUNTIF('1.연간시수표'!AN77,$BM$7)),$BF$6,IF(OR(COUNTIF('1.연간시수표'!AN77,$BO$9),COUNTIF('1.연간시수표'!AN77,$BO$7)),$BO$6,IF(OR(COUNTIF('1.연간시수표'!AN77,$BP$9),COUNTIF('1.연간시수표'!AN77,$BP$7)),$BP$6,IF(OR(COUNTIF('1.연간시수표'!AN77,$BQ$9),COUNTIF('1.연간시수표'!AN77,$BQ$7)),$BQ$6,IF(OR(COUNTIF('1.연간시수표'!AN77,$BR$9),COUNTIF('1.연간시수표'!AN77,$BR$7)),$BR$6,"_")))))))))))))))</f>
        <v>_</v>
      </c>
      <c r="AO77" s="148" t="str">
        <f>IF(OR(COUNTIF('1.연간시수표'!AO77,$AT$9),COUNTIF('1.연간시수표'!AO77,$AT$7)),$AT$6,IF(OR(COUNTIF('1.연간시수표'!AO77,$AU$9),COUNTIF('1.연간시수표'!AO77,$AU$7)),$AU$6,IF(OR(COUNTIF('1.연간시수표'!AO77,$AV$9),COUNTIF('1.연간시수표'!AO77,$AV$7)),$AV$6,IF(OR(COUNTIF('1.연간시수표'!AO77,$AW$9),COUNTIF('1.연간시수표'!AO77,$AW$7)),$AW$6,IF(OR(COUNTIF('1.연간시수표'!AO77,$AX$9),COUNTIF('1.연간시수표'!AO77,$AX$7)),$AX$6,IF(OR(COUNTIF('1.연간시수표'!AO77,$AY$9),COUNTIF('1.연간시수표'!AO77,$AY$7)),$AY$6,IF(OR(COUNTIF('1.연간시수표'!AO77,$AZ$9),COUNTIF('1.연간시수표'!AO77,$AZ$7)),$AZ$6,IF(OR(COUNTIF('1.연간시수표'!AO77,$BA$9),COUNTIF('1.연간시수표'!AO77,$BA$7)),$BA$6,IF(OR(COUNTIF('1.연간시수표'!AO77,$BB$9),COUNTIF('1.연간시수표'!AO77,$BB$7)),$BB$6,IF(OR(COUNTIF('1.연간시수표'!AO77,$BC$9),COUNTIF('1.연간시수표'!AO77,$BC$7)),$BC$6,IF(OR(COUNTIF('1.연간시수표'!AO77,$BF$9),COUNTIF('1.연간시수표'!AO77,$BF$7),COUNTIF('1.연간시수표'!AO77,$BG$9),COUNTIF('1.연간시수표'!AO77,$BG$7),COUNTIF('1.연간시수표'!AO77,$BH$9),COUNTIF('1.연간시수표'!AO77,$BH$7),COUNTIF('1.연간시수표'!AO77,$BI$9),COUNTIF('1.연간시수표'!AO77,$BI$7),COUNTIF('1.연간시수표'!AO77,$BJ$9),COUNTIF('1.연간시수표'!AO77,$BJ$7),COUNTIF('1.연간시수표'!AO77,$BK$9),COUNTIF('1.연간시수표'!AO77,$BK$7),COUNTIF('1.연간시수표'!AO77,$BL$9),COUNTIF('1.연간시수표'!AO77,$BL$7),COUNTIF('1.연간시수표'!AO77,$BM$9),COUNTIF('1.연간시수표'!AO77,$BM$7)),$BF$6,IF(OR(COUNTIF('1.연간시수표'!AO77,$BO$9),COUNTIF('1.연간시수표'!AO77,$BO$7)),$BO$6,IF(OR(COUNTIF('1.연간시수표'!AO77,$BP$9),COUNTIF('1.연간시수표'!AO77,$BP$7)),$BP$6,IF(OR(COUNTIF('1.연간시수표'!AO77,$BQ$9),COUNTIF('1.연간시수표'!AO77,$BQ$7)),$BQ$6,IF(OR(COUNTIF('1.연간시수표'!AO77,$BR$9),COUNTIF('1.연간시수표'!AO77,$BR$7)),$BR$6,"_")))))))))))))))</f>
        <v>_</v>
      </c>
      <c r="AP77" s="148" t="str">
        <f>IF(OR(COUNTIF('1.연간시수표'!AP77,$AT$9),COUNTIF('1.연간시수표'!AP77,$AT$7)),$AT$6,IF(OR(COUNTIF('1.연간시수표'!AP77,$AU$9),COUNTIF('1.연간시수표'!AP77,$AU$7)),$AU$6,IF(OR(COUNTIF('1.연간시수표'!AP77,$AV$9),COUNTIF('1.연간시수표'!AP77,$AV$7)),$AV$6,IF(OR(COUNTIF('1.연간시수표'!AP77,$AW$9),COUNTIF('1.연간시수표'!AP77,$AW$7)),$AW$6,IF(OR(COUNTIF('1.연간시수표'!AP77,$AX$9),COUNTIF('1.연간시수표'!AP77,$AX$7)),$AX$6,IF(OR(COUNTIF('1.연간시수표'!AP77,$AY$9),COUNTIF('1.연간시수표'!AP77,$AY$7)),$AY$6,IF(OR(COUNTIF('1.연간시수표'!AP77,$AZ$9),COUNTIF('1.연간시수표'!AP77,$AZ$7)),$AZ$6,IF(OR(COUNTIF('1.연간시수표'!AP77,$BA$9),COUNTIF('1.연간시수표'!AP77,$BA$7)),$BA$6,IF(OR(COUNTIF('1.연간시수표'!AP77,$BB$9),COUNTIF('1.연간시수표'!AP77,$BB$7)),$BB$6,IF(OR(COUNTIF('1.연간시수표'!AP77,$BC$9),COUNTIF('1.연간시수표'!AP77,$BC$7)),$BC$6,IF(OR(COUNTIF('1.연간시수표'!AP77,$BF$9),COUNTIF('1.연간시수표'!AP77,$BF$7),COUNTIF('1.연간시수표'!AP77,$BG$9),COUNTIF('1.연간시수표'!AP77,$BG$7),COUNTIF('1.연간시수표'!AP77,$BH$9),COUNTIF('1.연간시수표'!AP77,$BH$7),COUNTIF('1.연간시수표'!AP77,$BI$9),COUNTIF('1.연간시수표'!AP77,$BI$7),COUNTIF('1.연간시수표'!AP77,$BJ$9),COUNTIF('1.연간시수표'!AP77,$BJ$7),COUNTIF('1.연간시수표'!AP77,$BK$9),COUNTIF('1.연간시수표'!AP77,$BK$7),COUNTIF('1.연간시수표'!AP77,$BL$9),COUNTIF('1.연간시수표'!AP77,$BL$7),COUNTIF('1.연간시수표'!AP77,$BM$9),COUNTIF('1.연간시수표'!AP77,$BM$7)),$BF$6,IF(OR(COUNTIF('1.연간시수표'!AP77,$BO$9),COUNTIF('1.연간시수표'!AP77,$BO$7)),$BO$6,IF(OR(COUNTIF('1.연간시수표'!AP77,$BP$9),COUNTIF('1.연간시수표'!AP77,$BP$7)),$BP$6,IF(OR(COUNTIF('1.연간시수표'!AP77,$BQ$9),COUNTIF('1.연간시수표'!AP77,$BQ$7)),$BQ$6,IF(OR(COUNTIF('1.연간시수표'!AP77,$BR$9),COUNTIF('1.연간시수표'!AP77,$BR$7)),$BR$6,"_")))))))))))))))</f>
        <v>_</v>
      </c>
      <c r="AQ77" s="148" t="str">
        <f>IF(OR(COUNTIF('1.연간시수표'!AQ77,$AT$9),COUNTIF('1.연간시수표'!AQ77,$AT$7)),$AT$6,IF(OR(COUNTIF('1.연간시수표'!AQ77,$AU$9),COUNTIF('1.연간시수표'!AQ77,$AU$7)),$AU$6,IF(OR(COUNTIF('1.연간시수표'!AQ77,$AV$9),COUNTIF('1.연간시수표'!AQ77,$AV$7)),$AV$6,IF(OR(COUNTIF('1.연간시수표'!AQ77,$AW$9),COUNTIF('1.연간시수표'!AQ77,$AW$7)),$AW$6,IF(OR(COUNTIF('1.연간시수표'!AQ77,$AX$9),COUNTIF('1.연간시수표'!AQ77,$AX$7)),$AX$6,IF(OR(COUNTIF('1.연간시수표'!AQ77,$AY$9),COUNTIF('1.연간시수표'!AQ77,$AY$7)),$AY$6,IF(OR(COUNTIF('1.연간시수표'!AQ77,$AZ$9),COUNTIF('1.연간시수표'!AQ77,$AZ$7)),$AZ$6,IF(OR(COUNTIF('1.연간시수표'!AQ77,$BA$9),COUNTIF('1.연간시수표'!AQ77,$BA$7)),$BA$6,IF(OR(COUNTIF('1.연간시수표'!AQ77,$BB$9),COUNTIF('1.연간시수표'!AQ77,$BB$7)),$BB$6,IF(OR(COUNTIF('1.연간시수표'!AQ77,$BC$9),COUNTIF('1.연간시수표'!AQ77,$BC$7)),$BC$6,IF(OR(COUNTIF('1.연간시수표'!AQ77,$BF$9),COUNTIF('1.연간시수표'!AQ77,$BF$7),COUNTIF('1.연간시수표'!AQ77,$BG$9),COUNTIF('1.연간시수표'!AQ77,$BG$7),COUNTIF('1.연간시수표'!AQ77,$BH$9),COUNTIF('1.연간시수표'!AQ77,$BH$7),COUNTIF('1.연간시수표'!AQ77,$BI$9),COUNTIF('1.연간시수표'!AQ77,$BI$7),COUNTIF('1.연간시수표'!AQ77,$BJ$9),COUNTIF('1.연간시수표'!AQ77,$BJ$7),COUNTIF('1.연간시수표'!AQ77,$BK$9),COUNTIF('1.연간시수표'!AQ77,$BK$7),COUNTIF('1.연간시수표'!AQ77,$BL$9),COUNTIF('1.연간시수표'!AQ77,$BL$7),COUNTIF('1.연간시수표'!AQ77,$BM$9),COUNTIF('1.연간시수표'!AQ77,$BM$7)),$BF$6,IF(OR(COUNTIF('1.연간시수표'!AQ77,$BO$9),COUNTIF('1.연간시수표'!AQ77,$BO$7)),$BO$6,IF(OR(COUNTIF('1.연간시수표'!AQ77,$BP$9),COUNTIF('1.연간시수표'!AQ77,$BP$7)),$BP$6,IF(OR(COUNTIF('1.연간시수표'!AQ77,$BQ$9),COUNTIF('1.연간시수표'!AQ77,$BQ$7)),$BQ$6,IF(OR(COUNTIF('1.연간시수표'!AQ77,$BR$9),COUNTIF('1.연간시수표'!AQ77,$BR$7)),$BR$6,"_")))))))))))))))</f>
        <v>_</v>
      </c>
      <c r="AR77" s="148" t="str">
        <f>IF(OR(COUNTIF('1.연간시수표'!AR77,$AT$9),COUNTIF('1.연간시수표'!AR77,$AT$7)),$AT$6,IF(OR(COUNTIF('1.연간시수표'!AR77,$AU$9),COUNTIF('1.연간시수표'!AR77,$AU$7)),$AU$6,IF(OR(COUNTIF('1.연간시수표'!AR77,$AV$9),COUNTIF('1.연간시수표'!AR77,$AV$7)),$AV$6,IF(OR(COUNTIF('1.연간시수표'!AR77,$AW$9),COUNTIF('1.연간시수표'!AR77,$AW$7)),$AW$6,IF(OR(COUNTIF('1.연간시수표'!AR77,$AX$9),COUNTIF('1.연간시수표'!AR77,$AX$7)),$AX$6,IF(OR(COUNTIF('1.연간시수표'!AR77,$AY$9),COUNTIF('1.연간시수표'!AR77,$AY$7)),$AY$6,IF(OR(COUNTIF('1.연간시수표'!AR77,$AZ$9),COUNTIF('1.연간시수표'!AR77,$AZ$7)),$AZ$6,IF(OR(COUNTIF('1.연간시수표'!AR77,$BA$9),COUNTIF('1.연간시수표'!AR77,$BA$7)),$BA$6,IF(OR(COUNTIF('1.연간시수표'!AR77,$BB$9),COUNTIF('1.연간시수표'!AR77,$BB$7)),$BB$6,IF(OR(COUNTIF('1.연간시수표'!AR77,$BC$9),COUNTIF('1.연간시수표'!AR77,$BC$7)),$BC$6,IF(OR(COUNTIF('1.연간시수표'!AR77,$BF$9),COUNTIF('1.연간시수표'!AR77,$BF$7),COUNTIF('1.연간시수표'!AR77,$BG$9),COUNTIF('1.연간시수표'!AR77,$BG$7),COUNTIF('1.연간시수표'!AR77,$BH$9),COUNTIF('1.연간시수표'!AR77,$BH$7),COUNTIF('1.연간시수표'!AR77,$BI$9),COUNTIF('1.연간시수표'!AR77,$BI$7),COUNTIF('1.연간시수표'!AR77,$BJ$9),COUNTIF('1.연간시수표'!AR77,$BJ$7),COUNTIF('1.연간시수표'!AR77,$BK$9),COUNTIF('1.연간시수표'!AR77,$BK$7),COUNTIF('1.연간시수표'!AR77,$BL$9),COUNTIF('1.연간시수표'!AR77,$BL$7),COUNTIF('1.연간시수표'!AR77,$BM$9),COUNTIF('1.연간시수표'!AR77,$BM$7)),$BF$6,IF(OR(COUNTIF('1.연간시수표'!AR77,$BO$9),COUNTIF('1.연간시수표'!AR77,$BO$7)),$BO$6,IF(OR(COUNTIF('1.연간시수표'!AR77,$BP$9),COUNTIF('1.연간시수표'!AR77,$BP$7)),$BP$6,IF(OR(COUNTIF('1.연간시수표'!AR77,$BQ$9),COUNTIF('1.연간시수표'!AR77,$BQ$7)),$BQ$6,IF(OR(COUNTIF('1.연간시수표'!AR77,$BR$9),COUNTIF('1.연간시수표'!AR77,$BR$7)),$BR$6,"_")))))))))))))))</f>
        <v>_</v>
      </c>
    </row>
    <row r="78" spans="2:44">
      <c r="B78" s="6"/>
      <c r="C78" s="79">
        <f>'1.연간시수표'!C78</f>
        <v>0</v>
      </c>
      <c r="D78" s="3"/>
      <c r="E78" s="148" t="str">
        <f>IF(OR(COUNTIF('1.연간시수표'!E78,$AT$9),COUNTIF('1.연간시수표'!E78,$AT$7)),$AT$6,IF(OR(COUNTIF('1.연간시수표'!E78,$AU$9),COUNTIF('1.연간시수표'!E78,$AU$7)),$AU$6,IF(OR(COUNTIF('1.연간시수표'!E78,$AV$9),COUNTIF('1.연간시수표'!E78,$AV$7)),$AV$6,IF(OR(COUNTIF('1.연간시수표'!E78,$AW$9),COUNTIF('1.연간시수표'!E78,$AW$7)),$AW$6,IF(OR(COUNTIF('1.연간시수표'!E78,$AX$9),COUNTIF('1.연간시수표'!E78,$AX$7)),$AX$6,IF(OR(COUNTIF('1.연간시수표'!E78,$AY$9),COUNTIF('1.연간시수표'!E78,$AY$7)),$AY$6,IF(OR(COUNTIF('1.연간시수표'!E78,$AZ$9),COUNTIF('1.연간시수표'!E78,$AZ$7)),$AZ$6,IF(OR(COUNTIF('1.연간시수표'!E78,$BA$9),COUNTIF('1.연간시수표'!E78,$BA$7)),$BA$6,IF(OR(COUNTIF('1.연간시수표'!E78,$BB$9),COUNTIF('1.연간시수표'!E78,$BB$7)),$BB$6,IF(OR(COUNTIF('1.연간시수표'!E78,$BC$9),COUNTIF('1.연간시수표'!E78,$BC$7)),$BC$6,IF(OR(COUNTIF('1.연간시수표'!E78,$BF$9),COUNTIF('1.연간시수표'!E78,$BF$7),COUNTIF('1.연간시수표'!E78,$BG$9),COUNTIF('1.연간시수표'!E78,$BG$7),COUNTIF('1.연간시수표'!E78,$BH$9),COUNTIF('1.연간시수표'!E78,$BH$7),COUNTIF('1.연간시수표'!E78,$BI$9),COUNTIF('1.연간시수표'!E78,$BI$7),COUNTIF('1.연간시수표'!E78,$BJ$9),COUNTIF('1.연간시수표'!E78,$BJ$7),COUNTIF('1.연간시수표'!E78,$BK$9),COUNTIF('1.연간시수표'!E78,$BK$7),COUNTIF('1.연간시수표'!E78,$BL$9),COUNTIF('1.연간시수표'!E78,$BL$7),COUNTIF('1.연간시수표'!E78,$BM$9),COUNTIF('1.연간시수표'!E78,$BM$7)),$BF$6,IF(OR(COUNTIF('1.연간시수표'!E78,$BO$9),COUNTIF('1.연간시수표'!E78,$BO$7)),$BO$6,IF(OR(COUNTIF('1.연간시수표'!E78,$BP$9),COUNTIF('1.연간시수표'!E78,$BP$7)),$BP$6,IF(OR(COUNTIF('1.연간시수표'!E78,$BQ$9),COUNTIF('1.연간시수표'!E78,$BQ$7)),$BQ$6,IF(OR(COUNTIF('1.연간시수표'!E78,$BR$9),COUNTIF('1.연간시수표'!E78,$BR$7)),$BR$6,"_")))))))))))))))</f>
        <v>_</v>
      </c>
      <c r="F78" s="148" t="str">
        <f>IF(OR(COUNTIF('1.연간시수표'!F78,$AT$9),COUNTIF('1.연간시수표'!F78,$AT$7)),$AT$6,IF(OR(COUNTIF('1.연간시수표'!F78,$AU$9),COUNTIF('1.연간시수표'!F78,$AU$7)),$AU$6,IF(OR(COUNTIF('1.연간시수표'!F78,$AV$9),COUNTIF('1.연간시수표'!F78,$AV$7)),$AV$6,IF(OR(COUNTIF('1.연간시수표'!F78,$AW$9),COUNTIF('1.연간시수표'!F78,$AW$7)),$AW$6,IF(OR(COUNTIF('1.연간시수표'!F78,$AX$9),COUNTIF('1.연간시수표'!F78,$AX$7)),$AX$6,IF(OR(COUNTIF('1.연간시수표'!F78,$AY$9),COUNTIF('1.연간시수표'!F78,$AY$7)),$AY$6,IF(OR(COUNTIF('1.연간시수표'!F78,$AZ$9),COUNTIF('1.연간시수표'!F78,$AZ$7)),$AZ$6,IF(OR(COUNTIF('1.연간시수표'!F78,$BA$9),COUNTIF('1.연간시수표'!F78,$BA$7)),$BA$6,IF(OR(COUNTIF('1.연간시수표'!F78,$BB$9),COUNTIF('1.연간시수표'!F78,$BB$7)),$BB$6,IF(OR(COUNTIF('1.연간시수표'!F78,$BC$9),COUNTIF('1.연간시수표'!F78,$BC$7)),$BC$6,IF(OR(COUNTIF('1.연간시수표'!F78,$BF$9),COUNTIF('1.연간시수표'!F78,$BF$7),COUNTIF('1.연간시수표'!F78,$BG$9),COUNTIF('1.연간시수표'!F78,$BG$7),COUNTIF('1.연간시수표'!F78,$BH$9),COUNTIF('1.연간시수표'!F78,$BH$7),COUNTIF('1.연간시수표'!F78,$BI$9),COUNTIF('1.연간시수표'!F78,$BI$7),COUNTIF('1.연간시수표'!F78,$BJ$9),COUNTIF('1.연간시수표'!F78,$BJ$7),COUNTIF('1.연간시수표'!F78,$BK$9),COUNTIF('1.연간시수표'!F78,$BK$7),COUNTIF('1.연간시수표'!F78,$BL$9),COUNTIF('1.연간시수표'!F78,$BL$7),COUNTIF('1.연간시수표'!F78,$BM$9),COUNTIF('1.연간시수표'!F78,$BM$7)),$BF$6,IF(OR(COUNTIF('1.연간시수표'!F78,$BO$9),COUNTIF('1.연간시수표'!F78,$BO$7)),$BO$6,IF(OR(COUNTIF('1.연간시수표'!F78,$BP$9),COUNTIF('1.연간시수표'!F78,$BP$7)),$BP$6,IF(OR(COUNTIF('1.연간시수표'!F78,$BQ$9),COUNTIF('1.연간시수표'!F78,$BQ$7)),$BQ$6,IF(OR(COUNTIF('1.연간시수표'!F78,$BR$9),COUNTIF('1.연간시수표'!F78,$BR$7)),$BR$6,"_")))))))))))))))</f>
        <v>_</v>
      </c>
      <c r="G78" s="148" t="str">
        <f>IF(OR(COUNTIF('1.연간시수표'!G78,$AT$9),COUNTIF('1.연간시수표'!G78,$AT$7)),$AT$6,IF(OR(COUNTIF('1.연간시수표'!G78,$AU$9),COUNTIF('1.연간시수표'!G78,$AU$7)),$AU$6,IF(OR(COUNTIF('1.연간시수표'!G78,$AV$9),COUNTIF('1.연간시수표'!G78,$AV$7)),$AV$6,IF(OR(COUNTIF('1.연간시수표'!G78,$AW$9),COUNTIF('1.연간시수표'!G78,$AW$7)),$AW$6,IF(OR(COUNTIF('1.연간시수표'!G78,$AX$9),COUNTIF('1.연간시수표'!G78,$AX$7)),$AX$6,IF(OR(COUNTIF('1.연간시수표'!G78,$AY$9),COUNTIF('1.연간시수표'!G78,$AY$7)),$AY$6,IF(OR(COUNTIF('1.연간시수표'!G78,$AZ$9),COUNTIF('1.연간시수표'!G78,$AZ$7)),$AZ$6,IF(OR(COUNTIF('1.연간시수표'!G78,$BA$9),COUNTIF('1.연간시수표'!G78,$BA$7)),$BA$6,IF(OR(COUNTIF('1.연간시수표'!G78,$BB$9),COUNTIF('1.연간시수표'!G78,$BB$7)),$BB$6,IF(OR(COUNTIF('1.연간시수표'!G78,$BC$9),COUNTIF('1.연간시수표'!G78,$BC$7)),$BC$6,IF(OR(COUNTIF('1.연간시수표'!G78,$BF$9),COUNTIF('1.연간시수표'!G78,$BF$7),COUNTIF('1.연간시수표'!G78,$BG$9),COUNTIF('1.연간시수표'!G78,$BG$7),COUNTIF('1.연간시수표'!G78,$BH$9),COUNTIF('1.연간시수표'!G78,$BH$7),COUNTIF('1.연간시수표'!G78,$BI$9),COUNTIF('1.연간시수표'!G78,$BI$7),COUNTIF('1.연간시수표'!G78,$BJ$9),COUNTIF('1.연간시수표'!G78,$BJ$7),COUNTIF('1.연간시수표'!G78,$BK$9),COUNTIF('1.연간시수표'!G78,$BK$7),COUNTIF('1.연간시수표'!G78,$BL$9),COUNTIF('1.연간시수표'!G78,$BL$7),COUNTIF('1.연간시수표'!G78,$BM$9),COUNTIF('1.연간시수표'!G78,$BM$7)),$BF$6,IF(OR(COUNTIF('1.연간시수표'!G78,$BO$9),COUNTIF('1.연간시수표'!G78,$BO$7)),$BO$6,IF(OR(COUNTIF('1.연간시수표'!G78,$BP$9),COUNTIF('1.연간시수표'!G78,$BP$7)),$BP$6,IF(OR(COUNTIF('1.연간시수표'!G78,$BQ$9),COUNTIF('1.연간시수표'!G78,$BQ$7)),$BQ$6,IF(OR(COUNTIF('1.연간시수표'!G78,$BR$9),COUNTIF('1.연간시수표'!G78,$BR$7)),$BR$6,"_")))))))))))))))</f>
        <v>_</v>
      </c>
      <c r="H78" s="148" t="str">
        <f>IF(OR(COUNTIF('1.연간시수표'!H78,$AT$9),COUNTIF('1.연간시수표'!H78,$AT$7)),$AT$6,IF(OR(COUNTIF('1.연간시수표'!H78,$AU$9),COUNTIF('1.연간시수표'!H78,$AU$7)),$AU$6,IF(OR(COUNTIF('1.연간시수표'!H78,$AV$9),COUNTIF('1.연간시수표'!H78,$AV$7)),$AV$6,IF(OR(COUNTIF('1.연간시수표'!H78,$AW$9),COUNTIF('1.연간시수표'!H78,$AW$7)),$AW$6,IF(OR(COUNTIF('1.연간시수표'!H78,$AX$9),COUNTIF('1.연간시수표'!H78,$AX$7)),$AX$6,IF(OR(COUNTIF('1.연간시수표'!H78,$AY$9),COUNTIF('1.연간시수표'!H78,$AY$7)),$AY$6,IF(OR(COUNTIF('1.연간시수표'!H78,$AZ$9),COUNTIF('1.연간시수표'!H78,$AZ$7)),$AZ$6,IF(OR(COUNTIF('1.연간시수표'!H78,$BA$9),COUNTIF('1.연간시수표'!H78,$BA$7)),$BA$6,IF(OR(COUNTIF('1.연간시수표'!H78,$BB$9),COUNTIF('1.연간시수표'!H78,$BB$7)),$BB$6,IF(OR(COUNTIF('1.연간시수표'!H78,$BC$9),COUNTIF('1.연간시수표'!H78,$BC$7)),$BC$6,IF(OR(COUNTIF('1.연간시수표'!H78,$BF$9),COUNTIF('1.연간시수표'!H78,$BF$7),COUNTIF('1.연간시수표'!H78,$BG$9),COUNTIF('1.연간시수표'!H78,$BG$7),COUNTIF('1.연간시수표'!H78,$BH$9),COUNTIF('1.연간시수표'!H78,$BH$7),COUNTIF('1.연간시수표'!H78,$BI$9),COUNTIF('1.연간시수표'!H78,$BI$7),COUNTIF('1.연간시수표'!H78,$BJ$9),COUNTIF('1.연간시수표'!H78,$BJ$7),COUNTIF('1.연간시수표'!H78,$BK$9),COUNTIF('1.연간시수표'!H78,$BK$7),COUNTIF('1.연간시수표'!H78,$BL$9),COUNTIF('1.연간시수표'!H78,$BL$7),COUNTIF('1.연간시수표'!H78,$BM$9),COUNTIF('1.연간시수표'!H78,$BM$7)),$BF$6,IF(OR(COUNTIF('1.연간시수표'!H78,$BO$9),COUNTIF('1.연간시수표'!H78,$BO$7)),$BO$6,IF(OR(COUNTIF('1.연간시수표'!H78,$BP$9),COUNTIF('1.연간시수표'!H78,$BP$7)),$BP$6,IF(OR(COUNTIF('1.연간시수표'!H78,$BQ$9),COUNTIF('1.연간시수표'!H78,$BQ$7)),$BQ$6,IF(OR(COUNTIF('1.연간시수표'!H78,$BR$9),COUNTIF('1.연간시수표'!H78,$BR$7)),$BR$6,"_")))))))))))))))</f>
        <v>_</v>
      </c>
      <c r="I78" s="148" t="str">
        <f>IF(OR(COUNTIF('1.연간시수표'!I78,$AT$9),COUNTIF('1.연간시수표'!I78,$AT$7)),$AT$6,IF(OR(COUNTIF('1.연간시수표'!I78,$AU$9),COUNTIF('1.연간시수표'!I78,$AU$7)),$AU$6,IF(OR(COUNTIF('1.연간시수표'!I78,$AV$9),COUNTIF('1.연간시수표'!I78,$AV$7)),$AV$6,IF(OR(COUNTIF('1.연간시수표'!I78,$AW$9),COUNTIF('1.연간시수표'!I78,$AW$7)),$AW$6,IF(OR(COUNTIF('1.연간시수표'!I78,$AX$9),COUNTIF('1.연간시수표'!I78,$AX$7)),$AX$6,IF(OR(COUNTIF('1.연간시수표'!I78,$AY$9),COUNTIF('1.연간시수표'!I78,$AY$7)),$AY$6,IF(OR(COUNTIF('1.연간시수표'!I78,$AZ$9),COUNTIF('1.연간시수표'!I78,$AZ$7)),$AZ$6,IF(OR(COUNTIF('1.연간시수표'!I78,$BA$9),COUNTIF('1.연간시수표'!I78,$BA$7)),$BA$6,IF(OR(COUNTIF('1.연간시수표'!I78,$BB$9),COUNTIF('1.연간시수표'!I78,$BB$7)),$BB$6,IF(OR(COUNTIF('1.연간시수표'!I78,$BC$9),COUNTIF('1.연간시수표'!I78,$BC$7)),$BC$6,IF(OR(COUNTIF('1.연간시수표'!I78,$BF$9),COUNTIF('1.연간시수표'!I78,$BF$7),COUNTIF('1.연간시수표'!I78,$BG$9),COUNTIF('1.연간시수표'!I78,$BG$7),COUNTIF('1.연간시수표'!I78,$BH$9),COUNTIF('1.연간시수표'!I78,$BH$7),COUNTIF('1.연간시수표'!I78,$BI$9),COUNTIF('1.연간시수표'!I78,$BI$7),COUNTIF('1.연간시수표'!I78,$BJ$9),COUNTIF('1.연간시수표'!I78,$BJ$7),COUNTIF('1.연간시수표'!I78,$BK$9),COUNTIF('1.연간시수표'!I78,$BK$7),COUNTIF('1.연간시수표'!I78,$BL$9),COUNTIF('1.연간시수표'!I78,$BL$7),COUNTIF('1.연간시수표'!I78,$BM$9),COUNTIF('1.연간시수표'!I78,$BM$7)),$BF$6,IF(OR(COUNTIF('1.연간시수표'!I78,$BO$9),COUNTIF('1.연간시수표'!I78,$BO$7)),$BO$6,IF(OR(COUNTIF('1.연간시수표'!I78,$BP$9),COUNTIF('1.연간시수표'!I78,$BP$7)),$BP$6,IF(OR(COUNTIF('1.연간시수표'!I78,$BQ$9),COUNTIF('1.연간시수표'!I78,$BQ$7)),$BQ$6,IF(OR(COUNTIF('1.연간시수표'!I78,$BR$9),COUNTIF('1.연간시수표'!I78,$BR$7)),$BR$6,"_")))))))))))))))</f>
        <v>_</v>
      </c>
      <c r="J78" s="148" t="str">
        <f>IF(OR(COUNTIF('1.연간시수표'!J78,$AT$9),COUNTIF('1.연간시수표'!J78,$AT$7)),$AT$6,IF(OR(COUNTIF('1.연간시수표'!J78,$AU$9),COUNTIF('1.연간시수표'!J78,$AU$7)),$AU$6,IF(OR(COUNTIF('1.연간시수표'!J78,$AV$9),COUNTIF('1.연간시수표'!J78,$AV$7)),$AV$6,IF(OR(COUNTIF('1.연간시수표'!J78,$AW$9),COUNTIF('1.연간시수표'!J78,$AW$7)),$AW$6,IF(OR(COUNTIF('1.연간시수표'!J78,$AX$9),COUNTIF('1.연간시수표'!J78,$AX$7)),$AX$6,IF(OR(COUNTIF('1.연간시수표'!J78,$AY$9),COUNTIF('1.연간시수표'!J78,$AY$7)),$AY$6,IF(OR(COUNTIF('1.연간시수표'!J78,$AZ$9),COUNTIF('1.연간시수표'!J78,$AZ$7)),$AZ$6,IF(OR(COUNTIF('1.연간시수표'!J78,$BA$9),COUNTIF('1.연간시수표'!J78,$BA$7)),$BA$6,IF(OR(COUNTIF('1.연간시수표'!J78,$BB$9),COUNTIF('1.연간시수표'!J78,$BB$7)),$BB$6,IF(OR(COUNTIF('1.연간시수표'!J78,$BC$9),COUNTIF('1.연간시수표'!J78,$BC$7)),$BC$6,IF(OR(COUNTIF('1.연간시수표'!J78,$BF$9),COUNTIF('1.연간시수표'!J78,$BF$7),COUNTIF('1.연간시수표'!J78,$BG$9),COUNTIF('1.연간시수표'!J78,$BG$7),COUNTIF('1.연간시수표'!J78,$BH$9),COUNTIF('1.연간시수표'!J78,$BH$7),COUNTIF('1.연간시수표'!J78,$BI$9),COUNTIF('1.연간시수표'!J78,$BI$7),COUNTIF('1.연간시수표'!J78,$BJ$9),COUNTIF('1.연간시수표'!J78,$BJ$7),COUNTIF('1.연간시수표'!J78,$BK$9),COUNTIF('1.연간시수표'!J78,$BK$7),COUNTIF('1.연간시수표'!J78,$BL$9),COUNTIF('1.연간시수표'!J78,$BL$7),COUNTIF('1.연간시수표'!J78,$BM$9),COUNTIF('1.연간시수표'!J78,$BM$7)),$BF$6,IF(OR(COUNTIF('1.연간시수표'!J78,$BO$9),COUNTIF('1.연간시수표'!J78,$BO$7)),$BO$6,IF(OR(COUNTIF('1.연간시수표'!J78,$BP$9),COUNTIF('1.연간시수표'!J78,$BP$7)),$BP$6,IF(OR(COUNTIF('1.연간시수표'!J78,$BQ$9),COUNTIF('1.연간시수표'!J78,$BQ$7)),$BQ$6,IF(OR(COUNTIF('1.연간시수표'!J78,$BR$9),COUNTIF('1.연간시수표'!J78,$BR$7)),$BR$6,"_")))))))))))))))</f>
        <v>_</v>
      </c>
      <c r="K78" s="148" t="str">
        <f>IF(OR(COUNTIF('1.연간시수표'!K78,$AT$9),COUNTIF('1.연간시수표'!K78,$AT$7)),$AT$6,IF(OR(COUNTIF('1.연간시수표'!K78,$AU$9),COUNTIF('1.연간시수표'!K78,$AU$7)),$AU$6,IF(OR(COUNTIF('1.연간시수표'!K78,$AV$9),COUNTIF('1.연간시수표'!K78,$AV$7)),$AV$6,IF(OR(COUNTIF('1.연간시수표'!K78,$AW$9),COUNTIF('1.연간시수표'!K78,$AW$7)),$AW$6,IF(OR(COUNTIF('1.연간시수표'!K78,$AX$9),COUNTIF('1.연간시수표'!K78,$AX$7)),$AX$6,IF(OR(COUNTIF('1.연간시수표'!K78,$AY$9),COUNTIF('1.연간시수표'!K78,$AY$7)),$AY$6,IF(OR(COUNTIF('1.연간시수표'!K78,$AZ$9),COUNTIF('1.연간시수표'!K78,$AZ$7)),$AZ$6,IF(OR(COUNTIF('1.연간시수표'!K78,$BA$9),COUNTIF('1.연간시수표'!K78,$BA$7)),$BA$6,IF(OR(COUNTIF('1.연간시수표'!K78,$BB$9),COUNTIF('1.연간시수표'!K78,$BB$7)),$BB$6,IF(OR(COUNTIF('1.연간시수표'!K78,$BC$9),COUNTIF('1.연간시수표'!K78,$BC$7)),$BC$6,IF(OR(COUNTIF('1.연간시수표'!K78,$BF$9),COUNTIF('1.연간시수표'!K78,$BF$7),COUNTIF('1.연간시수표'!K78,$BG$9),COUNTIF('1.연간시수표'!K78,$BG$7),COUNTIF('1.연간시수표'!K78,$BH$9),COUNTIF('1.연간시수표'!K78,$BH$7),COUNTIF('1.연간시수표'!K78,$BI$9),COUNTIF('1.연간시수표'!K78,$BI$7),COUNTIF('1.연간시수표'!K78,$BJ$9),COUNTIF('1.연간시수표'!K78,$BJ$7),COUNTIF('1.연간시수표'!K78,$BK$9),COUNTIF('1.연간시수표'!K78,$BK$7),COUNTIF('1.연간시수표'!K78,$BL$9),COUNTIF('1.연간시수표'!K78,$BL$7),COUNTIF('1.연간시수표'!K78,$BM$9),COUNTIF('1.연간시수표'!K78,$BM$7)),$BF$6,IF(OR(COUNTIF('1.연간시수표'!K78,$BO$9),COUNTIF('1.연간시수표'!K78,$BO$7)),$BO$6,IF(OR(COUNTIF('1.연간시수표'!K78,$BP$9),COUNTIF('1.연간시수표'!K78,$BP$7)),$BP$6,IF(OR(COUNTIF('1.연간시수표'!K78,$BQ$9),COUNTIF('1.연간시수표'!K78,$BQ$7)),$BQ$6,IF(OR(COUNTIF('1.연간시수표'!K78,$BR$9),COUNTIF('1.연간시수표'!K78,$BR$7)),$BR$6,"_")))))))))))))))</f>
        <v>_</v>
      </c>
      <c r="L78" s="148" t="str">
        <f>IF(OR(COUNTIF('1.연간시수표'!L78,$AT$9),COUNTIF('1.연간시수표'!L78,$AT$7)),$AT$6,IF(OR(COUNTIF('1.연간시수표'!L78,$AU$9),COUNTIF('1.연간시수표'!L78,$AU$7)),$AU$6,IF(OR(COUNTIF('1.연간시수표'!L78,$AV$9),COUNTIF('1.연간시수표'!L78,$AV$7)),$AV$6,IF(OR(COUNTIF('1.연간시수표'!L78,$AW$9),COUNTIF('1.연간시수표'!L78,$AW$7)),$AW$6,IF(OR(COUNTIF('1.연간시수표'!L78,$AX$9),COUNTIF('1.연간시수표'!L78,$AX$7)),$AX$6,IF(OR(COUNTIF('1.연간시수표'!L78,$AY$9),COUNTIF('1.연간시수표'!L78,$AY$7)),$AY$6,IF(OR(COUNTIF('1.연간시수표'!L78,$AZ$9),COUNTIF('1.연간시수표'!L78,$AZ$7)),$AZ$6,IF(OR(COUNTIF('1.연간시수표'!L78,$BA$9),COUNTIF('1.연간시수표'!L78,$BA$7)),$BA$6,IF(OR(COUNTIF('1.연간시수표'!L78,$BB$9),COUNTIF('1.연간시수표'!L78,$BB$7)),$BB$6,IF(OR(COUNTIF('1.연간시수표'!L78,$BC$9),COUNTIF('1.연간시수표'!L78,$BC$7)),$BC$6,IF(OR(COUNTIF('1.연간시수표'!L78,$BF$9),COUNTIF('1.연간시수표'!L78,$BF$7),COUNTIF('1.연간시수표'!L78,$BG$9),COUNTIF('1.연간시수표'!L78,$BG$7),COUNTIF('1.연간시수표'!L78,$BH$9),COUNTIF('1.연간시수표'!L78,$BH$7),COUNTIF('1.연간시수표'!L78,$BI$9),COUNTIF('1.연간시수표'!L78,$BI$7),COUNTIF('1.연간시수표'!L78,$BJ$9),COUNTIF('1.연간시수표'!L78,$BJ$7),COUNTIF('1.연간시수표'!L78,$BK$9),COUNTIF('1.연간시수표'!L78,$BK$7),COUNTIF('1.연간시수표'!L78,$BL$9),COUNTIF('1.연간시수표'!L78,$BL$7),COUNTIF('1.연간시수표'!L78,$BM$9),COUNTIF('1.연간시수표'!L78,$BM$7)),$BF$6,IF(OR(COUNTIF('1.연간시수표'!L78,$BO$9),COUNTIF('1.연간시수표'!L78,$BO$7)),$BO$6,IF(OR(COUNTIF('1.연간시수표'!L78,$BP$9),COUNTIF('1.연간시수표'!L78,$BP$7)),$BP$6,IF(OR(COUNTIF('1.연간시수표'!L78,$BQ$9),COUNTIF('1.연간시수표'!L78,$BQ$7)),$BQ$6,IF(OR(COUNTIF('1.연간시수표'!L78,$BR$9),COUNTIF('1.연간시수표'!L78,$BR$7)),$BR$6,"_")))))))))))))))</f>
        <v>_</v>
      </c>
      <c r="M78" s="148" t="str">
        <f>IF(OR(COUNTIF('1.연간시수표'!M78,$AT$9),COUNTIF('1.연간시수표'!M78,$AT$7)),$AT$6,IF(OR(COUNTIF('1.연간시수표'!M78,$AU$9),COUNTIF('1.연간시수표'!M78,$AU$7)),$AU$6,IF(OR(COUNTIF('1.연간시수표'!M78,$AV$9),COUNTIF('1.연간시수표'!M78,$AV$7)),$AV$6,IF(OR(COUNTIF('1.연간시수표'!M78,$AW$9),COUNTIF('1.연간시수표'!M78,$AW$7)),$AW$6,IF(OR(COUNTIF('1.연간시수표'!M78,$AX$9),COUNTIF('1.연간시수표'!M78,$AX$7)),$AX$6,IF(OR(COUNTIF('1.연간시수표'!M78,$AY$9),COUNTIF('1.연간시수표'!M78,$AY$7)),$AY$6,IF(OR(COUNTIF('1.연간시수표'!M78,$AZ$9),COUNTIF('1.연간시수표'!M78,$AZ$7)),$AZ$6,IF(OR(COUNTIF('1.연간시수표'!M78,$BA$9),COUNTIF('1.연간시수표'!M78,$BA$7)),$BA$6,IF(OR(COUNTIF('1.연간시수표'!M78,$BB$9),COUNTIF('1.연간시수표'!M78,$BB$7)),$BB$6,IF(OR(COUNTIF('1.연간시수표'!M78,$BC$9),COUNTIF('1.연간시수표'!M78,$BC$7)),$BC$6,IF(OR(COUNTIF('1.연간시수표'!M78,$BF$9),COUNTIF('1.연간시수표'!M78,$BF$7),COUNTIF('1.연간시수표'!M78,$BG$9),COUNTIF('1.연간시수표'!M78,$BG$7),COUNTIF('1.연간시수표'!M78,$BH$9),COUNTIF('1.연간시수표'!M78,$BH$7),COUNTIF('1.연간시수표'!M78,$BI$9),COUNTIF('1.연간시수표'!M78,$BI$7),COUNTIF('1.연간시수표'!M78,$BJ$9),COUNTIF('1.연간시수표'!M78,$BJ$7),COUNTIF('1.연간시수표'!M78,$BK$9),COUNTIF('1.연간시수표'!M78,$BK$7),COUNTIF('1.연간시수표'!M78,$BL$9),COUNTIF('1.연간시수표'!M78,$BL$7),COUNTIF('1.연간시수표'!M78,$BM$9),COUNTIF('1.연간시수표'!M78,$BM$7)),$BF$6,IF(OR(COUNTIF('1.연간시수표'!M78,$BO$9),COUNTIF('1.연간시수표'!M78,$BO$7)),$BO$6,IF(OR(COUNTIF('1.연간시수표'!M78,$BP$9),COUNTIF('1.연간시수표'!M78,$BP$7)),$BP$6,IF(OR(COUNTIF('1.연간시수표'!M78,$BQ$9),COUNTIF('1.연간시수표'!M78,$BQ$7)),$BQ$6,IF(OR(COUNTIF('1.연간시수표'!M78,$BR$9),COUNTIF('1.연간시수표'!M78,$BR$7)),$BR$6,"_")))))))))))))))</f>
        <v>_</v>
      </c>
      <c r="N78" s="148" t="str">
        <f>IF(OR(COUNTIF('1.연간시수표'!N78,$AT$9),COUNTIF('1.연간시수표'!N78,$AT$7)),$AT$6,IF(OR(COUNTIF('1.연간시수표'!N78,$AU$9),COUNTIF('1.연간시수표'!N78,$AU$7)),$AU$6,IF(OR(COUNTIF('1.연간시수표'!N78,$AV$9),COUNTIF('1.연간시수표'!N78,$AV$7)),$AV$6,IF(OR(COUNTIF('1.연간시수표'!N78,$AW$9),COUNTIF('1.연간시수표'!N78,$AW$7)),$AW$6,IF(OR(COUNTIF('1.연간시수표'!N78,$AX$9),COUNTIF('1.연간시수표'!N78,$AX$7)),$AX$6,IF(OR(COUNTIF('1.연간시수표'!N78,$AY$9),COUNTIF('1.연간시수표'!N78,$AY$7)),$AY$6,IF(OR(COUNTIF('1.연간시수표'!N78,$AZ$9),COUNTIF('1.연간시수표'!N78,$AZ$7)),$AZ$6,IF(OR(COUNTIF('1.연간시수표'!N78,$BA$9),COUNTIF('1.연간시수표'!N78,$BA$7)),$BA$6,IF(OR(COUNTIF('1.연간시수표'!N78,$BB$9),COUNTIF('1.연간시수표'!N78,$BB$7)),$BB$6,IF(OR(COUNTIF('1.연간시수표'!N78,$BC$9),COUNTIF('1.연간시수표'!N78,$BC$7)),$BC$6,IF(OR(COUNTIF('1.연간시수표'!N78,$BF$9),COUNTIF('1.연간시수표'!N78,$BF$7),COUNTIF('1.연간시수표'!N78,$BG$9),COUNTIF('1.연간시수표'!N78,$BG$7),COUNTIF('1.연간시수표'!N78,$BH$9),COUNTIF('1.연간시수표'!N78,$BH$7),COUNTIF('1.연간시수표'!N78,$BI$9),COUNTIF('1.연간시수표'!N78,$BI$7),COUNTIF('1.연간시수표'!N78,$BJ$9),COUNTIF('1.연간시수표'!N78,$BJ$7),COUNTIF('1.연간시수표'!N78,$BK$9),COUNTIF('1.연간시수표'!N78,$BK$7),COUNTIF('1.연간시수표'!N78,$BL$9),COUNTIF('1.연간시수표'!N78,$BL$7),COUNTIF('1.연간시수표'!N78,$BM$9),COUNTIF('1.연간시수표'!N78,$BM$7)),$BF$6,IF(OR(COUNTIF('1.연간시수표'!N78,$BO$9),COUNTIF('1.연간시수표'!N78,$BO$7)),$BO$6,IF(OR(COUNTIF('1.연간시수표'!N78,$BP$9),COUNTIF('1.연간시수표'!N78,$BP$7)),$BP$6,IF(OR(COUNTIF('1.연간시수표'!N78,$BQ$9),COUNTIF('1.연간시수표'!N78,$BQ$7)),$BQ$6,IF(OR(COUNTIF('1.연간시수표'!N78,$BR$9),COUNTIF('1.연간시수표'!N78,$BR$7)),$BR$6,"_")))))))))))))))</f>
        <v>_</v>
      </c>
      <c r="O78" s="148" t="str">
        <f>IF(OR(COUNTIF('1.연간시수표'!O78,$AT$9),COUNTIF('1.연간시수표'!O78,$AT$7)),$AT$6,IF(OR(COUNTIF('1.연간시수표'!O78,$AU$9),COUNTIF('1.연간시수표'!O78,$AU$7)),$AU$6,IF(OR(COUNTIF('1.연간시수표'!O78,$AV$9),COUNTIF('1.연간시수표'!O78,$AV$7)),$AV$6,IF(OR(COUNTIF('1.연간시수표'!O78,$AW$9),COUNTIF('1.연간시수표'!O78,$AW$7)),$AW$6,IF(OR(COUNTIF('1.연간시수표'!O78,$AX$9),COUNTIF('1.연간시수표'!O78,$AX$7)),$AX$6,IF(OR(COUNTIF('1.연간시수표'!O78,$AY$9),COUNTIF('1.연간시수표'!O78,$AY$7)),$AY$6,IF(OR(COUNTIF('1.연간시수표'!O78,$AZ$9),COUNTIF('1.연간시수표'!O78,$AZ$7)),$AZ$6,IF(OR(COUNTIF('1.연간시수표'!O78,$BA$9),COUNTIF('1.연간시수표'!O78,$BA$7)),$BA$6,IF(OR(COUNTIF('1.연간시수표'!O78,$BB$9),COUNTIF('1.연간시수표'!O78,$BB$7)),$BB$6,IF(OR(COUNTIF('1.연간시수표'!O78,$BC$9),COUNTIF('1.연간시수표'!O78,$BC$7)),$BC$6,IF(OR(COUNTIF('1.연간시수표'!O78,$BF$9),COUNTIF('1.연간시수표'!O78,$BF$7),COUNTIF('1.연간시수표'!O78,$BG$9),COUNTIF('1.연간시수표'!O78,$BG$7),COUNTIF('1.연간시수표'!O78,$BH$9),COUNTIF('1.연간시수표'!O78,$BH$7),COUNTIF('1.연간시수표'!O78,$BI$9),COUNTIF('1.연간시수표'!O78,$BI$7),COUNTIF('1.연간시수표'!O78,$BJ$9),COUNTIF('1.연간시수표'!O78,$BJ$7),COUNTIF('1.연간시수표'!O78,$BK$9),COUNTIF('1.연간시수표'!O78,$BK$7),COUNTIF('1.연간시수표'!O78,$BL$9),COUNTIF('1.연간시수표'!O78,$BL$7),COUNTIF('1.연간시수표'!O78,$BM$9),COUNTIF('1.연간시수표'!O78,$BM$7)),$BF$6,IF(OR(COUNTIF('1.연간시수표'!O78,$BO$9),COUNTIF('1.연간시수표'!O78,$BO$7)),$BO$6,IF(OR(COUNTIF('1.연간시수표'!O78,$BP$9),COUNTIF('1.연간시수표'!O78,$BP$7)),$BP$6,IF(OR(COUNTIF('1.연간시수표'!O78,$BQ$9),COUNTIF('1.연간시수표'!O78,$BQ$7)),$BQ$6,IF(OR(COUNTIF('1.연간시수표'!O78,$BR$9),COUNTIF('1.연간시수표'!O78,$BR$7)),$BR$6,"_")))))))))))))))</f>
        <v>_</v>
      </c>
      <c r="P78" s="148" t="str">
        <f>IF(OR(COUNTIF('1.연간시수표'!P78,$AT$9),COUNTIF('1.연간시수표'!P78,$AT$7)),$AT$6,IF(OR(COUNTIF('1.연간시수표'!P78,$AU$9),COUNTIF('1.연간시수표'!P78,$AU$7)),$AU$6,IF(OR(COUNTIF('1.연간시수표'!P78,$AV$9),COUNTIF('1.연간시수표'!P78,$AV$7)),$AV$6,IF(OR(COUNTIF('1.연간시수표'!P78,$AW$9),COUNTIF('1.연간시수표'!P78,$AW$7)),$AW$6,IF(OR(COUNTIF('1.연간시수표'!P78,$AX$9),COUNTIF('1.연간시수표'!P78,$AX$7)),$AX$6,IF(OR(COUNTIF('1.연간시수표'!P78,$AY$9),COUNTIF('1.연간시수표'!P78,$AY$7)),$AY$6,IF(OR(COUNTIF('1.연간시수표'!P78,$AZ$9),COUNTIF('1.연간시수표'!P78,$AZ$7)),$AZ$6,IF(OR(COUNTIF('1.연간시수표'!P78,$BA$9),COUNTIF('1.연간시수표'!P78,$BA$7)),$BA$6,IF(OR(COUNTIF('1.연간시수표'!P78,$BB$9),COUNTIF('1.연간시수표'!P78,$BB$7)),$BB$6,IF(OR(COUNTIF('1.연간시수표'!P78,$BC$9),COUNTIF('1.연간시수표'!P78,$BC$7)),$BC$6,IF(OR(COUNTIF('1.연간시수표'!P78,$BF$9),COUNTIF('1.연간시수표'!P78,$BF$7),COUNTIF('1.연간시수표'!P78,$BG$9),COUNTIF('1.연간시수표'!P78,$BG$7),COUNTIF('1.연간시수표'!P78,$BH$9),COUNTIF('1.연간시수표'!P78,$BH$7),COUNTIF('1.연간시수표'!P78,$BI$9),COUNTIF('1.연간시수표'!P78,$BI$7),COUNTIF('1.연간시수표'!P78,$BJ$9),COUNTIF('1.연간시수표'!P78,$BJ$7),COUNTIF('1.연간시수표'!P78,$BK$9),COUNTIF('1.연간시수표'!P78,$BK$7),COUNTIF('1.연간시수표'!P78,$BL$9),COUNTIF('1.연간시수표'!P78,$BL$7),COUNTIF('1.연간시수표'!P78,$BM$9),COUNTIF('1.연간시수표'!P78,$BM$7)),$BF$6,IF(OR(COUNTIF('1.연간시수표'!P78,$BO$9),COUNTIF('1.연간시수표'!P78,$BO$7)),$BO$6,IF(OR(COUNTIF('1.연간시수표'!P78,$BP$9),COUNTIF('1.연간시수표'!P78,$BP$7)),$BP$6,IF(OR(COUNTIF('1.연간시수표'!P78,$BQ$9),COUNTIF('1.연간시수표'!P78,$BQ$7)),$BQ$6,IF(OR(COUNTIF('1.연간시수표'!P78,$BR$9),COUNTIF('1.연간시수표'!P78,$BR$7)),$BR$6,"_")))))))))))))))</f>
        <v>_</v>
      </c>
      <c r="Q78" s="148" t="str">
        <f>IF(OR(COUNTIF('1.연간시수표'!Q78,$AT$9),COUNTIF('1.연간시수표'!Q78,$AT$7)),$AT$6,IF(OR(COUNTIF('1.연간시수표'!Q78,$AU$9),COUNTIF('1.연간시수표'!Q78,$AU$7)),$AU$6,IF(OR(COUNTIF('1.연간시수표'!Q78,$AV$9),COUNTIF('1.연간시수표'!Q78,$AV$7)),$AV$6,IF(OR(COUNTIF('1.연간시수표'!Q78,$AW$9),COUNTIF('1.연간시수표'!Q78,$AW$7)),$AW$6,IF(OR(COUNTIF('1.연간시수표'!Q78,$AX$9),COUNTIF('1.연간시수표'!Q78,$AX$7)),$AX$6,IF(OR(COUNTIF('1.연간시수표'!Q78,$AY$9),COUNTIF('1.연간시수표'!Q78,$AY$7)),$AY$6,IF(OR(COUNTIF('1.연간시수표'!Q78,$AZ$9),COUNTIF('1.연간시수표'!Q78,$AZ$7)),$AZ$6,IF(OR(COUNTIF('1.연간시수표'!Q78,$BA$9),COUNTIF('1.연간시수표'!Q78,$BA$7)),$BA$6,IF(OR(COUNTIF('1.연간시수표'!Q78,$BB$9),COUNTIF('1.연간시수표'!Q78,$BB$7)),$BB$6,IF(OR(COUNTIF('1.연간시수표'!Q78,$BC$9),COUNTIF('1.연간시수표'!Q78,$BC$7)),$BC$6,IF(OR(COUNTIF('1.연간시수표'!Q78,$BF$9),COUNTIF('1.연간시수표'!Q78,$BF$7),COUNTIF('1.연간시수표'!Q78,$BG$9),COUNTIF('1.연간시수표'!Q78,$BG$7),COUNTIF('1.연간시수표'!Q78,$BH$9),COUNTIF('1.연간시수표'!Q78,$BH$7),COUNTIF('1.연간시수표'!Q78,$BI$9),COUNTIF('1.연간시수표'!Q78,$BI$7),COUNTIF('1.연간시수표'!Q78,$BJ$9),COUNTIF('1.연간시수표'!Q78,$BJ$7),COUNTIF('1.연간시수표'!Q78,$BK$9),COUNTIF('1.연간시수표'!Q78,$BK$7),COUNTIF('1.연간시수표'!Q78,$BL$9),COUNTIF('1.연간시수표'!Q78,$BL$7),COUNTIF('1.연간시수표'!Q78,$BM$9),COUNTIF('1.연간시수표'!Q78,$BM$7)),$BF$6,IF(OR(COUNTIF('1.연간시수표'!Q78,$BO$9),COUNTIF('1.연간시수표'!Q78,$BO$7)),$BO$6,IF(OR(COUNTIF('1.연간시수표'!Q78,$BP$9),COUNTIF('1.연간시수표'!Q78,$BP$7)),$BP$6,IF(OR(COUNTIF('1.연간시수표'!Q78,$BQ$9),COUNTIF('1.연간시수표'!Q78,$BQ$7)),$BQ$6,IF(OR(COUNTIF('1.연간시수표'!Q78,$BR$9),COUNTIF('1.연간시수표'!Q78,$BR$7)),$BR$6,"_")))))))))))))))</f>
        <v>_</v>
      </c>
      <c r="R78" s="148" t="str">
        <f>IF(OR(COUNTIF('1.연간시수표'!R78,$AT$9),COUNTIF('1.연간시수표'!R78,$AT$7)),$AT$6,IF(OR(COUNTIF('1.연간시수표'!R78,$AU$9),COUNTIF('1.연간시수표'!R78,$AU$7)),$AU$6,IF(OR(COUNTIF('1.연간시수표'!R78,$AV$9),COUNTIF('1.연간시수표'!R78,$AV$7)),$AV$6,IF(OR(COUNTIF('1.연간시수표'!R78,$AW$9),COUNTIF('1.연간시수표'!R78,$AW$7)),$AW$6,IF(OR(COUNTIF('1.연간시수표'!R78,$AX$9),COUNTIF('1.연간시수표'!R78,$AX$7)),$AX$6,IF(OR(COUNTIF('1.연간시수표'!R78,$AY$9),COUNTIF('1.연간시수표'!R78,$AY$7)),$AY$6,IF(OR(COUNTIF('1.연간시수표'!R78,$AZ$9),COUNTIF('1.연간시수표'!R78,$AZ$7)),$AZ$6,IF(OR(COUNTIF('1.연간시수표'!R78,$BA$9),COUNTIF('1.연간시수표'!R78,$BA$7)),$BA$6,IF(OR(COUNTIF('1.연간시수표'!R78,$BB$9),COUNTIF('1.연간시수표'!R78,$BB$7)),$BB$6,IF(OR(COUNTIF('1.연간시수표'!R78,$BC$9),COUNTIF('1.연간시수표'!R78,$BC$7)),$BC$6,IF(OR(COUNTIF('1.연간시수표'!R78,$BF$9),COUNTIF('1.연간시수표'!R78,$BF$7),COUNTIF('1.연간시수표'!R78,$BG$9),COUNTIF('1.연간시수표'!R78,$BG$7),COUNTIF('1.연간시수표'!R78,$BH$9),COUNTIF('1.연간시수표'!R78,$BH$7),COUNTIF('1.연간시수표'!R78,$BI$9),COUNTIF('1.연간시수표'!R78,$BI$7),COUNTIF('1.연간시수표'!R78,$BJ$9),COUNTIF('1.연간시수표'!R78,$BJ$7),COUNTIF('1.연간시수표'!R78,$BK$9),COUNTIF('1.연간시수표'!R78,$BK$7),COUNTIF('1.연간시수표'!R78,$BL$9),COUNTIF('1.연간시수표'!R78,$BL$7),COUNTIF('1.연간시수표'!R78,$BM$9),COUNTIF('1.연간시수표'!R78,$BM$7)),$BF$6,IF(OR(COUNTIF('1.연간시수표'!R78,$BO$9),COUNTIF('1.연간시수표'!R78,$BO$7)),$BO$6,IF(OR(COUNTIF('1.연간시수표'!R78,$BP$9),COUNTIF('1.연간시수표'!R78,$BP$7)),$BP$6,IF(OR(COUNTIF('1.연간시수표'!R78,$BQ$9),COUNTIF('1.연간시수표'!R78,$BQ$7)),$BQ$6,IF(OR(COUNTIF('1.연간시수표'!R78,$BR$9),COUNTIF('1.연간시수표'!R78,$BR$7)),$BR$6,"_")))))))))))))))</f>
        <v>_</v>
      </c>
      <c r="S78" s="148" t="str">
        <f>IF(OR(COUNTIF('1.연간시수표'!S78,$AT$9),COUNTIF('1.연간시수표'!S78,$AT$7)),$AT$6,IF(OR(COUNTIF('1.연간시수표'!S78,$AU$9),COUNTIF('1.연간시수표'!S78,$AU$7)),$AU$6,IF(OR(COUNTIF('1.연간시수표'!S78,$AV$9),COUNTIF('1.연간시수표'!S78,$AV$7)),$AV$6,IF(OR(COUNTIF('1.연간시수표'!S78,$AW$9),COUNTIF('1.연간시수표'!S78,$AW$7)),$AW$6,IF(OR(COUNTIF('1.연간시수표'!S78,$AX$9),COUNTIF('1.연간시수표'!S78,$AX$7)),$AX$6,IF(OR(COUNTIF('1.연간시수표'!S78,$AY$9),COUNTIF('1.연간시수표'!S78,$AY$7)),$AY$6,IF(OR(COUNTIF('1.연간시수표'!S78,$AZ$9),COUNTIF('1.연간시수표'!S78,$AZ$7)),$AZ$6,IF(OR(COUNTIF('1.연간시수표'!S78,$BA$9),COUNTIF('1.연간시수표'!S78,$BA$7)),$BA$6,IF(OR(COUNTIF('1.연간시수표'!S78,$BB$9),COUNTIF('1.연간시수표'!S78,$BB$7)),$BB$6,IF(OR(COUNTIF('1.연간시수표'!S78,$BC$9),COUNTIF('1.연간시수표'!S78,$BC$7)),$BC$6,IF(OR(COUNTIF('1.연간시수표'!S78,$BF$9),COUNTIF('1.연간시수표'!S78,$BF$7),COUNTIF('1.연간시수표'!S78,$BG$9),COUNTIF('1.연간시수표'!S78,$BG$7),COUNTIF('1.연간시수표'!S78,$BH$9),COUNTIF('1.연간시수표'!S78,$BH$7),COUNTIF('1.연간시수표'!S78,$BI$9),COUNTIF('1.연간시수표'!S78,$BI$7),COUNTIF('1.연간시수표'!S78,$BJ$9),COUNTIF('1.연간시수표'!S78,$BJ$7),COUNTIF('1.연간시수표'!S78,$BK$9),COUNTIF('1.연간시수표'!S78,$BK$7),COUNTIF('1.연간시수표'!S78,$BL$9),COUNTIF('1.연간시수표'!S78,$BL$7),COUNTIF('1.연간시수표'!S78,$BM$9),COUNTIF('1.연간시수표'!S78,$BM$7)),$BF$6,IF(OR(COUNTIF('1.연간시수표'!S78,$BO$9),COUNTIF('1.연간시수표'!S78,$BO$7)),$BO$6,IF(OR(COUNTIF('1.연간시수표'!S78,$BP$9),COUNTIF('1.연간시수표'!S78,$BP$7)),$BP$6,IF(OR(COUNTIF('1.연간시수표'!S78,$BQ$9),COUNTIF('1.연간시수표'!S78,$BQ$7)),$BQ$6,IF(OR(COUNTIF('1.연간시수표'!S78,$BR$9),COUNTIF('1.연간시수표'!S78,$BR$7)),$BR$6,"_")))))))))))))))</f>
        <v>_</v>
      </c>
      <c r="T78" s="148" t="str">
        <f>IF(OR(COUNTIF('1.연간시수표'!T78,$AT$9),COUNTIF('1.연간시수표'!T78,$AT$7)),$AT$6,IF(OR(COUNTIF('1.연간시수표'!T78,$AU$9),COUNTIF('1.연간시수표'!T78,$AU$7)),$AU$6,IF(OR(COUNTIF('1.연간시수표'!T78,$AV$9),COUNTIF('1.연간시수표'!T78,$AV$7)),$AV$6,IF(OR(COUNTIF('1.연간시수표'!T78,$AW$9),COUNTIF('1.연간시수표'!T78,$AW$7)),$AW$6,IF(OR(COUNTIF('1.연간시수표'!T78,$AX$9),COUNTIF('1.연간시수표'!T78,$AX$7)),$AX$6,IF(OR(COUNTIF('1.연간시수표'!T78,$AY$9),COUNTIF('1.연간시수표'!T78,$AY$7)),$AY$6,IF(OR(COUNTIF('1.연간시수표'!T78,$AZ$9),COUNTIF('1.연간시수표'!T78,$AZ$7)),$AZ$6,IF(OR(COUNTIF('1.연간시수표'!T78,$BA$9),COUNTIF('1.연간시수표'!T78,$BA$7)),$BA$6,IF(OR(COUNTIF('1.연간시수표'!T78,$BB$9),COUNTIF('1.연간시수표'!T78,$BB$7)),$BB$6,IF(OR(COUNTIF('1.연간시수표'!T78,$BC$9),COUNTIF('1.연간시수표'!T78,$BC$7)),$BC$6,IF(OR(COUNTIF('1.연간시수표'!T78,$BF$9),COUNTIF('1.연간시수표'!T78,$BF$7),COUNTIF('1.연간시수표'!T78,$BG$9),COUNTIF('1.연간시수표'!T78,$BG$7),COUNTIF('1.연간시수표'!T78,$BH$9),COUNTIF('1.연간시수표'!T78,$BH$7),COUNTIF('1.연간시수표'!T78,$BI$9),COUNTIF('1.연간시수표'!T78,$BI$7),COUNTIF('1.연간시수표'!T78,$BJ$9),COUNTIF('1.연간시수표'!T78,$BJ$7),COUNTIF('1.연간시수표'!T78,$BK$9),COUNTIF('1.연간시수표'!T78,$BK$7),COUNTIF('1.연간시수표'!T78,$BL$9),COUNTIF('1.연간시수표'!T78,$BL$7),COUNTIF('1.연간시수표'!T78,$BM$9),COUNTIF('1.연간시수표'!T78,$BM$7)),$BF$6,IF(OR(COUNTIF('1.연간시수표'!T78,$BO$9),COUNTIF('1.연간시수표'!T78,$BO$7)),$BO$6,IF(OR(COUNTIF('1.연간시수표'!T78,$BP$9),COUNTIF('1.연간시수표'!T78,$BP$7)),$BP$6,IF(OR(COUNTIF('1.연간시수표'!T78,$BQ$9),COUNTIF('1.연간시수표'!T78,$BQ$7)),$BQ$6,IF(OR(COUNTIF('1.연간시수표'!T78,$BR$9),COUNTIF('1.연간시수표'!T78,$BR$7)),$BR$6,"_")))))))))))))))</f>
        <v>_</v>
      </c>
      <c r="U78" s="148" t="str">
        <f>IF(OR(COUNTIF('1.연간시수표'!U78,$AT$9),COUNTIF('1.연간시수표'!U78,$AT$7)),$AT$6,IF(OR(COUNTIF('1.연간시수표'!U78,$AU$9),COUNTIF('1.연간시수표'!U78,$AU$7)),$AU$6,IF(OR(COUNTIF('1.연간시수표'!U78,$AV$9),COUNTIF('1.연간시수표'!U78,$AV$7)),$AV$6,IF(OR(COUNTIF('1.연간시수표'!U78,$AW$9),COUNTIF('1.연간시수표'!U78,$AW$7)),$AW$6,IF(OR(COUNTIF('1.연간시수표'!U78,$AX$9),COUNTIF('1.연간시수표'!U78,$AX$7)),$AX$6,IF(OR(COUNTIF('1.연간시수표'!U78,$AY$9),COUNTIF('1.연간시수표'!U78,$AY$7)),$AY$6,IF(OR(COUNTIF('1.연간시수표'!U78,$AZ$9),COUNTIF('1.연간시수표'!U78,$AZ$7)),$AZ$6,IF(OR(COUNTIF('1.연간시수표'!U78,$BA$9),COUNTIF('1.연간시수표'!U78,$BA$7)),$BA$6,IF(OR(COUNTIF('1.연간시수표'!U78,$BB$9),COUNTIF('1.연간시수표'!U78,$BB$7)),$BB$6,IF(OR(COUNTIF('1.연간시수표'!U78,$BC$9),COUNTIF('1.연간시수표'!U78,$BC$7)),$BC$6,IF(OR(COUNTIF('1.연간시수표'!U78,$BF$9),COUNTIF('1.연간시수표'!U78,$BF$7),COUNTIF('1.연간시수표'!U78,$BG$9),COUNTIF('1.연간시수표'!U78,$BG$7),COUNTIF('1.연간시수표'!U78,$BH$9),COUNTIF('1.연간시수표'!U78,$BH$7),COUNTIF('1.연간시수표'!U78,$BI$9),COUNTIF('1.연간시수표'!U78,$BI$7),COUNTIF('1.연간시수표'!U78,$BJ$9),COUNTIF('1.연간시수표'!U78,$BJ$7),COUNTIF('1.연간시수표'!U78,$BK$9),COUNTIF('1.연간시수표'!U78,$BK$7),COUNTIF('1.연간시수표'!U78,$BL$9),COUNTIF('1.연간시수표'!U78,$BL$7),COUNTIF('1.연간시수표'!U78,$BM$9),COUNTIF('1.연간시수표'!U78,$BM$7)),$BF$6,IF(OR(COUNTIF('1.연간시수표'!U78,$BO$9),COUNTIF('1.연간시수표'!U78,$BO$7)),$BO$6,IF(OR(COUNTIF('1.연간시수표'!U78,$BP$9),COUNTIF('1.연간시수표'!U78,$BP$7)),$BP$6,IF(OR(COUNTIF('1.연간시수표'!U78,$BQ$9),COUNTIF('1.연간시수표'!U78,$BQ$7)),$BQ$6,IF(OR(COUNTIF('1.연간시수표'!U78,$BR$9),COUNTIF('1.연간시수표'!U78,$BR$7)),$BR$6,"_")))))))))))))))</f>
        <v>_</v>
      </c>
      <c r="V78" s="148" t="str">
        <f>IF(OR(COUNTIF('1.연간시수표'!V78,$AT$9),COUNTIF('1.연간시수표'!V78,$AT$7)),$AT$6,IF(OR(COUNTIF('1.연간시수표'!V78,$AU$9),COUNTIF('1.연간시수표'!V78,$AU$7)),$AU$6,IF(OR(COUNTIF('1.연간시수표'!V78,$AV$9),COUNTIF('1.연간시수표'!V78,$AV$7)),$AV$6,IF(OR(COUNTIF('1.연간시수표'!V78,$AW$9),COUNTIF('1.연간시수표'!V78,$AW$7)),$AW$6,IF(OR(COUNTIF('1.연간시수표'!V78,$AX$9),COUNTIF('1.연간시수표'!V78,$AX$7)),$AX$6,IF(OR(COUNTIF('1.연간시수표'!V78,$AY$9),COUNTIF('1.연간시수표'!V78,$AY$7)),$AY$6,IF(OR(COUNTIF('1.연간시수표'!V78,$AZ$9),COUNTIF('1.연간시수표'!V78,$AZ$7)),$AZ$6,IF(OR(COUNTIF('1.연간시수표'!V78,$BA$9),COUNTIF('1.연간시수표'!V78,$BA$7)),$BA$6,IF(OR(COUNTIF('1.연간시수표'!V78,$BB$9),COUNTIF('1.연간시수표'!V78,$BB$7)),$BB$6,IF(OR(COUNTIF('1.연간시수표'!V78,$BC$9),COUNTIF('1.연간시수표'!V78,$BC$7)),$BC$6,IF(OR(COUNTIF('1.연간시수표'!V78,$BF$9),COUNTIF('1.연간시수표'!V78,$BF$7),COUNTIF('1.연간시수표'!V78,$BG$9),COUNTIF('1.연간시수표'!V78,$BG$7),COUNTIF('1.연간시수표'!V78,$BH$9),COUNTIF('1.연간시수표'!V78,$BH$7),COUNTIF('1.연간시수표'!V78,$BI$9),COUNTIF('1.연간시수표'!V78,$BI$7),COUNTIF('1.연간시수표'!V78,$BJ$9),COUNTIF('1.연간시수표'!V78,$BJ$7),COUNTIF('1.연간시수표'!V78,$BK$9),COUNTIF('1.연간시수표'!V78,$BK$7),COUNTIF('1.연간시수표'!V78,$BL$9),COUNTIF('1.연간시수표'!V78,$BL$7),COUNTIF('1.연간시수표'!V78,$BM$9),COUNTIF('1.연간시수표'!V78,$BM$7)),$BF$6,IF(OR(COUNTIF('1.연간시수표'!V78,$BO$9),COUNTIF('1.연간시수표'!V78,$BO$7)),$BO$6,IF(OR(COUNTIF('1.연간시수표'!V78,$BP$9),COUNTIF('1.연간시수표'!V78,$BP$7)),$BP$6,IF(OR(COUNTIF('1.연간시수표'!V78,$BQ$9),COUNTIF('1.연간시수표'!V78,$BQ$7)),$BQ$6,IF(OR(COUNTIF('1.연간시수표'!V78,$BR$9),COUNTIF('1.연간시수표'!V78,$BR$7)),$BR$6,"_")))))))))))))))</f>
        <v>_</v>
      </c>
      <c r="W78" s="148" t="str">
        <f>IF(OR(COUNTIF('1.연간시수표'!W78,$AT$9),COUNTIF('1.연간시수표'!W78,$AT$7)),$AT$6,IF(OR(COUNTIF('1.연간시수표'!W78,$AU$9),COUNTIF('1.연간시수표'!W78,$AU$7)),$AU$6,IF(OR(COUNTIF('1.연간시수표'!W78,$AV$9),COUNTIF('1.연간시수표'!W78,$AV$7)),$AV$6,IF(OR(COUNTIF('1.연간시수표'!W78,$AW$9),COUNTIF('1.연간시수표'!W78,$AW$7)),$AW$6,IF(OR(COUNTIF('1.연간시수표'!W78,$AX$9),COUNTIF('1.연간시수표'!W78,$AX$7)),$AX$6,IF(OR(COUNTIF('1.연간시수표'!W78,$AY$9),COUNTIF('1.연간시수표'!W78,$AY$7)),$AY$6,IF(OR(COUNTIF('1.연간시수표'!W78,$AZ$9),COUNTIF('1.연간시수표'!W78,$AZ$7)),$AZ$6,IF(OR(COUNTIF('1.연간시수표'!W78,$BA$9),COUNTIF('1.연간시수표'!W78,$BA$7)),$BA$6,IF(OR(COUNTIF('1.연간시수표'!W78,$BB$9),COUNTIF('1.연간시수표'!W78,$BB$7)),$BB$6,IF(OR(COUNTIF('1.연간시수표'!W78,$BC$9),COUNTIF('1.연간시수표'!W78,$BC$7)),$BC$6,IF(OR(COUNTIF('1.연간시수표'!W78,$BF$9),COUNTIF('1.연간시수표'!W78,$BF$7),COUNTIF('1.연간시수표'!W78,$BG$9),COUNTIF('1.연간시수표'!W78,$BG$7),COUNTIF('1.연간시수표'!W78,$BH$9),COUNTIF('1.연간시수표'!W78,$BH$7),COUNTIF('1.연간시수표'!W78,$BI$9),COUNTIF('1.연간시수표'!W78,$BI$7),COUNTIF('1.연간시수표'!W78,$BJ$9),COUNTIF('1.연간시수표'!W78,$BJ$7),COUNTIF('1.연간시수표'!W78,$BK$9),COUNTIF('1.연간시수표'!W78,$BK$7),COUNTIF('1.연간시수표'!W78,$BL$9),COUNTIF('1.연간시수표'!W78,$BL$7),COUNTIF('1.연간시수표'!W78,$BM$9),COUNTIF('1.연간시수표'!W78,$BM$7)),$BF$6,IF(OR(COUNTIF('1.연간시수표'!W78,$BO$9),COUNTIF('1.연간시수표'!W78,$BO$7)),$BO$6,IF(OR(COUNTIF('1.연간시수표'!W78,$BP$9),COUNTIF('1.연간시수표'!W78,$BP$7)),$BP$6,IF(OR(COUNTIF('1.연간시수표'!W78,$BQ$9),COUNTIF('1.연간시수표'!W78,$BQ$7)),$BQ$6,IF(OR(COUNTIF('1.연간시수표'!W78,$BR$9),COUNTIF('1.연간시수표'!W78,$BR$7)),$BR$6,"_")))))))))))))))</f>
        <v>_</v>
      </c>
      <c r="X78" s="148" t="str">
        <f>IF(OR(COUNTIF('1.연간시수표'!X78,$AT$9),COUNTIF('1.연간시수표'!X78,$AT$7)),$AT$6,IF(OR(COUNTIF('1.연간시수표'!X78,$AU$9),COUNTIF('1.연간시수표'!X78,$AU$7)),$AU$6,IF(OR(COUNTIF('1.연간시수표'!X78,$AV$9),COUNTIF('1.연간시수표'!X78,$AV$7)),$AV$6,IF(OR(COUNTIF('1.연간시수표'!X78,$AW$9),COUNTIF('1.연간시수표'!X78,$AW$7)),$AW$6,IF(OR(COUNTIF('1.연간시수표'!X78,$AX$9),COUNTIF('1.연간시수표'!X78,$AX$7)),$AX$6,IF(OR(COUNTIF('1.연간시수표'!X78,$AY$9),COUNTIF('1.연간시수표'!X78,$AY$7)),$AY$6,IF(OR(COUNTIF('1.연간시수표'!X78,$AZ$9),COUNTIF('1.연간시수표'!X78,$AZ$7)),$AZ$6,IF(OR(COUNTIF('1.연간시수표'!X78,$BA$9),COUNTIF('1.연간시수표'!X78,$BA$7)),$BA$6,IF(OR(COUNTIF('1.연간시수표'!X78,$BB$9),COUNTIF('1.연간시수표'!X78,$BB$7)),$BB$6,IF(OR(COUNTIF('1.연간시수표'!X78,$BC$9),COUNTIF('1.연간시수표'!X78,$BC$7)),$BC$6,IF(OR(COUNTIF('1.연간시수표'!X78,$BF$9),COUNTIF('1.연간시수표'!X78,$BF$7),COUNTIF('1.연간시수표'!X78,$BG$9),COUNTIF('1.연간시수표'!X78,$BG$7),COUNTIF('1.연간시수표'!X78,$BH$9),COUNTIF('1.연간시수표'!X78,$BH$7),COUNTIF('1.연간시수표'!X78,$BI$9),COUNTIF('1.연간시수표'!X78,$BI$7),COUNTIF('1.연간시수표'!X78,$BJ$9),COUNTIF('1.연간시수표'!X78,$BJ$7),COUNTIF('1.연간시수표'!X78,$BK$9),COUNTIF('1.연간시수표'!X78,$BK$7),COUNTIF('1.연간시수표'!X78,$BL$9),COUNTIF('1.연간시수표'!X78,$BL$7),COUNTIF('1.연간시수표'!X78,$BM$9),COUNTIF('1.연간시수표'!X78,$BM$7)),$BF$6,IF(OR(COUNTIF('1.연간시수표'!X78,$BO$9),COUNTIF('1.연간시수표'!X78,$BO$7)),$BO$6,IF(OR(COUNTIF('1.연간시수표'!X78,$BP$9),COUNTIF('1.연간시수표'!X78,$BP$7)),$BP$6,IF(OR(COUNTIF('1.연간시수표'!X78,$BQ$9),COUNTIF('1.연간시수표'!X78,$BQ$7)),$BQ$6,IF(OR(COUNTIF('1.연간시수표'!X78,$BR$9),COUNTIF('1.연간시수표'!X78,$BR$7)),$BR$6,"_")))))))))))))))</f>
        <v>_</v>
      </c>
      <c r="Y78" s="148" t="str">
        <f>IF(OR(COUNTIF('1.연간시수표'!Y78,$AT$9),COUNTIF('1.연간시수표'!Y78,$AT$7)),$AT$6,IF(OR(COUNTIF('1.연간시수표'!Y78,$AU$9),COUNTIF('1.연간시수표'!Y78,$AU$7)),$AU$6,IF(OR(COUNTIF('1.연간시수표'!Y78,$AV$9),COUNTIF('1.연간시수표'!Y78,$AV$7)),$AV$6,IF(OR(COUNTIF('1.연간시수표'!Y78,$AW$9),COUNTIF('1.연간시수표'!Y78,$AW$7)),$AW$6,IF(OR(COUNTIF('1.연간시수표'!Y78,$AX$9),COUNTIF('1.연간시수표'!Y78,$AX$7)),$AX$6,IF(OR(COUNTIF('1.연간시수표'!Y78,$AY$9),COUNTIF('1.연간시수표'!Y78,$AY$7)),$AY$6,IF(OR(COUNTIF('1.연간시수표'!Y78,$AZ$9),COUNTIF('1.연간시수표'!Y78,$AZ$7)),$AZ$6,IF(OR(COUNTIF('1.연간시수표'!Y78,$BA$9),COUNTIF('1.연간시수표'!Y78,$BA$7)),$BA$6,IF(OR(COUNTIF('1.연간시수표'!Y78,$BB$9),COUNTIF('1.연간시수표'!Y78,$BB$7)),$BB$6,IF(OR(COUNTIF('1.연간시수표'!Y78,$BC$9),COUNTIF('1.연간시수표'!Y78,$BC$7)),$BC$6,IF(OR(COUNTIF('1.연간시수표'!Y78,$BF$9),COUNTIF('1.연간시수표'!Y78,$BF$7),COUNTIF('1.연간시수표'!Y78,$BG$9),COUNTIF('1.연간시수표'!Y78,$BG$7),COUNTIF('1.연간시수표'!Y78,$BH$9),COUNTIF('1.연간시수표'!Y78,$BH$7),COUNTIF('1.연간시수표'!Y78,$BI$9),COUNTIF('1.연간시수표'!Y78,$BI$7),COUNTIF('1.연간시수표'!Y78,$BJ$9),COUNTIF('1.연간시수표'!Y78,$BJ$7),COUNTIF('1.연간시수표'!Y78,$BK$9),COUNTIF('1.연간시수표'!Y78,$BK$7),COUNTIF('1.연간시수표'!Y78,$BL$9),COUNTIF('1.연간시수표'!Y78,$BL$7),COUNTIF('1.연간시수표'!Y78,$BM$9),COUNTIF('1.연간시수표'!Y78,$BM$7)),$BF$6,IF(OR(COUNTIF('1.연간시수표'!Y78,$BO$9),COUNTIF('1.연간시수표'!Y78,$BO$7)),$BO$6,IF(OR(COUNTIF('1.연간시수표'!Y78,$BP$9),COUNTIF('1.연간시수표'!Y78,$BP$7)),$BP$6,IF(OR(COUNTIF('1.연간시수표'!Y78,$BQ$9),COUNTIF('1.연간시수표'!Y78,$BQ$7)),$BQ$6,IF(OR(COUNTIF('1.연간시수표'!Y78,$BR$9),COUNTIF('1.연간시수표'!Y78,$BR$7)),$BR$6,"_")))))))))))))))</f>
        <v>_</v>
      </c>
      <c r="Z78" s="148" t="str">
        <f>IF(OR(COUNTIF('1.연간시수표'!Z78,$AT$9),COUNTIF('1.연간시수표'!Z78,$AT$7)),$AT$6,IF(OR(COUNTIF('1.연간시수표'!Z78,$AU$9),COUNTIF('1.연간시수표'!Z78,$AU$7)),$AU$6,IF(OR(COUNTIF('1.연간시수표'!Z78,$AV$9),COUNTIF('1.연간시수표'!Z78,$AV$7)),$AV$6,IF(OR(COUNTIF('1.연간시수표'!Z78,$AW$9),COUNTIF('1.연간시수표'!Z78,$AW$7)),$AW$6,IF(OR(COUNTIF('1.연간시수표'!Z78,$AX$9),COUNTIF('1.연간시수표'!Z78,$AX$7)),$AX$6,IF(OR(COUNTIF('1.연간시수표'!Z78,$AY$9),COUNTIF('1.연간시수표'!Z78,$AY$7)),$AY$6,IF(OR(COUNTIF('1.연간시수표'!Z78,$AZ$9),COUNTIF('1.연간시수표'!Z78,$AZ$7)),$AZ$6,IF(OR(COUNTIF('1.연간시수표'!Z78,$BA$9),COUNTIF('1.연간시수표'!Z78,$BA$7)),$BA$6,IF(OR(COUNTIF('1.연간시수표'!Z78,$BB$9),COUNTIF('1.연간시수표'!Z78,$BB$7)),$BB$6,IF(OR(COUNTIF('1.연간시수표'!Z78,$BC$9),COUNTIF('1.연간시수표'!Z78,$BC$7)),$BC$6,IF(OR(COUNTIF('1.연간시수표'!Z78,$BF$9),COUNTIF('1.연간시수표'!Z78,$BF$7),COUNTIF('1.연간시수표'!Z78,$BG$9),COUNTIF('1.연간시수표'!Z78,$BG$7),COUNTIF('1.연간시수표'!Z78,$BH$9),COUNTIF('1.연간시수표'!Z78,$BH$7),COUNTIF('1.연간시수표'!Z78,$BI$9),COUNTIF('1.연간시수표'!Z78,$BI$7),COUNTIF('1.연간시수표'!Z78,$BJ$9),COUNTIF('1.연간시수표'!Z78,$BJ$7),COUNTIF('1.연간시수표'!Z78,$BK$9),COUNTIF('1.연간시수표'!Z78,$BK$7),COUNTIF('1.연간시수표'!Z78,$BL$9),COUNTIF('1.연간시수표'!Z78,$BL$7),COUNTIF('1.연간시수표'!Z78,$BM$9),COUNTIF('1.연간시수표'!Z78,$BM$7)),$BF$6,IF(OR(COUNTIF('1.연간시수표'!Z78,$BO$9),COUNTIF('1.연간시수표'!Z78,$BO$7)),$BO$6,IF(OR(COUNTIF('1.연간시수표'!Z78,$BP$9),COUNTIF('1.연간시수표'!Z78,$BP$7)),$BP$6,IF(OR(COUNTIF('1.연간시수표'!Z78,$BQ$9),COUNTIF('1.연간시수표'!Z78,$BQ$7)),$BQ$6,IF(OR(COUNTIF('1.연간시수표'!Z78,$BR$9),COUNTIF('1.연간시수표'!Z78,$BR$7)),$BR$6,"_")))))))))))))))</f>
        <v>_</v>
      </c>
      <c r="AA78" s="148" t="str">
        <f>IF(OR(COUNTIF('1.연간시수표'!AA78,$AT$9),COUNTIF('1.연간시수표'!AA78,$AT$7)),$AT$6,IF(OR(COUNTIF('1.연간시수표'!AA78,$AU$9),COUNTIF('1.연간시수표'!AA78,$AU$7)),$AU$6,IF(OR(COUNTIF('1.연간시수표'!AA78,$AV$9),COUNTIF('1.연간시수표'!AA78,$AV$7)),$AV$6,IF(OR(COUNTIF('1.연간시수표'!AA78,$AW$9),COUNTIF('1.연간시수표'!AA78,$AW$7)),$AW$6,IF(OR(COUNTIF('1.연간시수표'!AA78,$AX$9),COUNTIF('1.연간시수표'!AA78,$AX$7)),$AX$6,IF(OR(COUNTIF('1.연간시수표'!AA78,$AY$9),COUNTIF('1.연간시수표'!AA78,$AY$7)),$AY$6,IF(OR(COUNTIF('1.연간시수표'!AA78,$AZ$9),COUNTIF('1.연간시수표'!AA78,$AZ$7)),$AZ$6,IF(OR(COUNTIF('1.연간시수표'!AA78,$BA$9),COUNTIF('1.연간시수표'!AA78,$BA$7)),$BA$6,IF(OR(COUNTIF('1.연간시수표'!AA78,$BB$9),COUNTIF('1.연간시수표'!AA78,$BB$7)),$BB$6,IF(OR(COUNTIF('1.연간시수표'!AA78,$BC$9),COUNTIF('1.연간시수표'!AA78,$BC$7)),$BC$6,IF(OR(COUNTIF('1.연간시수표'!AA78,$BF$9),COUNTIF('1.연간시수표'!AA78,$BF$7),COUNTIF('1.연간시수표'!AA78,$BG$9),COUNTIF('1.연간시수표'!AA78,$BG$7),COUNTIF('1.연간시수표'!AA78,$BH$9),COUNTIF('1.연간시수표'!AA78,$BH$7),COUNTIF('1.연간시수표'!AA78,$BI$9),COUNTIF('1.연간시수표'!AA78,$BI$7),COUNTIF('1.연간시수표'!AA78,$BJ$9),COUNTIF('1.연간시수표'!AA78,$BJ$7),COUNTIF('1.연간시수표'!AA78,$BK$9),COUNTIF('1.연간시수표'!AA78,$BK$7),COUNTIF('1.연간시수표'!AA78,$BL$9),COUNTIF('1.연간시수표'!AA78,$BL$7),COUNTIF('1.연간시수표'!AA78,$BM$9),COUNTIF('1.연간시수표'!AA78,$BM$7)),$BF$6,IF(OR(COUNTIF('1.연간시수표'!AA78,$BO$9),COUNTIF('1.연간시수표'!AA78,$BO$7)),$BO$6,IF(OR(COUNTIF('1.연간시수표'!AA78,$BP$9),COUNTIF('1.연간시수표'!AA78,$BP$7)),$BP$6,IF(OR(COUNTIF('1.연간시수표'!AA78,$BQ$9),COUNTIF('1.연간시수표'!AA78,$BQ$7)),$BQ$6,IF(OR(COUNTIF('1.연간시수표'!AA78,$BR$9),COUNTIF('1.연간시수표'!AA78,$BR$7)),$BR$6,"_")))))))))))))))</f>
        <v>_</v>
      </c>
      <c r="AB78" s="148" t="str">
        <f>IF(OR(COUNTIF('1.연간시수표'!AB78,$AT$9),COUNTIF('1.연간시수표'!AB78,$AT$7)),$AT$6,IF(OR(COUNTIF('1.연간시수표'!AB78,$AU$9),COUNTIF('1.연간시수표'!AB78,$AU$7)),$AU$6,IF(OR(COUNTIF('1.연간시수표'!AB78,$AV$9),COUNTIF('1.연간시수표'!AB78,$AV$7)),$AV$6,IF(OR(COUNTIF('1.연간시수표'!AB78,$AW$9),COUNTIF('1.연간시수표'!AB78,$AW$7)),$AW$6,IF(OR(COUNTIF('1.연간시수표'!AB78,$AX$9),COUNTIF('1.연간시수표'!AB78,$AX$7)),$AX$6,IF(OR(COUNTIF('1.연간시수표'!AB78,$AY$9),COUNTIF('1.연간시수표'!AB78,$AY$7)),$AY$6,IF(OR(COUNTIF('1.연간시수표'!AB78,$AZ$9),COUNTIF('1.연간시수표'!AB78,$AZ$7)),$AZ$6,IF(OR(COUNTIF('1.연간시수표'!AB78,$BA$9),COUNTIF('1.연간시수표'!AB78,$BA$7)),$BA$6,IF(OR(COUNTIF('1.연간시수표'!AB78,$BB$9),COUNTIF('1.연간시수표'!AB78,$BB$7)),$BB$6,IF(OR(COUNTIF('1.연간시수표'!AB78,$BC$9),COUNTIF('1.연간시수표'!AB78,$BC$7)),$BC$6,IF(OR(COUNTIF('1.연간시수표'!AB78,$BF$9),COUNTIF('1.연간시수표'!AB78,$BF$7),COUNTIF('1.연간시수표'!AB78,$BG$9),COUNTIF('1.연간시수표'!AB78,$BG$7),COUNTIF('1.연간시수표'!AB78,$BH$9),COUNTIF('1.연간시수표'!AB78,$BH$7),COUNTIF('1.연간시수표'!AB78,$BI$9),COUNTIF('1.연간시수표'!AB78,$BI$7),COUNTIF('1.연간시수표'!AB78,$BJ$9),COUNTIF('1.연간시수표'!AB78,$BJ$7),COUNTIF('1.연간시수표'!AB78,$BK$9),COUNTIF('1.연간시수표'!AB78,$BK$7),COUNTIF('1.연간시수표'!AB78,$BL$9),COUNTIF('1.연간시수표'!AB78,$BL$7),COUNTIF('1.연간시수표'!AB78,$BM$9),COUNTIF('1.연간시수표'!AB78,$BM$7)),$BF$6,IF(OR(COUNTIF('1.연간시수표'!AB78,$BO$9),COUNTIF('1.연간시수표'!AB78,$BO$7)),$BO$6,IF(OR(COUNTIF('1.연간시수표'!AB78,$BP$9),COUNTIF('1.연간시수표'!AB78,$BP$7)),$BP$6,IF(OR(COUNTIF('1.연간시수표'!AB78,$BQ$9),COUNTIF('1.연간시수표'!AB78,$BQ$7)),$BQ$6,IF(OR(COUNTIF('1.연간시수표'!AB78,$BR$9),COUNTIF('1.연간시수표'!AB78,$BR$7)),$BR$6,"_")))))))))))))))</f>
        <v>_</v>
      </c>
      <c r="AC78" s="148" t="str">
        <f>IF(OR(COUNTIF('1.연간시수표'!AC78,$AT$9),COUNTIF('1.연간시수표'!AC78,$AT$7)),$AT$6,IF(OR(COUNTIF('1.연간시수표'!AC78,$AU$9),COUNTIF('1.연간시수표'!AC78,$AU$7)),$AU$6,IF(OR(COUNTIF('1.연간시수표'!AC78,$AV$9),COUNTIF('1.연간시수표'!AC78,$AV$7)),$AV$6,IF(OR(COUNTIF('1.연간시수표'!AC78,$AW$9),COUNTIF('1.연간시수표'!AC78,$AW$7)),$AW$6,IF(OR(COUNTIF('1.연간시수표'!AC78,$AX$9),COUNTIF('1.연간시수표'!AC78,$AX$7)),$AX$6,IF(OR(COUNTIF('1.연간시수표'!AC78,$AY$9),COUNTIF('1.연간시수표'!AC78,$AY$7)),$AY$6,IF(OR(COUNTIF('1.연간시수표'!AC78,$AZ$9),COUNTIF('1.연간시수표'!AC78,$AZ$7)),$AZ$6,IF(OR(COUNTIF('1.연간시수표'!AC78,$BA$9),COUNTIF('1.연간시수표'!AC78,$BA$7)),$BA$6,IF(OR(COUNTIF('1.연간시수표'!AC78,$BB$9),COUNTIF('1.연간시수표'!AC78,$BB$7)),$BB$6,IF(OR(COUNTIF('1.연간시수표'!AC78,$BC$9),COUNTIF('1.연간시수표'!AC78,$BC$7)),$BC$6,IF(OR(COUNTIF('1.연간시수표'!AC78,$BF$9),COUNTIF('1.연간시수표'!AC78,$BF$7),COUNTIF('1.연간시수표'!AC78,$BG$9),COUNTIF('1.연간시수표'!AC78,$BG$7),COUNTIF('1.연간시수표'!AC78,$BH$9),COUNTIF('1.연간시수표'!AC78,$BH$7),COUNTIF('1.연간시수표'!AC78,$BI$9),COUNTIF('1.연간시수표'!AC78,$BI$7),COUNTIF('1.연간시수표'!AC78,$BJ$9),COUNTIF('1.연간시수표'!AC78,$BJ$7),COUNTIF('1.연간시수표'!AC78,$BK$9),COUNTIF('1.연간시수표'!AC78,$BK$7),COUNTIF('1.연간시수표'!AC78,$BL$9),COUNTIF('1.연간시수표'!AC78,$BL$7),COUNTIF('1.연간시수표'!AC78,$BM$9),COUNTIF('1.연간시수표'!AC78,$BM$7)),$BF$6,IF(OR(COUNTIF('1.연간시수표'!AC78,$BO$9),COUNTIF('1.연간시수표'!AC78,$BO$7)),$BO$6,IF(OR(COUNTIF('1.연간시수표'!AC78,$BP$9),COUNTIF('1.연간시수표'!AC78,$BP$7)),$BP$6,IF(OR(COUNTIF('1.연간시수표'!AC78,$BQ$9),COUNTIF('1.연간시수표'!AC78,$BQ$7)),$BQ$6,IF(OR(COUNTIF('1.연간시수표'!AC78,$BR$9),COUNTIF('1.연간시수표'!AC78,$BR$7)),$BR$6,"_")))))))))))))))</f>
        <v>_</v>
      </c>
      <c r="AD78" s="148" t="str">
        <f>IF(OR(COUNTIF('1.연간시수표'!AD78,$AT$9),COUNTIF('1.연간시수표'!AD78,$AT$7)),$AT$6,IF(OR(COUNTIF('1.연간시수표'!AD78,$AU$9),COUNTIF('1.연간시수표'!AD78,$AU$7)),$AU$6,IF(OR(COUNTIF('1.연간시수표'!AD78,$AV$9),COUNTIF('1.연간시수표'!AD78,$AV$7)),$AV$6,IF(OR(COUNTIF('1.연간시수표'!AD78,$AW$9),COUNTIF('1.연간시수표'!AD78,$AW$7)),$AW$6,IF(OR(COUNTIF('1.연간시수표'!AD78,$AX$9),COUNTIF('1.연간시수표'!AD78,$AX$7)),$AX$6,IF(OR(COUNTIF('1.연간시수표'!AD78,$AY$9),COUNTIF('1.연간시수표'!AD78,$AY$7)),$AY$6,IF(OR(COUNTIF('1.연간시수표'!AD78,$AZ$9),COUNTIF('1.연간시수표'!AD78,$AZ$7)),$AZ$6,IF(OR(COUNTIF('1.연간시수표'!AD78,$BA$9),COUNTIF('1.연간시수표'!AD78,$BA$7)),$BA$6,IF(OR(COUNTIF('1.연간시수표'!AD78,$BB$9),COUNTIF('1.연간시수표'!AD78,$BB$7)),$BB$6,IF(OR(COUNTIF('1.연간시수표'!AD78,$BC$9),COUNTIF('1.연간시수표'!AD78,$BC$7)),$BC$6,IF(OR(COUNTIF('1.연간시수표'!AD78,$BF$9),COUNTIF('1.연간시수표'!AD78,$BF$7),COUNTIF('1.연간시수표'!AD78,$BG$9),COUNTIF('1.연간시수표'!AD78,$BG$7),COUNTIF('1.연간시수표'!AD78,$BH$9),COUNTIF('1.연간시수표'!AD78,$BH$7),COUNTIF('1.연간시수표'!AD78,$BI$9),COUNTIF('1.연간시수표'!AD78,$BI$7),COUNTIF('1.연간시수표'!AD78,$BJ$9),COUNTIF('1.연간시수표'!AD78,$BJ$7),COUNTIF('1.연간시수표'!AD78,$BK$9),COUNTIF('1.연간시수표'!AD78,$BK$7),COUNTIF('1.연간시수표'!AD78,$BL$9),COUNTIF('1.연간시수표'!AD78,$BL$7),COUNTIF('1.연간시수표'!AD78,$BM$9),COUNTIF('1.연간시수표'!AD78,$BM$7)),$BF$6,IF(OR(COUNTIF('1.연간시수표'!AD78,$BO$9),COUNTIF('1.연간시수표'!AD78,$BO$7)),$BO$6,IF(OR(COUNTIF('1.연간시수표'!AD78,$BP$9),COUNTIF('1.연간시수표'!AD78,$BP$7)),$BP$6,IF(OR(COUNTIF('1.연간시수표'!AD78,$BQ$9),COUNTIF('1.연간시수표'!AD78,$BQ$7)),$BQ$6,IF(OR(COUNTIF('1.연간시수표'!AD78,$BR$9),COUNTIF('1.연간시수표'!AD78,$BR$7)),$BR$6,"_")))))))))))))))</f>
        <v>_</v>
      </c>
      <c r="AE78" s="148" t="str">
        <f>IF(OR(COUNTIF('1.연간시수표'!AE78,$AT$9),COUNTIF('1.연간시수표'!AE78,$AT$7)),$AT$6,IF(OR(COUNTIF('1.연간시수표'!AE78,$AU$9),COUNTIF('1.연간시수표'!AE78,$AU$7)),$AU$6,IF(OR(COUNTIF('1.연간시수표'!AE78,$AV$9),COUNTIF('1.연간시수표'!AE78,$AV$7)),$AV$6,IF(OR(COUNTIF('1.연간시수표'!AE78,$AW$9),COUNTIF('1.연간시수표'!AE78,$AW$7)),$AW$6,IF(OR(COUNTIF('1.연간시수표'!AE78,$AX$9),COUNTIF('1.연간시수표'!AE78,$AX$7)),$AX$6,IF(OR(COUNTIF('1.연간시수표'!AE78,$AY$9),COUNTIF('1.연간시수표'!AE78,$AY$7)),$AY$6,IF(OR(COUNTIF('1.연간시수표'!AE78,$AZ$9),COUNTIF('1.연간시수표'!AE78,$AZ$7)),$AZ$6,IF(OR(COUNTIF('1.연간시수표'!AE78,$BA$9),COUNTIF('1.연간시수표'!AE78,$BA$7)),$BA$6,IF(OR(COUNTIF('1.연간시수표'!AE78,$BB$9),COUNTIF('1.연간시수표'!AE78,$BB$7)),$BB$6,IF(OR(COUNTIF('1.연간시수표'!AE78,$BC$9),COUNTIF('1.연간시수표'!AE78,$BC$7)),$BC$6,IF(OR(COUNTIF('1.연간시수표'!AE78,$BF$9),COUNTIF('1.연간시수표'!AE78,$BF$7),COUNTIF('1.연간시수표'!AE78,$BG$9),COUNTIF('1.연간시수표'!AE78,$BG$7),COUNTIF('1.연간시수표'!AE78,$BH$9),COUNTIF('1.연간시수표'!AE78,$BH$7),COUNTIF('1.연간시수표'!AE78,$BI$9),COUNTIF('1.연간시수표'!AE78,$BI$7),COUNTIF('1.연간시수표'!AE78,$BJ$9),COUNTIF('1.연간시수표'!AE78,$BJ$7),COUNTIF('1.연간시수표'!AE78,$BK$9),COUNTIF('1.연간시수표'!AE78,$BK$7),COUNTIF('1.연간시수표'!AE78,$BL$9),COUNTIF('1.연간시수표'!AE78,$BL$7),COUNTIF('1.연간시수표'!AE78,$BM$9),COUNTIF('1.연간시수표'!AE78,$BM$7)),$BF$6,IF(OR(COUNTIF('1.연간시수표'!AE78,$BO$9),COUNTIF('1.연간시수표'!AE78,$BO$7)),$BO$6,IF(OR(COUNTIF('1.연간시수표'!AE78,$BP$9),COUNTIF('1.연간시수표'!AE78,$BP$7)),$BP$6,IF(OR(COUNTIF('1.연간시수표'!AE78,$BQ$9),COUNTIF('1.연간시수표'!AE78,$BQ$7)),$BQ$6,IF(OR(COUNTIF('1.연간시수표'!AE78,$BR$9),COUNTIF('1.연간시수표'!AE78,$BR$7)),$BR$6,"_")))))))))))))))</f>
        <v>_</v>
      </c>
      <c r="AF78" s="148" t="str">
        <f>IF(OR(COUNTIF('1.연간시수표'!AF78,$AT$9),COUNTIF('1.연간시수표'!AF78,$AT$7)),$AT$6,IF(OR(COUNTIF('1.연간시수표'!AF78,$AU$9),COUNTIF('1.연간시수표'!AF78,$AU$7)),$AU$6,IF(OR(COUNTIF('1.연간시수표'!AF78,$AV$9),COUNTIF('1.연간시수표'!AF78,$AV$7)),$AV$6,IF(OR(COUNTIF('1.연간시수표'!AF78,$AW$9),COUNTIF('1.연간시수표'!AF78,$AW$7)),$AW$6,IF(OR(COUNTIF('1.연간시수표'!AF78,$AX$9),COUNTIF('1.연간시수표'!AF78,$AX$7)),$AX$6,IF(OR(COUNTIF('1.연간시수표'!AF78,$AY$9),COUNTIF('1.연간시수표'!AF78,$AY$7)),$AY$6,IF(OR(COUNTIF('1.연간시수표'!AF78,$AZ$9),COUNTIF('1.연간시수표'!AF78,$AZ$7)),$AZ$6,IF(OR(COUNTIF('1.연간시수표'!AF78,$BA$9),COUNTIF('1.연간시수표'!AF78,$BA$7)),$BA$6,IF(OR(COUNTIF('1.연간시수표'!AF78,$BB$9),COUNTIF('1.연간시수표'!AF78,$BB$7)),$BB$6,IF(OR(COUNTIF('1.연간시수표'!AF78,$BC$9),COUNTIF('1.연간시수표'!AF78,$BC$7)),$BC$6,IF(OR(COUNTIF('1.연간시수표'!AF78,$BF$9),COUNTIF('1.연간시수표'!AF78,$BF$7),COUNTIF('1.연간시수표'!AF78,$BG$9),COUNTIF('1.연간시수표'!AF78,$BG$7),COUNTIF('1.연간시수표'!AF78,$BH$9),COUNTIF('1.연간시수표'!AF78,$BH$7),COUNTIF('1.연간시수표'!AF78,$BI$9),COUNTIF('1.연간시수표'!AF78,$BI$7),COUNTIF('1.연간시수표'!AF78,$BJ$9),COUNTIF('1.연간시수표'!AF78,$BJ$7),COUNTIF('1.연간시수표'!AF78,$BK$9),COUNTIF('1.연간시수표'!AF78,$BK$7),COUNTIF('1.연간시수표'!AF78,$BL$9),COUNTIF('1.연간시수표'!AF78,$BL$7),COUNTIF('1.연간시수표'!AF78,$BM$9),COUNTIF('1.연간시수표'!AF78,$BM$7)),$BF$6,IF(OR(COUNTIF('1.연간시수표'!AF78,$BO$9),COUNTIF('1.연간시수표'!AF78,$BO$7)),$BO$6,IF(OR(COUNTIF('1.연간시수표'!AF78,$BP$9),COUNTIF('1.연간시수표'!AF78,$BP$7)),$BP$6,IF(OR(COUNTIF('1.연간시수표'!AF78,$BQ$9),COUNTIF('1.연간시수표'!AF78,$BQ$7)),$BQ$6,IF(OR(COUNTIF('1.연간시수표'!AF78,$BR$9),COUNTIF('1.연간시수표'!AF78,$BR$7)),$BR$6,"_")))))))))))))))</f>
        <v>_</v>
      </c>
      <c r="AG78" s="148" t="str">
        <f>IF(OR(COUNTIF('1.연간시수표'!AG78,$AT$9),COUNTIF('1.연간시수표'!AG78,$AT$7)),$AT$6,IF(OR(COUNTIF('1.연간시수표'!AG78,$AU$9),COUNTIF('1.연간시수표'!AG78,$AU$7)),$AU$6,IF(OR(COUNTIF('1.연간시수표'!AG78,$AV$9),COUNTIF('1.연간시수표'!AG78,$AV$7)),$AV$6,IF(OR(COUNTIF('1.연간시수표'!AG78,$AW$9),COUNTIF('1.연간시수표'!AG78,$AW$7)),$AW$6,IF(OR(COUNTIF('1.연간시수표'!AG78,$AX$9),COUNTIF('1.연간시수표'!AG78,$AX$7)),$AX$6,IF(OR(COUNTIF('1.연간시수표'!AG78,$AY$9),COUNTIF('1.연간시수표'!AG78,$AY$7)),$AY$6,IF(OR(COUNTIF('1.연간시수표'!AG78,$AZ$9),COUNTIF('1.연간시수표'!AG78,$AZ$7)),$AZ$6,IF(OR(COUNTIF('1.연간시수표'!AG78,$BA$9),COUNTIF('1.연간시수표'!AG78,$BA$7)),$BA$6,IF(OR(COUNTIF('1.연간시수표'!AG78,$BB$9),COUNTIF('1.연간시수표'!AG78,$BB$7)),$BB$6,IF(OR(COUNTIF('1.연간시수표'!AG78,$BC$9),COUNTIF('1.연간시수표'!AG78,$BC$7)),$BC$6,IF(OR(COUNTIF('1.연간시수표'!AG78,$BF$9),COUNTIF('1.연간시수표'!AG78,$BF$7),COUNTIF('1.연간시수표'!AG78,$BG$9),COUNTIF('1.연간시수표'!AG78,$BG$7),COUNTIF('1.연간시수표'!AG78,$BH$9),COUNTIF('1.연간시수표'!AG78,$BH$7),COUNTIF('1.연간시수표'!AG78,$BI$9),COUNTIF('1.연간시수표'!AG78,$BI$7),COUNTIF('1.연간시수표'!AG78,$BJ$9),COUNTIF('1.연간시수표'!AG78,$BJ$7),COUNTIF('1.연간시수표'!AG78,$BK$9),COUNTIF('1.연간시수표'!AG78,$BK$7),COUNTIF('1.연간시수표'!AG78,$BL$9),COUNTIF('1.연간시수표'!AG78,$BL$7),COUNTIF('1.연간시수표'!AG78,$BM$9),COUNTIF('1.연간시수표'!AG78,$BM$7)),$BF$6,IF(OR(COUNTIF('1.연간시수표'!AG78,$BO$9),COUNTIF('1.연간시수표'!AG78,$BO$7)),$BO$6,IF(OR(COUNTIF('1.연간시수표'!AG78,$BP$9),COUNTIF('1.연간시수표'!AG78,$BP$7)),$BP$6,IF(OR(COUNTIF('1.연간시수표'!AG78,$BQ$9),COUNTIF('1.연간시수표'!AG78,$BQ$7)),$BQ$6,IF(OR(COUNTIF('1.연간시수표'!AG78,$BR$9),COUNTIF('1.연간시수표'!AG78,$BR$7)),$BR$6,"_")))))))))))))))</f>
        <v>_</v>
      </c>
      <c r="AH78" s="148" t="str">
        <f>IF(OR(COUNTIF('1.연간시수표'!AH78,$AT$9),COUNTIF('1.연간시수표'!AH78,$AT$7)),$AT$6,IF(OR(COUNTIF('1.연간시수표'!AH78,$AU$9),COUNTIF('1.연간시수표'!AH78,$AU$7)),$AU$6,IF(OR(COUNTIF('1.연간시수표'!AH78,$AV$9),COUNTIF('1.연간시수표'!AH78,$AV$7)),$AV$6,IF(OR(COUNTIF('1.연간시수표'!AH78,$AW$9),COUNTIF('1.연간시수표'!AH78,$AW$7)),$AW$6,IF(OR(COUNTIF('1.연간시수표'!AH78,$AX$9),COUNTIF('1.연간시수표'!AH78,$AX$7)),$AX$6,IF(OR(COUNTIF('1.연간시수표'!AH78,$AY$9),COUNTIF('1.연간시수표'!AH78,$AY$7)),$AY$6,IF(OR(COUNTIF('1.연간시수표'!AH78,$AZ$9),COUNTIF('1.연간시수표'!AH78,$AZ$7)),$AZ$6,IF(OR(COUNTIF('1.연간시수표'!AH78,$BA$9),COUNTIF('1.연간시수표'!AH78,$BA$7)),$BA$6,IF(OR(COUNTIF('1.연간시수표'!AH78,$BB$9),COUNTIF('1.연간시수표'!AH78,$BB$7)),$BB$6,IF(OR(COUNTIF('1.연간시수표'!AH78,$BC$9),COUNTIF('1.연간시수표'!AH78,$BC$7)),$BC$6,IF(OR(COUNTIF('1.연간시수표'!AH78,$BF$9),COUNTIF('1.연간시수표'!AH78,$BF$7),COUNTIF('1.연간시수표'!AH78,$BG$9),COUNTIF('1.연간시수표'!AH78,$BG$7),COUNTIF('1.연간시수표'!AH78,$BH$9),COUNTIF('1.연간시수표'!AH78,$BH$7),COUNTIF('1.연간시수표'!AH78,$BI$9),COUNTIF('1.연간시수표'!AH78,$BI$7),COUNTIF('1.연간시수표'!AH78,$BJ$9),COUNTIF('1.연간시수표'!AH78,$BJ$7),COUNTIF('1.연간시수표'!AH78,$BK$9),COUNTIF('1.연간시수표'!AH78,$BK$7),COUNTIF('1.연간시수표'!AH78,$BL$9),COUNTIF('1.연간시수표'!AH78,$BL$7),COUNTIF('1.연간시수표'!AH78,$BM$9),COUNTIF('1.연간시수표'!AH78,$BM$7)),$BF$6,IF(OR(COUNTIF('1.연간시수표'!AH78,$BO$9),COUNTIF('1.연간시수표'!AH78,$BO$7)),$BO$6,IF(OR(COUNTIF('1.연간시수표'!AH78,$BP$9),COUNTIF('1.연간시수표'!AH78,$BP$7)),$BP$6,IF(OR(COUNTIF('1.연간시수표'!AH78,$BQ$9),COUNTIF('1.연간시수표'!AH78,$BQ$7)),$BQ$6,IF(OR(COUNTIF('1.연간시수표'!AH78,$BR$9),COUNTIF('1.연간시수표'!AH78,$BR$7)),$BR$6,"_")))))))))))))))</f>
        <v>_</v>
      </c>
      <c r="AI78" s="148" t="str">
        <f>IF(OR(COUNTIF('1.연간시수표'!AI78,$AT$9),COUNTIF('1.연간시수표'!AI78,$AT$7)),$AT$6,IF(OR(COUNTIF('1.연간시수표'!AI78,$AU$9),COUNTIF('1.연간시수표'!AI78,$AU$7)),$AU$6,IF(OR(COUNTIF('1.연간시수표'!AI78,$AV$9),COUNTIF('1.연간시수표'!AI78,$AV$7)),$AV$6,IF(OR(COUNTIF('1.연간시수표'!AI78,$AW$9),COUNTIF('1.연간시수표'!AI78,$AW$7)),$AW$6,IF(OR(COUNTIF('1.연간시수표'!AI78,$AX$9),COUNTIF('1.연간시수표'!AI78,$AX$7)),$AX$6,IF(OR(COUNTIF('1.연간시수표'!AI78,$AY$9),COUNTIF('1.연간시수표'!AI78,$AY$7)),$AY$6,IF(OR(COUNTIF('1.연간시수표'!AI78,$AZ$9),COUNTIF('1.연간시수표'!AI78,$AZ$7)),$AZ$6,IF(OR(COUNTIF('1.연간시수표'!AI78,$BA$9),COUNTIF('1.연간시수표'!AI78,$BA$7)),$BA$6,IF(OR(COUNTIF('1.연간시수표'!AI78,$BB$9),COUNTIF('1.연간시수표'!AI78,$BB$7)),$BB$6,IF(OR(COUNTIF('1.연간시수표'!AI78,$BC$9),COUNTIF('1.연간시수표'!AI78,$BC$7)),$BC$6,IF(OR(COUNTIF('1.연간시수표'!AI78,$BF$9),COUNTIF('1.연간시수표'!AI78,$BF$7),COUNTIF('1.연간시수표'!AI78,$BG$9),COUNTIF('1.연간시수표'!AI78,$BG$7),COUNTIF('1.연간시수표'!AI78,$BH$9),COUNTIF('1.연간시수표'!AI78,$BH$7),COUNTIF('1.연간시수표'!AI78,$BI$9),COUNTIF('1.연간시수표'!AI78,$BI$7),COUNTIF('1.연간시수표'!AI78,$BJ$9),COUNTIF('1.연간시수표'!AI78,$BJ$7),COUNTIF('1.연간시수표'!AI78,$BK$9),COUNTIF('1.연간시수표'!AI78,$BK$7),COUNTIF('1.연간시수표'!AI78,$BL$9),COUNTIF('1.연간시수표'!AI78,$BL$7),COUNTIF('1.연간시수표'!AI78,$BM$9),COUNTIF('1.연간시수표'!AI78,$BM$7)),$BF$6,IF(OR(COUNTIF('1.연간시수표'!AI78,$BO$9),COUNTIF('1.연간시수표'!AI78,$BO$7)),$BO$6,IF(OR(COUNTIF('1.연간시수표'!AI78,$BP$9),COUNTIF('1.연간시수표'!AI78,$BP$7)),$BP$6,IF(OR(COUNTIF('1.연간시수표'!AI78,$BQ$9),COUNTIF('1.연간시수표'!AI78,$BQ$7)),$BQ$6,IF(OR(COUNTIF('1.연간시수표'!AI78,$BR$9),COUNTIF('1.연간시수표'!AI78,$BR$7)),$BR$6,"_")))))))))))))))</f>
        <v>_</v>
      </c>
      <c r="AJ78" s="148" t="str">
        <f>IF(OR(COUNTIF('1.연간시수표'!AJ78,$AT$9),COUNTIF('1.연간시수표'!AJ78,$AT$7)),$AT$6,IF(OR(COUNTIF('1.연간시수표'!AJ78,$AU$9),COUNTIF('1.연간시수표'!AJ78,$AU$7)),$AU$6,IF(OR(COUNTIF('1.연간시수표'!AJ78,$AV$9),COUNTIF('1.연간시수표'!AJ78,$AV$7)),$AV$6,IF(OR(COUNTIF('1.연간시수표'!AJ78,$AW$9),COUNTIF('1.연간시수표'!AJ78,$AW$7)),$AW$6,IF(OR(COUNTIF('1.연간시수표'!AJ78,$AX$9),COUNTIF('1.연간시수표'!AJ78,$AX$7)),$AX$6,IF(OR(COUNTIF('1.연간시수표'!AJ78,$AY$9),COUNTIF('1.연간시수표'!AJ78,$AY$7)),$AY$6,IF(OR(COUNTIF('1.연간시수표'!AJ78,$AZ$9),COUNTIF('1.연간시수표'!AJ78,$AZ$7)),$AZ$6,IF(OR(COUNTIF('1.연간시수표'!AJ78,$BA$9),COUNTIF('1.연간시수표'!AJ78,$BA$7)),$BA$6,IF(OR(COUNTIF('1.연간시수표'!AJ78,$BB$9),COUNTIF('1.연간시수표'!AJ78,$BB$7)),$BB$6,IF(OR(COUNTIF('1.연간시수표'!AJ78,$BC$9),COUNTIF('1.연간시수표'!AJ78,$BC$7)),$BC$6,IF(OR(COUNTIF('1.연간시수표'!AJ78,$BF$9),COUNTIF('1.연간시수표'!AJ78,$BF$7),COUNTIF('1.연간시수표'!AJ78,$BG$9),COUNTIF('1.연간시수표'!AJ78,$BG$7),COUNTIF('1.연간시수표'!AJ78,$BH$9),COUNTIF('1.연간시수표'!AJ78,$BH$7),COUNTIF('1.연간시수표'!AJ78,$BI$9),COUNTIF('1.연간시수표'!AJ78,$BI$7),COUNTIF('1.연간시수표'!AJ78,$BJ$9),COUNTIF('1.연간시수표'!AJ78,$BJ$7),COUNTIF('1.연간시수표'!AJ78,$BK$9),COUNTIF('1.연간시수표'!AJ78,$BK$7),COUNTIF('1.연간시수표'!AJ78,$BL$9),COUNTIF('1.연간시수표'!AJ78,$BL$7),COUNTIF('1.연간시수표'!AJ78,$BM$9),COUNTIF('1.연간시수표'!AJ78,$BM$7)),$BF$6,IF(OR(COUNTIF('1.연간시수표'!AJ78,$BO$9),COUNTIF('1.연간시수표'!AJ78,$BO$7)),$BO$6,IF(OR(COUNTIF('1.연간시수표'!AJ78,$BP$9),COUNTIF('1.연간시수표'!AJ78,$BP$7)),$BP$6,IF(OR(COUNTIF('1.연간시수표'!AJ78,$BQ$9),COUNTIF('1.연간시수표'!AJ78,$BQ$7)),$BQ$6,IF(OR(COUNTIF('1.연간시수표'!AJ78,$BR$9),COUNTIF('1.연간시수표'!AJ78,$BR$7)),$BR$6,"_")))))))))))))))</f>
        <v>_</v>
      </c>
      <c r="AK78" s="148" t="str">
        <f>IF(OR(COUNTIF('1.연간시수표'!AK78,$AT$9),COUNTIF('1.연간시수표'!AK78,$AT$7)),$AT$6,IF(OR(COUNTIF('1.연간시수표'!AK78,$AU$9),COUNTIF('1.연간시수표'!AK78,$AU$7)),$AU$6,IF(OR(COUNTIF('1.연간시수표'!AK78,$AV$9),COUNTIF('1.연간시수표'!AK78,$AV$7)),$AV$6,IF(OR(COUNTIF('1.연간시수표'!AK78,$AW$9),COUNTIF('1.연간시수표'!AK78,$AW$7)),$AW$6,IF(OR(COUNTIF('1.연간시수표'!AK78,$AX$9),COUNTIF('1.연간시수표'!AK78,$AX$7)),$AX$6,IF(OR(COUNTIF('1.연간시수표'!AK78,$AY$9),COUNTIF('1.연간시수표'!AK78,$AY$7)),$AY$6,IF(OR(COUNTIF('1.연간시수표'!AK78,$AZ$9),COUNTIF('1.연간시수표'!AK78,$AZ$7)),$AZ$6,IF(OR(COUNTIF('1.연간시수표'!AK78,$BA$9),COUNTIF('1.연간시수표'!AK78,$BA$7)),$BA$6,IF(OR(COUNTIF('1.연간시수표'!AK78,$BB$9),COUNTIF('1.연간시수표'!AK78,$BB$7)),$BB$6,IF(OR(COUNTIF('1.연간시수표'!AK78,$BC$9),COUNTIF('1.연간시수표'!AK78,$BC$7)),$BC$6,IF(OR(COUNTIF('1.연간시수표'!AK78,$BF$9),COUNTIF('1.연간시수표'!AK78,$BF$7),COUNTIF('1.연간시수표'!AK78,$BG$9),COUNTIF('1.연간시수표'!AK78,$BG$7),COUNTIF('1.연간시수표'!AK78,$BH$9),COUNTIF('1.연간시수표'!AK78,$BH$7),COUNTIF('1.연간시수표'!AK78,$BI$9),COUNTIF('1.연간시수표'!AK78,$BI$7),COUNTIF('1.연간시수표'!AK78,$BJ$9),COUNTIF('1.연간시수표'!AK78,$BJ$7),COUNTIF('1.연간시수표'!AK78,$BK$9),COUNTIF('1.연간시수표'!AK78,$BK$7),COUNTIF('1.연간시수표'!AK78,$BL$9),COUNTIF('1.연간시수표'!AK78,$BL$7),COUNTIF('1.연간시수표'!AK78,$BM$9),COUNTIF('1.연간시수표'!AK78,$BM$7)),$BF$6,IF(OR(COUNTIF('1.연간시수표'!AK78,$BO$9),COUNTIF('1.연간시수표'!AK78,$BO$7)),$BO$6,IF(OR(COUNTIF('1.연간시수표'!AK78,$BP$9),COUNTIF('1.연간시수표'!AK78,$BP$7)),$BP$6,IF(OR(COUNTIF('1.연간시수표'!AK78,$BQ$9),COUNTIF('1.연간시수표'!AK78,$BQ$7)),$BQ$6,IF(OR(COUNTIF('1.연간시수표'!AK78,$BR$9),COUNTIF('1.연간시수표'!AK78,$BR$7)),$BR$6,"_")))))))))))))))</f>
        <v>_</v>
      </c>
      <c r="AL78" s="148" t="str">
        <f>IF(OR(COUNTIF('1.연간시수표'!AL78,$AT$9),COUNTIF('1.연간시수표'!AL78,$AT$7)),$AT$6,IF(OR(COUNTIF('1.연간시수표'!AL78,$AU$9),COUNTIF('1.연간시수표'!AL78,$AU$7)),$AU$6,IF(OR(COUNTIF('1.연간시수표'!AL78,$AV$9),COUNTIF('1.연간시수표'!AL78,$AV$7)),$AV$6,IF(OR(COUNTIF('1.연간시수표'!AL78,$AW$9),COUNTIF('1.연간시수표'!AL78,$AW$7)),$AW$6,IF(OR(COUNTIF('1.연간시수표'!AL78,$AX$9),COUNTIF('1.연간시수표'!AL78,$AX$7)),$AX$6,IF(OR(COUNTIF('1.연간시수표'!AL78,$AY$9),COUNTIF('1.연간시수표'!AL78,$AY$7)),$AY$6,IF(OR(COUNTIF('1.연간시수표'!AL78,$AZ$9),COUNTIF('1.연간시수표'!AL78,$AZ$7)),$AZ$6,IF(OR(COUNTIF('1.연간시수표'!AL78,$BA$9),COUNTIF('1.연간시수표'!AL78,$BA$7)),$BA$6,IF(OR(COUNTIF('1.연간시수표'!AL78,$BB$9),COUNTIF('1.연간시수표'!AL78,$BB$7)),$BB$6,IF(OR(COUNTIF('1.연간시수표'!AL78,$BC$9),COUNTIF('1.연간시수표'!AL78,$BC$7)),$BC$6,IF(OR(COUNTIF('1.연간시수표'!AL78,$BF$9),COUNTIF('1.연간시수표'!AL78,$BF$7),COUNTIF('1.연간시수표'!AL78,$BG$9),COUNTIF('1.연간시수표'!AL78,$BG$7),COUNTIF('1.연간시수표'!AL78,$BH$9),COUNTIF('1.연간시수표'!AL78,$BH$7),COUNTIF('1.연간시수표'!AL78,$BI$9),COUNTIF('1.연간시수표'!AL78,$BI$7),COUNTIF('1.연간시수표'!AL78,$BJ$9),COUNTIF('1.연간시수표'!AL78,$BJ$7),COUNTIF('1.연간시수표'!AL78,$BK$9),COUNTIF('1.연간시수표'!AL78,$BK$7),COUNTIF('1.연간시수표'!AL78,$BL$9),COUNTIF('1.연간시수표'!AL78,$BL$7),COUNTIF('1.연간시수표'!AL78,$BM$9),COUNTIF('1.연간시수표'!AL78,$BM$7)),$BF$6,IF(OR(COUNTIF('1.연간시수표'!AL78,$BO$9),COUNTIF('1.연간시수표'!AL78,$BO$7)),$BO$6,IF(OR(COUNTIF('1.연간시수표'!AL78,$BP$9),COUNTIF('1.연간시수표'!AL78,$BP$7)),$BP$6,IF(OR(COUNTIF('1.연간시수표'!AL78,$BQ$9),COUNTIF('1.연간시수표'!AL78,$BQ$7)),$BQ$6,IF(OR(COUNTIF('1.연간시수표'!AL78,$BR$9),COUNTIF('1.연간시수표'!AL78,$BR$7)),$BR$6,"_")))))))))))))))</f>
        <v>_</v>
      </c>
      <c r="AM78" s="148" t="str">
        <f>IF(OR(COUNTIF('1.연간시수표'!AM78,$AT$9),COUNTIF('1.연간시수표'!AM78,$AT$7)),$AT$6,IF(OR(COUNTIF('1.연간시수표'!AM78,$AU$9),COUNTIF('1.연간시수표'!AM78,$AU$7)),$AU$6,IF(OR(COUNTIF('1.연간시수표'!AM78,$AV$9),COUNTIF('1.연간시수표'!AM78,$AV$7)),$AV$6,IF(OR(COUNTIF('1.연간시수표'!AM78,$AW$9),COUNTIF('1.연간시수표'!AM78,$AW$7)),$AW$6,IF(OR(COUNTIF('1.연간시수표'!AM78,$AX$9),COUNTIF('1.연간시수표'!AM78,$AX$7)),$AX$6,IF(OR(COUNTIF('1.연간시수표'!AM78,$AY$9),COUNTIF('1.연간시수표'!AM78,$AY$7)),$AY$6,IF(OR(COUNTIF('1.연간시수표'!AM78,$AZ$9),COUNTIF('1.연간시수표'!AM78,$AZ$7)),$AZ$6,IF(OR(COUNTIF('1.연간시수표'!AM78,$BA$9),COUNTIF('1.연간시수표'!AM78,$BA$7)),$BA$6,IF(OR(COUNTIF('1.연간시수표'!AM78,$BB$9),COUNTIF('1.연간시수표'!AM78,$BB$7)),$BB$6,IF(OR(COUNTIF('1.연간시수표'!AM78,$BC$9),COUNTIF('1.연간시수표'!AM78,$BC$7)),$BC$6,IF(OR(COUNTIF('1.연간시수표'!AM78,$BF$9),COUNTIF('1.연간시수표'!AM78,$BF$7),COUNTIF('1.연간시수표'!AM78,$BG$9),COUNTIF('1.연간시수표'!AM78,$BG$7),COUNTIF('1.연간시수표'!AM78,$BH$9),COUNTIF('1.연간시수표'!AM78,$BH$7),COUNTIF('1.연간시수표'!AM78,$BI$9),COUNTIF('1.연간시수표'!AM78,$BI$7),COUNTIF('1.연간시수표'!AM78,$BJ$9),COUNTIF('1.연간시수표'!AM78,$BJ$7),COUNTIF('1.연간시수표'!AM78,$BK$9),COUNTIF('1.연간시수표'!AM78,$BK$7),COUNTIF('1.연간시수표'!AM78,$BL$9),COUNTIF('1.연간시수표'!AM78,$BL$7),COUNTIF('1.연간시수표'!AM78,$BM$9),COUNTIF('1.연간시수표'!AM78,$BM$7)),$BF$6,IF(OR(COUNTIF('1.연간시수표'!AM78,$BO$9),COUNTIF('1.연간시수표'!AM78,$BO$7)),$BO$6,IF(OR(COUNTIF('1.연간시수표'!AM78,$BP$9),COUNTIF('1.연간시수표'!AM78,$BP$7)),$BP$6,IF(OR(COUNTIF('1.연간시수표'!AM78,$BQ$9),COUNTIF('1.연간시수표'!AM78,$BQ$7)),$BQ$6,IF(OR(COUNTIF('1.연간시수표'!AM78,$BR$9),COUNTIF('1.연간시수표'!AM78,$BR$7)),$BR$6,"_")))))))))))))))</f>
        <v>_</v>
      </c>
      <c r="AN78" s="148" t="str">
        <f>IF(OR(COUNTIF('1.연간시수표'!AN78,$AT$9),COUNTIF('1.연간시수표'!AN78,$AT$7)),$AT$6,IF(OR(COUNTIF('1.연간시수표'!AN78,$AU$9),COUNTIF('1.연간시수표'!AN78,$AU$7)),$AU$6,IF(OR(COUNTIF('1.연간시수표'!AN78,$AV$9),COUNTIF('1.연간시수표'!AN78,$AV$7)),$AV$6,IF(OR(COUNTIF('1.연간시수표'!AN78,$AW$9),COUNTIF('1.연간시수표'!AN78,$AW$7)),$AW$6,IF(OR(COUNTIF('1.연간시수표'!AN78,$AX$9),COUNTIF('1.연간시수표'!AN78,$AX$7)),$AX$6,IF(OR(COUNTIF('1.연간시수표'!AN78,$AY$9),COUNTIF('1.연간시수표'!AN78,$AY$7)),$AY$6,IF(OR(COUNTIF('1.연간시수표'!AN78,$AZ$9),COUNTIF('1.연간시수표'!AN78,$AZ$7)),$AZ$6,IF(OR(COUNTIF('1.연간시수표'!AN78,$BA$9),COUNTIF('1.연간시수표'!AN78,$BA$7)),$BA$6,IF(OR(COUNTIF('1.연간시수표'!AN78,$BB$9),COUNTIF('1.연간시수표'!AN78,$BB$7)),$BB$6,IF(OR(COUNTIF('1.연간시수표'!AN78,$BC$9),COUNTIF('1.연간시수표'!AN78,$BC$7)),$BC$6,IF(OR(COUNTIF('1.연간시수표'!AN78,$BF$9),COUNTIF('1.연간시수표'!AN78,$BF$7),COUNTIF('1.연간시수표'!AN78,$BG$9),COUNTIF('1.연간시수표'!AN78,$BG$7),COUNTIF('1.연간시수표'!AN78,$BH$9),COUNTIF('1.연간시수표'!AN78,$BH$7),COUNTIF('1.연간시수표'!AN78,$BI$9),COUNTIF('1.연간시수표'!AN78,$BI$7),COUNTIF('1.연간시수표'!AN78,$BJ$9),COUNTIF('1.연간시수표'!AN78,$BJ$7),COUNTIF('1.연간시수표'!AN78,$BK$9),COUNTIF('1.연간시수표'!AN78,$BK$7),COUNTIF('1.연간시수표'!AN78,$BL$9),COUNTIF('1.연간시수표'!AN78,$BL$7),COUNTIF('1.연간시수표'!AN78,$BM$9),COUNTIF('1.연간시수표'!AN78,$BM$7)),$BF$6,IF(OR(COUNTIF('1.연간시수표'!AN78,$BO$9),COUNTIF('1.연간시수표'!AN78,$BO$7)),$BO$6,IF(OR(COUNTIF('1.연간시수표'!AN78,$BP$9),COUNTIF('1.연간시수표'!AN78,$BP$7)),$BP$6,IF(OR(COUNTIF('1.연간시수표'!AN78,$BQ$9),COUNTIF('1.연간시수표'!AN78,$BQ$7)),$BQ$6,IF(OR(COUNTIF('1.연간시수표'!AN78,$BR$9),COUNTIF('1.연간시수표'!AN78,$BR$7)),$BR$6,"_")))))))))))))))</f>
        <v>_</v>
      </c>
      <c r="AO78" s="148" t="str">
        <f>IF(OR(COUNTIF('1.연간시수표'!AO78,$AT$9),COUNTIF('1.연간시수표'!AO78,$AT$7)),$AT$6,IF(OR(COUNTIF('1.연간시수표'!AO78,$AU$9),COUNTIF('1.연간시수표'!AO78,$AU$7)),$AU$6,IF(OR(COUNTIF('1.연간시수표'!AO78,$AV$9),COUNTIF('1.연간시수표'!AO78,$AV$7)),$AV$6,IF(OR(COUNTIF('1.연간시수표'!AO78,$AW$9),COUNTIF('1.연간시수표'!AO78,$AW$7)),$AW$6,IF(OR(COUNTIF('1.연간시수표'!AO78,$AX$9),COUNTIF('1.연간시수표'!AO78,$AX$7)),$AX$6,IF(OR(COUNTIF('1.연간시수표'!AO78,$AY$9),COUNTIF('1.연간시수표'!AO78,$AY$7)),$AY$6,IF(OR(COUNTIF('1.연간시수표'!AO78,$AZ$9),COUNTIF('1.연간시수표'!AO78,$AZ$7)),$AZ$6,IF(OR(COUNTIF('1.연간시수표'!AO78,$BA$9),COUNTIF('1.연간시수표'!AO78,$BA$7)),$BA$6,IF(OR(COUNTIF('1.연간시수표'!AO78,$BB$9),COUNTIF('1.연간시수표'!AO78,$BB$7)),$BB$6,IF(OR(COUNTIF('1.연간시수표'!AO78,$BC$9),COUNTIF('1.연간시수표'!AO78,$BC$7)),$BC$6,IF(OR(COUNTIF('1.연간시수표'!AO78,$BF$9),COUNTIF('1.연간시수표'!AO78,$BF$7),COUNTIF('1.연간시수표'!AO78,$BG$9),COUNTIF('1.연간시수표'!AO78,$BG$7),COUNTIF('1.연간시수표'!AO78,$BH$9),COUNTIF('1.연간시수표'!AO78,$BH$7),COUNTIF('1.연간시수표'!AO78,$BI$9),COUNTIF('1.연간시수표'!AO78,$BI$7),COUNTIF('1.연간시수표'!AO78,$BJ$9),COUNTIF('1.연간시수표'!AO78,$BJ$7),COUNTIF('1.연간시수표'!AO78,$BK$9),COUNTIF('1.연간시수표'!AO78,$BK$7),COUNTIF('1.연간시수표'!AO78,$BL$9),COUNTIF('1.연간시수표'!AO78,$BL$7),COUNTIF('1.연간시수표'!AO78,$BM$9),COUNTIF('1.연간시수표'!AO78,$BM$7)),$BF$6,IF(OR(COUNTIF('1.연간시수표'!AO78,$BO$9),COUNTIF('1.연간시수표'!AO78,$BO$7)),$BO$6,IF(OR(COUNTIF('1.연간시수표'!AO78,$BP$9),COUNTIF('1.연간시수표'!AO78,$BP$7)),$BP$6,IF(OR(COUNTIF('1.연간시수표'!AO78,$BQ$9),COUNTIF('1.연간시수표'!AO78,$BQ$7)),$BQ$6,IF(OR(COUNTIF('1.연간시수표'!AO78,$BR$9),COUNTIF('1.연간시수표'!AO78,$BR$7)),$BR$6,"_")))))))))))))))</f>
        <v>_</v>
      </c>
      <c r="AP78" s="148" t="str">
        <f>IF(OR(COUNTIF('1.연간시수표'!AP78,$AT$9),COUNTIF('1.연간시수표'!AP78,$AT$7)),$AT$6,IF(OR(COUNTIF('1.연간시수표'!AP78,$AU$9),COUNTIF('1.연간시수표'!AP78,$AU$7)),$AU$6,IF(OR(COUNTIF('1.연간시수표'!AP78,$AV$9),COUNTIF('1.연간시수표'!AP78,$AV$7)),$AV$6,IF(OR(COUNTIF('1.연간시수표'!AP78,$AW$9),COUNTIF('1.연간시수표'!AP78,$AW$7)),$AW$6,IF(OR(COUNTIF('1.연간시수표'!AP78,$AX$9),COUNTIF('1.연간시수표'!AP78,$AX$7)),$AX$6,IF(OR(COUNTIF('1.연간시수표'!AP78,$AY$9),COUNTIF('1.연간시수표'!AP78,$AY$7)),$AY$6,IF(OR(COUNTIF('1.연간시수표'!AP78,$AZ$9),COUNTIF('1.연간시수표'!AP78,$AZ$7)),$AZ$6,IF(OR(COUNTIF('1.연간시수표'!AP78,$BA$9),COUNTIF('1.연간시수표'!AP78,$BA$7)),$BA$6,IF(OR(COUNTIF('1.연간시수표'!AP78,$BB$9),COUNTIF('1.연간시수표'!AP78,$BB$7)),$BB$6,IF(OR(COUNTIF('1.연간시수표'!AP78,$BC$9),COUNTIF('1.연간시수표'!AP78,$BC$7)),$BC$6,IF(OR(COUNTIF('1.연간시수표'!AP78,$BF$9),COUNTIF('1.연간시수표'!AP78,$BF$7),COUNTIF('1.연간시수표'!AP78,$BG$9),COUNTIF('1.연간시수표'!AP78,$BG$7),COUNTIF('1.연간시수표'!AP78,$BH$9),COUNTIF('1.연간시수표'!AP78,$BH$7),COUNTIF('1.연간시수표'!AP78,$BI$9),COUNTIF('1.연간시수표'!AP78,$BI$7),COUNTIF('1.연간시수표'!AP78,$BJ$9),COUNTIF('1.연간시수표'!AP78,$BJ$7),COUNTIF('1.연간시수표'!AP78,$BK$9),COUNTIF('1.연간시수표'!AP78,$BK$7),COUNTIF('1.연간시수표'!AP78,$BL$9),COUNTIF('1.연간시수표'!AP78,$BL$7),COUNTIF('1.연간시수표'!AP78,$BM$9),COUNTIF('1.연간시수표'!AP78,$BM$7)),$BF$6,IF(OR(COUNTIF('1.연간시수표'!AP78,$BO$9),COUNTIF('1.연간시수표'!AP78,$BO$7)),$BO$6,IF(OR(COUNTIF('1.연간시수표'!AP78,$BP$9),COUNTIF('1.연간시수표'!AP78,$BP$7)),$BP$6,IF(OR(COUNTIF('1.연간시수표'!AP78,$BQ$9),COUNTIF('1.연간시수표'!AP78,$BQ$7)),$BQ$6,IF(OR(COUNTIF('1.연간시수표'!AP78,$BR$9),COUNTIF('1.연간시수표'!AP78,$BR$7)),$BR$6,"_")))))))))))))))</f>
        <v>_</v>
      </c>
      <c r="AQ78" s="148" t="str">
        <f>IF(OR(COUNTIF('1.연간시수표'!AQ78,$AT$9),COUNTIF('1.연간시수표'!AQ78,$AT$7)),$AT$6,IF(OR(COUNTIF('1.연간시수표'!AQ78,$AU$9),COUNTIF('1.연간시수표'!AQ78,$AU$7)),$AU$6,IF(OR(COUNTIF('1.연간시수표'!AQ78,$AV$9),COUNTIF('1.연간시수표'!AQ78,$AV$7)),$AV$6,IF(OR(COUNTIF('1.연간시수표'!AQ78,$AW$9),COUNTIF('1.연간시수표'!AQ78,$AW$7)),$AW$6,IF(OR(COUNTIF('1.연간시수표'!AQ78,$AX$9),COUNTIF('1.연간시수표'!AQ78,$AX$7)),$AX$6,IF(OR(COUNTIF('1.연간시수표'!AQ78,$AY$9),COUNTIF('1.연간시수표'!AQ78,$AY$7)),$AY$6,IF(OR(COUNTIF('1.연간시수표'!AQ78,$AZ$9),COUNTIF('1.연간시수표'!AQ78,$AZ$7)),$AZ$6,IF(OR(COUNTIF('1.연간시수표'!AQ78,$BA$9),COUNTIF('1.연간시수표'!AQ78,$BA$7)),$BA$6,IF(OR(COUNTIF('1.연간시수표'!AQ78,$BB$9),COUNTIF('1.연간시수표'!AQ78,$BB$7)),$BB$6,IF(OR(COUNTIF('1.연간시수표'!AQ78,$BC$9),COUNTIF('1.연간시수표'!AQ78,$BC$7)),$BC$6,IF(OR(COUNTIF('1.연간시수표'!AQ78,$BF$9),COUNTIF('1.연간시수표'!AQ78,$BF$7),COUNTIF('1.연간시수표'!AQ78,$BG$9),COUNTIF('1.연간시수표'!AQ78,$BG$7),COUNTIF('1.연간시수표'!AQ78,$BH$9),COUNTIF('1.연간시수표'!AQ78,$BH$7),COUNTIF('1.연간시수표'!AQ78,$BI$9),COUNTIF('1.연간시수표'!AQ78,$BI$7),COUNTIF('1.연간시수표'!AQ78,$BJ$9),COUNTIF('1.연간시수표'!AQ78,$BJ$7),COUNTIF('1.연간시수표'!AQ78,$BK$9),COUNTIF('1.연간시수표'!AQ78,$BK$7),COUNTIF('1.연간시수표'!AQ78,$BL$9),COUNTIF('1.연간시수표'!AQ78,$BL$7),COUNTIF('1.연간시수표'!AQ78,$BM$9),COUNTIF('1.연간시수표'!AQ78,$BM$7)),$BF$6,IF(OR(COUNTIF('1.연간시수표'!AQ78,$BO$9),COUNTIF('1.연간시수표'!AQ78,$BO$7)),$BO$6,IF(OR(COUNTIF('1.연간시수표'!AQ78,$BP$9),COUNTIF('1.연간시수표'!AQ78,$BP$7)),$BP$6,IF(OR(COUNTIF('1.연간시수표'!AQ78,$BQ$9),COUNTIF('1.연간시수표'!AQ78,$BQ$7)),$BQ$6,IF(OR(COUNTIF('1.연간시수표'!AQ78,$BR$9),COUNTIF('1.연간시수표'!AQ78,$BR$7)),$BR$6,"_")))))))))))))))</f>
        <v>_</v>
      </c>
      <c r="AR78" s="148" t="str">
        <f>IF(OR(COUNTIF('1.연간시수표'!AR78,$AT$9),COUNTIF('1.연간시수표'!AR78,$AT$7)),$AT$6,IF(OR(COUNTIF('1.연간시수표'!AR78,$AU$9),COUNTIF('1.연간시수표'!AR78,$AU$7)),$AU$6,IF(OR(COUNTIF('1.연간시수표'!AR78,$AV$9),COUNTIF('1.연간시수표'!AR78,$AV$7)),$AV$6,IF(OR(COUNTIF('1.연간시수표'!AR78,$AW$9),COUNTIF('1.연간시수표'!AR78,$AW$7)),$AW$6,IF(OR(COUNTIF('1.연간시수표'!AR78,$AX$9),COUNTIF('1.연간시수표'!AR78,$AX$7)),$AX$6,IF(OR(COUNTIF('1.연간시수표'!AR78,$AY$9),COUNTIF('1.연간시수표'!AR78,$AY$7)),$AY$6,IF(OR(COUNTIF('1.연간시수표'!AR78,$AZ$9),COUNTIF('1.연간시수표'!AR78,$AZ$7)),$AZ$6,IF(OR(COUNTIF('1.연간시수표'!AR78,$BA$9),COUNTIF('1.연간시수표'!AR78,$BA$7)),$BA$6,IF(OR(COUNTIF('1.연간시수표'!AR78,$BB$9),COUNTIF('1.연간시수표'!AR78,$BB$7)),$BB$6,IF(OR(COUNTIF('1.연간시수표'!AR78,$BC$9),COUNTIF('1.연간시수표'!AR78,$BC$7)),$BC$6,IF(OR(COUNTIF('1.연간시수표'!AR78,$BF$9),COUNTIF('1.연간시수표'!AR78,$BF$7),COUNTIF('1.연간시수표'!AR78,$BG$9),COUNTIF('1.연간시수표'!AR78,$BG$7),COUNTIF('1.연간시수표'!AR78,$BH$9),COUNTIF('1.연간시수표'!AR78,$BH$7),COUNTIF('1.연간시수표'!AR78,$BI$9),COUNTIF('1.연간시수표'!AR78,$BI$7),COUNTIF('1.연간시수표'!AR78,$BJ$9),COUNTIF('1.연간시수표'!AR78,$BJ$7),COUNTIF('1.연간시수표'!AR78,$BK$9),COUNTIF('1.연간시수표'!AR78,$BK$7),COUNTIF('1.연간시수표'!AR78,$BL$9),COUNTIF('1.연간시수표'!AR78,$BL$7),COUNTIF('1.연간시수표'!AR78,$BM$9),COUNTIF('1.연간시수표'!AR78,$BM$7)),$BF$6,IF(OR(COUNTIF('1.연간시수표'!AR78,$BO$9),COUNTIF('1.연간시수표'!AR78,$BO$7)),$BO$6,IF(OR(COUNTIF('1.연간시수표'!AR78,$BP$9),COUNTIF('1.연간시수표'!AR78,$BP$7)),$BP$6,IF(OR(COUNTIF('1.연간시수표'!AR78,$BQ$9),COUNTIF('1.연간시수표'!AR78,$BQ$7)),$BQ$6,IF(OR(COUNTIF('1.연간시수표'!AR78,$BR$9),COUNTIF('1.연간시수표'!AR78,$BR$7)),$BR$6,"_")))))))))))))))</f>
        <v>_</v>
      </c>
    </row>
  </sheetData>
  <sheetProtection algorithmName="SHA-512" hashValue="1b4r1w1UC5EfZ32GtVI+IpjFZg2jAEbJDWyLKjtrMVe2Tmo+9nAKFlaG02KjojFqIQDz+zINSYxUi2buAHZG7g==" saltValue="sGwiZHXRKT+ZxlCx1+ExEw==" spinCount="100000" sheet="1" objects="1" scenarios="1"/>
  <mergeCells count="128">
    <mergeCell ref="B47:B51"/>
    <mergeCell ref="AT4:BS4"/>
    <mergeCell ref="AT5:BE5"/>
    <mergeCell ref="BF5:BS5"/>
    <mergeCell ref="BE6:BE9"/>
    <mergeCell ref="BF6:BN6"/>
    <mergeCell ref="BS6:BS9"/>
    <mergeCell ref="BM7:BM8"/>
    <mergeCell ref="BN7:BN9"/>
    <mergeCell ref="BQ7:BQ8"/>
    <mergeCell ref="BO7:BO8"/>
    <mergeCell ref="BP7:BP8"/>
    <mergeCell ref="BJ7:BJ8"/>
    <mergeCell ref="BK7:BK8"/>
    <mergeCell ref="BL7:BL8"/>
    <mergeCell ref="C47:C51"/>
    <mergeCell ref="D47:D50"/>
    <mergeCell ref="BD7:BD8"/>
    <mergeCell ref="AU7:AU8"/>
    <mergeCell ref="AV7:AV8"/>
    <mergeCell ref="AW7:AW8"/>
    <mergeCell ref="AX7:AX8"/>
    <mergeCell ref="AH49:AH51"/>
    <mergeCell ref="BI7:BI8"/>
    <mergeCell ref="BF7:BF8"/>
    <mergeCell ref="AK7:AK9"/>
    <mergeCell ref="AL7:AL9"/>
    <mergeCell ref="AM7:AM9"/>
    <mergeCell ref="AN7:AN9"/>
    <mergeCell ref="AO7:AO9"/>
    <mergeCell ref="AP7:AP9"/>
    <mergeCell ref="AD7:AD9"/>
    <mergeCell ref="AE7:AE9"/>
    <mergeCell ref="AF7:AF9"/>
    <mergeCell ref="AG7:AG9"/>
    <mergeCell ref="AH7:AH9"/>
    <mergeCell ref="BG7:BG8"/>
    <mergeCell ref="BH7:BH8"/>
    <mergeCell ref="AT7:AT8"/>
    <mergeCell ref="AY7:AY8"/>
    <mergeCell ref="AZ7:AZ8"/>
    <mergeCell ref="BA7:BA8"/>
    <mergeCell ref="BB7:BB8"/>
    <mergeCell ref="BC7:BC8"/>
    <mergeCell ref="B5:B9"/>
    <mergeCell ref="C5:C9"/>
    <mergeCell ref="D5:D8"/>
    <mergeCell ref="M7:M9"/>
    <mergeCell ref="N7:N9"/>
    <mergeCell ref="O7:O9"/>
    <mergeCell ref="P7:P9"/>
    <mergeCell ref="U7:U9"/>
    <mergeCell ref="V7:V9"/>
    <mergeCell ref="Q7:Q9"/>
    <mergeCell ref="R7:R9"/>
    <mergeCell ref="E7:E9"/>
    <mergeCell ref="F7:F9"/>
    <mergeCell ref="G7:G9"/>
    <mergeCell ref="H7:H9"/>
    <mergeCell ref="I7:I9"/>
    <mergeCell ref="J7:J9"/>
    <mergeCell ref="E5:L6"/>
    <mergeCell ref="E47:L48"/>
    <mergeCell ref="M47:T48"/>
    <mergeCell ref="U47:AB48"/>
    <mergeCell ref="AC47:AJ48"/>
    <mergeCell ref="M49:M51"/>
    <mergeCell ref="M5:T6"/>
    <mergeCell ref="U5:AB6"/>
    <mergeCell ref="AC5:AJ6"/>
    <mergeCell ref="K49:K51"/>
    <mergeCell ref="L49:L51"/>
    <mergeCell ref="AK5:AR6"/>
    <mergeCell ref="K7:K9"/>
    <mergeCell ref="L7:L9"/>
    <mergeCell ref="S7:S9"/>
    <mergeCell ref="T7:T9"/>
    <mergeCell ref="AA7:AA9"/>
    <mergeCell ref="AB7:AB9"/>
    <mergeCell ref="AI7:AI9"/>
    <mergeCell ref="AJ7:AJ9"/>
    <mergeCell ref="AQ7:AQ9"/>
    <mergeCell ref="AR7:AR9"/>
    <mergeCell ref="W7:W9"/>
    <mergeCell ref="X7:X9"/>
    <mergeCell ref="Y7:Y9"/>
    <mergeCell ref="Z7:Z9"/>
    <mergeCell ref="AC7:AC9"/>
    <mergeCell ref="AR49:AR51"/>
    <mergeCell ref="AK49:AK51"/>
    <mergeCell ref="AL49:AL51"/>
    <mergeCell ref="AM49:AM51"/>
    <mergeCell ref="AN49:AN51"/>
    <mergeCell ref="AP49:AP51"/>
    <mergeCell ref="Z49:Z51"/>
    <mergeCell ref="Q49:Q51"/>
    <mergeCell ref="R49:R51"/>
    <mergeCell ref="S49:S51"/>
    <mergeCell ref="T49:T51"/>
    <mergeCell ref="AA49:AA51"/>
    <mergeCell ref="AB49:AB51"/>
    <mergeCell ref="AI49:AI51"/>
    <mergeCell ref="AJ49:AJ51"/>
    <mergeCell ref="AQ49:AQ51"/>
    <mergeCell ref="BR7:BR8"/>
    <mergeCell ref="B46:AR46"/>
    <mergeCell ref="B4:AR4"/>
    <mergeCell ref="E49:E51"/>
    <mergeCell ref="F49:F51"/>
    <mergeCell ref="G49:G51"/>
    <mergeCell ref="AO49:AO51"/>
    <mergeCell ref="AC49:AC51"/>
    <mergeCell ref="AD49:AD51"/>
    <mergeCell ref="AE49:AE51"/>
    <mergeCell ref="AF49:AF51"/>
    <mergeCell ref="AG49:AG51"/>
    <mergeCell ref="H49:H51"/>
    <mergeCell ref="I49:I51"/>
    <mergeCell ref="J49:J51"/>
    <mergeCell ref="N49:N51"/>
    <mergeCell ref="O49:O51"/>
    <mergeCell ref="P49:P51"/>
    <mergeCell ref="U49:U51"/>
    <mergeCell ref="V49:V51"/>
    <mergeCell ref="W49:W51"/>
    <mergeCell ref="X49:X51"/>
    <mergeCell ref="Y49:Y51"/>
    <mergeCell ref="AK47:AR48"/>
  </mergeCells>
  <phoneticPr fontId="5" type="noConversion"/>
  <pageMargins left="0.7" right="0.7" top="0.75" bottom="0.75" header="0.3" footer="0.3"/>
  <pageSetup paperSize="256" scale="40" fitToHeight="0" orientation="landscape" horizontalDpi="203" verticalDpi="20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R16"/>
  <sheetViews>
    <sheetView zoomScaleNormal="85" workbookViewId="0">
      <selection activeCell="L22" sqref="L22"/>
    </sheetView>
  </sheetViews>
  <sheetFormatPr defaultColWidth="8.88671875" defaultRowHeight="13.5"/>
  <cols>
    <col min="1" max="1" width="4.77734375" customWidth="1"/>
    <col min="2" max="2" width="9" customWidth="1"/>
    <col min="3" max="3" width="3.44140625" customWidth="1"/>
    <col min="4" max="4" width="5.44140625" customWidth="1"/>
    <col min="5" max="5" width="4.88671875" customWidth="1"/>
    <col min="6" max="6" width="4.109375" customWidth="1"/>
    <col min="7" max="7" width="4.44140625" customWidth="1"/>
    <col min="8" max="8" width="8.77734375" customWidth="1"/>
    <col min="9" max="9" width="6.77734375" customWidth="1"/>
    <col min="10" max="10" width="7.109375" customWidth="1"/>
    <col min="11" max="11" width="24" style="122" bestFit="1" customWidth="1"/>
    <col min="12" max="12" width="46.21875" style="122" customWidth="1"/>
    <col min="13" max="14" width="8" customWidth="1"/>
    <col min="15" max="16" width="6.88671875" customWidth="1"/>
    <col min="17" max="17" width="19.77734375" customWidth="1"/>
    <col min="18" max="18" width="17.88671875" customWidth="1"/>
  </cols>
  <sheetData>
    <row r="1" spans="1:18" s="1" customFormat="1" ht="14.25" thickBot="1">
      <c r="A1" s="121"/>
      <c r="B1" s="22"/>
      <c r="C1" s="22"/>
      <c r="D1" s="23"/>
      <c r="E1" s="23"/>
      <c r="F1" s="121"/>
      <c r="G1" s="23"/>
      <c r="H1" s="37"/>
      <c r="I1" s="121"/>
      <c r="J1" s="121"/>
      <c r="K1" s="122"/>
      <c r="L1" s="122"/>
      <c r="M1" s="121"/>
      <c r="N1" s="121"/>
      <c r="O1" s="121"/>
      <c r="P1" s="121"/>
      <c r="Q1" s="37"/>
      <c r="R1" s="121"/>
    </row>
    <row r="2" spans="1:18" s="1" customFormat="1" ht="27" customHeight="1" thickBot="1">
      <c r="A2" s="43"/>
      <c r="B2" s="44" t="s">
        <v>76</v>
      </c>
      <c r="C2" s="45"/>
      <c r="D2" s="119"/>
      <c r="E2" s="119"/>
      <c r="F2" s="119"/>
      <c r="G2" s="119"/>
      <c r="H2" s="119"/>
      <c r="I2" s="120"/>
      <c r="J2" s="36"/>
      <c r="K2" s="36"/>
      <c r="L2" s="36"/>
      <c r="M2" s="36"/>
      <c r="N2" s="36"/>
      <c r="O2" s="36"/>
      <c r="P2" s="36"/>
      <c r="Q2" s="36"/>
      <c r="R2" s="36"/>
    </row>
    <row r="3" spans="1:18" s="1" customFormat="1" ht="27" customHeight="1">
      <c r="A3" s="35"/>
      <c r="B3" s="35"/>
      <c r="C3" s="36"/>
      <c r="D3" s="36"/>
      <c r="E3" s="36"/>
      <c r="F3" s="36"/>
      <c r="G3" s="42"/>
      <c r="H3" s="36"/>
      <c r="I3" s="36"/>
      <c r="J3" s="121"/>
      <c r="K3" s="141"/>
      <c r="L3" s="141"/>
      <c r="M3" s="122"/>
      <c r="N3" s="122"/>
      <c r="O3" s="122"/>
      <c r="P3" s="121"/>
      <c r="Q3" s="37"/>
      <c r="R3" s="121"/>
    </row>
    <row r="4" spans="1:18" s="1" customFormat="1" ht="27" customHeight="1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</row>
    <row r="5" spans="1:18" s="1" customFormat="1">
      <c r="A5" s="121"/>
      <c r="B5" s="22"/>
      <c r="C5" s="22"/>
      <c r="D5" s="23"/>
      <c r="E5" s="23"/>
      <c r="F5" s="121"/>
      <c r="G5" s="23"/>
      <c r="H5" s="37"/>
      <c r="I5" s="121"/>
      <c r="J5" s="121"/>
      <c r="K5" s="122"/>
      <c r="L5" s="122"/>
      <c r="M5" s="121"/>
      <c r="N5" s="121"/>
      <c r="O5" s="121"/>
      <c r="P5" s="121"/>
      <c r="Q5" s="37"/>
      <c r="R5" s="121"/>
    </row>
    <row r="6" spans="1:18" s="1" customFormat="1" ht="30.75" customHeight="1">
      <c r="A6" s="61" t="s">
        <v>73</v>
      </c>
      <c r="B6" s="61" t="s">
        <v>59</v>
      </c>
      <c r="C6" s="61" t="s">
        <v>66</v>
      </c>
      <c r="D6" s="62" t="s">
        <v>65</v>
      </c>
      <c r="E6" s="63" t="s">
        <v>86</v>
      </c>
      <c r="F6" s="62" t="s">
        <v>85</v>
      </c>
      <c r="G6" s="63" t="s">
        <v>50</v>
      </c>
      <c r="H6" s="62" t="s">
        <v>53</v>
      </c>
      <c r="I6" s="64" t="s">
        <v>67</v>
      </c>
      <c r="J6" s="63" t="s">
        <v>89</v>
      </c>
      <c r="K6" s="63" t="s">
        <v>54</v>
      </c>
      <c r="L6" s="63" t="s">
        <v>55</v>
      </c>
      <c r="M6" s="65" t="s">
        <v>56</v>
      </c>
      <c r="N6" s="65" t="s">
        <v>51</v>
      </c>
      <c r="O6" s="65" t="s">
        <v>57</v>
      </c>
      <c r="P6" s="65" t="s">
        <v>58</v>
      </c>
      <c r="Q6" s="65" t="s">
        <v>52</v>
      </c>
      <c r="R6" s="66" t="s">
        <v>69</v>
      </c>
    </row>
    <row r="11" spans="1:18" s="1" customFormat="1" ht="14.25" thickBot="1">
      <c r="A11" s="121"/>
      <c r="B11" s="22"/>
      <c r="C11" s="22"/>
      <c r="D11" s="23"/>
      <c r="E11" s="23"/>
      <c r="F11" s="121"/>
      <c r="G11" s="23"/>
      <c r="H11" s="37"/>
      <c r="I11" s="121"/>
      <c r="J11" s="121"/>
      <c r="K11" s="122"/>
      <c r="L11" s="122"/>
      <c r="M11" s="121"/>
      <c r="N11" s="121"/>
      <c r="O11" s="121"/>
      <c r="P11" s="121"/>
      <c r="Q11" s="37"/>
      <c r="R11" s="121"/>
    </row>
    <row r="12" spans="1:18" s="1" customFormat="1" ht="27" customHeight="1" thickBot="1">
      <c r="A12" s="130"/>
      <c r="B12" s="131" t="s">
        <v>76</v>
      </c>
      <c r="C12" s="132"/>
      <c r="D12" s="133"/>
      <c r="E12" s="133"/>
      <c r="F12" s="133"/>
      <c r="G12" s="133"/>
      <c r="H12" s="133"/>
      <c r="I12" s="134"/>
      <c r="J12" s="36"/>
      <c r="K12" s="36"/>
      <c r="L12" s="36"/>
      <c r="M12" s="122"/>
      <c r="N12" s="36"/>
      <c r="O12" s="36"/>
      <c r="P12" s="36"/>
      <c r="Q12" s="36"/>
      <c r="R12" s="36"/>
    </row>
    <row r="13" spans="1:18" s="1" customFormat="1" ht="27" customHeight="1">
      <c r="A13" s="35"/>
      <c r="B13" s="35"/>
      <c r="C13" s="36"/>
      <c r="D13" s="36"/>
      <c r="E13" s="36"/>
      <c r="F13" s="36"/>
      <c r="G13" s="42"/>
      <c r="H13" s="36"/>
      <c r="I13" s="36"/>
      <c r="J13" s="121"/>
      <c r="K13" s="141"/>
      <c r="L13" s="141"/>
      <c r="M13" s="36"/>
      <c r="N13" s="122"/>
      <c r="O13" s="122"/>
      <c r="P13" s="121"/>
      <c r="Q13" s="37"/>
      <c r="R13" s="121"/>
    </row>
    <row r="14" spans="1:18" s="1" customFormat="1" ht="27" customHeight="1">
      <c r="A14" s="122"/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N14" s="122"/>
      <c r="O14" s="122"/>
      <c r="P14" s="122"/>
      <c r="Q14" s="122"/>
      <c r="R14" s="122"/>
    </row>
    <row r="15" spans="1:18" s="1" customFormat="1">
      <c r="A15" s="121"/>
      <c r="B15" s="22"/>
      <c r="C15" s="22"/>
      <c r="D15" s="23"/>
      <c r="E15" s="23"/>
      <c r="F15" s="121"/>
      <c r="G15" s="23"/>
      <c r="H15" s="37"/>
      <c r="I15" s="121"/>
      <c r="J15" s="121"/>
      <c r="K15" s="122"/>
      <c r="L15" s="122"/>
      <c r="M15" s="121"/>
      <c r="N15" s="121"/>
      <c r="O15" s="121"/>
      <c r="P15" s="121"/>
      <c r="Q15" s="37"/>
      <c r="R15" s="121"/>
    </row>
    <row r="16" spans="1:18" s="1" customFormat="1" ht="30.75" customHeight="1">
      <c r="A16" s="61" t="s">
        <v>73</v>
      </c>
      <c r="B16" s="61" t="s">
        <v>59</v>
      </c>
      <c r="C16" s="61" t="s">
        <v>66</v>
      </c>
      <c r="D16" s="62" t="s">
        <v>65</v>
      </c>
      <c r="E16" s="63" t="s">
        <v>86</v>
      </c>
      <c r="F16" s="62" t="s">
        <v>85</v>
      </c>
      <c r="G16" s="63" t="s">
        <v>50</v>
      </c>
      <c r="H16" s="62" t="s">
        <v>53</v>
      </c>
      <c r="I16" s="64" t="s">
        <v>67</v>
      </c>
      <c r="J16" s="63" t="s">
        <v>89</v>
      </c>
      <c r="K16" s="63" t="s">
        <v>54</v>
      </c>
      <c r="L16" s="63" t="s">
        <v>55</v>
      </c>
      <c r="M16" s="65" t="s">
        <v>56</v>
      </c>
      <c r="N16" s="65" t="s">
        <v>51</v>
      </c>
      <c r="O16" s="65" t="s">
        <v>57</v>
      </c>
      <c r="P16" s="65" t="s">
        <v>58</v>
      </c>
      <c r="Q16" s="65" t="s">
        <v>52</v>
      </c>
      <c r="R16" s="66" t="s">
        <v>69</v>
      </c>
    </row>
  </sheetData>
  <sheetProtection algorithmName="SHA-512" hashValue="KhxLGrThweVcGAlFFNVhYq6SMlNTrqeO5HkIqmVdmIn0FbRtJem8mRFCtA63lU9VNe/Bx8Csdz71LkoJRgt/eQ==" saltValue="7r8kQ2i6XP8FEdoS4SO9kg==" spinCount="100000" sheet="1" objects="1" scenarios="1"/>
  <autoFilter ref="A6:R6"/>
  <phoneticPr fontId="5" type="noConversion"/>
  <pageMargins left="0.7" right="0.7" top="0.75" bottom="0.75" header="0.3" footer="0.3"/>
  <pageSetup paperSize="9" orientation="portrait" horizontalDpi="4294967292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3103" r:id="rId4" name="Button 127">
              <controlPr defaultSize="0" print="0" autoFill="0" autoPict="0" macro="[0]!msg_Subject_Save">
                <anchor moveWithCells="1" sizeWithCells="1">
                  <from>
                    <xdr:col>10</xdr:col>
                    <xdr:colOff>9525</xdr:colOff>
                    <xdr:row>3</xdr:row>
                    <xdr:rowOff>28575</xdr:rowOff>
                  </from>
                  <to>
                    <xdr:col>12</xdr:col>
                    <xdr:colOff>0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97" r:id="rId5" name="Button 10373">
              <controlPr defaultSize="0" autoFill="0" autoPict="0" macro="[0]!선택영역_한칸올리기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295275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98" r:id="rId6" name="Button 10374">
              <controlPr defaultSize="0" autoFill="0" autoPict="0" macro="[0]!선택영역_한칸내리기">
                <anchor moveWithCells="1" sizeWithCells="1">
                  <from>
                    <xdr:col>13</xdr:col>
                    <xdr:colOff>0</xdr:colOff>
                    <xdr:row>3</xdr:row>
                    <xdr:rowOff>171450</xdr:rowOff>
                  </from>
                  <to>
                    <xdr:col>14</xdr:col>
                    <xdr:colOff>285750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60" r:id="rId7" name="Button 84">
              <controlPr defaultSize="0" print="0" autoFill="0" autoPict="0" macro="[0]!msg_Subject_Save">
                <anchor moveWithCells="1" sizeWithCells="1">
                  <from>
                    <xdr:col>10</xdr:col>
                    <xdr:colOff>9525</xdr:colOff>
                    <xdr:row>13</xdr:row>
                    <xdr:rowOff>28575</xdr:rowOff>
                  </from>
                  <to>
                    <xdr:col>12</xdr:col>
                    <xdr:colOff>0</xdr:colOff>
                    <xdr:row>13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" r:id="rId8" name="Button 75">
              <controlPr defaultSize="0" autoFill="0" autoPict="0" macro="[0]!선택영역_한칸올리기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295275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" r:id="rId9" name="Button 76">
              <controlPr defaultSize="0" autoFill="0" autoPict="0" macro="[0]!선택영역_한칸내리기">
                <anchor moveWithCells="1" sizeWithCells="1">
                  <from>
                    <xdr:col>13</xdr:col>
                    <xdr:colOff>0</xdr:colOff>
                    <xdr:row>13</xdr:row>
                    <xdr:rowOff>171450</xdr:rowOff>
                  </from>
                  <to>
                    <xdr:col>14</xdr:col>
                    <xdr:colOff>285750</xdr:colOff>
                    <xdr:row>13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B2:BV87"/>
  <sheetViews>
    <sheetView tabSelected="1" topLeftCell="A46" zoomScaleNormal="100" workbookViewId="0">
      <selection activeCell="AI72" sqref="AI72"/>
    </sheetView>
  </sheetViews>
  <sheetFormatPr defaultRowHeight="13.5"/>
  <cols>
    <col min="1" max="1" width="19.109375" customWidth="1"/>
    <col min="2" max="2" width="4.109375" customWidth="1"/>
    <col min="3" max="3" width="4.21875" customWidth="1"/>
    <col min="4" max="4" width="6.109375" customWidth="1"/>
    <col min="5" max="10" width="2.77734375" customWidth="1"/>
    <col min="11" max="12" width="2.77734375" style="1" customWidth="1"/>
    <col min="13" max="18" width="2.77734375" customWidth="1"/>
    <col min="19" max="20" width="2.77734375" style="1" customWidth="1"/>
    <col min="21" max="26" width="2.77734375" customWidth="1"/>
    <col min="27" max="28" width="2.77734375" style="1" customWidth="1"/>
    <col min="29" max="34" width="2.77734375" customWidth="1"/>
    <col min="35" max="36" width="2.77734375" style="1" customWidth="1"/>
    <col min="37" max="42" width="2.77734375" customWidth="1"/>
    <col min="43" max="44" width="2.77734375" style="1" customWidth="1"/>
    <col min="45" max="45" width="4.88671875" customWidth="1"/>
    <col min="46" max="70" width="3.77734375" style="121" customWidth="1"/>
    <col min="71" max="71" width="3.77734375" customWidth="1"/>
    <col min="72" max="72" width="5.109375" customWidth="1"/>
  </cols>
  <sheetData>
    <row r="2" spans="2:72" s="1" customFormat="1" ht="20.25" customHeight="1">
      <c r="E2" s="230" t="s">
        <v>63</v>
      </c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2"/>
      <c r="U2" s="290">
        <v>2022</v>
      </c>
      <c r="V2" s="291"/>
      <c r="W2" s="154" t="s">
        <v>60</v>
      </c>
      <c r="X2" s="155">
        <v>2</v>
      </c>
      <c r="Y2" s="154" t="s">
        <v>61</v>
      </c>
      <c r="Z2" s="155">
        <v>28</v>
      </c>
      <c r="AA2" s="156" t="s">
        <v>62</v>
      </c>
      <c r="AF2" s="293">
        <v>5</v>
      </c>
      <c r="AG2" s="294"/>
      <c r="AH2" s="295"/>
      <c r="AI2" s="233" t="s">
        <v>88</v>
      </c>
      <c r="AJ2" s="234"/>
      <c r="AK2" s="234"/>
      <c r="AL2" s="234"/>
      <c r="AM2" s="235"/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</row>
    <row r="3" spans="2:72" s="1" customFormat="1" ht="20.25" customHeight="1"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2"/>
      <c r="X3" s="153"/>
      <c r="Y3" s="152"/>
      <c r="Z3" s="153"/>
      <c r="AA3" s="152"/>
      <c r="AF3" s="296"/>
      <c r="AG3" s="297"/>
      <c r="AH3" s="298"/>
      <c r="AI3" s="236"/>
      <c r="AJ3" s="237"/>
      <c r="AK3" s="237"/>
      <c r="AL3" s="237"/>
      <c r="AM3" s="238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1"/>
      <c r="BJ3" s="121"/>
      <c r="BK3" s="121"/>
      <c r="BL3" s="121"/>
      <c r="BM3" s="121"/>
      <c r="BN3" s="121"/>
      <c r="BO3" s="121"/>
      <c r="BP3" s="121"/>
      <c r="BQ3" s="121"/>
      <c r="BR3" s="121"/>
    </row>
    <row r="4" spans="2:72" ht="20.100000000000001" customHeight="1">
      <c r="B4" s="271" t="s">
        <v>0</v>
      </c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</row>
    <row r="5" spans="2:72" ht="13.5" customHeight="1">
      <c r="B5" s="194" t="s">
        <v>8</v>
      </c>
      <c r="C5" s="194" t="s">
        <v>9</v>
      </c>
      <c r="D5" s="194" t="s">
        <v>10</v>
      </c>
      <c r="E5" s="196" t="s">
        <v>2</v>
      </c>
      <c r="F5" s="197"/>
      <c r="G5" s="197"/>
      <c r="H5" s="197"/>
      <c r="I5" s="197"/>
      <c r="J5" s="197"/>
      <c r="K5" s="197"/>
      <c r="L5" s="198"/>
      <c r="M5" s="196" t="s">
        <v>13</v>
      </c>
      <c r="N5" s="197"/>
      <c r="O5" s="197"/>
      <c r="P5" s="197"/>
      <c r="Q5" s="197"/>
      <c r="R5" s="197"/>
      <c r="S5" s="197"/>
      <c r="T5" s="198"/>
      <c r="U5" s="196" t="s">
        <v>14</v>
      </c>
      <c r="V5" s="197"/>
      <c r="W5" s="197"/>
      <c r="X5" s="197"/>
      <c r="Y5" s="197"/>
      <c r="Z5" s="197"/>
      <c r="AA5" s="197"/>
      <c r="AB5" s="198"/>
      <c r="AC5" s="196" t="s">
        <v>16</v>
      </c>
      <c r="AD5" s="197"/>
      <c r="AE5" s="197"/>
      <c r="AF5" s="197"/>
      <c r="AG5" s="197"/>
      <c r="AH5" s="197"/>
      <c r="AI5" s="197"/>
      <c r="AJ5" s="198"/>
      <c r="AK5" s="196" t="s">
        <v>12</v>
      </c>
      <c r="AL5" s="197"/>
      <c r="AM5" s="197"/>
      <c r="AN5" s="197"/>
      <c r="AO5" s="197"/>
      <c r="AP5" s="197"/>
      <c r="AQ5" s="197"/>
      <c r="AR5" s="198"/>
      <c r="AS5" s="226" t="s">
        <v>15</v>
      </c>
      <c r="AT5" s="207" t="s">
        <v>1</v>
      </c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27" t="s">
        <v>23</v>
      </c>
      <c r="BG5" s="227"/>
      <c r="BH5" s="227"/>
      <c r="BI5" s="227"/>
      <c r="BJ5" s="227"/>
      <c r="BK5" s="227"/>
      <c r="BL5" s="227"/>
      <c r="BM5" s="227"/>
      <c r="BN5" s="227"/>
      <c r="BO5" s="227"/>
      <c r="BP5" s="227"/>
      <c r="BQ5" s="227"/>
      <c r="BR5" s="227"/>
      <c r="BS5" s="227"/>
      <c r="BT5" s="248" t="s">
        <v>3</v>
      </c>
    </row>
    <row r="6" spans="2:72" ht="13.5" customHeight="1">
      <c r="B6" s="194"/>
      <c r="C6" s="194"/>
      <c r="D6" s="194"/>
      <c r="E6" s="199"/>
      <c r="F6" s="200"/>
      <c r="G6" s="200"/>
      <c r="H6" s="200"/>
      <c r="I6" s="200"/>
      <c r="J6" s="200"/>
      <c r="K6" s="200"/>
      <c r="L6" s="201"/>
      <c r="M6" s="199"/>
      <c r="N6" s="200"/>
      <c r="O6" s="200"/>
      <c r="P6" s="200"/>
      <c r="Q6" s="200"/>
      <c r="R6" s="200"/>
      <c r="S6" s="200"/>
      <c r="T6" s="201"/>
      <c r="U6" s="199"/>
      <c r="V6" s="200"/>
      <c r="W6" s="200"/>
      <c r="X6" s="200"/>
      <c r="Y6" s="200"/>
      <c r="Z6" s="200"/>
      <c r="AA6" s="200"/>
      <c r="AB6" s="201"/>
      <c r="AC6" s="199"/>
      <c r="AD6" s="200"/>
      <c r="AE6" s="200"/>
      <c r="AF6" s="200"/>
      <c r="AG6" s="200"/>
      <c r="AH6" s="200"/>
      <c r="AI6" s="200"/>
      <c r="AJ6" s="201"/>
      <c r="AK6" s="199"/>
      <c r="AL6" s="200"/>
      <c r="AM6" s="200"/>
      <c r="AN6" s="200"/>
      <c r="AO6" s="200"/>
      <c r="AP6" s="200"/>
      <c r="AQ6" s="200"/>
      <c r="AR6" s="201"/>
      <c r="AS6" s="226"/>
      <c r="AT6" s="21" t="s">
        <v>103</v>
      </c>
      <c r="AU6" s="21" t="s">
        <v>7</v>
      </c>
      <c r="AV6" s="21" t="s">
        <v>6</v>
      </c>
      <c r="AW6" s="21" t="s">
        <v>17</v>
      </c>
      <c r="AX6" s="21" t="s">
        <v>18</v>
      </c>
      <c r="AY6" s="21" t="s">
        <v>108</v>
      </c>
      <c r="AZ6" s="21" t="s">
        <v>19</v>
      </c>
      <c r="BA6" s="21" t="s">
        <v>20</v>
      </c>
      <c r="BB6" s="21" t="s">
        <v>21</v>
      </c>
      <c r="BC6" s="21" t="s">
        <v>22</v>
      </c>
      <c r="BD6" s="21" t="s">
        <v>1</v>
      </c>
      <c r="BE6" s="260" t="s">
        <v>27</v>
      </c>
      <c r="BF6" s="251" t="s">
        <v>24</v>
      </c>
      <c r="BG6" s="252"/>
      <c r="BH6" s="252"/>
      <c r="BI6" s="252"/>
      <c r="BJ6" s="252"/>
      <c r="BK6" s="252"/>
      <c r="BL6" s="252"/>
      <c r="BM6" s="252"/>
      <c r="BN6" s="253"/>
      <c r="BO6" s="125" t="s">
        <v>46</v>
      </c>
      <c r="BP6" s="125" t="s">
        <v>47</v>
      </c>
      <c r="BQ6" s="125" t="s">
        <v>48</v>
      </c>
      <c r="BR6" s="144"/>
      <c r="BS6" s="259" t="s">
        <v>26</v>
      </c>
      <c r="BT6" s="248"/>
    </row>
    <row r="7" spans="2:72" ht="13.5" customHeight="1">
      <c r="B7" s="194"/>
      <c r="C7" s="194"/>
      <c r="D7" s="194"/>
      <c r="E7" s="194">
        <v>1</v>
      </c>
      <c r="F7" s="194">
        <v>2</v>
      </c>
      <c r="G7" s="194">
        <v>3</v>
      </c>
      <c r="H7" s="194">
        <v>4</v>
      </c>
      <c r="I7" s="194">
        <v>5</v>
      </c>
      <c r="J7" s="194">
        <v>6</v>
      </c>
      <c r="K7" s="195">
        <v>7</v>
      </c>
      <c r="L7" s="195">
        <v>8</v>
      </c>
      <c r="M7" s="194">
        <v>1</v>
      </c>
      <c r="N7" s="194">
        <v>2</v>
      </c>
      <c r="O7" s="194">
        <v>3</v>
      </c>
      <c r="P7" s="194">
        <v>4</v>
      </c>
      <c r="Q7" s="194">
        <v>5</v>
      </c>
      <c r="R7" s="194">
        <v>6</v>
      </c>
      <c r="S7" s="195">
        <v>7</v>
      </c>
      <c r="T7" s="195">
        <v>8</v>
      </c>
      <c r="U7" s="194">
        <v>1</v>
      </c>
      <c r="V7" s="194">
        <v>2</v>
      </c>
      <c r="W7" s="194">
        <v>3</v>
      </c>
      <c r="X7" s="194">
        <v>4</v>
      </c>
      <c r="Y7" s="194">
        <v>5</v>
      </c>
      <c r="Z7" s="194">
        <v>6</v>
      </c>
      <c r="AA7" s="195">
        <v>7</v>
      </c>
      <c r="AB7" s="195">
        <v>8</v>
      </c>
      <c r="AC7" s="194">
        <v>1</v>
      </c>
      <c r="AD7" s="194">
        <v>2</v>
      </c>
      <c r="AE7" s="194">
        <v>3</v>
      </c>
      <c r="AF7" s="194">
        <v>4</v>
      </c>
      <c r="AG7" s="194">
        <v>5</v>
      </c>
      <c r="AH7" s="194">
        <v>6</v>
      </c>
      <c r="AI7" s="195">
        <v>7</v>
      </c>
      <c r="AJ7" s="195">
        <v>8</v>
      </c>
      <c r="AK7" s="194">
        <v>1</v>
      </c>
      <c r="AL7" s="194">
        <v>2</v>
      </c>
      <c r="AM7" s="194">
        <v>3</v>
      </c>
      <c r="AN7" s="194">
        <v>4</v>
      </c>
      <c r="AO7" s="194">
        <v>5</v>
      </c>
      <c r="AP7" s="194">
        <v>6</v>
      </c>
      <c r="AQ7" s="195">
        <v>7</v>
      </c>
      <c r="AR7" s="195">
        <v>8</v>
      </c>
      <c r="AS7" s="226"/>
      <c r="AT7" s="249" t="s">
        <v>103</v>
      </c>
      <c r="AU7" s="249" t="s">
        <v>7</v>
      </c>
      <c r="AV7" s="249" t="s">
        <v>6</v>
      </c>
      <c r="AW7" s="249" t="s">
        <v>17</v>
      </c>
      <c r="AX7" s="249" t="s">
        <v>18</v>
      </c>
      <c r="AY7" s="249" t="s">
        <v>108</v>
      </c>
      <c r="AZ7" s="249" t="s">
        <v>19</v>
      </c>
      <c r="BA7" s="249" t="s">
        <v>20</v>
      </c>
      <c r="BB7" s="249" t="s">
        <v>21</v>
      </c>
      <c r="BC7" s="249" t="s">
        <v>22</v>
      </c>
      <c r="BD7" s="263" t="s">
        <v>70</v>
      </c>
      <c r="BE7" s="261"/>
      <c r="BF7" s="267" t="s">
        <v>5</v>
      </c>
      <c r="BG7" s="267" t="s">
        <v>111</v>
      </c>
      <c r="BH7" s="267" t="s">
        <v>25</v>
      </c>
      <c r="BI7" s="249" t="s">
        <v>119</v>
      </c>
      <c r="BJ7" s="249" t="s">
        <v>164</v>
      </c>
      <c r="BK7" s="249" t="s">
        <v>91</v>
      </c>
      <c r="BL7" s="249" t="s">
        <v>78</v>
      </c>
      <c r="BM7" s="249" t="s">
        <v>79</v>
      </c>
      <c r="BN7" s="254" t="s">
        <v>28</v>
      </c>
      <c r="BO7" s="257" t="s">
        <v>44</v>
      </c>
      <c r="BP7" s="257" t="s">
        <v>45</v>
      </c>
      <c r="BQ7" s="257" t="s">
        <v>43</v>
      </c>
      <c r="BR7" s="257"/>
      <c r="BS7" s="259"/>
      <c r="BT7" s="248"/>
    </row>
    <row r="8" spans="2:72">
      <c r="B8" s="194"/>
      <c r="C8" s="194"/>
      <c r="D8" s="194"/>
      <c r="E8" s="194"/>
      <c r="F8" s="194"/>
      <c r="G8" s="194"/>
      <c r="H8" s="194"/>
      <c r="I8" s="194"/>
      <c r="J8" s="194"/>
      <c r="K8" s="202"/>
      <c r="L8" s="202"/>
      <c r="M8" s="194"/>
      <c r="N8" s="194"/>
      <c r="O8" s="194"/>
      <c r="P8" s="194"/>
      <c r="Q8" s="194"/>
      <c r="R8" s="194"/>
      <c r="S8" s="202"/>
      <c r="T8" s="202"/>
      <c r="U8" s="194"/>
      <c r="V8" s="194"/>
      <c r="W8" s="194"/>
      <c r="X8" s="194"/>
      <c r="Y8" s="194"/>
      <c r="Z8" s="194"/>
      <c r="AA8" s="202"/>
      <c r="AB8" s="202"/>
      <c r="AC8" s="194"/>
      <c r="AD8" s="194"/>
      <c r="AE8" s="194"/>
      <c r="AF8" s="194"/>
      <c r="AG8" s="194"/>
      <c r="AH8" s="194"/>
      <c r="AI8" s="202"/>
      <c r="AJ8" s="202"/>
      <c r="AK8" s="194"/>
      <c r="AL8" s="194"/>
      <c r="AM8" s="194"/>
      <c r="AN8" s="194"/>
      <c r="AO8" s="194"/>
      <c r="AP8" s="194"/>
      <c r="AQ8" s="202"/>
      <c r="AR8" s="202"/>
      <c r="AS8" s="226"/>
      <c r="AT8" s="250"/>
      <c r="AU8" s="250"/>
      <c r="AV8" s="250"/>
      <c r="AW8" s="250"/>
      <c r="AX8" s="250"/>
      <c r="AY8" s="250"/>
      <c r="AZ8" s="250"/>
      <c r="BA8" s="250"/>
      <c r="BB8" s="250"/>
      <c r="BC8" s="250"/>
      <c r="BD8" s="264"/>
      <c r="BE8" s="261"/>
      <c r="BF8" s="268"/>
      <c r="BG8" s="268"/>
      <c r="BH8" s="268"/>
      <c r="BI8" s="250"/>
      <c r="BJ8" s="250"/>
      <c r="BK8" s="250"/>
      <c r="BL8" s="250"/>
      <c r="BM8" s="250"/>
      <c r="BN8" s="255"/>
      <c r="BO8" s="258"/>
      <c r="BP8" s="258"/>
      <c r="BQ8" s="258"/>
      <c r="BR8" s="258"/>
      <c r="BS8" s="259"/>
      <c r="BT8" s="248"/>
    </row>
    <row r="9" spans="2:72">
      <c r="B9" s="194"/>
      <c r="C9" s="194"/>
      <c r="D9" s="5" t="s">
        <v>11</v>
      </c>
      <c r="E9" s="195"/>
      <c r="F9" s="195"/>
      <c r="G9" s="195"/>
      <c r="H9" s="195"/>
      <c r="I9" s="195"/>
      <c r="J9" s="195"/>
      <c r="K9" s="203"/>
      <c r="L9" s="203"/>
      <c r="M9" s="195"/>
      <c r="N9" s="195"/>
      <c r="O9" s="195"/>
      <c r="P9" s="195"/>
      <c r="Q9" s="195"/>
      <c r="R9" s="195"/>
      <c r="S9" s="203"/>
      <c r="T9" s="203"/>
      <c r="U9" s="195"/>
      <c r="V9" s="195"/>
      <c r="W9" s="195"/>
      <c r="X9" s="195"/>
      <c r="Y9" s="195"/>
      <c r="Z9" s="195"/>
      <c r="AA9" s="203"/>
      <c r="AB9" s="203"/>
      <c r="AC9" s="195"/>
      <c r="AD9" s="195"/>
      <c r="AE9" s="195"/>
      <c r="AF9" s="195"/>
      <c r="AG9" s="195"/>
      <c r="AH9" s="195"/>
      <c r="AI9" s="203"/>
      <c r="AJ9" s="203"/>
      <c r="AK9" s="195"/>
      <c r="AL9" s="195"/>
      <c r="AM9" s="195"/>
      <c r="AN9" s="195"/>
      <c r="AO9" s="195"/>
      <c r="AP9" s="195"/>
      <c r="AQ9" s="203"/>
      <c r="AR9" s="203"/>
      <c r="AS9" s="8">
        <f>SUM(AS10:AS33)</f>
        <v>99</v>
      </c>
      <c r="AT9" s="126" t="s">
        <v>104</v>
      </c>
      <c r="AU9" s="126" t="s">
        <v>94</v>
      </c>
      <c r="AV9" s="126" t="s">
        <v>95</v>
      </c>
      <c r="AW9" s="126" t="s">
        <v>96</v>
      </c>
      <c r="AX9" s="126" t="s">
        <v>97</v>
      </c>
      <c r="AY9" s="126" t="s">
        <v>109</v>
      </c>
      <c r="AZ9" s="126" t="s">
        <v>105</v>
      </c>
      <c r="BA9" s="126" t="s">
        <v>98</v>
      </c>
      <c r="BB9" s="126" t="s">
        <v>99</v>
      </c>
      <c r="BC9" s="126" t="s">
        <v>100</v>
      </c>
      <c r="BD9" s="135" t="s">
        <v>35</v>
      </c>
      <c r="BE9" s="262"/>
      <c r="BF9" s="160" t="s">
        <v>30</v>
      </c>
      <c r="BG9" s="126" t="s">
        <v>29</v>
      </c>
      <c r="BH9" s="126" t="s">
        <v>31</v>
      </c>
      <c r="BI9" s="126" t="s">
        <v>120</v>
      </c>
      <c r="BJ9" s="126" t="s">
        <v>165</v>
      </c>
      <c r="BK9" s="126" t="s">
        <v>92</v>
      </c>
      <c r="BL9" s="126" t="s">
        <v>80</v>
      </c>
      <c r="BM9" s="126" t="s">
        <v>81</v>
      </c>
      <c r="BN9" s="256"/>
      <c r="BO9" s="126" t="s">
        <v>32</v>
      </c>
      <c r="BP9" s="126" t="s">
        <v>33</v>
      </c>
      <c r="BQ9" s="126" t="s">
        <v>34</v>
      </c>
      <c r="BR9" s="145"/>
      <c r="BS9" s="259"/>
      <c r="BT9" s="248"/>
    </row>
    <row r="10" spans="2:72">
      <c r="B10" s="195">
        <v>3</v>
      </c>
      <c r="C10" s="5">
        <v>1</v>
      </c>
      <c r="D10" s="75" t="s">
        <v>153</v>
      </c>
      <c r="E10" s="77"/>
      <c r="F10" s="161"/>
      <c r="G10" s="77"/>
      <c r="H10" s="77"/>
      <c r="I10" s="77"/>
      <c r="J10" s="77"/>
      <c r="K10" s="76"/>
      <c r="L10" s="76"/>
      <c r="M10" s="77"/>
      <c r="N10" s="161"/>
      <c r="O10" s="77"/>
      <c r="P10" s="77"/>
      <c r="Q10" s="77"/>
      <c r="R10" s="77"/>
      <c r="S10" s="76"/>
      <c r="T10" s="76"/>
      <c r="U10" s="17" t="s">
        <v>112</v>
      </c>
      <c r="V10" s="17" t="s">
        <v>112</v>
      </c>
      <c r="W10" s="17" t="s">
        <v>112</v>
      </c>
      <c r="X10" s="15" t="s">
        <v>113</v>
      </c>
      <c r="Y10" s="77"/>
      <c r="Z10" s="77"/>
      <c r="AA10" s="76"/>
      <c r="AB10" s="76"/>
      <c r="AC10" s="77" t="s">
        <v>110</v>
      </c>
      <c r="AD10" s="161" t="s">
        <v>114</v>
      </c>
      <c r="AE10" s="77" t="s">
        <v>115</v>
      </c>
      <c r="AF10" s="77" t="s">
        <v>116</v>
      </c>
      <c r="AG10" s="77" t="s">
        <v>117</v>
      </c>
      <c r="AH10" s="161" t="s">
        <v>118</v>
      </c>
      <c r="AI10" s="76"/>
      <c r="AJ10" s="76"/>
      <c r="AK10" s="17" t="s">
        <v>121</v>
      </c>
      <c r="AL10" s="77" t="s">
        <v>114</v>
      </c>
      <c r="AM10" s="77" t="s">
        <v>114</v>
      </c>
      <c r="AN10" s="77" t="s">
        <v>110</v>
      </c>
      <c r="AO10" s="77" t="s">
        <v>115</v>
      </c>
      <c r="AP10" s="77" t="s">
        <v>122</v>
      </c>
      <c r="AQ10" s="76"/>
      <c r="AR10" s="76"/>
      <c r="AS10" s="25">
        <v>5</v>
      </c>
      <c r="AT10" s="123">
        <f t="shared" ref="AT10:BD10" si="0">COUNTIF($E10:$AR10,AT$7)+COUNTIF($E10:$AR10,AT$9)</f>
        <v>2</v>
      </c>
      <c r="AU10" s="123">
        <f t="shared" si="0"/>
        <v>2</v>
      </c>
      <c r="AV10" s="123">
        <f t="shared" si="0"/>
        <v>1</v>
      </c>
      <c r="AW10" s="123">
        <f t="shared" si="0"/>
        <v>3</v>
      </c>
      <c r="AX10" s="123">
        <f t="shared" si="0"/>
        <v>1</v>
      </c>
      <c r="AY10" s="123">
        <f t="shared" si="0"/>
        <v>1</v>
      </c>
      <c r="AZ10" s="123">
        <f t="shared" si="0"/>
        <v>0</v>
      </c>
      <c r="BA10" s="123">
        <f t="shared" si="0"/>
        <v>1</v>
      </c>
      <c r="BB10" s="123">
        <f t="shared" si="0"/>
        <v>0</v>
      </c>
      <c r="BC10" s="123">
        <f t="shared" si="0"/>
        <v>1</v>
      </c>
      <c r="BD10" s="123">
        <f t="shared" si="0"/>
        <v>0</v>
      </c>
      <c r="BE10" s="124">
        <f>SUM(AT10:BD10)</f>
        <v>12</v>
      </c>
      <c r="BF10" s="123">
        <f t="shared" ref="BF10:BM10" si="1">COUNTIF($E10:$AR10,BF$7)+COUNTIF($E10:$AR10,BF$9)</f>
        <v>0</v>
      </c>
      <c r="BG10" s="123">
        <f t="shared" si="1"/>
        <v>3</v>
      </c>
      <c r="BH10" s="123">
        <f t="shared" si="1"/>
        <v>0</v>
      </c>
      <c r="BI10" s="123">
        <f t="shared" si="1"/>
        <v>1</v>
      </c>
      <c r="BJ10" s="123">
        <f t="shared" si="1"/>
        <v>0</v>
      </c>
      <c r="BK10" s="123">
        <f t="shared" si="1"/>
        <v>0</v>
      </c>
      <c r="BL10" s="123">
        <f t="shared" si="1"/>
        <v>0</v>
      </c>
      <c r="BM10" s="123">
        <f t="shared" si="1"/>
        <v>0</v>
      </c>
      <c r="BN10" s="90">
        <f>SUM(BF10:BM10)</f>
        <v>4</v>
      </c>
      <c r="BO10" s="123">
        <f>COUNTIF($E10:$AR10,BO$7)+COUNTIF($E10:$AR10,BO$9)</f>
        <v>0</v>
      </c>
      <c r="BP10" s="123">
        <f>COUNTIF($E10:$AR10,BP$7)+COUNTIF($E10:$AR10,BP$9)</f>
        <v>0</v>
      </c>
      <c r="BQ10" s="123">
        <f>COUNTIF($E10:$AR10,BQ$7)+COUNTIF($E10:$AR10,BQ$9)</f>
        <v>0</v>
      </c>
      <c r="BR10" s="142">
        <f>COUNTIF($E10:$AR10,BR$7)+COUNTIF($E10:$AR10,BR$9)</f>
        <v>0</v>
      </c>
      <c r="BS10" s="4">
        <f>SUM(BF10:BM10)+SUM(BO10:BR10)</f>
        <v>4</v>
      </c>
      <c r="BT10" s="7">
        <f>SUM(BE10,BS10)</f>
        <v>16</v>
      </c>
    </row>
    <row r="11" spans="2:72">
      <c r="B11" s="202"/>
      <c r="C11" s="72">
        <v>2</v>
      </c>
      <c r="D11" s="51" t="s">
        <v>154</v>
      </c>
      <c r="E11" s="77" t="s">
        <v>110</v>
      </c>
      <c r="F11" s="161" t="s">
        <v>123</v>
      </c>
      <c r="G11" s="77" t="s">
        <v>123</v>
      </c>
      <c r="H11" s="77" t="s">
        <v>116</v>
      </c>
      <c r="I11" s="77" t="s">
        <v>114</v>
      </c>
      <c r="J11" s="77" t="s">
        <v>110</v>
      </c>
      <c r="K11" s="76"/>
      <c r="L11" s="76"/>
      <c r="M11" s="77" t="s">
        <v>110</v>
      </c>
      <c r="N11" s="161" t="s">
        <v>114</v>
      </c>
      <c r="O11" s="77" t="s">
        <v>115</v>
      </c>
      <c r="P11" s="77" t="s">
        <v>117</v>
      </c>
      <c r="Q11" s="77" t="s">
        <v>116</v>
      </c>
      <c r="R11" s="77" t="s">
        <v>122</v>
      </c>
      <c r="S11" s="76"/>
      <c r="T11" s="76"/>
      <c r="U11" s="184" t="s">
        <v>124</v>
      </c>
      <c r="V11" s="184" t="s">
        <v>125</v>
      </c>
      <c r="W11" s="184" t="s">
        <v>126</v>
      </c>
      <c r="X11" s="184" t="s">
        <v>127</v>
      </c>
      <c r="Y11" s="184" t="s">
        <v>128</v>
      </c>
      <c r="Z11" s="77"/>
      <c r="AA11" s="76"/>
      <c r="AB11" s="76"/>
      <c r="AC11" s="77" t="s">
        <v>110</v>
      </c>
      <c r="AD11" s="161" t="s">
        <v>114</v>
      </c>
      <c r="AE11" s="77" t="s">
        <v>115</v>
      </c>
      <c r="AF11" s="77" t="s">
        <v>116</v>
      </c>
      <c r="AG11" s="77" t="s">
        <v>117</v>
      </c>
      <c r="AH11" s="161" t="s">
        <v>118</v>
      </c>
      <c r="AI11" s="76"/>
      <c r="AJ11" s="76"/>
      <c r="AK11" s="77" t="s">
        <v>110</v>
      </c>
      <c r="AL11" s="77" t="s">
        <v>130</v>
      </c>
      <c r="AM11" s="77" t="s">
        <v>114</v>
      </c>
      <c r="AN11" s="77" t="s">
        <v>118</v>
      </c>
      <c r="AO11" s="77" t="s">
        <v>115</v>
      </c>
      <c r="AP11" s="77" t="s">
        <v>122</v>
      </c>
      <c r="AQ11" s="76"/>
      <c r="AR11" s="76"/>
      <c r="AS11" s="25">
        <v>5</v>
      </c>
      <c r="AT11" s="123">
        <f t="shared" ref="AT11:AT32" si="2">COUNTIF($E11:$AR11,AT$7)+COUNTIF($E11:$AR11,AT$9)</f>
        <v>5</v>
      </c>
      <c r="AU11" s="123">
        <f t="shared" ref="AU11:BD25" si="3">COUNTIF($E11:$AR11,AU$7)+COUNTIF($E11:$AR11,AU$9)</f>
        <v>3</v>
      </c>
      <c r="AV11" s="123">
        <f t="shared" si="3"/>
        <v>0</v>
      </c>
      <c r="AW11" s="123">
        <f t="shared" si="3"/>
        <v>4</v>
      </c>
      <c r="AX11" s="123">
        <f t="shared" si="3"/>
        <v>2</v>
      </c>
      <c r="AY11" s="123">
        <f t="shared" si="3"/>
        <v>2</v>
      </c>
      <c r="AZ11" s="123">
        <f t="shared" si="3"/>
        <v>1</v>
      </c>
      <c r="BA11" s="123">
        <f t="shared" si="3"/>
        <v>2</v>
      </c>
      <c r="BB11" s="123">
        <f t="shared" si="3"/>
        <v>2</v>
      </c>
      <c r="BC11" s="123">
        <f t="shared" si="3"/>
        <v>3</v>
      </c>
      <c r="BD11" s="123">
        <f t="shared" si="3"/>
        <v>0</v>
      </c>
      <c r="BE11" s="124">
        <f t="shared" ref="BE11:BE32" si="4">SUM(AT11:BD11)</f>
        <v>24</v>
      </c>
      <c r="BF11" s="123">
        <f t="shared" ref="BF11:BF32" si="5">COUNTIF($E11:$AR11,BF$7)+COUNTIF($E11:$AR11,BF$9)</f>
        <v>0</v>
      </c>
      <c r="BG11" s="123">
        <f t="shared" ref="BG11:BM25" si="6">COUNTIF($E11:$AR11,BG$7)+COUNTIF($E11:$AR11,BG$9)</f>
        <v>0</v>
      </c>
      <c r="BH11" s="123">
        <f t="shared" si="6"/>
        <v>0</v>
      </c>
      <c r="BI11" s="123">
        <f t="shared" si="6"/>
        <v>0</v>
      </c>
      <c r="BJ11" s="123">
        <f t="shared" si="6"/>
        <v>0</v>
      </c>
      <c r="BK11" s="123">
        <f t="shared" si="6"/>
        <v>0</v>
      </c>
      <c r="BL11" s="123">
        <f t="shared" si="6"/>
        <v>0</v>
      </c>
      <c r="BM11" s="123">
        <f t="shared" si="6"/>
        <v>0</v>
      </c>
      <c r="BN11" s="90">
        <f t="shared" ref="BN11:BN30" si="7">SUM(BF11:BM11)</f>
        <v>0</v>
      </c>
      <c r="BO11" s="123">
        <f t="shared" ref="BO11:BR32" si="8">COUNTIF($E11:$AR11,BO$7)+COUNTIF($E11:$AR11,BO$9)</f>
        <v>0</v>
      </c>
      <c r="BP11" s="123">
        <f t="shared" ref="BP11:BR25" si="9">COUNTIF($E11:$AR11,BP$7)+COUNTIF($E11:$AR11,BP$9)</f>
        <v>0</v>
      </c>
      <c r="BQ11" s="123">
        <f t="shared" si="9"/>
        <v>0</v>
      </c>
      <c r="BR11" s="142">
        <f t="shared" si="9"/>
        <v>0</v>
      </c>
      <c r="BS11" s="143">
        <f t="shared" ref="BS11:BS32" si="10">SUM(BF11:BM11)+SUM(BO11:BR11)</f>
        <v>0</v>
      </c>
      <c r="BT11" s="7">
        <f t="shared" ref="BT11:BT32" si="11">SUM(BE11,BS11)</f>
        <v>24</v>
      </c>
    </row>
    <row r="12" spans="2:72">
      <c r="B12" s="202"/>
      <c r="C12" s="72">
        <v>3</v>
      </c>
      <c r="D12" s="51" t="s">
        <v>155</v>
      </c>
      <c r="E12" s="77" t="s">
        <v>110</v>
      </c>
      <c r="F12" s="161" t="s">
        <v>123</v>
      </c>
      <c r="G12" s="77" t="s">
        <v>123</v>
      </c>
      <c r="H12" s="77" t="s">
        <v>116</v>
      </c>
      <c r="I12" s="77" t="s">
        <v>118</v>
      </c>
      <c r="J12" s="77" t="s">
        <v>110</v>
      </c>
      <c r="K12" s="76"/>
      <c r="L12" s="76"/>
      <c r="M12" s="17" t="s">
        <v>129</v>
      </c>
      <c r="N12" s="186" t="s">
        <v>129</v>
      </c>
      <c r="O12" s="77" t="s">
        <v>115</v>
      </c>
      <c r="P12" s="77" t="s">
        <v>114</v>
      </c>
      <c r="Q12" s="77" t="s">
        <v>117</v>
      </c>
      <c r="R12" s="77" t="s">
        <v>122</v>
      </c>
      <c r="S12" s="76"/>
      <c r="T12" s="76"/>
      <c r="U12" s="77" t="s">
        <v>110</v>
      </c>
      <c r="V12" s="77" t="s">
        <v>117</v>
      </c>
      <c r="W12" s="77" t="s">
        <v>130</v>
      </c>
      <c r="X12" s="77" t="s">
        <v>118</v>
      </c>
      <c r="Y12" s="77" t="s">
        <v>113</v>
      </c>
      <c r="Z12" s="77"/>
      <c r="AA12" s="76"/>
      <c r="AB12" s="76"/>
      <c r="AC12" s="77" t="s">
        <v>110</v>
      </c>
      <c r="AD12" s="161" t="s">
        <v>114</v>
      </c>
      <c r="AE12" s="77" t="s">
        <v>115</v>
      </c>
      <c r="AF12" s="77" t="s">
        <v>117</v>
      </c>
      <c r="AG12" s="77" t="s">
        <v>117</v>
      </c>
      <c r="AH12" s="161" t="s">
        <v>118</v>
      </c>
      <c r="AI12" s="76"/>
      <c r="AJ12" s="76"/>
      <c r="AK12" s="77" t="s">
        <v>110</v>
      </c>
      <c r="AL12" s="77" t="s">
        <v>130</v>
      </c>
      <c r="AM12" s="77" t="s">
        <v>110</v>
      </c>
      <c r="AN12" s="77" t="s">
        <v>118</v>
      </c>
      <c r="AO12" s="77" t="s">
        <v>115</v>
      </c>
      <c r="AP12" s="77" t="s">
        <v>122</v>
      </c>
      <c r="AQ12" s="76"/>
      <c r="AR12" s="76"/>
      <c r="AS12" s="25">
        <v>5</v>
      </c>
      <c r="AT12" s="123">
        <f t="shared" si="2"/>
        <v>6</v>
      </c>
      <c r="AU12" s="123">
        <f t="shared" si="3"/>
        <v>3</v>
      </c>
      <c r="AV12" s="123">
        <f t="shared" si="3"/>
        <v>1</v>
      </c>
      <c r="AW12" s="123">
        <f t="shared" si="3"/>
        <v>2</v>
      </c>
      <c r="AX12" s="123">
        <f t="shared" si="3"/>
        <v>4</v>
      </c>
      <c r="AY12" s="123">
        <f t="shared" si="3"/>
        <v>2</v>
      </c>
      <c r="AZ12" s="123">
        <f t="shared" si="3"/>
        <v>2</v>
      </c>
      <c r="BA12" s="123">
        <f t="shared" si="3"/>
        <v>4</v>
      </c>
      <c r="BB12" s="123">
        <f t="shared" si="3"/>
        <v>2</v>
      </c>
      <c r="BC12" s="123">
        <f t="shared" si="3"/>
        <v>1</v>
      </c>
      <c r="BD12" s="123">
        <f t="shared" si="3"/>
        <v>0</v>
      </c>
      <c r="BE12" s="124">
        <f t="shared" si="4"/>
        <v>27</v>
      </c>
      <c r="BF12" s="123">
        <f t="shared" si="5"/>
        <v>2</v>
      </c>
      <c r="BG12" s="123">
        <f t="shared" si="6"/>
        <v>0</v>
      </c>
      <c r="BH12" s="123">
        <f t="shared" si="6"/>
        <v>0</v>
      </c>
      <c r="BI12" s="123">
        <f t="shared" si="6"/>
        <v>0</v>
      </c>
      <c r="BJ12" s="123">
        <f t="shared" si="6"/>
        <v>0</v>
      </c>
      <c r="BK12" s="123">
        <f t="shared" si="6"/>
        <v>0</v>
      </c>
      <c r="BL12" s="123">
        <f t="shared" si="6"/>
        <v>0</v>
      </c>
      <c r="BM12" s="123">
        <f t="shared" si="6"/>
        <v>0</v>
      </c>
      <c r="BN12" s="90">
        <f t="shared" si="7"/>
        <v>2</v>
      </c>
      <c r="BO12" s="123">
        <f t="shared" si="8"/>
        <v>0</v>
      </c>
      <c r="BP12" s="123">
        <f t="shared" si="9"/>
        <v>0</v>
      </c>
      <c r="BQ12" s="123">
        <f t="shared" si="9"/>
        <v>0</v>
      </c>
      <c r="BR12" s="142">
        <f t="shared" si="9"/>
        <v>0</v>
      </c>
      <c r="BS12" s="143">
        <f t="shared" si="10"/>
        <v>2</v>
      </c>
      <c r="BT12" s="7">
        <f t="shared" si="11"/>
        <v>29</v>
      </c>
    </row>
    <row r="13" spans="2:72">
      <c r="B13" s="203"/>
      <c r="C13" s="159">
        <v>4</v>
      </c>
      <c r="D13" s="51" t="s">
        <v>156</v>
      </c>
      <c r="E13" s="77" t="s">
        <v>110</v>
      </c>
      <c r="F13" s="161" t="s">
        <v>123</v>
      </c>
      <c r="G13" s="77" t="s">
        <v>123</v>
      </c>
      <c r="H13" s="77" t="s">
        <v>116</v>
      </c>
      <c r="I13" s="77" t="s">
        <v>114</v>
      </c>
      <c r="J13" s="17" t="s">
        <v>129</v>
      </c>
      <c r="K13" s="76"/>
      <c r="L13" s="76"/>
      <c r="M13" s="77" t="s">
        <v>110</v>
      </c>
      <c r="N13" s="161" t="s">
        <v>110</v>
      </c>
      <c r="O13" s="77" t="s">
        <v>115</v>
      </c>
      <c r="P13" s="77" t="s">
        <v>114</v>
      </c>
      <c r="Q13" s="77" t="s">
        <v>117</v>
      </c>
      <c r="R13" s="77" t="s">
        <v>122</v>
      </c>
      <c r="S13" s="76"/>
      <c r="T13" s="76"/>
      <c r="U13" s="77" t="s">
        <v>116</v>
      </c>
      <c r="V13" s="77" t="s">
        <v>117</v>
      </c>
      <c r="W13" s="77" t="s">
        <v>130</v>
      </c>
      <c r="X13" s="77" t="s">
        <v>118</v>
      </c>
      <c r="Y13" s="77" t="s">
        <v>113</v>
      </c>
      <c r="Z13" s="77"/>
      <c r="AA13" s="76"/>
      <c r="AB13" s="76"/>
      <c r="AC13" s="77" t="s">
        <v>110</v>
      </c>
      <c r="AD13" s="161" t="s">
        <v>114</v>
      </c>
      <c r="AE13" s="77" t="s">
        <v>115</v>
      </c>
      <c r="AF13" s="77" t="s">
        <v>116</v>
      </c>
      <c r="AG13" s="77" t="s">
        <v>18</v>
      </c>
      <c r="AH13" s="161" t="s">
        <v>20</v>
      </c>
      <c r="AI13" s="76"/>
      <c r="AJ13" s="76"/>
      <c r="AK13" s="17" t="s">
        <v>129</v>
      </c>
      <c r="AL13" s="77" t="s">
        <v>130</v>
      </c>
      <c r="AM13" s="77" t="s">
        <v>114</v>
      </c>
      <c r="AN13" s="77" t="s">
        <v>118</v>
      </c>
      <c r="AO13" s="11" t="s">
        <v>131</v>
      </c>
      <c r="AP13" s="11" t="s">
        <v>131</v>
      </c>
      <c r="AQ13" s="76"/>
      <c r="AR13" s="76"/>
      <c r="AS13" s="25">
        <v>5</v>
      </c>
      <c r="AT13" s="123">
        <f t="shared" si="2"/>
        <v>4</v>
      </c>
      <c r="AU13" s="123">
        <f t="shared" si="3"/>
        <v>2</v>
      </c>
      <c r="AV13" s="123">
        <f t="shared" si="3"/>
        <v>1</v>
      </c>
      <c r="AW13" s="123">
        <f t="shared" si="3"/>
        <v>4</v>
      </c>
      <c r="AX13" s="123">
        <f t="shared" si="3"/>
        <v>3</v>
      </c>
      <c r="AY13" s="123">
        <f t="shared" si="3"/>
        <v>1</v>
      </c>
      <c r="AZ13" s="123">
        <f t="shared" si="3"/>
        <v>2</v>
      </c>
      <c r="BA13" s="123">
        <f t="shared" si="3"/>
        <v>3</v>
      </c>
      <c r="BB13" s="123">
        <f t="shared" si="3"/>
        <v>2</v>
      </c>
      <c r="BC13" s="123">
        <f t="shared" si="3"/>
        <v>3</v>
      </c>
      <c r="BD13" s="123">
        <f t="shared" si="3"/>
        <v>0</v>
      </c>
      <c r="BE13" s="124">
        <f t="shared" si="4"/>
        <v>25</v>
      </c>
      <c r="BF13" s="123">
        <f t="shared" si="5"/>
        <v>2</v>
      </c>
      <c r="BG13" s="123">
        <f t="shared" si="6"/>
        <v>0</v>
      </c>
      <c r="BH13" s="123">
        <f t="shared" si="6"/>
        <v>0</v>
      </c>
      <c r="BI13" s="123">
        <f t="shared" si="6"/>
        <v>0</v>
      </c>
      <c r="BJ13" s="123">
        <f t="shared" si="6"/>
        <v>0</v>
      </c>
      <c r="BK13" s="123">
        <f t="shared" si="6"/>
        <v>0</v>
      </c>
      <c r="BL13" s="123">
        <f t="shared" si="6"/>
        <v>0</v>
      </c>
      <c r="BM13" s="123">
        <f t="shared" si="6"/>
        <v>0</v>
      </c>
      <c r="BN13" s="90">
        <f t="shared" si="7"/>
        <v>2</v>
      </c>
      <c r="BO13" s="123">
        <f t="shared" si="8"/>
        <v>0</v>
      </c>
      <c r="BP13" s="123">
        <f t="shared" si="9"/>
        <v>0</v>
      </c>
      <c r="BQ13" s="123">
        <f t="shared" si="9"/>
        <v>2</v>
      </c>
      <c r="BR13" s="142">
        <f t="shared" si="9"/>
        <v>0</v>
      </c>
      <c r="BS13" s="143">
        <f t="shared" si="10"/>
        <v>4</v>
      </c>
      <c r="BT13" s="7">
        <f t="shared" si="11"/>
        <v>29</v>
      </c>
    </row>
    <row r="14" spans="2:72">
      <c r="B14" s="195">
        <v>4</v>
      </c>
      <c r="C14" s="159">
        <v>5</v>
      </c>
      <c r="D14" s="51" t="s">
        <v>157</v>
      </c>
      <c r="E14" s="77" t="s">
        <v>110</v>
      </c>
      <c r="F14" s="161" t="s">
        <v>123</v>
      </c>
      <c r="G14" s="77" t="s">
        <v>123</v>
      </c>
      <c r="H14" s="77" t="s">
        <v>116</v>
      </c>
      <c r="I14" s="77" t="s">
        <v>114</v>
      </c>
      <c r="J14" s="17" t="s">
        <v>129</v>
      </c>
      <c r="K14" s="76"/>
      <c r="L14" s="76"/>
      <c r="M14" s="77" t="s">
        <v>110</v>
      </c>
      <c r="N14" s="161" t="s">
        <v>110</v>
      </c>
      <c r="O14" s="77" t="s">
        <v>115</v>
      </c>
      <c r="P14" s="77" t="s">
        <v>114</v>
      </c>
      <c r="Q14" s="77" t="s">
        <v>117</v>
      </c>
      <c r="R14" s="77" t="s">
        <v>122</v>
      </c>
      <c r="S14" s="76"/>
      <c r="T14" s="76"/>
      <c r="U14" s="77" t="s">
        <v>116</v>
      </c>
      <c r="V14" s="77" t="s">
        <v>117</v>
      </c>
      <c r="W14" s="77" t="s">
        <v>130</v>
      </c>
      <c r="X14" s="77" t="s">
        <v>118</v>
      </c>
      <c r="Y14" s="77" t="s">
        <v>113</v>
      </c>
      <c r="Z14" s="77"/>
      <c r="AA14" s="76"/>
      <c r="AB14" s="76"/>
      <c r="AC14" s="77" t="s">
        <v>110</v>
      </c>
      <c r="AD14" s="161" t="s">
        <v>114</v>
      </c>
      <c r="AE14" s="77" t="s">
        <v>115</v>
      </c>
      <c r="AF14" s="77" t="s">
        <v>116</v>
      </c>
      <c r="AG14" s="77" t="s">
        <v>117</v>
      </c>
      <c r="AH14" s="161" t="s">
        <v>118</v>
      </c>
      <c r="AI14" s="76"/>
      <c r="AJ14" s="76"/>
      <c r="AK14" s="17" t="s">
        <v>129</v>
      </c>
      <c r="AL14" s="77" t="s">
        <v>130</v>
      </c>
      <c r="AM14" s="77" t="s">
        <v>114</v>
      </c>
      <c r="AN14" s="77" t="s">
        <v>110</v>
      </c>
      <c r="AO14" s="77" t="s">
        <v>115</v>
      </c>
      <c r="AP14" s="77" t="s">
        <v>122</v>
      </c>
      <c r="AQ14" s="76"/>
      <c r="AR14" s="76"/>
      <c r="AS14" s="25">
        <v>5</v>
      </c>
      <c r="AT14" s="123">
        <f t="shared" si="2"/>
        <v>5</v>
      </c>
      <c r="AU14" s="123">
        <f t="shared" si="3"/>
        <v>3</v>
      </c>
      <c r="AV14" s="123">
        <f t="shared" si="3"/>
        <v>1</v>
      </c>
      <c r="AW14" s="123">
        <f t="shared" si="3"/>
        <v>4</v>
      </c>
      <c r="AX14" s="123">
        <f t="shared" si="3"/>
        <v>3</v>
      </c>
      <c r="AY14" s="123">
        <f t="shared" si="3"/>
        <v>2</v>
      </c>
      <c r="AZ14" s="123">
        <f t="shared" si="3"/>
        <v>2</v>
      </c>
      <c r="BA14" s="123">
        <f t="shared" si="3"/>
        <v>2</v>
      </c>
      <c r="BB14" s="123">
        <f t="shared" si="3"/>
        <v>2</v>
      </c>
      <c r="BC14" s="123">
        <f t="shared" si="3"/>
        <v>3</v>
      </c>
      <c r="BD14" s="123">
        <f t="shared" si="3"/>
        <v>0</v>
      </c>
      <c r="BE14" s="124">
        <f t="shared" si="4"/>
        <v>27</v>
      </c>
      <c r="BF14" s="123">
        <f t="shared" si="5"/>
        <v>2</v>
      </c>
      <c r="BG14" s="123">
        <f t="shared" si="6"/>
        <v>0</v>
      </c>
      <c r="BH14" s="123">
        <f t="shared" si="6"/>
        <v>0</v>
      </c>
      <c r="BI14" s="123">
        <f t="shared" si="6"/>
        <v>0</v>
      </c>
      <c r="BJ14" s="123">
        <f t="shared" si="6"/>
        <v>0</v>
      </c>
      <c r="BK14" s="123">
        <f t="shared" si="6"/>
        <v>0</v>
      </c>
      <c r="BL14" s="123">
        <f t="shared" si="6"/>
        <v>0</v>
      </c>
      <c r="BM14" s="123">
        <f t="shared" si="6"/>
        <v>0</v>
      </c>
      <c r="BN14" s="90">
        <f t="shared" si="7"/>
        <v>2</v>
      </c>
      <c r="BO14" s="123">
        <f t="shared" si="8"/>
        <v>0</v>
      </c>
      <c r="BP14" s="123">
        <f t="shared" si="9"/>
        <v>0</v>
      </c>
      <c r="BQ14" s="123">
        <f t="shared" si="9"/>
        <v>0</v>
      </c>
      <c r="BR14" s="142">
        <f t="shared" si="9"/>
        <v>0</v>
      </c>
      <c r="BS14" s="143">
        <f t="shared" si="10"/>
        <v>2</v>
      </c>
      <c r="BT14" s="7">
        <f t="shared" si="11"/>
        <v>29</v>
      </c>
    </row>
    <row r="15" spans="2:72">
      <c r="B15" s="202"/>
      <c r="C15" s="159">
        <v>6</v>
      </c>
      <c r="D15" s="51" t="s">
        <v>143</v>
      </c>
      <c r="E15" s="77" t="s">
        <v>110</v>
      </c>
      <c r="F15" s="161" t="s">
        <v>123</v>
      </c>
      <c r="G15" s="77" t="s">
        <v>123</v>
      </c>
      <c r="H15" s="77" t="s">
        <v>116</v>
      </c>
      <c r="I15" s="77" t="s">
        <v>114</v>
      </c>
      <c r="J15" s="17" t="s">
        <v>166</v>
      </c>
      <c r="K15" s="76"/>
      <c r="L15" s="76"/>
      <c r="M15" s="77" t="s">
        <v>110</v>
      </c>
      <c r="N15" s="161" t="s">
        <v>110</v>
      </c>
      <c r="O15" s="17" t="s">
        <v>119</v>
      </c>
      <c r="P15" s="17" t="s">
        <v>119</v>
      </c>
      <c r="Q15" s="77" t="s">
        <v>117</v>
      </c>
      <c r="R15" s="77" t="s">
        <v>122</v>
      </c>
      <c r="S15" s="76"/>
      <c r="T15" s="76"/>
      <c r="U15" s="77" t="s">
        <v>116</v>
      </c>
      <c r="V15" s="77" t="s">
        <v>117</v>
      </c>
      <c r="W15" s="77" t="s">
        <v>130</v>
      </c>
      <c r="X15" s="77" t="s">
        <v>118</v>
      </c>
      <c r="Y15" s="77" t="s">
        <v>113</v>
      </c>
      <c r="Z15" s="77"/>
      <c r="AA15" s="76"/>
      <c r="AB15" s="76"/>
      <c r="AC15" s="77" t="s">
        <v>110</v>
      </c>
      <c r="AD15" s="161" t="s">
        <v>114</v>
      </c>
      <c r="AE15" s="77" t="s">
        <v>115</v>
      </c>
      <c r="AF15" s="77" t="s">
        <v>116</v>
      </c>
      <c r="AG15" s="77" t="s">
        <v>117</v>
      </c>
      <c r="AH15" s="161" t="s">
        <v>118</v>
      </c>
      <c r="AI15" s="76"/>
      <c r="AJ15" s="76"/>
      <c r="AK15" s="17" t="s">
        <v>166</v>
      </c>
      <c r="AL15" s="77" t="s">
        <v>130</v>
      </c>
      <c r="AM15" s="77" t="s">
        <v>114</v>
      </c>
      <c r="AN15" s="77" t="s">
        <v>110</v>
      </c>
      <c r="AO15" s="77" t="s">
        <v>115</v>
      </c>
      <c r="AP15" s="77" t="s">
        <v>122</v>
      </c>
      <c r="AQ15" s="76"/>
      <c r="AR15" s="76"/>
      <c r="AS15" s="25">
        <v>5</v>
      </c>
      <c r="AT15" s="123">
        <f t="shared" si="2"/>
        <v>5</v>
      </c>
      <c r="AU15" s="123">
        <f t="shared" si="3"/>
        <v>2</v>
      </c>
      <c r="AV15" s="123">
        <f t="shared" si="3"/>
        <v>1</v>
      </c>
      <c r="AW15" s="123">
        <f t="shared" si="3"/>
        <v>3</v>
      </c>
      <c r="AX15" s="123">
        <f t="shared" si="3"/>
        <v>3</v>
      </c>
      <c r="AY15" s="123">
        <f t="shared" si="3"/>
        <v>2</v>
      </c>
      <c r="AZ15" s="123">
        <f t="shared" si="3"/>
        <v>2</v>
      </c>
      <c r="BA15" s="123">
        <f t="shared" si="3"/>
        <v>2</v>
      </c>
      <c r="BB15" s="123">
        <f t="shared" si="3"/>
        <v>2</v>
      </c>
      <c r="BC15" s="123">
        <f t="shared" si="3"/>
        <v>3</v>
      </c>
      <c r="BD15" s="123">
        <f t="shared" si="3"/>
        <v>0</v>
      </c>
      <c r="BE15" s="124">
        <f t="shared" si="4"/>
        <v>25</v>
      </c>
      <c r="BF15" s="123">
        <f t="shared" si="5"/>
        <v>0</v>
      </c>
      <c r="BG15" s="123">
        <f t="shared" si="6"/>
        <v>0</v>
      </c>
      <c r="BH15" s="123">
        <f t="shared" si="6"/>
        <v>0</v>
      </c>
      <c r="BI15" s="123">
        <f t="shared" si="6"/>
        <v>2</v>
      </c>
      <c r="BJ15" s="123">
        <f t="shared" si="6"/>
        <v>2</v>
      </c>
      <c r="BK15" s="123">
        <f t="shared" si="6"/>
        <v>0</v>
      </c>
      <c r="BL15" s="123">
        <f t="shared" si="6"/>
        <v>0</v>
      </c>
      <c r="BM15" s="123">
        <f t="shared" si="6"/>
        <v>0</v>
      </c>
      <c r="BN15" s="90">
        <f t="shared" si="7"/>
        <v>4</v>
      </c>
      <c r="BO15" s="123">
        <f t="shared" si="8"/>
        <v>0</v>
      </c>
      <c r="BP15" s="123">
        <f t="shared" si="9"/>
        <v>0</v>
      </c>
      <c r="BQ15" s="123">
        <f t="shared" si="9"/>
        <v>0</v>
      </c>
      <c r="BR15" s="142">
        <f t="shared" si="9"/>
        <v>0</v>
      </c>
      <c r="BS15" s="143">
        <f t="shared" si="10"/>
        <v>4</v>
      </c>
      <c r="BT15" s="7">
        <f t="shared" si="11"/>
        <v>29</v>
      </c>
    </row>
    <row r="16" spans="2:72">
      <c r="B16" s="202"/>
      <c r="C16" s="159">
        <v>7</v>
      </c>
      <c r="D16" s="51" t="s">
        <v>132</v>
      </c>
      <c r="E16" s="77" t="s">
        <v>110</v>
      </c>
      <c r="F16" s="161" t="s">
        <v>123</v>
      </c>
      <c r="G16" s="77" t="s">
        <v>123</v>
      </c>
      <c r="H16" s="77" t="s">
        <v>116</v>
      </c>
      <c r="I16" s="77" t="s">
        <v>114</v>
      </c>
      <c r="J16" s="17" t="s">
        <v>164</v>
      </c>
      <c r="K16" s="76"/>
      <c r="L16" s="76"/>
      <c r="M16" s="77" t="s">
        <v>110</v>
      </c>
      <c r="N16" s="161" t="s">
        <v>110</v>
      </c>
      <c r="O16" s="77" t="s">
        <v>115</v>
      </c>
      <c r="P16" s="77" t="s">
        <v>114</v>
      </c>
      <c r="Q16" s="77" t="s">
        <v>117</v>
      </c>
      <c r="R16" s="77" t="s">
        <v>122</v>
      </c>
      <c r="S16" s="76"/>
      <c r="T16" s="76"/>
      <c r="U16" s="77" t="s">
        <v>116</v>
      </c>
      <c r="V16" s="77" t="s">
        <v>117</v>
      </c>
      <c r="W16" s="77" t="s">
        <v>130</v>
      </c>
      <c r="X16" s="77" t="s">
        <v>118</v>
      </c>
      <c r="Y16" s="77" t="s">
        <v>113</v>
      </c>
      <c r="Z16" s="77"/>
      <c r="AA16" s="76"/>
      <c r="AB16" s="76"/>
      <c r="AC16" s="77" t="s">
        <v>110</v>
      </c>
      <c r="AD16" s="161" t="s">
        <v>114</v>
      </c>
      <c r="AE16" s="77" t="s">
        <v>115</v>
      </c>
      <c r="AF16" s="77" t="s">
        <v>116</v>
      </c>
      <c r="AG16" s="77" t="s">
        <v>117</v>
      </c>
      <c r="AH16" s="161" t="s">
        <v>118</v>
      </c>
      <c r="AI16" s="76"/>
      <c r="AJ16" s="76"/>
      <c r="AK16" s="77" t="s">
        <v>110</v>
      </c>
      <c r="AL16" s="77" t="s">
        <v>130</v>
      </c>
      <c r="AM16" s="77" t="s">
        <v>114</v>
      </c>
      <c r="AN16" s="77" t="s">
        <v>110</v>
      </c>
      <c r="AO16" s="77" t="s">
        <v>115</v>
      </c>
      <c r="AP16" s="77" t="s">
        <v>122</v>
      </c>
      <c r="AQ16" s="76"/>
      <c r="AR16" s="76"/>
      <c r="AS16" s="25">
        <v>5</v>
      </c>
      <c r="AT16" s="123">
        <f t="shared" si="2"/>
        <v>6</v>
      </c>
      <c r="AU16" s="123">
        <f t="shared" si="3"/>
        <v>3</v>
      </c>
      <c r="AV16" s="123">
        <f t="shared" si="3"/>
        <v>1</v>
      </c>
      <c r="AW16" s="123">
        <f t="shared" si="3"/>
        <v>4</v>
      </c>
      <c r="AX16" s="123">
        <f t="shared" si="3"/>
        <v>3</v>
      </c>
      <c r="AY16" s="123">
        <f t="shared" si="3"/>
        <v>2</v>
      </c>
      <c r="AZ16" s="123">
        <f t="shared" si="3"/>
        <v>2</v>
      </c>
      <c r="BA16" s="123">
        <f t="shared" si="3"/>
        <v>2</v>
      </c>
      <c r="BB16" s="123">
        <f t="shared" si="3"/>
        <v>2</v>
      </c>
      <c r="BC16" s="123">
        <f t="shared" si="3"/>
        <v>3</v>
      </c>
      <c r="BD16" s="123">
        <f t="shared" si="3"/>
        <v>0</v>
      </c>
      <c r="BE16" s="124">
        <f t="shared" si="4"/>
        <v>28</v>
      </c>
      <c r="BF16" s="123">
        <f t="shared" si="5"/>
        <v>0</v>
      </c>
      <c r="BG16" s="123">
        <f t="shared" si="6"/>
        <v>0</v>
      </c>
      <c r="BH16" s="123">
        <f t="shared" si="6"/>
        <v>0</v>
      </c>
      <c r="BI16" s="123">
        <f t="shared" si="6"/>
        <v>0</v>
      </c>
      <c r="BJ16" s="123">
        <f t="shared" si="6"/>
        <v>1</v>
      </c>
      <c r="BK16" s="123">
        <f t="shared" si="6"/>
        <v>0</v>
      </c>
      <c r="BL16" s="123">
        <f t="shared" si="6"/>
        <v>0</v>
      </c>
      <c r="BM16" s="123">
        <f t="shared" si="6"/>
        <v>0</v>
      </c>
      <c r="BN16" s="90">
        <f t="shared" si="7"/>
        <v>1</v>
      </c>
      <c r="BO16" s="123">
        <f t="shared" si="8"/>
        <v>0</v>
      </c>
      <c r="BP16" s="123">
        <f t="shared" si="9"/>
        <v>0</v>
      </c>
      <c r="BQ16" s="123">
        <f t="shared" si="9"/>
        <v>0</v>
      </c>
      <c r="BR16" s="142">
        <f t="shared" si="9"/>
        <v>0</v>
      </c>
      <c r="BS16" s="143">
        <f t="shared" si="10"/>
        <v>1</v>
      </c>
      <c r="BT16" s="7">
        <f t="shared" si="11"/>
        <v>29</v>
      </c>
    </row>
    <row r="17" spans="2:72">
      <c r="B17" s="202"/>
      <c r="C17" s="159">
        <v>8</v>
      </c>
      <c r="D17" s="51" t="s">
        <v>158</v>
      </c>
      <c r="E17" s="77" t="s">
        <v>110</v>
      </c>
      <c r="F17" s="161" t="s">
        <v>123</v>
      </c>
      <c r="G17" s="77" t="s">
        <v>123</v>
      </c>
      <c r="H17" s="77" t="s">
        <v>116</v>
      </c>
      <c r="I17" s="77" t="s">
        <v>114</v>
      </c>
      <c r="J17" s="17" t="s">
        <v>119</v>
      </c>
      <c r="K17" s="76"/>
      <c r="L17" s="76"/>
      <c r="M17" s="77" t="s">
        <v>110</v>
      </c>
      <c r="N17" s="161" t="s">
        <v>110</v>
      </c>
      <c r="O17" s="77" t="s">
        <v>115</v>
      </c>
      <c r="P17" s="77" t="s">
        <v>114</v>
      </c>
      <c r="Q17" s="77" t="s">
        <v>117</v>
      </c>
      <c r="R17" s="77" t="s">
        <v>122</v>
      </c>
      <c r="S17" s="76"/>
      <c r="T17" s="76"/>
      <c r="U17" s="77" t="s">
        <v>116</v>
      </c>
      <c r="V17" s="17" t="s">
        <v>166</v>
      </c>
      <c r="W17" s="77" t="s">
        <v>130</v>
      </c>
      <c r="X17" s="77" t="s">
        <v>118</v>
      </c>
      <c r="Y17" s="77" t="s">
        <v>113</v>
      </c>
      <c r="Z17" s="77"/>
      <c r="AA17" s="76"/>
      <c r="AB17" s="76"/>
      <c r="AC17" s="77" t="s">
        <v>110</v>
      </c>
      <c r="AD17" s="161" t="s">
        <v>114</v>
      </c>
      <c r="AE17" s="77" t="s">
        <v>115</v>
      </c>
      <c r="AF17" s="77" t="s">
        <v>116</v>
      </c>
      <c r="AG17" s="187" t="s">
        <v>44</v>
      </c>
      <c r="AH17" s="187" t="s">
        <v>44</v>
      </c>
      <c r="AI17" s="76"/>
      <c r="AJ17" s="76"/>
      <c r="AK17" s="77" t="s">
        <v>110</v>
      </c>
      <c r="AL17" s="77" t="s">
        <v>130</v>
      </c>
      <c r="AM17" s="77" t="s">
        <v>114</v>
      </c>
      <c r="AN17" s="77" t="s">
        <v>110</v>
      </c>
      <c r="AO17" s="77" t="s">
        <v>115</v>
      </c>
      <c r="AP17" s="77" t="s">
        <v>122</v>
      </c>
      <c r="AQ17" s="76"/>
      <c r="AR17" s="76"/>
      <c r="AS17" s="25">
        <v>5</v>
      </c>
      <c r="AT17" s="123">
        <f t="shared" si="2"/>
        <v>6</v>
      </c>
      <c r="AU17" s="123">
        <f t="shared" si="3"/>
        <v>3</v>
      </c>
      <c r="AV17" s="123">
        <f t="shared" si="3"/>
        <v>1</v>
      </c>
      <c r="AW17" s="123">
        <f t="shared" si="3"/>
        <v>4</v>
      </c>
      <c r="AX17" s="123">
        <f t="shared" si="3"/>
        <v>1</v>
      </c>
      <c r="AY17" s="123">
        <f t="shared" si="3"/>
        <v>2</v>
      </c>
      <c r="AZ17" s="123">
        <f t="shared" si="3"/>
        <v>2</v>
      </c>
      <c r="BA17" s="123">
        <f t="shared" si="3"/>
        <v>1</v>
      </c>
      <c r="BB17" s="123">
        <f t="shared" si="3"/>
        <v>2</v>
      </c>
      <c r="BC17" s="123">
        <f t="shared" si="3"/>
        <v>3</v>
      </c>
      <c r="BD17" s="123">
        <f t="shared" si="3"/>
        <v>0</v>
      </c>
      <c r="BE17" s="124">
        <f t="shared" si="4"/>
        <v>25</v>
      </c>
      <c r="BF17" s="123">
        <f t="shared" si="5"/>
        <v>0</v>
      </c>
      <c r="BG17" s="123">
        <f t="shared" si="6"/>
        <v>0</v>
      </c>
      <c r="BH17" s="123">
        <f t="shared" si="6"/>
        <v>0</v>
      </c>
      <c r="BI17" s="123">
        <f t="shared" si="6"/>
        <v>1</v>
      </c>
      <c r="BJ17" s="123">
        <f t="shared" si="6"/>
        <v>1</v>
      </c>
      <c r="BK17" s="123">
        <f t="shared" si="6"/>
        <v>0</v>
      </c>
      <c r="BL17" s="123">
        <f t="shared" si="6"/>
        <v>0</v>
      </c>
      <c r="BM17" s="123">
        <f t="shared" si="6"/>
        <v>0</v>
      </c>
      <c r="BN17" s="90">
        <f t="shared" si="7"/>
        <v>2</v>
      </c>
      <c r="BO17" s="123">
        <f t="shared" si="8"/>
        <v>2</v>
      </c>
      <c r="BP17" s="123">
        <f t="shared" si="9"/>
        <v>0</v>
      </c>
      <c r="BQ17" s="123">
        <f t="shared" si="9"/>
        <v>0</v>
      </c>
      <c r="BR17" s="142">
        <f t="shared" si="9"/>
        <v>0</v>
      </c>
      <c r="BS17" s="143">
        <f t="shared" si="10"/>
        <v>4</v>
      </c>
      <c r="BT17" s="7">
        <f t="shared" si="11"/>
        <v>29</v>
      </c>
    </row>
    <row r="18" spans="2:72">
      <c r="B18" s="203"/>
      <c r="C18" s="159">
        <v>9</v>
      </c>
      <c r="D18" s="51" t="s">
        <v>159</v>
      </c>
      <c r="E18" s="77" t="s">
        <v>110</v>
      </c>
      <c r="F18" s="161" t="s">
        <v>123</v>
      </c>
      <c r="G18" s="77" t="s">
        <v>123</v>
      </c>
      <c r="H18" s="77" t="s">
        <v>116</v>
      </c>
      <c r="I18" s="77" t="s">
        <v>114</v>
      </c>
      <c r="J18" s="77" t="s">
        <v>110</v>
      </c>
      <c r="K18" s="76"/>
      <c r="L18" s="76"/>
      <c r="M18" s="77" t="s">
        <v>110</v>
      </c>
      <c r="N18" s="161" t="s">
        <v>110</v>
      </c>
      <c r="O18" s="77" t="s">
        <v>115</v>
      </c>
      <c r="P18" s="77" t="s">
        <v>114</v>
      </c>
      <c r="Q18" s="77" t="s">
        <v>117</v>
      </c>
      <c r="R18" s="77" t="s">
        <v>122</v>
      </c>
      <c r="S18" s="76"/>
      <c r="T18" s="76"/>
      <c r="U18" s="77" t="s">
        <v>116</v>
      </c>
      <c r="V18" s="77" t="s">
        <v>117</v>
      </c>
      <c r="W18" s="77" t="s">
        <v>130</v>
      </c>
      <c r="X18" s="77" t="s">
        <v>118</v>
      </c>
      <c r="Y18" s="77" t="s">
        <v>113</v>
      </c>
      <c r="Z18" s="77"/>
      <c r="AA18" s="76"/>
      <c r="AB18" s="76"/>
      <c r="AC18" s="77" t="s">
        <v>110</v>
      </c>
      <c r="AD18" s="161" t="s">
        <v>114</v>
      </c>
      <c r="AE18" s="77" t="s">
        <v>115</v>
      </c>
      <c r="AF18" s="77" t="s">
        <v>116</v>
      </c>
      <c r="AG18" s="187" t="s">
        <v>44</v>
      </c>
      <c r="AH18" s="187" t="s">
        <v>44</v>
      </c>
      <c r="AI18" s="76"/>
      <c r="AJ18" s="76"/>
      <c r="AK18" s="77" t="s">
        <v>110</v>
      </c>
      <c r="AL18" s="77" t="s">
        <v>130</v>
      </c>
      <c r="AM18" s="77" t="s">
        <v>114</v>
      </c>
      <c r="AN18" s="77" t="s">
        <v>110</v>
      </c>
      <c r="AO18" s="77" t="s">
        <v>115</v>
      </c>
      <c r="AP18" s="77" t="s">
        <v>122</v>
      </c>
      <c r="AQ18" s="76"/>
      <c r="AR18" s="76"/>
      <c r="AS18" s="25">
        <v>5</v>
      </c>
      <c r="AT18" s="123">
        <f t="shared" si="2"/>
        <v>7</v>
      </c>
      <c r="AU18" s="123">
        <f t="shared" si="3"/>
        <v>3</v>
      </c>
      <c r="AV18" s="123">
        <f t="shared" si="3"/>
        <v>1</v>
      </c>
      <c r="AW18" s="123">
        <f t="shared" si="3"/>
        <v>4</v>
      </c>
      <c r="AX18" s="123">
        <f t="shared" si="3"/>
        <v>2</v>
      </c>
      <c r="AY18" s="123">
        <f t="shared" si="3"/>
        <v>2</v>
      </c>
      <c r="AZ18" s="123">
        <f t="shared" si="3"/>
        <v>2</v>
      </c>
      <c r="BA18" s="123">
        <f t="shared" si="3"/>
        <v>1</v>
      </c>
      <c r="BB18" s="123">
        <f t="shared" si="3"/>
        <v>2</v>
      </c>
      <c r="BC18" s="123">
        <f t="shared" si="3"/>
        <v>3</v>
      </c>
      <c r="BD18" s="123">
        <f t="shared" si="3"/>
        <v>0</v>
      </c>
      <c r="BE18" s="124">
        <f t="shared" si="4"/>
        <v>27</v>
      </c>
      <c r="BF18" s="123">
        <f t="shared" si="5"/>
        <v>0</v>
      </c>
      <c r="BG18" s="123">
        <f t="shared" si="6"/>
        <v>0</v>
      </c>
      <c r="BH18" s="123">
        <f t="shared" si="6"/>
        <v>0</v>
      </c>
      <c r="BI18" s="123">
        <f t="shared" si="6"/>
        <v>0</v>
      </c>
      <c r="BJ18" s="123">
        <f t="shared" si="6"/>
        <v>0</v>
      </c>
      <c r="BK18" s="123">
        <f t="shared" si="6"/>
        <v>0</v>
      </c>
      <c r="BL18" s="123">
        <f t="shared" si="6"/>
        <v>0</v>
      </c>
      <c r="BM18" s="123">
        <f t="shared" si="6"/>
        <v>0</v>
      </c>
      <c r="BN18" s="90">
        <f t="shared" si="7"/>
        <v>0</v>
      </c>
      <c r="BO18" s="123">
        <f t="shared" si="8"/>
        <v>2</v>
      </c>
      <c r="BP18" s="123">
        <f t="shared" si="9"/>
        <v>0</v>
      </c>
      <c r="BQ18" s="123">
        <f t="shared" si="9"/>
        <v>0</v>
      </c>
      <c r="BR18" s="142">
        <f t="shared" si="9"/>
        <v>0</v>
      </c>
      <c r="BS18" s="143">
        <f t="shared" si="10"/>
        <v>2</v>
      </c>
      <c r="BT18" s="7">
        <f t="shared" si="11"/>
        <v>29</v>
      </c>
    </row>
    <row r="19" spans="2:72">
      <c r="B19" s="195">
        <v>5</v>
      </c>
      <c r="C19" s="159">
        <v>10</v>
      </c>
      <c r="D19" s="51" t="s">
        <v>160</v>
      </c>
      <c r="E19" s="77" t="s">
        <v>110</v>
      </c>
      <c r="F19" s="161" t="s">
        <v>123</v>
      </c>
      <c r="G19" s="77" t="s">
        <v>123</v>
      </c>
      <c r="H19" s="77" t="s">
        <v>116</v>
      </c>
      <c r="I19" s="77" t="s">
        <v>114</v>
      </c>
      <c r="J19" s="77" t="s">
        <v>110</v>
      </c>
      <c r="K19" s="76"/>
      <c r="L19" s="76"/>
      <c r="M19" s="77" t="s">
        <v>110</v>
      </c>
      <c r="N19" s="161" t="s">
        <v>110</v>
      </c>
      <c r="O19" s="77" t="s">
        <v>115</v>
      </c>
      <c r="P19" s="77" t="s">
        <v>114</v>
      </c>
      <c r="Q19" s="77" t="s">
        <v>117</v>
      </c>
      <c r="R19" s="77" t="s">
        <v>122</v>
      </c>
      <c r="S19" s="76"/>
      <c r="T19" s="76"/>
      <c r="U19" s="77" t="s">
        <v>116</v>
      </c>
      <c r="V19" s="77" t="s">
        <v>117</v>
      </c>
      <c r="W19" s="77" t="s">
        <v>130</v>
      </c>
      <c r="X19" s="77" t="s">
        <v>118</v>
      </c>
      <c r="Y19" s="77" t="s">
        <v>113</v>
      </c>
      <c r="Z19" s="77"/>
      <c r="AA19" s="76"/>
      <c r="AB19" s="76"/>
      <c r="AC19" s="184" t="s">
        <v>134</v>
      </c>
      <c r="AD19" s="185" t="s">
        <v>135</v>
      </c>
      <c r="AE19" s="184" t="s">
        <v>136</v>
      </c>
      <c r="AF19" s="184" t="s">
        <v>137</v>
      </c>
      <c r="AG19" s="77"/>
      <c r="AH19" s="161"/>
      <c r="AI19" s="76"/>
      <c r="AJ19" s="76"/>
      <c r="AK19" s="184" t="s">
        <v>138</v>
      </c>
      <c r="AL19" s="184" t="s">
        <v>139</v>
      </c>
      <c r="AM19" s="184" t="s">
        <v>140</v>
      </c>
      <c r="AN19" s="184" t="s">
        <v>141</v>
      </c>
      <c r="AO19" s="184" t="s">
        <v>142</v>
      </c>
      <c r="AP19" s="77"/>
      <c r="AQ19" s="76"/>
      <c r="AR19" s="76"/>
      <c r="AS19" s="25">
        <v>4</v>
      </c>
      <c r="AT19" s="123">
        <f t="shared" si="2"/>
        <v>4</v>
      </c>
      <c r="AU19" s="123">
        <f t="shared" si="3"/>
        <v>1</v>
      </c>
      <c r="AV19" s="123">
        <f t="shared" si="3"/>
        <v>1</v>
      </c>
      <c r="AW19" s="123">
        <f t="shared" si="3"/>
        <v>2</v>
      </c>
      <c r="AX19" s="123">
        <f t="shared" si="3"/>
        <v>2</v>
      </c>
      <c r="AY19" s="123">
        <f t="shared" si="3"/>
        <v>1</v>
      </c>
      <c r="AZ19" s="123">
        <f t="shared" si="3"/>
        <v>1</v>
      </c>
      <c r="BA19" s="123">
        <f t="shared" si="3"/>
        <v>1</v>
      </c>
      <c r="BB19" s="123">
        <f t="shared" si="3"/>
        <v>2</v>
      </c>
      <c r="BC19" s="123">
        <f t="shared" si="3"/>
        <v>2</v>
      </c>
      <c r="BD19" s="123">
        <f t="shared" si="3"/>
        <v>0</v>
      </c>
      <c r="BE19" s="124">
        <f t="shared" si="4"/>
        <v>17</v>
      </c>
      <c r="BF19" s="123">
        <f t="shared" si="5"/>
        <v>0</v>
      </c>
      <c r="BG19" s="123">
        <f t="shared" si="6"/>
        <v>0</v>
      </c>
      <c r="BH19" s="123">
        <f t="shared" si="6"/>
        <v>0</v>
      </c>
      <c r="BI19" s="123">
        <f t="shared" si="6"/>
        <v>0</v>
      </c>
      <c r="BJ19" s="123">
        <f t="shared" si="6"/>
        <v>0</v>
      </c>
      <c r="BK19" s="123">
        <f t="shared" si="6"/>
        <v>0</v>
      </c>
      <c r="BL19" s="123">
        <f t="shared" si="6"/>
        <v>0</v>
      </c>
      <c r="BM19" s="123">
        <f t="shared" si="6"/>
        <v>0</v>
      </c>
      <c r="BN19" s="90">
        <f t="shared" si="7"/>
        <v>0</v>
      </c>
      <c r="BO19" s="123">
        <f t="shared" si="8"/>
        <v>0</v>
      </c>
      <c r="BP19" s="123">
        <f t="shared" si="9"/>
        <v>0</v>
      </c>
      <c r="BQ19" s="123">
        <f t="shared" si="9"/>
        <v>0</v>
      </c>
      <c r="BR19" s="142">
        <f t="shared" si="9"/>
        <v>0</v>
      </c>
      <c r="BS19" s="143">
        <f t="shared" si="10"/>
        <v>0</v>
      </c>
      <c r="BT19" s="7">
        <f t="shared" si="11"/>
        <v>17</v>
      </c>
    </row>
    <row r="20" spans="2:72">
      <c r="B20" s="202"/>
      <c r="C20" s="159">
        <v>11</v>
      </c>
      <c r="D20" s="51" t="s">
        <v>161</v>
      </c>
      <c r="E20" s="77" t="s">
        <v>110</v>
      </c>
      <c r="F20" s="161" t="s">
        <v>123</v>
      </c>
      <c r="G20" s="77" t="s">
        <v>123</v>
      </c>
      <c r="H20" s="77" t="s">
        <v>116</v>
      </c>
      <c r="I20" s="77" t="s">
        <v>114</v>
      </c>
      <c r="J20" s="77" t="s">
        <v>110</v>
      </c>
      <c r="K20" s="76"/>
      <c r="L20" s="76"/>
      <c r="M20" s="77" t="s">
        <v>110</v>
      </c>
      <c r="N20" s="161" t="s">
        <v>110</v>
      </c>
      <c r="O20" s="77" t="s">
        <v>115</v>
      </c>
      <c r="P20" s="77" t="s">
        <v>114</v>
      </c>
      <c r="Q20" s="77" t="s">
        <v>117</v>
      </c>
      <c r="R20" s="77" t="s">
        <v>122</v>
      </c>
      <c r="S20" s="76"/>
      <c r="T20" s="76"/>
      <c r="U20" s="77" t="s">
        <v>116</v>
      </c>
      <c r="V20" s="77" t="s">
        <v>117</v>
      </c>
      <c r="W20" s="77" t="s">
        <v>130</v>
      </c>
      <c r="X20" s="77" t="s">
        <v>118</v>
      </c>
      <c r="Y20" s="77" t="s">
        <v>113</v>
      </c>
      <c r="Z20" s="77"/>
      <c r="AA20" s="76"/>
      <c r="AB20" s="76"/>
      <c r="AC20" s="77" t="s">
        <v>110</v>
      </c>
      <c r="AD20" s="161" t="s">
        <v>114</v>
      </c>
      <c r="AE20" s="77" t="s">
        <v>115</v>
      </c>
      <c r="AF20" s="77" t="s">
        <v>116</v>
      </c>
      <c r="AG20" s="77" t="s">
        <v>117</v>
      </c>
      <c r="AH20" s="161" t="s">
        <v>118</v>
      </c>
      <c r="AI20" s="76"/>
      <c r="AJ20" s="76"/>
      <c r="AK20" s="77" t="s">
        <v>110</v>
      </c>
      <c r="AL20" s="77" t="s">
        <v>130</v>
      </c>
      <c r="AM20" s="77" t="s">
        <v>114</v>
      </c>
      <c r="AN20" s="77" t="s">
        <v>110</v>
      </c>
      <c r="AO20" s="77" t="s">
        <v>115</v>
      </c>
      <c r="AP20" s="77" t="s">
        <v>122</v>
      </c>
      <c r="AQ20" s="76"/>
      <c r="AR20" s="76"/>
      <c r="AS20" s="25">
        <v>5</v>
      </c>
      <c r="AT20" s="123">
        <f t="shared" si="2"/>
        <v>7</v>
      </c>
      <c r="AU20" s="123">
        <f t="shared" si="3"/>
        <v>3</v>
      </c>
      <c r="AV20" s="123">
        <f t="shared" si="3"/>
        <v>1</v>
      </c>
      <c r="AW20" s="123">
        <f t="shared" si="3"/>
        <v>4</v>
      </c>
      <c r="AX20" s="123">
        <f t="shared" si="3"/>
        <v>3</v>
      </c>
      <c r="AY20" s="123">
        <f t="shared" si="3"/>
        <v>2</v>
      </c>
      <c r="AZ20" s="123">
        <f t="shared" si="3"/>
        <v>2</v>
      </c>
      <c r="BA20" s="123">
        <f t="shared" si="3"/>
        <v>2</v>
      </c>
      <c r="BB20" s="123">
        <f t="shared" si="3"/>
        <v>2</v>
      </c>
      <c r="BC20" s="123">
        <f t="shared" si="3"/>
        <v>3</v>
      </c>
      <c r="BD20" s="123">
        <f t="shared" si="3"/>
        <v>0</v>
      </c>
      <c r="BE20" s="124">
        <f t="shared" si="4"/>
        <v>29</v>
      </c>
      <c r="BF20" s="123">
        <f t="shared" si="5"/>
        <v>0</v>
      </c>
      <c r="BG20" s="123">
        <f t="shared" si="6"/>
        <v>0</v>
      </c>
      <c r="BH20" s="123">
        <f t="shared" si="6"/>
        <v>0</v>
      </c>
      <c r="BI20" s="123">
        <f t="shared" si="6"/>
        <v>0</v>
      </c>
      <c r="BJ20" s="123">
        <f t="shared" si="6"/>
        <v>0</v>
      </c>
      <c r="BK20" s="123">
        <f t="shared" si="6"/>
        <v>0</v>
      </c>
      <c r="BL20" s="123">
        <f t="shared" si="6"/>
        <v>0</v>
      </c>
      <c r="BM20" s="123">
        <f t="shared" si="6"/>
        <v>0</v>
      </c>
      <c r="BN20" s="90">
        <f t="shared" si="7"/>
        <v>0</v>
      </c>
      <c r="BO20" s="123">
        <f t="shared" si="8"/>
        <v>0</v>
      </c>
      <c r="BP20" s="123">
        <f t="shared" si="9"/>
        <v>0</v>
      </c>
      <c r="BQ20" s="123">
        <f t="shared" si="9"/>
        <v>0</v>
      </c>
      <c r="BR20" s="142">
        <f t="shared" si="9"/>
        <v>0</v>
      </c>
      <c r="BS20" s="143">
        <f t="shared" si="10"/>
        <v>0</v>
      </c>
      <c r="BT20" s="7">
        <f t="shared" si="11"/>
        <v>29</v>
      </c>
    </row>
    <row r="21" spans="2:72">
      <c r="B21" s="202"/>
      <c r="C21" s="159">
        <v>12</v>
      </c>
      <c r="D21" s="51" t="s">
        <v>162</v>
      </c>
      <c r="E21" s="77" t="s">
        <v>110</v>
      </c>
      <c r="F21" s="161" t="s">
        <v>123</v>
      </c>
      <c r="G21" s="77" t="s">
        <v>123</v>
      </c>
      <c r="H21" s="77" t="s">
        <v>116</v>
      </c>
      <c r="I21" s="77" t="s">
        <v>114</v>
      </c>
      <c r="J21" s="77" t="s">
        <v>110</v>
      </c>
      <c r="K21" s="76"/>
      <c r="L21" s="76"/>
      <c r="M21" s="77" t="s">
        <v>110</v>
      </c>
      <c r="N21" s="161" t="s">
        <v>110</v>
      </c>
      <c r="O21" s="77" t="s">
        <v>115</v>
      </c>
      <c r="P21" s="77" t="s">
        <v>114</v>
      </c>
      <c r="Q21" s="77" t="s">
        <v>117</v>
      </c>
      <c r="R21" s="77" t="s">
        <v>122</v>
      </c>
      <c r="S21" s="76"/>
      <c r="T21" s="76"/>
      <c r="U21" s="77" t="s">
        <v>116</v>
      </c>
      <c r="V21" s="77" t="s">
        <v>117</v>
      </c>
      <c r="W21" s="77" t="s">
        <v>130</v>
      </c>
      <c r="X21" s="77" t="s">
        <v>118</v>
      </c>
      <c r="Y21" s="77" t="s">
        <v>113</v>
      </c>
      <c r="Z21" s="77"/>
      <c r="AA21" s="76"/>
      <c r="AB21" s="76"/>
      <c r="AC21" s="77" t="s">
        <v>110</v>
      </c>
      <c r="AD21" s="161" t="s">
        <v>114</v>
      </c>
      <c r="AE21" s="77" t="s">
        <v>115</v>
      </c>
      <c r="AF21" s="77" t="s">
        <v>116</v>
      </c>
      <c r="AG21" s="187" t="s">
        <v>44</v>
      </c>
      <c r="AH21" s="187" t="s">
        <v>44</v>
      </c>
      <c r="AI21" s="76"/>
      <c r="AJ21" s="76"/>
      <c r="AK21" s="77" t="s">
        <v>110</v>
      </c>
      <c r="AL21" s="77" t="s">
        <v>130</v>
      </c>
      <c r="AM21" s="77" t="s">
        <v>114</v>
      </c>
      <c r="AN21" s="77" t="s">
        <v>110</v>
      </c>
      <c r="AO21" s="77" t="s">
        <v>115</v>
      </c>
      <c r="AP21" s="77" t="s">
        <v>122</v>
      </c>
      <c r="AQ21" s="76"/>
      <c r="AR21" s="76"/>
      <c r="AS21" s="25">
        <v>5</v>
      </c>
      <c r="AT21" s="123">
        <f t="shared" si="2"/>
        <v>7</v>
      </c>
      <c r="AU21" s="123">
        <f t="shared" si="3"/>
        <v>3</v>
      </c>
      <c r="AV21" s="123">
        <f t="shared" si="3"/>
        <v>1</v>
      </c>
      <c r="AW21" s="123">
        <f t="shared" si="3"/>
        <v>4</v>
      </c>
      <c r="AX21" s="123">
        <f t="shared" si="3"/>
        <v>2</v>
      </c>
      <c r="AY21" s="123">
        <f t="shared" si="3"/>
        <v>2</v>
      </c>
      <c r="AZ21" s="123">
        <f t="shared" si="3"/>
        <v>2</v>
      </c>
      <c r="BA21" s="123">
        <f t="shared" si="3"/>
        <v>1</v>
      </c>
      <c r="BB21" s="123">
        <f t="shared" si="3"/>
        <v>2</v>
      </c>
      <c r="BC21" s="123">
        <f t="shared" si="3"/>
        <v>3</v>
      </c>
      <c r="BD21" s="123">
        <f t="shared" si="3"/>
        <v>0</v>
      </c>
      <c r="BE21" s="124">
        <f t="shared" si="4"/>
        <v>27</v>
      </c>
      <c r="BF21" s="123">
        <f t="shared" si="5"/>
        <v>0</v>
      </c>
      <c r="BG21" s="123">
        <f t="shared" si="6"/>
        <v>0</v>
      </c>
      <c r="BH21" s="123">
        <f t="shared" si="6"/>
        <v>0</v>
      </c>
      <c r="BI21" s="123">
        <f t="shared" si="6"/>
        <v>0</v>
      </c>
      <c r="BJ21" s="123">
        <f t="shared" si="6"/>
        <v>0</v>
      </c>
      <c r="BK21" s="123">
        <f t="shared" si="6"/>
        <v>0</v>
      </c>
      <c r="BL21" s="123">
        <f t="shared" si="6"/>
        <v>0</v>
      </c>
      <c r="BM21" s="123">
        <f t="shared" si="6"/>
        <v>0</v>
      </c>
      <c r="BN21" s="90">
        <f t="shared" si="7"/>
        <v>0</v>
      </c>
      <c r="BO21" s="123">
        <f t="shared" si="8"/>
        <v>2</v>
      </c>
      <c r="BP21" s="123">
        <f t="shared" si="9"/>
        <v>0</v>
      </c>
      <c r="BQ21" s="123">
        <f t="shared" si="9"/>
        <v>0</v>
      </c>
      <c r="BR21" s="142">
        <f t="shared" si="9"/>
        <v>0</v>
      </c>
      <c r="BS21" s="143">
        <f t="shared" si="10"/>
        <v>2</v>
      </c>
      <c r="BT21" s="7">
        <f t="shared" si="11"/>
        <v>29</v>
      </c>
    </row>
    <row r="22" spans="2:72">
      <c r="B22" s="203"/>
      <c r="C22" s="159">
        <v>13</v>
      </c>
      <c r="D22" s="51" t="s">
        <v>163</v>
      </c>
      <c r="E22" s="77" t="s">
        <v>110</v>
      </c>
      <c r="F22" s="161" t="s">
        <v>123</v>
      </c>
      <c r="G22" s="77" t="s">
        <v>123</v>
      </c>
      <c r="H22" s="77" t="s">
        <v>116</v>
      </c>
      <c r="I22" s="77" t="s">
        <v>114</v>
      </c>
      <c r="J22" s="17" t="s">
        <v>166</v>
      </c>
      <c r="K22" s="76"/>
      <c r="L22" s="76"/>
      <c r="M22" s="77" t="s">
        <v>110</v>
      </c>
      <c r="N22" s="161" t="s">
        <v>110</v>
      </c>
      <c r="O22" s="77" t="s">
        <v>115</v>
      </c>
      <c r="P22" s="77" t="s">
        <v>114</v>
      </c>
      <c r="Q22" s="77" t="s">
        <v>117</v>
      </c>
      <c r="R22" s="77" t="s">
        <v>122</v>
      </c>
      <c r="S22" s="76"/>
      <c r="T22" s="76"/>
      <c r="U22" s="77" t="s">
        <v>116</v>
      </c>
      <c r="V22" s="77" t="s">
        <v>117</v>
      </c>
      <c r="W22" s="77" t="s">
        <v>130</v>
      </c>
      <c r="X22" s="77" t="s">
        <v>118</v>
      </c>
      <c r="Y22" s="77" t="s">
        <v>113</v>
      </c>
      <c r="Z22" s="77"/>
      <c r="AA22" s="76"/>
      <c r="AB22" s="76"/>
      <c r="AC22" s="77" t="s">
        <v>110</v>
      </c>
      <c r="AD22" s="161" t="s">
        <v>114</v>
      </c>
      <c r="AE22" s="77" t="s">
        <v>115</v>
      </c>
      <c r="AF22" s="77" t="s">
        <v>116</v>
      </c>
      <c r="AG22" s="77" t="s">
        <v>18</v>
      </c>
      <c r="AH22" s="161" t="s">
        <v>20</v>
      </c>
      <c r="AI22" s="76"/>
      <c r="AJ22" s="76"/>
      <c r="AK22" s="17" t="s">
        <v>166</v>
      </c>
      <c r="AL22" s="77" t="s">
        <v>130</v>
      </c>
      <c r="AM22" s="77" t="s">
        <v>114</v>
      </c>
      <c r="AN22" s="77" t="s">
        <v>110</v>
      </c>
      <c r="AO22" s="77" t="s">
        <v>115</v>
      </c>
      <c r="AP22" s="77" t="s">
        <v>122</v>
      </c>
      <c r="AQ22" s="76"/>
      <c r="AR22" s="76"/>
      <c r="AS22" s="25">
        <v>5</v>
      </c>
      <c r="AT22" s="123">
        <f t="shared" si="2"/>
        <v>5</v>
      </c>
      <c r="AU22" s="123">
        <f t="shared" si="3"/>
        <v>3</v>
      </c>
      <c r="AV22" s="123">
        <f t="shared" si="3"/>
        <v>1</v>
      </c>
      <c r="AW22" s="123">
        <f t="shared" si="3"/>
        <v>4</v>
      </c>
      <c r="AX22" s="123">
        <f t="shared" si="3"/>
        <v>3</v>
      </c>
      <c r="AY22" s="123">
        <f t="shared" si="3"/>
        <v>2</v>
      </c>
      <c r="AZ22" s="123">
        <f t="shared" si="3"/>
        <v>2</v>
      </c>
      <c r="BA22" s="123">
        <f t="shared" si="3"/>
        <v>2</v>
      </c>
      <c r="BB22" s="123">
        <f t="shared" si="3"/>
        <v>2</v>
      </c>
      <c r="BC22" s="123">
        <f t="shared" si="3"/>
        <v>3</v>
      </c>
      <c r="BD22" s="123">
        <f t="shared" si="3"/>
        <v>0</v>
      </c>
      <c r="BE22" s="124">
        <f t="shared" si="4"/>
        <v>27</v>
      </c>
      <c r="BF22" s="123">
        <f t="shared" si="5"/>
        <v>0</v>
      </c>
      <c r="BG22" s="123">
        <f t="shared" si="6"/>
        <v>0</v>
      </c>
      <c r="BH22" s="123">
        <f t="shared" si="6"/>
        <v>0</v>
      </c>
      <c r="BI22" s="123">
        <f t="shared" si="6"/>
        <v>0</v>
      </c>
      <c r="BJ22" s="123">
        <f t="shared" si="6"/>
        <v>2</v>
      </c>
      <c r="BK22" s="123">
        <f t="shared" si="6"/>
        <v>0</v>
      </c>
      <c r="BL22" s="123">
        <f t="shared" si="6"/>
        <v>0</v>
      </c>
      <c r="BM22" s="123">
        <f t="shared" si="6"/>
        <v>0</v>
      </c>
      <c r="BN22" s="90">
        <f t="shared" si="7"/>
        <v>2</v>
      </c>
      <c r="BO22" s="123">
        <f t="shared" si="8"/>
        <v>0</v>
      </c>
      <c r="BP22" s="123">
        <f t="shared" si="9"/>
        <v>0</v>
      </c>
      <c r="BQ22" s="123">
        <f t="shared" si="9"/>
        <v>0</v>
      </c>
      <c r="BR22" s="142">
        <f t="shared" si="9"/>
        <v>0</v>
      </c>
      <c r="BS22" s="143">
        <f t="shared" si="10"/>
        <v>2</v>
      </c>
      <c r="BT22" s="7">
        <f t="shared" si="11"/>
        <v>29</v>
      </c>
    </row>
    <row r="23" spans="2:72">
      <c r="B23" s="195">
        <v>6</v>
      </c>
      <c r="C23" s="159">
        <v>14</v>
      </c>
      <c r="D23" s="51" t="s">
        <v>145</v>
      </c>
      <c r="E23" s="77" t="s">
        <v>110</v>
      </c>
      <c r="F23" s="161" t="s">
        <v>123</v>
      </c>
      <c r="G23" s="77" t="s">
        <v>123</v>
      </c>
      <c r="H23" s="77" t="s">
        <v>116</v>
      </c>
      <c r="I23" s="77" t="s">
        <v>114</v>
      </c>
      <c r="J23" s="17" t="s">
        <v>121</v>
      </c>
      <c r="K23" s="76"/>
      <c r="L23" s="76"/>
      <c r="M23" s="77" t="s">
        <v>110</v>
      </c>
      <c r="N23" s="161" t="s">
        <v>110</v>
      </c>
      <c r="O23" s="77" t="s">
        <v>115</v>
      </c>
      <c r="P23" s="77" t="s">
        <v>114</v>
      </c>
      <c r="Q23" s="77" t="s">
        <v>117</v>
      </c>
      <c r="R23" s="77" t="s">
        <v>122</v>
      </c>
      <c r="S23" s="76"/>
      <c r="T23" s="76"/>
      <c r="U23" s="184" t="s">
        <v>146</v>
      </c>
      <c r="V23" s="184" t="s">
        <v>147</v>
      </c>
      <c r="W23" s="184" t="s">
        <v>127</v>
      </c>
      <c r="X23" s="184" t="s">
        <v>128</v>
      </c>
      <c r="Y23" s="184" t="s">
        <v>142</v>
      </c>
      <c r="Z23" s="77"/>
      <c r="AA23" s="76"/>
      <c r="AB23" s="76"/>
      <c r="AC23" s="77" t="s">
        <v>110</v>
      </c>
      <c r="AD23" s="161" t="s">
        <v>114</v>
      </c>
      <c r="AE23" s="77" t="s">
        <v>115</v>
      </c>
      <c r="AF23" s="77" t="s">
        <v>116</v>
      </c>
      <c r="AG23" s="77" t="s">
        <v>117</v>
      </c>
      <c r="AH23" s="161" t="s">
        <v>118</v>
      </c>
      <c r="AI23" s="76"/>
      <c r="AJ23" s="76"/>
      <c r="AK23" s="17" t="s">
        <v>121</v>
      </c>
      <c r="AL23" s="77" t="s">
        <v>130</v>
      </c>
      <c r="AM23" s="77" t="s">
        <v>114</v>
      </c>
      <c r="AN23" s="77" t="s">
        <v>110</v>
      </c>
      <c r="AO23" s="77" t="s">
        <v>115</v>
      </c>
      <c r="AP23" s="77" t="s">
        <v>122</v>
      </c>
      <c r="AQ23" s="76"/>
      <c r="AR23" s="76"/>
      <c r="AS23" s="25">
        <v>3</v>
      </c>
      <c r="AT23" s="123">
        <f t="shared" si="2"/>
        <v>5</v>
      </c>
      <c r="AU23" s="123">
        <f t="shared" si="3"/>
        <v>3</v>
      </c>
      <c r="AV23" s="123">
        <f t="shared" si="3"/>
        <v>0</v>
      </c>
      <c r="AW23" s="123">
        <f t="shared" si="3"/>
        <v>4</v>
      </c>
      <c r="AX23" s="123">
        <f t="shared" si="3"/>
        <v>2</v>
      </c>
      <c r="AY23" s="123">
        <f t="shared" si="3"/>
        <v>2</v>
      </c>
      <c r="AZ23" s="123">
        <f t="shared" si="3"/>
        <v>1</v>
      </c>
      <c r="BA23" s="123">
        <f t="shared" si="3"/>
        <v>1</v>
      </c>
      <c r="BB23" s="123">
        <f t="shared" si="3"/>
        <v>2</v>
      </c>
      <c r="BC23" s="123">
        <f t="shared" si="3"/>
        <v>2</v>
      </c>
      <c r="BD23" s="123">
        <f t="shared" si="3"/>
        <v>0</v>
      </c>
      <c r="BE23" s="124">
        <f t="shared" si="4"/>
        <v>22</v>
      </c>
      <c r="BF23" s="123">
        <f t="shared" si="5"/>
        <v>0</v>
      </c>
      <c r="BG23" s="123">
        <f t="shared" si="6"/>
        <v>0</v>
      </c>
      <c r="BH23" s="123">
        <f t="shared" si="6"/>
        <v>0</v>
      </c>
      <c r="BI23" s="123">
        <f t="shared" si="6"/>
        <v>2</v>
      </c>
      <c r="BJ23" s="123">
        <f t="shared" si="6"/>
        <v>0</v>
      </c>
      <c r="BK23" s="123">
        <f t="shared" si="6"/>
        <v>0</v>
      </c>
      <c r="BL23" s="123">
        <f t="shared" si="6"/>
        <v>0</v>
      </c>
      <c r="BM23" s="123">
        <f t="shared" si="6"/>
        <v>0</v>
      </c>
      <c r="BN23" s="90">
        <f t="shared" si="7"/>
        <v>2</v>
      </c>
      <c r="BO23" s="123">
        <f t="shared" si="8"/>
        <v>0</v>
      </c>
      <c r="BP23" s="123">
        <f t="shared" si="9"/>
        <v>0</v>
      </c>
      <c r="BQ23" s="123">
        <f t="shared" si="9"/>
        <v>0</v>
      </c>
      <c r="BR23" s="142">
        <f t="shared" si="9"/>
        <v>0</v>
      </c>
      <c r="BS23" s="143">
        <f t="shared" si="10"/>
        <v>2</v>
      </c>
      <c r="BT23" s="7">
        <f t="shared" si="11"/>
        <v>24</v>
      </c>
    </row>
    <row r="24" spans="2:72">
      <c r="B24" s="202"/>
      <c r="C24" s="159">
        <v>15</v>
      </c>
      <c r="D24" s="51" t="s">
        <v>148</v>
      </c>
      <c r="E24" s="184" t="s">
        <v>149</v>
      </c>
      <c r="F24" s="185" t="s">
        <v>150</v>
      </c>
      <c r="G24" s="184" t="s">
        <v>142</v>
      </c>
      <c r="H24" s="77"/>
      <c r="I24" s="77"/>
      <c r="J24" s="77"/>
      <c r="K24" s="76"/>
      <c r="L24" s="76"/>
      <c r="M24" s="77" t="s">
        <v>110</v>
      </c>
      <c r="N24" s="161" t="s">
        <v>110</v>
      </c>
      <c r="O24" s="77" t="s">
        <v>115</v>
      </c>
      <c r="P24" s="77" t="s">
        <v>114</v>
      </c>
      <c r="Q24" s="77" t="s">
        <v>117</v>
      </c>
      <c r="R24" s="77" t="s">
        <v>122</v>
      </c>
      <c r="S24" s="76"/>
      <c r="T24" s="76"/>
      <c r="U24" s="77" t="s">
        <v>116</v>
      </c>
      <c r="V24" s="77" t="s">
        <v>117</v>
      </c>
      <c r="W24" s="77" t="s">
        <v>130</v>
      </c>
      <c r="X24" s="77" t="s">
        <v>118</v>
      </c>
      <c r="Y24" s="77" t="s">
        <v>113</v>
      </c>
      <c r="Z24" s="77"/>
      <c r="AA24" s="76"/>
      <c r="AB24" s="76"/>
      <c r="AC24" s="77" t="s">
        <v>110</v>
      </c>
      <c r="AD24" s="161" t="s">
        <v>114</v>
      </c>
      <c r="AE24" s="77" t="s">
        <v>115</v>
      </c>
      <c r="AF24" s="77" t="s">
        <v>116</v>
      </c>
      <c r="AG24" s="77" t="s">
        <v>117</v>
      </c>
      <c r="AH24" s="161" t="s">
        <v>118</v>
      </c>
      <c r="AI24" s="76"/>
      <c r="AJ24" s="76"/>
      <c r="AK24" s="17" t="s">
        <v>121</v>
      </c>
      <c r="AL24" s="77" t="s">
        <v>130</v>
      </c>
      <c r="AM24" s="77" t="s">
        <v>114</v>
      </c>
      <c r="AN24" s="77" t="s">
        <v>110</v>
      </c>
      <c r="AO24" s="77" t="s">
        <v>115</v>
      </c>
      <c r="AP24" s="77" t="s">
        <v>122</v>
      </c>
      <c r="AQ24" s="76"/>
      <c r="AR24" s="76"/>
      <c r="AS24" s="25">
        <v>5</v>
      </c>
      <c r="AT24" s="123">
        <f t="shared" si="2"/>
        <v>4</v>
      </c>
      <c r="AU24" s="123">
        <f t="shared" si="3"/>
        <v>3</v>
      </c>
      <c r="AV24" s="123">
        <f t="shared" si="3"/>
        <v>1</v>
      </c>
      <c r="AW24" s="123">
        <f t="shared" si="3"/>
        <v>3</v>
      </c>
      <c r="AX24" s="123">
        <f t="shared" si="3"/>
        <v>3</v>
      </c>
      <c r="AY24" s="123">
        <f t="shared" si="3"/>
        <v>2</v>
      </c>
      <c r="AZ24" s="123">
        <f t="shared" si="3"/>
        <v>2</v>
      </c>
      <c r="BA24" s="123">
        <f t="shared" si="3"/>
        <v>2</v>
      </c>
      <c r="BB24" s="123">
        <f t="shared" si="3"/>
        <v>0</v>
      </c>
      <c r="BC24" s="123">
        <f t="shared" si="3"/>
        <v>2</v>
      </c>
      <c r="BD24" s="123">
        <f t="shared" si="3"/>
        <v>0</v>
      </c>
      <c r="BE24" s="124">
        <f t="shared" si="4"/>
        <v>22</v>
      </c>
      <c r="BF24" s="123">
        <f t="shared" si="5"/>
        <v>0</v>
      </c>
      <c r="BG24" s="123">
        <f t="shared" si="6"/>
        <v>0</v>
      </c>
      <c r="BH24" s="123">
        <f t="shared" si="6"/>
        <v>0</v>
      </c>
      <c r="BI24" s="123">
        <f t="shared" si="6"/>
        <v>1</v>
      </c>
      <c r="BJ24" s="123">
        <f t="shared" si="6"/>
        <v>0</v>
      </c>
      <c r="BK24" s="123">
        <f t="shared" si="6"/>
        <v>0</v>
      </c>
      <c r="BL24" s="123">
        <f t="shared" si="6"/>
        <v>0</v>
      </c>
      <c r="BM24" s="123">
        <f t="shared" si="6"/>
        <v>0</v>
      </c>
      <c r="BN24" s="90">
        <f t="shared" si="7"/>
        <v>1</v>
      </c>
      <c r="BO24" s="123">
        <f t="shared" si="8"/>
        <v>0</v>
      </c>
      <c r="BP24" s="123">
        <f t="shared" si="9"/>
        <v>0</v>
      </c>
      <c r="BQ24" s="123">
        <f t="shared" si="9"/>
        <v>0</v>
      </c>
      <c r="BR24" s="142">
        <f t="shared" si="9"/>
        <v>0</v>
      </c>
      <c r="BS24" s="143">
        <f t="shared" si="10"/>
        <v>1</v>
      </c>
      <c r="BT24" s="7">
        <f t="shared" si="11"/>
        <v>23</v>
      </c>
    </row>
    <row r="25" spans="2:72">
      <c r="B25" s="202"/>
      <c r="C25" s="159">
        <v>16</v>
      </c>
      <c r="D25" s="51" t="s">
        <v>151</v>
      </c>
      <c r="E25" s="77" t="s">
        <v>110</v>
      </c>
      <c r="F25" s="161" t="s">
        <v>123</v>
      </c>
      <c r="G25" s="77" t="s">
        <v>123</v>
      </c>
      <c r="H25" s="77" t="s">
        <v>116</v>
      </c>
      <c r="I25" s="77" t="s">
        <v>114</v>
      </c>
      <c r="J25" s="17" t="s">
        <v>121</v>
      </c>
      <c r="K25" s="76"/>
      <c r="L25" s="76"/>
      <c r="M25" s="77" t="s">
        <v>110</v>
      </c>
      <c r="N25" s="161" t="s">
        <v>110</v>
      </c>
      <c r="O25" s="77" t="s">
        <v>115</v>
      </c>
      <c r="P25" s="77" t="s">
        <v>114</v>
      </c>
      <c r="Q25" s="77" t="s">
        <v>117</v>
      </c>
      <c r="R25" s="77" t="s">
        <v>122</v>
      </c>
      <c r="S25" s="76"/>
      <c r="T25" s="76"/>
      <c r="U25" s="77" t="s">
        <v>116</v>
      </c>
      <c r="V25" s="77" t="s">
        <v>117</v>
      </c>
      <c r="W25" s="77" t="s">
        <v>130</v>
      </c>
      <c r="X25" s="77" t="s">
        <v>118</v>
      </c>
      <c r="Y25" s="77" t="s">
        <v>113</v>
      </c>
      <c r="Z25" s="77"/>
      <c r="AA25" s="76"/>
      <c r="AB25" s="76"/>
      <c r="AC25" s="77" t="s">
        <v>110</v>
      </c>
      <c r="AD25" s="161" t="s">
        <v>114</v>
      </c>
      <c r="AE25" s="77" t="s">
        <v>115</v>
      </c>
      <c r="AF25" s="77" t="s">
        <v>116</v>
      </c>
      <c r="AG25" s="77" t="s">
        <v>117</v>
      </c>
      <c r="AH25" s="161" t="s">
        <v>118</v>
      </c>
      <c r="AI25" s="76"/>
      <c r="AJ25" s="76"/>
      <c r="AK25" s="17" t="s">
        <v>121</v>
      </c>
      <c r="AL25" s="77" t="s">
        <v>130</v>
      </c>
      <c r="AM25" s="77" t="s">
        <v>114</v>
      </c>
      <c r="AN25" s="77" t="s">
        <v>110</v>
      </c>
      <c r="AO25" s="77" t="s">
        <v>115</v>
      </c>
      <c r="AP25" s="77" t="s">
        <v>122</v>
      </c>
      <c r="AQ25" s="76"/>
      <c r="AR25" s="76"/>
      <c r="AS25" s="25">
        <v>5</v>
      </c>
      <c r="AT25" s="123">
        <f t="shared" si="2"/>
        <v>5</v>
      </c>
      <c r="AU25" s="123">
        <f t="shared" si="3"/>
        <v>3</v>
      </c>
      <c r="AV25" s="123">
        <f t="shared" si="3"/>
        <v>1</v>
      </c>
      <c r="AW25" s="123">
        <f t="shared" si="3"/>
        <v>4</v>
      </c>
      <c r="AX25" s="123">
        <f t="shared" si="3"/>
        <v>3</v>
      </c>
      <c r="AY25" s="123">
        <f t="shared" si="3"/>
        <v>2</v>
      </c>
      <c r="AZ25" s="123">
        <f t="shared" si="3"/>
        <v>2</v>
      </c>
      <c r="BA25" s="123">
        <f t="shared" si="3"/>
        <v>2</v>
      </c>
      <c r="BB25" s="123">
        <f t="shared" si="3"/>
        <v>2</v>
      </c>
      <c r="BC25" s="123">
        <f t="shared" si="3"/>
        <v>3</v>
      </c>
      <c r="BD25" s="123">
        <f t="shared" si="3"/>
        <v>0</v>
      </c>
      <c r="BE25" s="124">
        <f t="shared" si="4"/>
        <v>27</v>
      </c>
      <c r="BF25" s="123">
        <f t="shared" si="5"/>
        <v>0</v>
      </c>
      <c r="BG25" s="123">
        <f t="shared" si="6"/>
        <v>0</v>
      </c>
      <c r="BH25" s="123">
        <f t="shared" si="6"/>
        <v>0</v>
      </c>
      <c r="BI25" s="123">
        <f t="shared" si="6"/>
        <v>2</v>
      </c>
      <c r="BJ25" s="123">
        <f t="shared" si="6"/>
        <v>0</v>
      </c>
      <c r="BK25" s="123">
        <f t="shared" si="6"/>
        <v>0</v>
      </c>
      <c r="BL25" s="123">
        <f t="shared" si="6"/>
        <v>0</v>
      </c>
      <c r="BM25" s="123">
        <f t="shared" si="6"/>
        <v>0</v>
      </c>
      <c r="BN25" s="90">
        <f t="shared" si="7"/>
        <v>2</v>
      </c>
      <c r="BO25" s="123">
        <f t="shared" si="8"/>
        <v>0</v>
      </c>
      <c r="BP25" s="123">
        <f t="shared" si="9"/>
        <v>0</v>
      </c>
      <c r="BQ25" s="123">
        <f t="shared" si="9"/>
        <v>0</v>
      </c>
      <c r="BR25" s="142">
        <f t="shared" si="9"/>
        <v>0</v>
      </c>
      <c r="BS25" s="143">
        <f t="shared" si="10"/>
        <v>2</v>
      </c>
      <c r="BT25" s="7">
        <f t="shared" si="11"/>
        <v>29</v>
      </c>
    </row>
    <row r="26" spans="2:72">
      <c r="B26" s="203"/>
      <c r="C26" s="159">
        <v>17</v>
      </c>
      <c r="D26" s="51" t="s">
        <v>152</v>
      </c>
      <c r="E26" s="77" t="s">
        <v>110</v>
      </c>
      <c r="F26" s="161" t="s">
        <v>123</v>
      </c>
      <c r="G26" s="77" t="s">
        <v>123</v>
      </c>
      <c r="H26" s="77" t="s">
        <v>116</v>
      </c>
      <c r="I26" s="77" t="s">
        <v>114</v>
      </c>
      <c r="J26" s="17" t="s">
        <v>121</v>
      </c>
      <c r="K26" s="76"/>
      <c r="L26" s="76"/>
      <c r="M26" s="77" t="s">
        <v>110</v>
      </c>
      <c r="N26" s="161" t="s">
        <v>110</v>
      </c>
      <c r="O26" s="77" t="s">
        <v>115</v>
      </c>
      <c r="P26" s="77" t="s">
        <v>114</v>
      </c>
      <c r="Q26" s="77" t="s">
        <v>117</v>
      </c>
      <c r="R26" s="77" t="s">
        <v>122</v>
      </c>
      <c r="S26" s="76"/>
      <c r="T26" s="76"/>
      <c r="U26" s="77" t="s">
        <v>116</v>
      </c>
      <c r="V26" s="77" t="s">
        <v>117</v>
      </c>
      <c r="W26" s="77" t="s">
        <v>130</v>
      </c>
      <c r="X26" s="77" t="s">
        <v>118</v>
      </c>
      <c r="Y26" s="77" t="s">
        <v>113</v>
      </c>
      <c r="Z26" s="77"/>
      <c r="AA26" s="76"/>
      <c r="AB26" s="76"/>
      <c r="AC26" s="77" t="s">
        <v>110</v>
      </c>
      <c r="AD26" s="161" t="s">
        <v>114</v>
      </c>
      <c r="AE26" s="77" t="s">
        <v>115</v>
      </c>
      <c r="AF26" s="77" t="s">
        <v>116</v>
      </c>
      <c r="AG26" s="187" t="s">
        <v>44</v>
      </c>
      <c r="AH26" s="187" t="s">
        <v>44</v>
      </c>
      <c r="AI26" s="76"/>
      <c r="AJ26" s="76"/>
      <c r="AK26" s="17" t="s">
        <v>121</v>
      </c>
      <c r="AL26" s="77" t="s">
        <v>130</v>
      </c>
      <c r="AM26" s="77" t="s">
        <v>19</v>
      </c>
      <c r="AN26" s="77" t="s">
        <v>110</v>
      </c>
      <c r="AO26" s="77" t="s">
        <v>115</v>
      </c>
      <c r="AP26" s="77" t="s">
        <v>122</v>
      </c>
      <c r="AQ26" s="76"/>
      <c r="AR26" s="76"/>
      <c r="AS26" s="25">
        <v>5</v>
      </c>
      <c r="AT26" s="123">
        <f t="shared" si="2"/>
        <v>5</v>
      </c>
      <c r="AU26" s="123">
        <f t="shared" ref="AU26:BD32" si="12">COUNTIF($E26:$AR26,AU$7)+COUNTIF($E26:$AR26,AU$9)</f>
        <v>3</v>
      </c>
      <c r="AV26" s="123">
        <f t="shared" si="12"/>
        <v>1</v>
      </c>
      <c r="AW26" s="123">
        <f t="shared" si="12"/>
        <v>3</v>
      </c>
      <c r="AX26" s="123">
        <f t="shared" si="12"/>
        <v>2</v>
      </c>
      <c r="AY26" s="123">
        <f t="shared" si="12"/>
        <v>2</v>
      </c>
      <c r="AZ26" s="123">
        <f t="shared" si="12"/>
        <v>3</v>
      </c>
      <c r="BA26" s="123">
        <f t="shared" si="12"/>
        <v>1</v>
      </c>
      <c r="BB26" s="123">
        <f t="shared" si="12"/>
        <v>2</v>
      </c>
      <c r="BC26" s="123">
        <f t="shared" si="12"/>
        <v>3</v>
      </c>
      <c r="BD26" s="123">
        <f t="shared" si="12"/>
        <v>0</v>
      </c>
      <c r="BE26" s="124">
        <f t="shared" si="4"/>
        <v>25</v>
      </c>
      <c r="BF26" s="123">
        <f t="shared" si="5"/>
        <v>0</v>
      </c>
      <c r="BG26" s="123">
        <f t="shared" ref="BG26:BM32" si="13">COUNTIF($E26:$AR26,BG$7)+COUNTIF($E26:$AR26,BG$9)</f>
        <v>0</v>
      </c>
      <c r="BH26" s="123">
        <f t="shared" si="13"/>
        <v>0</v>
      </c>
      <c r="BI26" s="123">
        <f t="shared" si="13"/>
        <v>2</v>
      </c>
      <c r="BJ26" s="123">
        <f t="shared" si="13"/>
        <v>0</v>
      </c>
      <c r="BK26" s="123">
        <f t="shared" si="13"/>
        <v>0</v>
      </c>
      <c r="BL26" s="123">
        <f t="shared" si="13"/>
        <v>0</v>
      </c>
      <c r="BM26" s="123">
        <f t="shared" si="13"/>
        <v>0</v>
      </c>
      <c r="BN26" s="90">
        <f t="shared" si="7"/>
        <v>2</v>
      </c>
      <c r="BO26" s="123">
        <f t="shared" si="8"/>
        <v>2</v>
      </c>
      <c r="BP26" s="123">
        <f t="shared" si="8"/>
        <v>0</v>
      </c>
      <c r="BQ26" s="123">
        <f t="shared" si="8"/>
        <v>0</v>
      </c>
      <c r="BR26" s="142">
        <f t="shared" si="8"/>
        <v>0</v>
      </c>
      <c r="BS26" s="143">
        <f t="shared" si="10"/>
        <v>4</v>
      </c>
      <c r="BT26" s="7">
        <f t="shared" si="11"/>
        <v>29</v>
      </c>
    </row>
    <row r="27" spans="2:72">
      <c r="B27" s="195">
        <v>7</v>
      </c>
      <c r="C27" s="159">
        <v>18</v>
      </c>
      <c r="D27" s="51" t="s">
        <v>144</v>
      </c>
      <c r="E27" s="77" t="s">
        <v>110</v>
      </c>
      <c r="F27" s="161" t="s">
        <v>123</v>
      </c>
      <c r="G27" s="77" t="s">
        <v>123</v>
      </c>
      <c r="H27" s="77" t="s">
        <v>116</v>
      </c>
      <c r="I27" s="77" t="s">
        <v>114</v>
      </c>
      <c r="J27" s="17" t="s">
        <v>121</v>
      </c>
      <c r="K27" s="76"/>
      <c r="L27" s="76"/>
      <c r="M27" s="77" t="s">
        <v>110</v>
      </c>
      <c r="N27" s="161" t="s">
        <v>110</v>
      </c>
      <c r="O27" s="77" t="s">
        <v>115</v>
      </c>
      <c r="P27" s="77" t="s">
        <v>114</v>
      </c>
      <c r="Q27" s="77" t="s">
        <v>117</v>
      </c>
      <c r="R27" s="77" t="s">
        <v>122</v>
      </c>
      <c r="S27" s="76"/>
      <c r="T27" s="76"/>
      <c r="U27" s="77" t="s">
        <v>116</v>
      </c>
      <c r="V27" s="77" t="s">
        <v>117</v>
      </c>
      <c r="W27" s="77" t="s">
        <v>130</v>
      </c>
      <c r="X27" s="77" t="s">
        <v>19</v>
      </c>
      <c r="Y27" s="77" t="s">
        <v>20</v>
      </c>
      <c r="Z27" s="77"/>
      <c r="AA27" s="76"/>
      <c r="AB27" s="76"/>
      <c r="AC27" s="77" t="s">
        <v>110</v>
      </c>
      <c r="AD27" s="161" t="s">
        <v>114</v>
      </c>
      <c r="AE27" s="77" t="s">
        <v>19</v>
      </c>
      <c r="AF27" s="77" t="s">
        <v>19</v>
      </c>
      <c r="AG27" s="77" t="s">
        <v>117</v>
      </c>
      <c r="AH27" s="161" t="s">
        <v>118</v>
      </c>
      <c r="AI27" s="76"/>
      <c r="AJ27" s="76"/>
      <c r="AK27" s="17" t="s">
        <v>121</v>
      </c>
      <c r="AL27" s="77" t="s">
        <v>130</v>
      </c>
      <c r="AM27" s="77" t="s">
        <v>19</v>
      </c>
      <c r="AN27" s="77" t="s">
        <v>110</v>
      </c>
      <c r="AO27" s="77" t="s">
        <v>115</v>
      </c>
      <c r="AP27" s="77" t="s">
        <v>122</v>
      </c>
      <c r="AQ27" s="76"/>
      <c r="AR27" s="76"/>
      <c r="AS27" s="25">
        <v>5</v>
      </c>
      <c r="AT27" s="123">
        <f t="shared" si="2"/>
        <v>5</v>
      </c>
      <c r="AU27" s="123">
        <f t="shared" si="12"/>
        <v>2</v>
      </c>
      <c r="AV27" s="123">
        <f t="shared" si="12"/>
        <v>0</v>
      </c>
      <c r="AW27" s="123">
        <f t="shared" si="12"/>
        <v>3</v>
      </c>
      <c r="AX27" s="123">
        <f t="shared" si="12"/>
        <v>3</v>
      </c>
      <c r="AY27" s="123">
        <f t="shared" si="12"/>
        <v>2</v>
      </c>
      <c r="AZ27" s="123">
        <f t="shared" si="12"/>
        <v>6</v>
      </c>
      <c r="BA27" s="123">
        <f t="shared" si="12"/>
        <v>2</v>
      </c>
      <c r="BB27" s="123">
        <f t="shared" si="12"/>
        <v>2</v>
      </c>
      <c r="BC27" s="123">
        <f t="shared" si="12"/>
        <v>2</v>
      </c>
      <c r="BD27" s="123">
        <f t="shared" si="12"/>
        <v>0</v>
      </c>
      <c r="BE27" s="124">
        <f t="shared" si="4"/>
        <v>27</v>
      </c>
      <c r="BF27" s="123">
        <f t="shared" si="5"/>
        <v>0</v>
      </c>
      <c r="BG27" s="123">
        <f t="shared" si="13"/>
        <v>0</v>
      </c>
      <c r="BH27" s="123">
        <f t="shared" si="13"/>
        <v>0</v>
      </c>
      <c r="BI27" s="123">
        <f t="shared" si="13"/>
        <v>2</v>
      </c>
      <c r="BJ27" s="123">
        <f t="shared" si="13"/>
        <v>0</v>
      </c>
      <c r="BK27" s="123">
        <f t="shared" si="13"/>
        <v>0</v>
      </c>
      <c r="BL27" s="123">
        <f t="shared" si="13"/>
        <v>0</v>
      </c>
      <c r="BM27" s="123">
        <f t="shared" si="13"/>
        <v>0</v>
      </c>
      <c r="BN27" s="90">
        <f t="shared" si="7"/>
        <v>2</v>
      </c>
      <c r="BO27" s="123">
        <f t="shared" si="8"/>
        <v>0</v>
      </c>
      <c r="BP27" s="123">
        <f t="shared" si="8"/>
        <v>0</v>
      </c>
      <c r="BQ27" s="123">
        <f t="shared" si="8"/>
        <v>0</v>
      </c>
      <c r="BR27" s="142">
        <f t="shared" si="8"/>
        <v>0</v>
      </c>
      <c r="BS27" s="143">
        <f t="shared" si="10"/>
        <v>2</v>
      </c>
      <c r="BT27" s="7">
        <f t="shared" si="11"/>
        <v>29</v>
      </c>
    </row>
    <row r="28" spans="2:72">
      <c r="B28" s="202"/>
      <c r="C28" s="159">
        <v>19</v>
      </c>
      <c r="D28" s="51" t="s">
        <v>143</v>
      </c>
      <c r="E28" s="77" t="s">
        <v>110</v>
      </c>
      <c r="F28" s="161" t="s">
        <v>123</v>
      </c>
      <c r="G28" s="77" t="s">
        <v>123</v>
      </c>
      <c r="H28" s="77" t="s">
        <v>116</v>
      </c>
      <c r="I28" s="77" t="s">
        <v>114</v>
      </c>
      <c r="J28" s="17" t="s">
        <v>121</v>
      </c>
      <c r="K28" s="76"/>
      <c r="L28" s="76"/>
      <c r="M28" s="77" t="s">
        <v>110</v>
      </c>
      <c r="N28" s="161" t="s">
        <v>110</v>
      </c>
      <c r="O28" s="77" t="s">
        <v>115</v>
      </c>
      <c r="P28" s="77" t="s">
        <v>114</v>
      </c>
      <c r="Q28" s="77" t="s">
        <v>117</v>
      </c>
      <c r="R28" s="77" t="s">
        <v>19</v>
      </c>
      <c r="S28" s="76"/>
      <c r="T28" s="76"/>
      <c r="U28" s="77" t="s">
        <v>116</v>
      </c>
      <c r="V28" s="77" t="s">
        <v>117</v>
      </c>
      <c r="W28" s="77" t="s">
        <v>130</v>
      </c>
      <c r="X28" s="77" t="s">
        <v>19</v>
      </c>
      <c r="Y28" s="77" t="s">
        <v>20</v>
      </c>
      <c r="Z28" s="77"/>
      <c r="AA28" s="76"/>
      <c r="AB28" s="76"/>
      <c r="AC28" s="77" t="s">
        <v>110</v>
      </c>
      <c r="AD28" s="161" t="s">
        <v>114</v>
      </c>
      <c r="AE28" s="77" t="s">
        <v>19</v>
      </c>
      <c r="AF28" s="77" t="s">
        <v>19</v>
      </c>
      <c r="AG28" s="77" t="s">
        <v>117</v>
      </c>
      <c r="AH28" s="161" t="s">
        <v>118</v>
      </c>
      <c r="AI28" s="76"/>
      <c r="AJ28" s="76"/>
      <c r="AK28" s="17" t="s">
        <v>121</v>
      </c>
      <c r="AL28" s="77" t="s">
        <v>130</v>
      </c>
      <c r="AM28" s="77" t="s">
        <v>19</v>
      </c>
      <c r="AN28" s="77" t="s">
        <v>110</v>
      </c>
      <c r="AO28" s="77" t="s">
        <v>115</v>
      </c>
      <c r="AP28" s="77" t="s">
        <v>122</v>
      </c>
      <c r="AQ28" s="76"/>
      <c r="AR28" s="76"/>
      <c r="AS28" s="25">
        <v>5</v>
      </c>
      <c r="AT28" s="123">
        <f t="shared" si="2"/>
        <v>5</v>
      </c>
      <c r="AU28" s="123">
        <f t="shared" si="12"/>
        <v>2</v>
      </c>
      <c r="AV28" s="123">
        <f t="shared" si="12"/>
        <v>0</v>
      </c>
      <c r="AW28" s="123">
        <f t="shared" si="12"/>
        <v>3</v>
      </c>
      <c r="AX28" s="123">
        <f t="shared" si="12"/>
        <v>3</v>
      </c>
      <c r="AY28" s="123">
        <f t="shared" si="12"/>
        <v>1</v>
      </c>
      <c r="AZ28" s="123">
        <f t="shared" si="12"/>
        <v>7</v>
      </c>
      <c r="BA28" s="123">
        <f t="shared" si="12"/>
        <v>2</v>
      </c>
      <c r="BB28" s="123">
        <f t="shared" si="12"/>
        <v>2</v>
      </c>
      <c r="BC28" s="123">
        <f t="shared" si="12"/>
        <v>2</v>
      </c>
      <c r="BD28" s="123">
        <f t="shared" si="12"/>
        <v>0</v>
      </c>
      <c r="BE28" s="124">
        <f t="shared" si="4"/>
        <v>27</v>
      </c>
      <c r="BF28" s="123">
        <f t="shared" si="5"/>
        <v>0</v>
      </c>
      <c r="BG28" s="123">
        <f t="shared" si="13"/>
        <v>0</v>
      </c>
      <c r="BH28" s="123">
        <f t="shared" si="13"/>
        <v>0</v>
      </c>
      <c r="BI28" s="123">
        <f t="shared" si="13"/>
        <v>2</v>
      </c>
      <c r="BJ28" s="123">
        <f t="shared" si="13"/>
        <v>0</v>
      </c>
      <c r="BK28" s="123">
        <f t="shared" si="13"/>
        <v>0</v>
      </c>
      <c r="BL28" s="123">
        <f t="shared" si="13"/>
        <v>0</v>
      </c>
      <c r="BM28" s="123">
        <f t="shared" si="13"/>
        <v>0</v>
      </c>
      <c r="BN28" s="90">
        <f t="shared" si="7"/>
        <v>2</v>
      </c>
      <c r="BO28" s="123">
        <f t="shared" si="8"/>
        <v>0</v>
      </c>
      <c r="BP28" s="123">
        <f t="shared" si="8"/>
        <v>0</v>
      </c>
      <c r="BQ28" s="123">
        <f t="shared" si="8"/>
        <v>0</v>
      </c>
      <c r="BR28" s="142">
        <f t="shared" si="8"/>
        <v>0</v>
      </c>
      <c r="BS28" s="143">
        <f t="shared" si="10"/>
        <v>2</v>
      </c>
      <c r="BT28" s="7">
        <f t="shared" si="11"/>
        <v>29</v>
      </c>
    </row>
    <row r="29" spans="2:72">
      <c r="B29" s="203"/>
      <c r="C29" s="159">
        <v>20</v>
      </c>
      <c r="D29" s="51" t="s">
        <v>132</v>
      </c>
      <c r="E29" s="77" t="s">
        <v>110</v>
      </c>
      <c r="F29" s="161" t="s">
        <v>19</v>
      </c>
      <c r="G29" s="77" t="s">
        <v>19</v>
      </c>
      <c r="H29" s="77" t="s">
        <v>116</v>
      </c>
      <c r="I29" s="77" t="s">
        <v>114</v>
      </c>
      <c r="J29" s="17" t="s">
        <v>121</v>
      </c>
      <c r="K29" s="76"/>
      <c r="L29" s="76"/>
      <c r="M29" s="77" t="s">
        <v>110</v>
      </c>
      <c r="N29" s="161" t="s">
        <v>110</v>
      </c>
      <c r="O29" s="77" t="s">
        <v>115</v>
      </c>
      <c r="P29" s="77" t="s">
        <v>114</v>
      </c>
      <c r="Q29" s="77" t="s">
        <v>117</v>
      </c>
      <c r="R29" s="77" t="s">
        <v>19</v>
      </c>
      <c r="S29" s="76"/>
      <c r="T29" s="76"/>
      <c r="U29" s="77" t="s">
        <v>116</v>
      </c>
      <c r="V29" s="77" t="s">
        <v>117</v>
      </c>
      <c r="W29" s="77" t="s">
        <v>130</v>
      </c>
      <c r="X29" s="77" t="s">
        <v>19</v>
      </c>
      <c r="Y29" s="77" t="s">
        <v>113</v>
      </c>
      <c r="Z29" s="77"/>
      <c r="AA29" s="76"/>
      <c r="AB29" s="76"/>
      <c r="AC29" s="77" t="s">
        <v>110</v>
      </c>
      <c r="AD29" s="161" t="s">
        <v>114</v>
      </c>
      <c r="AE29" s="187" t="s">
        <v>44</v>
      </c>
      <c r="AF29" s="187" t="s">
        <v>44</v>
      </c>
      <c r="AG29" s="187" t="s">
        <v>44</v>
      </c>
      <c r="AH29" s="161"/>
      <c r="AI29" s="76"/>
      <c r="AJ29" s="76"/>
      <c r="AK29" s="77" t="s">
        <v>110</v>
      </c>
      <c r="AL29" s="77" t="s">
        <v>130</v>
      </c>
      <c r="AM29" s="77" t="s">
        <v>19</v>
      </c>
      <c r="AN29" s="17" t="s">
        <v>112</v>
      </c>
      <c r="AO29" s="11" t="s">
        <v>133</v>
      </c>
      <c r="AP29" s="77"/>
      <c r="AQ29" s="76"/>
      <c r="AR29" s="76"/>
      <c r="AS29" s="25">
        <v>5</v>
      </c>
      <c r="AT29" s="123">
        <f t="shared" si="2"/>
        <v>5</v>
      </c>
      <c r="AU29" s="123">
        <f t="shared" si="12"/>
        <v>1</v>
      </c>
      <c r="AV29" s="123">
        <f t="shared" si="12"/>
        <v>1</v>
      </c>
      <c r="AW29" s="123">
        <f t="shared" si="12"/>
        <v>3</v>
      </c>
      <c r="AX29" s="123">
        <f t="shared" si="12"/>
        <v>2</v>
      </c>
      <c r="AY29" s="123">
        <f t="shared" si="12"/>
        <v>0</v>
      </c>
      <c r="AZ29" s="123">
        <f t="shared" si="12"/>
        <v>7</v>
      </c>
      <c r="BA29" s="123">
        <f t="shared" si="12"/>
        <v>0</v>
      </c>
      <c r="BB29" s="123">
        <f t="shared" si="12"/>
        <v>0</v>
      </c>
      <c r="BC29" s="123">
        <f t="shared" si="12"/>
        <v>2</v>
      </c>
      <c r="BD29" s="123">
        <f t="shared" si="12"/>
        <v>0</v>
      </c>
      <c r="BE29" s="124">
        <f t="shared" si="4"/>
        <v>21</v>
      </c>
      <c r="BF29" s="123">
        <f t="shared" si="5"/>
        <v>0</v>
      </c>
      <c r="BG29" s="123">
        <f t="shared" si="13"/>
        <v>1</v>
      </c>
      <c r="BH29" s="123">
        <f t="shared" si="13"/>
        <v>0</v>
      </c>
      <c r="BI29" s="123">
        <f t="shared" si="13"/>
        <v>1</v>
      </c>
      <c r="BJ29" s="123">
        <f t="shared" si="13"/>
        <v>0</v>
      </c>
      <c r="BK29" s="123">
        <f t="shared" si="13"/>
        <v>0</v>
      </c>
      <c r="BL29" s="123">
        <f t="shared" si="13"/>
        <v>0</v>
      </c>
      <c r="BM29" s="123">
        <f t="shared" si="13"/>
        <v>0</v>
      </c>
      <c r="BN29" s="90">
        <f t="shared" si="7"/>
        <v>2</v>
      </c>
      <c r="BO29" s="123">
        <f t="shared" si="8"/>
        <v>3</v>
      </c>
      <c r="BP29" s="123">
        <f t="shared" si="8"/>
        <v>1</v>
      </c>
      <c r="BQ29" s="123">
        <f t="shared" si="8"/>
        <v>0</v>
      </c>
      <c r="BR29" s="142">
        <f t="shared" si="8"/>
        <v>0</v>
      </c>
      <c r="BS29" s="143">
        <f t="shared" si="10"/>
        <v>6</v>
      </c>
      <c r="BT29" s="7">
        <f t="shared" si="11"/>
        <v>27</v>
      </c>
    </row>
    <row r="30" spans="2:72">
      <c r="B30" s="6"/>
      <c r="C30" s="159">
        <v>21</v>
      </c>
      <c r="D30" s="51"/>
      <c r="E30" s="77"/>
      <c r="F30" s="161"/>
      <c r="G30" s="77"/>
      <c r="H30" s="77"/>
      <c r="I30" s="77"/>
      <c r="J30" s="77"/>
      <c r="K30" s="76"/>
      <c r="L30" s="76"/>
      <c r="M30" s="77"/>
      <c r="N30" s="161"/>
      <c r="O30" s="77"/>
      <c r="P30" s="77"/>
      <c r="Q30" s="77"/>
      <c r="R30" s="77"/>
      <c r="S30" s="76"/>
      <c r="T30" s="76"/>
      <c r="U30" s="77"/>
      <c r="V30" s="77"/>
      <c r="W30" s="77"/>
      <c r="X30" s="77"/>
      <c r="Y30" s="77"/>
      <c r="Z30" s="77"/>
      <c r="AA30" s="76"/>
      <c r="AB30" s="76"/>
      <c r="AC30" s="77"/>
      <c r="AD30" s="161"/>
      <c r="AE30" s="77"/>
      <c r="AF30" s="77"/>
      <c r="AG30" s="77"/>
      <c r="AH30" s="161"/>
      <c r="AI30" s="76"/>
      <c r="AJ30" s="76"/>
      <c r="AK30" s="77"/>
      <c r="AL30" s="77"/>
      <c r="AM30" s="77"/>
      <c r="AN30" s="77"/>
      <c r="AO30" s="77"/>
      <c r="AP30" s="77"/>
      <c r="AQ30" s="76"/>
      <c r="AR30" s="76"/>
      <c r="AS30" s="25">
        <v>2</v>
      </c>
      <c r="AT30" s="123">
        <f t="shared" si="2"/>
        <v>0</v>
      </c>
      <c r="AU30" s="123">
        <f t="shared" si="12"/>
        <v>0</v>
      </c>
      <c r="AV30" s="123">
        <f t="shared" si="12"/>
        <v>0</v>
      </c>
      <c r="AW30" s="123">
        <f t="shared" si="12"/>
        <v>0</v>
      </c>
      <c r="AX30" s="123">
        <f t="shared" si="12"/>
        <v>0</v>
      </c>
      <c r="AY30" s="123">
        <f t="shared" si="12"/>
        <v>0</v>
      </c>
      <c r="AZ30" s="123">
        <f t="shared" si="12"/>
        <v>0</v>
      </c>
      <c r="BA30" s="123">
        <f t="shared" si="12"/>
        <v>0</v>
      </c>
      <c r="BB30" s="123">
        <f t="shared" si="12"/>
        <v>0</v>
      </c>
      <c r="BC30" s="123">
        <f t="shared" si="12"/>
        <v>0</v>
      </c>
      <c r="BD30" s="123">
        <f t="shared" si="12"/>
        <v>0</v>
      </c>
      <c r="BE30" s="124">
        <f t="shared" si="4"/>
        <v>0</v>
      </c>
      <c r="BF30" s="123">
        <f t="shared" si="5"/>
        <v>0</v>
      </c>
      <c r="BG30" s="123">
        <f t="shared" si="13"/>
        <v>0</v>
      </c>
      <c r="BH30" s="123">
        <f t="shared" si="13"/>
        <v>0</v>
      </c>
      <c r="BI30" s="123">
        <f t="shared" si="13"/>
        <v>0</v>
      </c>
      <c r="BJ30" s="123">
        <f t="shared" si="13"/>
        <v>0</v>
      </c>
      <c r="BK30" s="123">
        <f t="shared" si="13"/>
        <v>0</v>
      </c>
      <c r="BL30" s="123">
        <f t="shared" si="13"/>
        <v>0</v>
      </c>
      <c r="BM30" s="123">
        <f t="shared" si="13"/>
        <v>0</v>
      </c>
      <c r="BN30" s="90">
        <f t="shared" si="7"/>
        <v>0</v>
      </c>
      <c r="BO30" s="123">
        <f t="shared" si="8"/>
        <v>0</v>
      </c>
      <c r="BP30" s="123">
        <f t="shared" si="8"/>
        <v>0</v>
      </c>
      <c r="BQ30" s="123">
        <f t="shared" si="8"/>
        <v>0</v>
      </c>
      <c r="BR30" s="142">
        <f t="shared" si="8"/>
        <v>0</v>
      </c>
      <c r="BS30" s="143">
        <f t="shared" si="10"/>
        <v>0</v>
      </c>
      <c r="BT30" s="7">
        <f t="shared" si="11"/>
        <v>0</v>
      </c>
    </row>
    <row r="31" spans="2:72" s="1" customFormat="1">
      <c r="B31" s="6"/>
      <c r="C31" s="159">
        <v>22</v>
      </c>
      <c r="D31" s="51"/>
      <c r="E31" s="77"/>
      <c r="F31" s="161"/>
      <c r="G31" s="77"/>
      <c r="H31" s="77"/>
      <c r="I31" s="77"/>
      <c r="J31" s="77"/>
      <c r="K31" s="82"/>
      <c r="L31" s="82"/>
      <c r="M31" s="77"/>
      <c r="N31" s="161"/>
      <c r="O31" s="77"/>
      <c r="P31" s="77"/>
      <c r="Q31" s="77"/>
      <c r="R31" s="77"/>
      <c r="S31" s="82"/>
      <c r="T31" s="82"/>
      <c r="U31" s="77"/>
      <c r="V31" s="77"/>
      <c r="W31" s="77"/>
      <c r="X31" s="77"/>
      <c r="Y31" s="77"/>
      <c r="Z31" s="77"/>
      <c r="AA31" s="82"/>
      <c r="AB31" s="82"/>
      <c r="AC31" s="77"/>
      <c r="AD31" s="161"/>
      <c r="AE31" s="77"/>
      <c r="AF31" s="77"/>
      <c r="AG31" s="77"/>
      <c r="AH31" s="161"/>
      <c r="AI31" s="82"/>
      <c r="AJ31" s="82"/>
      <c r="AK31" s="77"/>
      <c r="AL31" s="77"/>
      <c r="AM31" s="77"/>
      <c r="AN31" s="77"/>
      <c r="AO31" s="77"/>
      <c r="AP31" s="77"/>
      <c r="AQ31" s="82"/>
      <c r="AR31" s="82"/>
      <c r="AS31" s="25">
        <v>0</v>
      </c>
      <c r="AT31" s="123">
        <f t="shared" si="2"/>
        <v>0</v>
      </c>
      <c r="AU31" s="123">
        <f t="shared" si="12"/>
        <v>0</v>
      </c>
      <c r="AV31" s="123">
        <f t="shared" si="12"/>
        <v>0</v>
      </c>
      <c r="AW31" s="123">
        <f t="shared" si="12"/>
        <v>0</v>
      </c>
      <c r="AX31" s="123">
        <f t="shared" si="12"/>
        <v>0</v>
      </c>
      <c r="AY31" s="123">
        <f t="shared" si="12"/>
        <v>0</v>
      </c>
      <c r="AZ31" s="123">
        <f t="shared" si="12"/>
        <v>0</v>
      </c>
      <c r="BA31" s="123">
        <f t="shared" si="12"/>
        <v>0</v>
      </c>
      <c r="BB31" s="123">
        <f t="shared" si="12"/>
        <v>0</v>
      </c>
      <c r="BC31" s="123">
        <f t="shared" si="12"/>
        <v>0</v>
      </c>
      <c r="BD31" s="123">
        <f t="shared" si="12"/>
        <v>0</v>
      </c>
      <c r="BE31" s="124">
        <f>SUM(AT31:BD31)</f>
        <v>0</v>
      </c>
      <c r="BF31" s="123">
        <f t="shared" si="5"/>
        <v>0</v>
      </c>
      <c r="BG31" s="123">
        <f t="shared" si="13"/>
        <v>0</v>
      </c>
      <c r="BH31" s="123">
        <f t="shared" si="13"/>
        <v>0</v>
      </c>
      <c r="BI31" s="123">
        <f t="shared" si="13"/>
        <v>0</v>
      </c>
      <c r="BJ31" s="123">
        <f t="shared" si="13"/>
        <v>0</v>
      </c>
      <c r="BK31" s="123">
        <f t="shared" si="13"/>
        <v>0</v>
      </c>
      <c r="BL31" s="123">
        <f t="shared" si="13"/>
        <v>0</v>
      </c>
      <c r="BM31" s="123">
        <f t="shared" si="13"/>
        <v>0</v>
      </c>
      <c r="BN31" s="90">
        <f>SUM(BF31:BM31)</f>
        <v>0</v>
      </c>
      <c r="BO31" s="123">
        <f t="shared" si="8"/>
        <v>0</v>
      </c>
      <c r="BP31" s="123">
        <f t="shared" si="8"/>
        <v>0</v>
      </c>
      <c r="BQ31" s="123">
        <f t="shared" si="8"/>
        <v>0</v>
      </c>
      <c r="BR31" s="142">
        <f t="shared" si="8"/>
        <v>0</v>
      </c>
      <c r="BS31" s="143">
        <f t="shared" si="10"/>
        <v>0</v>
      </c>
      <c r="BT31" s="46">
        <f>SUM(BE31,BS31)</f>
        <v>0</v>
      </c>
    </row>
    <row r="32" spans="2:72">
      <c r="B32" s="6"/>
      <c r="C32" s="159">
        <v>23</v>
      </c>
      <c r="D32" s="51"/>
      <c r="E32" s="77"/>
      <c r="F32" s="161"/>
      <c r="G32" s="77"/>
      <c r="H32" s="77"/>
      <c r="I32" s="77"/>
      <c r="J32" s="77"/>
      <c r="K32" s="76"/>
      <c r="L32" s="76"/>
      <c r="M32" s="77"/>
      <c r="N32" s="161"/>
      <c r="O32" s="77"/>
      <c r="P32" s="77"/>
      <c r="Q32" s="77"/>
      <c r="R32" s="77"/>
      <c r="S32" s="76"/>
      <c r="T32" s="76"/>
      <c r="U32" s="77"/>
      <c r="V32" s="77"/>
      <c r="W32" s="77"/>
      <c r="X32" s="77"/>
      <c r="Y32" s="77"/>
      <c r="Z32" s="77"/>
      <c r="AA32" s="76"/>
      <c r="AB32" s="76"/>
      <c r="AC32" s="77"/>
      <c r="AD32" s="161"/>
      <c r="AE32" s="77"/>
      <c r="AF32" s="77"/>
      <c r="AG32" s="77"/>
      <c r="AH32" s="161"/>
      <c r="AI32" s="76"/>
      <c r="AJ32" s="76"/>
      <c r="AK32" s="77"/>
      <c r="AL32" s="77"/>
      <c r="AM32" s="77"/>
      <c r="AN32" s="77"/>
      <c r="AO32" s="77"/>
      <c r="AP32" s="77"/>
      <c r="AQ32" s="82"/>
      <c r="AR32" s="82"/>
      <c r="AS32" s="25">
        <v>0</v>
      </c>
      <c r="AT32" s="123">
        <f t="shared" si="2"/>
        <v>0</v>
      </c>
      <c r="AU32" s="123">
        <f t="shared" si="12"/>
        <v>0</v>
      </c>
      <c r="AV32" s="123">
        <f t="shared" si="12"/>
        <v>0</v>
      </c>
      <c r="AW32" s="123">
        <f t="shared" si="12"/>
        <v>0</v>
      </c>
      <c r="AX32" s="123">
        <f t="shared" si="12"/>
        <v>0</v>
      </c>
      <c r="AY32" s="123">
        <f t="shared" si="12"/>
        <v>0</v>
      </c>
      <c r="AZ32" s="123">
        <f t="shared" si="12"/>
        <v>0</v>
      </c>
      <c r="BA32" s="123">
        <f t="shared" si="12"/>
        <v>0</v>
      </c>
      <c r="BB32" s="123">
        <f t="shared" si="12"/>
        <v>0</v>
      </c>
      <c r="BC32" s="123">
        <f t="shared" si="12"/>
        <v>0</v>
      </c>
      <c r="BD32" s="123">
        <f t="shared" si="12"/>
        <v>0</v>
      </c>
      <c r="BE32" s="124">
        <f t="shared" si="4"/>
        <v>0</v>
      </c>
      <c r="BF32" s="123">
        <f t="shared" si="5"/>
        <v>0</v>
      </c>
      <c r="BG32" s="123">
        <f t="shared" si="13"/>
        <v>0</v>
      </c>
      <c r="BH32" s="123">
        <f t="shared" si="13"/>
        <v>0</v>
      </c>
      <c r="BI32" s="123">
        <f t="shared" si="13"/>
        <v>0</v>
      </c>
      <c r="BJ32" s="123">
        <f t="shared" si="13"/>
        <v>0</v>
      </c>
      <c r="BK32" s="123">
        <f t="shared" si="13"/>
        <v>0</v>
      </c>
      <c r="BL32" s="123">
        <f t="shared" si="13"/>
        <v>0</v>
      </c>
      <c r="BM32" s="123">
        <f t="shared" si="13"/>
        <v>0</v>
      </c>
      <c r="BN32" s="90">
        <f>SUM(BF32:BM32)</f>
        <v>0</v>
      </c>
      <c r="BO32" s="123">
        <f t="shared" si="8"/>
        <v>0</v>
      </c>
      <c r="BP32" s="123">
        <f t="shared" si="8"/>
        <v>0</v>
      </c>
      <c r="BQ32" s="123">
        <f t="shared" si="8"/>
        <v>0</v>
      </c>
      <c r="BR32" s="142">
        <f t="shared" si="8"/>
        <v>0</v>
      </c>
      <c r="BS32" s="143">
        <f t="shared" si="10"/>
        <v>0</v>
      </c>
      <c r="BT32" s="7">
        <f t="shared" si="11"/>
        <v>0</v>
      </c>
    </row>
    <row r="33" spans="2:74" ht="13.5" customHeight="1">
      <c r="C33" s="2"/>
      <c r="AL33" s="239">
        <f>AF2</f>
        <v>5</v>
      </c>
      <c r="AM33" s="242" t="s">
        <v>85</v>
      </c>
      <c r="AN33" s="243"/>
      <c r="AO33" s="273" t="s">
        <v>38</v>
      </c>
      <c r="AP33" s="274"/>
      <c r="AQ33" s="274"/>
      <c r="AR33" s="274"/>
      <c r="AS33" s="274"/>
      <c r="AT33" s="194" t="str">
        <f>AT7</f>
        <v>국어</v>
      </c>
      <c r="AU33" s="195" t="str">
        <f t="shared" ref="AU33:BD33" si="14">AU7</f>
        <v>사회</v>
      </c>
      <c r="AV33" s="195" t="str">
        <f t="shared" si="14"/>
        <v>도덕</v>
      </c>
      <c r="AW33" s="195" t="str">
        <f t="shared" si="14"/>
        <v>수학</v>
      </c>
      <c r="AX33" s="195" t="str">
        <f t="shared" si="14"/>
        <v>과학</v>
      </c>
      <c r="AY33" s="195" t="str">
        <f t="shared" si="14"/>
        <v>실과</v>
      </c>
      <c r="AZ33" s="195" t="str">
        <f t="shared" si="14"/>
        <v>체육</v>
      </c>
      <c r="BA33" s="195" t="str">
        <f t="shared" si="14"/>
        <v>음악</v>
      </c>
      <c r="BB33" s="195" t="str">
        <f t="shared" si="14"/>
        <v>미술</v>
      </c>
      <c r="BC33" s="195" t="str">
        <f t="shared" si="14"/>
        <v>영어</v>
      </c>
      <c r="BD33" s="221" t="str">
        <f t="shared" si="14"/>
        <v>교과</v>
      </c>
      <c r="BE33" s="299">
        <f t="shared" ref="BE33:BQ33" si="15">BE7</f>
        <v>0</v>
      </c>
      <c r="BF33" s="267" t="str">
        <f t="shared" si="15"/>
        <v>자치</v>
      </c>
      <c r="BG33" s="267" t="str">
        <f t="shared" si="15"/>
        <v>적응</v>
      </c>
      <c r="BH33" s="267" t="str">
        <f t="shared" si="15"/>
        <v>행사</v>
      </c>
      <c r="BI33" s="249" t="str">
        <f t="shared" si="15"/>
        <v>창주</v>
      </c>
      <c r="BJ33" s="249" t="str">
        <f t="shared" si="15"/>
        <v>범교</v>
      </c>
      <c r="BK33" s="249" t="str">
        <f t="shared" si="15"/>
        <v>선택3</v>
      </c>
      <c r="BL33" s="249" t="str">
        <f t="shared" si="15"/>
        <v>선택4</v>
      </c>
      <c r="BM33" s="249" t="str">
        <f t="shared" si="15"/>
        <v>선택5</v>
      </c>
      <c r="BN33" s="254" t="str">
        <f t="shared" si="15"/>
        <v>자율소계</v>
      </c>
      <c r="BO33" s="257" t="str">
        <f t="shared" si="15"/>
        <v>동아리</v>
      </c>
      <c r="BP33" s="223" t="str">
        <f t="shared" si="15"/>
        <v>봉사</v>
      </c>
      <c r="BQ33" s="223" t="str">
        <f t="shared" si="15"/>
        <v>진로</v>
      </c>
      <c r="BR33" s="223">
        <f t="shared" ref="BR33" si="16">BR7</f>
        <v>0</v>
      </c>
      <c r="BS33" s="265" t="s">
        <v>26</v>
      </c>
      <c r="BT33" s="266" t="s">
        <v>3</v>
      </c>
    </row>
    <row r="34" spans="2:74">
      <c r="AL34" s="240"/>
      <c r="AM34" s="244"/>
      <c r="AN34" s="245"/>
      <c r="AO34" s="275"/>
      <c r="AP34" s="276"/>
      <c r="AQ34" s="276"/>
      <c r="AR34" s="276"/>
      <c r="AS34" s="276"/>
      <c r="AT34" s="194"/>
      <c r="AU34" s="203"/>
      <c r="AV34" s="203"/>
      <c r="AW34" s="203"/>
      <c r="AX34" s="203"/>
      <c r="AY34" s="203"/>
      <c r="AZ34" s="203"/>
      <c r="BA34" s="203"/>
      <c r="BB34" s="203"/>
      <c r="BC34" s="203"/>
      <c r="BD34" s="222"/>
      <c r="BE34" s="279"/>
      <c r="BF34" s="268"/>
      <c r="BG34" s="268"/>
      <c r="BH34" s="268"/>
      <c r="BI34" s="250"/>
      <c r="BJ34" s="250"/>
      <c r="BK34" s="250"/>
      <c r="BL34" s="250"/>
      <c r="BM34" s="250"/>
      <c r="BN34" s="256"/>
      <c r="BO34" s="258"/>
      <c r="BP34" s="224"/>
      <c r="BQ34" s="224"/>
      <c r="BR34" s="224"/>
      <c r="BS34" s="259"/>
      <c r="BT34" s="248"/>
    </row>
    <row r="35" spans="2:74">
      <c r="AL35" s="240"/>
      <c r="AM35" s="244"/>
      <c r="AN35" s="245"/>
      <c r="AO35" s="277" t="s">
        <v>0</v>
      </c>
      <c r="AP35" s="271"/>
      <c r="AQ35" s="271"/>
      <c r="AR35" s="271"/>
      <c r="AS35" s="271"/>
      <c r="AT35" s="10">
        <f>SUM(AT10:AT32)</f>
        <v>103</v>
      </c>
      <c r="AU35" s="10">
        <f t="shared" ref="AU35:BT35" si="17">SUM(AU10:AU32)</f>
        <v>51</v>
      </c>
      <c r="AV35" s="10">
        <f t="shared" si="17"/>
        <v>16</v>
      </c>
      <c r="AW35" s="10">
        <f t="shared" si="17"/>
        <v>69</v>
      </c>
      <c r="AX35" s="10">
        <f t="shared" si="17"/>
        <v>50</v>
      </c>
      <c r="AY35" s="10">
        <f t="shared" si="17"/>
        <v>34</v>
      </c>
      <c r="AZ35" s="10">
        <f t="shared" si="17"/>
        <v>50</v>
      </c>
      <c r="BA35" s="10">
        <f t="shared" si="17"/>
        <v>34</v>
      </c>
      <c r="BB35" s="10">
        <f t="shared" si="17"/>
        <v>34</v>
      </c>
      <c r="BC35" s="10">
        <f t="shared" si="17"/>
        <v>50</v>
      </c>
      <c r="BD35" s="21">
        <f t="shared" si="17"/>
        <v>0</v>
      </c>
      <c r="BE35" s="11">
        <f t="shared" si="17"/>
        <v>491</v>
      </c>
      <c r="BF35" s="10">
        <f t="shared" si="17"/>
        <v>6</v>
      </c>
      <c r="BG35" s="10">
        <f t="shared" si="17"/>
        <v>4</v>
      </c>
      <c r="BH35" s="10">
        <f t="shared" si="17"/>
        <v>0</v>
      </c>
      <c r="BI35" s="10">
        <f t="shared" si="17"/>
        <v>16</v>
      </c>
      <c r="BJ35" s="10">
        <f>SUM(BJ10:BJ32)</f>
        <v>6</v>
      </c>
      <c r="BK35" s="10">
        <f>SUM(BK10:BK32)</f>
        <v>0</v>
      </c>
      <c r="BL35" s="10">
        <f>SUM(BL10:BL32)</f>
        <v>0</v>
      </c>
      <c r="BM35" s="10">
        <f t="shared" si="17"/>
        <v>0</v>
      </c>
      <c r="BN35" s="125">
        <f t="shared" si="17"/>
        <v>32</v>
      </c>
      <c r="BO35" s="125">
        <f t="shared" si="17"/>
        <v>11</v>
      </c>
      <c r="BP35" s="125">
        <f t="shared" si="17"/>
        <v>1</v>
      </c>
      <c r="BQ35" s="125">
        <f t="shared" si="17"/>
        <v>2</v>
      </c>
      <c r="BR35" s="144">
        <f t="shared" ref="BR35" si="18">SUM(BR10:BR32)</f>
        <v>0</v>
      </c>
      <c r="BS35" s="12">
        <f t="shared" si="17"/>
        <v>46</v>
      </c>
      <c r="BT35" s="13">
        <f t="shared" si="17"/>
        <v>537</v>
      </c>
      <c r="BU35" s="1"/>
      <c r="BV35" s="1"/>
    </row>
    <row r="36" spans="2:74">
      <c r="AL36" s="240"/>
      <c r="AM36" s="244"/>
      <c r="AN36" s="245"/>
      <c r="AO36" s="278" t="s">
        <v>4</v>
      </c>
      <c r="AP36" s="272"/>
      <c r="AQ36" s="272"/>
      <c r="AR36" s="272"/>
      <c r="AS36" s="272"/>
      <c r="AT36" s="14">
        <f>AT82</f>
        <v>104</v>
      </c>
      <c r="AU36" s="14">
        <f t="shared" ref="AU36:BT36" si="19">AU82</f>
        <v>52</v>
      </c>
      <c r="AV36" s="14">
        <f t="shared" si="19"/>
        <v>18</v>
      </c>
      <c r="AW36" s="14">
        <f t="shared" si="19"/>
        <v>70</v>
      </c>
      <c r="AX36" s="14">
        <f t="shared" si="19"/>
        <v>54</v>
      </c>
      <c r="AY36" s="14">
        <f t="shared" si="19"/>
        <v>34</v>
      </c>
      <c r="AZ36" s="14">
        <f t="shared" si="19"/>
        <v>52</v>
      </c>
      <c r="BA36" s="14">
        <f t="shared" si="19"/>
        <v>34</v>
      </c>
      <c r="BB36" s="14">
        <f t="shared" si="19"/>
        <v>34</v>
      </c>
      <c r="BC36" s="14">
        <f t="shared" si="19"/>
        <v>52</v>
      </c>
      <c r="BD36" s="14">
        <f t="shared" si="19"/>
        <v>0</v>
      </c>
      <c r="BE36" s="14">
        <f t="shared" si="19"/>
        <v>504</v>
      </c>
      <c r="BF36" s="14">
        <f t="shared" si="19"/>
        <v>35</v>
      </c>
      <c r="BG36" s="14">
        <f t="shared" si="19"/>
        <v>0</v>
      </c>
      <c r="BH36" s="14">
        <f t="shared" si="19"/>
        <v>0</v>
      </c>
      <c r="BI36" s="14">
        <f t="shared" si="19"/>
        <v>0</v>
      </c>
      <c r="BJ36" s="14">
        <f>BJ82</f>
        <v>0</v>
      </c>
      <c r="BK36" s="14">
        <f>BK82</f>
        <v>0</v>
      </c>
      <c r="BL36" s="14">
        <f>BL82</f>
        <v>0</v>
      </c>
      <c r="BM36" s="14">
        <f t="shared" si="19"/>
        <v>0</v>
      </c>
      <c r="BN36" s="14">
        <f t="shared" si="19"/>
        <v>35</v>
      </c>
      <c r="BO36" s="14">
        <f t="shared" si="19"/>
        <v>12</v>
      </c>
      <c r="BP36" s="14">
        <f t="shared" si="19"/>
        <v>5</v>
      </c>
      <c r="BQ36" s="14">
        <f t="shared" si="19"/>
        <v>4</v>
      </c>
      <c r="BR36" s="14">
        <f t="shared" ref="BR36" si="20">BR82</f>
        <v>0</v>
      </c>
      <c r="BS36" s="14">
        <f t="shared" si="19"/>
        <v>56</v>
      </c>
      <c r="BT36" s="14">
        <f t="shared" si="19"/>
        <v>560</v>
      </c>
      <c r="BU36" s="1"/>
      <c r="BV36" s="1"/>
    </row>
    <row r="37" spans="2:74">
      <c r="AL37" s="240"/>
      <c r="AM37" s="244"/>
      <c r="AN37" s="245"/>
      <c r="AO37" s="292" t="s">
        <v>3</v>
      </c>
      <c r="AP37" s="288"/>
      <c r="AQ37" s="288"/>
      <c r="AR37" s="288"/>
      <c r="AS37" s="288"/>
      <c r="AT37" s="15">
        <f>SUM(AT35:AT36)</f>
        <v>207</v>
      </c>
      <c r="AU37" s="15">
        <f t="shared" ref="AU37:BT37" si="21">SUM(AU35:AU36)</f>
        <v>103</v>
      </c>
      <c r="AV37" s="15">
        <f t="shared" si="21"/>
        <v>34</v>
      </c>
      <c r="AW37" s="15">
        <f t="shared" si="21"/>
        <v>139</v>
      </c>
      <c r="AX37" s="15">
        <f t="shared" si="21"/>
        <v>104</v>
      </c>
      <c r="AY37" s="15">
        <f t="shared" si="21"/>
        <v>68</v>
      </c>
      <c r="AZ37" s="15">
        <f t="shared" si="21"/>
        <v>102</v>
      </c>
      <c r="BA37" s="15">
        <f t="shared" si="21"/>
        <v>68</v>
      </c>
      <c r="BB37" s="15">
        <f t="shared" si="21"/>
        <v>68</v>
      </c>
      <c r="BC37" s="15">
        <f t="shared" si="21"/>
        <v>102</v>
      </c>
      <c r="BD37" s="15">
        <f t="shared" si="21"/>
        <v>0</v>
      </c>
      <c r="BE37" s="15">
        <f t="shared" si="21"/>
        <v>995</v>
      </c>
      <c r="BF37" s="15">
        <f t="shared" si="21"/>
        <v>41</v>
      </c>
      <c r="BG37" s="15">
        <f t="shared" si="21"/>
        <v>4</v>
      </c>
      <c r="BH37" s="15">
        <f t="shared" si="21"/>
        <v>0</v>
      </c>
      <c r="BI37" s="15">
        <f t="shared" si="21"/>
        <v>16</v>
      </c>
      <c r="BJ37" s="15">
        <f>SUM(BJ35:BJ36)</f>
        <v>6</v>
      </c>
      <c r="BK37" s="15">
        <f>SUM(BK35:BK36)</f>
        <v>0</v>
      </c>
      <c r="BL37" s="15">
        <f>SUM(BL35:BL36)</f>
        <v>0</v>
      </c>
      <c r="BM37" s="15">
        <f t="shared" si="21"/>
        <v>0</v>
      </c>
      <c r="BN37" s="15">
        <f t="shared" si="21"/>
        <v>67</v>
      </c>
      <c r="BO37" s="15">
        <f t="shared" si="21"/>
        <v>23</v>
      </c>
      <c r="BP37" s="15">
        <f t="shared" si="21"/>
        <v>6</v>
      </c>
      <c r="BQ37" s="15">
        <f t="shared" si="21"/>
        <v>6</v>
      </c>
      <c r="BR37" s="15">
        <f t="shared" ref="BR37" si="22">SUM(BR35:BR36)</f>
        <v>0</v>
      </c>
      <c r="BS37" s="15">
        <f t="shared" si="21"/>
        <v>102</v>
      </c>
      <c r="BT37" s="15">
        <f t="shared" si="21"/>
        <v>1097</v>
      </c>
      <c r="BU37" s="1"/>
      <c r="BV37" s="1"/>
    </row>
    <row r="38" spans="2:74">
      <c r="G38" s="1"/>
      <c r="AL38" s="240"/>
      <c r="AM38" s="244"/>
      <c r="AN38" s="245"/>
      <c r="AO38" s="232" t="s">
        <v>39</v>
      </c>
      <c r="AP38" s="285"/>
      <c r="AQ38" s="285"/>
      <c r="AR38" s="285"/>
      <c r="AS38" s="285"/>
      <c r="AT38" s="128"/>
      <c r="AU38" s="286"/>
      <c r="AV38" s="286"/>
      <c r="AW38" s="128"/>
      <c r="AX38" s="128"/>
      <c r="AY38" s="128"/>
      <c r="AZ38" s="128"/>
      <c r="BA38" s="286"/>
      <c r="BB38" s="286"/>
      <c r="BC38" s="128"/>
      <c r="BD38" s="127"/>
      <c r="BE38" s="127"/>
      <c r="BF38" s="284"/>
      <c r="BG38" s="284"/>
      <c r="BH38" s="284"/>
      <c r="BI38" s="284"/>
      <c r="BJ38" s="284"/>
      <c r="BK38" s="284"/>
      <c r="BL38" s="284"/>
      <c r="BM38" s="284"/>
      <c r="BN38" s="284"/>
      <c r="BO38" s="284"/>
      <c r="BP38" s="284"/>
      <c r="BQ38" s="284"/>
      <c r="BR38" s="147"/>
      <c r="BS38" s="73"/>
      <c r="BT38" s="17">
        <f>SUM(AT38:BE38,BS38)</f>
        <v>0</v>
      </c>
    </row>
    <row r="39" spans="2:74">
      <c r="AL39" s="240"/>
      <c r="AM39" s="244"/>
      <c r="AN39" s="245"/>
      <c r="AO39" s="232" t="s">
        <v>41</v>
      </c>
      <c r="AP39" s="285"/>
      <c r="AQ39" s="285"/>
      <c r="AR39" s="285"/>
      <c r="AS39" s="285"/>
      <c r="AT39" s="129"/>
      <c r="AU39" s="287"/>
      <c r="AV39" s="287"/>
      <c r="AW39" s="129"/>
      <c r="AX39" s="129"/>
      <c r="AY39" s="129"/>
      <c r="AZ39" s="129"/>
      <c r="BA39" s="129"/>
      <c r="BB39" s="129"/>
      <c r="BC39" s="129"/>
      <c r="BD39" s="78"/>
      <c r="BE39" s="78"/>
      <c r="BF39" s="284"/>
      <c r="BG39" s="284"/>
      <c r="BH39" s="284"/>
      <c r="BI39" s="284"/>
      <c r="BJ39" s="284"/>
      <c r="BK39" s="284"/>
      <c r="BL39" s="284"/>
      <c r="BM39" s="284"/>
      <c r="BN39" s="284"/>
      <c r="BO39" s="284"/>
      <c r="BP39" s="284"/>
      <c r="BQ39" s="284"/>
      <c r="BR39" s="147"/>
      <c r="BS39" s="74"/>
      <c r="BT39" s="19"/>
    </row>
    <row r="40" spans="2:74">
      <c r="AL40" s="240"/>
      <c r="AM40" s="244"/>
      <c r="AN40" s="245"/>
      <c r="AO40" s="232" t="s">
        <v>40</v>
      </c>
      <c r="AP40" s="285"/>
      <c r="AQ40" s="285"/>
      <c r="AR40" s="285"/>
      <c r="AS40" s="285"/>
      <c r="AT40" s="128"/>
      <c r="AU40" s="128"/>
      <c r="AV40" s="128"/>
      <c r="AW40" s="128"/>
      <c r="AX40" s="128"/>
      <c r="AY40" s="128"/>
      <c r="AZ40" s="128"/>
      <c r="BA40" s="128"/>
      <c r="BB40" s="128"/>
      <c r="BC40" s="128"/>
      <c r="BD40" s="127"/>
      <c r="BE40" s="127"/>
      <c r="BF40" s="284"/>
      <c r="BG40" s="284"/>
      <c r="BH40" s="284"/>
      <c r="BI40" s="284"/>
      <c r="BJ40" s="284"/>
      <c r="BK40" s="284"/>
      <c r="BL40" s="284"/>
      <c r="BM40" s="284"/>
      <c r="BN40" s="284"/>
      <c r="BO40" s="284"/>
      <c r="BP40" s="284"/>
      <c r="BQ40" s="284"/>
      <c r="BR40" s="147"/>
      <c r="BS40" s="73"/>
      <c r="BT40" s="17">
        <f>SUM(AT40:BE40,BS40)</f>
        <v>0</v>
      </c>
    </row>
    <row r="41" spans="2:74" s="1" customFormat="1">
      <c r="AL41" s="241"/>
      <c r="AM41" s="246"/>
      <c r="AN41" s="247"/>
      <c r="AO41" s="232" t="s">
        <v>42</v>
      </c>
      <c r="AP41" s="285"/>
      <c r="AQ41" s="285"/>
      <c r="AR41" s="285"/>
      <c r="AS41" s="285"/>
      <c r="AT41" s="127">
        <f>AT37-AT40</f>
        <v>207</v>
      </c>
      <c r="AU41" s="127">
        <f t="shared" ref="AU41:BS41" si="23">AU37-AU40</f>
        <v>103</v>
      </c>
      <c r="AV41" s="127">
        <f t="shared" si="23"/>
        <v>34</v>
      </c>
      <c r="AW41" s="127">
        <f t="shared" si="23"/>
        <v>139</v>
      </c>
      <c r="AX41" s="127">
        <f t="shared" si="23"/>
        <v>104</v>
      </c>
      <c r="AY41" s="127">
        <f t="shared" si="23"/>
        <v>68</v>
      </c>
      <c r="AZ41" s="127">
        <f t="shared" si="23"/>
        <v>102</v>
      </c>
      <c r="BA41" s="127">
        <f t="shared" si="23"/>
        <v>68</v>
      </c>
      <c r="BB41" s="127">
        <f t="shared" si="23"/>
        <v>68</v>
      </c>
      <c r="BC41" s="127">
        <f t="shared" si="23"/>
        <v>102</v>
      </c>
      <c r="BD41" s="127">
        <f t="shared" si="23"/>
        <v>0</v>
      </c>
      <c r="BE41" s="127">
        <f t="shared" si="23"/>
        <v>995</v>
      </c>
      <c r="BF41" s="284"/>
      <c r="BG41" s="284"/>
      <c r="BH41" s="284"/>
      <c r="BI41" s="284"/>
      <c r="BJ41" s="284"/>
      <c r="BK41" s="284"/>
      <c r="BL41" s="284"/>
      <c r="BM41" s="284"/>
      <c r="BN41" s="284"/>
      <c r="BO41" s="284"/>
      <c r="BP41" s="284"/>
      <c r="BQ41" s="284"/>
      <c r="BR41" s="147"/>
      <c r="BS41" s="9">
        <f t="shared" si="23"/>
        <v>102</v>
      </c>
      <c r="BT41" s="17">
        <f>BT37-BT40</f>
        <v>1097</v>
      </c>
    </row>
    <row r="42" spans="2:74" s="1" customFormat="1">
      <c r="AO42" s="2"/>
      <c r="AP42" s="2"/>
      <c r="AQ42" s="92"/>
      <c r="AR42" s="92"/>
      <c r="AS42" s="2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1"/>
      <c r="BK42" s="121"/>
      <c r="BL42" s="121"/>
      <c r="BM42" s="121"/>
      <c r="BN42" s="121"/>
      <c r="BO42" s="121"/>
      <c r="BP42" s="121"/>
      <c r="BQ42" s="121"/>
      <c r="BR42" s="121"/>
    </row>
    <row r="43" spans="2:74" s="1" customFormat="1">
      <c r="AO43" s="2"/>
      <c r="AP43" s="2"/>
      <c r="AQ43" s="92"/>
      <c r="AR43" s="92"/>
      <c r="AS43" s="2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</row>
    <row r="44" spans="2:74" s="1" customFormat="1" ht="20.25" customHeight="1">
      <c r="E44" s="230" t="s">
        <v>64</v>
      </c>
      <c r="F44" s="231"/>
      <c r="G44" s="231"/>
      <c r="H44" s="231"/>
      <c r="I44" s="231"/>
      <c r="J44" s="231"/>
      <c r="K44" s="231"/>
      <c r="L44" s="231"/>
      <c r="M44" s="231"/>
      <c r="N44" s="231"/>
      <c r="O44" s="231"/>
      <c r="P44" s="231"/>
      <c r="Q44" s="231"/>
      <c r="R44" s="231"/>
      <c r="S44" s="231"/>
      <c r="T44" s="232"/>
      <c r="U44" s="290">
        <v>2022</v>
      </c>
      <c r="V44" s="291"/>
      <c r="W44" s="154" t="s">
        <v>60</v>
      </c>
      <c r="X44" s="155">
        <v>8</v>
      </c>
      <c r="Y44" s="154" t="s">
        <v>61</v>
      </c>
      <c r="Z44" s="155">
        <v>26</v>
      </c>
      <c r="AA44" s="156" t="s">
        <v>62</v>
      </c>
      <c r="AO44" s="2"/>
      <c r="AP44" s="2"/>
      <c r="AQ44" s="92"/>
      <c r="AR44" s="92"/>
      <c r="AS44" s="2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</row>
    <row r="45" spans="2:74" ht="20.25" customHeight="1"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2"/>
      <c r="X45" s="153"/>
      <c r="Y45" s="152"/>
      <c r="Z45" s="153"/>
      <c r="AA45" s="152"/>
      <c r="AC45" s="1"/>
    </row>
    <row r="46" spans="2:74" ht="20.100000000000001" customHeight="1">
      <c r="B46" s="272" t="s">
        <v>37</v>
      </c>
      <c r="C46" s="272"/>
      <c r="D46" s="272"/>
      <c r="E46" s="272"/>
      <c r="F46" s="272"/>
      <c r="G46" s="272"/>
      <c r="H46" s="272"/>
      <c r="I46" s="272"/>
      <c r="J46" s="272"/>
      <c r="K46" s="272"/>
      <c r="L46" s="272"/>
      <c r="M46" s="272"/>
      <c r="N46" s="272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  <c r="AF46" s="272"/>
      <c r="AG46" s="272"/>
      <c r="AH46" s="272"/>
      <c r="AI46" s="272"/>
      <c r="AJ46" s="272"/>
      <c r="AK46" s="272"/>
      <c r="AL46" s="272"/>
      <c r="AM46" s="272"/>
      <c r="AN46" s="272"/>
      <c r="AO46" s="272"/>
      <c r="AP46" s="272"/>
      <c r="AQ46" s="272"/>
      <c r="AR46" s="272"/>
      <c r="AS46" s="272"/>
      <c r="AT46" s="272"/>
      <c r="AU46" s="272"/>
      <c r="AV46" s="272"/>
      <c r="AW46" s="272"/>
      <c r="AX46" s="272"/>
      <c r="AY46" s="272"/>
      <c r="AZ46" s="272"/>
      <c r="BA46" s="272"/>
      <c r="BB46" s="272"/>
      <c r="BC46" s="272"/>
      <c r="BD46" s="272"/>
      <c r="BE46" s="272"/>
      <c r="BF46" s="272"/>
      <c r="BG46" s="272"/>
      <c r="BH46" s="272"/>
      <c r="BI46" s="272"/>
      <c r="BJ46" s="272"/>
      <c r="BK46" s="272"/>
      <c r="BL46" s="272"/>
      <c r="BM46" s="272"/>
      <c r="BN46" s="272"/>
      <c r="BO46" s="272"/>
      <c r="BP46" s="272"/>
      <c r="BQ46" s="272"/>
      <c r="BR46" s="272"/>
      <c r="BS46" s="272"/>
      <c r="BT46" s="272"/>
    </row>
    <row r="47" spans="2:74" ht="13.5" customHeight="1">
      <c r="B47" s="194" t="s">
        <v>8</v>
      </c>
      <c r="C47" s="194" t="s">
        <v>9</v>
      </c>
      <c r="D47" s="194" t="s">
        <v>10</v>
      </c>
      <c r="E47" s="196" t="s">
        <v>2</v>
      </c>
      <c r="F47" s="197"/>
      <c r="G47" s="197"/>
      <c r="H47" s="197"/>
      <c r="I47" s="197"/>
      <c r="J47" s="197"/>
      <c r="K47" s="197"/>
      <c r="L47" s="198"/>
      <c r="M47" s="196" t="s">
        <v>13</v>
      </c>
      <c r="N47" s="197"/>
      <c r="O47" s="197"/>
      <c r="P47" s="197"/>
      <c r="Q47" s="197"/>
      <c r="R47" s="197"/>
      <c r="S47" s="197"/>
      <c r="T47" s="198"/>
      <c r="U47" s="196" t="s">
        <v>14</v>
      </c>
      <c r="V47" s="197"/>
      <c r="W47" s="197"/>
      <c r="X47" s="197"/>
      <c r="Y47" s="197"/>
      <c r="Z47" s="197"/>
      <c r="AA47" s="197"/>
      <c r="AB47" s="198"/>
      <c r="AC47" s="196" t="s">
        <v>16</v>
      </c>
      <c r="AD47" s="197"/>
      <c r="AE47" s="197"/>
      <c r="AF47" s="197"/>
      <c r="AG47" s="197"/>
      <c r="AH47" s="197"/>
      <c r="AI47" s="197"/>
      <c r="AJ47" s="198"/>
      <c r="AK47" s="196" t="s">
        <v>12</v>
      </c>
      <c r="AL47" s="197"/>
      <c r="AM47" s="197"/>
      <c r="AN47" s="197"/>
      <c r="AO47" s="197"/>
      <c r="AP47" s="197"/>
      <c r="AQ47" s="197"/>
      <c r="AR47" s="198"/>
      <c r="AS47" s="226" t="s">
        <v>15</v>
      </c>
      <c r="AT47" s="207" t="s">
        <v>1</v>
      </c>
      <c r="AU47" s="207"/>
      <c r="AV47" s="207"/>
      <c r="AW47" s="207"/>
      <c r="AX47" s="207"/>
      <c r="AY47" s="207"/>
      <c r="AZ47" s="207"/>
      <c r="BA47" s="207"/>
      <c r="BB47" s="207"/>
      <c r="BC47" s="207"/>
      <c r="BD47" s="207"/>
      <c r="BE47" s="207"/>
      <c r="BF47" s="227" t="s">
        <v>23</v>
      </c>
      <c r="BG47" s="227"/>
      <c r="BH47" s="227"/>
      <c r="BI47" s="227"/>
      <c r="BJ47" s="227"/>
      <c r="BK47" s="227"/>
      <c r="BL47" s="227"/>
      <c r="BM47" s="227"/>
      <c r="BN47" s="227"/>
      <c r="BO47" s="227"/>
      <c r="BP47" s="227"/>
      <c r="BQ47" s="227"/>
      <c r="BR47" s="227"/>
      <c r="BS47" s="227"/>
      <c r="BT47" s="248" t="s">
        <v>3</v>
      </c>
    </row>
    <row r="48" spans="2:74" ht="13.5" customHeight="1">
      <c r="B48" s="194"/>
      <c r="C48" s="194"/>
      <c r="D48" s="194"/>
      <c r="E48" s="199"/>
      <c r="F48" s="200"/>
      <c r="G48" s="200"/>
      <c r="H48" s="200"/>
      <c r="I48" s="200"/>
      <c r="J48" s="200"/>
      <c r="K48" s="200"/>
      <c r="L48" s="201"/>
      <c r="M48" s="199"/>
      <c r="N48" s="200"/>
      <c r="O48" s="200"/>
      <c r="P48" s="200"/>
      <c r="Q48" s="200"/>
      <c r="R48" s="200"/>
      <c r="S48" s="200"/>
      <c r="T48" s="201"/>
      <c r="U48" s="199"/>
      <c r="V48" s="200"/>
      <c r="W48" s="200"/>
      <c r="X48" s="200"/>
      <c r="Y48" s="200"/>
      <c r="Z48" s="200"/>
      <c r="AA48" s="200"/>
      <c r="AB48" s="201"/>
      <c r="AC48" s="199"/>
      <c r="AD48" s="200"/>
      <c r="AE48" s="200"/>
      <c r="AF48" s="200"/>
      <c r="AG48" s="200"/>
      <c r="AH48" s="200"/>
      <c r="AI48" s="200"/>
      <c r="AJ48" s="201"/>
      <c r="AK48" s="199"/>
      <c r="AL48" s="200"/>
      <c r="AM48" s="200"/>
      <c r="AN48" s="200"/>
      <c r="AO48" s="200"/>
      <c r="AP48" s="200"/>
      <c r="AQ48" s="200"/>
      <c r="AR48" s="201"/>
      <c r="AS48" s="226"/>
      <c r="AT48" s="21" t="str">
        <f>AT6</f>
        <v>국어</v>
      </c>
      <c r="AU48" s="21" t="str">
        <f t="shared" ref="AU48:BD48" si="24">AU6</f>
        <v>사회</v>
      </c>
      <c r="AV48" s="21" t="str">
        <f t="shared" si="24"/>
        <v>도덕</v>
      </c>
      <c r="AW48" s="21" t="str">
        <f t="shared" si="24"/>
        <v>수학</v>
      </c>
      <c r="AX48" s="21" t="str">
        <f t="shared" si="24"/>
        <v>과학</v>
      </c>
      <c r="AY48" s="21" t="str">
        <f t="shared" si="24"/>
        <v>실과</v>
      </c>
      <c r="AZ48" s="21" t="str">
        <f t="shared" si="24"/>
        <v>체육</v>
      </c>
      <c r="BA48" s="21" t="str">
        <f t="shared" si="24"/>
        <v>음악</v>
      </c>
      <c r="BB48" s="21" t="str">
        <f t="shared" si="24"/>
        <v>미술</v>
      </c>
      <c r="BC48" s="21" t="str">
        <f t="shared" si="24"/>
        <v>영어</v>
      </c>
      <c r="BD48" s="21" t="str">
        <f t="shared" si="24"/>
        <v>교과</v>
      </c>
      <c r="BE48" s="211" t="s">
        <v>27</v>
      </c>
      <c r="BF48" s="225" t="str">
        <f>BF6</f>
        <v>자율활동</v>
      </c>
      <c r="BG48" s="225"/>
      <c r="BH48" s="225"/>
      <c r="BI48" s="225"/>
      <c r="BJ48" s="225"/>
      <c r="BK48" s="225"/>
      <c r="BL48" s="225"/>
      <c r="BM48" s="225"/>
      <c r="BN48" s="225"/>
      <c r="BO48" s="125" t="str">
        <f t="shared" ref="BO48:BR49" si="25">BO6</f>
        <v>동아리활동</v>
      </c>
      <c r="BP48" s="125" t="str">
        <f t="shared" si="25"/>
        <v>봉사활동</v>
      </c>
      <c r="BQ48" s="125" t="str">
        <f t="shared" si="25"/>
        <v>진로활동</v>
      </c>
      <c r="BR48" s="144">
        <f t="shared" si="25"/>
        <v>0</v>
      </c>
      <c r="BS48" s="259" t="s">
        <v>26</v>
      </c>
      <c r="BT48" s="248"/>
    </row>
    <row r="49" spans="2:72" ht="13.5" customHeight="1">
      <c r="B49" s="194"/>
      <c r="C49" s="194"/>
      <c r="D49" s="194"/>
      <c r="E49" s="194">
        <v>1</v>
      </c>
      <c r="F49" s="194">
        <v>2</v>
      </c>
      <c r="G49" s="194">
        <v>3</v>
      </c>
      <c r="H49" s="194">
        <v>4</v>
      </c>
      <c r="I49" s="194">
        <v>5</v>
      </c>
      <c r="J49" s="194">
        <v>6</v>
      </c>
      <c r="K49" s="195">
        <v>7</v>
      </c>
      <c r="L49" s="195">
        <v>8</v>
      </c>
      <c r="M49" s="194">
        <v>1</v>
      </c>
      <c r="N49" s="194">
        <v>2</v>
      </c>
      <c r="O49" s="194">
        <v>3</v>
      </c>
      <c r="P49" s="194">
        <v>4</v>
      </c>
      <c r="Q49" s="194">
        <v>5</v>
      </c>
      <c r="R49" s="194">
        <v>6</v>
      </c>
      <c r="S49" s="195">
        <v>7</v>
      </c>
      <c r="T49" s="195">
        <v>8</v>
      </c>
      <c r="U49" s="194">
        <v>1</v>
      </c>
      <c r="V49" s="194">
        <v>2</v>
      </c>
      <c r="W49" s="194">
        <v>3</v>
      </c>
      <c r="X49" s="194">
        <v>4</v>
      </c>
      <c r="Y49" s="194">
        <v>5</v>
      </c>
      <c r="Z49" s="194">
        <v>6</v>
      </c>
      <c r="AA49" s="195">
        <v>7</v>
      </c>
      <c r="AB49" s="195">
        <v>8</v>
      </c>
      <c r="AC49" s="194">
        <v>1</v>
      </c>
      <c r="AD49" s="194">
        <v>2</v>
      </c>
      <c r="AE49" s="194">
        <v>3</v>
      </c>
      <c r="AF49" s="194">
        <v>4</v>
      </c>
      <c r="AG49" s="194">
        <v>5</v>
      </c>
      <c r="AH49" s="194">
        <v>6</v>
      </c>
      <c r="AI49" s="195">
        <v>7</v>
      </c>
      <c r="AJ49" s="195">
        <v>8</v>
      </c>
      <c r="AK49" s="194">
        <v>1</v>
      </c>
      <c r="AL49" s="194">
        <v>2</v>
      </c>
      <c r="AM49" s="194">
        <v>3</v>
      </c>
      <c r="AN49" s="194">
        <v>4</v>
      </c>
      <c r="AO49" s="194">
        <v>5</v>
      </c>
      <c r="AP49" s="194">
        <v>6</v>
      </c>
      <c r="AQ49" s="195">
        <v>7</v>
      </c>
      <c r="AR49" s="195">
        <v>8</v>
      </c>
      <c r="AS49" s="226"/>
      <c r="AT49" s="289" t="str">
        <f>AT7</f>
        <v>국어</v>
      </c>
      <c r="AU49" s="249" t="str">
        <f t="shared" ref="AU49:BD49" si="26">AU7</f>
        <v>사회</v>
      </c>
      <c r="AV49" s="249" t="str">
        <f t="shared" si="26"/>
        <v>도덕</v>
      </c>
      <c r="AW49" s="249" t="str">
        <f t="shared" si="26"/>
        <v>수학</v>
      </c>
      <c r="AX49" s="249" t="str">
        <f t="shared" si="26"/>
        <v>과학</v>
      </c>
      <c r="AY49" s="249" t="str">
        <f t="shared" si="26"/>
        <v>실과</v>
      </c>
      <c r="AZ49" s="249" t="str">
        <f t="shared" si="26"/>
        <v>체육</v>
      </c>
      <c r="BA49" s="249" t="str">
        <f t="shared" si="26"/>
        <v>음악</v>
      </c>
      <c r="BB49" s="249" t="str">
        <f t="shared" si="26"/>
        <v>미술</v>
      </c>
      <c r="BC49" s="249" t="str">
        <f t="shared" si="26"/>
        <v>영어</v>
      </c>
      <c r="BD49" s="263" t="str">
        <f t="shared" si="26"/>
        <v>교과</v>
      </c>
      <c r="BE49" s="211"/>
      <c r="BF49" s="269" t="str">
        <f>BF7</f>
        <v>자치</v>
      </c>
      <c r="BG49" s="269" t="str">
        <f t="shared" ref="BG49:BM49" si="27">BG7</f>
        <v>적응</v>
      </c>
      <c r="BH49" s="269" t="str">
        <f t="shared" si="27"/>
        <v>행사</v>
      </c>
      <c r="BI49" s="269" t="str">
        <f t="shared" si="27"/>
        <v>창주</v>
      </c>
      <c r="BJ49" s="269" t="str">
        <f t="shared" si="27"/>
        <v>범교</v>
      </c>
      <c r="BK49" s="269" t="str">
        <f t="shared" si="27"/>
        <v>선택3</v>
      </c>
      <c r="BL49" s="269" t="str">
        <f t="shared" si="27"/>
        <v>선택4</v>
      </c>
      <c r="BM49" s="269" t="str">
        <f t="shared" si="27"/>
        <v>선택5</v>
      </c>
      <c r="BN49" s="228" t="s">
        <v>28</v>
      </c>
      <c r="BO49" s="225" t="str">
        <f t="shared" si="25"/>
        <v>동아리</v>
      </c>
      <c r="BP49" s="225" t="str">
        <f t="shared" si="25"/>
        <v>봉사</v>
      </c>
      <c r="BQ49" s="225" t="str">
        <f t="shared" si="25"/>
        <v>진로</v>
      </c>
      <c r="BR49" s="225">
        <f t="shared" ref="BR49" si="28">BR7</f>
        <v>0</v>
      </c>
      <c r="BS49" s="259"/>
      <c r="BT49" s="248"/>
    </row>
    <row r="50" spans="2:72">
      <c r="B50" s="194"/>
      <c r="C50" s="194"/>
      <c r="D50" s="194"/>
      <c r="E50" s="194"/>
      <c r="F50" s="194"/>
      <c r="G50" s="194"/>
      <c r="H50" s="194"/>
      <c r="I50" s="194"/>
      <c r="J50" s="194"/>
      <c r="K50" s="202"/>
      <c r="L50" s="202"/>
      <c r="M50" s="194"/>
      <c r="N50" s="194"/>
      <c r="O50" s="194"/>
      <c r="P50" s="194"/>
      <c r="Q50" s="194"/>
      <c r="R50" s="194"/>
      <c r="S50" s="202"/>
      <c r="T50" s="202"/>
      <c r="U50" s="194"/>
      <c r="V50" s="194"/>
      <c r="W50" s="194"/>
      <c r="X50" s="194"/>
      <c r="Y50" s="194"/>
      <c r="Z50" s="194"/>
      <c r="AA50" s="202"/>
      <c r="AB50" s="202"/>
      <c r="AC50" s="194"/>
      <c r="AD50" s="194"/>
      <c r="AE50" s="194"/>
      <c r="AF50" s="194"/>
      <c r="AG50" s="194"/>
      <c r="AH50" s="194"/>
      <c r="AI50" s="202"/>
      <c r="AJ50" s="202"/>
      <c r="AK50" s="194"/>
      <c r="AL50" s="194"/>
      <c r="AM50" s="194"/>
      <c r="AN50" s="194"/>
      <c r="AO50" s="194"/>
      <c r="AP50" s="194"/>
      <c r="AQ50" s="202"/>
      <c r="AR50" s="202"/>
      <c r="AS50" s="226"/>
      <c r="AT50" s="289"/>
      <c r="AU50" s="250"/>
      <c r="AV50" s="250"/>
      <c r="AW50" s="250"/>
      <c r="AX50" s="250"/>
      <c r="AY50" s="250"/>
      <c r="AZ50" s="250"/>
      <c r="BA50" s="250"/>
      <c r="BB50" s="250"/>
      <c r="BC50" s="250"/>
      <c r="BD50" s="264"/>
      <c r="BE50" s="211"/>
      <c r="BF50" s="270"/>
      <c r="BG50" s="270"/>
      <c r="BH50" s="270"/>
      <c r="BI50" s="270"/>
      <c r="BJ50" s="270"/>
      <c r="BK50" s="270"/>
      <c r="BL50" s="270"/>
      <c r="BM50" s="270"/>
      <c r="BN50" s="229"/>
      <c r="BO50" s="225"/>
      <c r="BP50" s="225"/>
      <c r="BQ50" s="225"/>
      <c r="BR50" s="225"/>
      <c r="BS50" s="259"/>
      <c r="BT50" s="248"/>
    </row>
    <row r="51" spans="2:72">
      <c r="B51" s="194"/>
      <c r="C51" s="194"/>
      <c r="D51" s="5" t="s">
        <v>11</v>
      </c>
      <c r="E51" s="195"/>
      <c r="F51" s="195"/>
      <c r="G51" s="195"/>
      <c r="H51" s="195"/>
      <c r="I51" s="195"/>
      <c r="J51" s="195"/>
      <c r="K51" s="203"/>
      <c r="L51" s="203"/>
      <c r="M51" s="195"/>
      <c r="N51" s="195"/>
      <c r="O51" s="195"/>
      <c r="P51" s="195"/>
      <c r="Q51" s="195"/>
      <c r="R51" s="195"/>
      <c r="S51" s="203"/>
      <c r="T51" s="203"/>
      <c r="U51" s="195"/>
      <c r="V51" s="195"/>
      <c r="W51" s="195"/>
      <c r="X51" s="195"/>
      <c r="Y51" s="195"/>
      <c r="Z51" s="195"/>
      <c r="AA51" s="203"/>
      <c r="AB51" s="203"/>
      <c r="AC51" s="195"/>
      <c r="AD51" s="195"/>
      <c r="AE51" s="195"/>
      <c r="AF51" s="195"/>
      <c r="AG51" s="195"/>
      <c r="AH51" s="195"/>
      <c r="AI51" s="203"/>
      <c r="AJ51" s="203"/>
      <c r="AK51" s="195"/>
      <c r="AL51" s="195"/>
      <c r="AM51" s="195"/>
      <c r="AN51" s="195"/>
      <c r="AO51" s="195"/>
      <c r="AP51" s="195"/>
      <c r="AQ51" s="203"/>
      <c r="AR51" s="203"/>
      <c r="AS51" s="8">
        <f>SUM(AS52:AS79)</f>
        <v>111</v>
      </c>
      <c r="AT51" s="126" t="str">
        <f>AT9</f>
        <v>*(국)</v>
      </c>
      <c r="AU51" s="126" t="str">
        <f t="shared" ref="AU51:BD51" si="29">AU9</f>
        <v>*(사)</v>
      </c>
      <c r="AV51" s="126" t="str">
        <f t="shared" si="29"/>
        <v>*(도)</v>
      </c>
      <c r="AW51" s="126" t="str">
        <f t="shared" si="29"/>
        <v>*(수)</v>
      </c>
      <c r="AX51" s="126" t="str">
        <f t="shared" si="29"/>
        <v>*(과)</v>
      </c>
      <c r="AY51" s="126" t="str">
        <f t="shared" si="29"/>
        <v>*(실)</v>
      </c>
      <c r="AZ51" s="126" t="str">
        <f t="shared" si="29"/>
        <v>*(체)</v>
      </c>
      <c r="BA51" s="126" t="str">
        <f t="shared" si="29"/>
        <v>*(음)</v>
      </c>
      <c r="BB51" s="126" t="str">
        <f t="shared" si="29"/>
        <v>*(미)</v>
      </c>
      <c r="BC51" s="126" t="str">
        <f t="shared" si="29"/>
        <v>*(영)</v>
      </c>
      <c r="BD51" s="135" t="str">
        <f t="shared" si="29"/>
        <v>*(교)</v>
      </c>
      <c r="BE51" s="211"/>
      <c r="BF51" s="126" t="str">
        <f>BF9</f>
        <v>*(자)</v>
      </c>
      <c r="BG51" s="126" t="str">
        <f t="shared" ref="BG51:BM51" si="30">BG9</f>
        <v>*(적)</v>
      </c>
      <c r="BH51" s="126" t="str">
        <f t="shared" si="30"/>
        <v>*(행)</v>
      </c>
      <c r="BI51" s="126" t="str">
        <f t="shared" si="30"/>
        <v>*(주)</v>
      </c>
      <c r="BJ51" s="126" t="str">
        <f t="shared" si="30"/>
        <v>*(범)</v>
      </c>
      <c r="BK51" s="126" t="str">
        <f t="shared" si="30"/>
        <v>*(선3)</v>
      </c>
      <c r="BL51" s="126" t="str">
        <f t="shared" si="30"/>
        <v>*(선4)</v>
      </c>
      <c r="BM51" s="126" t="str">
        <f t="shared" si="30"/>
        <v>*(선5)</v>
      </c>
      <c r="BN51" s="229"/>
      <c r="BO51" s="145" t="str">
        <f>BO9</f>
        <v>*(동)</v>
      </c>
      <c r="BP51" s="145" t="str">
        <f t="shared" ref="BP51:BR51" si="31">BP9</f>
        <v>*(봉)</v>
      </c>
      <c r="BQ51" s="145" t="str">
        <f t="shared" si="31"/>
        <v>*(진)</v>
      </c>
      <c r="BR51" s="145">
        <f t="shared" si="31"/>
        <v>0</v>
      </c>
      <c r="BS51" s="259"/>
      <c r="BT51" s="248"/>
    </row>
    <row r="52" spans="2:72">
      <c r="B52" s="195">
        <v>9</v>
      </c>
      <c r="C52" s="5">
        <v>21</v>
      </c>
      <c r="D52" s="51"/>
      <c r="E52" s="77"/>
      <c r="F52" s="161"/>
      <c r="G52" s="77"/>
      <c r="H52" s="77"/>
      <c r="I52" s="77"/>
      <c r="J52" s="77"/>
      <c r="K52" s="76"/>
      <c r="L52" s="76"/>
      <c r="M52" s="77"/>
      <c r="N52" s="161"/>
      <c r="O52" s="77"/>
      <c r="P52" s="77"/>
      <c r="Q52" s="77"/>
      <c r="R52" s="77"/>
      <c r="S52" s="76"/>
      <c r="T52" s="76"/>
      <c r="U52" s="77"/>
      <c r="V52" s="77"/>
      <c r="W52" s="77"/>
      <c r="X52" s="77"/>
      <c r="Y52" s="77"/>
      <c r="Z52" s="77"/>
      <c r="AA52" s="76"/>
      <c r="AB52" s="76"/>
      <c r="AC52" s="186" t="s">
        <v>5</v>
      </c>
      <c r="AD52" s="186" t="s">
        <v>5</v>
      </c>
      <c r="AE52" s="11" t="s">
        <v>45</v>
      </c>
      <c r="AF52" s="77" t="s">
        <v>116</v>
      </c>
      <c r="AG52" s="77" t="s">
        <v>117</v>
      </c>
      <c r="AH52" s="161" t="s">
        <v>118</v>
      </c>
      <c r="AI52" s="76"/>
      <c r="AJ52" s="76"/>
      <c r="AK52" s="77" t="s">
        <v>110</v>
      </c>
      <c r="AL52" s="77" t="s">
        <v>130</v>
      </c>
      <c r="AM52" s="77" t="s">
        <v>114</v>
      </c>
      <c r="AN52" s="77" t="s">
        <v>110</v>
      </c>
      <c r="AO52" s="77" t="s">
        <v>115</v>
      </c>
      <c r="AP52" s="77" t="s">
        <v>122</v>
      </c>
      <c r="AQ52" s="76"/>
      <c r="AR52" s="76"/>
      <c r="AS52" s="25">
        <v>3</v>
      </c>
      <c r="AT52" s="123">
        <f>COUNTIF($E52:$AR52,AT$49)+COUNTIF($E52:$AR52,AT$51)</f>
        <v>2</v>
      </c>
      <c r="AU52" s="123">
        <f t="shared" ref="AU52:BD52" si="32">COUNTIF($E52:$AR52,AU$49)+COUNTIF($E52:$AR52,AU$51)</f>
        <v>1</v>
      </c>
      <c r="AV52" s="123">
        <f t="shared" si="32"/>
        <v>0</v>
      </c>
      <c r="AW52" s="123">
        <f t="shared" si="32"/>
        <v>1</v>
      </c>
      <c r="AX52" s="123">
        <f t="shared" si="32"/>
        <v>1</v>
      </c>
      <c r="AY52" s="123">
        <f t="shared" si="32"/>
        <v>1</v>
      </c>
      <c r="AZ52" s="123">
        <f t="shared" si="32"/>
        <v>1</v>
      </c>
      <c r="BA52" s="123">
        <f t="shared" si="32"/>
        <v>1</v>
      </c>
      <c r="BB52" s="123">
        <f t="shared" si="32"/>
        <v>0</v>
      </c>
      <c r="BC52" s="123">
        <f t="shared" si="32"/>
        <v>1</v>
      </c>
      <c r="BD52" s="123">
        <f t="shared" si="32"/>
        <v>0</v>
      </c>
      <c r="BE52" s="124">
        <f>SUM(AT52:BD52)</f>
        <v>9</v>
      </c>
      <c r="BF52" s="123">
        <f>COUNTIF($E52:$AR52,BF$49)+COUNTIF($E52:$AR52,BF$51)</f>
        <v>2</v>
      </c>
      <c r="BG52" s="123">
        <f t="shared" ref="BG52:BM52" si="33">COUNTIF($E52:$AR52,BG$49)+COUNTIF($E52:$AR52,BG$51)</f>
        <v>0</v>
      </c>
      <c r="BH52" s="123">
        <f t="shared" si="33"/>
        <v>0</v>
      </c>
      <c r="BI52" s="123">
        <f t="shared" si="33"/>
        <v>0</v>
      </c>
      <c r="BJ52" s="123">
        <f t="shared" si="33"/>
        <v>0</v>
      </c>
      <c r="BK52" s="123">
        <f t="shared" si="33"/>
        <v>0</v>
      </c>
      <c r="BL52" s="123">
        <f t="shared" si="33"/>
        <v>0</v>
      </c>
      <c r="BM52" s="123">
        <f t="shared" si="33"/>
        <v>0</v>
      </c>
      <c r="BN52" s="90">
        <f>SUM(BF52:BM52)</f>
        <v>2</v>
      </c>
      <c r="BO52" s="123">
        <f>COUNTIF($E52:$AR52,BO$49)+COUNTIF($E52:$AR52,BO$51)</f>
        <v>0</v>
      </c>
      <c r="BP52" s="123">
        <f t="shared" ref="BP52:BR67" si="34">COUNTIF($E52:$AR52,BP$49)+COUNTIF($E52:$AR52,BP$51)</f>
        <v>1</v>
      </c>
      <c r="BQ52" s="123">
        <f t="shared" si="34"/>
        <v>0</v>
      </c>
      <c r="BR52" s="142">
        <f t="shared" si="34"/>
        <v>0</v>
      </c>
      <c r="BS52" s="4">
        <f>SUM(BF52:BM52)+SUM(BO52:BR52)</f>
        <v>3</v>
      </c>
      <c r="BT52" s="7">
        <f>SUM(BE52,BS52)</f>
        <v>12</v>
      </c>
    </row>
    <row r="53" spans="2:72">
      <c r="B53" s="202"/>
      <c r="C53" s="183">
        <v>22</v>
      </c>
      <c r="D53" s="51"/>
      <c r="E53" s="77" t="s">
        <v>110</v>
      </c>
      <c r="F53" s="161" t="s">
        <v>123</v>
      </c>
      <c r="G53" s="77" t="s">
        <v>123</v>
      </c>
      <c r="H53" s="77" t="s">
        <v>116</v>
      </c>
      <c r="I53" s="77" t="s">
        <v>114</v>
      </c>
      <c r="J53" s="186" t="s">
        <v>5</v>
      </c>
      <c r="K53" s="76"/>
      <c r="L53" s="76"/>
      <c r="M53" s="77" t="s">
        <v>110</v>
      </c>
      <c r="N53" s="77" t="s">
        <v>103</v>
      </c>
      <c r="O53" s="77" t="s">
        <v>115</v>
      </c>
      <c r="P53" s="77" t="s">
        <v>114</v>
      </c>
      <c r="Q53" s="77" t="s">
        <v>117</v>
      </c>
      <c r="R53" s="77" t="s">
        <v>122</v>
      </c>
      <c r="S53" s="76"/>
      <c r="T53" s="76"/>
      <c r="U53" s="77" t="s">
        <v>116</v>
      </c>
      <c r="V53" s="77" t="s">
        <v>117</v>
      </c>
      <c r="W53" s="77" t="s">
        <v>130</v>
      </c>
      <c r="X53" s="77" t="s">
        <v>118</v>
      </c>
      <c r="Y53" s="77" t="s">
        <v>113</v>
      </c>
      <c r="Z53" s="77"/>
      <c r="AA53" s="76"/>
      <c r="AB53" s="76"/>
      <c r="AC53" s="77" t="s">
        <v>110</v>
      </c>
      <c r="AD53" s="161" t="s">
        <v>114</v>
      </c>
      <c r="AE53" s="77" t="s">
        <v>115</v>
      </c>
      <c r="AF53" s="77" t="s">
        <v>116</v>
      </c>
      <c r="AG53" s="77" t="s">
        <v>117</v>
      </c>
      <c r="AH53" s="161" t="s">
        <v>118</v>
      </c>
      <c r="AI53" s="76"/>
      <c r="AJ53" s="76"/>
      <c r="AK53" s="300" t="s">
        <v>167</v>
      </c>
      <c r="AL53" s="301"/>
      <c r="AM53" s="301"/>
      <c r="AN53" s="301"/>
      <c r="AO53" s="301"/>
      <c r="AP53" s="302"/>
      <c r="AQ53" s="76"/>
      <c r="AR53" s="76"/>
      <c r="AS53" s="25">
        <v>5</v>
      </c>
      <c r="AT53" s="123">
        <f t="shared" ref="AT53:BD78" si="35">COUNTIF($E53:$AR53,AT$49)+COUNTIF($E53:$AR53,AT$51)</f>
        <v>4</v>
      </c>
      <c r="AU53" s="123">
        <f t="shared" si="35"/>
        <v>2</v>
      </c>
      <c r="AV53" s="123">
        <f t="shared" si="35"/>
        <v>1</v>
      </c>
      <c r="AW53" s="123">
        <f t="shared" si="35"/>
        <v>3</v>
      </c>
      <c r="AX53" s="123">
        <f t="shared" si="35"/>
        <v>3</v>
      </c>
      <c r="AY53" s="123">
        <f t="shared" si="35"/>
        <v>1</v>
      </c>
      <c r="AZ53" s="123">
        <f t="shared" si="35"/>
        <v>1</v>
      </c>
      <c r="BA53" s="123">
        <f t="shared" si="35"/>
        <v>2</v>
      </c>
      <c r="BB53" s="123">
        <f t="shared" si="35"/>
        <v>2</v>
      </c>
      <c r="BC53" s="123">
        <f t="shared" si="35"/>
        <v>3</v>
      </c>
      <c r="BD53" s="123">
        <f t="shared" si="35"/>
        <v>0</v>
      </c>
      <c r="BE53" s="124">
        <f t="shared" ref="BE53:BE78" si="36">SUM(AT53:BD53)</f>
        <v>22</v>
      </c>
      <c r="BF53" s="123">
        <f t="shared" ref="BF53:BM78" si="37">COUNTIF($E53:$AR53,BF$49)+COUNTIF($E53:$AR53,BF$51)</f>
        <v>1</v>
      </c>
      <c r="BG53" s="123">
        <f t="shared" si="37"/>
        <v>0</v>
      </c>
      <c r="BH53" s="123">
        <f t="shared" si="37"/>
        <v>0</v>
      </c>
      <c r="BI53" s="123">
        <f t="shared" si="37"/>
        <v>0</v>
      </c>
      <c r="BJ53" s="123">
        <f t="shared" si="37"/>
        <v>0</v>
      </c>
      <c r="BK53" s="123">
        <f t="shared" si="37"/>
        <v>0</v>
      </c>
      <c r="BL53" s="123">
        <f t="shared" si="37"/>
        <v>0</v>
      </c>
      <c r="BM53" s="123">
        <f t="shared" si="37"/>
        <v>0</v>
      </c>
      <c r="BN53" s="90">
        <f t="shared" ref="BN53:BN76" si="38">SUM(BF53:BM53)</f>
        <v>1</v>
      </c>
      <c r="BO53" s="123">
        <f t="shared" ref="BO53:BR78" si="39">COUNTIF($E53:$AR53,BO$49)+COUNTIF($E53:$AR53,BO$51)</f>
        <v>0</v>
      </c>
      <c r="BP53" s="123">
        <f t="shared" si="34"/>
        <v>0</v>
      </c>
      <c r="BQ53" s="123">
        <f t="shared" si="34"/>
        <v>0</v>
      </c>
      <c r="BR53" s="142">
        <f t="shared" si="34"/>
        <v>0</v>
      </c>
      <c r="BS53" s="143">
        <f t="shared" ref="BS53:BS78" si="40">SUM(BF53:BM53)+SUM(BO53:BR53)</f>
        <v>1</v>
      </c>
      <c r="BT53" s="7">
        <f t="shared" ref="BT53:BT78" si="41">SUM(BE53,BS53)</f>
        <v>23</v>
      </c>
    </row>
    <row r="54" spans="2:72">
      <c r="B54" s="202"/>
      <c r="C54" s="183">
        <v>23</v>
      </c>
      <c r="D54" s="51"/>
      <c r="E54" s="300" t="s">
        <v>167</v>
      </c>
      <c r="F54" s="301"/>
      <c r="G54" s="301"/>
      <c r="H54" s="301"/>
      <c r="I54" s="301"/>
      <c r="J54" s="302"/>
      <c r="K54" s="76"/>
      <c r="L54" s="76"/>
      <c r="M54" s="77" t="s">
        <v>110</v>
      </c>
      <c r="N54" s="77" t="s">
        <v>103</v>
      </c>
      <c r="O54" s="77" t="s">
        <v>115</v>
      </c>
      <c r="P54" s="77" t="s">
        <v>114</v>
      </c>
      <c r="Q54" s="77" t="s">
        <v>117</v>
      </c>
      <c r="R54" s="77" t="s">
        <v>122</v>
      </c>
      <c r="S54" s="76"/>
      <c r="T54" s="76"/>
      <c r="U54" s="77" t="s">
        <v>116</v>
      </c>
      <c r="V54" s="77" t="s">
        <v>117</v>
      </c>
      <c r="W54" s="77" t="s">
        <v>130</v>
      </c>
      <c r="X54" s="77" t="s">
        <v>118</v>
      </c>
      <c r="Y54" s="77" t="s">
        <v>113</v>
      </c>
      <c r="Z54" s="77"/>
      <c r="AA54" s="76"/>
      <c r="AB54" s="76"/>
      <c r="AC54" s="77" t="s">
        <v>110</v>
      </c>
      <c r="AD54" s="161" t="s">
        <v>114</v>
      </c>
      <c r="AE54" s="77" t="s">
        <v>115</v>
      </c>
      <c r="AF54" s="77" t="s">
        <v>116</v>
      </c>
      <c r="AG54" s="77" t="s">
        <v>18</v>
      </c>
      <c r="AH54" s="161" t="s">
        <v>20</v>
      </c>
      <c r="AI54" s="76"/>
      <c r="AJ54" s="76"/>
      <c r="AK54" s="77" t="s">
        <v>110</v>
      </c>
      <c r="AL54" s="77" t="s">
        <v>130</v>
      </c>
      <c r="AM54" s="77" t="s">
        <v>114</v>
      </c>
      <c r="AN54" s="77" t="s">
        <v>110</v>
      </c>
      <c r="AO54" s="77" t="s">
        <v>115</v>
      </c>
      <c r="AP54" s="77" t="s">
        <v>122</v>
      </c>
      <c r="AQ54" s="76"/>
      <c r="AR54" s="76"/>
      <c r="AS54" s="25">
        <v>3</v>
      </c>
      <c r="AT54" s="123">
        <f t="shared" si="35"/>
        <v>5</v>
      </c>
      <c r="AU54" s="123">
        <f t="shared" si="35"/>
        <v>3</v>
      </c>
      <c r="AV54" s="123">
        <f t="shared" si="35"/>
        <v>1</v>
      </c>
      <c r="AW54" s="123">
        <f t="shared" si="35"/>
        <v>3</v>
      </c>
      <c r="AX54" s="123">
        <f t="shared" si="35"/>
        <v>3</v>
      </c>
      <c r="AY54" s="123">
        <f t="shared" si="35"/>
        <v>2</v>
      </c>
      <c r="AZ54" s="123">
        <f t="shared" si="35"/>
        <v>2</v>
      </c>
      <c r="BA54" s="123">
        <f t="shared" si="35"/>
        <v>2</v>
      </c>
      <c r="BB54" s="123">
        <f t="shared" si="35"/>
        <v>0</v>
      </c>
      <c r="BC54" s="123">
        <f t="shared" si="35"/>
        <v>2</v>
      </c>
      <c r="BD54" s="123">
        <f t="shared" si="35"/>
        <v>0</v>
      </c>
      <c r="BE54" s="124">
        <f t="shared" si="36"/>
        <v>23</v>
      </c>
      <c r="BF54" s="123">
        <f t="shared" si="37"/>
        <v>0</v>
      </c>
      <c r="BG54" s="123">
        <f t="shared" si="37"/>
        <v>0</v>
      </c>
      <c r="BH54" s="123">
        <f t="shared" si="37"/>
        <v>0</v>
      </c>
      <c r="BI54" s="123">
        <f t="shared" si="37"/>
        <v>0</v>
      </c>
      <c r="BJ54" s="123">
        <f t="shared" si="37"/>
        <v>0</v>
      </c>
      <c r="BK54" s="123">
        <f t="shared" si="37"/>
        <v>0</v>
      </c>
      <c r="BL54" s="123">
        <f t="shared" si="37"/>
        <v>0</v>
      </c>
      <c r="BM54" s="123">
        <f t="shared" si="37"/>
        <v>0</v>
      </c>
      <c r="BN54" s="90">
        <f t="shared" si="38"/>
        <v>0</v>
      </c>
      <c r="BO54" s="123">
        <f t="shared" si="39"/>
        <v>0</v>
      </c>
      <c r="BP54" s="123">
        <f t="shared" si="34"/>
        <v>0</v>
      </c>
      <c r="BQ54" s="123">
        <f t="shared" si="34"/>
        <v>0</v>
      </c>
      <c r="BR54" s="142">
        <f t="shared" si="34"/>
        <v>0</v>
      </c>
      <c r="BS54" s="143">
        <f t="shared" si="40"/>
        <v>0</v>
      </c>
      <c r="BT54" s="7">
        <f t="shared" si="41"/>
        <v>23</v>
      </c>
    </row>
    <row r="55" spans="2:72">
      <c r="B55" s="202"/>
      <c r="C55" s="183">
        <v>24</v>
      </c>
      <c r="D55" s="51"/>
      <c r="E55" s="77" t="s">
        <v>110</v>
      </c>
      <c r="F55" s="161" t="s">
        <v>123</v>
      </c>
      <c r="G55" s="77" t="s">
        <v>123</v>
      </c>
      <c r="H55" s="77" t="s">
        <v>116</v>
      </c>
      <c r="I55" s="77" t="s">
        <v>114</v>
      </c>
      <c r="J55" s="186" t="s">
        <v>5</v>
      </c>
      <c r="K55" s="76"/>
      <c r="L55" s="76"/>
      <c r="M55" s="77" t="s">
        <v>110</v>
      </c>
      <c r="N55" s="77" t="s">
        <v>103</v>
      </c>
      <c r="O55" s="77" t="s">
        <v>115</v>
      </c>
      <c r="P55" s="77" t="s">
        <v>114</v>
      </c>
      <c r="Q55" s="77" t="s">
        <v>117</v>
      </c>
      <c r="R55" s="77" t="s">
        <v>122</v>
      </c>
      <c r="S55" s="76"/>
      <c r="T55" s="76"/>
      <c r="U55" s="77" t="s">
        <v>116</v>
      </c>
      <c r="V55" s="77" t="s">
        <v>117</v>
      </c>
      <c r="W55" s="77" t="s">
        <v>130</v>
      </c>
      <c r="X55" s="77" t="s">
        <v>118</v>
      </c>
      <c r="Y55" s="77" t="s">
        <v>113</v>
      </c>
      <c r="Z55" s="77"/>
      <c r="AA55" s="76"/>
      <c r="AB55" s="76"/>
      <c r="AC55" s="77" t="s">
        <v>110</v>
      </c>
      <c r="AD55" s="161" t="s">
        <v>114</v>
      </c>
      <c r="AE55" s="77" t="s">
        <v>115</v>
      </c>
      <c r="AF55" s="77" t="s">
        <v>116</v>
      </c>
      <c r="AG55" s="187" t="s">
        <v>44</v>
      </c>
      <c r="AH55" s="187" t="s">
        <v>44</v>
      </c>
      <c r="AI55" s="76"/>
      <c r="AJ55" s="76"/>
      <c r="AK55" s="77" t="s">
        <v>110</v>
      </c>
      <c r="AL55" s="77" t="s">
        <v>130</v>
      </c>
      <c r="AM55" s="77" t="s">
        <v>114</v>
      </c>
      <c r="AN55" s="77" t="s">
        <v>110</v>
      </c>
      <c r="AO55" s="77" t="s">
        <v>115</v>
      </c>
      <c r="AP55" s="77" t="s">
        <v>122</v>
      </c>
      <c r="AQ55" s="76"/>
      <c r="AR55" s="76"/>
      <c r="AS55" s="25">
        <v>5</v>
      </c>
      <c r="AT55" s="123">
        <f t="shared" si="35"/>
        <v>6</v>
      </c>
      <c r="AU55" s="123">
        <f t="shared" si="35"/>
        <v>3</v>
      </c>
      <c r="AV55" s="123">
        <f t="shared" si="35"/>
        <v>1</v>
      </c>
      <c r="AW55" s="123">
        <f t="shared" si="35"/>
        <v>4</v>
      </c>
      <c r="AX55" s="123">
        <f t="shared" si="35"/>
        <v>2</v>
      </c>
      <c r="AY55" s="123">
        <f t="shared" si="35"/>
        <v>2</v>
      </c>
      <c r="AZ55" s="123">
        <f t="shared" si="35"/>
        <v>2</v>
      </c>
      <c r="BA55" s="123">
        <f t="shared" si="35"/>
        <v>1</v>
      </c>
      <c r="BB55" s="123">
        <f t="shared" si="35"/>
        <v>2</v>
      </c>
      <c r="BC55" s="123">
        <f t="shared" si="35"/>
        <v>3</v>
      </c>
      <c r="BD55" s="123">
        <f t="shared" si="35"/>
        <v>0</v>
      </c>
      <c r="BE55" s="124">
        <f t="shared" si="36"/>
        <v>26</v>
      </c>
      <c r="BF55" s="123">
        <f t="shared" si="37"/>
        <v>1</v>
      </c>
      <c r="BG55" s="123">
        <f t="shared" si="37"/>
        <v>0</v>
      </c>
      <c r="BH55" s="123">
        <f t="shared" si="37"/>
        <v>0</v>
      </c>
      <c r="BI55" s="123">
        <f t="shared" si="37"/>
        <v>0</v>
      </c>
      <c r="BJ55" s="123">
        <f t="shared" si="37"/>
        <v>0</v>
      </c>
      <c r="BK55" s="123">
        <f t="shared" si="37"/>
        <v>0</v>
      </c>
      <c r="BL55" s="123">
        <f t="shared" si="37"/>
        <v>0</v>
      </c>
      <c r="BM55" s="123">
        <f t="shared" si="37"/>
        <v>0</v>
      </c>
      <c r="BN55" s="90">
        <f t="shared" si="38"/>
        <v>1</v>
      </c>
      <c r="BO55" s="123">
        <f t="shared" si="39"/>
        <v>2</v>
      </c>
      <c r="BP55" s="123">
        <f t="shared" si="34"/>
        <v>0</v>
      </c>
      <c r="BQ55" s="123">
        <f t="shared" si="34"/>
        <v>0</v>
      </c>
      <c r="BR55" s="142">
        <f t="shared" si="34"/>
        <v>0</v>
      </c>
      <c r="BS55" s="143">
        <f t="shared" si="40"/>
        <v>3</v>
      </c>
      <c r="BT55" s="7">
        <f t="shared" si="41"/>
        <v>29</v>
      </c>
    </row>
    <row r="56" spans="2:72">
      <c r="B56" s="203"/>
      <c r="C56" s="183">
        <v>25</v>
      </c>
      <c r="D56" s="51"/>
      <c r="E56" s="77" t="s">
        <v>110</v>
      </c>
      <c r="F56" s="161" t="s">
        <v>123</v>
      </c>
      <c r="G56" s="77" t="s">
        <v>123</v>
      </c>
      <c r="H56" s="77" t="s">
        <v>116</v>
      </c>
      <c r="I56" s="77" t="s">
        <v>114</v>
      </c>
      <c r="J56" s="186" t="s">
        <v>5</v>
      </c>
      <c r="K56" s="76"/>
      <c r="L56" s="76"/>
      <c r="M56" s="77" t="s">
        <v>110</v>
      </c>
      <c r="N56" s="77" t="s">
        <v>103</v>
      </c>
      <c r="O56" s="77" t="s">
        <v>115</v>
      </c>
      <c r="P56" s="77" t="s">
        <v>114</v>
      </c>
      <c r="Q56" s="77" t="s">
        <v>117</v>
      </c>
      <c r="R56" s="77" t="s">
        <v>122</v>
      </c>
      <c r="S56" s="76"/>
      <c r="T56" s="76"/>
      <c r="U56" s="77" t="s">
        <v>116</v>
      </c>
      <c r="V56" s="77" t="s">
        <v>117</v>
      </c>
      <c r="W56" s="77" t="s">
        <v>130</v>
      </c>
      <c r="X56" s="77" t="s">
        <v>118</v>
      </c>
      <c r="Y56" s="77" t="s">
        <v>113</v>
      </c>
      <c r="Z56" s="77"/>
      <c r="AA56" s="76"/>
      <c r="AB56" s="76"/>
      <c r="AC56" s="77" t="s">
        <v>110</v>
      </c>
      <c r="AD56" s="186" t="s">
        <v>5</v>
      </c>
      <c r="AE56" s="77" t="s">
        <v>115</v>
      </c>
      <c r="AF56" s="77" t="s">
        <v>116</v>
      </c>
      <c r="AG56" s="187" t="s">
        <v>44</v>
      </c>
      <c r="AH56" s="187" t="s">
        <v>44</v>
      </c>
      <c r="AI56" s="76"/>
      <c r="AJ56" s="76"/>
      <c r="AK56" s="77" t="s">
        <v>110</v>
      </c>
      <c r="AL56" s="77" t="s">
        <v>130</v>
      </c>
      <c r="AM56" s="77" t="s">
        <v>114</v>
      </c>
      <c r="AN56" s="77" t="s">
        <v>110</v>
      </c>
      <c r="AO56" s="77" t="s">
        <v>115</v>
      </c>
      <c r="AP56" s="77" t="s">
        <v>122</v>
      </c>
      <c r="AQ56" s="76"/>
      <c r="AR56" s="76"/>
      <c r="AS56" s="25">
        <v>5</v>
      </c>
      <c r="AT56" s="123">
        <f t="shared" si="35"/>
        <v>6</v>
      </c>
      <c r="AU56" s="123">
        <f t="shared" si="35"/>
        <v>3</v>
      </c>
      <c r="AV56" s="123">
        <f t="shared" si="35"/>
        <v>1</v>
      </c>
      <c r="AW56" s="123">
        <f t="shared" si="35"/>
        <v>3</v>
      </c>
      <c r="AX56" s="123">
        <f t="shared" si="35"/>
        <v>2</v>
      </c>
      <c r="AY56" s="123">
        <f t="shared" si="35"/>
        <v>2</v>
      </c>
      <c r="AZ56" s="123">
        <f t="shared" si="35"/>
        <v>2</v>
      </c>
      <c r="BA56" s="123">
        <f t="shared" si="35"/>
        <v>1</v>
      </c>
      <c r="BB56" s="123">
        <f t="shared" si="35"/>
        <v>2</v>
      </c>
      <c r="BC56" s="123">
        <f t="shared" si="35"/>
        <v>3</v>
      </c>
      <c r="BD56" s="123">
        <f t="shared" si="35"/>
        <v>0</v>
      </c>
      <c r="BE56" s="124">
        <f t="shared" si="36"/>
        <v>25</v>
      </c>
      <c r="BF56" s="123">
        <f t="shared" si="37"/>
        <v>2</v>
      </c>
      <c r="BG56" s="123">
        <f t="shared" si="37"/>
        <v>0</v>
      </c>
      <c r="BH56" s="123">
        <f t="shared" si="37"/>
        <v>0</v>
      </c>
      <c r="BI56" s="123">
        <f t="shared" si="37"/>
        <v>0</v>
      </c>
      <c r="BJ56" s="123">
        <f t="shared" si="37"/>
        <v>0</v>
      </c>
      <c r="BK56" s="123">
        <f t="shared" si="37"/>
        <v>0</v>
      </c>
      <c r="BL56" s="123">
        <f t="shared" si="37"/>
        <v>0</v>
      </c>
      <c r="BM56" s="123">
        <f t="shared" si="37"/>
        <v>0</v>
      </c>
      <c r="BN56" s="90">
        <f t="shared" si="38"/>
        <v>2</v>
      </c>
      <c r="BO56" s="123">
        <f t="shared" si="39"/>
        <v>2</v>
      </c>
      <c r="BP56" s="123">
        <f t="shared" si="34"/>
        <v>0</v>
      </c>
      <c r="BQ56" s="123">
        <f t="shared" si="34"/>
        <v>0</v>
      </c>
      <c r="BR56" s="142">
        <f t="shared" si="34"/>
        <v>0</v>
      </c>
      <c r="BS56" s="143">
        <f t="shared" si="40"/>
        <v>4</v>
      </c>
      <c r="BT56" s="7">
        <f t="shared" si="41"/>
        <v>29</v>
      </c>
    </row>
    <row r="57" spans="2:72">
      <c r="B57" s="195">
        <v>10</v>
      </c>
      <c r="C57" s="183">
        <v>26</v>
      </c>
      <c r="D57" s="51"/>
      <c r="E57" s="300" t="s">
        <v>168</v>
      </c>
      <c r="F57" s="301"/>
      <c r="G57" s="301"/>
      <c r="H57" s="301"/>
      <c r="I57" s="301"/>
      <c r="J57" s="302"/>
      <c r="K57" s="76"/>
      <c r="L57" s="76"/>
      <c r="M57" s="77" t="s">
        <v>110</v>
      </c>
      <c r="N57" s="77" t="s">
        <v>103</v>
      </c>
      <c r="O57" s="77" t="s">
        <v>115</v>
      </c>
      <c r="P57" s="77" t="s">
        <v>114</v>
      </c>
      <c r="Q57" s="77" t="s">
        <v>117</v>
      </c>
      <c r="R57" s="77" t="s">
        <v>122</v>
      </c>
      <c r="S57" s="76"/>
      <c r="T57" s="76"/>
      <c r="U57" s="77" t="s">
        <v>116</v>
      </c>
      <c r="V57" s="77" t="s">
        <v>117</v>
      </c>
      <c r="W57" s="77" t="s">
        <v>130</v>
      </c>
      <c r="X57" s="77" t="s">
        <v>118</v>
      </c>
      <c r="Y57" s="77" t="s">
        <v>113</v>
      </c>
      <c r="Z57" s="77"/>
      <c r="AA57" s="76"/>
      <c r="AB57" s="76"/>
      <c r="AC57" s="77" t="s">
        <v>110</v>
      </c>
      <c r="AD57" s="186" t="s">
        <v>5</v>
      </c>
      <c r="AE57" s="77" t="s">
        <v>115</v>
      </c>
      <c r="AF57" s="77" t="s">
        <v>116</v>
      </c>
      <c r="AG57" s="77" t="s">
        <v>117</v>
      </c>
      <c r="AH57" s="161" t="s">
        <v>118</v>
      </c>
      <c r="AI57" s="76"/>
      <c r="AJ57" s="76"/>
      <c r="AK57" s="77" t="s">
        <v>110</v>
      </c>
      <c r="AL57" s="77" t="s">
        <v>130</v>
      </c>
      <c r="AM57" s="77" t="s">
        <v>114</v>
      </c>
      <c r="AN57" s="77" t="s">
        <v>110</v>
      </c>
      <c r="AO57" s="77" t="s">
        <v>115</v>
      </c>
      <c r="AP57" s="77" t="s">
        <v>122</v>
      </c>
      <c r="AQ57" s="76"/>
      <c r="AR57" s="76"/>
      <c r="AS57" s="25">
        <v>3</v>
      </c>
      <c r="AT57" s="123">
        <f t="shared" si="35"/>
        <v>5</v>
      </c>
      <c r="AU57" s="123">
        <f t="shared" si="35"/>
        <v>3</v>
      </c>
      <c r="AV57" s="123">
        <f t="shared" si="35"/>
        <v>1</v>
      </c>
      <c r="AW57" s="123">
        <f t="shared" si="35"/>
        <v>2</v>
      </c>
      <c r="AX57" s="123">
        <f t="shared" si="35"/>
        <v>3</v>
      </c>
      <c r="AY57" s="123">
        <f t="shared" si="35"/>
        <v>2</v>
      </c>
      <c r="AZ57" s="123">
        <f t="shared" si="35"/>
        <v>2</v>
      </c>
      <c r="BA57" s="123">
        <f t="shared" si="35"/>
        <v>2</v>
      </c>
      <c r="BB57" s="123">
        <f t="shared" si="35"/>
        <v>0</v>
      </c>
      <c r="BC57" s="123">
        <f t="shared" si="35"/>
        <v>2</v>
      </c>
      <c r="BD57" s="123">
        <f t="shared" si="35"/>
        <v>0</v>
      </c>
      <c r="BE57" s="124">
        <f t="shared" si="36"/>
        <v>22</v>
      </c>
      <c r="BF57" s="123">
        <f t="shared" si="37"/>
        <v>1</v>
      </c>
      <c r="BG57" s="123">
        <f t="shared" si="37"/>
        <v>0</v>
      </c>
      <c r="BH57" s="123">
        <f t="shared" si="37"/>
        <v>0</v>
      </c>
      <c r="BI57" s="123">
        <f t="shared" si="37"/>
        <v>0</v>
      </c>
      <c r="BJ57" s="123">
        <f t="shared" si="37"/>
        <v>0</v>
      </c>
      <c r="BK57" s="123">
        <f t="shared" si="37"/>
        <v>0</v>
      </c>
      <c r="BL57" s="123">
        <f t="shared" si="37"/>
        <v>0</v>
      </c>
      <c r="BM57" s="123">
        <f t="shared" si="37"/>
        <v>0</v>
      </c>
      <c r="BN57" s="90">
        <f t="shared" si="38"/>
        <v>1</v>
      </c>
      <c r="BO57" s="123">
        <f t="shared" si="39"/>
        <v>0</v>
      </c>
      <c r="BP57" s="123">
        <f t="shared" si="34"/>
        <v>0</v>
      </c>
      <c r="BQ57" s="123">
        <f t="shared" si="34"/>
        <v>0</v>
      </c>
      <c r="BR57" s="142">
        <f t="shared" si="34"/>
        <v>0</v>
      </c>
      <c r="BS57" s="143">
        <f t="shared" si="40"/>
        <v>1</v>
      </c>
      <c r="BT57" s="7">
        <f t="shared" si="41"/>
        <v>23</v>
      </c>
    </row>
    <row r="58" spans="2:72">
      <c r="B58" s="202"/>
      <c r="C58" s="183">
        <v>27</v>
      </c>
      <c r="D58" s="51"/>
      <c r="E58" s="303" t="s">
        <v>168</v>
      </c>
      <c r="F58" s="301"/>
      <c r="G58" s="301"/>
      <c r="H58" s="301"/>
      <c r="I58" s="301"/>
      <c r="J58" s="302"/>
      <c r="K58" s="76"/>
      <c r="L58" s="76"/>
      <c r="M58" s="77" t="s">
        <v>110</v>
      </c>
      <c r="N58" s="77" t="s">
        <v>103</v>
      </c>
      <c r="O58" s="77" t="s">
        <v>115</v>
      </c>
      <c r="P58" s="77" t="s">
        <v>114</v>
      </c>
      <c r="Q58" s="77" t="s">
        <v>117</v>
      </c>
      <c r="R58" s="77" t="s">
        <v>122</v>
      </c>
      <c r="S58" s="76"/>
      <c r="T58" s="76"/>
      <c r="U58" s="77" t="s">
        <v>116</v>
      </c>
      <c r="V58" s="77" t="s">
        <v>117</v>
      </c>
      <c r="W58" s="77" t="s">
        <v>130</v>
      </c>
      <c r="X58" s="77" t="s">
        <v>118</v>
      </c>
      <c r="Y58" s="77" t="s">
        <v>113</v>
      </c>
      <c r="Z58" s="77"/>
      <c r="AA58" s="76"/>
      <c r="AB58" s="76"/>
      <c r="AC58" s="77" t="s">
        <v>110</v>
      </c>
      <c r="AD58" s="186" t="s">
        <v>5</v>
      </c>
      <c r="AE58" s="77" t="s">
        <v>115</v>
      </c>
      <c r="AF58" s="77" t="s">
        <v>116</v>
      </c>
      <c r="AG58" s="187" t="s">
        <v>44</v>
      </c>
      <c r="AH58" s="187" t="s">
        <v>44</v>
      </c>
      <c r="AI58" s="76"/>
      <c r="AJ58" s="76"/>
      <c r="AK58" s="77" t="s">
        <v>110</v>
      </c>
      <c r="AL58" s="77" t="s">
        <v>130</v>
      </c>
      <c r="AM58" s="77" t="s">
        <v>114</v>
      </c>
      <c r="AN58" s="77" t="s">
        <v>110</v>
      </c>
      <c r="AO58" s="77" t="s">
        <v>115</v>
      </c>
      <c r="AP58" s="77" t="s">
        <v>122</v>
      </c>
      <c r="AQ58" s="76"/>
      <c r="AR58" s="76"/>
      <c r="AS58" s="25">
        <v>4</v>
      </c>
      <c r="AT58" s="123">
        <f t="shared" si="35"/>
        <v>5</v>
      </c>
      <c r="AU58" s="123">
        <f t="shared" si="35"/>
        <v>3</v>
      </c>
      <c r="AV58" s="123">
        <f t="shared" si="35"/>
        <v>1</v>
      </c>
      <c r="AW58" s="123">
        <f t="shared" si="35"/>
        <v>2</v>
      </c>
      <c r="AX58" s="123">
        <f t="shared" si="35"/>
        <v>2</v>
      </c>
      <c r="AY58" s="123">
        <f t="shared" si="35"/>
        <v>2</v>
      </c>
      <c r="AZ58" s="123">
        <f t="shared" si="35"/>
        <v>2</v>
      </c>
      <c r="BA58" s="123">
        <f t="shared" si="35"/>
        <v>1</v>
      </c>
      <c r="BB58" s="123">
        <f t="shared" si="35"/>
        <v>0</v>
      </c>
      <c r="BC58" s="123">
        <f t="shared" si="35"/>
        <v>2</v>
      </c>
      <c r="BD58" s="123">
        <f t="shared" si="35"/>
        <v>0</v>
      </c>
      <c r="BE58" s="124">
        <f t="shared" si="36"/>
        <v>20</v>
      </c>
      <c r="BF58" s="123">
        <f t="shared" si="37"/>
        <v>1</v>
      </c>
      <c r="BG58" s="123">
        <f t="shared" si="37"/>
        <v>0</v>
      </c>
      <c r="BH58" s="123">
        <f t="shared" si="37"/>
        <v>0</v>
      </c>
      <c r="BI58" s="123">
        <f t="shared" si="37"/>
        <v>0</v>
      </c>
      <c r="BJ58" s="123">
        <f t="shared" si="37"/>
        <v>0</v>
      </c>
      <c r="BK58" s="123">
        <f t="shared" si="37"/>
        <v>0</v>
      </c>
      <c r="BL58" s="123">
        <f t="shared" si="37"/>
        <v>0</v>
      </c>
      <c r="BM58" s="123">
        <f t="shared" si="37"/>
        <v>0</v>
      </c>
      <c r="BN58" s="90">
        <f t="shared" si="38"/>
        <v>1</v>
      </c>
      <c r="BO58" s="123">
        <f t="shared" si="39"/>
        <v>2</v>
      </c>
      <c r="BP58" s="123">
        <f t="shared" si="34"/>
        <v>0</v>
      </c>
      <c r="BQ58" s="123">
        <f t="shared" si="34"/>
        <v>0</v>
      </c>
      <c r="BR58" s="142">
        <f t="shared" si="34"/>
        <v>0</v>
      </c>
      <c r="BS58" s="143">
        <f t="shared" si="40"/>
        <v>3</v>
      </c>
      <c r="BT58" s="7">
        <f t="shared" si="41"/>
        <v>23</v>
      </c>
    </row>
    <row r="59" spans="2:72">
      <c r="B59" s="202"/>
      <c r="C59" s="183">
        <v>28</v>
      </c>
      <c r="D59" s="51"/>
      <c r="E59" s="77" t="s">
        <v>110</v>
      </c>
      <c r="F59" s="161" t="s">
        <v>123</v>
      </c>
      <c r="G59" s="77" t="s">
        <v>123</v>
      </c>
      <c r="H59" s="77" t="s">
        <v>116</v>
      </c>
      <c r="I59" s="77" t="s">
        <v>114</v>
      </c>
      <c r="J59" s="186" t="s">
        <v>5</v>
      </c>
      <c r="K59" s="76"/>
      <c r="L59" s="76"/>
      <c r="M59" s="77" t="s">
        <v>110</v>
      </c>
      <c r="N59" s="77" t="s">
        <v>103</v>
      </c>
      <c r="O59" s="77" t="s">
        <v>115</v>
      </c>
      <c r="P59" s="77" t="s">
        <v>114</v>
      </c>
      <c r="Q59" s="77" t="s">
        <v>117</v>
      </c>
      <c r="R59" s="77" t="s">
        <v>122</v>
      </c>
      <c r="S59" s="76"/>
      <c r="T59" s="76"/>
      <c r="U59" s="77" t="s">
        <v>116</v>
      </c>
      <c r="V59" s="77" t="s">
        <v>117</v>
      </c>
      <c r="W59" s="77" t="s">
        <v>130</v>
      </c>
      <c r="X59" s="77" t="s">
        <v>118</v>
      </c>
      <c r="Y59" s="77" t="s">
        <v>113</v>
      </c>
      <c r="Z59" s="77"/>
      <c r="AA59" s="76"/>
      <c r="AB59" s="76"/>
      <c r="AC59" s="77" t="s">
        <v>110</v>
      </c>
      <c r="AD59" s="186" t="s">
        <v>5</v>
      </c>
      <c r="AE59" s="77" t="s">
        <v>115</v>
      </c>
      <c r="AF59" s="77" t="s">
        <v>116</v>
      </c>
      <c r="AG59" s="187" t="s">
        <v>44</v>
      </c>
      <c r="AH59" s="187" t="s">
        <v>44</v>
      </c>
      <c r="AI59" s="76"/>
      <c r="AJ59" s="76"/>
      <c r="AK59" s="77" t="s">
        <v>110</v>
      </c>
      <c r="AL59" s="77" t="s">
        <v>130</v>
      </c>
      <c r="AM59" s="77" t="s">
        <v>114</v>
      </c>
      <c r="AN59" s="77" t="s">
        <v>110</v>
      </c>
      <c r="AO59" s="77" t="s">
        <v>115</v>
      </c>
      <c r="AP59" s="77" t="s">
        <v>122</v>
      </c>
      <c r="AQ59" s="76"/>
      <c r="AR59" s="76"/>
      <c r="AS59" s="25">
        <v>5</v>
      </c>
      <c r="AT59" s="123">
        <f t="shared" si="35"/>
        <v>6</v>
      </c>
      <c r="AU59" s="123">
        <f t="shared" si="35"/>
        <v>3</v>
      </c>
      <c r="AV59" s="123">
        <f t="shared" si="35"/>
        <v>1</v>
      </c>
      <c r="AW59" s="123">
        <f t="shared" si="35"/>
        <v>3</v>
      </c>
      <c r="AX59" s="123">
        <f t="shared" si="35"/>
        <v>2</v>
      </c>
      <c r="AY59" s="123">
        <f t="shared" si="35"/>
        <v>2</v>
      </c>
      <c r="AZ59" s="123">
        <f t="shared" si="35"/>
        <v>2</v>
      </c>
      <c r="BA59" s="123">
        <f t="shared" si="35"/>
        <v>1</v>
      </c>
      <c r="BB59" s="123">
        <f t="shared" si="35"/>
        <v>2</v>
      </c>
      <c r="BC59" s="123">
        <f t="shared" si="35"/>
        <v>3</v>
      </c>
      <c r="BD59" s="123">
        <f t="shared" si="35"/>
        <v>0</v>
      </c>
      <c r="BE59" s="124">
        <f t="shared" si="36"/>
        <v>25</v>
      </c>
      <c r="BF59" s="123">
        <f t="shared" si="37"/>
        <v>2</v>
      </c>
      <c r="BG59" s="123">
        <f t="shared" si="37"/>
        <v>0</v>
      </c>
      <c r="BH59" s="123">
        <f t="shared" si="37"/>
        <v>0</v>
      </c>
      <c r="BI59" s="123">
        <f t="shared" si="37"/>
        <v>0</v>
      </c>
      <c r="BJ59" s="123">
        <f t="shared" si="37"/>
        <v>0</v>
      </c>
      <c r="BK59" s="123">
        <f t="shared" si="37"/>
        <v>0</v>
      </c>
      <c r="BL59" s="123">
        <f t="shared" si="37"/>
        <v>0</v>
      </c>
      <c r="BM59" s="123">
        <f t="shared" si="37"/>
        <v>0</v>
      </c>
      <c r="BN59" s="90">
        <f t="shared" si="38"/>
        <v>2</v>
      </c>
      <c r="BO59" s="123">
        <f t="shared" si="39"/>
        <v>2</v>
      </c>
      <c r="BP59" s="123">
        <f t="shared" si="34"/>
        <v>0</v>
      </c>
      <c r="BQ59" s="123">
        <f t="shared" si="34"/>
        <v>0</v>
      </c>
      <c r="BR59" s="142">
        <f t="shared" si="34"/>
        <v>0</v>
      </c>
      <c r="BS59" s="143">
        <f t="shared" si="40"/>
        <v>4</v>
      </c>
      <c r="BT59" s="7">
        <f t="shared" si="41"/>
        <v>29</v>
      </c>
    </row>
    <row r="60" spans="2:72">
      <c r="B60" s="203"/>
      <c r="C60" s="183">
        <v>29</v>
      </c>
      <c r="D60" s="51"/>
      <c r="E60" s="77" t="s">
        <v>110</v>
      </c>
      <c r="F60" s="161" t="s">
        <v>123</v>
      </c>
      <c r="G60" s="77" t="s">
        <v>123</v>
      </c>
      <c r="H60" s="77" t="s">
        <v>116</v>
      </c>
      <c r="I60" s="77" t="s">
        <v>114</v>
      </c>
      <c r="J60" s="186" t="s">
        <v>5</v>
      </c>
      <c r="K60" s="76"/>
      <c r="L60" s="76"/>
      <c r="M60" s="77" t="s">
        <v>110</v>
      </c>
      <c r="N60" s="77" t="s">
        <v>103</v>
      </c>
      <c r="O60" s="77" t="s">
        <v>115</v>
      </c>
      <c r="P60" s="77" t="s">
        <v>114</v>
      </c>
      <c r="Q60" s="77" t="s">
        <v>117</v>
      </c>
      <c r="R60" s="77" t="s">
        <v>122</v>
      </c>
      <c r="S60" s="76"/>
      <c r="T60" s="76"/>
      <c r="U60" s="77" t="s">
        <v>116</v>
      </c>
      <c r="V60" s="77" t="s">
        <v>117</v>
      </c>
      <c r="W60" s="77" t="s">
        <v>130</v>
      </c>
      <c r="X60" s="77" t="s">
        <v>118</v>
      </c>
      <c r="Y60" s="77" t="s">
        <v>113</v>
      </c>
      <c r="Z60" s="77"/>
      <c r="AA60" s="76"/>
      <c r="AB60" s="76"/>
      <c r="AC60" s="11" t="s">
        <v>45</v>
      </c>
      <c r="AD60" s="305" t="s">
        <v>43</v>
      </c>
      <c r="AE60" s="77" t="s">
        <v>115</v>
      </c>
      <c r="AF60" s="77" t="s">
        <v>116</v>
      </c>
      <c r="AG60" s="77" t="s">
        <v>18</v>
      </c>
      <c r="AH60" s="161" t="s">
        <v>20</v>
      </c>
      <c r="AI60" s="76"/>
      <c r="AJ60" s="76"/>
      <c r="AK60" s="77" t="s">
        <v>110</v>
      </c>
      <c r="AL60" s="77" t="s">
        <v>130</v>
      </c>
      <c r="AM60" s="77" t="s">
        <v>114</v>
      </c>
      <c r="AN60" s="77" t="s">
        <v>110</v>
      </c>
      <c r="AO60" s="77" t="s">
        <v>115</v>
      </c>
      <c r="AP60" s="77" t="s">
        <v>122</v>
      </c>
      <c r="AQ60" s="76"/>
      <c r="AR60" s="76"/>
      <c r="AS60" s="25">
        <v>5</v>
      </c>
      <c r="AT60" s="123">
        <f t="shared" si="35"/>
        <v>5</v>
      </c>
      <c r="AU60" s="123">
        <f t="shared" si="35"/>
        <v>3</v>
      </c>
      <c r="AV60" s="123">
        <f t="shared" si="35"/>
        <v>1</v>
      </c>
      <c r="AW60" s="123">
        <f t="shared" si="35"/>
        <v>3</v>
      </c>
      <c r="AX60" s="123">
        <f t="shared" si="35"/>
        <v>3</v>
      </c>
      <c r="AY60" s="123">
        <f t="shared" si="35"/>
        <v>2</v>
      </c>
      <c r="AZ60" s="123">
        <f t="shared" si="35"/>
        <v>2</v>
      </c>
      <c r="BA60" s="123">
        <f t="shared" si="35"/>
        <v>2</v>
      </c>
      <c r="BB60" s="123">
        <f t="shared" si="35"/>
        <v>2</v>
      </c>
      <c r="BC60" s="123">
        <f t="shared" si="35"/>
        <v>3</v>
      </c>
      <c r="BD60" s="123">
        <f t="shared" si="35"/>
        <v>0</v>
      </c>
      <c r="BE60" s="124">
        <f t="shared" si="36"/>
        <v>26</v>
      </c>
      <c r="BF60" s="123">
        <f t="shared" si="37"/>
        <v>1</v>
      </c>
      <c r="BG60" s="123">
        <f t="shared" si="37"/>
        <v>0</v>
      </c>
      <c r="BH60" s="123">
        <f t="shared" si="37"/>
        <v>0</v>
      </c>
      <c r="BI60" s="123">
        <f t="shared" si="37"/>
        <v>0</v>
      </c>
      <c r="BJ60" s="123">
        <f t="shared" si="37"/>
        <v>0</v>
      </c>
      <c r="BK60" s="123">
        <f t="shared" si="37"/>
        <v>0</v>
      </c>
      <c r="BL60" s="123">
        <f t="shared" si="37"/>
        <v>0</v>
      </c>
      <c r="BM60" s="123">
        <f t="shared" si="37"/>
        <v>0</v>
      </c>
      <c r="BN60" s="90">
        <f t="shared" si="38"/>
        <v>1</v>
      </c>
      <c r="BO60" s="123">
        <f t="shared" si="39"/>
        <v>0</v>
      </c>
      <c r="BP60" s="123">
        <f t="shared" si="34"/>
        <v>1</v>
      </c>
      <c r="BQ60" s="123">
        <f t="shared" si="34"/>
        <v>1</v>
      </c>
      <c r="BR60" s="142">
        <f t="shared" si="34"/>
        <v>0</v>
      </c>
      <c r="BS60" s="143">
        <f t="shared" si="40"/>
        <v>3</v>
      </c>
      <c r="BT60" s="7">
        <f t="shared" si="41"/>
        <v>29</v>
      </c>
    </row>
    <row r="61" spans="2:72">
      <c r="B61" s="195">
        <v>11</v>
      </c>
      <c r="C61" s="183">
        <v>30</v>
      </c>
      <c r="D61" s="51"/>
      <c r="E61" s="77" t="s">
        <v>110</v>
      </c>
      <c r="F61" s="161" t="s">
        <v>123</v>
      </c>
      <c r="G61" s="77" t="s">
        <v>123</v>
      </c>
      <c r="H61" s="77" t="s">
        <v>116</v>
      </c>
      <c r="I61" s="77" t="s">
        <v>114</v>
      </c>
      <c r="J61" s="186" t="s">
        <v>5</v>
      </c>
      <c r="K61" s="76"/>
      <c r="L61" s="76"/>
      <c r="M61" s="77" t="s">
        <v>110</v>
      </c>
      <c r="N61" s="77" t="s">
        <v>103</v>
      </c>
      <c r="O61" s="77" t="s">
        <v>115</v>
      </c>
      <c r="P61" s="77" t="s">
        <v>114</v>
      </c>
      <c r="Q61" s="77" t="s">
        <v>117</v>
      </c>
      <c r="R61" s="77" t="s">
        <v>122</v>
      </c>
      <c r="S61" s="76"/>
      <c r="T61" s="76"/>
      <c r="U61" s="77" t="s">
        <v>116</v>
      </c>
      <c r="V61" s="77" t="s">
        <v>117</v>
      </c>
      <c r="W61" s="77" t="s">
        <v>130</v>
      </c>
      <c r="X61" s="77" t="s">
        <v>118</v>
      </c>
      <c r="Y61" s="77" t="s">
        <v>113</v>
      </c>
      <c r="Z61" s="77"/>
      <c r="AA61" s="76"/>
      <c r="AB61" s="76"/>
      <c r="AC61" s="77" t="s">
        <v>110</v>
      </c>
      <c r="AD61" s="161" t="s">
        <v>114</v>
      </c>
      <c r="AE61" s="77" t="s">
        <v>115</v>
      </c>
      <c r="AF61" s="77" t="s">
        <v>116</v>
      </c>
      <c r="AG61" s="77" t="s">
        <v>117</v>
      </c>
      <c r="AH61" s="161" t="s">
        <v>118</v>
      </c>
      <c r="AI61" s="76"/>
      <c r="AJ61" s="76"/>
      <c r="AK61" s="77" t="s">
        <v>110</v>
      </c>
      <c r="AL61" s="77" t="s">
        <v>130</v>
      </c>
      <c r="AM61" s="77" t="s">
        <v>114</v>
      </c>
      <c r="AN61" s="77" t="s">
        <v>110</v>
      </c>
      <c r="AO61" s="77" t="s">
        <v>115</v>
      </c>
      <c r="AP61" s="77" t="s">
        <v>122</v>
      </c>
      <c r="AQ61" s="76"/>
      <c r="AR61" s="76"/>
      <c r="AS61" s="25">
        <v>5</v>
      </c>
      <c r="AT61" s="123">
        <f t="shared" si="35"/>
        <v>6</v>
      </c>
      <c r="AU61" s="123">
        <f t="shared" si="35"/>
        <v>3</v>
      </c>
      <c r="AV61" s="123">
        <f t="shared" si="35"/>
        <v>1</v>
      </c>
      <c r="AW61" s="123">
        <f t="shared" si="35"/>
        <v>4</v>
      </c>
      <c r="AX61" s="123">
        <f t="shared" si="35"/>
        <v>3</v>
      </c>
      <c r="AY61" s="123">
        <f t="shared" si="35"/>
        <v>2</v>
      </c>
      <c r="AZ61" s="123">
        <f t="shared" si="35"/>
        <v>2</v>
      </c>
      <c r="BA61" s="123">
        <f t="shared" si="35"/>
        <v>2</v>
      </c>
      <c r="BB61" s="123">
        <f t="shared" si="35"/>
        <v>2</v>
      </c>
      <c r="BC61" s="123">
        <f t="shared" si="35"/>
        <v>3</v>
      </c>
      <c r="BD61" s="123">
        <f t="shared" si="35"/>
        <v>0</v>
      </c>
      <c r="BE61" s="124">
        <f t="shared" si="36"/>
        <v>28</v>
      </c>
      <c r="BF61" s="123">
        <f t="shared" si="37"/>
        <v>1</v>
      </c>
      <c r="BG61" s="123">
        <f t="shared" si="37"/>
        <v>0</v>
      </c>
      <c r="BH61" s="123">
        <f t="shared" si="37"/>
        <v>0</v>
      </c>
      <c r="BI61" s="123">
        <f t="shared" si="37"/>
        <v>0</v>
      </c>
      <c r="BJ61" s="123">
        <f t="shared" si="37"/>
        <v>0</v>
      </c>
      <c r="BK61" s="123">
        <f t="shared" si="37"/>
        <v>0</v>
      </c>
      <c r="BL61" s="123">
        <f t="shared" si="37"/>
        <v>0</v>
      </c>
      <c r="BM61" s="123">
        <f t="shared" si="37"/>
        <v>0</v>
      </c>
      <c r="BN61" s="90">
        <f t="shared" si="38"/>
        <v>1</v>
      </c>
      <c r="BO61" s="123">
        <f t="shared" si="39"/>
        <v>0</v>
      </c>
      <c r="BP61" s="123">
        <f t="shared" si="34"/>
        <v>0</v>
      </c>
      <c r="BQ61" s="123">
        <f t="shared" si="34"/>
        <v>0</v>
      </c>
      <c r="BR61" s="142">
        <f t="shared" si="34"/>
        <v>0</v>
      </c>
      <c r="BS61" s="143">
        <f t="shared" si="40"/>
        <v>1</v>
      </c>
      <c r="BT61" s="7">
        <f t="shared" si="41"/>
        <v>29</v>
      </c>
    </row>
    <row r="62" spans="2:72">
      <c r="B62" s="202"/>
      <c r="C62" s="183">
        <v>31</v>
      </c>
      <c r="D62" s="51"/>
      <c r="E62" s="77" t="s">
        <v>110</v>
      </c>
      <c r="F62" s="161" t="s">
        <v>123</v>
      </c>
      <c r="G62" s="77" t="s">
        <v>123</v>
      </c>
      <c r="H62" s="77" t="s">
        <v>116</v>
      </c>
      <c r="I62" s="77" t="s">
        <v>114</v>
      </c>
      <c r="J62" s="186" t="s">
        <v>5</v>
      </c>
      <c r="K62" s="76"/>
      <c r="L62" s="76"/>
      <c r="M62" s="186" t="s">
        <v>5</v>
      </c>
      <c r="N62" s="186" t="s">
        <v>5</v>
      </c>
      <c r="O62" s="77" t="s">
        <v>115</v>
      </c>
      <c r="P62" s="77" t="s">
        <v>114</v>
      </c>
      <c r="Q62" s="77" t="s">
        <v>117</v>
      </c>
      <c r="R62" s="77" t="s">
        <v>122</v>
      </c>
      <c r="S62" s="76"/>
      <c r="T62" s="76"/>
      <c r="U62" s="77" t="s">
        <v>116</v>
      </c>
      <c r="V62" s="77" t="s">
        <v>117</v>
      </c>
      <c r="W62" s="77" t="s">
        <v>130</v>
      </c>
      <c r="X62" s="77" t="s">
        <v>118</v>
      </c>
      <c r="Y62" s="77" t="s">
        <v>113</v>
      </c>
      <c r="Z62" s="77"/>
      <c r="AA62" s="76"/>
      <c r="AB62" s="76"/>
      <c r="AC62" s="77" t="s">
        <v>110</v>
      </c>
      <c r="AD62" s="161" t="s">
        <v>114</v>
      </c>
      <c r="AE62" s="77" t="s">
        <v>115</v>
      </c>
      <c r="AF62" s="77" t="s">
        <v>116</v>
      </c>
      <c r="AG62" s="77" t="s">
        <v>117</v>
      </c>
      <c r="AH62" s="161" t="s">
        <v>118</v>
      </c>
      <c r="AI62" s="76"/>
      <c r="AJ62" s="76"/>
      <c r="AK62" s="77" t="s">
        <v>110</v>
      </c>
      <c r="AL62" s="77" t="s">
        <v>130</v>
      </c>
      <c r="AM62" s="77" t="s">
        <v>114</v>
      </c>
      <c r="AN62" s="77" t="s">
        <v>110</v>
      </c>
      <c r="AO62" s="77" t="s">
        <v>115</v>
      </c>
      <c r="AP62" s="77" t="s">
        <v>122</v>
      </c>
      <c r="AQ62" s="76"/>
      <c r="AR62" s="76"/>
      <c r="AS62" s="25">
        <v>5</v>
      </c>
      <c r="AT62" s="123">
        <f t="shared" si="35"/>
        <v>4</v>
      </c>
      <c r="AU62" s="123">
        <f t="shared" si="35"/>
        <v>3</v>
      </c>
      <c r="AV62" s="123">
        <f t="shared" si="35"/>
        <v>1</v>
      </c>
      <c r="AW62" s="123">
        <f t="shared" si="35"/>
        <v>4</v>
      </c>
      <c r="AX62" s="123">
        <f t="shared" si="35"/>
        <v>3</v>
      </c>
      <c r="AY62" s="123">
        <f t="shared" si="35"/>
        <v>2</v>
      </c>
      <c r="AZ62" s="123">
        <f t="shared" si="35"/>
        <v>2</v>
      </c>
      <c r="BA62" s="123">
        <f t="shared" si="35"/>
        <v>2</v>
      </c>
      <c r="BB62" s="123">
        <f t="shared" si="35"/>
        <v>2</v>
      </c>
      <c r="BC62" s="123">
        <f t="shared" si="35"/>
        <v>3</v>
      </c>
      <c r="BD62" s="123">
        <f t="shared" si="35"/>
        <v>0</v>
      </c>
      <c r="BE62" s="124">
        <f t="shared" si="36"/>
        <v>26</v>
      </c>
      <c r="BF62" s="123">
        <f t="shared" si="37"/>
        <v>3</v>
      </c>
      <c r="BG62" s="123">
        <f t="shared" si="37"/>
        <v>0</v>
      </c>
      <c r="BH62" s="123">
        <f t="shared" si="37"/>
        <v>0</v>
      </c>
      <c r="BI62" s="123">
        <f t="shared" si="37"/>
        <v>0</v>
      </c>
      <c r="BJ62" s="123">
        <f t="shared" si="37"/>
        <v>0</v>
      </c>
      <c r="BK62" s="123">
        <f t="shared" si="37"/>
        <v>0</v>
      </c>
      <c r="BL62" s="123">
        <f t="shared" si="37"/>
        <v>0</v>
      </c>
      <c r="BM62" s="123">
        <f t="shared" si="37"/>
        <v>0</v>
      </c>
      <c r="BN62" s="90">
        <f t="shared" si="38"/>
        <v>3</v>
      </c>
      <c r="BO62" s="123">
        <f t="shared" si="39"/>
        <v>0</v>
      </c>
      <c r="BP62" s="123">
        <f t="shared" si="34"/>
        <v>0</v>
      </c>
      <c r="BQ62" s="123">
        <f t="shared" si="34"/>
        <v>0</v>
      </c>
      <c r="BR62" s="142">
        <f t="shared" si="34"/>
        <v>0</v>
      </c>
      <c r="BS62" s="143">
        <f t="shared" si="40"/>
        <v>3</v>
      </c>
      <c r="BT62" s="7">
        <f t="shared" si="41"/>
        <v>29</v>
      </c>
    </row>
    <row r="63" spans="2:72">
      <c r="B63" s="202"/>
      <c r="C63" s="183">
        <v>32</v>
      </c>
      <c r="D63" s="51"/>
      <c r="E63" s="77" t="s">
        <v>110</v>
      </c>
      <c r="F63" s="161" t="s">
        <v>123</v>
      </c>
      <c r="G63" s="77" t="s">
        <v>123</v>
      </c>
      <c r="H63" s="77" t="s">
        <v>116</v>
      </c>
      <c r="I63" s="77" t="s">
        <v>114</v>
      </c>
      <c r="J63" s="186" t="s">
        <v>5</v>
      </c>
      <c r="K63" s="76"/>
      <c r="L63" s="76"/>
      <c r="M63" s="77" t="s">
        <v>110</v>
      </c>
      <c r="N63" s="77" t="s">
        <v>103</v>
      </c>
      <c r="O63" s="77" t="s">
        <v>115</v>
      </c>
      <c r="P63" s="77" t="s">
        <v>114</v>
      </c>
      <c r="Q63" s="77" t="s">
        <v>117</v>
      </c>
      <c r="R63" s="77" t="s">
        <v>122</v>
      </c>
      <c r="S63" s="76"/>
      <c r="T63" s="76"/>
      <c r="U63" s="77" t="s">
        <v>116</v>
      </c>
      <c r="V63" s="77" t="s">
        <v>117</v>
      </c>
      <c r="W63" s="77" t="s">
        <v>130</v>
      </c>
      <c r="X63" s="77" t="s">
        <v>118</v>
      </c>
      <c r="Y63" s="77" t="s">
        <v>113</v>
      </c>
      <c r="Z63" s="77"/>
      <c r="AA63" s="76"/>
      <c r="AB63" s="76"/>
      <c r="AC63" s="304"/>
      <c r="AD63" s="161" t="s">
        <v>114</v>
      </c>
      <c r="AE63" s="77" t="s">
        <v>7</v>
      </c>
      <c r="AF63" s="77" t="s">
        <v>116</v>
      </c>
      <c r="AG63" s="187" t="s">
        <v>44</v>
      </c>
      <c r="AH63" s="187" t="s">
        <v>44</v>
      </c>
      <c r="AI63" s="76"/>
      <c r="AJ63" s="76"/>
      <c r="AK63" s="77" t="s">
        <v>110</v>
      </c>
      <c r="AL63" s="77" t="s">
        <v>130</v>
      </c>
      <c r="AM63" s="77" t="s">
        <v>114</v>
      </c>
      <c r="AN63" s="77" t="s">
        <v>110</v>
      </c>
      <c r="AO63" s="77" t="s">
        <v>115</v>
      </c>
      <c r="AP63" s="77" t="s">
        <v>122</v>
      </c>
      <c r="AQ63" s="76"/>
      <c r="AR63" s="76"/>
      <c r="AS63" s="25">
        <v>5</v>
      </c>
      <c r="AT63" s="123">
        <f t="shared" si="35"/>
        <v>5</v>
      </c>
      <c r="AU63" s="123">
        <f t="shared" si="35"/>
        <v>3</v>
      </c>
      <c r="AV63" s="123">
        <f t="shared" si="35"/>
        <v>1</v>
      </c>
      <c r="AW63" s="123">
        <f t="shared" si="35"/>
        <v>4</v>
      </c>
      <c r="AX63" s="123">
        <f t="shared" si="35"/>
        <v>2</v>
      </c>
      <c r="AY63" s="123">
        <f t="shared" si="35"/>
        <v>2</v>
      </c>
      <c r="AZ63" s="123">
        <f t="shared" si="35"/>
        <v>2</v>
      </c>
      <c r="BA63" s="123">
        <f t="shared" si="35"/>
        <v>1</v>
      </c>
      <c r="BB63" s="123">
        <f t="shared" si="35"/>
        <v>2</v>
      </c>
      <c r="BC63" s="123">
        <f t="shared" si="35"/>
        <v>3</v>
      </c>
      <c r="BD63" s="123">
        <f t="shared" si="35"/>
        <v>0</v>
      </c>
      <c r="BE63" s="124">
        <f t="shared" si="36"/>
        <v>25</v>
      </c>
      <c r="BF63" s="123">
        <f t="shared" si="37"/>
        <v>1</v>
      </c>
      <c r="BG63" s="123">
        <f t="shared" si="37"/>
        <v>0</v>
      </c>
      <c r="BH63" s="123">
        <f t="shared" si="37"/>
        <v>0</v>
      </c>
      <c r="BI63" s="123">
        <f t="shared" si="37"/>
        <v>0</v>
      </c>
      <c r="BJ63" s="123">
        <f t="shared" si="37"/>
        <v>0</v>
      </c>
      <c r="BK63" s="123">
        <f t="shared" si="37"/>
        <v>0</v>
      </c>
      <c r="BL63" s="123">
        <f t="shared" si="37"/>
        <v>0</v>
      </c>
      <c r="BM63" s="123">
        <f t="shared" si="37"/>
        <v>0</v>
      </c>
      <c r="BN63" s="90">
        <f t="shared" si="38"/>
        <v>1</v>
      </c>
      <c r="BO63" s="123">
        <f t="shared" si="39"/>
        <v>2</v>
      </c>
      <c r="BP63" s="123">
        <f t="shared" si="34"/>
        <v>0</v>
      </c>
      <c r="BQ63" s="123">
        <f t="shared" si="34"/>
        <v>0</v>
      </c>
      <c r="BR63" s="142">
        <f t="shared" si="34"/>
        <v>0</v>
      </c>
      <c r="BS63" s="143">
        <f t="shared" si="40"/>
        <v>3</v>
      </c>
      <c r="BT63" s="7">
        <f t="shared" si="41"/>
        <v>28</v>
      </c>
    </row>
    <row r="64" spans="2:72">
      <c r="B64" s="203"/>
      <c r="C64" s="183">
        <v>33</v>
      </c>
      <c r="D64" s="51"/>
      <c r="E64" s="77" t="s">
        <v>110</v>
      </c>
      <c r="F64" s="161" t="s">
        <v>123</v>
      </c>
      <c r="G64" s="77" t="s">
        <v>123</v>
      </c>
      <c r="H64" s="77" t="s">
        <v>116</v>
      </c>
      <c r="I64" s="77" t="s">
        <v>114</v>
      </c>
      <c r="J64" s="186" t="s">
        <v>5</v>
      </c>
      <c r="K64" s="76"/>
      <c r="L64" s="76"/>
      <c r="M64" s="305" t="s">
        <v>43</v>
      </c>
      <c r="N64" s="77" t="s">
        <v>103</v>
      </c>
      <c r="O64" s="77" t="s">
        <v>115</v>
      </c>
      <c r="P64" s="77" t="s">
        <v>114</v>
      </c>
      <c r="Q64" s="77" t="s">
        <v>117</v>
      </c>
      <c r="R64" s="77" t="s">
        <v>122</v>
      </c>
      <c r="S64" s="76"/>
      <c r="T64" s="76"/>
      <c r="U64" s="77" t="s">
        <v>116</v>
      </c>
      <c r="V64" s="77" t="s">
        <v>117</v>
      </c>
      <c r="W64" s="77" t="s">
        <v>130</v>
      </c>
      <c r="X64" s="77" t="s">
        <v>118</v>
      </c>
      <c r="Y64" s="77" t="s">
        <v>113</v>
      </c>
      <c r="Z64" s="77"/>
      <c r="AA64" s="76"/>
      <c r="AB64" s="76"/>
      <c r="AC64" s="77" t="s">
        <v>110</v>
      </c>
      <c r="AD64" s="161" t="s">
        <v>114</v>
      </c>
      <c r="AE64" s="77" t="s">
        <v>7</v>
      </c>
      <c r="AF64" s="77" t="s">
        <v>116</v>
      </c>
      <c r="AG64" s="187" t="s">
        <v>44</v>
      </c>
      <c r="AH64" s="187" t="s">
        <v>44</v>
      </c>
      <c r="AI64" s="76"/>
      <c r="AJ64" s="76"/>
      <c r="AK64" s="77" t="s">
        <v>110</v>
      </c>
      <c r="AL64" s="77" t="s">
        <v>130</v>
      </c>
      <c r="AM64" s="77" t="s">
        <v>114</v>
      </c>
      <c r="AN64" s="77" t="s">
        <v>110</v>
      </c>
      <c r="AO64" s="77" t="s">
        <v>115</v>
      </c>
      <c r="AP64" s="77" t="s">
        <v>122</v>
      </c>
      <c r="AQ64" s="76"/>
      <c r="AR64" s="76"/>
      <c r="AS64" s="25">
        <v>5</v>
      </c>
      <c r="AT64" s="123">
        <f t="shared" si="35"/>
        <v>5</v>
      </c>
      <c r="AU64" s="123">
        <f t="shared" si="35"/>
        <v>3</v>
      </c>
      <c r="AV64" s="123">
        <f t="shared" si="35"/>
        <v>1</v>
      </c>
      <c r="AW64" s="123">
        <f t="shared" si="35"/>
        <v>4</v>
      </c>
      <c r="AX64" s="123">
        <f t="shared" si="35"/>
        <v>2</v>
      </c>
      <c r="AY64" s="123">
        <f t="shared" si="35"/>
        <v>2</v>
      </c>
      <c r="AZ64" s="123">
        <f t="shared" si="35"/>
        <v>2</v>
      </c>
      <c r="BA64" s="123">
        <f t="shared" si="35"/>
        <v>1</v>
      </c>
      <c r="BB64" s="123">
        <f t="shared" si="35"/>
        <v>2</v>
      </c>
      <c r="BC64" s="123">
        <f t="shared" si="35"/>
        <v>3</v>
      </c>
      <c r="BD64" s="123">
        <f t="shared" si="35"/>
        <v>0</v>
      </c>
      <c r="BE64" s="124">
        <f t="shared" si="36"/>
        <v>25</v>
      </c>
      <c r="BF64" s="123">
        <f t="shared" si="37"/>
        <v>1</v>
      </c>
      <c r="BG64" s="123">
        <f t="shared" si="37"/>
        <v>0</v>
      </c>
      <c r="BH64" s="123">
        <f t="shared" si="37"/>
        <v>0</v>
      </c>
      <c r="BI64" s="123">
        <f t="shared" si="37"/>
        <v>0</v>
      </c>
      <c r="BJ64" s="123">
        <f t="shared" si="37"/>
        <v>0</v>
      </c>
      <c r="BK64" s="123">
        <f t="shared" si="37"/>
        <v>0</v>
      </c>
      <c r="BL64" s="123">
        <f t="shared" si="37"/>
        <v>0</v>
      </c>
      <c r="BM64" s="123">
        <f t="shared" si="37"/>
        <v>0</v>
      </c>
      <c r="BN64" s="90">
        <f t="shared" si="38"/>
        <v>1</v>
      </c>
      <c r="BO64" s="123">
        <f t="shared" si="39"/>
        <v>2</v>
      </c>
      <c r="BP64" s="123">
        <f t="shared" si="34"/>
        <v>0</v>
      </c>
      <c r="BQ64" s="123">
        <f t="shared" si="34"/>
        <v>1</v>
      </c>
      <c r="BR64" s="142">
        <f t="shared" si="34"/>
        <v>0</v>
      </c>
      <c r="BS64" s="143">
        <f t="shared" si="40"/>
        <v>4</v>
      </c>
      <c r="BT64" s="7">
        <f t="shared" si="41"/>
        <v>29</v>
      </c>
    </row>
    <row r="65" spans="2:72">
      <c r="B65" s="195">
        <v>12</v>
      </c>
      <c r="C65" s="183">
        <v>34</v>
      </c>
      <c r="D65" s="51"/>
      <c r="E65" s="77" t="s">
        <v>110</v>
      </c>
      <c r="F65" s="161" t="s">
        <v>123</v>
      </c>
      <c r="G65" s="77" t="s">
        <v>123</v>
      </c>
      <c r="H65" s="77" t="s">
        <v>116</v>
      </c>
      <c r="I65" s="77" t="s">
        <v>114</v>
      </c>
      <c r="J65" s="186" t="s">
        <v>5</v>
      </c>
      <c r="K65" s="76"/>
      <c r="L65" s="76"/>
      <c r="M65" s="186" t="s">
        <v>5</v>
      </c>
      <c r="N65" s="186" t="s">
        <v>5</v>
      </c>
      <c r="O65" s="77" t="s">
        <v>115</v>
      </c>
      <c r="P65" s="77" t="s">
        <v>114</v>
      </c>
      <c r="Q65" s="77" t="s">
        <v>117</v>
      </c>
      <c r="R65" s="77" t="s">
        <v>122</v>
      </c>
      <c r="S65" s="76"/>
      <c r="T65" s="76"/>
      <c r="U65" s="77" t="s">
        <v>116</v>
      </c>
      <c r="V65" s="77" t="s">
        <v>117</v>
      </c>
      <c r="W65" s="77" t="s">
        <v>130</v>
      </c>
      <c r="X65" s="77" t="s">
        <v>118</v>
      </c>
      <c r="Y65" s="77" t="s">
        <v>113</v>
      </c>
      <c r="Z65" s="77"/>
      <c r="AA65" s="76"/>
      <c r="AB65" s="76"/>
      <c r="AC65" s="77" t="s">
        <v>110</v>
      </c>
      <c r="AD65" s="161" t="s">
        <v>114</v>
      </c>
      <c r="AE65" s="77" t="s">
        <v>7</v>
      </c>
      <c r="AF65" s="77" t="s">
        <v>116</v>
      </c>
      <c r="AG65" s="77" t="s">
        <v>117</v>
      </c>
      <c r="AH65" s="161" t="s">
        <v>118</v>
      </c>
      <c r="AI65" s="76"/>
      <c r="AJ65" s="76"/>
      <c r="AK65" s="77" t="s">
        <v>110</v>
      </c>
      <c r="AL65" s="77" t="s">
        <v>130</v>
      </c>
      <c r="AM65" s="77" t="s">
        <v>114</v>
      </c>
      <c r="AN65" s="77" t="s">
        <v>110</v>
      </c>
      <c r="AO65" s="77" t="s">
        <v>115</v>
      </c>
      <c r="AP65" s="77" t="s">
        <v>122</v>
      </c>
      <c r="AQ65" s="76"/>
      <c r="AR65" s="76"/>
      <c r="AS65" s="25">
        <v>5</v>
      </c>
      <c r="AT65" s="123">
        <f t="shared" si="35"/>
        <v>4</v>
      </c>
      <c r="AU65" s="123">
        <f t="shared" si="35"/>
        <v>3</v>
      </c>
      <c r="AV65" s="123">
        <f t="shared" si="35"/>
        <v>1</v>
      </c>
      <c r="AW65" s="123">
        <f t="shared" si="35"/>
        <v>4</v>
      </c>
      <c r="AX65" s="123">
        <f t="shared" si="35"/>
        <v>3</v>
      </c>
      <c r="AY65" s="123">
        <f t="shared" si="35"/>
        <v>2</v>
      </c>
      <c r="AZ65" s="123">
        <f t="shared" si="35"/>
        <v>2</v>
      </c>
      <c r="BA65" s="123">
        <f t="shared" si="35"/>
        <v>2</v>
      </c>
      <c r="BB65" s="123">
        <f t="shared" si="35"/>
        <v>2</v>
      </c>
      <c r="BC65" s="123">
        <f t="shared" si="35"/>
        <v>3</v>
      </c>
      <c r="BD65" s="123">
        <f t="shared" si="35"/>
        <v>0</v>
      </c>
      <c r="BE65" s="124">
        <f t="shared" si="36"/>
        <v>26</v>
      </c>
      <c r="BF65" s="123">
        <f t="shared" si="37"/>
        <v>3</v>
      </c>
      <c r="BG65" s="123">
        <f t="shared" si="37"/>
        <v>0</v>
      </c>
      <c r="BH65" s="123">
        <f t="shared" si="37"/>
        <v>0</v>
      </c>
      <c r="BI65" s="123">
        <f t="shared" si="37"/>
        <v>0</v>
      </c>
      <c r="BJ65" s="123">
        <f t="shared" si="37"/>
        <v>0</v>
      </c>
      <c r="BK65" s="123">
        <f t="shared" si="37"/>
        <v>0</v>
      </c>
      <c r="BL65" s="123">
        <f t="shared" si="37"/>
        <v>0</v>
      </c>
      <c r="BM65" s="123">
        <f t="shared" si="37"/>
        <v>0</v>
      </c>
      <c r="BN65" s="90">
        <f t="shared" si="38"/>
        <v>3</v>
      </c>
      <c r="BO65" s="123">
        <f t="shared" si="39"/>
        <v>0</v>
      </c>
      <c r="BP65" s="123">
        <f t="shared" si="34"/>
        <v>0</v>
      </c>
      <c r="BQ65" s="123">
        <f t="shared" si="34"/>
        <v>0</v>
      </c>
      <c r="BR65" s="142">
        <f t="shared" si="34"/>
        <v>0</v>
      </c>
      <c r="BS65" s="143">
        <f t="shared" si="40"/>
        <v>3</v>
      </c>
      <c r="BT65" s="7">
        <f t="shared" si="41"/>
        <v>29</v>
      </c>
    </row>
    <row r="66" spans="2:72">
      <c r="B66" s="202"/>
      <c r="C66" s="183">
        <v>35</v>
      </c>
      <c r="D66" s="51"/>
      <c r="E66" s="77" t="s">
        <v>110</v>
      </c>
      <c r="F66" s="161" t="s">
        <v>123</v>
      </c>
      <c r="G66" s="77" t="s">
        <v>123</v>
      </c>
      <c r="H66" s="77" t="s">
        <v>116</v>
      </c>
      <c r="I66" s="77" t="s">
        <v>114</v>
      </c>
      <c r="J66" s="186" t="s">
        <v>5</v>
      </c>
      <c r="K66" s="76"/>
      <c r="L66" s="76"/>
      <c r="M66" s="77" t="s">
        <v>110</v>
      </c>
      <c r="N66" s="77" t="s">
        <v>103</v>
      </c>
      <c r="O66" s="77" t="s">
        <v>115</v>
      </c>
      <c r="P66" s="77" t="s">
        <v>114</v>
      </c>
      <c r="Q66" s="77" t="s">
        <v>117</v>
      </c>
      <c r="R66" s="77" t="s">
        <v>122</v>
      </c>
      <c r="S66" s="76"/>
      <c r="T66" s="76"/>
      <c r="U66" s="77" t="s">
        <v>116</v>
      </c>
      <c r="V66" s="77" t="s">
        <v>117</v>
      </c>
      <c r="W66" s="77" t="s">
        <v>130</v>
      </c>
      <c r="X66" s="77" t="s">
        <v>118</v>
      </c>
      <c r="Y66" s="77" t="s">
        <v>113</v>
      </c>
      <c r="Z66" s="77"/>
      <c r="AA66" s="76"/>
      <c r="AB66" s="76"/>
      <c r="AC66" s="77" t="s">
        <v>110</v>
      </c>
      <c r="AD66" s="161" t="s">
        <v>114</v>
      </c>
      <c r="AE66" s="77" t="s">
        <v>19</v>
      </c>
      <c r="AF66" s="77" t="s">
        <v>116</v>
      </c>
      <c r="AG66" s="77" t="s">
        <v>117</v>
      </c>
      <c r="AH66" s="161" t="s">
        <v>118</v>
      </c>
      <c r="AI66" s="76"/>
      <c r="AJ66" s="76"/>
      <c r="AK66" s="77" t="s">
        <v>110</v>
      </c>
      <c r="AL66" s="77" t="s">
        <v>130</v>
      </c>
      <c r="AM66" s="77" t="s">
        <v>114</v>
      </c>
      <c r="AN66" s="77" t="s">
        <v>110</v>
      </c>
      <c r="AO66" s="77" t="s">
        <v>115</v>
      </c>
      <c r="AP66" s="77" t="s">
        <v>122</v>
      </c>
      <c r="AQ66" s="76"/>
      <c r="AR66" s="76"/>
      <c r="AS66" s="25">
        <v>5</v>
      </c>
      <c r="AT66" s="123">
        <f t="shared" si="35"/>
        <v>6</v>
      </c>
      <c r="AU66" s="123">
        <f t="shared" si="35"/>
        <v>2</v>
      </c>
      <c r="AV66" s="123">
        <f t="shared" si="35"/>
        <v>1</v>
      </c>
      <c r="AW66" s="123">
        <f t="shared" si="35"/>
        <v>4</v>
      </c>
      <c r="AX66" s="123">
        <f t="shared" si="35"/>
        <v>3</v>
      </c>
      <c r="AY66" s="123">
        <f t="shared" si="35"/>
        <v>2</v>
      </c>
      <c r="AZ66" s="123">
        <f t="shared" si="35"/>
        <v>3</v>
      </c>
      <c r="BA66" s="123">
        <f t="shared" si="35"/>
        <v>2</v>
      </c>
      <c r="BB66" s="123">
        <f t="shared" si="35"/>
        <v>2</v>
      </c>
      <c r="BC66" s="123">
        <f t="shared" si="35"/>
        <v>3</v>
      </c>
      <c r="BD66" s="123">
        <f t="shared" si="35"/>
        <v>0</v>
      </c>
      <c r="BE66" s="124">
        <f t="shared" si="36"/>
        <v>28</v>
      </c>
      <c r="BF66" s="123">
        <f t="shared" si="37"/>
        <v>1</v>
      </c>
      <c r="BG66" s="123">
        <f t="shared" si="37"/>
        <v>0</v>
      </c>
      <c r="BH66" s="123">
        <f t="shared" si="37"/>
        <v>0</v>
      </c>
      <c r="BI66" s="123">
        <f t="shared" si="37"/>
        <v>0</v>
      </c>
      <c r="BJ66" s="123">
        <f t="shared" si="37"/>
        <v>0</v>
      </c>
      <c r="BK66" s="123">
        <f t="shared" si="37"/>
        <v>0</v>
      </c>
      <c r="BL66" s="123">
        <f t="shared" si="37"/>
        <v>0</v>
      </c>
      <c r="BM66" s="123">
        <f t="shared" si="37"/>
        <v>0</v>
      </c>
      <c r="BN66" s="90">
        <f t="shared" si="38"/>
        <v>1</v>
      </c>
      <c r="BO66" s="123">
        <f t="shared" si="39"/>
        <v>0</v>
      </c>
      <c r="BP66" s="123">
        <f t="shared" si="34"/>
        <v>0</v>
      </c>
      <c r="BQ66" s="123">
        <f t="shared" si="34"/>
        <v>0</v>
      </c>
      <c r="BR66" s="142">
        <f t="shared" si="34"/>
        <v>0</v>
      </c>
      <c r="BS66" s="143">
        <f t="shared" si="40"/>
        <v>1</v>
      </c>
      <c r="BT66" s="7">
        <f t="shared" si="41"/>
        <v>29</v>
      </c>
    </row>
    <row r="67" spans="2:72">
      <c r="B67" s="202"/>
      <c r="C67" s="183">
        <v>36</v>
      </c>
      <c r="D67" s="51"/>
      <c r="E67" s="77" t="s">
        <v>110</v>
      </c>
      <c r="F67" s="161" t="s">
        <v>123</v>
      </c>
      <c r="G67" s="77" t="s">
        <v>123</v>
      </c>
      <c r="H67" s="77" t="s">
        <v>116</v>
      </c>
      <c r="I67" s="77" t="s">
        <v>114</v>
      </c>
      <c r="J67" s="186" t="s">
        <v>5</v>
      </c>
      <c r="K67" s="76"/>
      <c r="L67" s="76"/>
      <c r="M67" s="77" t="s">
        <v>110</v>
      </c>
      <c r="N67" s="77" t="s">
        <v>103</v>
      </c>
      <c r="O67" s="77" t="s">
        <v>115</v>
      </c>
      <c r="P67" s="77" t="s">
        <v>114</v>
      </c>
      <c r="Q67" s="77" t="s">
        <v>117</v>
      </c>
      <c r="R67" s="77" t="s">
        <v>122</v>
      </c>
      <c r="S67" s="76"/>
      <c r="T67" s="76"/>
      <c r="U67" s="77" t="s">
        <v>116</v>
      </c>
      <c r="V67" s="77" t="s">
        <v>117</v>
      </c>
      <c r="W67" s="77" t="s">
        <v>130</v>
      </c>
      <c r="X67" s="77" t="s">
        <v>118</v>
      </c>
      <c r="Y67" s="77" t="s">
        <v>113</v>
      </c>
      <c r="Z67" s="77"/>
      <c r="AA67" s="76"/>
      <c r="AB67" s="76"/>
      <c r="AC67" s="77" t="s">
        <v>103</v>
      </c>
      <c r="AD67" s="161" t="s">
        <v>114</v>
      </c>
      <c r="AE67" s="77" t="s">
        <v>19</v>
      </c>
      <c r="AF67" s="186" t="s">
        <v>5</v>
      </c>
      <c r="AG67" s="77" t="s">
        <v>117</v>
      </c>
      <c r="AH67" s="161" t="s">
        <v>118</v>
      </c>
      <c r="AI67" s="76"/>
      <c r="AJ67" s="76"/>
      <c r="AK67" s="77" t="s">
        <v>110</v>
      </c>
      <c r="AL67" s="77" t="s">
        <v>130</v>
      </c>
      <c r="AM67" s="77" t="s">
        <v>114</v>
      </c>
      <c r="AN67" s="77" t="s">
        <v>110</v>
      </c>
      <c r="AO67" s="77" t="s">
        <v>115</v>
      </c>
      <c r="AP67" s="77" t="s">
        <v>122</v>
      </c>
      <c r="AQ67" s="76"/>
      <c r="AR67" s="76"/>
      <c r="AS67" s="25">
        <v>5</v>
      </c>
      <c r="AT67" s="123">
        <f t="shared" si="35"/>
        <v>6</v>
      </c>
      <c r="AU67" s="123">
        <f t="shared" si="35"/>
        <v>2</v>
      </c>
      <c r="AV67" s="123">
        <f t="shared" si="35"/>
        <v>1</v>
      </c>
      <c r="AW67" s="123">
        <f t="shared" si="35"/>
        <v>4</v>
      </c>
      <c r="AX67" s="123">
        <f t="shared" si="35"/>
        <v>3</v>
      </c>
      <c r="AY67" s="123">
        <f t="shared" si="35"/>
        <v>2</v>
      </c>
      <c r="AZ67" s="123">
        <f t="shared" si="35"/>
        <v>3</v>
      </c>
      <c r="BA67" s="123">
        <f t="shared" si="35"/>
        <v>2</v>
      </c>
      <c r="BB67" s="123">
        <f t="shared" si="35"/>
        <v>2</v>
      </c>
      <c r="BC67" s="123">
        <f t="shared" si="35"/>
        <v>2</v>
      </c>
      <c r="BD67" s="123">
        <f t="shared" si="35"/>
        <v>0</v>
      </c>
      <c r="BE67" s="124">
        <f t="shared" si="36"/>
        <v>27</v>
      </c>
      <c r="BF67" s="123">
        <f t="shared" si="37"/>
        <v>2</v>
      </c>
      <c r="BG67" s="123">
        <f t="shared" si="37"/>
        <v>0</v>
      </c>
      <c r="BH67" s="123">
        <f t="shared" si="37"/>
        <v>0</v>
      </c>
      <c r="BI67" s="123">
        <f t="shared" si="37"/>
        <v>0</v>
      </c>
      <c r="BJ67" s="123">
        <f t="shared" si="37"/>
        <v>0</v>
      </c>
      <c r="BK67" s="123">
        <f t="shared" si="37"/>
        <v>0</v>
      </c>
      <c r="BL67" s="123">
        <f t="shared" si="37"/>
        <v>0</v>
      </c>
      <c r="BM67" s="123">
        <f t="shared" si="37"/>
        <v>0</v>
      </c>
      <c r="BN67" s="90">
        <f t="shared" si="38"/>
        <v>2</v>
      </c>
      <c r="BO67" s="123">
        <f t="shared" si="39"/>
        <v>0</v>
      </c>
      <c r="BP67" s="123">
        <f t="shared" si="34"/>
        <v>0</v>
      </c>
      <c r="BQ67" s="123">
        <f t="shared" si="34"/>
        <v>0</v>
      </c>
      <c r="BR67" s="142">
        <f t="shared" si="34"/>
        <v>0</v>
      </c>
      <c r="BS67" s="143">
        <f t="shared" si="40"/>
        <v>2</v>
      </c>
      <c r="BT67" s="7">
        <f t="shared" si="41"/>
        <v>29</v>
      </c>
    </row>
    <row r="68" spans="2:72">
      <c r="B68" s="202"/>
      <c r="C68" s="183">
        <v>37</v>
      </c>
      <c r="D68" s="51"/>
      <c r="E68" s="77" t="s">
        <v>110</v>
      </c>
      <c r="F68" s="161" t="s">
        <v>123</v>
      </c>
      <c r="G68" s="77" t="s">
        <v>123</v>
      </c>
      <c r="H68" s="77" t="s">
        <v>116</v>
      </c>
      <c r="I68" s="77" t="s">
        <v>114</v>
      </c>
      <c r="J68" s="186" t="s">
        <v>5</v>
      </c>
      <c r="K68" s="76"/>
      <c r="L68" s="76"/>
      <c r="M68" s="77" t="s">
        <v>110</v>
      </c>
      <c r="N68" s="77" t="s">
        <v>103</v>
      </c>
      <c r="O68" s="77" t="s">
        <v>115</v>
      </c>
      <c r="P68" s="77" t="s">
        <v>114</v>
      </c>
      <c r="Q68" s="77" t="s">
        <v>117</v>
      </c>
      <c r="R68" s="77" t="s">
        <v>122</v>
      </c>
      <c r="S68" s="76"/>
      <c r="T68" s="76"/>
      <c r="U68" s="77" t="s">
        <v>116</v>
      </c>
      <c r="V68" s="77" t="s">
        <v>117</v>
      </c>
      <c r="W68" s="77" t="s">
        <v>130</v>
      </c>
      <c r="X68" s="77" t="s">
        <v>118</v>
      </c>
      <c r="Y68" s="77" t="s">
        <v>113</v>
      </c>
      <c r="Z68" s="77"/>
      <c r="AA68" s="76"/>
      <c r="AB68" s="76"/>
      <c r="AC68" s="77" t="s">
        <v>19</v>
      </c>
      <c r="AD68" s="161" t="s">
        <v>114</v>
      </c>
      <c r="AE68" s="77" t="s">
        <v>19</v>
      </c>
      <c r="AF68" s="186" t="s">
        <v>5</v>
      </c>
      <c r="AG68" s="77" t="s">
        <v>117</v>
      </c>
      <c r="AH68" s="161" t="s">
        <v>118</v>
      </c>
      <c r="AI68" s="76"/>
      <c r="AJ68" s="76"/>
      <c r="AK68" s="77" t="s">
        <v>110</v>
      </c>
      <c r="AL68" s="77" t="s">
        <v>130</v>
      </c>
      <c r="AM68" s="77" t="s">
        <v>114</v>
      </c>
      <c r="AN68" s="77" t="s">
        <v>110</v>
      </c>
      <c r="AO68" s="77" t="s">
        <v>115</v>
      </c>
      <c r="AP68" s="77" t="s">
        <v>19</v>
      </c>
      <c r="AQ68" s="76"/>
      <c r="AR68" s="76"/>
      <c r="AS68" s="25">
        <v>5</v>
      </c>
      <c r="AT68" s="123">
        <f t="shared" si="35"/>
        <v>5</v>
      </c>
      <c r="AU68" s="123">
        <f t="shared" si="35"/>
        <v>2</v>
      </c>
      <c r="AV68" s="123">
        <f t="shared" si="35"/>
        <v>1</v>
      </c>
      <c r="AW68" s="123">
        <f t="shared" si="35"/>
        <v>4</v>
      </c>
      <c r="AX68" s="123">
        <f t="shared" si="35"/>
        <v>3</v>
      </c>
      <c r="AY68" s="123">
        <f t="shared" si="35"/>
        <v>1</v>
      </c>
      <c r="AZ68" s="123">
        <f t="shared" si="35"/>
        <v>5</v>
      </c>
      <c r="BA68" s="123">
        <f t="shared" si="35"/>
        <v>2</v>
      </c>
      <c r="BB68" s="123">
        <f t="shared" si="35"/>
        <v>2</v>
      </c>
      <c r="BC68" s="123">
        <f t="shared" si="35"/>
        <v>2</v>
      </c>
      <c r="BD68" s="123">
        <f t="shared" si="35"/>
        <v>0</v>
      </c>
      <c r="BE68" s="124">
        <f t="shared" si="36"/>
        <v>27</v>
      </c>
      <c r="BF68" s="123">
        <f t="shared" si="37"/>
        <v>2</v>
      </c>
      <c r="BG68" s="123">
        <f t="shared" si="37"/>
        <v>0</v>
      </c>
      <c r="BH68" s="123">
        <f t="shared" si="37"/>
        <v>0</v>
      </c>
      <c r="BI68" s="123">
        <f t="shared" si="37"/>
        <v>0</v>
      </c>
      <c r="BJ68" s="123">
        <f t="shared" si="37"/>
        <v>0</v>
      </c>
      <c r="BK68" s="123">
        <f t="shared" si="37"/>
        <v>0</v>
      </c>
      <c r="BL68" s="123">
        <f t="shared" si="37"/>
        <v>0</v>
      </c>
      <c r="BM68" s="123">
        <f t="shared" si="37"/>
        <v>0</v>
      </c>
      <c r="BN68" s="90">
        <f t="shared" si="38"/>
        <v>2</v>
      </c>
      <c r="BO68" s="123">
        <f t="shared" si="39"/>
        <v>0</v>
      </c>
      <c r="BP68" s="123">
        <f t="shared" si="39"/>
        <v>0</v>
      </c>
      <c r="BQ68" s="123">
        <f t="shared" si="39"/>
        <v>0</v>
      </c>
      <c r="BR68" s="142">
        <f t="shared" si="39"/>
        <v>0</v>
      </c>
      <c r="BS68" s="143">
        <f t="shared" si="40"/>
        <v>2</v>
      </c>
      <c r="BT68" s="7">
        <f t="shared" si="41"/>
        <v>29</v>
      </c>
    </row>
    <row r="69" spans="2:72">
      <c r="B69" s="203"/>
      <c r="C69" s="183">
        <v>38</v>
      </c>
      <c r="D69" s="51"/>
      <c r="E69" s="77" t="s">
        <v>110</v>
      </c>
      <c r="F69" s="161" t="s">
        <v>123</v>
      </c>
      <c r="G69" s="77" t="s">
        <v>123</v>
      </c>
      <c r="H69" s="77" t="s">
        <v>116</v>
      </c>
      <c r="I69" s="77" t="s">
        <v>114</v>
      </c>
      <c r="J69" s="186" t="s">
        <v>5</v>
      </c>
      <c r="K69" s="76"/>
      <c r="L69" s="76"/>
      <c r="M69" s="77" t="s">
        <v>110</v>
      </c>
      <c r="N69" s="77" t="s">
        <v>103</v>
      </c>
      <c r="O69" s="77" t="s">
        <v>115</v>
      </c>
      <c r="P69" s="77" t="s">
        <v>114</v>
      </c>
      <c r="Q69" s="77" t="s">
        <v>117</v>
      </c>
      <c r="R69" s="77" t="s">
        <v>122</v>
      </c>
      <c r="S69" s="76"/>
      <c r="T69" s="76"/>
      <c r="U69" s="186" t="s">
        <v>5</v>
      </c>
      <c r="V69" s="11" t="s">
        <v>45</v>
      </c>
      <c r="W69" s="77" t="s">
        <v>130</v>
      </c>
      <c r="X69" s="77" t="s">
        <v>118</v>
      </c>
      <c r="Y69" s="77" t="s">
        <v>113</v>
      </c>
      <c r="Z69" s="77"/>
      <c r="AA69" s="76"/>
      <c r="AB69" s="76"/>
      <c r="AC69" s="77"/>
      <c r="AD69" s="161"/>
      <c r="AE69" s="77"/>
      <c r="AF69" s="77"/>
      <c r="AG69" s="77"/>
      <c r="AH69" s="161"/>
      <c r="AI69" s="76"/>
      <c r="AJ69" s="76"/>
      <c r="AK69" s="77"/>
      <c r="AL69" s="77"/>
      <c r="AM69" s="77"/>
      <c r="AN69" s="77"/>
      <c r="AO69" s="77"/>
      <c r="AP69" s="77"/>
      <c r="AQ69" s="76"/>
      <c r="AR69" s="76"/>
      <c r="AS69" s="25">
        <v>2</v>
      </c>
      <c r="AT69" s="123">
        <f t="shared" si="35"/>
        <v>3</v>
      </c>
      <c r="AU69" s="123">
        <f t="shared" si="35"/>
        <v>1</v>
      </c>
      <c r="AV69" s="123">
        <f t="shared" si="35"/>
        <v>1</v>
      </c>
      <c r="AW69" s="123">
        <f t="shared" si="35"/>
        <v>2</v>
      </c>
      <c r="AX69" s="123">
        <f t="shared" si="35"/>
        <v>1</v>
      </c>
      <c r="AY69" s="123">
        <f t="shared" si="35"/>
        <v>1</v>
      </c>
      <c r="AZ69" s="123">
        <f t="shared" si="35"/>
        <v>1</v>
      </c>
      <c r="BA69" s="123">
        <f t="shared" si="35"/>
        <v>1</v>
      </c>
      <c r="BB69" s="123">
        <f t="shared" si="35"/>
        <v>2</v>
      </c>
      <c r="BC69" s="123">
        <f t="shared" si="35"/>
        <v>1</v>
      </c>
      <c r="BD69" s="123">
        <f t="shared" si="35"/>
        <v>0</v>
      </c>
      <c r="BE69" s="124">
        <f t="shared" si="36"/>
        <v>14</v>
      </c>
      <c r="BF69" s="123">
        <f t="shared" si="37"/>
        <v>2</v>
      </c>
      <c r="BG69" s="123">
        <f t="shared" si="37"/>
        <v>0</v>
      </c>
      <c r="BH69" s="123">
        <f t="shared" si="37"/>
        <v>0</v>
      </c>
      <c r="BI69" s="123">
        <f t="shared" si="37"/>
        <v>0</v>
      </c>
      <c r="BJ69" s="123">
        <f t="shared" si="37"/>
        <v>0</v>
      </c>
      <c r="BK69" s="123">
        <f t="shared" si="37"/>
        <v>0</v>
      </c>
      <c r="BL69" s="123">
        <f t="shared" si="37"/>
        <v>0</v>
      </c>
      <c r="BM69" s="123">
        <f t="shared" si="37"/>
        <v>0</v>
      </c>
      <c r="BN69" s="90">
        <f t="shared" si="38"/>
        <v>2</v>
      </c>
      <c r="BO69" s="123">
        <f t="shared" si="39"/>
        <v>0</v>
      </c>
      <c r="BP69" s="123">
        <f t="shared" si="39"/>
        <v>1</v>
      </c>
      <c r="BQ69" s="123">
        <f t="shared" si="39"/>
        <v>0</v>
      </c>
      <c r="BR69" s="142">
        <f t="shared" si="39"/>
        <v>0</v>
      </c>
      <c r="BS69" s="143">
        <f t="shared" si="40"/>
        <v>3</v>
      </c>
      <c r="BT69" s="7">
        <f t="shared" si="41"/>
        <v>17</v>
      </c>
    </row>
    <row r="70" spans="2:72" s="1" customFormat="1">
      <c r="B70" s="183">
        <v>1</v>
      </c>
      <c r="C70" s="183">
        <v>39</v>
      </c>
      <c r="D70" s="51"/>
      <c r="E70" s="77"/>
      <c r="F70" s="161"/>
      <c r="G70" s="77"/>
      <c r="H70" s="77"/>
      <c r="I70" s="77"/>
      <c r="J70" s="77"/>
      <c r="K70" s="76"/>
      <c r="L70" s="76"/>
      <c r="M70" s="77"/>
      <c r="N70" s="161"/>
      <c r="O70" s="77"/>
      <c r="P70" s="77"/>
      <c r="Q70" s="77"/>
      <c r="R70" s="77"/>
      <c r="S70" s="76"/>
      <c r="T70" s="76"/>
      <c r="U70" s="77"/>
      <c r="V70" s="77"/>
      <c r="W70" s="77"/>
      <c r="X70" s="77"/>
      <c r="Y70" s="77"/>
      <c r="Z70" s="77"/>
      <c r="AA70" s="76"/>
      <c r="AB70" s="76"/>
      <c r="AC70" s="186" t="s">
        <v>5</v>
      </c>
      <c r="AD70" s="186" t="s">
        <v>5</v>
      </c>
      <c r="AE70" s="11" t="s">
        <v>45</v>
      </c>
      <c r="AF70" s="77" t="s">
        <v>116</v>
      </c>
      <c r="AG70" s="77" t="s">
        <v>117</v>
      </c>
      <c r="AH70" s="161"/>
      <c r="AI70" s="76"/>
      <c r="AJ70" s="76"/>
      <c r="AK70" s="77" t="s">
        <v>110</v>
      </c>
      <c r="AL70" s="77" t="s">
        <v>130</v>
      </c>
      <c r="AM70" s="77" t="s">
        <v>114</v>
      </c>
      <c r="AN70" s="77" t="s">
        <v>110</v>
      </c>
      <c r="AO70" s="77" t="s">
        <v>115</v>
      </c>
      <c r="AP70" s="77" t="s">
        <v>19</v>
      </c>
      <c r="AQ70" s="76"/>
      <c r="AR70" s="76"/>
      <c r="AS70" s="25">
        <v>3</v>
      </c>
      <c r="AT70" s="123">
        <f t="shared" si="35"/>
        <v>2</v>
      </c>
      <c r="AU70" s="123">
        <f t="shared" si="35"/>
        <v>1</v>
      </c>
      <c r="AV70" s="123">
        <f t="shared" si="35"/>
        <v>0</v>
      </c>
      <c r="AW70" s="123">
        <f t="shared" si="35"/>
        <v>1</v>
      </c>
      <c r="AX70" s="123">
        <f t="shared" si="35"/>
        <v>1</v>
      </c>
      <c r="AY70" s="123">
        <f t="shared" si="35"/>
        <v>0</v>
      </c>
      <c r="AZ70" s="123">
        <f t="shared" si="35"/>
        <v>2</v>
      </c>
      <c r="BA70" s="123">
        <f t="shared" si="35"/>
        <v>0</v>
      </c>
      <c r="BB70" s="123">
        <f t="shared" si="35"/>
        <v>0</v>
      </c>
      <c r="BC70" s="123">
        <f t="shared" si="35"/>
        <v>1</v>
      </c>
      <c r="BD70" s="123">
        <f t="shared" si="35"/>
        <v>0</v>
      </c>
      <c r="BE70" s="124">
        <f>SUM(AT70:BD70)</f>
        <v>8</v>
      </c>
      <c r="BF70" s="123">
        <f t="shared" si="37"/>
        <v>2</v>
      </c>
      <c r="BG70" s="123">
        <f t="shared" si="37"/>
        <v>0</v>
      </c>
      <c r="BH70" s="123">
        <f t="shared" si="37"/>
        <v>0</v>
      </c>
      <c r="BI70" s="123">
        <f t="shared" si="37"/>
        <v>0</v>
      </c>
      <c r="BJ70" s="123">
        <f t="shared" si="37"/>
        <v>0</v>
      </c>
      <c r="BK70" s="123">
        <f t="shared" si="37"/>
        <v>0</v>
      </c>
      <c r="BL70" s="123">
        <f t="shared" si="37"/>
        <v>0</v>
      </c>
      <c r="BM70" s="123">
        <f t="shared" si="37"/>
        <v>0</v>
      </c>
      <c r="BN70" s="90">
        <f>SUM(BF70:BM70)</f>
        <v>2</v>
      </c>
      <c r="BO70" s="123">
        <f t="shared" si="39"/>
        <v>0</v>
      </c>
      <c r="BP70" s="123">
        <f t="shared" si="39"/>
        <v>1</v>
      </c>
      <c r="BQ70" s="123">
        <f t="shared" si="39"/>
        <v>0</v>
      </c>
      <c r="BR70" s="142">
        <f t="shared" si="39"/>
        <v>0</v>
      </c>
      <c r="BS70" s="143">
        <f t="shared" si="40"/>
        <v>3</v>
      </c>
      <c r="BT70" s="80">
        <f>SUM(BE70,BS70)</f>
        <v>11</v>
      </c>
    </row>
    <row r="71" spans="2:72" s="1" customFormat="1">
      <c r="B71" s="195">
        <v>2</v>
      </c>
      <c r="C71" s="183">
        <v>40</v>
      </c>
      <c r="D71" s="51"/>
      <c r="E71" s="77" t="s">
        <v>110</v>
      </c>
      <c r="F71" s="161" t="s">
        <v>123</v>
      </c>
      <c r="G71" s="77" t="s">
        <v>123</v>
      </c>
      <c r="H71" s="77" t="s">
        <v>116</v>
      </c>
      <c r="I71" s="77" t="s">
        <v>114</v>
      </c>
      <c r="J71" s="77" t="s">
        <v>110</v>
      </c>
      <c r="K71" s="76"/>
      <c r="L71" s="76"/>
      <c r="M71" s="305" t="s">
        <v>43</v>
      </c>
      <c r="N71" s="305" t="s">
        <v>43</v>
      </c>
      <c r="O71" s="77" t="s">
        <v>115</v>
      </c>
      <c r="P71" s="77" t="s">
        <v>114</v>
      </c>
      <c r="Q71" s="77" t="s">
        <v>117</v>
      </c>
      <c r="R71" s="77" t="s">
        <v>122</v>
      </c>
      <c r="S71" s="76"/>
      <c r="T71" s="76"/>
      <c r="U71" s="77" t="s">
        <v>116</v>
      </c>
      <c r="V71" s="77" t="s">
        <v>117</v>
      </c>
      <c r="W71" s="77" t="s">
        <v>130</v>
      </c>
      <c r="X71" s="77" t="s">
        <v>118</v>
      </c>
      <c r="Y71" s="77" t="s">
        <v>113</v>
      </c>
      <c r="Z71" s="77"/>
      <c r="AA71" s="76"/>
      <c r="AB71" s="76"/>
      <c r="AC71" s="77" t="s">
        <v>19</v>
      </c>
      <c r="AD71" s="161" t="s">
        <v>114</v>
      </c>
      <c r="AE71" s="77" t="s">
        <v>19</v>
      </c>
      <c r="AF71" s="186" t="s">
        <v>5</v>
      </c>
      <c r="AG71" s="77" t="s">
        <v>117</v>
      </c>
      <c r="AH71" s="161"/>
      <c r="AI71" s="76"/>
      <c r="AJ71" s="76"/>
      <c r="AK71" s="77" t="s">
        <v>110</v>
      </c>
      <c r="AL71" s="77" t="s">
        <v>130</v>
      </c>
      <c r="AM71" s="77" t="s">
        <v>114</v>
      </c>
      <c r="AN71" s="77" t="s">
        <v>110</v>
      </c>
      <c r="AO71" s="77" t="s">
        <v>115</v>
      </c>
      <c r="AP71" s="77" t="s">
        <v>19</v>
      </c>
      <c r="AQ71" s="76"/>
      <c r="AR71" s="76"/>
      <c r="AS71" s="25">
        <v>4</v>
      </c>
      <c r="AT71" s="123">
        <f t="shared" si="35"/>
        <v>4</v>
      </c>
      <c r="AU71" s="123">
        <f t="shared" si="35"/>
        <v>2</v>
      </c>
      <c r="AV71" s="123">
        <f t="shared" si="35"/>
        <v>1</v>
      </c>
      <c r="AW71" s="123">
        <f t="shared" si="35"/>
        <v>4</v>
      </c>
      <c r="AX71" s="123">
        <f t="shared" si="35"/>
        <v>3</v>
      </c>
      <c r="AY71" s="123">
        <f t="shared" si="35"/>
        <v>1</v>
      </c>
      <c r="AZ71" s="123">
        <f t="shared" si="35"/>
        <v>5</v>
      </c>
      <c r="BA71" s="123">
        <f t="shared" si="35"/>
        <v>1</v>
      </c>
      <c r="BB71" s="123">
        <f t="shared" si="35"/>
        <v>2</v>
      </c>
      <c r="BC71" s="123">
        <f t="shared" si="35"/>
        <v>2</v>
      </c>
      <c r="BD71" s="123">
        <f t="shared" si="35"/>
        <v>0</v>
      </c>
      <c r="BE71" s="124">
        <f>SUM(AT71:BD71)</f>
        <v>25</v>
      </c>
      <c r="BF71" s="123">
        <f t="shared" si="37"/>
        <v>1</v>
      </c>
      <c r="BG71" s="123">
        <f t="shared" si="37"/>
        <v>0</v>
      </c>
      <c r="BH71" s="123">
        <f t="shared" si="37"/>
        <v>0</v>
      </c>
      <c r="BI71" s="123">
        <f t="shared" si="37"/>
        <v>0</v>
      </c>
      <c r="BJ71" s="123">
        <f t="shared" si="37"/>
        <v>0</v>
      </c>
      <c r="BK71" s="123">
        <f t="shared" si="37"/>
        <v>0</v>
      </c>
      <c r="BL71" s="123">
        <f t="shared" si="37"/>
        <v>0</v>
      </c>
      <c r="BM71" s="123">
        <f t="shared" si="37"/>
        <v>0</v>
      </c>
      <c r="BN71" s="90">
        <f>SUM(BF71:BM71)</f>
        <v>1</v>
      </c>
      <c r="BO71" s="123">
        <f t="shared" si="39"/>
        <v>0</v>
      </c>
      <c r="BP71" s="123">
        <f t="shared" si="39"/>
        <v>0</v>
      </c>
      <c r="BQ71" s="123">
        <f t="shared" si="39"/>
        <v>2</v>
      </c>
      <c r="BR71" s="142">
        <f t="shared" si="39"/>
        <v>0</v>
      </c>
      <c r="BS71" s="143">
        <f t="shared" si="40"/>
        <v>3</v>
      </c>
      <c r="BT71" s="80">
        <f>SUM(BE71,BS71)</f>
        <v>28</v>
      </c>
    </row>
    <row r="72" spans="2:72" s="1" customFormat="1">
      <c r="B72" s="202"/>
      <c r="C72" s="183">
        <v>41</v>
      </c>
      <c r="D72" s="51"/>
      <c r="E72" s="77" t="s">
        <v>110</v>
      </c>
      <c r="F72" s="161" t="s">
        <v>123</v>
      </c>
      <c r="G72" s="77" t="s">
        <v>123</v>
      </c>
      <c r="H72" s="77" t="s">
        <v>116</v>
      </c>
      <c r="I72" s="77" t="s">
        <v>114</v>
      </c>
      <c r="J72" s="77" t="s">
        <v>110</v>
      </c>
      <c r="K72" s="76"/>
      <c r="L72" s="76"/>
      <c r="M72" s="77" t="s">
        <v>110</v>
      </c>
      <c r="N72" s="161" t="s">
        <v>103</v>
      </c>
      <c r="O72" s="77" t="s">
        <v>115</v>
      </c>
      <c r="P72" s="77" t="s">
        <v>114</v>
      </c>
      <c r="Q72" s="77" t="s">
        <v>117</v>
      </c>
      <c r="R72" s="77" t="s">
        <v>122</v>
      </c>
      <c r="S72" s="76"/>
      <c r="T72" s="76"/>
      <c r="U72" s="77" t="s">
        <v>116</v>
      </c>
      <c r="V72" s="77" t="s">
        <v>117</v>
      </c>
      <c r="W72" s="77" t="s">
        <v>130</v>
      </c>
      <c r="X72" s="77" t="s">
        <v>118</v>
      </c>
      <c r="Y72" s="77" t="s">
        <v>20</v>
      </c>
      <c r="Z72" s="77"/>
      <c r="AA72" s="76"/>
      <c r="AB72" s="76"/>
      <c r="AC72" s="77" t="s">
        <v>19</v>
      </c>
      <c r="AD72" s="161" t="s">
        <v>114</v>
      </c>
      <c r="AE72" s="77" t="s">
        <v>19</v>
      </c>
      <c r="AF72" s="186" t="s">
        <v>5</v>
      </c>
      <c r="AG72" s="77" t="s">
        <v>117</v>
      </c>
      <c r="AH72" s="161"/>
      <c r="AI72" s="76"/>
      <c r="AJ72" s="76"/>
      <c r="AK72" s="77" t="s">
        <v>110</v>
      </c>
      <c r="AL72" s="77" t="s">
        <v>130</v>
      </c>
      <c r="AM72" s="77" t="s">
        <v>114</v>
      </c>
      <c r="AN72" s="77" t="s">
        <v>110</v>
      </c>
      <c r="AO72" s="77" t="s">
        <v>115</v>
      </c>
      <c r="AP72" s="77" t="s">
        <v>19</v>
      </c>
      <c r="AQ72" s="76"/>
      <c r="AR72" s="76"/>
      <c r="AS72" s="25">
        <v>5</v>
      </c>
      <c r="AT72" s="123">
        <f t="shared" si="35"/>
        <v>6</v>
      </c>
      <c r="AU72" s="123">
        <f t="shared" si="35"/>
        <v>2</v>
      </c>
      <c r="AV72" s="123">
        <f t="shared" si="35"/>
        <v>0</v>
      </c>
      <c r="AW72" s="123">
        <f t="shared" si="35"/>
        <v>4</v>
      </c>
      <c r="AX72" s="123">
        <f t="shared" si="35"/>
        <v>3</v>
      </c>
      <c r="AY72" s="123">
        <f t="shared" si="35"/>
        <v>1</v>
      </c>
      <c r="AZ72" s="123">
        <f t="shared" si="35"/>
        <v>5</v>
      </c>
      <c r="BA72" s="123">
        <f t="shared" si="35"/>
        <v>2</v>
      </c>
      <c r="BB72" s="123">
        <f t="shared" si="35"/>
        <v>2</v>
      </c>
      <c r="BC72" s="123">
        <f t="shared" si="35"/>
        <v>2</v>
      </c>
      <c r="BD72" s="123">
        <f t="shared" si="35"/>
        <v>0</v>
      </c>
      <c r="BE72" s="124">
        <f>SUM(AT72:BD72)</f>
        <v>27</v>
      </c>
      <c r="BF72" s="123">
        <f t="shared" si="37"/>
        <v>1</v>
      </c>
      <c r="BG72" s="123">
        <f t="shared" si="37"/>
        <v>0</v>
      </c>
      <c r="BH72" s="123">
        <f t="shared" si="37"/>
        <v>0</v>
      </c>
      <c r="BI72" s="123">
        <f t="shared" si="37"/>
        <v>0</v>
      </c>
      <c r="BJ72" s="123">
        <f t="shared" si="37"/>
        <v>0</v>
      </c>
      <c r="BK72" s="123">
        <f t="shared" si="37"/>
        <v>0</v>
      </c>
      <c r="BL72" s="123">
        <f t="shared" si="37"/>
        <v>0</v>
      </c>
      <c r="BM72" s="123">
        <f t="shared" si="37"/>
        <v>0</v>
      </c>
      <c r="BN72" s="90">
        <f>SUM(BF72:BM72)</f>
        <v>1</v>
      </c>
      <c r="BO72" s="123">
        <f t="shared" si="39"/>
        <v>0</v>
      </c>
      <c r="BP72" s="123">
        <f t="shared" si="39"/>
        <v>0</v>
      </c>
      <c r="BQ72" s="123">
        <f t="shared" si="39"/>
        <v>0</v>
      </c>
      <c r="BR72" s="142">
        <f t="shared" si="39"/>
        <v>0</v>
      </c>
      <c r="BS72" s="143">
        <f t="shared" si="40"/>
        <v>1</v>
      </c>
      <c r="BT72" s="80">
        <f>SUM(BE72,BS72)</f>
        <v>28</v>
      </c>
    </row>
    <row r="73" spans="2:72" s="1" customFormat="1">
      <c r="B73" s="203"/>
      <c r="C73" s="183">
        <v>42</v>
      </c>
      <c r="D73" s="51"/>
      <c r="E73" s="77" t="s">
        <v>110</v>
      </c>
      <c r="F73" s="161" t="s">
        <v>123</v>
      </c>
      <c r="G73" s="77" t="s">
        <v>123</v>
      </c>
      <c r="H73" s="77" t="s">
        <v>116</v>
      </c>
      <c r="I73" s="77" t="s">
        <v>114</v>
      </c>
      <c r="J73" s="77" t="s">
        <v>110</v>
      </c>
      <c r="K73" s="76"/>
      <c r="L73" s="76"/>
      <c r="M73" s="77" t="s">
        <v>110</v>
      </c>
      <c r="N73" s="161" t="s">
        <v>103</v>
      </c>
      <c r="O73" s="77" t="s">
        <v>115</v>
      </c>
      <c r="P73" s="77" t="s">
        <v>114</v>
      </c>
      <c r="Q73" s="77" t="s">
        <v>117</v>
      </c>
      <c r="R73" s="77"/>
      <c r="S73" s="76"/>
      <c r="T73" s="76"/>
      <c r="U73" s="77" t="s">
        <v>116</v>
      </c>
      <c r="V73" s="77" t="s">
        <v>117</v>
      </c>
      <c r="W73" s="77" t="s">
        <v>130</v>
      </c>
      <c r="X73" s="77" t="s">
        <v>118</v>
      </c>
      <c r="Y73" s="77" t="s">
        <v>20</v>
      </c>
      <c r="Z73" s="77"/>
      <c r="AA73" s="76"/>
      <c r="AB73" s="76"/>
      <c r="AC73" s="77" t="s">
        <v>20</v>
      </c>
      <c r="AD73" s="161" t="s">
        <v>114</v>
      </c>
      <c r="AE73" s="77" t="s">
        <v>19</v>
      </c>
      <c r="AF73" s="186" t="s">
        <v>5</v>
      </c>
      <c r="AG73" s="77" t="s">
        <v>117</v>
      </c>
      <c r="AH73" s="161"/>
      <c r="AI73" s="76"/>
      <c r="AJ73" s="76"/>
      <c r="AK73" s="186" t="s">
        <v>5</v>
      </c>
      <c r="AL73" s="186" t="s">
        <v>5</v>
      </c>
      <c r="AM73" s="186" t="s">
        <v>5</v>
      </c>
      <c r="AN73" s="11" t="s">
        <v>45</v>
      </c>
      <c r="AO73" s="77"/>
      <c r="AP73" s="77"/>
      <c r="AQ73" s="76"/>
      <c r="AR73" s="76"/>
      <c r="AS73" s="25">
        <v>6</v>
      </c>
      <c r="AT73" s="123">
        <f t="shared" si="35"/>
        <v>4</v>
      </c>
      <c r="AU73" s="123">
        <f t="shared" si="35"/>
        <v>1</v>
      </c>
      <c r="AV73" s="123">
        <f t="shared" si="35"/>
        <v>0</v>
      </c>
      <c r="AW73" s="123">
        <f t="shared" si="35"/>
        <v>3</v>
      </c>
      <c r="AX73" s="123">
        <f t="shared" si="35"/>
        <v>3</v>
      </c>
      <c r="AY73" s="123">
        <f t="shared" si="35"/>
        <v>0</v>
      </c>
      <c r="AZ73" s="123">
        <f t="shared" si="35"/>
        <v>2</v>
      </c>
      <c r="BA73" s="123">
        <f t="shared" si="35"/>
        <v>3</v>
      </c>
      <c r="BB73" s="123">
        <f t="shared" si="35"/>
        <v>2</v>
      </c>
      <c r="BC73" s="123">
        <f t="shared" si="35"/>
        <v>2</v>
      </c>
      <c r="BD73" s="123">
        <f t="shared" si="35"/>
        <v>0</v>
      </c>
      <c r="BE73" s="124">
        <f>SUM(AT73:BD73)</f>
        <v>20</v>
      </c>
      <c r="BF73" s="123">
        <f t="shared" si="37"/>
        <v>4</v>
      </c>
      <c r="BG73" s="123">
        <f t="shared" si="37"/>
        <v>0</v>
      </c>
      <c r="BH73" s="123">
        <f t="shared" si="37"/>
        <v>0</v>
      </c>
      <c r="BI73" s="123">
        <f t="shared" si="37"/>
        <v>0</v>
      </c>
      <c r="BJ73" s="123">
        <f t="shared" si="37"/>
        <v>0</v>
      </c>
      <c r="BK73" s="123">
        <f t="shared" si="37"/>
        <v>0</v>
      </c>
      <c r="BL73" s="123">
        <f t="shared" si="37"/>
        <v>0</v>
      </c>
      <c r="BM73" s="123">
        <f t="shared" si="37"/>
        <v>0</v>
      </c>
      <c r="BN73" s="90">
        <f>SUM(BF73:BM73)</f>
        <v>4</v>
      </c>
      <c r="BO73" s="123">
        <f t="shared" si="39"/>
        <v>0</v>
      </c>
      <c r="BP73" s="123">
        <f t="shared" si="39"/>
        <v>1</v>
      </c>
      <c r="BQ73" s="123">
        <f t="shared" si="39"/>
        <v>0</v>
      </c>
      <c r="BR73" s="142">
        <f t="shared" si="39"/>
        <v>0</v>
      </c>
      <c r="BS73" s="143">
        <f t="shared" si="40"/>
        <v>5</v>
      </c>
      <c r="BT73" s="80">
        <f>SUM(BE73,BS73)</f>
        <v>25</v>
      </c>
    </row>
    <row r="74" spans="2:72">
      <c r="B74" s="6"/>
      <c r="C74" s="183"/>
      <c r="D74" s="51"/>
      <c r="E74" s="77"/>
      <c r="F74" s="161"/>
      <c r="G74" s="77"/>
      <c r="H74" s="77"/>
      <c r="I74" s="77"/>
      <c r="J74" s="77"/>
      <c r="K74" s="76"/>
      <c r="L74" s="76"/>
      <c r="M74" s="77"/>
      <c r="N74" s="161"/>
      <c r="O74" s="77"/>
      <c r="P74" s="77"/>
      <c r="Q74" s="77"/>
      <c r="R74" s="77"/>
      <c r="S74" s="76"/>
      <c r="T74" s="76"/>
      <c r="U74" s="77"/>
      <c r="V74" s="77"/>
      <c r="W74" s="77"/>
      <c r="X74" s="77"/>
      <c r="Y74" s="77"/>
      <c r="Z74" s="77"/>
      <c r="AA74" s="76"/>
      <c r="AB74" s="76"/>
      <c r="AC74" s="77"/>
      <c r="AD74" s="161"/>
      <c r="AE74" s="77"/>
      <c r="AF74" s="77"/>
      <c r="AG74" s="77"/>
      <c r="AH74" s="161"/>
      <c r="AI74" s="76"/>
      <c r="AJ74" s="76"/>
      <c r="AK74" s="77"/>
      <c r="AL74" s="77"/>
      <c r="AM74" s="77"/>
      <c r="AN74" s="77"/>
      <c r="AO74" s="77"/>
      <c r="AP74" s="77"/>
      <c r="AQ74" s="76"/>
      <c r="AR74" s="76"/>
      <c r="AS74" s="25">
        <v>3</v>
      </c>
      <c r="AT74" s="123">
        <f t="shared" si="35"/>
        <v>0</v>
      </c>
      <c r="AU74" s="123">
        <f t="shared" si="35"/>
        <v>0</v>
      </c>
      <c r="AV74" s="123">
        <f t="shared" si="35"/>
        <v>0</v>
      </c>
      <c r="AW74" s="123">
        <f t="shared" si="35"/>
        <v>0</v>
      </c>
      <c r="AX74" s="123">
        <f t="shared" si="35"/>
        <v>0</v>
      </c>
      <c r="AY74" s="123">
        <f t="shared" si="35"/>
        <v>0</v>
      </c>
      <c r="AZ74" s="123">
        <f t="shared" si="35"/>
        <v>0</v>
      </c>
      <c r="BA74" s="123">
        <f t="shared" si="35"/>
        <v>0</v>
      </c>
      <c r="BB74" s="123">
        <f t="shared" si="35"/>
        <v>0</v>
      </c>
      <c r="BC74" s="123">
        <f t="shared" si="35"/>
        <v>0</v>
      </c>
      <c r="BD74" s="123">
        <f t="shared" si="35"/>
        <v>0</v>
      </c>
      <c r="BE74" s="124">
        <f t="shared" si="36"/>
        <v>0</v>
      </c>
      <c r="BF74" s="123">
        <f t="shared" si="37"/>
        <v>0</v>
      </c>
      <c r="BG74" s="123">
        <f t="shared" si="37"/>
        <v>0</v>
      </c>
      <c r="BH74" s="123">
        <f t="shared" si="37"/>
        <v>0</v>
      </c>
      <c r="BI74" s="123">
        <f t="shared" si="37"/>
        <v>0</v>
      </c>
      <c r="BJ74" s="123">
        <f t="shared" si="37"/>
        <v>0</v>
      </c>
      <c r="BK74" s="123">
        <f t="shared" si="37"/>
        <v>0</v>
      </c>
      <c r="BL74" s="123">
        <f t="shared" si="37"/>
        <v>0</v>
      </c>
      <c r="BM74" s="123">
        <f t="shared" si="37"/>
        <v>0</v>
      </c>
      <c r="BN74" s="90">
        <f t="shared" si="38"/>
        <v>0</v>
      </c>
      <c r="BO74" s="123">
        <f t="shared" si="39"/>
        <v>0</v>
      </c>
      <c r="BP74" s="123">
        <f t="shared" si="39"/>
        <v>0</v>
      </c>
      <c r="BQ74" s="123">
        <f t="shared" si="39"/>
        <v>0</v>
      </c>
      <c r="BR74" s="142">
        <f t="shared" si="39"/>
        <v>0</v>
      </c>
      <c r="BS74" s="143">
        <f t="shared" si="40"/>
        <v>0</v>
      </c>
      <c r="BT74" s="7">
        <f t="shared" si="41"/>
        <v>0</v>
      </c>
    </row>
    <row r="75" spans="2:72">
      <c r="B75" s="6"/>
      <c r="C75" s="183"/>
      <c r="D75" s="51"/>
      <c r="E75" s="77"/>
      <c r="F75" s="161"/>
      <c r="G75" s="77"/>
      <c r="H75" s="77"/>
      <c r="I75" s="77"/>
      <c r="J75" s="77"/>
      <c r="K75" s="76"/>
      <c r="L75" s="76"/>
      <c r="M75" s="77"/>
      <c r="N75" s="161"/>
      <c r="O75" s="77"/>
      <c r="P75" s="77"/>
      <c r="Q75" s="77"/>
      <c r="R75" s="77"/>
      <c r="S75" s="76"/>
      <c r="T75" s="76"/>
      <c r="U75" s="77"/>
      <c r="V75" s="77"/>
      <c r="W75" s="77"/>
      <c r="X75" s="77"/>
      <c r="Y75" s="77"/>
      <c r="Z75" s="77"/>
      <c r="AA75" s="76"/>
      <c r="AB75" s="76"/>
      <c r="AC75" s="77"/>
      <c r="AD75" s="161"/>
      <c r="AE75" s="77"/>
      <c r="AF75" s="77"/>
      <c r="AG75" s="77"/>
      <c r="AH75" s="161"/>
      <c r="AI75" s="76"/>
      <c r="AJ75" s="76"/>
      <c r="AK75" s="77"/>
      <c r="AL75" s="77"/>
      <c r="AM75" s="77"/>
      <c r="AN75" s="77"/>
      <c r="AO75" s="77"/>
      <c r="AP75" s="77"/>
      <c r="AQ75" s="76"/>
      <c r="AR75" s="76"/>
      <c r="AS75" s="25">
        <v>5</v>
      </c>
      <c r="AT75" s="123">
        <f t="shared" si="35"/>
        <v>0</v>
      </c>
      <c r="AU75" s="123">
        <f t="shared" si="35"/>
        <v>0</v>
      </c>
      <c r="AV75" s="123">
        <f t="shared" si="35"/>
        <v>0</v>
      </c>
      <c r="AW75" s="123">
        <f t="shared" si="35"/>
        <v>0</v>
      </c>
      <c r="AX75" s="123">
        <f t="shared" si="35"/>
        <v>0</v>
      </c>
      <c r="AY75" s="123">
        <f t="shared" si="35"/>
        <v>0</v>
      </c>
      <c r="AZ75" s="123">
        <f t="shared" si="35"/>
        <v>0</v>
      </c>
      <c r="BA75" s="123">
        <f t="shared" si="35"/>
        <v>0</v>
      </c>
      <c r="BB75" s="123">
        <f t="shared" si="35"/>
        <v>0</v>
      </c>
      <c r="BC75" s="123">
        <f t="shared" si="35"/>
        <v>0</v>
      </c>
      <c r="BD75" s="123">
        <f t="shared" ref="AU75:BD78" si="42">COUNTIF($E75:$AR75,BD$49)+COUNTIF($E75:$AR75,BD$51)</f>
        <v>0</v>
      </c>
      <c r="BE75" s="124">
        <f t="shared" si="36"/>
        <v>0</v>
      </c>
      <c r="BF75" s="123">
        <f t="shared" si="37"/>
        <v>0</v>
      </c>
      <c r="BG75" s="123">
        <f t="shared" si="37"/>
        <v>0</v>
      </c>
      <c r="BH75" s="123">
        <f t="shared" si="37"/>
        <v>0</v>
      </c>
      <c r="BI75" s="123">
        <f t="shared" si="37"/>
        <v>0</v>
      </c>
      <c r="BJ75" s="123">
        <f t="shared" si="37"/>
        <v>0</v>
      </c>
      <c r="BK75" s="123">
        <f t="shared" si="37"/>
        <v>0</v>
      </c>
      <c r="BL75" s="123">
        <f t="shared" si="37"/>
        <v>0</v>
      </c>
      <c r="BM75" s="123">
        <f t="shared" si="37"/>
        <v>0</v>
      </c>
      <c r="BN75" s="90">
        <f t="shared" si="38"/>
        <v>0</v>
      </c>
      <c r="BO75" s="123">
        <f t="shared" si="39"/>
        <v>0</v>
      </c>
      <c r="BP75" s="123">
        <f t="shared" si="39"/>
        <v>0</v>
      </c>
      <c r="BQ75" s="123">
        <f t="shared" si="39"/>
        <v>0</v>
      </c>
      <c r="BR75" s="142">
        <f t="shared" si="39"/>
        <v>0</v>
      </c>
      <c r="BS75" s="143">
        <f t="shared" si="40"/>
        <v>0</v>
      </c>
      <c r="BT75" s="7">
        <f t="shared" si="41"/>
        <v>0</v>
      </c>
    </row>
    <row r="76" spans="2:72">
      <c r="B76" s="6"/>
      <c r="C76" s="183"/>
      <c r="D76" s="51"/>
      <c r="E76" s="77"/>
      <c r="F76" s="161"/>
      <c r="G76" s="77"/>
      <c r="H76" s="77"/>
      <c r="I76" s="77"/>
      <c r="J76" s="77"/>
      <c r="K76" s="76"/>
      <c r="L76" s="76"/>
      <c r="M76" s="77"/>
      <c r="N76" s="161"/>
      <c r="O76" s="77"/>
      <c r="P76" s="77"/>
      <c r="Q76" s="77"/>
      <c r="R76" s="77"/>
      <c r="S76" s="76"/>
      <c r="T76" s="76"/>
      <c r="U76" s="77"/>
      <c r="V76" s="77"/>
      <c r="W76" s="77"/>
      <c r="X76" s="77"/>
      <c r="Y76" s="77"/>
      <c r="Z76" s="77"/>
      <c r="AA76" s="76"/>
      <c r="AB76" s="76"/>
      <c r="AC76" s="77"/>
      <c r="AD76" s="161"/>
      <c r="AE76" s="77"/>
      <c r="AF76" s="77"/>
      <c r="AG76" s="77"/>
      <c r="AH76" s="161"/>
      <c r="AI76" s="76"/>
      <c r="AJ76" s="76"/>
      <c r="AK76" s="77"/>
      <c r="AL76" s="77"/>
      <c r="AM76" s="77"/>
      <c r="AN76" s="77"/>
      <c r="AO76" s="77"/>
      <c r="AP76" s="77"/>
      <c r="AQ76" s="76"/>
      <c r="AR76" s="76"/>
      <c r="AS76" s="25">
        <v>5</v>
      </c>
      <c r="AT76" s="123">
        <f t="shared" si="35"/>
        <v>0</v>
      </c>
      <c r="AU76" s="123">
        <f t="shared" si="42"/>
        <v>0</v>
      </c>
      <c r="AV76" s="123">
        <f t="shared" si="42"/>
        <v>0</v>
      </c>
      <c r="AW76" s="123">
        <f t="shared" si="42"/>
        <v>0</v>
      </c>
      <c r="AX76" s="123">
        <f t="shared" si="42"/>
        <v>0</v>
      </c>
      <c r="AY76" s="123">
        <f t="shared" si="42"/>
        <v>0</v>
      </c>
      <c r="AZ76" s="123">
        <f t="shared" si="42"/>
        <v>0</v>
      </c>
      <c r="BA76" s="123">
        <f t="shared" si="42"/>
        <v>0</v>
      </c>
      <c r="BB76" s="123">
        <f t="shared" si="42"/>
        <v>0</v>
      </c>
      <c r="BC76" s="123">
        <f t="shared" si="42"/>
        <v>0</v>
      </c>
      <c r="BD76" s="123">
        <f t="shared" si="42"/>
        <v>0</v>
      </c>
      <c r="BE76" s="124">
        <f t="shared" si="36"/>
        <v>0</v>
      </c>
      <c r="BF76" s="123">
        <f t="shared" si="37"/>
        <v>0</v>
      </c>
      <c r="BG76" s="123">
        <f t="shared" si="37"/>
        <v>0</v>
      </c>
      <c r="BH76" s="123">
        <f t="shared" si="37"/>
        <v>0</v>
      </c>
      <c r="BI76" s="123">
        <f t="shared" si="37"/>
        <v>0</v>
      </c>
      <c r="BJ76" s="123">
        <f t="shared" si="37"/>
        <v>0</v>
      </c>
      <c r="BK76" s="123">
        <f t="shared" si="37"/>
        <v>0</v>
      </c>
      <c r="BL76" s="123">
        <f t="shared" si="37"/>
        <v>0</v>
      </c>
      <c r="BM76" s="123">
        <f t="shared" si="37"/>
        <v>0</v>
      </c>
      <c r="BN76" s="90">
        <f t="shared" si="38"/>
        <v>0</v>
      </c>
      <c r="BO76" s="123">
        <f t="shared" si="39"/>
        <v>0</v>
      </c>
      <c r="BP76" s="123">
        <f t="shared" si="39"/>
        <v>0</v>
      </c>
      <c r="BQ76" s="123">
        <f t="shared" si="39"/>
        <v>0</v>
      </c>
      <c r="BR76" s="142">
        <f t="shared" si="39"/>
        <v>0</v>
      </c>
      <c r="BS76" s="143">
        <f t="shared" si="40"/>
        <v>0</v>
      </c>
      <c r="BT76" s="7">
        <f t="shared" si="41"/>
        <v>0</v>
      </c>
    </row>
    <row r="77" spans="2:72" s="1" customFormat="1">
      <c r="B77" s="6"/>
      <c r="C77" s="183"/>
      <c r="D77" s="51"/>
      <c r="E77" s="77"/>
      <c r="F77" s="161"/>
      <c r="G77" s="77"/>
      <c r="H77" s="77"/>
      <c r="I77" s="77"/>
      <c r="J77" s="77"/>
      <c r="K77" s="76"/>
      <c r="L77" s="76"/>
      <c r="M77" s="77"/>
      <c r="N77" s="161"/>
      <c r="O77" s="77"/>
      <c r="P77" s="77"/>
      <c r="Q77" s="77"/>
      <c r="R77" s="77"/>
      <c r="S77" s="76"/>
      <c r="T77" s="76"/>
      <c r="U77" s="77"/>
      <c r="V77" s="77"/>
      <c r="W77" s="77"/>
      <c r="X77" s="77"/>
      <c r="Y77" s="77"/>
      <c r="Z77" s="77"/>
      <c r="AA77" s="76"/>
      <c r="AB77" s="76"/>
      <c r="AC77" s="77"/>
      <c r="AD77" s="161"/>
      <c r="AE77" s="77"/>
      <c r="AF77" s="77"/>
      <c r="AG77" s="77"/>
      <c r="AH77" s="161"/>
      <c r="AI77" s="76"/>
      <c r="AJ77" s="76"/>
      <c r="AK77" s="77"/>
      <c r="AL77" s="77"/>
      <c r="AM77" s="77"/>
      <c r="AN77" s="77"/>
      <c r="AO77" s="77"/>
      <c r="AP77" s="77"/>
      <c r="AQ77" s="76"/>
      <c r="AR77" s="76"/>
      <c r="AS77" s="25">
        <v>0</v>
      </c>
      <c r="AT77" s="123">
        <f t="shared" si="35"/>
        <v>0</v>
      </c>
      <c r="AU77" s="123">
        <f t="shared" si="42"/>
        <v>0</v>
      </c>
      <c r="AV77" s="123">
        <f t="shared" si="42"/>
        <v>0</v>
      </c>
      <c r="AW77" s="123">
        <f t="shared" si="42"/>
        <v>0</v>
      </c>
      <c r="AX77" s="123">
        <f t="shared" si="42"/>
        <v>0</v>
      </c>
      <c r="AY77" s="123">
        <f t="shared" si="42"/>
        <v>0</v>
      </c>
      <c r="AZ77" s="123">
        <f t="shared" si="42"/>
        <v>0</v>
      </c>
      <c r="BA77" s="123">
        <f t="shared" si="42"/>
        <v>0</v>
      </c>
      <c r="BB77" s="123">
        <f t="shared" si="42"/>
        <v>0</v>
      </c>
      <c r="BC77" s="123">
        <f t="shared" si="42"/>
        <v>0</v>
      </c>
      <c r="BD77" s="123">
        <f t="shared" si="42"/>
        <v>0</v>
      </c>
      <c r="BE77" s="124">
        <f>SUM(AT77:BD77)</f>
        <v>0</v>
      </c>
      <c r="BF77" s="123">
        <f t="shared" si="37"/>
        <v>0</v>
      </c>
      <c r="BG77" s="123">
        <f t="shared" si="37"/>
        <v>0</v>
      </c>
      <c r="BH77" s="123">
        <f t="shared" si="37"/>
        <v>0</v>
      </c>
      <c r="BI77" s="123">
        <f t="shared" si="37"/>
        <v>0</v>
      </c>
      <c r="BJ77" s="123">
        <f t="shared" si="37"/>
        <v>0</v>
      </c>
      <c r="BK77" s="123">
        <f t="shared" si="37"/>
        <v>0</v>
      </c>
      <c r="BL77" s="123">
        <f t="shared" si="37"/>
        <v>0</v>
      </c>
      <c r="BM77" s="123">
        <f t="shared" si="37"/>
        <v>0</v>
      </c>
      <c r="BN77" s="90">
        <f>SUM(BF77:BM77)</f>
        <v>0</v>
      </c>
      <c r="BO77" s="123">
        <f t="shared" si="39"/>
        <v>0</v>
      </c>
      <c r="BP77" s="123">
        <f t="shared" si="39"/>
        <v>0</v>
      </c>
      <c r="BQ77" s="123">
        <f t="shared" si="39"/>
        <v>0</v>
      </c>
      <c r="BR77" s="142">
        <f t="shared" si="39"/>
        <v>0</v>
      </c>
      <c r="BS77" s="143">
        <f t="shared" si="40"/>
        <v>0</v>
      </c>
      <c r="BT77" s="46">
        <f>SUM(BE77,BS77)</f>
        <v>0</v>
      </c>
    </row>
    <row r="78" spans="2:72">
      <c r="B78" s="6"/>
      <c r="C78" s="183"/>
      <c r="D78" s="51"/>
      <c r="E78" s="77"/>
      <c r="F78" s="161"/>
      <c r="G78" s="77"/>
      <c r="H78" s="77"/>
      <c r="I78" s="77"/>
      <c r="J78" s="77"/>
      <c r="K78" s="76"/>
      <c r="L78" s="76"/>
      <c r="M78" s="77"/>
      <c r="N78" s="161"/>
      <c r="O78" s="77"/>
      <c r="P78" s="77"/>
      <c r="Q78" s="77"/>
      <c r="R78" s="77"/>
      <c r="S78" s="76"/>
      <c r="T78" s="76"/>
      <c r="U78" s="77"/>
      <c r="V78" s="77"/>
      <c r="W78" s="77"/>
      <c r="X78" s="77"/>
      <c r="Y78" s="77"/>
      <c r="Z78" s="77"/>
      <c r="AA78" s="76"/>
      <c r="AB78" s="76"/>
      <c r="AC78" s="77"/>
      <c r="AD78" s="161"/>
      <c r="AE78" s="77"/>
      <c r="AF78" s="77"/>
      <c r="AG78" s="77"/>
      <c r="AH78" s="161"/>
      <c r="AI78" s="76"/>
      <c r="AJ78" s="76"/>
      <c r="AK78" s="77"/>
      <c r="AL78" s="77"/>
      <c r="AM78" s="77"/>
      <c r="AN78" s="77"/>
      <c r="AO78" s="77"/>
      <c r="AP78" s="77"/>
      <c r="AQ78" s="76"/>
      <c r="AR78" s="76"/>
      <c r="AS78" s="25">
        <v>0</v>
      </c>
      <c r="AT78" s="123">
        <f t="shared" si="35"/>
        <v>0</v>
      </c>
      <c r="AU78" s="123">
        <f t="shared" si="42"/>
        <v>0</v>
      </c>
      <c r="AV78" s="123">
        <f t="shared" si="42"/>
        <v>0</v>
      </c>
      <c r="AW78" s="123">
        <f t="shared" si="42"/>
        <v>0</v>
      </c>
      <c r="AX78" s="123">
        <f t="shared" si="42"/>
        <v>0</v>
      </c>
      <c r="AY78" s="123">
        <f t="shared" si="42"/>
        <v>0</v>
      </c>
      <c r="AZ78" s="123">
        <f t="shared" si="42"/>
        <v>0</v>
      </c>
      <c r="BA78" s="123">
        <f t="shared" si="42"/>
        <v>0</v>
      </c>
      <c r="BB78" s="123">
        <f t="shared" si="42"/>
        <v>0</v>
      </c>
      <c r="BC78" s="123">
        <f t="shared" si="42"/>
        <v>0</v>
      </c>
      <c r="BD78" s="123">
        <f t="shared" si="42"/>
        <v>0</v>
      </c>
      <c r="BE78" s="124">
        <f t="shared" si="36"/>
        <v>0</v>
      </c>
      <c r="BF78" s="123">
        <f t="shared" si="37"/>
        <v>0</v>
      </c>
      <c r="BG78" s="123">
        <f t="shared" si="37"/>
        <v>0</v>
      </c>
      <c r="BH78" s="123">
        <f t="shared" si="37"/>
        <v>0</v>
      </c>
      <c r="BI78" s="123">
        <f t="shared" si="37"/>
        <v>0</v>
      </c>
      <c r="BJ78" s="123">
        <f t="shared" si="37"/>
        <v>0</v>
      </c>
      <c r="BK78" s="123">
        <f t="shared" si="37"/>
        <v>0</v>
      </c>
      <c r="BL78" s="123">
        <f t="shared" si="37"/>
        <v>0</v>
      </c>
      <c r="BM78" s="123">
        <f t="shared" si="37"/>
        <v>0</v>
      </c>
      <c r="BN78" s="90">
        <f>SUM(BF78:BM78)</f>
        <v>0</v>
      </c>
      <c r="BO78" s="123">
        <f t="shared" si="39"/>
        <v>0</v>
      </c>
      <c r="BP78" s="123">
        <f t="shared" si="39"/>
        <v>0</v>
      </c>
      <c r="BQ78" s="123">
        <f t="shared" si="39"/>
        <v>0</v>
      </c>
      <c r="BR78" s="142">
        <f t="shared" si="39"/>
        <v>0</v>
      </c>
      <c r="BS78" s="143">
        <f t="shared" si="40"/>
        <v>0</v>
      </c>
      <c r="BT78" s="7">
        <f t="shared" si="41"/>
        <v>0</v>
      </c>
    </row>
    <row r="79" spans="2:72" ht="13.5" customHeight="1">
      <c r="B79" s="1"/>
      <c r="C79" s="2"/>
      <c r="D79" s="1"/>
      <c r="E79" s="1"/>
      <c r="F79" s="1"/>
      <c r="G79" s="1"/>
      <c r="H79" s="1"/>
      <c r="I79" s="1"/>
      <c r="J79" s="1"/>
      <c r="M79" s="1"/>
      <c r="N79" s="1"/>
      <c r="O79" s="1"/>
      <c r="P79" s="1"/>
      <c r="Q79" s="1"/>
      <c r="R79" s="1"/>
      <c r="U79" s="1"/>
      <c r="V79" s="1"/>
      <c r="W79" s="1"/>
      <c r="X79" s="1"/>
      <c r="Y79" s="1"/>
      <c r="Z79" s="1"/>
      <c r="AC79" s="1"/>
      <c r="AD79" s="1"/>
      <c r="AE79" s="1"/>
      <c r="AF79" s="1"/>
      <c r="AG79" s="1"/>
      <c r="AH79" s="1"/>
      <c r="AK79" s="1"/>
      <c r="AL79" s="239">
        <f>AF2</f>
        <v>5</v>
      </c>
      <c r="AM79" s="242" t="s">
        <v>85</v>
      </c>
      <c r="AN79" s="243"/>
      <c r="AO79" s="274" t="s">
        <v>38</v>
      </c>
      <c r="AP79" s="274"/>
      <c r="AQ79" s="274"/>
      <c r="AR79" s="274"/>
      <c r="AS79" s="274"/>
      <c r="AT79" s="203" t="str">
        <f>AT49</f>
        <v>국어</v>
      </c>
      <c r="AU79" s="195" t="str">
        <f t="shared" ref="AU79:BD79" si="43">AU49</f>
        <v>사회</v>
      </c>
      <c r="AV79" s="195" t="str">
        <f t="shared" si="43"/>
        <v>도덕</v>
      </c>
      <c r="AW79" s="195" t="str">
        <f t="shared" si="43"/>
        <v>수학</v>
      </c>
      <c r="AX79" s="195" t="str">
        <f t="shared" si="43"/>
        <v>과학</v>
      </c>
      <c r="AY79" s="195" t="str">
        <f t="shared" si="43"/>
        <v>실과</v>
      </c>
      <c r="AZ79" s="195" t="str">
        <f t="shared" si="43"/>
        <v>체육</v>
      </c>
      <c r="BA79" s="195" t="str">
        <f t="shared" si="43"/>
        <v>음악</v>
      </c>
      <c r="BB79" s="195" t="str">
        <f t="shared" si="43"/>
        <v>미술</v>
      </c>
      <c r="BC79" s="195" t="str">
        <f t="shared" si="43"/>
        <v>영어</v>
      </c>
      <c r="BD79" s="221" t="str">
        <f t="shared" si="43"/>
        <v>교과</v>
      </c>
      <c r="BE79" s="279" t="s">
        <v>36</v>
      </c>
      <c r="BF79" s="281" t="str">
        <f>BF49</f>
        <v>자치</v>
      </c>
      <c r="BG79" s="283" t="str">
        <f t="shared" ref="BG79:BQ79" si="44">BG49</f>
        <v>적응</v>
      </c>
      <c r="BH79" s="283" t="str">
        <f t="shared" si="44"/>
        <v>행사</v>
      </c>
      <c r="BI79" s="249" t="str">
        <f t="shared" si="44"/>
        <v>창주</v>
      </c>
      <c r="BJ79" s="249" t="str">
        <f t="shared" si="44"/>
        <v>범교</v>
      </c>
      <c r="BK79" s="249" t="str">
        <f t="shared" si="44"/>
        <v>선택3</v>
      </c>
      <c r="BL79" s="249" t="str">
        <f t="shared" si="44"/>
        <v>선택4</v>
      </c>
      <c r="BM79" s="249" t="str">
        <f t="shared" si="44"/>
        <v>선택5</v>
      </c>
      <c r="BN79" s="254" t="str">
        <f t="shared" si="44"/>
        <v>자율소계</v>
      </c>
      <c r="BO79" s="257" t="str">
        <f t="shared" si="44"/>
        <v>동아리</v>
      </c>
      <c r="BP79" s="223" t="str">
        <f t="shared" si="44"/>
        <v>봉사</v>
      </c>
      <c r="BQ79" s="223" t="str">
        <f t="shared" si="44"/>
        <v>진로</v>
      </c>
      <c r="BR79" s="223">
        <f>BR49</f>
        <v>0</v>
      </c>
      <c r="BS79" s="265" t="s">
        <v>26</v>
      </c>
      <c r="BT79" s="266" t="s">
        <v>3</v>
      </c>
    </row>
    <row r="80" spans="2:72">
      <c r="B80" s="1"/>
      <c r="C80" s="1"/>
      <c r="D80" s="1"/>
      <c r="E80" s="1"/>
      <c r="F80" s="1"/>
      <c r="G80" s="1"/>
      <c r="H80" s="1"/>
      <c r="I80" s="1"/>
      <c r="J80" s="1"/>
      <c r="M80" s="1"/>
      <c r="N80" s="1"/>
      <c r="O80" s="1"/>
      <c r="P80" s="1"/>
      <c r="Q80" s="1"/>
      <c r="R80" s="1"/>
      <c r="U80" s="1"/>
      <c r="V80" s="1"/>
      <c r="W80" s="1"/>
      <c r="X80" s="1"/>
      <c r="Y80" s="1"/>
      <c r="Z80" s="1"/>
      <c r="AC80" s="1"/>
      <c r="AD80" s="1"/>
      <c r="AE80" s="1"/>
      <c r="AF80" s="1"/>
      <c r="AG80" s="1"/>
      <c r="AH80" s="1"/>
      <c r="AK80" s="1"/>
      <c r="AL80" s="240"/>
      <c r="AM80" s="244"/>
      <c r="AN80" s="245"/>
      <c r="AO80" s="276"/>
      <c r="AP80" s="276"/>
      <c r="AQ80" s="276"/>
      <c r="AR80" s="276"/>
      <c r="AS80" s="276"/>
      <c r="AT80" s="194"/>
      <c r="AU80" s="203"/>
      <c r="AV80" s="203"/>
      <c r="AW80" s="203"/>
      <c r="AX80" s="203"/>
      <c r="AY80" s="203"/>
      <c r="AZ80" s="203"/>
      <c r="BA80" s="203"/>
      <c r="BB80" s="203"/>
      <c r="BC80" s="203"/>
      <c r="BD80" s="222"/>
      <c r="BE80" s="280"/>
      <c r="BF80" s="282"/>
      <c r="BG80" s="281"/>
      <c r="BH80" s="281"/>
      <c r="BI80" s="250"/>
      <c r="BJ80" s="250"/>
      <c r="BK80" s="250"/>
      <c r="BL80" s="250"/>
      <c r="BM80" s="250"/>
      <c r="BN80" s="256"/>
      <c r="BO80" s="258"/>
      <c r="BP80" s="224"/>
      <c r="BQ80" s="224"/>
      <c r="BR80" s="224"/>
      <c r="BS80" s="259"/>
      <c r="BT80" s="248"/>
    </row>
    <row r="81" spans="2:72">
      <c r="B81" s="1"/>
      <c r="C81" s="1"/>
      <c r="D81" s="1"/>
      <c r="E81" s="1"/>
      <c r="F81" s="1"/>
      <c r="G81" s="1"/>
      <c r="H81" s="1"/>
      <c r="I81" s="1"/>
      <c r="J81" s="1"/>
      <c r="M81" s="1"/>
      <c r="N81" s="1"/>
      <c r="O81" s="1"/>
      <c r="P81" s="1"/>
      <c r="Q81" s="1"/>
      <c r="R81" s="1"/>
      <c r="U81" s="1"/>
      <c r="V81" s="1"/>
      <c r="W81" s="1"/>
      <c r="X81" s="1"/>
      <c r="Y81" s="1"/>
      <c r="Z81" s="1"/>
      <c r="AC81" s="1"/>
      <c r="AD81" s="1"/>
      <c r="AE81" s="1"/>
      <c r="AF81" s="1"/>
      <c r="AG81" s="1"/>
      <c r="AH81" s="1"/>
      <c r="AK81" s="1"/>
      <c r="AL81" s="240"/>
      <c r="AM81" s="244"/>
      <c r="AN81" s="245"/>
      <c r="AO81" s="271" t="s">
        <v>0</v>
      </c>
      <c r="AP81" s="271"/>
      <c r="AQ81" s="271"/>
      <c r="AR81" s="271"/>
      <c r="AS81" s="271"/>
      <c r="AT81" s="14">
        <f>AT35</f>
        <v>103</v>
      </c>
      <c r="AU81" s="14">
        <f t="shared" ref="AU81:BT81" si="45">AU35</f>
        <v>51</v>
      </c>
      <c r="AV81" s="14">
        <f t="shared" si="45"/>
        <v>16</v>
      </c>
      <c r="AW81" s="14">
        <f t="shared" si="45"/>
        <v>69</v>
      </c>
      <c r="AX81" s="14">
        <f t="shared" si="45"/>
        <v>50</v>
      </c>
      <c r="AY81" s="14">
        <f t="shared" si="45"/>
        <v>34</v>
      </c>
      <c r="AZ81" s="14">
        <f t="shared" si="45"/>
        <v>50</v>
      </c>
      <c r="BA81" s="14">
        <f t="shared" si="45"/>
        <v>34</v>
      </c>
      <c r="BB81" s="14">
        <f t="shared" si="45"/>
        <v>34</v>
      </c>
      <c r="BC81" s="14">
        <f t="shared" si="45"/>
        <v>50</v>
      </c>
      <c r="BD81" s="14">
        <f t="shared" si="45"/>
        <v>0</v>
      </c>
      <c r="BE81" s="14">
        <f t="shared" si="45"/>
        <v>491</v>
      </c>
      <c r="BF81" s="14">
        <f t="shared" si="45"/>
        <v>6</v>
      </c>
      <c r="BG81" s="14">
        <f t="shared" si="45"/>
        <v>4</v>
      </c>
      <c r="BH81" s="14">
        <f t="shared" si="45"/>
        <v>0</v>
      </c>
      <c r="BI81" s="14">
        <f t="shared" si="45"/>
        <v>16</v>
      </c>
      <c r="BJ81" s="14">
        <f>BJ35</f>
        <v>6</v>
      </c>
      <c r="BK81" s="14">
        <f>BK35</f>
        <v>0</v>
      </c>
      <c r="BL81" s="14">
        <f>BL35</f>
        <v>0</v>
      </c>
      <c r="BM81" s="14">
        <f t="shared" si="45"/>
        <v>0</v>
      </c>
      <c r="BN81" s="14">
        <f t="shared" si="45"/>
        <v>32</v>
      </c>
      <c r="BO81" s="14">
        <f t="shared" si="45"/>
        <v>11</v>
      </c>
      <c r="BP81" s="14">
        <f t="shared" si="45"/>
        <v>1</v>
      </c>
      <c r="BQ81" s="14">
        <f t="shared" si="45"/>
        <v>2</v>
      </c>
      <c r="BR81" s="14">
        <f t="shared" ref="BR81" si="46">BR35</f>
        <v>0</v>
      </c>
      <c r="BS81" s="14">
        <f t="shared" si="45"/>
        <v>46</v>
      </c>
      <c r="BT81" s="14">
        <f t="shared" si="45"/>
        <v>537</v>
      </c>
    </row>
    <row r="82" spans="2:72">
      <c r="AL82" s="240"/>
      <c r="AM82" s="244"/>
      <c r="AN82" s="245"/>
      <c r="AO82" s="272" t="s">
        <v>4</v>
      </c>
      <c r="AP82" s="272"/>
      <c r="AQ82" s="272"/>
      <c r="AR82" s="272"/>
      <c r="AS82" s="272"/>
      <c r="AT82" s="10">
        <f>SUM(AT52:AT78)</f>
        <v>104</v>
      </c>
      <c r="AU82" s="10">
        <f t="shared" ref="AU82:BD82" si="47">SUM(AU52:AU78)</f>
        <v>52</v>
      </c>
      <c r="AV82" s="10">
        <f t="shared" si="47"/>
        <v>18</v>
      </c>
      <c r="AW82" s="10">
        <f t="shared" si="47"/>
        <v>70</v>
      </c>
      <c r="AX82" s="10">
        <f t="shared" si="47"/>
        <v>54</v>
      </c>
      <c r="AY82" s="10">
        <f t="shared" si="47"/>
        <v>34</v>
      </c>
      <c r="AZ82" s="10">
        <f t="shared" si="47"/>
        <v>52</v>
      </c>
      <c r="BA82" s="10">
        <f t="shared" si="47"/>
        <v>34</v>
      </c>
      <c r="BB82" s="10">
        <f t="shared" si="47"/>
        <v>34</v>
      </c>
      <c r="BC82" s="10">
        <f t="shared" si="47"/>
        <v>52</v>
      </c>
      <c r="BD82" s="21">
        <f t="shared" si="47"/>
        <v>0</v>
      </c>
      <c r="BE82" s="11">
        <f t="shared" ref="BE82:BT82" si="48">SUM(BE52:BE78)</f>
        <v>504</v>
      </c>
      <c r="BF82" s="10">
        <f t="shared" si="48"/>
        <v>35</v>
      </c>
      <c r="BG82" s="10">
        <f t="shared" si="48"/>
        <v>0</v>
      </c>
      <c r="BH82" s="10">
        <f t="shared" si="48"/>
        <v>0</v>
      </c>
      <c r="BI82" s="10">
        <f t="shared" si="48"/>
        <v>0</v>
      </c>
      <c r="BJ82" s="10">
        <f>SUM(BJ52:BJ78)</f>
        <v>0</v>
      </c>
      <c r="BK82" s="10">
        <f>SUM(BK52:BK78)</f>
        <v>0</v>
      </c>
      <c r="BL82" s="10">
        <f>SUM(BL52:BL78)</f>
        <v>0</v>
      </c>
      <c r="BM82" s="10">
        <f t="shared" si="48"/>
        <v>0</v>
      </c>
      <c r="BN82" s="125">
        <f t="shared" si="48"/>
        <v>35</v>
      </c>
      <c r="BO82" s="125">
        <f t="shared" si="48"/>
        <v>12</v>
      </c>
      <c r="BP82" s="125">
        <f t="shared" si="48"/>
        <v>5</v>
      </c>
      <c r="BQ82" s="125">
        <f t="shared" si="48"/>
        <v>4</v>
      </c>
      <c r="BR82" s="144">
        <f t="shared" ref="BR82" si="49">SUM(BR52:BR78)</f>
        <v>0</v>
      </c>
      <c r="BS82" s="12">
        <f t="shared" si="48"/>
        <v>56</v>
      </c>
      <c r="BT82" s="13">
        <f t="shared" si="48"/>
        <v>560</v>
      </c>
    </row>
    <row r="83" spans="2:72">
      <c r="AL83" s="240"/>
      <c r="AM83" s="244"/>
      <c r="AN83" s="245"/>
      <c r="AO83" s="288" t="s">
        <v>3</v>
      </c>
      <c r="AP83" s="288"/>
      <c r="AQ83" s="288"/>
      <c r="AR83" s="288"/>
      <c r="AS83" s="288"/>
      <c r="AT83" s="15">
        <f>SUM(AT81:AT82)</f>
        <v>207</v>
      </c>
      <c r="AU83" s="15">
        <f t="shared" ref="AU83:BT83" si="50">SUM(AU81:AU82)</f>
        <v>103</v>
      </c>
      <c r="AV83" s="15">
        <f t="shared" si="50"/>
        <v>34</v>
      </c>
      <c r="AW83" s="15">
        <f t="shared" si="50"/>
        <v>139</v>
      </c>
      <c r="AX83" s="15">
        <f t="shared" si="50"/>
        <v>104</v>
      </c>
      <c r="AY83" s="15">
        <f t="shared" si="50"/>
        <v>68</v>
      </c>
      <c r="AZ83" s="15">
        <f t="shared" si="50"/>
        <v>102</v>
      </c>
      <c r="BA83" s="15">
        <f t="shared" si="50"/>
        <v>68</v>
      </c>
      <c r="BB83" s="15">
        <f t="shared" si="50"/>
        <v>68</v>
      </c>
      <c r="BC83" s="15">
        <f t="shared" si="50"/>
        <v>102</v>
      </c>
      <c r="BD83" s="15">
        <f t="shared" si="50"/>
        <v>0</v>
      </c>
      <c r="BE83" s="15">
        <f t="shared" si="50"/>
        <v>995</v>
      </c>
      <c r="BF83" s="15">
        <f t="shared" si="50"/>
        <v>41</v>
      </c>
      <c r="BG83" s="15">
        <f t="shared" si="50"/>
        <v>4</v>
      </c>
      <c r="BH83" s="15">
        <f t="shared" si="50"/>
        <v>0</v>
      </c>
      <c r="BI83" s="15">
        <f t="shared" si="50"/>
        <v>16</v>
      </c>
      <c r="BJ83" s="15">
        <f>SUM(BJ81:BJ82)</f>
        <v>6</v>
      </c>
      <c r="BK83" s="15">
        <f>SUM(BK81:BK82)</f>
        <v>0</v>
      </c>
      <c r="BL83" s="15">
        <f>SUM(BL81:BL82)</f>
        <v>0</v>
      </c>
      <c r="BM83" s="15">
        <f t="shared" si="50"/>
        <v>0</v>
      </c>
      <c r="BN83" s="15">
        <f t="shared" si="50"/>
        <v>67</v>
      </c>
      <c r="BO83" s="15">
        <f t="shared" si="50"/>
        <v>23</v>
      </c>
      <c r="BP83" s="15">
        <f t="shared" si="50"/>
        <v>6</v>
      </c>
      <c r="BQ83" s="15">
        <f t="shared" si="50"/>
        <v>6</v>
      </c>
      <c r="BR83" s="15">
        <f t="shared" ref="BR83" si="51">SUM(BR81:BR82)</f>
        <v>0</v>
      </c>
      <c r="BS83" s="15">
        <f t="shared" si="50"/>
        <v>102</v>
      </c>
      <c r="BT83" s="15">
        <f t="shared" si="50"/>
        <v>1097</v>
      </c>
    </row>
    <row r="84" spans="2:72">
      <c r="AL84" s="240"/>
      <c r="AM84" s="244"/>
      <c r="AN84" s="245"/>
      <c r="AO84" s="285" t="s">
        <v>39</v>
      </c>
      <c r="AP84" s="285"/>
      <c r="AQ84" s="285"/>
      <c r="AR84" s="285"/>
      <c r="AS84" s="285"/>
      <c r="AT84" s="128"/>
      <c r="AU84" s="286"/>
      <c r="AV84" s="286"/>
      <c r="AW84" s="128"/>
      <c r="AX84" s="128"/>
      <c r="AY84" s="128"/>
      <c r="AZ84" s="128"/>
      <c r="BA84" s="286"/>
      <c r="BB84" s="286"/>
      <c r="BC84" s="128"/>
      <c r="BD84" s="127"/>
      <c r="BE84" s="127"/>
      <c r="BF84" s="284"/>
      <c r="BG84" s="284"/>
      <c r="BH84" s="284"/>
      <c r="BI84" s="284"/>
      <c r="BJ84" s="284"/>
      <c r="BK84" s="284"/>
      <c r="BL84" s="284"/>
      <c r="BM84" s="284"/>
      <c r="BN84" s="284"/>
      <c r="BO84" s="284"/>
      <c r="BP84" s="284"/>
      <c r="BQ84" s="284"/>
      <c r="BR84" s="147"/>
      <c r="BS84" s="16"/>
      <c r="BT84" s="17">
        <f>SUM(AT84:BE84,BS84)</f>
        <v>0</v>
      </c>
    </row>
    <row r="85" spans="2:72">
      <c r="AL85" s="240"/>
      <c r="AM85" s="244"/>
      <c r="AN85" s="245"/>
      <c r="AO85" s="285" t="s">
        <v>41</v>
      </c>
      <c r="AP85" s="285"/>
      <c r="AQ85" s="285"/>
      <c r="AR85" s="285"/>
      <c r="AS85" s="285"/>
      <c r="AT85" s="129"/>
      <c r="AU85" s="287"/>
      <c r="AV85" s="287"/>
      <c r="AW85" s="129"/>
      <c r="AX85" s="129"/>
      <c r="AY85" s="129"/>
      <c r="AZ85" s="129"/>
      <c r="BA85" s="129"/>
      <c r="BB85" s="129"/>
      <c r="BC85" s="129"/>
      <c r="BD85" s="78"/>
      <c r="BE85" s="78"/>
      <c r="BF85" s="284"/>
      <c r="BG85" s="284"/>
      <c r="BH85" s="284"/>
      <c r="BI85" s="284"/>
      <c r="BJ85" s="284"/>
      <c r="BK85" s="284"/>
      <c r="BL85" s="284"/>
      <c r="BM85" s="284"/>
      <c r="BN85" s="284"/>
      <c r="BO85" s="284"/>
      <c r="BP85" s="284"/>
      <c r="BQ85" s="284"/>
      <c r="BR85" s="147"/>
      <c r="BS85" s="18"/>
      <c r="BT85" s="19"/>
    </row>
    <row r="86" spans="2:72">
      <c r="AL86" s="240"/>
      <c r="AM86" s="244"/>
      <c r="AN86" s="245"/>
      <c r="AO86" s="285" t="s">
        <v>40</v>
      </c>
      <c r="AP86" s="285"/>
      <c r="AQ86" s="285"/>
      <c r="AR86" s="285"/>
      <c r="AS86" s="285"/>
      <c r="AT86" s="128"/>
      <c r="AU86" s="128"/>
      <c r="AV86" s="128"/>
      <c r="AW86" s="128"/>
      <c r="AX86" s="128"/>
      <c r="AY86" s="128"/>
      <c r="AZ86" s="128"/>
      <c r="BA86" s="128"/>
      <c r="BB86" s="128"/>
      <c r="BC86" s="128"/>
      <c r="BD86" s="127"/>
      <c r="BE86" s="127"/>
      <c r="BF86" s="284"/>
      <c r="BG86" s="284"/>
      <c r="BH86" s="284"/>
      <c r="BI86" s="284"/>
      <c r="BJ86" s="284"/>
      <c r="BK86" s="284"/>
      <c r="BL86" s="284"/>
      <c r="BM86" s="284"/>
      <c r="BN86" s="284"/>
      <c r="BO86" s="284"/>
      <c r="BP86" s="284"/>
      <c r="BQ86" s="284"/>
      <c r="BR86" s="147"/>
      <c r="BS86" s="16"/>
      <c r="BT86" s="17">
        <f>SUM(AT86:BE86,BS86)</f>
        <v>0</v>
      </c>
    </row>
    <row r="87" spans="2:72">
      <c r="AL87" s="241"/>
      <c r="AM87" s="246"/>
      <c r="AN87" s="247"/>
      <c r="AO87" s="285" t="s">
        <v>42</v>
      </c>
      <c r="AP87" s="285"/>
      <c r="AQ87" s="285"/>
      <c r="AR87" s="285"/>
      <c r="AS87" s="285"/>
      <c r="AT87" s="127">
        <f t="shared" ref="AT87:BE87" si="52">AT83-AT86</f>
        <v>207</v>
      </c>
      <c r="AU87" s="127">
        <f t="shared" si="52"/>
        <v>103</v>
      </c>
      <c r="AV87" s="127">
        <f t="shared" si="52"/>
        <v>34</v>
      </c>
      <c r="AW87" s="127">
        <f t="shared" si="52"/>
        <v>139</v>
      </c>
      <c r="AX87" s="127">
        <f t="shared" si="52"/>
        <v>104</v>
      </c>
      <c r="AY87" s="127">
        <f t="shared" si="52"/>
        <v>68</v>
      </c>
      <c r="AZ87" s="127">
        <f t="shared" si="52"/>
        <v>102</v>
      </c>
      <c r="BA87" s="127">
        <f t="shared" si="52"/>
        <v>68</v>
      </c>
      <c r="BB87" s="127">
        <f t="shared" si="52"/>
        <v>68</v>
      </c>
      <c r="BC87" s="127">
        <f t="shared" si="52"/>
        <v>102</v>
      </c>
      <c r="BD87" s="127">
        <f t="shared" si="52"/>
        <v>0</v>
      </c>
      <c r="BE87" s="127">
        <f t="shared" si="52"/>
        <v>995</v>
      </c>
      <c r="BF87" s="284"/>
      <c r="BG87" s="284"/>
      <c r="BH87" s="284"/>
      <c r="BI87" s="284"/>
      <c r="BJ87" s="284"/>
      <c r="BK87" s="284"/>
      <c r="BL87" s="284"/>
      <c r="BM87" s="284"/>
      <c r="BN87" s="284"/>
      <c r="BO87" s="284"/>
      <c r="BP87" s="284"/>
      <c r="BQ87" s="284"/>
      <c r="BR87" s="147"/>
      <c r="BS87" s="9">
        <f>BS83-BS86</f>
        <v>102</v>
      </c>
      <c r="BT87" s="17">
        <f>BT83-BT86</f>
        <v>1097</v>
      </c>
    </row>
  </sheetData>
  <mergeCells count="264">
    <mergeCell ref="AK53:AP53"/>
    <mergeCell ref="E54:J54"/>
    <mergeCell ref="E57:J57"/>
    <mergeCell ref="E58:J58"/>
    <mergeCell ref="B71:B73"/>
    <mergeCell ref="B10:B13"/>
    <mergeCell ref="B14:B18"/>
    <mergeCell ref="B19:B22"/>
    <mergeCell ref="B23:B26"/>
    <mergeCell ref="B27:B29"/>
    <mergeCell ref="B52:B56"/>
    <mergeCell ref="B57:B60"/>
    <mergeCell ref="B61:B64"/>
    <mergeCell ref="B65:B69"/>
    <mergeCell ref="P49:P51"/>
    <mergeCell ref="Q49:Q51"/>
    <mergeCell ref="R49:R51"/>
    <mergeCell ref="U49:U51"/>
    <mergeCell ref="AK49:AK51"/>
    <mergeCell ref="AL49:AL51"/>
    <mergeCell ref="AM49:AM51"/>
    <mergeCell ref="X49:X51"/>
    <mergeCell ref="Y49:Y51"/>
    <mergeCell ref="Z49:Z51"/>
    <mergeCell ref="AC49:AC51"/>
    <mergeCell ref="AD49:AD51"/>
    <mergeCell ref="AE49:AE51"/>
    <mergeCell ref="BK33:BK34"/>
    <mergeCell ref="BL33:BL34"/>
    <mergeCell ref="BJ79:BJ80"/>
    <mergeCell ref="BK79:BK80"/>
    <mergeCell ref="BL79:BL80"/>
    <mergeCell ref="AW33:AW34"/>
    <mergeCell ref="AW7:AW8"/>
    <mergeCell ref="AX33:AX34"/>
    <mergeCell ref="AY33:AY34"/>
    <mergeCell ref="BF7:BF8"/>
    <mergeCell ref="BH7:BH8"/>
    <mergeCell ref="BG7:BG8"/>
    <mergeCell ref="BE33:BE34"/>
    <mergeCell ref="BF38:BQ40"/>
    <mergeCell ref="BF41:BQ41"/>
    <mergeCell ref="AW79:AW80"/>
    <mergeCell ref="BI49:BI50"/>
    <mergeCell ref="BM49:BM50"/>
    <mergeCell ref="BP7:BP8"/>
    <mergeCell ref="BQ7:BQ8"/>
    <mergeCell ref="BH49:BH50"/>
    <mergeCell ref="BJ33:BJ34"/>
    <mergeCell ref="BP49:BP50"/>
    <mergeCell ref="BQ49:BQ50"/>
    <mergeCell ref="AV33:AV34"/>
    <mergeCell ref="AU7:AU8"/>
    <mergeCell ref="AV7:AV8"/>
    <mergeCell ref="U2:V2"/>
    <mergeCell ref="U44:V44"/>
    <mergeCell ref="AM33:AN41"/>
    <mergeCell ref="AO37:AS37"/>
    <mergeCell ref="AT7:AT8"/>
    <mergeCell ref="V7:V9"/>
    <mergeCell ref="AL33:AL41"/>
    <mergeCell ref="AC7:AC9"/>
    <mergeCell ref="AF2:AH3"/>
    <mergeCell ref="AU33:AU34"/>
    <mergeCell ref="AT33:AT34"/>
    <mergeCell ref="BF84:BQ86"/>
    <mergeCell ref="BF87:BQ87"/>
    <mergeCell ref="AO87:AS87"/>
    <mergeCell ref="AU38:AV38"/>
    <mergeCell ref="AU39:AV39"/>
    <mergeCell ref="BA38:BB38"/>
    <mergeCell ref="AU84:AV84"/>
    <mergeCell ref="BA84:BB84"/>
    <mergeCell ref="AU85:AV85"/>
    <mergeCell ref="AO81:AS81"/>
    <mergeCell ref="AO82:AS82"/>
    <mergeCell ref="AO83:AS83"/>
    <mergeCell ref="AO84:AS84"/>
    <mergeCell ref="AO85:AS85"/>
    <mergeCell ref="AO86:AS86"/>
    <mergeCell ref="AO38:AS38"/>
    <mergeCell ref="AO39:AS39"/>
    <mergeCell ref="AO40:AS40"/>
    <mergeCell ref="AO41:AS41"/>
    <mergeCell ref="AO79:AS80"/>
    <mergeCell ref="AT49:AT50"/>
    <mergeCell ref="AT79:AT80"/>
    <mergeCell ref="AU79:AU80"/>
    <mergeCell ref="AV79:AV80"/>
    <mergeCell ref="BT79:BT80"/>
    <mergeCell ref="B4:BT4"/>
    <mergeCell ref="B46:BT46"/>
    <mergeCell ref="AO33:AS34"/>
    <mergeCell ref="AO35:AS35"/>
    <mergeCell ref="AO36:AS36"/>
    <mergeCell ref="BM79:BM80"/>
    <mergeCell ref="BN79:BN80"/>
    <mergeCell ref="BO79:BO80"/>
    <mergeCell ref="BP79:BP80"/>
    <mergeCell ref="BQ79:BQ80"/>
    <mergeCell ref="BS79:BS80"/>
    <mergeCell ref="BD79:BD80"/>
    <mergeCell ref="BE79:BE80"/>
    <mergeCell ref="BF79:BF80"/>
    <mergeCell ref="BG79:BG80"/>
    <mergeCell ref="BH79:BH80"/>
    <mergeCell ref="BI79:BI80"/>
    <mergeCell ref="AX79:AX80"/>
    <mergeCell ref="AY79:AY80"/>
    <mergeCell ref="AZ79:AZ80"/>
    <mergeCell ref="BA79:BA80"/>
    <mergeCell ref="BB79:BB80"/>
    <mergeCell ref="BC79:BC80"/>
    <mergeCell ref="AT47:BE47"/>
    <mergeCell ref="BJ49:BJ50"/>
    <mergeCell ref="BK49:BK50"/>
    <mergeCell ref="BL49:BL50"/>
    <mergeCell ref="BF49:BF50"/>
    <mergeCell ref="BG49:BG50"/>
    <mergeCell ref="BE48:BE51"/>
    <mergeCell ref="AU49:AU50"/>
    <mergeCell ref="AV49:AV50"/>
    <mergeCell ref="AW49:AW50"/>
    <mergeCell ref="AX49:AX50"/>
    <mergeCell ref="AY49:AY50"/>
    <mergeCell ref="AZ49:AZ50"/>
    <mergeCell ref="BA49:BA50"/>
    <mergeCell ref="BB49:BB50"/>
    <mergeCell ref="BC49:BC50"/>
    <mergeCell ref="BD49:BD50"/>
    <mergeCell ref="BT47:BT51"/>
    <mergeCell ref="BF48:BN48"/>
    <mergeCell ref="BS33:BS34"/>
    <mergeCell ref="BT33:BT34"/>
    <mergeCell ref="B47:B51"/>
    <mergeCell ref="C47:C51"/>
    <mergeCell ref="D47:D50"/>
    <mergeCell ref="BO33:BO34"/>
    <mergeCell ref="BP33:BP34"/>
    <mergeCell ref="BQ33:BQ34"/>
    <mergeCell ref="BG33:BG34"/>
    <mergeCell ref="BH33:BH34"/>
    <mergeCell ref="BI33:BI34"/>
    <mergeCell ref="BM33:BM34"/>
    <mergeCell ref="BN33:BN34"/>
    <mergeCell ref="AZ33:AZ34"/>
    <mergeCell ref="BA33:BA34"/>
    <mergeCell ref="BB33:BB34"/>
    <mergeCell ref="BC33:BC34"/>
    <mergeCell ref="BD33:BD34"/>
    <mergeCell ref="BF33:BF34"/>
    <mergeCell ref="BS48:BS51"/>
    <mergeCell ref="E49:E51"/>
    <mergeCell ref="F49:F51"/>
    <mergeCell ref="BF5:BS5"/>
    <mergeCell ref="BS6:BS9"/>
    <mergeCell ref="AT5:BE5"/>
    <mergeCell ref="BE6:BE9"/>
    <mergeCell ref="AX7:AX8"/>
    <mergeCell ref="AY7:AY8"/>
    <mergeCell ref="AZ7:AZ8"/>
    <mergeCell ref="BA7:BA8"/>
    <mergeCell ref="BB7:BB8"/>
    <mergeCell ref="BC7:BC8"/>
    <mergeCell ref="BD7:BD8"/>
    <mergeCell ref="BJ7:BJ8"/>
    <mergeCell ref="BK7:BK8"/>
    <mergeCell ref="BL7:BL8"/>
    <mergeCell ref="BR7:BR8"/>
    <mergeCell ref="BT5:BT9"/>
    <mergeCell ref="B5:B9"/>
    <mergeCell ref="C5:C9"/>
    <mergeCell ref="D5:D8"/>
    <mergeCell ref="BI7:BI8"/>
    <mergeCell ref="BM7:BM8"/>
    <mergeCell ref="BF6:BN6"/>
    <mergeCell ref="BN7:BN9"/>
    <mergeCell ref="AG7:AG9"/>
    <mergeCell ref="AH7:AH9"/>
    <mergeCell ref="AK7:AK9"/>
    <mergeCell ref="AL7:AL9"/>
    <mergeCell ref="AM7:AM9"/>
    <mergeCell ref="AN7:AN9"/>
    <mergeCell ref="H7:H9"/>
    <mergeCell ref="X7:X9"/>
    <mergeCell ref="P7:P9"/>
    <mergeCell ref="Q7:Q9"/>
    <mergeCell ref="R7:R9"/>
    <mergeCell ref="AD7:AD9"/>
    <mergeCell ref="AE7:AE9"/>
    <mergeCell ref="AF7:AF9"/>
    <mergeCell ref="U7:U9"/>
    <mergeCell ref="BO7:BO8"/>
    <mergeCell ref="AL79:AL87"/>
    <mergeCell ref="AS5:AS8"/>
    <mergeCell ref="Y7:Y9"/>
    <mergeCell ref="Z7:Z9"/>
    <mergeCell ref="E7:E9"/>
    <mergeCell ref="F7:F9"/>
    <mergeCell ref="G7:G9"/>
    <mergeCell ref="I7:I9"/>
    <mergeCell ref="J7:J9"/>
    <mergeCell ref="M7:M9"/>
    <mergeCell ref="N7:N9"/>
    <mergeCell ref="O7:O9"/>
    <mergeCell ref="AO7:AO9"/>
    <mergeCell ref="AP7:AP9"/>
    <mergeCell ref="AM79:AN87"/>
    <mergeCell ref="W7:W9"/>
    <mergeCell ref="G49:G51"/>
    <mergeCell ref="H49:H51"/>
    <mergeCell ref="I49:I51"/>
    <mergeCell ref="J49:J51"/>
    <mergeCell ref="M49:M51"/>
    <mergeCell ref="AR49:AR51"/>
    <mergeCell ref="V49:V51"/>
    <mergeCell ref="AH49:AH51"/>
    <mergeCell ref="E2:T2"/>
    <mergeCell ref="AI2:AM3"/>
    <mergeCell ref="E44:T44"/>
    <mergeCell ref="E47:L48"/>
    <mergeCell ref="M47:T48"/>
    <mergeCell ref="U47:AB48"/>
    <mergeCell ref="AC47:AJ48"/>
    <mergeCell ref="AK47:AR48"/>
    <mergeCell ref="S7:S9"/>
    <mergeCell ref="T7:T9"/>
    <mergeCell ref="AA7:AA9"/>
    <mergeCell ref="AB7:AB9"/>
    <mergeCell ref="AI7:AI9"/>
    <mergeCell ref="AJ7:AJ9"/>
    <mergeCell ref="AQ7:AQ9"/>
    <mergeCell ref="AR7:AR9"/>
    <mergeCell ref="M5:T6"/>
    <mergeCell ref="U5:AB6"/>
    <mergeCell ref="AC5:AJ6"/>
    <mergeCell ref="AK5:AR6"/>
    <mergeCell ref="K7:K9"/>
    <mergeCell ref="L7:L9"/>
    <mergeCell ref="E5:L6"/>
    <mergeCell ref="BR33:BR34"/>
    <mergeCell ref="BR49:BR50"/>
    <mergeCell ref="BR79:BR80"/>
    <mergeCell ref="K49:K51"/>
    <mergeCell ref="L49:L51"/>
    <mergeCell ref="S49:S51"/>
    <mergeCell ref="T49:T51"/>
    <mergeCell ref="AA49:AA51"/>
    <mergeCell ref="AB49:AB51"/>
    <mergeCell ref="AI49:AI51"/>
    <mergeCell ref="AJ49:AJ51"/>
    <mergeCell ref="AQ49:AQ51"/>
    <mergeCell ref="N49:N51"/>
    <mergeCell ref="O49:O51"/>
    <mergeCell ref="AN49:AN51"/>
    <mergeCell ref="AO49:AO51"/>
    <mergeCell ref="AP49:AP51"/>
    <mergeCell ref="AF49:AF51"/>
    <mergeCell ref="AG49:AG51"/>
    <mergeCell ref="W49:W51"/>
    <mergeCell ref="AS47:AS50"/>
    <mergeCell ref="BF47:BS47"/>
    <mergeCell ref="BN49:BN51"/>
    <mergeCell ref="BO49:BO50"/>
  </mergeCells>
  <phoneticPr fontId="5" type="noConversion"/>
  <pageMargins left="0.7" right="0.7" top="0.75" bottom="0.75" header="0.3" footer="0.3"/>
  <pageSetup paperSize="9" scale="44" fitToHeight="0" orientation="landscape" r:id="rId1"/>
  <ignoredErrors>
    <ignoredError sqref="BE32 BE74:BE76 BE78:BE80 BN78 BE10:BE30 BN74:BN76 BN52:BN69 BE52:BE6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filterMode="1">
    <tabColor rgb="FFFF5050"/>
  </sheetPr>
  <dimension ref="A1:R926"/>
  <sheetViews>
    <sheetView zoomScaleNormal="100" workbookViewId="0">
      <pane ySplit="6" topLeftCell="A7" activePane="bottomLeft" state="frozen"/>
      <selection pane="bottomLeft" activeCell="I6" sqref="I6:I7"/>
    </sheetView>
  </sheetViews>
  <sheetFormatPr defaultColWidth="8.88671875" defaultRowHeight="13.5"/>
  <cols>
    <col min="1" max="1" width="4.77734375" style="29" customWidth="1"/>
    <col min="2" max="2" width="9" style="22" customWidth="1"/>
    <col min="3" max="3" width="3.44140625" style="22" customWidth="1"/>
    <col min="4" max="4" width="5.44140625" style="23" customWidth="1"/>
    <col min="5" max="5" width="4.88671875" style="23" customWidth="1"/>
    <col min="6" max="6" width="4.109375" style="23" customWidth="1"/>
    <col min="7" max="7" width="4.44140625" style="29" customWidth="1"/>
    <col min="8" max="8" width="8.77734375" style="23" customWidth="1"/>
    <col min="9" max="9" width="6.77734375" style="37" customWidth="1"/>
    <col min="10" max="10" width="7.109375" style="29" customWidth="1"/>
    <col min="11" max="11" width="24" style="136" bestFit="1" customWidth="1"/>
    <col min="12" max="12" width="46.21875" style="136" customWidth="1"/>
    <col min="13" max="14" width="8" style="118" customWidth="1"/>
    <col min="15" max="16" width="6.88671875" style="118" customWidth="1"/>
    <col min="17" max="17" width="19.77734375" style="83" customWidth="1"/>
    <col min="18" max="18" width="17.88671875" style="104" customWidth="1"/>
    <col min="19" max="16384" width="8.88671875" style="1"/>
  </cols>
  <sheetData>
    <row r="1" spans="1:18" ht="14.25" thickBot="1"/>
    <row r="2" spans="1:18" ht="27" customHeight="1" thickBot="1">
      <c r="A2" s="47">
        <v>1</v>
      </c>
      <c r="B2" s="48" t="s">
        <v>76</v>
      </c>
      <c r="C2" s="49"/>
      <c r="D2" s="49" t="s">
        <v>77</v>
      </c>
      <c r="E2" s="49"/>
      <c r="F2" s="49"/>
      <c r="G2" s="49"/>
      <c r="H2" s="49"/>
      <c r="I2" s="70"/>
      <c r="J2" s="36"/>
      <c r="K2" s="84"/>
      <c r="L2" s="84"/>
      <c r="M2" s="84"/>
      <c r="N2" s="84"/>
      <c r="O2" s="84"/>
      <c r="P2" s="84"/>
      <c r="Q2" s="84"/>
      <c r="R2" s="105"/>
    </row>
    <row r="3" spans="1:18" s="58" customFormat="1" ht="27" customHeight="1">
      <c r="A3" s="52"/>
      <c r="B3" s="52"/>
      <c r="C3" s="53"/>
      <c r="D3" s="53"/>
      <c r="E3" s="53"/>
      <c r="F3" s="53"/>
      <c r="G3" s="53"/>
      <c r="H3" s="54"/>
      <c r="I3" s="53"/>
      <c r="J3" s="55"/>
      <c r="K3" s="141"/>
      <c r="L3" s="141"/>
      <c r="M3" s="85"/>
      <c r="N3" s="85"/>
      <c r="O3" s="85"/>
      <c r="P3" s="93"/>
      <c r="Q3" s="86"/>
      <c r="R3" s="106"/>
    </row>
    <row r="4" spans="1:18" s="58" customFormat="1" ht="27" customHeight="1">
      <c r="A4" s="69"/>
      <c r="B4" s="69"/>
      <c r="C4" s="69"/>
      <c r="D4" s="69"/>
      <c r="E4" s="69"/>
      <c r="F4" s="69"/>
      <c r="G4" s="69"/>
      <c r="H4" s="69"/>
      <c r="I4" s="69"/>
      <c r="J4" s="69"/>
      <c r="K4" s="139" t="s">
        <v>106</v>
      </c>
      <c r="L4" s="140" t="s">
        <v>107</v>
      </c>
      <c r="M4" s="85"/>
      <c r="N4" s="85"/>
      <c r="O4" s="85"/>
      <c r="P4" s="85"/>
      <c r="Q4" s="85"/>
      <c r="R4" s="107"/>
    </row>
    <row r="5" spans="1:18" s="58" customFormat="1">
      <c r="A5" s="55"/>
      <c r="B5" s="59"/>
      <c r="C5" s="59"/>
      <c r="D5" s="60"/>
      <c r="E5" s="60"/>
      <c r="F5" s="60"/>
      <c r="G5" s="55"/>
      <c r="H5" s="60"/>
      <c r="I5" s="57"/>
      <c r="J5" s="55"/>
      <c r="K5" s="85"/>
      <c r="L5" s="85"/>
      <c r="M5" s="93"/>
      <c r="N5" s="93"/>
      <c r="O5" s="93"/>
      <c r="P5" s="93"/>
      <c r="Q5" s="86"/>
      <c r="R5" s="106"/>
    </row>
    <row r="6" spans="1:18" s="58" customFormat="1" ht="30.75" customHeight="1">
      <c r="A6" s="61" t="s">
        <v>73</v>
      </c>
      <c r="B6" s="61" t="s">
        <v>59</v>
      </c>
      <c r="C6" s="61" t="s">
        <v>66</v>
      </c>
      <c r="D6" s="62" t="s">
        <v>65</v>
      </c>
      <c r="E6" s="63" t="s">
        <v>86</v>
      </c>
      <c r="F6" s="62" t="s">
        <v>87</v>
      </c>
      <c r="G6" s="63" t="s">
        <v>50</v>
      </c>
      <c r="H6" s="62" t="s">
        <v>53</v>
      </c>
      <c r="I6" s="64" t="s">
        <v>67</v>
      </c>
      <c r="J6" s="63" t="s">
        <v>89</v>
      </c>
      <c r="K6" s="87" t="s">
        <v>54</v>
      </c>
      <c r="L6" s="87" t="s">
        <v>55</v>
      </c>
      <c r="M6" s="94" t="s">
        <v>56</v>
      </c>
      <c r="N6" s="94" t="s">
        <v>51</v>
      </c>
      <c r="O6" s="94" t="s">
        <v>57</v>
      </c>
      <c r="P6" s="94" t="s">
        <v>58</v>
      </c>
      <c r="Q6" s="95" t="s">
        <v>52</v>
      </c>
      <c r="R6" s="108" t="s">
        <v>69</v>
      </c>
    </row>
    <row r="7" spans="1:18">
      <c r="A7" s="30">
        <v>1</v>
      </c>
      <c r="B7" s="24">
        <f>DATE('1.연간시수표'!$U$2,'1.연간시수표'!$X$2,'1.연간시수표'!$Z$2)+QUOTIENT(ROW(A1)-1,8)+(QUOTIENT(ROW(A1)-1,40)*2)</f>
        <v>44620</v>
      </c>
      <c r="C7" s="24" t="str">
        <f t="shared" ref="C7:C70" si="0">IF(WEEKDAY(B7,2)=1,"월",IF(WEEKDAY(B7,2)=2,"화",IF(WEEKDAY(B7,2)=3,"수",IF(WEEKDAY(B7,2)=4,"목",IF(WEEKDAY(B7,2)=5,"금")))))</f>
        <v>월</v>
      </c>
      <c r="D7" s="20" t="str">
        <f t="shared" ref="D7:D70" si="1">TEXT(MOD(ROW(A1)-1,8)+1,"#교시")</f>
        <v>1교시</v>
      </c>
      <c r="E7" s="68">
        <f>COUNTIF($H$7:$H7,$H7)</f>
        <v>1</v>
      </c>
      <c r="F7" s="67">
        <f>'1.연간시수표'!$AL$33</f>
        <v>5</v>
      </c>
      <c r="G7" s="28">
        <f t="shared" ref="G7:G70" si="2">$A$2</f>
        <v>1</v>
      </c>
      <c r="H7" s="81" t="str">
        <f>INDEX('0.시간표데이터'!$E$10:$AR$32,QUOTIENT(ROW(A1)-1,40)+1,MOD(ROW(A1)-1,40)+1)</f>
        <v>_</v>
      </c>
      <c r="I7" s="31"/>
      <c r="J7" s="26"/>
      <c r="K7" s="173"/>
      <c r="L7" s="173"/>
      <c r="M7" s="10"/>
      <c r="N7" s="10"/>
      <c r="O7" s="10"/>
      <c r="P7" s="10"/>
      <c r="Q7" s="164"/>
      <c r="R7" s="109"/>
    </row>
    <row r="8" spans="1:18">
      <c r="A8" s="30">
        <v>2</v>
      </c>
      <c r="B8" s="24">
        <f>DATE('1.연간시수표'!$U$2,'1.연간시수표'!$X$2,'1.연간시수표'!$Z$2)+QUOTIENT(ROW(A2)-1,8)+(QUOTIENT(ROW(A2)-1,40)*2)</f>
        <v>44620</v>
      </c>
      <c r="C8" s="24" t="str">
        <f t="shared" si="0"/>
        <v>월</v>
      </c>
      <c r="D8" s="91" t="str">
        <f t="shared" si="1"/>
        <v>2교시</v>
      </c>
      <c r="E8" s="68">
        <f>COUNTIF($H$7:$H8,$H8)</f>
        <v>2</v>
      </c>
      <c r="F8" s="67">
        <f>'1.연간시수표'!$AL$33</f>
        <v>5</v>
      </c>
      <c r="G8" s="89">
        <f t="shared" si="2"/>
        <v>1</v>
      </c>
      <c r="H8" s="91" t="str">
        <f>INDEX('0.시간표데이터'!$E$10:$AR$32,QUOTIENT(ROW(A2)-1,40)+1,MOD(ROW(A2)-1,40)+1)</f>
        <v>_</v>
      </c>
      <c r="I8" s="161"/>
      <c r="J8" s="26"/>
      <c r="K8" s="173"/>
      <c r="L8" s="173"/>
      <c r="M8" s="10"/>
      <c r="N8" s="10"/>
      <c r="O8" s="10"/>
      <c r="P8" s="10"/>
      <c r="Q8" s="164"/>
      <c r="R8" s="109"/>
    </row>
    <row r="9" spans="1:18" ht="13.5" hidden="1" customHeight="1">
      <c r="A9" s="30">
        <v>3</v>
      </c>
      <c r="B9" s="24">
        <f>DATE('1.연간시수표'!$U$2,'1.연간시수표'!$X$2,'1.연간시수표'!$Z$2)+QUOTIENT(ROW(A3)-1,8)+(QUOTIENT(ROW(A3)-1,40)*2)</f>
        <v>44620</v>
      </c>
      <c r="C9" s="24" t="str">
        <f t="shared" si="0"/>
        <v>월</v>
      </c>
      <c r="D9" s="91" t="str">
        <f t="shared" si="1"/>
        <v>3교시</v>
      </c>
      <c r="E9" s="68">
        <f>COUNTIF($H$7:$H9,$H9)</f>
        <v>3</v>
      </c>
      <c r="F9" s="67">
        <f>'1.연간시수표'!$AL$33</f>
        <v>5</v>
      </c>
      <c r="G9" s="89">
        <f t="shared" si="2"/>
        <v>1</v>
      </c>
      <c r="H9" s="91" t="str">
        <f>INDEX('0.시간표데이터'!$E$10:$AR$32,QUOTIENT(ROW(A3)-1,40)+1,MOD(ROW(A3)-1,40)+1)</f>
        <v>_</v>
      </c>
      <c r="I9" s="77"/>
      <c r="J9" s="26"/>
      <c r="K9" s="162"/>
      <c r="L9" s="162"/>
      <c r="M9" s="163"/>
      <c r="N9" s="98"/>
      <c r="O9" s="99"/>
      <c r="P9" s="99"/>
      <c r="Q9" s="164"/>
      <c r="R9" s="110"/>
    </row>
    <row r="10" spans="1:18" ht="13.5" hidden="1" customHeight="1">
      <c r="A10" s="30">
        <v>4</v>
      </c>
      <c r="B10" s="24">
        <f>DATE('1.연간시수표'!$U$2,'1.연간시수표'!$X$2,'1.연간시수표'!$Z$2)+QUOTIENT(ROW(A4)-1,8)+(QUOTIENT(ROW(A4)-1,40)*2)</f>
        <v>44620</v>
      </c>
      <c r="C10" s="24" t="str">
        <f t="shared" si="0"/>
        <v>월</v>
      </c>
      <c r="D10" s="91" t="str">
        <f t="shared" si="1"/>
        <v>4교시</v>
      </c>
      <c r="E10" s="68">
        <f>COUNTIF($H$7:$H10,$H10)</f>
        <v>4</v>
      </c>
      <c r="F10" s="67">
        <f>'1.연간시수표'!$AL$33</f>
        <v>5</v>
      </c>
      <c r="G10" s="89">
        <f t="shared" si="2"/>
        <v>1</v>
      </c>
      <c r="H10" s="91" t="str">
        <f>INDEX('0.시간표데이터'!$E$10:$AR$32,QUOTIENT(ROW(A4)-1,40)+1,MOD(ROW(A4)-1,40)+1)</f>
        <v>_</v>
      </c>
      <c r="I10" s="77"/>
      <c r="J10" s="26"/>
      <c r="K10" s="165"/>
      <c r="L10" s="165"/>
      <c r="M10" s="166"/>
      <c r="N10" s="166"/>
      <c r="O10" s="166"/>
      <c r="P10" s="166"/>
      <c r="Q10" s="164"/>
      <c r="R10" s="110"/>
    </row>
    <row r="11" spans="1:18" ht="13.5" hidden="1" customHeight="1">
      <c r="A11" s="30">
        <v>5</v>
      </c>
      <c r="B11" s="24">
        <f>DATE('1.연간시수표'!$U$2,'1.연간시수표'!$X$2,'1.연간시수표'!$Z$2)+QUOTIENT(ROW(A5)-1,8)+(QUOTIENT(ROW(A5)-1,40)*2)</f>
        <v>44620</v>
      </c>
      <c r="C11" s="24" t="str">
        <f t="shared" si="0"/>
        <v>월</v>
      </c>
      <c r="D11" s="91" t="str">
        <f t="shared" si="1"/>
        <v>5교시</v>
      </c>
      <c r="E11" s="68">
        <f>COUNTIF($H$7:$H11,$H11)</f>
        <v>5</v>
      </c>
      <c r="F11" s="67">
        <f>'1.연간시수표'!$AL$33</f>
        <v>5</v>
      </c>
      <c r="G11" s="89">
        <f t="shared" si="2"/>
        <v>1</v>
      </c>
      <c r="H11" s="91" t="str">
        <f>INDEX('0.시간표데이터'!$E$10:$AR$32,QUOTIENT(ROW(A5)-1,40)+1,MOD(ROW(A5)-1,40)+1)</f>
        <v>_</v>
      </c>
      <c r="I11" s="77"/>
      <c r="J11" s="26"/>
      <c r="K11" s="165"/>
      <c r="L11" s="165"/>
      <c r="M11" s="166"/>
      <c r="N11" s="166"/>
      <c r="O11" s="166"/>
      <c r="P11" s="166"/>
      <c r="Q11" s="164"/>
      <c r="R11" s="110"/>
    </row>
    <row r="12" spans="1:18" ht="13.5" hidden="1" customHeight="1">
      <c r="A12" s="30">
        <v>6</v>
      </c>
      <c r="B12" s="24">
        <f>DATE('1.연간시수표'!$U$2,'1.연간시수표'!$X$2,'1.연간시수표'!$Z$2)+QUOTIENT(ROW(A6)-1,8)+(QUOTIENT(ROW(A6)-1,40)*2)</f>
        <v>44620</v>
      </c>
      <c r="C12" s="24" t="str">
        <f t="shared" si="0"/>
        <v>월</v>
      </c>
      <c r="D12" s="91" t="str">
        <f t="shared" si="1"/>
        <v>6교시</v>
      </c>
      <c r="E12" s="68">
        <f>COUNTIF($H$7:$H12,$H12)</f>
        <v>6</v>
      </c>
      <c r="F12" s="67">
        <f>'1.연간시수표'!$AL$33</f>
        <v>5</v>
      </c>
      <c r="G12" s="89">
        <f t="shared" si="2"/>
        <v>1</v>
      </c>
      <c r="H12" s="91" t="str">
        <f>INDEX('0.시간표데이터'!$E$10:$AR$32,QUOTIENT(ROW(A6)-1,40)+1,MOD(ROW(A6)-1,40)+1)</f>
        <v>_</v>
      </c>
      <c r="I12" s="77"/>
      <c r="J12" s="26"/>
      <c r="K12" s="165"/>
      <c r="L12" s="165"/>
      <c r="M12" s="166"/>
      <c r="N12" s="166"/>
      <c r="O12" s="166"/>
      <c r="P12" s="166"/>
      <c r="Q12" s="164"/>
      <c r="R12" s="110"/>
    </row>
    <row r="13" spans="1:18" ht="13.5" hidden="1" customHeight="1">
      <c r="A13" s="30">
        <v>7</v>
      </c>
      <c r="B13" s="24">
        <f>DATE('1.연간시수표'!$U$2,'1.연간시수표'!$X$2,'1.연간시수표'!$Z$2)+QUOTIENT(ROW(A7)-1,8)+(QUOTIENT(ROW(A7)-1,40)*2)</f>
        <v>44620</v>
      </c>
      <c r="C13" s="24" t="str">
        <f t="shared" si="0"/>
        <v>월</v>
      </c>
      <c r="D13" s="91" t="str">
        <f t="shared" si="1"/>
        <v>7교시</v>
      </c>
      <c r="E13" s="68">
        <f>COUNTIF($H$7:$H13,$H13)</f>
        <v>7</v>
      </c>
      <c r="F13" s="67">
        <f>'1.연간시수표'!$AL$33</f>
        <v>5</v>
      </c>
      <c r="G13" s="89">
        <f t="shared" si="2"/>
        <v>1</v>
      </c>
      <c r="H13" s="91" t="str">
        <f>INDEX('0.시간표데이터'!$E$10:$AR$32,QUOTIENT(ROW(A7)-1,40)+1,MOD(ROW(A7)-1,40)+1)</f>
        <v>_</v>
      </c>
      <c r="I13" s="76"/>
      <c r="J13" s="26"/>
      <c r="K13" s="165"/>
      <c r="L13" s="165"/>
      <c r="M13" s="166"/>
      <c r="N13" s="166"/>
      <c r="O13" s="166"/>
      <c r="P13" s="166"/>
      <c r="Q13" s="167"/>
      <c r="R13" s="111"/>
    </row>
    <row r="14" spans="1:18" ht="13.5" hidden="1" customHeight="1">
      <c r="A14" s="30">
        <v>8</v>
      </c>
      <c r="B14" s="24">
        <f>DATE('1.연간시수표'!$U$2,'1.연간시수표'!$X$2,'1.연간시수표'!$Z$2)+QUOTIENT(ROW(A8)-1,8)+(QUOTIENT(ROW(A8)-1,40)*2)</f>
        <v>44620</v>
      </c>
      <c r="C14" s="24" t="str">
        <f t="shared" si="0"/>
        <v>월</v>
      </c>
      <c r="D14" s="91" t="str">
        <f t="shared" si="1"/>
        <v>8교시</v>
      </c>
      <c r="E14" s="68">
        <f>COUNTIF($H$7:$H14,$H14)</f>
        <v>8</v>
      </c>
      <c r="F14" s="67">
        <f>'1.연간시수표'!$AL$33</f>
        <v>5</v>
      </c>
      <c r="G14" s="89">
        <f t="shared" si="2"/>
        <v>1</v>
      </c>
      <c r="H14" s="91" t="str">
        <f>INDEX('0.시간표데이터'!$E$10:$AR$32,QUOTIENT(ROW(A8)-1,40)+1,MOD(ROW(A8)-1,40)+1)</f>
        <v>_</v>
      </c>
      <c r="I14" s="76"/>
      <c r="J14" s="26"/>
      <c r="K14" s="165"/>
      <c r="L14" s="165"/>
      <c r="M14" s="166"/>
      <c r="N14" s="166"/>
      <c r="O14" s="166"/>
      <c r="P14" s="166"/>
      <c r="Q14" s="167"/>
      <c r="R14" s="111"/>
    </row>
    <row r="15" spans="1:18" ht="13.5" hidden="1" customHeight="1">
      <c r="A15" s="30">
        <v>9</v>
      </c>
      <c r="B15" s="24">
        <f>DATE('1.연간시수표'!$U$2,'1.연간시수표'!$X$2,'1.연간시수표'!$Z$2)+QUOTIENT(ROW(A9)-1,8)+(QUOTIENT(ROW(A9)-1,40)*2)</f>
        <v>44621</v>
      </c>
      <c r="C15" s="24" t="str">
        <f t="shared" si="0"/>
        <v>화</v>
      </c>
      <c r="D15" s="91" t="str">
        <f t="shared" si="1"/>
        <v>1교시</v>
      </c>
      <c r="E15" s="68">
        <f>COUNTIF($H$7:$H15,$H15)</f>
        <v>9</v>
      </c>
      <c r="F15" s="67">
        <f>'1.연간시수표'!$AL$33</f>
        <v>5</v>
      </c>
      <c r="G15" s="89">
        <f t="shared" si="2"/>
        <v>1</v>
      </c>
      <c r="H15" s="91" t="str">
        <f>INDEX('0.시간표데이터'!$E$10:$AR$32,QUOTIENT(ROW(A9)-1,40)+1,MOD(ROW(A9)-1,40)+1)</f>
        <v>_</v>
      </c>
      <c r="I15" s="77"/>
      <c r="J15" s="26"/>
      <c r="K15" s="162"/>
      <c r="L15" s="162"/>
      <c r="M15" s="163"/>
      <c r="N15" s="98"/>
      <c r="O15" s="99"/>
      <c r="P15" s="99"/>
      <c r="Q15" s="167"/>
      <c r="R15" s="111"/>
    </row>
    <row r="16" spans="1:18" ht="13.5" hidden="1" customHeight="1">
      <c r="A16" s="30">
        <v>10</v>
      </c>
      <c r="B16" s="24">
        <f>DATE('1.연간시수표'!$U$2,'1.연간시수표'!$X$2,'1.연간시수표'!$Z$2)+QUOTIENT(ROW(A10)-1,8)+(QUOTIENT(ROW(A10)-1,40)*2)</f>
        <v>44621</v>
      </c>
      <c r="C16" s="24" t="str">
        <f t="shared" si="0"/>
        <v>화</v>
      </c>
      <c r="D16" s="91" t="str">
        <f t="shared" si="1"/>
        <v>2교시</v>
      </c>
      <c r="E16" s="68">
        <f>COUNTIF($H$7:$H16,$H16)</f>
        <v>10</v>
      </c>
      <c r="F16" s="67">
        <f>'1.연간시수표'!$AL$33</f>
        <v>5</v>
      </c>
      <c r="G16" s="89">
        <f t="shared" si="2"/>
        <v>1</v>
      </c>
      <c r="H16" s="91" t="str">
        <f>INDEX('0.시간표데이터'!$E$10:$AR$32,QUOTIENT(ROW(A10)-1,40)+1,MOD(ROW(A10)-1,40)+1)</f>
        <v>_</v>
      </c>
      <c r="I16" s="161"/>
      <c r="J16" s="26"/>
      <c r="K16" s="165"/>
      <c r="L16" s="165"/>
      <c r="M16" s="166"/>
      <c r="N16" s="166"/>
      <c r="O16" s="166"/>
      <c r="P16" s="166"/>
      <c r="Q16" s="167"/>
      <c r="R16" s="111"/>
    </row>
    <row r="17" spans="1:18" ht="13.5" hidden="1" customHeight="1">
      <c r="A17" s="30">
        <v>11</v>
      </c>
      <c r="B17" s="24">
        <f>DATE('1.연간시수표'!$U$2,'1.연간시수표'!$X$2,'1.연간시수표'!$Z$2)+QUOTIENT(ROW(A11)-1,8)+(QUOTIENT(ROW(A11)-1,40)*2)</f>
        <v>44621</v>
      </c>
      <c r="C17" s="24" t="str">
        <f t="shared" si="0"/>
        <v>화</v>
      </c>
      <c r="D17" s="91" t="str">
        <f t="shared" si="1"/>
        <v>3교시</v>
      </c>
      <c r="E17" s="68">
        <f>COUNTIF($H$7:$H17,$H17)</f>
        <v>11</v>
      </c>
      <c r="F17" s="67">
        <f>'1.연간시수표'!$AL$33</f>
        <v>5</v>
      </c>
      <c r="G17" s="89">
        <f t="shared" si="2"/>
        <v>1</v>
      </c>
      <c r="H17" s="91" t="str">
        <f>INDEX('0.시간표데이터'!$E$10:$AR$32,QUOTIENT(ROW(A11)-1,40)+1,MOD(ROW(A11)-1,40)+1)</f>
        <v>_</v>
      </c>
      <c r="I17" s="77"/>
      <c r="J17" s="26"/>
      <c r="K17" s="165"/>
      <c r="L17" s="165"/>
      <c r="M17" s="166"/>
      <c r="N17" s="166"/>
      <c r="O17" s="166"/>
      <c r="P17" s="166"/>
      <c r="Q17" s="167"/>
      <c r="R17" s="111"/>
    </row>
    <row r="18" spans="1:18" ht="13.5" hidden="1" customHeight="1">
      <c r="A18" s="30">
        <v>12</v>
      </c>
      <c r="B18" s="24">
        <f>DATE('1.연간시수표'!$U$2,'1.연간시수표'!$X$2,'1.연간시수표'!$Z$2)+QUOTIENT(ROW(A12)-1,8)+(QUOTIENT(ROW(A12)-1,40)*2)</f>
        <v>44621</v>
      </c>
      <c r="C18" s="24" t="str">
        <f t="shared" si="0"/>
        <v>화</v>
      </c>
      <c r="D18" s="91" t="str">
        <f t="shared" si="1"/>
        <v>4교시</v>
      </c>
      <c r="E18" s="68">
        <f>COUNTIF($H$7:$H18,$H18)</f>
        <v>12</v>
      </c>
      <c r="F18" s="67">
        <f>'1.연간시수표'!$AL$33</f>
        <v>5</v>
      </c>
      <c r="G18" s="89">
        <f t="shared" si="2"/>
        <v>1</v>
      </c>
      <c r="H18" s="91" t="str">
        <f>INDEX('0.시간표데이터'!$E$10:$AR$32,QUOTIENT(ROW(A12)-1,40)+1,MOD(ROW(A12)-1,40)+1)</f>
        <v>_</v>
      </c>
      <c r="I18" s="77"/>
      <c r="J18" s="26"/>
      <c r="K18" s="165"/>
      <c r="L18" s="165"/>
      <c r="M18" s="166"/>
      <c r="N18" s="166"/>
      <c r="O18" s="166"/>
      <c r="P18" s="166"/>
      <c r="Q18" s="167"/>
      <c r="R18" s="111"/>
    </row>
    <row r="19" spans="1:18" ht="13.5" hidden="1" customHeight="1">
      <c r="A19" s="30">
        <v>13</v>
      </c>
      <c r="B19" s="24">
        <f>DATE('1.연간시수표'!$U$2,'1.연간시수표'!$X$2,'1.연간시수표'!$Z$2)+QUOTIENT(ROW(A13)-1,8)+(QUOTIENT(ROW(A13)-1,40)*2)</f>
        <v>44621</v>
      </c>
      <c r="C19" s="24" t="str">
        <f t="shared" si="0"/>
        <v>화</v>
      </c>
      <c r="D19" s="91" t="str">
        <f t="shared" si="1"/>
        <v>5교시</v>
      </c>
      <c r="E19" s="68">
        <f>COUNTIF($H$7:$H19,$H19)</f>
        <v>13</v>
      </c>
      <c r="F19" s="67">
        <f>'1.연간시수표'!$AL$33</f>
        <v>5</v>
      </c>
      <c r="G19" s="89">
        <f t="shared" si="2"/>
        <v>1</v>
      </c>
      <c r="H19" s="91" t="str">
        <f>INDEX('0.시간표데이터'!$E$10:$AR$32,QUOTIENT(ROW(A13)-1,40)+1,MOD(ROW(A13)-1,40)+1)</f>
        <v>_</v>
      </c>
      <c r="I19" s="77"/>
      <c r="J19" s="26"/>
      <c r="K19" s="137"/>
      <c r="L19" s="137"/>
      <c r="M19" s="114"/>
      <c r="N19" s="114"/>
      <c r="O19" s="114"/>
      <c r="P19" s="114"/>
      <c r="Q19" s="164"/>
      <c r="R19" s="110"/>
    </row>
    <row r="20" spans="1:18" ht="13.5" hidden="1" customHeight="1">
      <c r="A20" s="30">
        <v>14</v>
      </c>
      <c r="B20" s="24">
        <f>DATE('1.연간시수표'!$U$2,'1.연간시수표'!$X$2,'1.연간시수표'!$Z$2)+QUOTIENT(ROW(A14)-1,8)+(QUOTIENT(ROW(A14)-1,40)*2)</f>
        <v>44621</v>
      </c>
      <c r="C20" s="24" t="str">
        <f t="shared" si="0"/>
        <v>화</v>
      </c>
      <c r="D20" s="91" t="str">
        <f t="shared" si="1"/>
        <v>6교시</v>
      </c>
      <c r="E20" s="68">
        <f>COUNTIF($H$7:$H20,$H20)</f>
        <v>14</v>
      </c>
      <c r="F20" s="67">
        <f>'1.연간시수표'!$AL$33</f>
        <v>5</v>
      </c>
      <c r="G20" s="89">
        <f t="shared" si="2"/>
        <v>1</v>
      </c>
      <c r="H20" s="91" t="str">
        <f>INDEX('0.시간표데이터'!$E$10:$AR$32,QUOTIENT(ROW(A14)-1,40)+1,MOD(ROW(A14)-1,40)+1)</f>
        <v>_</v>
      </c>
      <c r="I20" s="77"/>
      <c r="J20" s="26"/>
      <c r="K20" s="165"/>
      <c r="L20" s="165"/>
      <c r="M20" s="166"/>
      <c r="N20" s="166"/>
      <c r="O20" s="166"/>
      <c r="P20" s="166"/>
      <c r="Q20" s="167"/>
      <c r="R20" s="111"/>
    </row>
    <row r="21" spans="1:18" ht="13.5" hidden="1" customHeight="1">
      <c r="A21" s="30">
        <v>15</v>
      </c>
      <c r="B21" s="24">
        <f>DATE('1.연간시수표'!$U$2,'1.연간시수표'!$X$2,'1.연간시수표'!$Z$2)+QUOTIENT(ROW(A15)-1,8)+(QUOTIENT(ROW(A15)-1,40)*2)</f>
        <v>44621</v>
      </c>
      <c r="C21" s="24" t="str">
        <f t="shared" si="0"/>
        <v>화</v>
      </c>
      <c r="D21" s="91" t="str">
        <f t="shared" si="1"/>
        <v>7교시</v>
      </c>
      <c r="E21" s="68">
        <f>COUNTIF($H$7:$H21,$H21)</f>
        <v>15</v>
      </c>
      <c r="F21" s="67">
        <f>'1.연간시수표'!$AL$33</f>
        <v>5</v>
      </c>
      <c r="G21" s="89">
        <f t="shared" si="2"/>
        <v>1</v>
      </c>
      <c r="H21" s="91" t="str">
        <f>INDEX('0.시간표데이터'!$E$10:$AR$32,QUOTIENT(ROW(A15)-1,40)+1,MOD(ROW(A15)-1,40)+1)</f>
        <v>_</v>
      </c>
      <c r="I21" s="76"/>
      <c r="J21" s="26"/>
      <c r="K21" s="165"/>
      <c r="L21" s="165"/>
      <c r="M21" s="166"/>
      <c r="N21" s="166"/>
      <c r="O21" s="166"/>
      <c r="P21" s="166"/>
      <c r="Q21" s="167"/>
      <c r="R21" s="111"/>
    </row>
    <row r="22" spans="1:18" ht="13.5" hidden="1" customHeight="1">
      <c r="A22" s="30">
        <v>16</v>
      </c>
      <c r="B22" s="24">
        <f>DATE('1.연간시수표'!$U$2,'1.연간시수표'!$X$2,'1.연간시수표'!$Z$2)+QUOTIENT(ROW(A16)-1,8)+(QUOTIENT(ROW(A16)-1,40)*2)</f>
        <v>44621</v>
      </c>
      <c r="C22" s="24" t="str">
        <f t="shared" si="0"/>
        <v>화</v>
      </c>
      <c r="D22" s="91" t="str">
        <f t="shared" si="1"/>
        <v>8교시</v>
      </c>
      <c r="E22" s="68">
        <f>COUNTIF($H$7:$H22,$H22)</f>
        <v>16</v>
      </c>
      <c r="F22" s="67">
        <f>'1.연간시수표'!$AL$33</f>
        <v>5</v>
      </c>
      <c r="G22" s="89">
        <f t="shared" si="2"/>
        <v>1</v>
      </c>
      <c r="H22" s="91" t="str">
        <f>INDEX('0.시간표데이터'!$E$10:$AR$32,QUOTIENT(ROW(A16)-1,40)+1,MOD(ROW(A16)-1,40)+1)</f>
        <v>_</v>
      </c>
      <c r="I22" s="76"/>
      <c r="J22" s="26"/>
      <c r="K22" s="165"/>
      <c r="L22" s="165"/>
      <c r="M22" s="166"/>
      <c r="N22" s="166"/>
      <c r="O22" s="166"/>
      <c r="P22" s="166"/>
      <c r="Q22" s="167"/>
      <c r="R22" s="111"/>
    </row>
    <row r="23" spans="1:18" ht="13.5" hidden="1" customHeight="1">
      <c r="A23" s="30">
        <v>17</v>
      </c>
      <c r="B23" s="24">
        <f>DATE('1.연간시수표'!$U$2,'1.연간시수표'!$X$2,'1.연간시수표'!$Z$2)+QUOTIENT(ROW(A17)-1,8)+(QUOTIENT(ROW(A17)-1,40)*2)</f>
        <v>44622</v>
      </c>
      <c r="C23" s="24" t="str">
        <f t="shared" si="0"/>
        <v>수</v>
      </c>
      <c r="D23" s="91" t="str">
        <f t="shared" si="1"/>
        <v>1교시</v>
      </c>
      <c r="E23" s="68">
        <f>COUNTIF($H$7:$H23,$H23)</f>
        <v>1</v>
      </c>
      <c r="F23" s="67">
        <f>'1.연간시수표'!$AL$33</f>
        <v>5</v>
      </c>
      <c r="G23" s="89">
        <f t="shared" si="2"/>
        <v>1</v>
      </c>
      <c r="H23" s="91" t="str">
        <f>INDEX('0.시간표데이터'!$E$10:$AR$32,QUOTIENT(ROW(A17)-1,40)+1,MOD(ROW(A17)-1,40)+1)</f>
        <v>자율활동</v>
      </c>
      <c r="I23" s="77"/>
      <c r="J23" s="26"/>
      <c r="K23" s="162"/>
      <c r="L23" s="162"/>
      <c r="M23" s="168"/>
      <c r="N23" s="98"/>
      <c r="O23" s="99"/>
      <c r="P23" s="99"/>
      <c r="Q23" s="167"/>
      <c r="R23" s="111"/>
    </row>
    <row r="24" spans="1:18" ht="13.5" hidden="1" customHeight="1">
      <c r="A24" s="30">
        <v>18</v>
      </c>
      <c r="B24" s="24">
        <f>DATE('1.연간시수표'!$U$2,'1.연간시수표'!$X$2,'1.연간시수표'!$Z$2)+QUOTIENT(ROW(A18)-1,8)+(QUOTIENT(ROW(A18)-1,40)*2)</f>
        <v>44622</v>
      </c>
      <c r="C24" s="24" t="str">
        <f t="shared" si="0"/>
        <v>수</v>
      </c>
      <c r="D24" s="91" t="str">
        <f t="shared" si="1"/>
        <v>2교시</v>
      </c>
      <c r="E24" s="68">
        <f>COUNTIF($H$7:$H24,$H24)</f>
        <v>2</v>
      </c>
      <c r="F24" s="67">
        <f>'1.연간시수표'!$AL$33</f>
        <v>5</v>
      </c>
      <c r="G24" s="89">
        <f t="shared" si="2"/>
        <v>1</v>
      </c>
      <c r="H24" s="91" t="str">
        <f>INDEX('0.시간표데이터'!$E$10:$AR$32,QUOTIENT(ROW(A18)-1,40)+1,MOD(ROW(A18)-1,40)+1)</f>
        <v>자율활동</v>
      </c>
      <c r="I24" s="77"/>
      <c r="J24" s="26"/>
      <c r="K24" s="137"/>
      <c r="L24" s="137"/>
      <c r="M24" s="114"/>
      <c r="N24" s="114"/>
      <c r="O24" s="114"/>
      <c r="P24" s="114"/>
      <c r="Q24" s="164"/>
      <c r="R24" s="110"/>
    </row>
    <row r="25" spans="1:18" ht="13.5" hidden="1" customHeight="1">
      <c r="A25" s="30">
        <v>19</v>
      </c>
      <c r="B25" s="24">
        <f>DATE('1.연간시수표'!$U$2,'1.연간시수표'!$X$2,'1.연간시수표'!$Z$2)+QUOTIENT(ROW(A19)-1,8)+(QUOTIENT(ROW(A19)-1,40)*2)</f>
        <v>44622</v>
      </c>
      <c r="C25" s="24" t="str">
        <f t="shared" si="0"/>
        <v>수</v>
      </c>
      <c r="D25" s="91" t="str">
        <f t="shared" si="1"/>
        <v>3교시</v>
      </c>
      <c r="E25" s="68">
        <f>COUNTIF($H$7:$H25,$H25)</f>
        <v>3</v>
      </c>
      <c r="F25" s="67">
        <f>'1.연간시수표'!$AL$33</f>
        <v>5</v>
      </c>
      <c r="G25" s="89">
        <f t="shared" si="2"/>
        <v>1</v>
      </c>
      <c r="H25" s="91" t="str">
        <f>INDEX('0.시간표데이터'!$E$10:$AR$32,QUOTIENT(ROW(A19)-1,40)+1,MOD(ROW(A19)-1,40)+1)</f>
        <v>자율활동</v>
      </c>
      <c r="I25" s="77"/>
      <c r="J25" s="26"/>
      <c r="K25" s="165"/>
      <c r="L25" s="165"/>
      <c r="M25" s="166"/>
      <c r="N25" s="166"/>
      <c r="O25" s="166"/>
      <c r="P25" s="166"/>
      <c r="Q25" s="167"/>
      <c r="R25" s="111"/>
    </row>
    <row r="26" spans="1:18" ht="13.5" hidden="1" customHeight="1">
      <c r="A26" s="30">
        <v>20</v>
      </c>
      <c r="B26" s="24">
        <f>DATE('1.연간시수표'!$U$2,'1.연간시수표'!$X$2,'1.연간시수표'!$Z$2)+QUOTIENT(ROW(A20)-1,8)+(QUOTIENT(ROW(A20)-1,40)*2)</f>
        <v>44622</v>
      </c>
      <c r="C26" s="24" t="str">
        <f t="shared" si="0"/>
        <v>수</v>
      </c>
      <c r="D26" s="91" t="str">
        <f t="shared" si="1"/>
        <v>4교시</v>
      </c>
      <c r="E26" s="68">
        <f>COUNTIF($H$7:$H26,$H26)</f>
        <v>1</v>
      </c>
      <c r="F26" s="67">
        <f>'1.연간시수표'!$AL$33</f>
        <v>5</v>
      </c>
      <c r="G26" s="89">
        <f t="shared" si="2"/>
        <v>1</v>
      </c>
      <c r="H26" s="91" t="str">
        <f>INDEX('0.시간표데이터'!$E$10:$AR$32,QUOTIENT(ROW(A20)-1,40)+1,MOD(ROW(A20)-1,40)+1)</f>
        <v>도덕</v>
      </c>
      <c r="I26" s="77"/>
      <c r="J26" s="26"/>
      <c r="K26" s="165"/>
      <c r="L26" s="165"/>
      <c r="M26" s="166"/>
      <c r="N26" s="166"/>
      <c r="O26" s="166"/>
      <c r="P26" s="166"/>
      <c r="Q26" s="167"/>
      <c r="R26" s="111"/>
    </row>
    <row r="27" spans="1:18" ht="13.5" customHeight="1">
      <c r="A27" s="30">
        <v>21</v>
      </c>
      <c r="B27" s="24">
        <f>DATE('1.연간시수표'!$U$2,'1.연간시수표'!$X$2,'1.연간시수표'!$Z$2)+QUOTIENT(ROW(A21)-1,8)+(QUOTIENT(ROW(A21)-1,40)*2)</f>
        <v>44622</v>
      </c>
      <c r="C27" s="24" t="str">
        <f t="shared" si="0"/>
        <v>수</v>
      </c>
      <c r="D27" s="91" t="str">
        <f t="shared" si="1"/>
        <v>5교시</v>
      </c>
      <c r="E27" s="68">
        <f>COUNTIF($H$7:$H27,$H27)</f>
        <v>17</v>
      </c>
      <c r="F27" s="67">
        <f>'1.연간시수표'!$AL$33</f>
        <v>5</v>
      </c>
      <c r="G27" s="89">
        <f t="shared" si="2"/>
        <v>1</v>
      </c>
      <c r="H27" s="91" t="str">
        <f>INDEX('0.시간표데이터'!$E$10:$AR$32,QUOTIENT(ROW(A21)-1,40)+1,MOD(ROW(A21)-1,40)+1)</f>
        <v>_</v>
      </c>
      <c r="I27" s="77"/>
      <c r="J27" s="26"/>
      <c r="K27" s="173"/>
      <c r="L27" s="173"/>
      <c r="M27" s="10"/>
      <c r="N27" s="10"/>
      <c r="O27" s="10"/>
      <c r="P27" s="10"/>
      <c r="Q27" s="164"/>
      <c r="R27" s="109"/>
    </row>
    <row r="28" spans="1:18" ht="13.5" hidden="1" customHeight="1">
      <c r="A28" s="30">
        <v>22</v>
      </c>
      <c r="B28" s="24">
        <f>DATE('1.연간시수표'!$U$2,'1.연간시수표'!$X$2,'1.연간시수표'!$Z$2)+QUOTIENT(ROW(A22)-1,8)+(QUOTIENT(ROW(A22)-1,40)*2)</f>
        <v>44622</v>
      </c>
      <c r="C28" s="24" t="str">
        <f t="shared" si="0"/>
        <v>수</v>
      </c>
      <c r="D28" s="91" t="str">
        <f t="shared" si="1"/>
        <v>6교시</v>
      </c>
      <c r="E28" s="68">
        <f>COUNTIF($H$7:$H28,$H28)</f>
        <v>18</v>
      </c>
      <c r="F28" s="67">
        <f>'1.연간시수표'!$AL$33</f>
        <v>5</v>
      </c>
      <c r="G28" s="89">
        <f t="shared" si="2"/>
        <v>1</v>
      </c>
      <c r="H28" s="91" t="str">
        <f>INDEX('0.시간표데이터'!$E$10:$AR$32,QUOTIENT(ROW(A22)-1,40)+1,MOD(ROW(A22)-1,40)+1)</f>
        <v>_</v>
      </c>
      <c r="I28" s="77"/>
      <c r="J28" s="26"/>
      <c r="K28" s="165"/>
      <c r="L28" s="165"/>
      <c r="M28" s="166"/>
      <c r="N28" s="166"/>
      <c r="O28" s="166"/>
      <c r="P28" s="166"/>
      <c r="Q28" s="167"/>
      <c r="R28" s="111"/>
    </row>
    <row r="29" spans="1:18" ht="13.5" hidden="1" customHeight="1">
      <c r="A29" s="30">
        <v>23</v>
      </c>
      <c r="B29" s="24">
        <f>DATE('1.연간시수표'!$U$2,'1.연간시수표'!$X$2,'1.연간시수표'!$Z$2)+QUOTIENT(ROW(A23)-1,8)+(QUOTIENT(ROW(A23)-1,40)*2)</f>
        <v>44622</v>
      </c>
      <c r="C29" s="24" t="str">
        <f t="shared" si="0"/>
        <v>수</v>
      </c>
      <c r="D29" s="91" t="str">
        <f t="shared" si="1"/>
        <v>7교시</v>
      </c>
      <c r="E29" s="68">
        <f>COUNTIF($H$7:$H29,$H29)</f>
        <v>19</v>
      </c>
      <c r="F29" s="67">
        <f>'1.연간시수표'!$AL$33</f>
        <v>5</v>
      </c>
      <c r="G29" s="89">
        <f t="shared" si="2"/>
        <v>1</v>
      </c>
      <c r="H29" s="91" t="str">
        <f>INDEX('0.시간표데이터'!$E$10:$AR$32,QUOTIENT(ROW(A23)-1,40)+1,MOD(ROW(A23)-1,40)+1)</f>
        <v>_</v>
      </c>
      <c r="I29" s="76"/>
      <c r="J29" s="26"/>
      <c r="K29" s="165"/>
      <c r="L29" s="165"/>
      <c r="M29" s="166"/>
      <c r="N29" s="166"/>
      <c r="O29" s="166"/>
      <c r="P29" s="166"/>
      <c r="Q29" s="167"/>
      <c r="R29" s="111"/>
    </row>
    <row r="30" spans="1:18" ht="13.5" hidden="1" customHeight="1">
      <c r="A30" s="30">
        <v>24</v>
      </c>
      <c r="B30" s="24">
        <f>DATE('1.연간시수표'!$U$2,'1.연간시수표'!$X$2,'1.연간시수표'!$Z$2)+QUOTIENT(ROW(A24)-1,8)+(QUOTIENT(ROW(A24)-1,40)*2)</f>
        <v>44622</v>
      </c>
      <c r="C30" s="24" t="str">
        <f t="shared" si="0"/>
        <v>수</v>
      </c>
      <c r="D30" s="91" t="str">
        <f t="shared" si="1"/>
        <v>8교시</v>
      </c>
      <c r="E30" s="68">
        <f>COUNTIF($H$7:$H30,$H30)</f>
        <v>20</v>
      </c>
      <c r="F30" s="67">
        <f>'1.연간시수표'!$AL$33</f>
        <v>5</v>
      </c>
      <c r="G30" s="89">
        <f t="shared" si="2"/>
        <v>1</v>
      </c>
      <c r="H30" s="91" t="str">
        <f>INDEX('0.시간표데이터'!$E$10:$AR$32,QUOTIENT(ROW(A24)-1,40)+1,MOD(ROW(A24)-1,40)+1)</f>
        <v>_</v>
      </c>
      <c r="I30" s="76"/>
      <c r="J30" s="26"/>
      <c r="K30" s="165"/>
      <c r="L30" s="165"/>
      <c r="M30" s="166"/>
      <c r="N30" s="166"/>
      <c r="O30" s="166"/>
      <c r="P30" s="166"/>
      <c r="Q30" s="167"/>
      <c r="R30" s="111"/>
    </row>
    <row r="31" spans="1:18" ht="13.5" customHeight="1">
      <c r="A31" s="30">
        <v>25</v>
      </c>
      <c r="B31" s="24">
        <f>DATE('1.연간시수표'!$U$2,'1.연간시수표'!$X$2,'1.연간시수표'!$Z$2)+QUOTIENT(ROW(A25)-1,8)+(QUOTIENT(ROW(A25)-1,40)*2)</f>
        <v>44623</v>
      </c>
      <c r="C31" s="24" t="str">
        <f t="shared" si="0"/>
        <v>목</v>
      </c>
      <c r="D31" s="91" t="str">
        <f t="shared" si="1"/>
        <v>1교시</v>
      </c>
      <c r="E31" s="68">
        <f>COUNTIF($H$7:$H31,$H31)</f>
        <v>1</v>
      </c>
      <c r="F31" s="67">
        <f>'1.연간시수표'!$AL$33</f>
        <v>5</v>
      </c>
      <c r="G31" s="89">
        <f t="shared" si="2"/>
        <v>1</v>
      </c>
      <c r="H31" s="91" t="str">
        <f>INDEX('0.시간표데이터'!$E$10:$AR$32,QUOTIENT(ROW(A25)-1,40)+1,MOD(ROW(A25)-1,40)+1)</f>
        <v>국어</v>
      </c>
      <c r="I31" s="77"/>
      <c r="J31" s="26"/>
      <c r="K31" s="173"/>
      <c r="L31" s="173"/>
      <c r="M31" s="10"/>
      <c r="N31" s="10"/>
      <c r="O31" s="10"/>
      <c r="P31" s="10"/>
      <c r="Q31" s="164"/>
      <c r="R31" s="109"/>
    </row>
    <row r="32" spans="1:18" ht="13.5" customHeight="1">
      <c r="A32" s="30">
        <v>26</v>
      </c>
      <c r="B32" s="24">
        <f>DATE('1.연간시수표'!$U$2,'1.연간시수표'!$X$2,'1.연간시수표'!$Z$2)+QUOTIENT(ROW(A26)-1,8)+(QUOTIENT(ROW(A26)-1,40)*2)</f>
        <v>44623</v>
      </c>
      <c r="C32" s="24" t="str">
        <f t="shared" si="0"/>
        <v>목</v>
      </c>
      <c r="D32" s="91" t="str">
        <f t="shared" si="1"/>
        <v>2교시</v>
      </c>
      <c r="E32" s="68">
        <f>COUNTIF($H$7:$H32,$H32)</f>
        <v>1</v>
      </c>
      <c r="F32" s="67">
        <f>'1.연간시수표'!$AL$33</f>
        <v>5</v>
      </c>
      <c r="G32" s="89">
        <f t="shared" si="2"/>
        <v>1</v>
      </c>
      <c r="H32" s="91" t="str">
        <f>INDEX('0.시간표데이터'!$E$10:$AR$32,QUOTIENT(ROW(A26)-1,40)+1,MOD(ROW(A26)-1,40)+1)</f>
        <v>수학</v>
      </c>
      <c r="I32" s="161"/>
      <c r="J32" s="26"/>
      <c r="K32" s="173"/>
      <c r="L32" s="173"/>
      <c r="M32" s="10"/>
      <c r="N32" s="10"/>
      <c r="O32" s="10"/>
      <c r="P32" s="10"/>
      <c r="Q32" s="164"/>
      <c r="R32" s="109"/>
    </row>
    <row r="33" spans="1:18" ht="13.5" customHeight="1">
      <c r="A33" s="30">
        <v>27</v>
      </c>
      <c r="B33" s="24">
        <f>DATE('1.연간시수표'!$U$2,'1.연간시수표'!$X$2,'1.연간시수표'!$Z$2)+QUOTIENT(ROW(A27)-1,8)+(QUOTIENT(ROW(A27)-1,40)*2)</f>
        <v>44623</v>
      </c>
      <c r="C33" s="24" t="str">
        <f t="shared" si="0"/>
        <v>목</v>
      </c>
      <c r="D33" s="91" t="str">
        <f t="shared" si="1"/>
        <v>3교시</v>
      </c>
      <c r="E33" s="68">
        <f>COUNTIF($H$7:$H33,$H33)</f>
        <v>1</v>
      </c>
      <c r="F33" s="67">
        <f>'1.연간시수표'!$AL$33</f>
        <v>5</v>
      </c>
      <c r="G33" s="89">
        <f t="shared" si="2"/>
        <v>1</v>
      </c>
      <c r="H33" s="91" t="str">
        <f>INDEX('0.시간표데이터'!$E$10:$AR$32,QUOTIENT(ROW(A27)-1,40)+1,MOD(ROW(A27)-1,40)+1)</f>
        <v>사회</v>
      </c>
      <c r="I33" s="77"/>
      <c r="J33" s="26"/>
      <c r="K33" s="173"/>
      <c r="L33" s="173"/>
      <c r="M33" s="10"/>
      <c r="N33" s="10"/>
      <c r="O33" s="10"/>
      <c r="P33" s="10"/>
      <c r="Q33" s="164"/>
      <c r="R33" s="109"/>
    </row>
    <row r="34" spans="1:18" ht="13.5" customHeight="1">
      <c r="A34" s="30">
        <v>28</v>
      </c>
      <c r="B34" s="24">
        <f>DATE('1.연간시수표'!$U$2,'1.연간시수표'!$X$2,'1.연간시수표'!$Z$2)+QUOTIENT(ROW(A28)-1,8)+(QUOTIENT(ROW(A28)-1,40)*2)</f>
        <v>44623</v>
      </c>
      <c r="C34" s="24" t="str">
        <f t="shared" si="0"/>
        <v>목</v>
      </c>
      <c r="D34" s="91" t="str">
        <f t="shared" si="1"/>
        <v>4교시</v>
      </c>
      <c r="E34" s="68">
        <f>COUNTIF($H$7:$H34,$H34)</f>
        <v>1</v>
      </c>
      <c r="F34" s="67">
        <f>'1.연간시수표'!$AL$33</f>
        <v>5</v>
      </c>
      <c r="G34" s="89">
        <f t="shared" si="2"/>
        <v>1</v>
      </c>
      <c r="H34" s="91" t="str">
        <f>INDEX('0.시간표데이터'!$E$10:$AR$32,QUOTIENT(ROW(A28)-1,40)+1,MOD(ROW(A28)-1,40)+1)</f>
        <v>영어</v>
      </c>
      <c r="I34" s="77"/>
      <c r="J34" s="26"/>
      <c r="K34" s="173"/>
      <c r="L34" s="173"/>
      <c r="M34" s="10"/>
      <c r="N34" s="10"/>
      <c r="O34" s="10"/>
      <c r="P34" s="10"/>
      <c r="Q34" s="164"/>
      <c r="R34" s="109"/>
    </row>
    <row r="35" spans="1:18" ht="13.5" customHeight="1">
      <c r="A35" s="30">
        <v>29</v>
      </c>
      <c r="B35" s="24">
        <f>DATE('1.연간시수표'!$U$2,'1.연간시수표'!$X$2,'1.연간시수표'!$Z$2)+QUOTIENT(ROW(A29)-1,8)+(QUOTIENT(ROW(A29)-1,40)*2)</f>
        <v>44623</v>
      </c>
      <c r="C35" s="24" t="str">
        <f t="shared" si="0"/>
        <v>목</v>
      </c>
      <c r="D35" s="91" t="str">
        <f t="shared" si="1"/>
        <v>5교시</v>
      </c>
      <c r="E35" s="68">
        <f>COUNTIF($H$7:$H35,$H35)</f>
        <v>1</v>
      </c>
      <c r="F35" s="67">
        <f>'1.연간시수표'!$AL$33</f>
        <v>5</v>
      </c>
      <c r="G35" s="89">
        <f t="shared" si="2"/>
        <v>1</v>
      </c>
      <c r="H35" s="91" t="str">
        <f>INDEX('0.시간표데이터'!$E$10:$AR$32,QUOTIENT(ROW(A29)-1,40)+1,MOD(ROW(A29)-1,40)+1)</f>
        <v>과학</v>
      </c>
      <c r="I35" s="77"/>
      <c r="J35" s="26"/>
      <c r="K35" s="173"/>
      <c r="L35" s="173"/>
      <c r="M35" s="10"/>
      <c r="N35" s="10"/>
      <c r="O35" s="10"/>
      <c r="P35" s="10"/>
      <c r="Q35" s="164"/>
      <c r="R35" s="109"/>
    </row>
    <row r="36" spans="1:18" ht="13.5" hidden="1" customHeight="1">
      <c r="A36" s="30">
        <v>30</v>
      </c>
      <c r="B36" s="24">
        <f>DATE('1.연간시수표'!$U$2,'1.연간시수표'!$X$2,'1.연간시수표'!$Z$2)+QUOTIENT(ROW(A30)-1,8)+(QUOTIENT(ROW(A30)-1,40)*2)</f>
        <v>44623</v>
      </c>
      <c r="C36" s="24" t="str">
        <f t="shared" si="0"/>
        <v>목</v>
      </c>
      <c r="D36" s="91" t="str">
        <f t="shared" si="1"/>
        <v>6교시</v>
      </c>
      <c r="E36" s="68">
        <f>COUNTIF($H$7:$H36,$H36)</f>
        <v>1</v>
      </c>
      <c r="F36" s="67">
        <f>'1.연간시수표'!$AL$33</f>
        <v>5</v>
      </c>
      <c r="G36" s="89">
        <f t="shared" si="2"/>
        <v>1</v>
      </c>
      <c r="H36" s="91" t="str">
        <f>INDEX('0.시간표데이터'!$E$10:$AR$32,QUOTIENT(ROW(A30)-1,40)+1,MOD(ROW(A30)-1,40)+1)</f>
        <v>음악</v>
      </c>
      <c r="I36" s="161"/>
      <c r="J36" s="26"/>
      <c r="K36" s="165"/>
      <c r="L36" s="165"/>
      <c r="M36" s="166"/>
      <c r="N36" s="166"/>
      <c r="O36" s="166"/>
      <c r="P36" s="166"/>
      <c r="Q36" s="167"/>
      <c r="R36" s="111"/>
    </row>
    <row r="37" spans="1:18" hidden="1">
      <c r="A37" s="30">
        <v>31</v>
      </c>
      <c r="B37" s="24">
        <f>DATE('1.연간시수표'!$U$2,'1.연간시수표'!$X$2,'1.연간시수표'!$Z$2)+QUOTIENT(ROW(A31)-1,8)+(QUOTIENT(ROW(A31)-1,40)*2)</f>
        <v>44623</v>
      </c>
      <c r="C37" s="24" t="str">
        <f t="shared" si="0"/>
        <v>목</v>
      </c>
      <c r="D37" s="91" t="str">
        <f t="shared" si="1"/>
        <v>7교시</v>
      </c>
      <c r="E37" s="68">
        <f>COUNTIF($H$7:$H37,$H37)</f>
        <v>21</v>
      </c>
      <c r="F37" s="67">
        <f>'1.연간시수표'!$AL$33</f>
        <v>5</v>
      </c>
      <c r="G37" s="89">
        <f t="shared" si="2"/>
        <v>1</v>
      </c>
      <c r="H37" s="91" t="str">
        <f>INDEX('0.시간표데이터'!$E$10:$AR$32,QUOTIENT(ROW(A31)-1,40)+1,MOD(ROW(A31)-1,40)+1)</f>
        <v>_</v>
      </c>
      <c r="I37" s="76"/>
      <c r="J37" s="26"/>
      <c r="K37" s="165"/>
      <c r="L37" s="165"/>
      <c r="M37" s="166"/>
      <c r="N37" s="166"/>
      <c r="O37" s="166"/>
      <c r="P37" s="166"/>
      <c r="Q37" s="167"/>
      <c r="R37" s="111"/>
    </row>
    <row r="38" spans="1:18" hidden="1">
      <c r="A38" s="30">
        <v>32</v>
      </c>
      <c r="B38" s="24">
        <f>DATE('1.연간시수표'!$U$2,'1.연간시수표'!$X$2,'1.연간시수표'!$Z$2)+QUOTIENT(ROW(A32)-1,8)+(QUOTIENT(ROW(A32)-1,40)*2)</f>
        <v>44623</v>
      </c>
      <c r="C38" s="24" t="str">
        <f t="shared" si="0"/>
        <v>목</v>
      </c>
      <c r="D38" s="91" t="str">
        <f t="shared" si="1"/>
        <v>8교시</v>
      </c>
      <c r="E38" s="68">
        <f>COUNTIF($H$7:$H38,$H38)</f>
        <v>22</v>
      </c>
      <c r="F38" s="67">
        <f>'1.연간시수표'!$AL$33</f>
        <v>5</v>
      </c>
      <c r="G38" s="89">
        <f t="shared" si="2"/>
        <v>1</v>
      </c>
      <c r="H38" s="91" t="str">
        <f>INDEX('0.시간표데이터'!$E$10:$AR$32,QUOTIENT(ROW(A32)-1,40)+1,MOD(ROW(A32)-1,40)+1)</f>
        <v>_</v>
      </c>
      <c r="I38" s="76"/>
      <c r="J38" s="26"/>
      <c r="K38" s="165"/>
      <c r="L38" s="165"/>
      <c r="M38" s="166"/>
      <c r="N38" s="166"/>
      <c r="O38" s="166"/>
      <c r="P38" s="166"/>
      <c r="Q38" s="167"/>
      <c r="R38" s="111"/>
    </row>
    <row r="39" spans="1:18" ht="13.5" hidden="1" customHeight="1">
      <c r="A39" s="30">
        <v>33</v>
      </c>
      <c r="B39" s="24">
        <f>DATE('1.연간시수표'!$U$2,'1.연간시수표'!$X$2,'1.연간시수표'!$Z$2)+QUOTIENT(ROW(A33)-1,8)+(QUOTIENT(ROW(A33)-1,40)*2)</f>
        <v>44624</v>
      </c>
      <c r="C39" s="24" t="str">
        <f t="shared" si="0"/>
        <v>금</v>
      </c>
      <c r="D39" s="91" t="str">
        <f t="shared" si="1"/>
        <v>1교시</v>
      </c>
      <c r="E39" s="68">
        <f>COUNTIF($H$7:$H39,$H39)</f>
        <v>4</v>
      </c>
      <c r="F39" s="67">
        <f>'1.연간시수표'!$AL$33</f>
        <v>5</v>
      </c>
      <c r="G39" s="89">
        <f t="shared" si="2"/>
        <v>1</v>
      </c>
      <c r="H39" s="91" t="str">
        <f>INDEX('0.시간표데이터'!$E$10:$AR$32,QUOTIENT(ROW(A33)-1,40)+1,MOD(ROW(A33)-1,40)+1)</f>
        <v>자율활동</v>
      </c>
      <c r="I39" s="77"/>
      <c r="J39" s="26"/>
      <c r="K39" s="162"/>
      <c r="L39" s="162"/>
      <c r="M39" s="168"/>
      <c r="N39" s="100"/>
      <c r="O39" s="99"/>
      <c r="P39" s="99"/>
      <c r="Q39" s="167"/>
      <c r="R39" s="111"/>
    </row>
    <row r="40" spans="1:18" ht="13.5" hidden="1" customHeight="1">
      <c r="A40" s="30">
        <v>34</v>
      </c>
      <c r="B40" s="24">
        <f>DATE('1.연간시수표'!$U$2,'1.연간시수표'!$X$2,'1.연간시수표'!$Z$2)+QUOTIENT(ROW(A34)-1,8)+(QUOTIENT(ROW(A34)-1,40)*2)</f>
        <v>44624</v>
      </c>
      <c r="C40" s="24" t="str">
        <f t="shared" si="0"/>
        <v>금</v>
      </c>
      <c r="D40" s="91" t="str">
        <f t="shared" si="1"/>
        <v>2교시</v>
      </c>
      <c r="E40" s="68">
        <f>COUNTIF($H$7:$H40,$H40)</f>
        <v>2</v>
      </c>
      <c r="F40" s="67">
        <f>'1.연간시수표'!$AL$33</f>
        <v>5</v>
      </c>
      <c r="G40" s="89">
        <f t="shared" si="2"/>
        <v>1</v>
      </c>
      <c r="H40" s="91" t="str">
        <f>INDEX('0.시간표데이터'!$E$10:$AR$32,QUOTIENT(ROW(A34)-1,40)+1,MOD(ROW(A34)-1,40)+1)</f>
        <v>수학</v>
      </c>
      <c r="I40" s="77"/>
      <c r="J40" s="26"/>
      <c r="K40" s="162"/>
      <c r="L40" s="162"/>
      <c r="M40" s="168"/>
      <c r="N40" s="100"/>
      <c r="O40" s="99"/>
      <c r="P40" s="99"/>
      <c r="Q40" s="167"/>
      <c r="R40" s="111"/>
    </row>
    <row r="41" spans="1:18" ht="13.5" hidden="1" customHeight="1">
      <c r="A41" s="30">
        <v>35</v>
      </c>
      <c r="B41" s="24">
        <f>DATE('1.연간시수표'!$U$2,'1.연간시수표'!$X$2,'1.연간시수표'!$Z$2)+QUOTIENT(ROW(A35)-1,8)+(QUOTIENT(ROW(A35)-1,40)*2)</f>
        <v>44624</v>
      </c>
      <c r="C41" s="24" t="str">
        <f t="shared" si="0"/>
        <v>금</v>
      </c>
      <c r="D41" s="91" t="str">
        <f t="shared" si="1"/>
        <v>3교시</v>
      </c>
      <c r="E41" s="68">
        <f>COUNTIF($H$7:$H41,$H41)</f>
        <v>3</v>
      </c>
      <c r="F41" s="67">
        <f>'1.연간시수표'!$AL$33</f>
        <v>5</v>
      </c>
      <c r="G41" s="89">
        <f t="shared" si="2"/>
        <v>1</v>
      </c>
      <c r="H41" s="91" t="str">
        <f>INDEX('0.시간표데이터'!$E$10:$AR$32,QUOTIENT(ROW(A35)-1,40)+1,MOD(ROW(A35)-1,40)+1)</f>
        <v>수학</v>
      </c>
      <c r="I41" s="77"/>
      <c r="J41" s="26"/>
      <c r="K41" s="165"/>
      <c r="L41" s="165"/>
      <c r="M41" s="166"/>
      <c r="N41" s="166"/>
      <c r="O41" s="166"/>
      <c r="P41" s="166"/>
      <c r="Q41" s="167"/>
      <c r="R41" s="111"/>
    </row>
    <row r="42" spans="1:18" ht="13.5" hidden="1" customHeight="1">
      <c r="A42" s="30">
        <v>36</v>
      </c>
      <c r="B42" s="24">
        <f>DATE('1.연간시수표'!$U$2,'1.연간시수표'!$X$2,'1.연간시수표'!$Z$2)+QUOTIENT(ROW(A36)-1,8)+(QUOTIENT(ROW(A36)-1,40)*2)</f>
        <v>44624</v>
      </c>
      <c r="C42" s="24" t="str">
        <f t="shared" si="0"/>
        <v>금</v>
      </c>
      <c r="D42" s="91" t="str">
        <f t="shared" si="1"/>
        <v>4교시</v>
      </c>
      <c r="E42" s="68">
        <f>COUNTIF($H$7:$H42,$H42)</f>
        <v>2</v>
      </c>
      <c r="F42" s="67">
        <f>'1.연간시수표'!$AL$33</f>
        <v>5</v>
      </c>
      <c r="G42" s="89">
        <f t="shared" si="2"/>
        <v>1</v>
      </c>
      <c r="H42" s="91" t="str">
        <f>INDEX('0.시간표데이터'!$E$10:$AR$32,QUOTIENT(ROW(A36)-1,40)+1,MOD(ROW(A36)-1,40)+1)</f>
        <v>국어</v>
      </c>
      <c r="I42" s="77"/>
      <c r="J42" s="26"/>
      <c r="K42" s="162"/>
      <c r="L42" s="162"/>
      <c r="M42" s="169"/>
      <c r="N42" s="101"/>
      <c r="O42" s="99"/>
      <c r="P42" s="99"/>
      <c r="Q42" s="167"/>
      <c r="R42" s="111"/>
    </row>
    <row r="43" spans="1:18" ht="13.5" customHeight="1">
      <c r="A43" s="30">
        <v>37</v>
      </c>
      <c r="B43" s="24">
        <f>DATE('1.연간시수표'!$U$2,'1.연간시수표'!$X$2,'1.연간시수표'!$Z$2)+QUOTIENT(ROW(A37)-1,8)+(QUOTIENT(ROW(A37)-1,40)*2)</f>
        <v>44624</v>
      </c>
      <c r="C43" s="24" t="str">
        <f t="shared" si="0"/>
        <v>금</v>
      </c>
      <c r="D43" s="91" t="str">
        <f t="shared" si="1"/>
        <v>5교시</v>
      </c>
      <c r="E43" s="68">
        <f>COUNTIF($H$7:$H43,$H43)</f>
        <v>2</v>
      </c>
      <c r="F43" s="67">
        <f>'1.연간시수표'!$AL$33</f>
        <v>5</v>
      </c>
      <c r="G43" s="89">
        <f t="shared" si="2"/>
        <v>1</v>
      </c>
      <c r="H43" s="91" t="str">
        <f>INDEX('0.시간표데이터'!$E$10:$AR$32,QUOTIENT(ROW(A37)-1,40)+1,MOD(ROW(A37)-1,40)+1)</f>
        <v>사회</v>
      </c>
      <c r="I43" s="77"/>
      <c r="J43" s="26"/>
      <c r="K43" s="173"/>
      <c r="L43" s="173"/>
      <c r="M43" s="179"/>
      <c r="N43" s="112"/>
      <c r="O43" s="112"/>
      <c r="P43" s="112"/>
      <c r="Q43" s="164"/>
      <c r="R43" s="110"/>
    </row>
    <row r="44" spans="1:18" ht="13.5" hidden="1" customHeight="1">
      <c r="A44" s="30">
        <v>38</v>
      </c>
      <c r="B44" s="24">
        <f>DATE('1.연간시수표'!$U$2,'1.연간시수표'!$X$2,'1.연간시수표'!$Z$2)+QUOTIENT(ROW(A38)-1,8)+(QUOTIENT(ROW(A38)-1,40)*2)</f>
        <v>44624</v>
      </c>
      <c r="C44" s="24" t="str">
        <f t="shared" si="0"/>
        <v>금</v>
      </c>
      <c r="D44" s="91" t="str">
        <f t="shared" si="1"/>
        <v>6교시</v>
      </c>
      <c r="E44" s="68">
        <f>COUNTIF($H$7:$H44,$H44)</f>
        <v>1</v>
      </c>
      <c r="F44" s="67">
        <f>'1.연간시수표'!$AL$33</f>
        <v>5</v>
      </c>
      <c r="G44" s="89">
        <f t="shared" si="2"/>
        <v>1</v>
      </c>
      <c r="H44" s="91" t="str">
        <f>INDEX('0.시간표데이터'!$E$10:$AR$32,QUOTIENT(ROW(A38)-1,40)+1,MOD(ROW(A38)-1,40)+1)</f>
        <v>실과</v>
      </c>
      <c r="I44" s="77"/>
      <c r="J44" s="26"/>
      <c r="K44" s="165"/>
      <c r="L44" s="165"/>
      <c r="M44" s="166"/>
      <c r="N44" s="166"/>
      <c r="O44" s="166"/>
      <c r="P44" s="166"/>
      <c r="Q44" s="167"/>
      <c r="R44" s="111"/>
    </row>
    <row r="45" spans="1:18" ht="13.5" hidden="1" customHeight="1">
      <c r="A45" s="30">
        <v>39</v>
      </c>
      <c r="B45" s="24">
        <f>DATE('1.연간시수표'!$U$2,'1.연간시수표'!$X$2,'1.연간시수표'!$Z$2)+QUOTIENT(ROW(A39)-1,8)+(QUOTIENT(ROW(A39)-1,40)*2)</f>
        <v>44624</v>
      </c>
      <c r="C45" s="24" t="str">
        <f t="shared" si="0"/>
        <v>금</v>
      </c>
      <c r="D45" s="91" t="str">
        <f t="shared" si="1"/>
        <v>7교시</v>
      </c>
      <c r="E45" s="68">
        <f>COUNTIF($H$7:$H45,$H45)</f>
        <v>23</v>
      </c>
      <c r="F45" s="67">
        <f>'1.연간시수표'!$AL$33</f>
        <v>5</v>
      </c>
      <c r="G45" s="89">
        <f t="shared" si="2"/>
        <v>1</v>
      </c>
      <c r="H45" s="91" t="str">
        <f>INDEX('0.시간표데이터'!$E$10:$AR$32,QUOTIENT(ROW(A39)-1,40)+1,MOD(ROW(A39)-1,40)+1)</f>
        <v>_</v>
      </c>
      <c r="I45" s="76"/>
      <c r="J45" s="26"/>
      <c r="K45" s="165"/>
      <c r="L45" s="165"/>
      <c r="M45" s="166"/>
      <c r="N45" s="166"/>
      <c r="O45" s="166"/>
      <c r="P45" s="166"/>
      <c r="Q45" s="167"/>
      <c r="R45" s="111"/>
    </row>
    <row r="46" spans="1:18" ht="13.5" hidden="1" customHeight="1">
      <c r="A46" s="30">
        <v>40</v>
      </c>
      <c r="B46" s="24">
        <f>DATE('1.연간시수표'!$U$2,'1.연간시수표'!$X$2,'1.연간시수표'!$Z$2)+QUOTIENT(ROW(A40)-1,8)+(QUOTIENT(ROW(A40)-1,40)*2)</f>
        <v>44624</v>
      </c>
      <c r="C46" s="24" t="str">
        <f t="shared" si="0"/>
        <v>금</v>
      </c>
      <c r="D46" s="91" t="str">
        <f t="shared" si="1"/>
        <v>8교시</v>
      </c>
      <c r="E46" s="68">
        <f>COUNTIF($H$7:$H46,$H46)</f>
        <v>24</v>
      </c>
      <c r="F46" s="67">
        <f>'1.연간시수표'!$AL$33</f>
        <v>5</v>
      </c>
      <c r="G46" s="89">
        <f t="shared" si="2"/>
        <v>1</v>
      </c>
      <c r="H46" s="91" t="str">
        <f>INDEX('0.시간표데이터'!$E$10:$AR$32,QUOTIENT(ROW(A40)-1,40)+1,MOD(ROW(A40)-1,40)+1)</f>
        <v>_</v>
      </c>
      <c r="I46" s="76"/>
      <c r="J46" s="26"/>
      <c r="K46" s="165"/>
      <c r="L46" s="165"/>
      <c r="M46" s="166"/>
      <c r="N46" s="166"/>
      <c r="O46" s="166"/>
      <c r="P46" s="166"/>
      <c r="Q46" s="167"/>
      <c r="R46" s="111"/>
    </row>
    <row r="47" spans="1:18" ht="13.5" hidden="1" customHeight="1">
      <c r="A47" s="30">
        <v>41</v>
      </c>
      <c r="B47" s="24">
        <f>DATE('1.연간시수표'!$U$2,'1.연간시수표'!$X$2,'1.연간시수표'!$Z$2)+QUOTIENT(ROW(A41)-1,8)+(QUOTIENT(ROW(A41)-1,40)*2)</f>
        <v>44627</v>
      </c>
      <c r="C47" s="24" t="str">
        <f t="shared" si="0"/>
        <v>월</v>
      </c>
      <c r="D47" s="91" t="str">
        <f t="shared" si="1"/>
        <v>1교시</v>
      </c>
      <c r="E47" s="68">
        <f>COUNTIF($H$7:$H47,$H47)</f>
        <v>3</v>
      </c>
      <c r="F47" s="67">
        <f>'1.연간시수표'!$AL$33</f>
        <v>5</v>
      </c>
      <c r="G47" s="89">
        <f t="shared" si="2"/>
        <v>1</v>
      </c>
      <c r="H47" s="91" t="str">
        <f>INDEX('0.시간표데이터'!$E$10:$AR$32,QUOTIENT(ROW(A41)-1,40)+1,MOD(ROW(A41)-1,40)+1)</f>
        <v>국어</v>
      </c>
      <c r="I47" s="77"/>
      <c r="J47" s="26"/>
      <c r="K47" s="162"/>
      <c r="L47" s="162"/>
      <c r="M47" s="168"/>
      <c r="N47" s="102"/>
      <c r="O47" s="168"/>
      <c r="P47" s="168"/>
      <c r="Q47" s="167"/>
      <c r="R47" s="111"/>
    </row>
    <row r="48" spans="1:18" ht="13.5" hidden="1" customHeight="1">
      <c r="A48" s="30">
        <v>42</v>
      </c>
      <c r="B48" s="24">
        <f>DATE('1.연간시수표'!$U$2,'1.연간시수표'!$X$2,'1.연간시수표'!$Z$2)+QUOTIENT(ROW(A42)-1,8)+(QUOTIENT(ROW(A42)-1,40)*2)</f>
        <v>44627</v>
      </c>
      <c r="C48" s="24" t="str">
        <f t="shared" si="0"/>
        <v>월</v>
      </c>
      <c r="D48" s="91" t="str">
        <f t="shared" si="1"/>
        <v>2교시</v>
      </c>
      <c r="E48" s="68">
        <f>COUNTIF($H$7:$H48,$H48)</f>
        <v>1</v>
      </c>
      <c r="F48" s="67">
        <f>'1.연간시수표'!$AL$33</f>
        <v>5</v>
      </c>
      <c r="G48" s="89">
        <f t="shared" si="2"/>
        <v>1</v>
      </c>
      <c r="H48" s="91" t="str">
        <f>INDEX('0.시간표데이터'!$E$10:$AR$32,QUOTIENT(ROW(A42)-1,40)+1,MOD(ROW(A42)-1,40)+1)</f>
        <v>미술</v>
      </c>
      <c r="I48" s="161"/>
      <c r="J48" s="26"/>
      <c r="K48" s="165"/>
      <c r="L48" s="165"/>
      <c r="M48" s="166"/>
      <c r="N48" s="166"/>
      <c r="O48" s="166"/>
      <c r="P48" s="166"/>
      <c r="Q48" s="167"/>
      <c r="R48" s="111"/>
    </row>
    <row r="49" spans="1:18" ht="13.5" hidden="1" customHeight="1">
      <c r="A49" s="30">
        <v>43</v>
      </c>
      <c r="B49" s="24">
        <f>DATE('1.연간시수표'!$U$2,'1.연간시수표'!$X$2,'1.연간시수표'!$Z$2)+QUOTIENT(ROW(A43)-1,8)+(QUOTIENT(ROW(A43)-1,40)*2)</f>
        <v>44627</v>
      </c>
      <c r="C49" s="24" t="str">
        <f t="shared" si="0"/>
        <v>월</v>
      </c>
      <c r="D49" s="91" t="str">
        <f t="shared" si="1"/>
        <v>3교시</v>
      </c>
      <c r="E49" s="68">
        <f>COUNTIF($H$7:$H49,$H49)</f>
        <v>2</v>
      </c>
      <c r="F49" s="67">
        <f>'1.연간시수표'!$AL$33</f>
        <v>5</v>
      </c>
      <c r="G49" s="89">
        <f t="shared" si="2"/>
        <v>1</v>
      </c>
      <c r="H49" s="91" t="str">
        <f>INDEX('0.시간표데이터'!$E$10:$AR$32,QUOTIENT(ROW(A43)-1,40)+1,MOD(ROW(A43)-1,40)+1)</f>
        <v>미술</v>
      </c>
      <c r="I49" s="77"/>
      <c r="J49" s="26"/>
      <c r="K49" s="162"/>
      <c r="L49" s="162"/>
      <c r="M49" s="168"/>
      <c r="N49" s="98"/>
      <c r="O49" s="99"/>
      <c r="P49" s="99"/>
      <c r="Q49" s="167"/>
      <c r="R49" s="111"/>
    </row>
    <row r="50" spans="1:18" ht="13.5" hidden="1" customHeight="1">
      <c r="A50" s="30">
        <v>44</v>
      </c>
      <c r="B50" s="24">
        <f>DATE('1.연간시수표'!$U$2,'1.연간시수표'!$X$2,'1.연간시수표'!$Z$2)+QUOTIENT(ROW(A44)-1,8)+(QUOTIENT(ROW(A44)-1,40)*2)</f>
        <v>44627</v>
      </c>
      <c r="C50" s="24" t="str">
        <f t="shared" si="0"/>
        <v>월</v>
      </c>
      <c r="D50" s="91" t="str">
        <f t="shared" si="1"/>
        <v>4교시</v>
      </c>
      <c r="E50" s="68">
        <f>COUNTIF($H$7:$H50,$H50)</f>
        <v>2</v>
      </c>
      <c r="F50" s="67">
        <f>'1.연간시수표'!$AL$33</f>
        <v>5</v>
      </c>
      <c r="G50" s="89">
        <f t="shared" si="2"/>
        <v>1</v>
      </c>
      <c r="H50" s="91" t="str">
        <f>INDEX('0.시간표데이터'!$E$10:$AR$32,QUOTIENT(ROW(A44)-1,40)+1,MOD(ROW(A44)-1,40)+1)</f>
        <v>영어</v>
      </c>
      <c r="I50" s="77"/>
      <c r="J50" s="26"/>
      <c r="K50" s="162"/>
      <c r="L50" s="162"/>
      <c r="M50" s="170"/>
      <c r="N50" s="98"/>
      <c r="O50" s="98"/>
      <c r="P50" s="98"/>
      <c r="Q50" s="167"/>
      <c r="R50" s="111"/>
    </row>
    <row r="51" spans="1:18" ht="13.5" hidden="1" customHeight="1">
      <c r="A51" s="30">
        <v>45</v>
      </c>
      <c r="B51" s="24">
        <f>DATE('1.연간시수표'!$U$2,'1.연간시수표'!$X$2,'1.연간시수표'!$Z$2)+QUOTIENT(ROW(A45)-1,8)+(QUOTIENT(ROW(A45)-1,40)*2)</f>
        <v>44627</v>
      </c>
      <c r="C51" s="24" t="str">
        <f t="shared" si="0"/>
        <v>월</v>
      </c>
      <c r="D51" s="91" t="str">
        <f t="shared" si="1"/>
        <v>5교시</v>
      </c>
      <c r="E51" s="68">
        <f>COUNTIF($H$7:$H51,$H51)</f>
        <v>4</v>
      </c>
      <c r="F51" s="67">
        <f>'1.연간시수표'!$AL$33</f>
        <v>5</v>
      </c>
      <c r="G51" s="89">
        <f t="shared" si="2"/>
        <v>1</v>
      </c>
      <c r="H51" s="91" t="str">
        <f>INDEX('0.시간표데이터'!$E$10:$AR$32,QUOTIENT(ROW(A45)-1,40)+1,MOD(ROW(A45)-1,40)+1)</f>
        <v>수학</v>
      </c>
      <c r="I51" s="77"/>
      <c r="J51" s="26"/>
      <c r="K51" s="162"/>
      <c r="L51" s="162"/>
      <c r="M51" s="170"/>
      <c r="N51" s="98"/>
      <c r="O51" s="98"/>
      <c r="P51" s="98"/>
      <c r="Q51" s="167"/>
      <c r="R51" s="111"/>
    </row>
    <row r="52" spans="1:18" ht="13.5" hidden="1" customHeight="1">
      <c r="A52" s="30">
        <v>46</v>
      </c>
      <c r="B52" s="24">
        <f>DATE('1.연간시수표'!$U$2,'1.연간시수표'!$X$2,'1.연간시수표'!$Z$2)+QUOTIENT(ROW(A46)-1,8)+(QUOTIENT(ROW(A46)-1,40)*2)</f>
        <v>44627</v>
      </c>
      <c r="C52" s="24" t="str">
        <f t="shared" si="0"/>
        <v>월</v>
      </c>
      <c r="D52" s="91" t="str">
        <f t="shared" si="1"/>
        <v>6교시</v>
      </c>
      <c r="E52" s="68">
        <f>COUNTIF($H$7:$H52,$H52)</f>
        <v>4</v>
      </c>
      <c r="F52" s="67">
        <f>'1.연간시수표'!$AL$33</f>
        <v>5</v>
      </c>
      <c r="G52" s="89">
        <f t="shared" si="2"/>
        <v>1</v>
      </c>
      <c r="H52" s="91" t="str">
        <f>INDEX('0.시간표데이터'!$E$10:$AR$32,QUOTIENT(ROW(A46)-1,40)+1,MOD(ROW(A46)-1,40)+1)</f>
        <v>국어</v>
      </c>
      <c r="I52" s="77"/>
      <c r="J52" s="26"/>
      <c r="K52" s="165"/>
      <c r="L52" s="165"/>
      <c r="M52" s="166"/>
      <c r="N52" s="166"/>
      <c r="O52" s="166"/>
      <c r="P52" s="166"/>
      <c r="Q52" s="167"/>
      <c r="R52" s="111"/>
    </row>
    <row r="53" spans="1:18" ht="13.5" hidden="1" customHeight="1">
      <c r="A53" s="30">
        <v>47</v>
      </c>
      <c r="B53" s="24">
        <f>DATE('1.연간시수표'!$U$2,'1.연간시수표'!$X$2,'1.연간시수표'!$Z$2)+QUOTIENT(ROW(A47)-1,8)+(QUOTIENT(ROW(A47)-1,40)*2)</f>
        <v>44627</v>
      </c>
      <c r="C53" s="24" t="str">
        <f t="shared" si="0"/>
        <v>월</v>
      </c>
      <c r="D53" s="91" t="str">
        <f t="shared" si="1"/>
        <v>7교시</v>
      </c>
      <c r="E53" s="68">
        <f>COUNTIF($H$7:$H53,$H53)</f>
        <v>25</v>
      </c>
      <c r="F53" s="67">
        <f>'1.연간시수표'!$AL$33</f>
        <v>5</v>
      </c>
      <c r="G53" s="89">
        <f t="shared" si="2"/>
        <v>1</v>
      </c>
      <c r="H53" s="91" t="str">
        <f>INDEX('0.시간표데이터'!$E$10:$AR$32,QUOTIENT(ROW(A47)-1,40)+1,MOD(ROW(A47)-1,40)+1)</f>
        <v>_</v>
      </c>
      <c r="I53" s="76"/>
      <c r="J53" s="26"/>
      <c r="K53" s="165"/>
      <c r="L53" s="165"/>
      <c r="M53" s="166"/>
      <c r="N53" s="166"/>
      <c r="O53" s="166"/>
      <c r="P53" s="166"/>
      <c r="Q53" s="167"/>
      <c r="R53" s="111"/>
    </row>
    <row r="54" spans="1:18" ht="13.5" hidden="1" customHeight="1">
      <c r="A54" s="30">
        <v>48</v>
      </c>
      <c r="B54" s="24">
        <f>DATE('1.연간시수표'!$U$2,'1.연간시수표'!$X$2,'1.연간시수표'!$Z$2)+QUOTIENT(ROW(A48)-1,8)+(QUOTIENT(ROW(A48)-1,40)*2)</f>
        <v>44627</v>
      </c>
      <c r="C54" s="24" t="str">
        <f t="shared" si="0"/>
        <v>월</v>
      </c>
      <c r="D54" s="91" t="str">
        <f t="shared" si="1"/>
        <v>8교시</v>
      </c>
      <c r="E54" s="68">
        <f>COUNTIF($H$7:$H54,$H54)</f>
        <v>26</v>
      </c>
      <c r="F54" s="67">
        <f>'1.연간시수표'!$AL$33</f>
        <v>5</v>
      </c>
      <c r="G54" s="89">
        <f t="shared" si="2"/>
        <v>1</v>
      </c>
      <c r="H54" s="91" t="str">
        <f>INDEX('0.시간표데이터'!$E$10:$AR$32,QUOTIENT(ROW(A48)-1,40)+1,MOD(ROW(A48)-1,40)+1)</f>
        <v>_</v>
      </c>
      <c r="I54" s="76"/>
      <c r="J54" s="26"/>
      <c r="K54" s="165"/>
      <c r="L54" s="165"/>
      <c r="M54" s="166"/>
      <c r="N54" s="166"/>
      <c r="O54" s="166"/>
      <c r="P54" s="166"/>
      <c r="Q54" s="167"/>
      <c r="R54" s="111"/>
    </row>
    <row r="55" spans="1:18" ht="13.5" hidden="1" customHeight="1">
      <c r="A55" s="30">
        <v>49</v>
      </c>
      <c r="B55" s="24">
        <f>DATE('1.연간시수표'!$U$2,'1.연간시수표'!$X$2,'1.연간시수표'!$Z$2)+QUOTIENT(ROW(A49)-1,8)+(QUOTIENT(ROW(A49)-1,40)*2)</f>
        <v>44628</v>
      </c>
      <c r="C55" s="24" t="str">
        <f t="shared" si="0"/>
        <v>화</v>
      </c>
      <c r="D55" s="91" t="str">
        <f t="shared" si="1"/>
        <v>1교시</v>
      </c>
      <c r="E55" s="68">
        <f>COUNTIF($H$7:$H55,$H55)</f>
        <v>5</v>
      </c>
      <c r="F55" s="67">
        <f>'1.연간시수표'!$AL$33</f>
        <v>5</v>
      </c>
      <c r="G55" s="89">
        <f t="shared" si="2"/>
        <v>1</v>
      </c>
      <c r="H55" s="91" t="str">
        <f>INDEX('0.시간표데이터'!$E$10:$AR$32,QUOTIENT(ROW(A49)-1,40)+1,MOD(ROW(A49)-1,40)+1)</f>
        <v>국어</v>
      </c>
      <c r="I55" s="77"/>
      <c r="J55" s="26"/>
      <c r="K55" s="162"/>
      <c r="L55" s="162"/>
      <c r="M55" s="163"/>
      <c r="N55" s="171"/>
      <c r="O55" s="99"/>
      <c r="P55" s="99"/>
      <c r="Q55" s="167"/>
      <c r="R55" s="111"/>
    </row>
    <row r="56" spans="1:18" ht="13.5" hidden="1" customHeight="1">
      <c r="A56" s="30">
        <v>50</v>
      </c>
      <c r="B56" s="24">
        <f>DATE('1.연간시수표'!$U$2,'1.연간시수표'!$X$2,'1.연간시수표'!$Z$2)+QUOTIENT(ROW(A50)-1,8)+(QUOTIENT(ROW(A50)-1,40)*2)</f>
        <v>44628</v>
      </c>
      <c r="C56" s="24" t="str">
        <f t="shared" si="0"/>
        <v>화</v>
      </c>
      <c r="D56" s="91" t="str">
        <f t="shared" si="1"/>
        <v>2교시</v>
      </c>
      <c r="E56" s="68">
        <f>COUNTIF($H$7:$H56,$H56)</f>
        <v>5</v>
      </c>
      <c r="F56" s="67">
        <f>'1.연간시수표'!$AL$33</f>
        <v>5</v>
      </c>
      <c r="G56" s="89">
        <f t="shared" si="2"/>
        <v>1</v>
      </c>
      <c r="H56" s="91" t="str">
        <f>INDEX('0.시간표데이터'!$E$10:$AR$32,QUOTIENT(ROW(A50)-1,40)+1,MOD(ROW(A50)-1,40)+1)</f>
        <v>수학</v>
      </c>
      <c r="I56" s="161"/>
      <c r="J56" s="26"/>
      <c r="K56" s="165"/>
      <c r="L56" s="165"/>
      <c r="M56" s="166"/>
      <c r="N56" s="166"/>
      <c r="O56" s="166"/>
      <c r="P56" s="166"/>
      <c r="Q56" s="167"/>
      <c r="R56" s="111"/>
    </row>
    <row r="57" spans="1:18" ht="13.5" hidden="1" customHeight="1">
      <c r="A57" s="30">
        <v>51</v>
      </c>
      <c r="B57" s="24">
        <f>DATE('1.연간시수표'!$U$2,'1.연간시수표'!$X$2,'1.연간시수표'!$Z$2)+QUOTIENT(ROW(A51)-1,8)+(QUOTIENT(ROW(A51)-1,40)*2)</f>
        <v>44628</v>
      </c>
      <c r="C57" s="24" t="str">
        <f t="shared" si="0"/>
        <v>화</v>
      </c>
      <c r="D57" s="91" t="str">
        <f t="shared" si="1"/>
        <v>3교시</v>
      </c>
      <c r="E57" s="68">
        <f>COUNTIF($H$7:$H57,$H57)</f>
        <v>3</v>
      </c>
      <c r="F57" s="67">
        <f>'1.연간시수표'!$AL$33</f>
        <v>5</v>
      </c>
      <c r="G57" s="89">
        <f t="shared" si="2"/>
        <v>1</v>
      </c>
      <c r="H57" s="91" t="str">
        <f>INDEX('0.시간표데이터'!$E$10:$AR$32,QUOTIENT(ROW(A51)-1,40)+1,MOD(ROW(A51)-1,40)+1)</f>
        <v>사회</v>
      </c>
      <c r="I57" s="77"/>
      <c r="J57" s="26"/>
      <c r="K57" s="162"/>
      <c r="L57" s="162"/>
      <c r="M57" s="170"/>
      <c r="N57" s="98"/>
      <c r="O57" s="98"/>
      <c r="P57" s="98"/>
      <c r="Q57" s="167"/>
      <c r="R57" s="111"/>
    </row>
    <row r="58" spans="1:18" ht="13.5" hidden="1" customHeight="1">
      <c r="A58" s="30">
        <v>52</v>
      </c>
      <c r="B58" s="24">
        <f>DATE('1.연간시수표'!$U$2,'1.연간시수표'!$X$2,'1.연간시수표'!$Z$2)+QUOTIENT(ROW(A52)-1,8)+(QUOTIENT(ROW(A52)-1,40)*2)</f>
        <v>44628</v>
      </c>
      <c r="C58" s="24" t="str">
        <f t="shared" si="0"/>
        <v>화</v>
      </c>
      <c r="D58" s="91" t="str">
        <f t="shared" si="1"/>
        <v>4교시</v>
      </c>
      <c r="E58" s="68">
        <f>COUNTIF($H$7:$H58,$H58)</f>
        <v>2</v>
      </c>
      <c r="F58" s="67">
        <f>'1.연간시수표'!$AL$33</f>
        <v>5</v>
      </c>
      <c r="G58" s="89">
        <f t="shared" si="2"/>
        <v>1</v>
      </c>
      <c r="H58" s="91" t="str">
        <f>INDEX('0.시간표데이터'!$E$10:$AR$32,QUOTIENT(ROW(A52)-1,40)+1,MOD(ROW(A52)-1,40)+1)</f>
        <v>과학</v>
      </c>
      <c r="I58" s="77"/>
      <c r="J58" s="26"/>
      <c r="K58" s="162"/>
      <c r="L58" s="162"/>
      <c r="M58" s="168"/>
      <c r="N58" s="98"/>
      <c r="O58" s="99"/>
      <c r="P58" s="99"/>
      <c r="Q58" s="167"/>
      <c r="R58" s="111"/>
    </row>
    <row r="59" spans="1:18" ht="13.5" hidden="1" customHeight="1">
      <c r="A59" s="30">
        <v>53</v>
      </c>
      <c r="B59" s="24">
        <f>DATE('1.연간시수표'!$U$2,'1.연간시수표'!$X$2,'1.연간시수표'!$Z$2)+QUOTIENT(ROW(A53)-1,8)+(QUOTIENT(ROW(A53)-1,40)*2)</f>
        <v>44628</v>
      </c>
      <c r="C59" s="24" t="str">
        <f t="shared" si="0"/>
        <v>화</v>
      </c>
      <c r="D59" s="91" t="str">
        <f t="shared" si="1"/>
        <v>5교시</v>
      </c>
      <c r="E59" s="68">
        <f>COUNTIF($H$7:$H59,$H59)</f>
        <v>3</v>
      </c>
      <c r="F59" s="67">
        <f>'1.연간시수표'!$AL$33</f>
        <v>5</v>
      </c>
      <c r="G59" s="89">
        <f t="shared" si="2"/>
        <v>1</v>
      </c>
      <c r="H59" s="91" t="str">
        <f>INDEX('0.시간표데이터'!$E$10:$AR$32,QUOTIENT(ROW(A53)-1,40)+1,MOD(ROW(A53)-1,40)+1)</f>
        <v>영어</v>
      </c>
      <c r="I59" s="77"/>
      <c r="J59" s="26"/>
      <c r="K59" s="137"/>
      <c r="L59" s="137"/>
      <c r="M59" s="114"/>
      <c r="N59" s="114"/>
      <c r="O59" s="114"/>
      <c r="P59" s="114"/>
      <c r="Q59" s="164"/>
      <c r="R59" s="110"/>
    </row>
    <row r="60" spans="1:18" ht="13.5" hidden="1" customHeight="1">
      <c r="A60" s="30">
        <v>54</v>
      </c>
      <c r="B60" s="24">
        <f>DATE('1.연간시수표'!$U$2,'1.연간시수표'!$X$2,'1.연간시수표'!$Z$2)+QUOTIENT(ROW(A54)-1,8)+(QUOTIENT(ROW(A54)-1,40)*2)</f>
        <v>44628</v>
      </c>
      <c r="C60" s="24" t="str">
        <f t="shared" si="0"/>
        <v>화</v>
      </c>
      <c r="D60" s="91" t="str">
        <f t="shared" si="1"/>
        <v>6교시</v>
      </c>
      <c r="E60" s="68">
        <f>COUNTIF($H$7:$H60,$H60)</f>
        <v>2</v>
      </c>
      <c r="F60" s="67">
        <f>'1.연간시수표'!$AL$33</f>
        <v>5</v>
      </c>
      <c r="G60" s="89">
        <f t="shared" si="2"/>
        <v>1</v>
      </c>
      <c r="H60" s="91" t="str">
        <f>INDEX('0.시간표데이터'!$E$10:$AR$32,QUOTIENT(ROW(A54)-1,40)+1,MOD(ROW(A54)-1,40)+1)</f>
        <v>실과</v>
      </c>
      <c r="I60" s="77"/>
      <c r="J60" s="26"/>
      <c r="K60" s="165"/>
      <c r="L60" s="165"/>
      <c r="M60" s="166"/>
      <c r="N60" s="166"/>
      <c r="O60" s="166"/>
      <c r="P60" s="166"/>
      <c r="Q60" s="167"/>
      <c r="R60" s="111"/>
    </row>
    <row r="61" spans="1:18" ht="13.5" hidden="1" customHeight="1">
      <c r="A61" s="30">
        <v>55</v>
      </c>
      <c r="B61" s="24">
        <f>DATE('1.연간시수표'!$U$2,'1.연간시수표'!$X$2,'1.연간시수표'!$Z$2)+QUOTIENT(ROW(A55)-1,8)+(QUOTIENT(ROW(A55)-1,40)*2)</f>
        <v>44628</v>
      </c>
      <c r="C61" s="24" t="str">
        <f t="shared" si="0"/>
        <v>화</v>
      </c>
      <c r="D61" s="91" t="str">
        <f t="shared" si="1"/>
        <v>7교시</v>
      </c>
      <c r="E61" s="68">
        <f>COUNTIF($H$7:$H61,$H61)</f>
        <v>27</v>
      </c>
      <c r="F61" s="67">
        <f>'1.연간시수표'!$AL$33</f>
        <v>5</v>
      </c>
      <c r="G61" s="89">
        <f t="shared" si="2"/>
        <v>1</v>
      </c>
      <c r="H61" s="91" t="str">
        <f>INDEX('0.시간표데이터'!$E$10:$AR$32,QUOTIENT(ROW(A55)-1,40)+1,MOD(ROW(A55)-1,40)+1)</f>
        <v>_</v>
      </c>
      <c r="I61" s="76"/>
      <c r="J61" s="26"/>
      <c r="K61" s="165"/>
      <c r="L61" s="165"/>
      <c r="M61" s="166"/>
      <c r="N61" s="166"/>
      <c r="O61" s="166"/>
      <c r="P61" s="166"/>
      <c r="Q61" s="167"/>
      <c r="R61" s="111"/>
    </row>
    <row r="62" spans="1:18" ht="13.5" hidden="1" customHeight="1">
      <c r="A62" s="30">
        <v>56</v>
      </c>
      <c r="B62" s="24">
        <f>DATE('1.연간시수표'!$U$2,'1.연간시수표'!$X$2,'1.연간시수표'!$Z$2)+QUOTIENT(ROW(A56)-1,8)+(QUOTIENT(ROW(A56)-1,40)*2)</f>
        <v>44628</v>
      </c>
      <c r="C62" s="24" t="str">
        <f t="shared" si="0"/>
        <v>화</v>
      </c>
      <c r="D62" s="91" t="str">
        <f t="shared" si="1"/>
        <v>8교시</v>
      </c>
      <c r="E62" s="68">
        <f>COUNTIF($H$7:$H62,$H62)</f>
        <v>28</v>
      </c>
      <c r="F62" s="67">
        <f>'1.연간시수표'!$AL$33</f>
        <v>5</v>
      </c>
      <c r="G62" s="89">
        <f t="shared" si="2"/>
        <v>1</v>
      </c>
      <c r="H62" s="91" t="str">
        <f>INDEX('0.시간표데이터'!$E$10:$AR$32,QUOTIENT(ROW(A56)-1,40)+1,MOD(ROW(A56)-1,40)+1)</f>
        <v>_</v>
      </c>
      <c r="I62" s="76"/>
      <c r="J62" s="26"/>
      <c r="K62" s="165"/>
      <c r="L62" s="165"/>
      <c r="M62" s="166"/>
      <c r="N62" s="166"/>
      <c r="O62" s="166"/>
      <c r="P62" s="166"/>
      <c r="Q62" s="167"/>
      <c r="R62" s="111"/>
    </row>
    <row r="63" spans="1:18" ht="13.5" hidden="1" customHeight="1">
      <c r="A63" s="30">
        <v>57</v>
      </c>
      <c r="B63" s="24">
        <f>DATE('1.연간시수표'!$U$2,'1.연간시수표'!$X$2,'1.연간시수표'!$Z$2)+QUOTIENT(ROW(A57)-1,8)+(QUOTIENT(ROW(A57)-1,40)*2)</f>
        <v>44629</v>
      </c>
      <c r="C63" s="24" t="str">
        <f t="shared" si="0"/>
        <v>수</v>
      </c>
      <c r="D63" s="91" t="str">
        <f t="shared" si="1"/>
        <v>1교시</v>
      </c>
      <c r="E63" s="68">
        <f>COUNTIF($H$7:$H63,$H63)</f>
        <v>29</v>
      </c>
      <c r="F63" s="67">
        <f>'1.연간시수표'!$AL$33</f>
        <v>5</v>
      </c>
      <c r="G63" s="89">
        <f t="shared" si="2"/>
        <v>1</v>
      </c>
      <c r="H63" s="91" t="str">
        <f>INDEX('0.시간표데이터'!$E$10:$AR$32,QUOTIENT(ROW(A57)-1,40)+1,MOD(ROW(A57)-1,40)+1)</f>
        <v>_</v>
      </c>
      <c r="I63" s="77"/>
      <c r="J63" s="26"/>
      <c r="K63" s="162"/>
      <c r="L63" s="162"/>
      <c r="M63" s="168"/>
      <c r="N63" s="98"/>
      <c r="O63" s="99"/>
      <c r="P63" s="99"/>
      <c r="Q63" s="167"/>
      <c r="R63" s="111"/>
    </row>
    <row r="64" spans="1:18" ht="13.5" hidden="1" customHeight="1">
      <c r="A64" s="30">
        <v>58</v>
      </c>
      <c r="B64" s="24">
        <f>DATE('1.연간시수표'!$U$2,'1.연간시수표'!$X$2,'1.연간시수표'!$Z$2)+QUOTIENT(ROW(A58)-1,8)+(QUOTIENT(ROW(A58)-1,40)*2)</f>
        <v>44629</v>
      </c>
      <c r="C64" s="24" t="str">
        <f t="shared" si="0"/>
        <v>수</v>
      </c>
      <c r="D64" s="91" t="str">
        <f t="shared" si="1"/>
        <v>2교시</v>
      </c>
      <c r="E64" s="68">
        <f>COUNTIF($H$7:$H64,$H64)</f>
        <v>30</v>
      </c>
      <c r="F64" s="67">
        <f>'1.연간시수표'!$AL$33</f>
        <v>5</v>
      </c>
      <c r="G64" s="89">
        <f t="shared" si="2"/>
        <v>1</v>
      </c>
      <c r="H64" s="91" t="str">
        <f>INDEX('0.시간표데이터'!$E$10:$AR$32,QUOTIENT(ROW(A58)-1,40)+1,MOD(ROW(A58)-1,40)+1)</f>
        <v>_</v>
      </c>
      <c r="I64" s="77"/>
      <c r="J64" s="26"/>
      <c r="K64" s="137"/>
      <c r="L64" s="137"/>
      <c r="M64" s="114"/>
      <c r="N64" s="114"/>
      <c r="O64" s="114"/>
      <c r="P64" s="114"/>
      <c r="Q64" s="164"/>
      <c r="R64" s="110"/>
    </row>
    <row r="65" spans="1:18" ht="13.5" hidden="1" customHeight="1">
      <c r="A65" s="30">
        <v>59</v>
      </c>
      <c r="B65" s="24">
        <f>DATE('1.연간시수표'!$U$2,'1.연간시수표'!$X$2,'1.연간시수표'!$Z$2)+QUOTIENT(ROW(A59)-1,8)+(QUOTIENT(ROW(A59)-1,40)*2)</f>
        <v>44629</v>
      </c>
      <c r="C65" s="24" t="str">
        <f t="shared" si="0"/>
        <v>수</v>
      </c>
      <c r="D65" s="91" t="str">
        <f t="shared" si="1"/>
        <v>3교시</v>
      </c>
      <c r="E65" s="68">
        <f>COUNTIF($H$7:$H65,$H65)</f>
        <v>31</v>
      </c>
      <c r="F65" s="67">
        <f>'1.연간시수표'!$AL$33</f>
        <v>5</v>
      </c>
      <c r="G65" s="89">
        <f t="shared" si="2"/>
        <v>1</v>
      </c>
      <c r="H65" s="91" t="str">
        <f>INDEX('0.시간표데이터'!$E$10:$AR$32,QUOTIENT(ROW(A59)-1,40)+1,MOD(ROW(A59)-1,40)+1)</f>
        <v>_</v>
      </c>
      <c r="I65" s="77"/>
      <c r="J65" s="26"/>
      <c r="K65" s="162"/>
      <c r="L65" s="162"/>
      <c r="M65" s="163"/>
      <c r="N65" s="171"/>
      <c r="O65" s="99"/>
      <c r="P65" s="99"/>
      <c r="Q65" s="167"/>
      <c r="R65" s="111"/>
    </row>
    <row r="66" spans="1:18" ht="13.5" hidden="1" customHeight="1">
      <c r="A66" s="30">
        <v>60</v>
      </c>
      <c r="B66" s="24">
        <f>DATE('1.연간시수표'!$U$2,'1.연간시수표'!$X$2,'1.연간시수표'!$Z$2)+QUOTIENT(ROW(A60)-1,8)+(QUOTIENT(ROW(A60)-1,40)*2)</f>
        <v>44629</v>
      </c>
      <c r="C66" s="24" t="str">
        <f t="shared" si="0"/>
        <v>수</v>
      </c>
      <c r="D66" s="91" t="str">
        <f t="shared" si="1"/>
        <v>4교시</v>
      </c>
      <c r="E66" s="68">
        <f>COUNTIF($H$7:$H66,$H66)</f>
        <v>32</v>
      </c>
      <c r="F66" s="67">
        <f>'1.연간시수표'!$AL$33</f>
        <v>5</v>
      </c>
      <c r="G66" s="89">
        <f t="shared" si="2"/>
        <v>1</v>
      </c>
      <c r="H66" s="91" t="str">
        <f>INDEX('0.시간표데이터'!$E$10:$AR$32,QUOTIENT(ROW(A60)-1,40)+1,MOD(ROW(A60)-1,40)+1)</f>
        <v>_</v>
      </c>
      <c r="I66" s="77"/>
      <c r="J66" s="26"/>
      <c r="K66" s="162"/>
      <c r="L66" s="162"/>
      <c r="M66" s="170"/>
      <c r="N66" s="98"/>
      <c r="O66" s="98"/>
      <c r="P66" s="98"/>
      <c r="Q66" s="167"/>
      <c r="R66" s="111"/>
    </row>
    <row r="67" spans="1:18" hidden="1">
      <c r="A67" s="30">
        <v>61</v>
      </c>
      <c r="B67" s="24">
        <f>DATE('1.연간시수표'!$U$2,'1.연간시수표'!$X$2,'1.연간시수표'!$Z$2)+QUOTIENT(ROW(A61)-1,8)+(QUOTIENT(ROW(A61)-1,40)*2)</f>
        <v>44629</v>
      </c>
      <c r="C67" s="24" t="str">
        <f t="shared" si="0"/>
        <v>수</v>
      </c>
      <c r="D67" s="91" t="str">
        <f t="shared" si="1"/>
        <v>5교시</v>
      </c>
      <c r="E67" s="68">
        <f>COUNTIF($H$7:$H67,$H67)</f>
        <v>33</v>
      </c>
      <c r="F67" s="67">
        <f>'1.연간시수표'!$AL$33</f>
        <v>5</v>
      </c>
      <c r="G67" s="89">
        <f t="shared" si="2"/>
        <v>1</v>
      </c>
      <c r="H67" s="91" t="str">
        <f>INDEX('0.시간표데이터'!$E$10:$AR$32,QUOTIENT(ROW(A61)-1,40)+1,MOD(ROW(A61)-1,40)+1)</f>
        <v>_</v>
      </c>
      <c r="I67" s="77"/>
      <c r="J67" s="26"/>
      <c r="K67" s="162"/>
      <c r="L67" s="162"/>
      <c r="M67" s="170"/>
      <c r="N67" s="98"/>
      <c r="O67" s="98"/>
      <c r="P67" s="98"/>
      <c r="Q67" s="167"/>
      <c r="R67" s="111"/>
    </row>
    <row r="68" spans="1:18" hidden="1">
      <c r="A68" s="30">
        <v>62</v>
      </c>
      <c r="B68" s="24">
        <f>DATE('1.연간시수표'!$U$2,'1.연간시수표'!$X$2,'1.연간시수표'!$Z$2)+QUOTIENT(ROW(A62)-1,8)+(QUOTIENT(ROW(A62)-1,40)*2)</f>
        <v>44629</v>
      </c>
      <c r="C68" s="24" t="str">
        <f t="shared" si="0"/>
        <v>수</v>
      </c>
      <c r="D68" s="91" t="str">
        <f t="shared" si="1"/>
        <v>6교시</v>
      </c>
      <c r="E68" s="68">
        <f>COUNTIF($H$7:$H68,$H68)</f>
        <v>34</v>
      </c>
      <c r="F68" s="67">
        <f>'1.연간시수표'!$AL$33</f>
        <v>5</v>
      </c>
      <c r="G68" s="89">
        <f t="shared" si="2"/>
        <v>1</v>
      </c>
      <c r="H68" s="91" t="str">
        <f>INDEX('0.시간표데이터'!$E$10:$AR$32,QUOTIENT(ROW(A62)-1,40)+1,MOD(ROW(A62)-1,40)+1)</f>
        <v>_</v>
      </c>
      <c r="I68" s="77"/>
      <c r="J68" s="26"/>
      <c r="K68" s="165"/>
      <c r="L68" s="165"/>
      <c r="M68" s="166"/>
      <c r="N68" s="166"/>
      <c r="O68" s="166"/>
      <c r="P68" s="166"/>
      <c r="Q68" s="167"/>
      <c r="R68" s="111"/>
    </row>
    <row r="69" spans="1:18" ht="13.5" hidden="1" customHeight="1">
      <c r="A69" s="30">
        <v>63</v>
      </c>
      <c r="B69" s="24">
        <f>DATE('1.연간시수표'!$U$2,'1.연간시수표'!$X$2,'1.연간시수표'!$Z$2)+QUOTIENT(ROW(A63)-1,8)+(QUOTIENT(ROW(A63)-1,40)*2)</f>
        <v>44629</v>
      </c>
      <c r="C69" s="24" t="str">
        <f t="shared" si="0"/>
        <v>수</v>
      </c>
      <c r="D69" s="91" t="str">
        <f t="shared" si="1"/>
        <v>7교시</v>
      </c>
      <c r="E69" s="68">
        <f>COUNTIF($H$7:$H69,$H69)</f>
        <v>35</v>
      </c>
      <c r="F69" s="67">
        <f>'1.연간시수표'!$AL$33</f>
        <v>5</v>
      </c>
      <c r="G69" s="89">
        <f t="shared" si="2"/>
        <v>1</v>
      </c>
      <c r="H69" s="91" t="str">
        <f>INDEX('0.시간표데이터'!$E$10:$AR$32,QUOTIENT(ROW(A63)-1,40)+1,MOD(ROW(A63)-1,40)+1)</f>
        <v>_</v>
      </c>
      <c r="I69" s="76"/>
      <c r="J69" s="26"/>
      <c r="K69" s="165"/>
      <c r="L69" s="165"/>
      <c r="M69" s="166"/>
      <c r="N69" s="166"/>
      <c r="O69" s="166"/>
      <c r="P69" s="166"/>
      <c r="Q69" s="167"/>
      <c r="R69" s="111"/>
    </row>
    <row r="70" spans="1:18" ht="13.5" hidden="1" customHeight="1">
      <c r="A70" s="30">
        <v>64</v>
      </c>
      <c r="B70" s="24">
        <f>DATE('1.연간시수표'!$U$2,'1.연간시수표'!$X$2,'1.연간시수표'!$Z$2)+QUOTIENT(ROW(A64)-1,8)+(QUOTIENT(ROW(A64)-1,40)*2)</f>
        <v>44629</v>
      </c>
      <c r="C70" s="24" t="str">
        <f t="shared" si="0"/>
        <v>수</v>
      </c>
      <c r="D70" s="91" t="str">
        <f t="shared" si="1"/>
        <v>8교시</v>
      </c>
      <c r="E70" s="68">
        <f>COUNTIF($H$7:$H70,$H70)</f>
        <v>36</v>
      </c>
      <c r="F70" s="67">
        <f>'1.연간시수표'!$AL$33</f>
        <v>5</v>
      </c>
      <c r="G70" s="89">
        <f t="shared" si="2"/>
        <v>1</v>
      </c>
      <c r="H70" s="91" t="str">
        <f>INDEX('0.시간표데이터'!$E$10:$AR$32,QUOTIENT(ROW(A64)-1,40)+1,MOD(ROW(A64)-1,40)+1)</f>
        <v>_</v>
      </c>
      <c r="I70" s="76"/>
      <c r="J70" s="26"/>
      <c r="K70" s="165"/>
      <c r="L70" s="165"/>
      <c r="M70" s="166"/>
      <c r="N70" s="166"/>
      <c r="O70" s="166"/>
      <c r="P70" s="166"/>
      <c r="Q70" s="167"/>
      <c r="R70" s="111"/>
    </row>
    <row r="71" spans="1:18" ht="13.5" hidden="1" customHeight="1">
      <c r="A71" s="30">
        <v>65</v>
      </c>
      <c r="B71" s="24">
        <f>DATE('1.연간시수표'!$U$2,'1.연간시수표'!$X$2,'1.연간시수표'!$Z$2)+QUOTIENT(ROW(A65)-1,8)+(QUOTIENT(ROW(A65)-1,40)*2)</f>
        <v>44630</v>
      </c>
      <c r="C71" s="24" t="str">
        <f t="shared" ref="C71:C134" si="3">IF(WEEKDAY(B71,2)=1,"월",IF(WEEKDAY(B71,2)=2,"화",IF(WEEKDAY(B71,2)=3,"수",IF(WEEKDAY(B71,2)=4,"목",IF(WEEKDAY(B71,2)=5,"금")))))</f>
        <v>목</v>
      </c>
      <c r="D71" s="91" t="str">
        <f t="shared" ref="D71:D134" si="4">TEXT(MOD(ROW(A65)-1,8)+1,"#교시")</f>
        <v>1교시</v>
      </c>
      <c r="E71" s="68">
        <f>COUNTIF($H$7:$H71,$H71)</f>
        <v>6</v>
      </c>
      <c r="F71" s="67">
        <f>'1.연간시수표'!$AL$33</f>
        <v>5</v>
      </c>
      <c r="G71" s="89">
        <f t="shared" ref="G71:G134" si="5">$A$2</f>
        <v>1</v>
      </c>
      <c r="H71" s="91" t="str">
        <f>INDEX('0.시간표데이터'!$E$10:$AR$32,QUOTIENT(ROW(A65)-1,40)+1,MOD(ROW(A65)-1,40)+1)</f>
        <v>국어</v>
      </c>
      <c r="I71" s="77"/>
      <c r="J71" s="26"/>
      <c r="K71" s="162"/>
      <c r="L71" s="162"/>
      <c r="M71" s="168"/>
      <c r="N71" s="98"/>
      <c r="O71" s="99"/>
      <c r="P71" s="99"/>
      <c r="Q71" s="167"/>
      <c r="R71" s="111"/>
    </row>
    <row r="72" spans="1:18" ht="13.5" hidden="1" customHeight="1">
      <c r="A72" s="30">
        <v>66</v>
      </c>
      <c r="B72" s="24">
        <f>DATE('1.연간시수표'!$U$2,'1.연간시수표'!$X$2,'1.연간시수표'!$Z$2)+QUOTIENT(ROW(A66)-1,8)+(QUOTIENT(ROW(A66)-1,40)*2)</f>
        <v>44630</v>
      </c>
      <c r="C72" s="24" t="str">
        <f t="shared" si="3"/>
        <v>목</v>
      </c>
      <c r="D72" s="91" t="str">
        <f t="shared" si="4"/>
        <v>2교시</v>
      </c>
      <c r="E72" s="68">
        <f>COUNTIF($H$7:$H72,$H72)</f>
        <v>6</v>
      </c>
      <c r="F72" s="67">
        <f>'1.연간시수표'!$AL$33</f>
        <v>5</v>
      </c>
      <c r="G72" s="89">
        <f t="shared" si="5"/>
        <v>1</v>
      </c>
      <c r="H72" s="91" t="str">
        <f>INDEX('0.시간표데이터'!$E$10:$AR$32,QUOTIENT(ROW(A66)-1,40)+1,MOD(ROW(A66)-1,40)+1)</f>
        <v>수학</v>
      </c>
      <c r="I72" s="161"/>
      <c r="J72" s="26"/>
      <c r="K72" s="165"/>
      <c r="L72" s="165"/>
      <c r="M72" s="166"/>
      <c r="N72" s="166"/>
      <c r="O72" s="166"/>
      <c r="P72" s="166"/>
      <c r="Q72" s="167"/>
      <c r="R72" s="111"/>
    </row>
    <row r="73" spans="1:18" ht="13.5" hidden="1" customHeight="1">
      <c r="A73" s="30">
        <v>67</v>
      </c>
      <c r="B73" s="24">
        <f>DATE('1.연간시수표'!$U$2,'1.연간시수표'!$X$2,'1.연간시수표'!$Z$2)+QUOTIENT(ROW(A67)-1,8)+(QUOTIENT(ROW(A67)-1,40)*2)</f>
        <v>44630</v>
      </c>
      <c r="C73" s="24" t="str">
        <f t="shared" si="3"/>
        <v>목</v>
      </c>
      <c r="D73" s="91" t="str">
        <f t="shared" si="4"/>
        <v>3교시</v>
      </c>
      <c r="E73" s="68">
        <f>COUNTIF($H$7:$H73,$H73)</f>
        <v>4</v>
      </c>
      <c r="F73" s="67">
        <f>'1.연간시수표'!$AL$33</f>
        <v>5</v>
      </c>
      <c r="G73" s="89">
        <f t="shared" si="5"/>
        <v>1</v>
      </c>
      <c r="H73" s="91" t="str">
        <f>INDEX('0.시간표데이터'!$E$10:$AR$32,QUOTIENT(ROW(A67)-1,40)+1,MOD(ROW(A67)-1,40)+1)</f>
        <v>사회</v>
      </c>
      <c r="I73" s="77"/>
      <c r="J73" s="26"/>
      <c r="K73" s="162"/>
      <c r="L73" s="162"/>
      <c r="M73" s="168"/>
      <c r="N73" s="99"/>
      <c r="O73" s="99"/>
      <c r="P73" s="99"/>
      <c r="Q73" s="167"/>
      <c r="R73" s="111"/>
    </row>
    <row r="74" spans="1:18" ht="13.5" hidden="1" customHeight="1">
      <c r="A74" s="30">
        <v>68</v>
      </c>
      <c r="B74" s="24">
        <f>DATE('1.연간시수표'!$U$2,'1.연간시수표'!$X$2,'1.연간시수표'!$Z$2)+QUOTIENT(ROW(A68)-1,8)+(QUOTIENT(ROW(A68)-1,40)*2)</f>
        <v>44630</v>
      </c>
      <c r="C74" s="24" t="str">
        <f t="shared" si="3"/>
        <v>목</v>
      </c>
      <c r="D74" s="91" t="str">
        <f t="shared" si="4"/>
        <v>4교시</v>
      </c>
      <c r="E74" s="68">
        <f>COUNTIF($H$7:$H74,$H74)</f>
        <v>4</v>
      </c>
      <c r="F74" s="67">
        <f>'1.연간시수표'!$AL$33</f>
        <v>5</v>
      </c>
      <c r="G74" s="89">
        <f t="shared" si="5"/>
        <v>1</v>
      </c>
      <c r="H74" s="91" t="str">
        <f>INDEX('0.시간표데이터'!$E$10:$AR$32,QUOTIENT(ROW(A68)-1,40)+1,MOD(ROW(A68)-1,40)+1)</f>
        <v>영어</v>
      </c>
      <c r="I74" s="77"/>
      <c r="J74" s="26"/>
      <c r="K74" s="165"/>
      <c r="L74" s="165"/>
      <c r="M74" s="166"/>
      <c r="N74" s="166"/>
      <c r="O74" s="166"/>
      <c r="P74" s="166"/>
      <c r="Q74" s="167"/>
      <c r="R74" s="111"/>
    </row>
    <row r="75" spans="1:18" ht="13.5" customHeight="1">
      <c r="A75" s="30">
        <v>69</v>
      </c>
      <c r="B75" s="24">
        <f>DATE('1.연간시수표'!$U$2,'1.연간시수표'!$X$2,'1.연간시수표'!$Z$2)+QUOTIENT(ROW(A69)-1,8)+(QUOTIENT(ROW(A69)-1,40)*2)</f>
        <v>44630</v>
      </c>
      <c r="C75" s="24" t="str">
        <f t="shared" si="3"/>
        <v>목</v>
      </c>
      <c r="D75" s="91" t="str">
        <f t="shared" si="4"/>
        <v>5교시</v>
      </c>
      <c r="E75" s="68">
        <f>COUNTIF($H$7:$H75,$H75)</f>
        <v>3</v>
      </c>
      <c r="F75" s="67">
        <f>'1.연간시수표'!$AL$33</f>
        <v>5</v>
      </c>
      <c r="G75" s="89">
        <f t="shared" si="5"/>
        <v>1</v>
      </c>
      <c r="H75" s="91" t="str">
        <f>INDEX('0.시간표데이터'!$E$10:$AR$32,QUOTIENT(ROW(A69)-1,40)+1,MOD(ROW(A69)-1,40)+1)</f>
        <v>과학</v>
      </c>
      <c r="I75" s="77"/>
      <c r="J75" s="26"/>
      <c r="K75" s="173"/>
      <c r="L75" s="173"/>
      <c r="M75" s="10"/>
      <c r="N75" s="10"/>
      <c r="O75" s="10"/>
      <c r="P75" s="10"/>
      <c r="Q75" s="164"/>
      <c r="R75" s="109"/>
    </row>
    <row r="76" spans="1:18" ht="13.5" hidden="1" customHeight="1">
      <c r="A76" s="30">
        <v>70</v>
      </c>
      <c r="B76" s="24">
        <f>DATE('1.연간시수표'!$U$2,'1.연간시수표'!$X$2,'1.연간시수표'!$Z$2)+QUOTIENT(ROW(A70)-1,8)+(QUOTIENT(ROW(A70)-1,40)*2)</f>
        <v>44630</v>
      </c>
      <c r="C76" s="24" t="str">
        <f t="shared" si="3"/>
        <v>목</v>
      </c>
      <c r="D76" s="91" t="str">
        <f t="shared" si="4"/>
        <v>6교시</v>
      </c>
      <c r="E76" s="68">
        <f>COUNTIF($H$7:$H76,$H76)</f>
        <v>2</v>
      </c>
      <c r="F76" s="67">
        <f>'1.연간시수표'!$AL$33</f>
        <v>5</v>
      </c>
      <c r="G76" s="89">
        <f t="shared" si="5"/>
        <v>1</v>
      </c>
      <c r="H76" s="91" t="str">
        <f>INDEX('0.시간표데이터'!$E$10:$AR$32,QUOTIENT(ROW(A70)-1,40)+1,MOD(ROW(A70)-1,40)+1)</f>
        <v>음악</v>
      </c>
      <c r="I76" s="161"/>
      <c r="J76" s="26"/>
      <c r="K76" s="165"/>
      <c r="L76" s="165"/>
      <c r="M76" s="166"/>
      <c r="N76" s="166"/>
      <c r="O76" s="166"/>
      <c r="P76" s="166"/>
      <c r="Q76" s="167"/>
      <c r="R76" s="111"/>
    </row>
    <row r="77" spans="1:18" ht="13.5" hidden="1" customHeight="1">
      <c r="A77" s="30">
        <v>71</v>
      </c>
      <c r="B77" s="24">
        <f>DATE('1.연간시수표'!$U$2,'1.연간시수표'!$X$2,'1.연간시수표'!$Z$2)+QUOTIENT(ROW(A71)-1,8)+(QUOTIENT(ROW(A71)-1,40)*2)</f>
        <v>44630</v>
      </c>
      <c r="C77" s="24" t="str">
        <f t="shared" si="3"/>
        <v>목</v>
      </c>
      <c r="D77" s="91" t="str">
        <f t="shared" si="4"/>
        <v>7교시</v>
      </c>
      <c r="E77" s="68">
        <f>COUNTIF($H$7:$H77,$H77)</f>
        <v>37</v>
      </c>
      <c r="F77" s="67">
        <f>'1.연간시수표'!$AL$33</f>
        <v>5</v>
      </c>
      <c r="G77" s="89">
        <f t="shared" si="5"/>
        <v>1</v>
      </c>
      <c r="H77" s="91" t="str">
        <f>INDEX('0.시간표데이터'!$E$10:$AR$32,QUOTIENT(ROW(A71)-1,40)+1,MOD(ROW(A71)-1,40)+1)</f>
        <v>_</v>
      </c>
      <c r="I77" s="76"/>
      <c r="J77" s="26"/>
      <c r="K77" s="165"/>
      <c r="L77" s="165"/>
      <c r="M77" s="166"/>
      <c r="N77" s="166"/>
      <c r="O77" s="166"/>
      <c r="P77" s="166"/>
      <c r="Q77" s="167"/>
      <c r="R77" s="111"/>
    </row>
    <row r="78" spans="1:18" ht="13.5" hidden="1" customHeight="1">
      <c r="A78" s="30">
        <v>72</v>
      </c>
      <c r="B78" s="24">
        <f>DATE('1.연간시수표'!$U$2,'1.연간시수표'!$X$2,'1.연간시수표'!$Z$2)+QUOTIENT(ROW(A72)-1,8)+(QUOTIENT(ROW(A72)-1,40)*2)</f>
        <v>44630</v>
      </c>
      <c r="C78" s="24" t="str">
        <f t="shared" si="3"/>
        <v>목</v>
      </c>
      <c r="D78" s="91" t="str">
        <f t="shared" si="4"/>
        <v>8교시</v>
      </c>
      <c r="E78" s="68">
        <f>COUNTIF($H$7:$H78,$H78)</f>
        <v>38</v>
      </c>
      <c r="F78" s="67">
        <f>'1.연간시수표'!$AL$33</f>
        <v>5</v>
      </c>
      <c r="G78" s="89">
        <f t="shared" si="5"/>
        <v>1</v>
      </c>
      <c r="H78" s="91" t="str">
        <f>INDEX('0.시간표데이터'!$E$10:$AR$32,QUOTIENT(ROW(A72)-1,40)+1,MOD(ROW(A72)-1,40)+1)</f>
        <v>_</v>
      </c>
      <c r="I78" s="76"/>
      <c r="J78" s="26"/>
      <c r="K78" s="165"/>
      <c r="L78" s="165"/>
      <c r="M78" s="166"/>
      <c r="N78" s="166"/>
      <c r="O78" s="166"/>
      <c r="P78" s="166"/>
      <c r="Q78" s="167"/>
      <c r="R78" s="111"/>
    </row>
    <row r="79" spans="1:18" ht="13.5" hidden="1" customHeight="1">
      <c r="A79" s="30">
        <v>73</v>
      </c>
      <c r="B79" s="24">
        <f>DATE('1.연간시수표'!$U$2,'1.연간시수표'!$X$2,'1.연간시수표'!$Z$2)+QUOTIENT(ROW(A73)-1,8)+(QUOTIENT(ROW(A73)-1,40)*2)</f>
        <v>44631</v>
      </c>
      <c r="C79" s="24" t="str">
        <f t="shared" si="3"/>
        <v>금</v>
      </c>
      <c r="D79" s="91" t="str">
        <f t="shared" si="4"/>
        <v>1교시</v>
      </c>
      <c r="E79" s="68">
        <f>COUNTIF($H$7:$H79,$H79)</f>
        <v>7</v>
      </c>
      <c r="F79" s="67">
        <f>'1.연간시수표'!$AL$33</f>
        <v>5</v>
      </c>
      <c r="G79" s="89">
        <f t="shared" si="5"/>
        <v>1</v>
      </c>
      <c r="H79" s="91" t="str">
        <f>INDEX('0.시간표데이터'!$E$10:$AR$32,QUOTIENT(ROW(A73)-1,40)+1,MOD(ROW(A73)-1,40)+1)</f>
        <v>국어</v>
      </c>
      <c r="I79" s="77"/>
      <c r="J79" s="26"/>
      <c r="K79" s="162"/>
      <c r="L79" s="162"/>
      <c r="M79" s="168"/>
      <c r="N79" s="168"/>
      <c r="O79" s="99"/>
      <c r="P79" s="99"/>
      <c r="Q79" s="167"/>
      <c r="R79" s="111"/>
    </row>
    <row r="80" spans="1:18" ht="13.5" hidden="1" customHeight="1">
      <c r="A80" s="30">
        <v>74</v>
      </c>
      <c r="B80" s="24">
        <f>DATE('1.연간시수표'!$U$2,'1.연간시수표'!$X$2,'1.연간시수표'!$Z$2)+QUOTIENT(ROW(A74)-1,8)+(QUOTIENT(ROW(A74)-1,40)*2)</f>
        <v>44631</v>
      </c>
      <c r="C80" s="24" t="str">
        <f t="shared" si="3"/>
        <v>금</v>
      </c>
      <c r="D80" s="91" t="str">
        <f t="shared" si="4"/>
        <v>2교시</v>
      </c>
      <c r="E80" s="68">
        <f>COUNTIF($H$7:$H80,$H80)</f>
        <v>1</v>
      </c>
      <c r="F80" s="67">
        <f>'1.연간시수표'!$AL$33</f>
        <v>5</v>
      </c>
      <c r="G80" s="89">
        <f t="shared" si="5"/>
        <v>1</v>
      </c>
      <c r="H80" s="91" t="str">
        <f>INDEX('0.시간표데이터'!$E$10:$AR$32,QUOTIENT(ROW(A74)-1,40)+1,MOD(ROW(A74)-1,40)+1)</f>
        <v>체육</v>
      </c>
      <c r="I80" s="77"/>
      <c r="J80" s="26"/>
      <c r="K80" s="162"/>
      <c r="L80" s="162"/>
      <c r="M80" s="168"/>
      <c r="N80" s="168"/>
      <c r="O80" s="99"/>
      <c r="P80" s="99"/>
      <c r="Q80" s="167"/>
      <c r="R80" s="111"/>
    </row>
    <row r="81" spans="1:18" ht="13.5" hidden="1" customHeight="1">
      <c r="A81" s="30">
        <v>75</v>
      </c>
      <c r="B81" s="24">
        <f>DATE('1.연간시수표'!$U$2,'1.연간시수표'!$X$2,'1.연간시수표'!$Z$2)+QUOTIENT(ROW(A75)-1,8)+(QUOTIENT(ROW(A75)-1,40)*2)</f>
        <v>44631</v>
      </c>
      <c r="C81" s="24" t="str">
        <f t="shared" si="3"/>
        <v>금</v>
      </c>
      <c r="D81" s="91" t="str">
        <f t="shared" si="4"/>
        <v>3교시</v>
      </c>
      <c r="E81" s="68">
        <f>COUNTIF($H$7:$H81,$H81)</f>
        <v>7</v>
      </c>
      <c r="F81" s="67">
        <f>'1.연간시수표'!$AL$33</f>
        <v>5</v>
      </c>
      <c r="G81" s="89">
        <f t="shared" si="5"/>
        <v>1</v>
      </c>
      <c r="H81" s="91" t="str">
        <f>INDEX('0.시간표데이터'!$E$10:$AR$32,QUOTIENT(ROW(A75)-1,40)+1,MOD(ROW(A75)-1,40)+1)</f>
        <v>수학</v>
      </c>
      <c r="I81" s="77"/>
      <c r="J81" s="26"/>
      <c r="K81" s="165"/>
      <c r="L81" s="165"/>
      <c r="M81" s="166"/>
      <c r="N81" s="166"/>
      <c r="O81" s="166"/>
      <c r="P81" s="166"/>
      <c r="Q81" s="167"/>
      <c r="R81" s="111"/>
    </row>
    <row r="82" spans="1:18" ht="13.5" hidden="1" customHeight="1">
      <c r="A82" s="30">
        <v>76</v>
      </c>
      <c r="B82" s="24">
        <f>DATE('1.연간시수표'!$U$2,'1.연간시수표'!$X$2,'1.연간시수표'!$Z$2)+QUOTIENT(ROW(A76)-1,8)+(QUOTIENT(ROW(A76)-1,40)*2)</f>
        <v>44631</v>
      </c>
      <c r="C82" s="24" t="str">
        <f t="shared" si="3"/>
        <v>금</v>
      </c>
      <c r="D82" s="91" t="str">
        <f t="shared" si="4"/>
        <v>4교시</v>
      </c>
      <c r="E82" s="68">
        <f>COUNTIF($H$7:$H82,$H82)</f>
        <v>3</v>
      </c>
      <c r="F82" s="67">
        <f>'1.연간시수표'!$AL$33</f>
        <v>5</v>
      </c>
      <c r="G82" s="89">
        <f t="shared" si="5"/>
        <v>1</v>
      </c>
      <c r="H82" s="91" t="str">
        <f>INDEX('0.시간표데이터'!$E$10:$AR$32,QUOTIENT(ROW(A76)-1,40)+1,MOD(ROW(A76)-1,40)+1)</f>
        <v>음악</v>
      </c>
      <c r="I82" s="77"/>
      <c r="J82" s="26"/>
      <c r="K82" s="162"/>
      <c r="L82" s="162"/>
      <c r="M82" s="169"/>
      <c r="N82" s="101"/>
      <c r="O82" s="99"/>
      <c r="P82" s="99"/>
      <c r="Q82" s="167"/>
      <c r="R82" s="111"/>
    </row>
    <row r="83" spans="1:18" ht="13.5" hidden="1" customHeight="1">
      <c r="A83" s="30">
        <v>77</v>
      </c>
      <c r="B83" s="24">
        <f>DATE('1.연간시수표'!$U$2,'1.연간시수표'!$X$2,'1.연간시수표'!$Z$2)+QUOTIENT(ROW(A77)-1,8)+(QUOTIENT(ROW(A77)-1,40)*2)</f>
        <v>44631</v>
      </c>
      <c r="C83" s="24" t="str">
        <f t="shared" si="3"/>
        <v>금</v>
      </c>
      <c r="D83" s="91" t="str">
        <f t="shared" si="4"/>
        <v>5교시</v>
      </c>
      <c r="E83" s="68">
        <f>COUNTIF($H$7:$H83,$H83)</f>
        <v>5</v>
      </c>
      <c r="F83" s="67">
        <f>'1.연간시수표'!$AL$33</f>
        <v>5</v>
      </c>
      <c r="G83" s="89">
        <f t="shared" si="5"/>
        <v>1</v>
      </c>
      <c r="H83" s="91" t="str">
        <f>INDEX('0.시간표데이터'!$E$10:$AR$32,QUOTIENT(ROW(A77)-1,40)+1,MOD(ROW(A77)-1,40)+1)</f>
        <v>사회</v>
      </c>
      <c r="I83" s="77"/>
      <c r="J83" s="26"/>
      <c r="K83" s="162"/>
      <c r="L83" s="162"/>
      <c r="M83" s="170"/>
      <c r="N83" s="98"/>
      <c r="O83" s="98"/>
      <c r="P83" s="98"/>
      <c r="Q83" s="167"/>
      <c r="R83" s="111"/>
    </row>
    <row r="84" spans="1:18" ht="13.5" hidden="1" customHeight="1">
      <c r="A84" s="30">
        <v>78</v>
      </c>
      <c r="B84" s="24">
        <f>DATE('1.연간시수표'!$U$2,'1.연간시수표'!$X$2,'1.연간시수표'!$Z$2)+QUOTIENT(ROW(A78)-1,8)+(QUOTIENT(ROW(A78)-1,40)*2)</f>
        <v>44631</v>
      </c>
      <c r="C84" s="24" t="str">
        <f t="shared" si="3"/>
        <v>금</v>
      </c>
      <c r="D84" s="91" t="str">
        <f t="shared" si="4"/>
        <v>6교시</v>
      </c>
      <c r="E84" s="68">
        <f>COUNTIF($H$7:$H84,$H84)</f>
        <v>3</v>
      </c>
      <c r="F84" s="67">
        <f>'1.연간시수표'!$AL$33</f>
        <v>5</v>
      </c>
      <c r="G84" s="89">
        <f t="shared" si="5"/>
        <v>1</v>
      </c>
      <c r="H84" s="91" t="str">
        <f>INDEX('0.시간표데이터'!$E$10:$AR$32,QUOTIENT(ROW(A78)-1,40)+1,MOD(ROW(A78)-1,40)+1)</f>
        <v>실과</v>
      </c>
      <c r="I84" s="77"/>
      <c r="J84" s="26"/>
      <c r="K84" s="165"/>
      <c r="L84" s="165"/>
      <c r="M84" s="166"/>
      <c r="N84" s="166"/>
      <c r="O84" s="166"/>
      <c r="P84" s="166"/>
      <c r="Q84" s="167"/>
      <c r="R84" s="111"/>
    </row>
    <row r="85" spans="1:18" ht="13.5" hidden="1" customHeight="1">
      <c r="A85" s="30">
        <v>79</v>
      </c>
      <c r="B85" s="24">
        <f>DATE('1.연간시수표'!$U$2,'1.연간시수표'!$X$2,'1.연간시수표'!$Z$2)+QUOTIENT(ROW(A79)-1,8)+(QUOTIENT(ROW(A79)-1,40)*2)</f>
        <v>44631</v>
      </c>
      <c r="C85" s="24" t="str">
        <f t="shared" si="3"/>
        <v>금</v>
      </c>
      <c r="D85" s="91" t="str">
        <f t="shared" si="4"/>
        <v>7교시</v>
      </c>
      <c r="E85" s="68">
        <f>COUNTIF($H$7:$H85,$H85)</f>
        <v>39</v>
      </c>
      <c r="F85" s="67">
        <f>'1.연간시수표'!$AL$33</f>
        <v>5</v>
      </c>
      <c r="G85" s="89">
        <f t="shared" si="5"/>
        <v>1</v>
      </c>
      <c r="H85" s="91" t="str">
        <f>INDEX('0.시간표데이터'!$E$10:$AR$32,QUOTIENT(ROW(A79)-1,40)+1,MOD(ROW(A79)-1,40)+1)</f>
        <v>_</v>
      </c>
      <c r="I85" s="76"/>
      <c r="J85" s="26"/>
      <c r="K85" s="165"/>
      <c r="L85" s="165"/>
      <c r="M85" s="166"/>
      <c r="N85" s="166"/>
      <c r="O85" s="166"/>
      <c r="P85" s="166"/>
      <c r="Q85" s="167"/>
      <c r="R85" s="111"/>
    </row>
    <row r="86" spans="1:18" ht="13.5" hidden="1" customHeight="1">
      <c r="A86" s="30">
        <v>80</v>
      </c>
      <c r="B86" s="24">
        <f>DATE('1.연간시수표'!$U$2,'1.연간시수표'!$X$2,'1.연간시수표'!$Z$2)+QUOTIENT(ROW(A80)-1,8)+(QUOTIENT(ROW(A80)-1,40)*2)</f>
        <v>44631</v>
      </c>
      <c r="C86" s="24" t="str">
        <f t="shared" si="3"/>
        <v>금</v>
      </c>
      <c r="D86" s="91" t="str">
        <f t="shared" si="4"/>
        <v>8교시</v>
      </c>
      <c r="E86" s="68">
        <f>COUNTIF($H$7:$H86,$H86)</f>
        <v>40</v>
      </c>
      <c r="F86" s="67">
        <f>'1.연간시수표'!$AL$33</f>
        <v>5</v>
      </c>
      <c r="G86" s="89">
        <f t="shared" si="5"/>
        <v>1</v>
      </c>
      <c r="H86" s="91" t="str">
        <f>INDEX('0.시간표데이터'!$E$10:$AR$32,QUOTIENT(ROW(A80)-1,40)+1,MOD(ROW(A80)-1,40)+1)</f>
        <v>_</v>
      </c>
      <c r="I86" s="76"/>
      <c r="J86" s="26"/>
      <c r="K86" s="165"/>
      <c r="L86" s="165"/>
      <c r="M86" s="166"/>
      <c r="N86" s="166"/>
      <c r="O86" s="166"/>
      <c r="P86" s="166"/>
      <c r="Q86" s="167"/>
      <c r="R86" s="111"/>
    </row>
    <row r="87" spans="1:18" ht="13.5" hidden="1" customHeight="1">
      <c r="A87" s="30">
        <v>81</v>
      </c>
      <c r="B87" s="24">
        <f>DATE('1.연간시수표'!$U$2,'1.연간시수표'!$X$2,'1.연간시수표'!$Z$2)+QUOTIENT(ROW(A81)-1,8)+(QUOTIENT(ROW(A81)-1,40)*2)</f>
        <v>44634</v>
      </c>
      <c r="C87" s="24" t="str">
        <f t="shared" si="3"/>
        <v>월</v>
      </c>
      <c r="D87" s="91" t="str">
        <f t="shared" si="4"/>
        <v>1교시</v>
      </c>
      <c r="E87" s="68">
        <f>COUNTIF($H$7:$H87,$H87)</f>
        <v>8</v>
      </c>
      <c r="F87" s="67">
        <f>'1.연간시수표'!$AL$33</f>
        <v>5</v>
      </c>
      <c r="G87" s="89">
        <f t="shared" si="5"/>
        <v>1</v>
      </c>
      <c r="H87" s="91" t="str">
        <f>INDEX('0.시간표데이터'!$E$10:$AR$32,QUOTIENT(ROW(A81)-1,40)+1,MOD(ROW(A81)-1,40)+1)</f>
        <v>국어</v>
      </c>
      <c r="I87" s="77"/>
      <c r="J87" s="26"/>
      <c r="K87" s="162"/>
      <c r="L87" s="162"/>
      <c r="M87" s="163"/>
      <c r="N87" s="171"/>
      <c r="O87" s="99"/>
      <c r="P87" s="99"/>
      <c r="Q87" s="167"/>
      <c r="R87" s="111"/>
    </row>
    <row r="88" spans="1:18" ht="13.5" hidden="1" customHeight="1">
      <c r="A88" s="30">
        <v>82</v>
      </c>
      <c r="B88" s="24">
        <f>DATE('1.연간시수표'!$U$2,'1.연간시수표'!$X$2,'1.연간시수표'!$Z$2)+QUOTIENT(ROW(A82)-1,8)+(QUOTIENT(ROW(A82)-1,40)*2)</f>
        <v>44634</v>
      </c>
      <c r="C88" s="24" t="str">
        <f t="shared" si="3"/>
        <v>월</v>
      </c>
      <c r="D88" s="91" t="str">
        <f t="shared" si="4"/>
        <v>2교시</v>
      </c>
      <c r="E88" s="68">
        <f>COUNTIF($H$7:$H88,$H88)</f>
        <v>3</v>
      </c>
      <c r="F88" s="67">
        <f>'1.연간시수표'!$AL$33</f>
        <v>5</v>
      </c>
      <c r="G88" s="89">
        <f t="shared" si="5"/>
        <v>1</v>
      </c>
      <c r="H88" s="91" t="str">
        <f>INDEX('0.시간표데이터'!$E$10:$AR$32,QUOTIENT(ROW(A82)-1,40)+1,MOD(ROW(A82)-1,40)+1)</f>
        <v>미술</v>
      </c>
      <c r="I88" s="161"/>
      <c r="J88" s="26"/>
      <c r="K88" s="165"/>
      <c r="L88" s="165"/>
      <c r="M88" s="166"/>
      <c r="N88" s="166"/>
      <c r="O88" s="166"/>
      <c r="P88" s="166"/>
      <c r="Q88" s="167"/>
      <c r="R88" s="111"/>
    </row>
    <row r="89" spans="1:18" ht="13.5" hidden="1" customHeight="1">
      <c r="A89" s="30">
        <v>83</v>
      </c>
      <c r="B89" s="24">
        <f>DATE('1.연간시수표'!$U$2,'1.연간시수표'!$X$2,'1.연간시수표'!$Z$2)+QUOTIENT(ROW(A83)-1,8)+(QUOTIENT(ROW(A83)-1,40)*2)</f>
        <v>44634</v>
      </c>
      <c r="C89" s="24" t="str">
        <f t="shared" si="3"/>
        <v>월</v>
      </c>
      <c r="D89" s="91" t="str">
        <f t="shared" si="4"/>
        <v>3교시</v>
      </c>
      <c r="E89" s="68">
        <f>COUNTIF($H$7:$H89,$H89)</f>
        <v>4</v>
      </c>
      <c r="F89" s="67">
        <f>'1.연간시수표'!$AL$33</f>
        <v>5</v>
      </c>
      <c r="G89" s="89">
        <f t="shared" si="5"/>
        <v>1</v>
      </c>
      <c r="H89" s="91" t="str">
        <f>INDEX('0.시간표데이터'!$E$10:$AR$32,QUOTIENT(ROW(A83)-1,40)+1,MOD(ROW(A83)-1,40)+1)</f>
        <v>미술</v>
      </c>
      <c r="I89" s="77"/>
      <c r="J89" s="26"/>
      <c r="K89" s="162"/>
      <c r="L89" s="162"/>
      <c r="M89" s="169"/>
      <c r="N89" s="101"/>
      <c r="O89" s="99"/>
      <c r="P89" s="99"/>
      <c r="Q89" s="167"/>
      <c r="R89" s="111"/>
    </row>
    <row r="90" spans="1:18" ht="13.5" hidden="1" customHeight="1">
      <c r="A90" s="30">
        <v>84</v>
      </c>
      <c r="B90" s="24">
        <f>DATE('1.연간시수표'!$U$2,'1.연간시수표'!$X$2,'1.연간시수표'!$Z$2)+QUOTIENT(ROW(A84)-1,8)+(QUOTIENT(ROW(A84)-1,40)*2)</f>
        <v>44634</v>
      </c>
      <c r="C90" s="24" t="str">
        <f t="shared" si="3"/>
        <v>월</v>
      </c>
      <c r="D90" s="91" t="str">
        <f t="shared" si="4"/>
        <v>4교시</v>
      </c>
      <c r="E90" s="68">
        <f>COUNTIF($H$7:$H90,$H90)</f>
        <v>5</v>
      </c>
      <c r="F90" s="67">
        <f>'1.연간시수표'!$AL$33</f>
        <v>5</v>
      </c>
      <c r="G90" s="89">
        <f t="shared" si="5"/>
        <v>1</v>
      </c>
      <c r="H90" s="91" t="str">
        <f>INDEX('0.시간표데이터'!$E$10:$AR$32,QUOTIENT(ROW(A84)-1,40)+1,MOD(ROW(A84)-1,40)+1)</f>
        <v>영어</v>
      </c>
      <c r="I90" s="77"/>
      <c r="J90" s="26"/>
      <c r="K90" s="162"/>
      <c r="L90" s="162"/>
      <c r="M90" s="169"/>
      <c r="N90" s="101"/>
      <c r="O90" s="99"/>
      <c r="P90" s="99"/>
      <c r="Q90" s="167"/>
      <c r="R90" s="111"/>
    </row>
    <row r="91" spans="1:18" ht="13.5" hidden="1" customHeight="1">
      <c r="A91" s="30">
        <v>85</v>
      </c>
      <c r="B91" s="24">
        <f>DATE('1.연간시수표'!$U$2,'1.연간시수표'!$X$2,'1.연간시수표'!$Z$2)+QUOTIENT(ROW(A85)-1,8)+(QUOTIENT(ROW(A85)-1,40)*2)</f>
        <v>44634</v>
      </c>
      <c r="C91" s="24" t="str">
        <f t="shared" si="3"/>
        <v>월</v>
      </c>
      <c r="D91" s="91" t="str">
        <f t="shared" si="4"/>
        <v>5교시</v>
      </c>
      <c r="E91" s="68">
        <f>COUNTIF($H$7:$H91,$H91)</f>
        <v>4</v>
      </c>
      <c r="F91" s="67">
        <f>'1.연간시수표'!$AL$33</f>
        <v>5</v>
      </c>
      <c r="G91" s="89">
        <f t="shared" si="5"/>
        <v>1</v>
      </c>
      <c r="H91" s="91" t="str">
        <f>INDEX('0.시간표데이터'!$E$10:$AR$32,QUOTIENT(ROW(A85)-1,40)+1,MOD(ROW(A85)-1,40)+1)</f>
        <v>음악</v>
      </c>
      <c r="I91" s="77"/>
      <c r="J91" s="26"/>
      <c r="K91" s="162"/>
      <c r="L91" s="162"/>
      <c r="M91" s="168"/>
      <c r="N91" s="98"/>
      <c r="O91" s="99"/>
      <c r="P91" s="99"/>
      <c r="Q91" s="167"/>
      <c r="R91" s="111"/>
    </row>
    <row r="92" spans="1:18" ht="13.5" hidden="1" customHeight="1">
      <c r="A92" s="30">
        <v>86</v>
      </c>
      <c r="B92" s="24">
        <f>DATE('1.연간시수표'!$U$2,'1.연간시수표'!$X$2,'1.연간시수표'!$Z$2)+QUOTIENT(ROW(A86)-1,8)+(QUOTIENT(ROW(A86)-1,40)*2)</f>
        <v>44634</v>
      </c>
      <c r="C92" s="24" t="str">
        <f t="shared" si="3"/>
        <v>월</v>
      </c>
      <c r="D92" s="91" t="str">
        <f t="shared" si="4"/>
        <v>6교시</v>
      </c>
      <c r="E92" s="68">
        <f>COUNTIF($H$7:$H92,$H92)</f>
        <v>9</v>
      </c>
      <c r="F92" s="67">
        <f>'1.연간시수표'!$AL$33</f>
        <v>5</v>
      </c>
      <c r="G92" s="89">
        <f t="shared" si="5"/>
        <v>1</v>
      </c>
      <c r="H92" s="91" t="str">
        <f>INDEX('0.시간표데이터'!$E$10:$AR$32,QUOTIENT(ROW(A86)-1,40)+1,MOD(ROW(A86)-1,40)+1)</f>
        <v>국어</v>
      </c>
      <c r="I92" s="77"/>
      <c r="J92" s="26"/>
      <c r="K92" s="165"/>
      <c r="L92" s="165"/>
      <c r="M92" s="166"/>
      <c r="N92" s="166"/>
      <c r="O92" s="166"/>
      <c r="P92" s="166"/>
      <c r="Q92" s="167"/>
      <c r="R92" s="111"/>
    </row>
    <row r="93" spans="1:18" ht="13.5" hidden="1" customHeight="1">
      <c r="A93" s="30">
        <v>87</v>
      </c>
      <c r="B93" s="24">
        <f>DATE('1.연간시수표'!$U$2,'1.연간시수표'!$X$2,'1.연간시수표'!$Z$2)+QUOTIENT(ROW(A87)-1,8)+(QUOTIENT(ROW(A87)-1,40)*2)</f>
        <v>44634</v>
      </c>
      <c r="C93" s="24" t="str">
        <f t="shared" si="3"/>
        <v>월</v>
      </c>
      <c r="D93" s="91" t="str">
        <f t="shared" si="4"/>
        <v>7교시</v>
      </c>
      <c r="E93" s="68">
        <f>COUNTIF($H$7:$H93,$H93)</f>
        <v>41</v>
      </c>
      <c r="F93" s="67">
        <f>'1.연간시수표'!$AL$33</f>
        <v>5</v>
      </c>
      <c r="G93" s="89">
        <f t="shared" si="5"/>
        <v>1</v>
      </c>
      <c r="H93" s="91" t="str">
        <f>INDEX('0.시간표데이터'!$E$10:$AR$32,QUOTIENT(ROW(A87)-1,40)+1,MOD(ROW(A87)-1,40)+1)</f>
        <v>_</v>
      </c>
      <c r="I93" s="76"/>
      <c r="J93" s="26"/>
      <c r="K93" s="165"/>
      <c r="L93" s="165"/>
      <c r="M93" s="166"/>
      <c r="N93" s="166"/>
      <c r="O93" s="166"/>
      <c r="P93" s="166"/>
      <c r="Q93" s="167"/>
      <c r="R93" s="111"/>
    </row>
    <row r="94" spans="1:18" ht="13.5" hidden="1" customHeight="1">
      <c r="A94" s="30">
        <v>88</v>
      </c>
      <c r="B94" s="24">
        <f>DATE('1.연간시수표'!$U$2,'1.연간시수표'!$X$2,'1.연간시수표'!$Z$2)+QUOTIENT(ROW(A88)-1,8)+(QUOTIENT(ROW(A88)-1,40)*2)</f>
        <v>44634</v>
      </c>
      <c r="C94" s="24" t="str">
        <f t="shared" si="3"/>
        <v>월</v>
      </c>
      <c r="D94" s="91" t="str">
        <f t="shared" si="4"/>
        <v>8교시</v>
      </c>
      <c r="E94" s="68">
        <f>COUNTIF($H$7:$H94,$H94)</f>
        <v>42</v>
      </c>
      <c r="F94" s="67">
        <f>'1.연간시수표'!$AL$33</f>
        <v>5</v>
      </c>
      <c r="G94" s="89">
        <f t="shared" si="5"/>
        <v>1</v>
      </c>
      <c r="H94" s="91" t="str">
        <f>INDEX('0.시간표데이터'!$E$10:$AR$32,QUOTIENT(ROW(A88)-1,40)+1,MOD(ROW(A88)-1,40)+1)</f>
        <v>_</v>
      </c>
      <c r="I94" s="76"/>
      <c r="J94" s="26"/>
      <c r="K94" s="165"/>
      <c r="L94" s="165"/>
      <c r="M94" s="166"/>
      <c r="N94" s="166"/>
      <c r="O94" s="166"/>
      <c r="P94" s="166"/>
      <c r="Q94" s="167"/>
      <c r="R94" s="111"/>
    </row>
    <row r="95" spans="1:18" ht="13.5" hidden="1" customHeight="1">
      <c r="A95" s="30">
        <v>89</v>
      </c>
      <c r="B95" s="24">
        <f>DATE('1.연간시수표'!$U$2,'1.연간시수표'!$X$2,'1.연간시수표'!$Z$2)+QUOTIENT(ROW(A89)-1,8)+(QUOTIENT(ROW(A89)-1,40)*2)</f>
        <v>44635</v>
      </c>
      <c r="C95" s="24" t="str">
        <f t="shared" si="3"/>
        <v>화</v>
      </c>
      <c r="D95" s="91" t="str">
        <f t="shared" si="4"/>
        <v>1교시</v>
      </c>
      <c r="E95" s="68">
        <f>COUNTIF($H$7:$H95,$H95)</f>
        <v>5</v>
      </c>
      <c r="F95" s="67">
        <f>'1.연간시수표'!$AL$33</f>
        <v>5</v>
      </c>
      <c r="G95" s="89">
        <f t="shared" si="5"/>
        <v>1</v>
      </c>
      <c r="H95" s="91" t="str">
        <f>INDEX('0.시간표데이터'!$E$10:$AR$32,QUOTIENT(ROW(A89)-1,40)+1,MOD(ROW(A89)-1,40)+1)</f>
        <v>자율활동</v>
      </c>
      <c r="I95" s="77"/>
      <c r="J95" s="26"/>
      <c r="K95" s="162"/>
      <c r="L95" s="162"/>
      <c r="M95" s="168"/>
      <c r="N95" s="99"/>
      <c r="O95" s="99"/>
      <c r="P95" s="99"/>
      <c r="Q95" s="167"/>
      <c r="R95" s="111"/>
    </row>
    <row r="96" spans="1:18" ht="13.5" hidden="1" customHeight="1">
      <c r="A96" s="30">
        <v>90</v>
      </c>
      <c r="B96" s="24">
        <f>DATE('1.연간시수표'!$U$2,'1.연간시수표'!$X$2,'1.연간시수표'!$Z$2)+QUOTIENT(ROW(A90)-1,8)+(QUOTIENT(ROW(A90)-1,40)*2)</f>
        <v>44635</v>
      </c>
      <c r="C96" s="24" t="str">
        <f t="shared" si="3"/>
        <v>화</v>
      </c>
      <c r="D96" s="91" t="str">
        <f t="shared" si="4"/>
        <v>2교시</v>
      </c>
      <c r="E96" s="68">
        <f>COUNTIF($H$7:$H96,$H96)</f>
        <v>6</v>
      </c>
      <c r="F96" s="67">
        <f>'1.연간시수표'!$AL$33</f>
        <v>5</v>
      </c>
      <c r="G96" s="89">
        <f t="shared" si="5"/>
        <v>1</v>
      </c>
      <c r="H96" s="91" t="str">
        <f>INDEX('0.시간표데이터'!$E$10:$AR$32,QUOTIENT(ROW(A90)-1,40)+1,MOD(ROW(A90)-1,40)+1)</f>
        <v>자율활동</v>
      </c>
      <c r="I96" s="161"/>
      <c r="J96" s="26"/>
      <c r="K96" s="165"/>
      <c r="L96" s="165"/>
      <c r="M96" s="166"/>
      <c r="N96" s="166"/>
      <c r="O96" s="166"/>
      <c r="P96" s="166"/>
      <c r="Q96" s="167"/>
      <c r="R96" s="111"/>
    </row>
    <row r="97" spans="1:18" hidden="1">
      <c r="A97" s="30">
        <v>91</v>
      </c>
      <c r="B97" s="24">
        <f>DATE('1.연간시수표'!$U$2,'1.연간시수표'!$X$2,'1.연간시수표'!$Z$2)+QUOTIENT(ROW(A91)-1,8)+(QUOTIENT(ROW(A91)-1,40)*2)</f>
        <v>44635</v>
      </c>
      <c r="C97" s="24" t="str">
        <f t="shared" si="3"/>
        <v>화</v>
      </c>
      <c r="D97" s="91" t="str">
        <f t="shared" si="4"/>
        <v>3교시</v>
      </c>
      <c r="E97" s="68">
        <f>COUNTIF($H$7:$H97,$H97)</f>
        <v>6</v>
      </c>
      <c r="F97" s="67">
        <f>'1.연간시수표'!$AL$33</f>
        <v>5</v>
      </c>
      <c r="G97" s="89">
        <f t="shared" si="5"/>
        <v>1</v>
      </c>
      <c r="H97" s="91" t="str">
        <f>INDEX('0.시간표데이터'!$E$10:$AR$32,QUOTIENT(ROW(A91)-1,40)+1,MOD(ROW(A91)-1,40)+1)</f>
        <v>사회</v>
      </c>
      <c r="I97" s="77"/>
      <c r="J97" s="26"/>
      <c r="K97" s="162"/>
      <c r="L97" s="162"/>
      <c r="M97" s="168"/>
      <c r="N97" s="98"/>
      <c r="O97" s="98"/>
      <c r="P97" s="98"/>
      <c r="Q97" s="167"/>
      <c r="R97" s="111"/>
    </row>
    <row r="98" spans="1:18" hidden="1">
      <c r="A98" s="30">
        <v>92</v>
      </c>
      <c r="B98" s="24">
        <f>DATE('1.연간시수표'!$U$2,'1.연간시수표'!$X$2,'1.연간시수표'!$Z$2)+QUOTIENT(ROW(A92)-1,8)+(QUOTIENT(ROW(A92)-1,40)*2)</f>
        <v>44635</v>
      </c>
      <c r="C98" s="24" t="str">
        <f t="shared" si="3"/>
        <v>화</v>
      </c>
      <c r="D98" s="91" t="str">
        <f t="shared" si="4"/>
        <v>4교시</v>
      </c>
      <c r="E98" s="68">
        <f>COUNTIF($H$7:$H98,$H98)</f>
        <v>8</v>
      </c>
      <c r="F98" s="67">
        <f>'1.연간시수표'!$AL$33</f>
        <v>5</v>
      </c>
      <c r="G98" s="89">
        <f t="shared" si="5"/>
        <v>1</v>
      </c>
      <c r="H98" s="91" t="str">
        <f>INDEX('0.시간표데이터'!$E$10:$AR$32,QUOTIENT(ROW(A92)-1,40)+1,MOD(ROW(A92)-1,40)+1)</f>
        <v>수학</v>
      </c>
      <c r="I98" s="77"/>
      <c r="J98" s="26"/>
      <c r="K98" s="162"/>
      <c r="L98" s="162"/>
      <c r="M98" s="168"/>
      <c r="N98" s="98"/>
      <c r="O98" s="99"/>
      <c r="P98" s="99"/>
      <c r="Q98" s="167"/>
      <c r="R98" s="111"/>
    </row>
    <row r="99" spans="1:18" ht="13.5" hidden="1" customHeight="1">
      <c r="A99" s="30">
        <v>93</v>
      </c>
      <c r="B99" s="24">
        <f>DATE('1.연간시수표'!$U$2,'1.연간시수표'!$X$2,'1.연간시수표'!$Z$2)+QUOTIENT(ROW(A93)-1,8)+(QUOTIENT(ROW(A93)-1,40)*2)</f>
        <v>44635</v>
      </c>
      <c r="C99" s="24" t="str">
        <f t="shared" si="3"/>
        <v>화</v>
      </c>
      <c r="D99" s="91" t="str">
        <f t="shared" si="4"/>
        <v>5교시</v>
      </c>
      <c r="E99" s="68">
        <f>COUNTIF($H$7:$H99,$H99)</f>
        <v>4</v>
      </c>
      <c r="F99" s="67">
        <f>'1.연간시수표'!$AL$33</f>
        <v>5</v>
      </c>
      <c r="G99" s="89">
        <f t="shared" si="5"/>
        <v>1</v>
      </c>
      <c r="H99" s="91" t="str">
        <f>INDEX('0.시간표데이터'!$E$10:$AR$32,QUOTIENT(ROW(A93)-1,40)+1,MOD(ROW(A93)-1,40)+1)</f>
        <v>과학</v>
      </c>
      <c r="I99" s="77"/>
      <c r="J99" s="26"/>
      <c r="K99" s="137"/>
      <c r="L99" s="137"/>
      <c r="M99" s="114"/>
      <c r="N99" s="114"/>
      <c r="O99" s="114"/>
      <c r="P99" s="114"/>
      <c r="Q99" s="164"/>
      <c r="R99" s="110"/>
    </row>
    <row r="100" spans="1:18" ht="13.5" hidden="1" customHeight="1">
      <c r="A100" s="30">
        <v>94</v>
      </c>
      <c r="B100" s="24">
        <f>DATE('1.연간시수표'!$U$2,'1.연간시수표'!$X$2,'1.연간시수표'!$Z$2)+QUOTIENT(ROW(A94)-1,8)+(QUOTIENT(ROW(A94)-1,40)*2)</f>
        <v>44635</v>
      </c>
      <c r="C100" s="24" t="str">
        <f t="shared" si="3"/>
        <v>화</v>
      </c>
      <c r="D100" s="91" t="str">
        <f t="shared" si="4"/>
        <v>6교시</v>
      </c>
      <c r="E100" s="68">
        <f>COUNTIF($H$7:$H100,$H100)</f>
        <v>4</v>
      </c>
      <c r="F100" s="67">
        <f>'1.연간시수표'!$AL$33</f>
        <v>5</v>
      </c>
      <c r="G100" s="89">
        <f t="shared" si="5"/>
        <v>1</v>
      </c>
      <c r="H100" s="91" t="str">
        <f>INDEX('0.시간표데이터'!$E$10:$AR$32,QUOTIENT(ROW(A94)-1,40)+1,MOD(ROW(A94)-1,40)+1)</f>
        <v>실과</v>
      </c>
      <c r="I100" s="77"/>
      <c r="J100" s="26"/>
      <c r="K100" s="165"/>
      <c r="L100" s="165"/>
      <c r="M100" s="166"/>
      <c r="N100" s="166"/>
      <c r="O100" s="166"/>
      <c r="P100" s="166"/>
      <c r="Q100" s="167"/>
      <c r="R100" s="111"/>
    </row>
    <row r="101" spans="1:18" ht="13.5" hidden="1" customHeight="1">
      <c r="A101" s="30">
        <v>95</v>
      </c>
      <c r="B101" s="24">
        <f>DATE('1.연간시수표'!$U$2,'1.연간시수표'!$X$2,'1.연간시수표'!$Z$2)+QUOTIENT(ROW(A95)-1,8)+(QUOTIENT(ROW(A95)-1,40)*2)</f>
        <v>44635</v>
      </c>
      <c r="C101" s="24" t="str">
        <f t="shared" si="3"/>
        <v>화</v>
      </c>
      <c r="D101" s="91" t="str">
        <f t="shared" si="4"/>
        <v>7교시</v>
      </c>
      <c r="E101" s="68">
        <f>COUNTIF($H$7:$H101,$H101)</f>
        <v>43</v>
      </c>
      <c r="F101" s="67">
        <f>'1.연간시수표'!$AL$33</f>
        <v>5</v>
      </c>
      <c r="G101" s="89">
        <f t="shared" si="5"/>
        <v>1</v>
      </c>
      <c r="H101" s="91" t="str">
        <f>INDEX('0.시간표데이터'!$E$10:$AR$32,QUOTIENT(ROW(A95)-1,40)+1,MOD(ROW(A95)-1,40)+1)</f>
        <v>_</v>
      </c>
      <c r="I101" s="76"/>
      <c r="J101" s="26"/>
      <c r="K101" s="165"/>
      <c r="L101" s="165"/>
      <c r="M101" s="166"/>
      <c r="N101" s="166"/>
      <c r="O101" s="166"/>
      <c r="P101" s="166"/>
      <c r="Q101" s="167"/>
      <c r="R101" s="111"/>
    </row>
    <row r="102" spans="1:18" ht="13.5" hidden="1" customHeight="1">
      <c r="A102" s="30">
        <v>96</v>
      </c>
      <c r="B102" s="24">
        <f>DATE('1.연간시수표'!$U$2,'1.연간시수표'!$X$2,'1.연간시수표'!$Z$2)+QUOTIENT(ROW(A96)-1,8)+(QUOTIENT(ROW(A96)-1,40)*2)</f>
        <v>44635</v>
      </c>
      <c r="C102" s="24" t="str">
        <f t="shared" si="3"/>
        <v>화</v>
      </c>
      <c r="D102" s="91" t="str">
        <f t="shared" si="4"/>
        <v>8교시</v>
      </c>
      <c r="E102" s="68">
        <f>COUNTIF($H$7:$H102,$H102)</f>
        <v>44</v>
      </c>
      <c r="F102" s="67">
        <f>'1.연간시수표'!$AL$33</f>
        <v>5</v>
      </c>
      <c r="G102" s="89">
        <f t="shared" si="5"/>
        <v>1</v>
      </c>
      <c r="H102" s="91" t="str">
        <f>INDEX('0.시간표데이터'!$E$10:$AR$32,QUOTIENT(ROW(A96)-1,40)+1,MOD(ROW(A96)-1,40)+1)</f>
        <v>_</v>
      </c>
      <c r="I102" s="76"/>
      <c r="J102" s="26"/>
      <c r="K102" s="165"/>
      <c r="L102" s="165"/>
      <c r="M102" s="166"/>
      <c r="N102" s="166"/>
      <c r="O102" s="166"/>
      <c r="P102" s="166"/>
      <c r="Q102" s="167"/>
      <c r="R102" s="111"/>
    </row>
    <row r="103" spans="1:18" ht="13.5" hidden="1" customHeight="1">
      <c r="A103" s="30">
        <v>97</v>
      </c>
      <c r="B103" s="24">
        <f>DATE('1.연간시수표'!$U$2,'1.연간시수표'!$X$2,'1.연간시수표'!$Z$2)+QUOTIENT(ROW(A97)-1,8)+(QUOTIENT(ROW(A97)-1,40)*2)</f>
        <v>44636</v>
      </c>
      <c r="C103" s="24" t="str">
        <f t="shared" si="3"/>
        <v>수</v>
      </c>
      <c r="D103" s="91" t="str">
        <f t="shared" si="4"/>
        <v>1교시</v>
      </c>
      <c r="E103" s="68">
        <f>COUNTIF($H$7:$H103,$H103)</f>
        <v>10</v>
      </c>
      <c r="F103" s="67">
        <f>'1.연간시수표'!$AL$33</f>
        <v>5</v>
      </c>
      <c r="G103" s="89">
        <f t="shared" si="5"/>
        <v>1</v>
      </c>
      <c r="H103" s="91" t="str">
        <f>INDEX('0.시간표데이터'!$E$10:$AR$32,QUOTIENT(ROW(A97)-1,40)+1,MOD(ROW(A97)-1,40)+1)</f>
        <v>국어</v>
      </c>
      <c r="I103" s="77"/>
      <c r="J103" s="26"/>
      <c r="K103" s="162"/>
      <c r="L103" s="162"/>
      <c r="M103" s="168"/>
      <c r="N103" s="98"/>
      <c r="O103" s="99"/>
      <c r="P103" s="99"/>
      <c r="Q103" s="167"/>
      <c r="R103" s="111"/>
    </row>
    <row r="104" spans="1:18" ht="13.5" hidden="1" customHeight="1">
      <c r="A104" s="30">
        <v>98</v>
      </c>
      <c r="B104" s="24">
        <f>DATE('1.연간시수표'!$U$2,'1.연간시수표'!$X$2,'1.연간시수표'!$Z$2)+QUOTIENT(ROW(A98)-1,8)+(QUOTIENT(ROW(A98)-1,40)*2)</f>
        <v>44636</v>
      </c>
      <c r="C104" s="24" t="str">
        <f t="shared" si="3"/>
        <v>수</v>
      </c>
      <c r="D104" s="91" t="str">
        <f t="shared" si="4"/>
        <v>2교시</v>
      </c>
      <c r="E104" s="68">
        <f>COUNTIF($H$7:$H104,$H104)</f>
        <v>5</v>
      </c>
      <c r="F104" s="67">
        <f>'1.연간시수표'!$AL$33</f>
        <v>5</v>
      </c>
      <c r="G104" s="89">
        <f t="shared" si="5"/>
        <v>1</v>
      </c>
      <c r="H104" s="91" t="str">
        <f>INDEX('0.시간표데이터'!$E$10:$AR$32,QUOTIENT(ROW(A98)-1,40)+1,MOD(ROW(A98)-1,40)+1)</f>
        <v>과학</v>
      </c>
      <c r="I104" s="77"/>
      <c r="J104" s="26"/>
      <c r="K104" s="137"/>
      <c r="L104" s="137"/>
      <c r="M104" s="114"/>
      <c r="N104" s="114"/>
      <c r="O104" s="114"/>
      <c r="P104" s="114"/>
      <c r="Q104" s="164"/>
      <c r="R104" s="110"/>
    </row>
    <row r="105" spans="1:18" ht="13.5" hidden="1" customHeight="1">
      <c r="A105" s="30">
        <v>99</v>
      </c>
      <c r="B105" s="24">
        <f>DATE('1.연간시수표'!$U$2,'1.연간시수표'!$X$2,'1.연간시수표'!$Z$2)+QUOTIENT(ROW(A99)-1,8)+(QUOTIENT(ROW(A99)-1,40)*2)</f>
        <v>44636</v>
      </c>
      <c r="C105" s="24" t="str">
        <f t="shared" si="3"/>
        <v>수</v>
      </c>
      <c r="D105" s="91" t="str">
        <f t="shared" si="4"/>
        <v>3교시</v>
      </c>
      <c r="E105" s="68">
        <f>COUNTIF($H$7:$H105,$H105)</f>
        <v>2</v>
      </c>
      <c r="F105" s="67">
        <f>'1.연간시수표'!$AL$33</f>
        <v>5</v>
      </c>
      <c r="G105" s="89">
        <f t="shared" si="5"/>
        <v>1</v>
      </c>
      <c r="H105" s="91" t="str">
        <f>INDEX('0.시간표데이터'!$E$10:$AR$32,QUOTIENT(ROW(A99)-1,40)+1,MOD(ROW(A99)-1,40)+1)</f>
        <v>체육</v>
      </c>
      <c r="I105" s="77"/>
      <c r="J105" s="26"/>
      <c r="K105" s="162"/>
      <c r="L105" s="162"/>
      <c r="M105" s="169"/>
      <c r="N105" s="101"/>
      <c r="O105" s="99"/>
      <c r="P105" s="99"/>
      <c r="Q105" s="167"/>
      <c r="R105" s="111"/>
    </row>
    <row r="106" spans="1:18" ht="13.5" hidden="1" customHeight="1">
      <c r="A106" s="30">
        <v>100</v>
      </c>
      <c r="B106" s="24">
        <f>DATE('1.연간시수표'!$U$2,'1.연간시수표'!$X$2,'1.연간시수표'!$Z$2)+QUOTIENT(ROW(A100)-1,8)+(QUOTIENT(ROW(A100)-1,40)*2)</f>
        <v>44636</v>
      </c>
      <c r="C106" s="24" t="str">
        <f t="shared" si="3"/>
        <v>수</v>
      </c>
      <c r="D106" s="91" t="str">
        <f t="shared" si="4"/>
        <v>4교시</v>
      </c>
      <c r="E106" s="68">
        <f>COUNTIF($H$7:$H106,$H106)</f>
        <v>5</v>
      </c>
      <c r="F106" s="67">
        <f>'1.연간시수표'!$AL$33</f>
        <v>5</v>
      </c>
      <c r="G106" s="89">
        <f t="shared" si="5"/>
        <v>1</v>
      </c>
      <c r="H106" s="91" t="str">
        <f>INDEX('0.시간표데이터'!$E$10:$AR$32,QUOTIENT(ROW(A100)-1,40)+1,MOD(ROW(A100)-1,40)+1)</f>
        <v>음악</v>
      </c>
      <c r="I106" s="77"/>
      <c r="J106" s="26"/>
      <c r="K106" s="162"/>
      <c r="L106" s="162"/>
      <c r="M106" s="168"/>
      <c r="N106" s="99"/>
      <c r="O106" s="99"/>
      <c r="P106" s="99"/>
      <c r="Q106" s="167"/>
      <c r="R106" s="111"/>
    </row>
    <row r="107" spans="1:18" ht="13.5" customHeight="1">
      <c r="A107" s="30">
        <v>101</v>
      </c>
      <c r="B107" s="24">
        <f>DATE('1.연간시수표'!$U$2,'1.연간시수표'!$X$2,'1.연간시수표'!$Z$2)+QUOTIENT(ROW(A101)-1,8)+(QUOTIENT(ROW(A101)-1,40)*2)</f>
        <v>44636</v>
      </c>
      <c r="C107" s="24" t="str">
        <f t="shared" si="3"/>
        <v>수</v>
      </c>
      <c r="D107" s="91" t="str">
        <f t="shared" si="4"/>
        <v>5교시</v>
      </c>
      <c r="E107" s="68">
        <f>COUNTIF($H$7:$H107,$H107)</f>
        <v>2</v>
      </c>
      <c r="F107" s="67">
        <f>'1.연간시수표'!$AL$33</f>
        <v>5</v>
      </c>
      <c r="G107" s="89">
        <f t="shared" si="5"/>
        <v>1</v>
      </c>
      <c r="H107" s="91" t="str">
        <f>INDEX('0.시간표데이터'!$E$10:$AR$32,QUOTIENT(ROW(A101)-1,40)+1,MOD(ROW(A101)-1,40)+1)</f>
        <v>도덕</v>
      </c>
      <c r="I107" s="77"/>
      <c r="J107" s="26"/>
      <c r="K107" s="173"/>
      <c r="L107" s="178"/>
      <c r="M107" s="10"/>
      <c r="N107" s="10"/>
      <c r="O107" s="10"/>
      <c r="P107" s="10"/>
      <c r="Q107" s="164"/>
      <c r="R107" s="109"/>
    </row>
    <row r="108" spans="1:18" ht="13.5" hidden="1" customHeight="1">
      <c r="A108" s="30">
        <v>102</v>
      </c>
      <c r="B108" s="24">
        <f>DATE('1.연간시수표'!$U$2,'1.연간시수표'!$X$2,'1.연간시수표'!$Z$2)+QUOTIENT(ROW(A102)-1,8)+(QUOTIENT(ROW(A102)-1,40)*2)</f>
        <v>44636</v>
      </c>
      <c r="C108" s="24" t="str">
        <f t="shared" si="3"/>
        <v>수</v>
      </c>
      <c r="D108" s="91" t="str">
        <f t="shared" si="4"/>
        <v>6교시</v>
      </c>
      <c r="E108" s="68">
        <f>COUNTIF($H$7:$H108,$H108)</f>
        <v>45</v>
      </c>
      <c r="F108" s="67">
        <f>'1.연간시수표'!$AL$33</f>
        <v>5</v>
      </c>
      <c r="G108" s="89">
        <f t="shared" si="5"/>
        <v>1</v>
      </c>
      <c r="H108" s="91" t="str">
        <f>INDEX('0.시간표데이터'!$E$10:$AR$32,QUOTIENT(ROW(A102)-1,40)+1,MOD(ROW(A102)-1,40)+1)</f>
        <v>_</v>
      </c>
      <c r="I108" s="77"/>
      <c r="J108" s="26"/>
      <c r="K108" s="165"/>
      <c r="L108" s="165"/>
      <c r="M108" s="166"/>
      <c r="N108" s="166"/>
      <c r="O108" s="166"/>
      <c r="P108" s="166"/>
      <c r="Q108" s="167"/>
      <c r="R108" s="111"/>
    </row>
    <row r="109" spans="1:18" ht="13.5" hidden="1" customHeight="1">
      <c r="A109" s="30">
        <v>103</v>
      </c>
      <c r="B109" s="24">
        <f>DATE('1.연간시수표'!$U$2,'1.연간시수표'!$X$2,'1.연간시수표'!$Z$2)+QUOTIENT(ROW(A103)-1,8)+(QUOTIENT(ROW(A103)-1,40)*2)</f>
        <v>44636</v>
      </c>
      <c r="C109" s="24" t="str">
        <f t="shared" si="3"/>
        <v>수</v>
      </c>
      <c r="D109" s="91" t="str">
        <f t="shared" si="4"/>
        <v>7교시</v>
      </c>
      <c r="E109" s="68">
        <f>COUNTIF($H$7:$H109,$H109)</f>
        <v>46</v>
      </c>
      <c r="F109" s="67">
        <f>'1.연간시수표'!$AL$33</f>
        <v>5</v>
      </c>
      <c r="G109" s="89">
        <f t="shared" si="5"/>
        <v>1</v>
      </c>
      <c r="H109" s="91" t="str">
        <f>INDEX('0.시간표데이터'!$E$10:$AR$32,QUOTIENT(ROW(A103)-1,40)+1,MOD(ROW(A103)-1,40)+1)</f>
        <v>_</v>
      </c>
      <c r="I109" s="76"/>
      <c r="J109" s="26"/>
      <c r="K109" s="165"/>
      <c r="L109" s="165"/>
      <c r="M109" s="166"/>
      <c r="N109" s="166"/>
      <c r="O109" s="166"/>
      <c r="P109" s="166"/>
      <c r="Q109" s="167"/>
      <c r="R109" s="111"/>
    </row>
    <row r="110" spans="1:18" ht="13.5" hidden="1" customHeight="1">
      <c r="A110" s="30">
        <v>104</v>
      </c>
      <c r="B110" s="24">
        <f>DATE('1.연간시수표'!$U$2,'1.연간시수표'!$X$2,'1.연간시수표'!$Z$2)+QUOTIENT(ROW(A104)-1,8)+(QUOTIENT(ROW(A104)-1,40)*2)</f>
        <v>44636</v>
      </c>
      <c r="C110" s="24" t="str">
        <f t="shared" si="3"/>
        <v>수</v>
      </c>
      <c r="D110" s="91" t="str">
        <f t="shared" si="4"/>
        <v>8교시</v>
      </c>
      <c r="E110" s="68">
        <f>COUNTIF($H$7:$H110,$H110)</f>
        <v>47</v>
      </c>
      <c r="F110" s="67">
        <f>'1.연간시수표'!$AL$33</f>
        <v>5</v>
      </c>
      <c r="G110" s="89">
        <f t="shared" si="5"/>
        <v>1</v>
      </c>
      <c r="H110" s="91" t="str">
        <f>INDEX('0.시간표데이터'!$E$10:$AR$32,QUOTIENT(ROW(A104)-1,40)+1,MOD(ROW(A104)-1,40)+1)</f>
        <v>_</v>
      </c>
      <c r="I110" s="76"/>
      <c r="J110" s="26"/>
      <c r="K110" s="165"/>
      <c r="L110" s="165"/>
      <c r="M110" s="166"/>
      <c r="N110" s="166"/>
      <c r="O110" s="166"/>
      <c r="P110" s="166"/>
      <c r="Q110" s="167"/>
      <c r="R110" s="111"/>
    </row>
    <row r="111" spans="1:18" ht="13.5" hidden="1" customHeight="1">
      <c r="A111" s="30">
        <v>105</v>
      </c>
      <c r="B111" s="24">
        <f>DATE('1.연간시수표'!$U$2,'1.연간시수표'!$X$2,'1.연간시수표'!$Z$2)+QUOTIENT(ROW(A105)-1,8)+(QUOTIENT(ROW(A105)-1,40)*2)</f>
        <v>44637</v>
      </c>
      <c r="C111" s="24" t="str">
        <f t="shared" si="3"/>
        <v>목</v>
      </c>
      <c r="D111" s="91" t="str">
        <f t="shared" si="4"/>
        <v>1교시</v>
      </c>
      <c r="E111" s="68">
        <f>COUNTIF($H$7:$H111,$H111)</f>
        <v>11</v>
      </c>
      <c r="F111" s="67">
        <f>'1.연간시수표'!$AL$33</f>
        <v>5</v>
      </c>
      <c r="G111" s="89">
        <f t="shared" si="5"/>
        <v>1</v>
      </c>
      <c r="H111" s="91" t="str">
        <f>INDEX('0.시간표데이터'!$E$10:$AR$32,QUOTIENT(ROW(A105)-1,40)+1,MOD(ROW(A105)-1,40)+1)</f>
        <v>국어</v>
      </c>
      <c r="I111" s="77"/>
      <c r="J111" s="26"/>
      <c r="K111" s="162"/>
      <c r="L111" s="162"/>
      <c r="M111" s="168"/>
      <c r="N111" s="98"/>
      <c r="O111" s="99"/>
      <c r="P111" s="99"/>
      <c r="Q111" s="167"/>
      <c r="R111" s="111"/>
    </row>
    <row r="112" spans="1:18" ht="13.5" hidden="1" customHeight="1">
      <c r="A112" s="30">
        <v>106</v>
      </c>
      <c r="B112" s="24">
        <f>DATE('1.연간시수표'!$U$2,'1.연간시수표'!$X$2,'1.연간시수표'!$Z$2)+QUOTIENT(ROW(A106)-1,8)+(QUOTIENT(ROW(A106)-1,40)*2)</f>
        <v>44637</v>
      </c>
      <c r="C112" s="24" t="str">
        <f t="shared" si="3"/>
        <v>목</v>
      </c>
      <c r="D112" s="91" t="str">
        <f t="shared" si="4"/>
        <v>2교시</v>
      </c>
      <c r="E112" s="68">
        <f>COUNTIF($H$7:$H112,$H112)</f>
        <v>9</v>
      </c>
      <c r="F112" s="67">
        <f>'1.연간시수표'!$AL$33</f>
        <v>5</v>
      </c>
      <c r="G112" s="89">
        <f t="shared" si="5"/>
        <v>1</v>
      </c>
      <c r="H112" s="91" t="str">
        <f>INDEX('0.시간표데이터'!$E$10:$AR$32,QUOTIENT(ROW(A106)-1,40)+1,MOD(ROW(A106)-1,40)+1)</f>
        <v>수학</v>
      </c>
      <c r="I112" s="161"/>
      <c r="J112" s="26"/>
      <c r="K112" s="165"/>
      <c r="L112" s="165"/>
      <c r="M112" s="166"/>
      <c r="N112" s="166"/>
      <c r="O112" s="166"/>
      <c r="P112" s="166"/>
      <c r="Q112" s="167"/>
      <c r="R112" s="111"/>
    </row>
    <row r="113" spans="1:18" ht="13.5" customHeight="1">
      <c r="A113" s="30">
        <v>107</v>
      </c>
      <c r="B113" s="24">
        <f>DATE('1.연간시수표'!$U$2,'1.연간시수표'!$X$2,'1.연간시수표'!$Z$2)+QUOTIENT(ROW(A107)-1,8)+(QUOTIENT(ROW(A107)-1,40)*2)</f>
        <v>44637</v>
      </c>
      <c r="C113" s="24" t="str">
        <f t="shared" si="3"/>
        <v>목</v>
      </c>
      <c r="D113" s="91" t="str">
        <f t="shared" si="4"/>
        <v>3교시</v>
      </c>
      <c r="E113" s="68">
        <f>COUNTIF($H$7:$H113,$H113)</f>
        <v>7</v>
      </c>
      <c r="F113" s="67">
        <f>'1.연간시수표'!$AL$33</f>
        <v>5</v>
      </c>
      <c r="G113" s="89">
        <f t="shared" si="5"/>
        <v>1</v>
      </c>
      <c r="H113" s="91" t="str">
        <f>INDEX('0.시간표데이터'!$E$10:$AR$32,QUOTIENT(ROW(A107)-1,40)+1,MOD(ROW(A107)-1,40)+1)</f>
        <v>사회</v>
      </c>
      <c r="I113" s="77"/>
      <c r="J113" s="26"/>
      <c r="K113" s="173"/>
      <c r="L113" s="173"/>
      <c r="M113" s="10"/>
      <c r="N113" s="10"/>
      <c r="O113" s="10"/>
      <c r="P113" s="10"/>
      <c r="Q113" s="164"/>
      <c r="R113" s="109"/>
    </row>
    <row r="114" spans="1:18" ht="13.5" customHeight="1">
      <c r="A114" s="30">
        <v>108</v>
      </c>
      <c r="B114" s="24">
        <f>DATE('1.연간시수표'!$U$2,'1.연간시수표'!$X$2,'1.연간시수표'!$Z$2)+QUOTIENT(ROW(A108)-1,8)+(QUOTIENT(ROW(A108)-1,40)*2)</f>
        <v>44637</v>
      </c>
      <c r="C114" s="24" t="str">
        <f t="shared" si="3"/>
        <v>목</v>
      </c>
      <c r="D114" s="91" t="str">
        <f t="shared" si="4"/>
        <v>4교시</v>
      </c>
      <c r="E114" s="68">
        <f>COUNTIF($H$7:$H114,$H114)</f>
        <v>6</v>
      </c>
      <c r="F114" s="67">
        <f>'1.연간시수표'!$AL$33</f>
        <v>5</v>
      </c>
      <c r="G114" s="89">
        <f t="shared" si="5"/>
        <v>1</v>
      </c>
      <c r="H114" s="91" t="str">
        <f>INDEX('0.시간표데이터'!$E$10:$AR$32,QUOTIENT(ROW(A108)-1,40)+1,MOD(ROW(A108)-1,40)+1)</f>
        <v>과학</v>
      </c>
      <c r="I114" s="77"/>
      <c r="J114" s="26"/>
      <c r="K114" s="173"/>
      <c r="L114" s="173"/>
      <c r="M114" s="10"/>
      <c r="N114" s="10"/>
      <c r="O114" s="10"/>
      <c r="P114" s="10"/>
      <c r="Q114" s="164"/>
      <c r="R114" s="109"/>
    </row>
    <row r="115" spans="1:18" ht="13.5" hidden="1" customHeight="1">
      <c r="A115" s="30">
        <v>109</v>
      </c>
      <c r="B115" s="24">
        <f>DATE('1.연간시수표'!$U$2,'1.연간시수표'!$X$2,'1.연간시수표'!$Z$2)+QUOTIENT(ROW(A109)-1,8)+(QUOTIENT(ROW(A109)-1,40)*2)</f>
        <v>44637</v>
      </c>
      <c r="C115" s="24" t="str">
        <f t="shared" si="3"/>
        <v>목</v>
      </c>
      <c r="D115" s="91" t="str">
        <f t="shared" si="4"/>
        <v>5교시</v>
      </c>
      <c r="E115" s="68">
        <f>COUNTIF($H$7:$H115,$H115)</f>
        <v>7</v>
      </c>
      <c r="F115" s="67">
        <f>'1.연간시수표'!$AL$33</f>
        <v>5</v>
      </c>
      <c r="G115" s="89">
        <f t="shared" si="5"/>
        <v>1</v>
      </c>
      <c r="H115" s="91" t="str">
        <f>INDEX('0.시간표데이터'!$E$10:$AR$32,QUOTIENT(ROW(A109)-1,40)+1,MOD(ROW(A109)-1,40)+1)</f>
        <v>과학</v>
      </c>
      <c r="I115" s="77"/>
      <c r="J115" s="26"/>
      <c r="K115" s="165"/>
      <c r="L115" s="165"/>
      <c r="M115" s="166"/>
      <c r="N115" s="166"/>
      <c r="O115" s="166"/>
      <c r="P115" s="166"/>
      <c r="Q115" s="167"/>
      <c r="R115" s="111"/>
    </row>
    <row r="116" spans="1:18" ht="13.5" hidden="1" customHeight="1">
      <c r="A116" s="30">
        <v>110</v>
      </c>
      <c r="B116" s="24">
        <f>DATE('1.연간시수표'!$U$2,'1.연간시수표'!$X$2,'1.연간시수표'!$Z$2)+QUOTIENT(ROW(A110)-1,8)+(QUOTIENT(ROW(A110)-1,40)*2)</f>
        <v>44637</v>
      </c>
      <c r="C116" s="24" t="str">
        <f t="shared" si="3"/>
        <v>목</v>
      </c>
      <c r="D116" s="91" t="str">
        <f t="shared" si="4"/>
        <v>6교시</v>
      </c>
      <c r="E116" s="68">
        <f>COUNTIF($H$7:$H116,$H116)</f>
        <v>6</v>
      </c>
      <c r="F116" s="67">
        <f>'1.연간시수표'!$AL$33</f>
        <v>5</v>
      </c>
      <c r="G116" s="89">
        <f t="shared" si="5"/>
        <v>1</v>
      </c>
      <c r="H116" s="91" t="str">
        <f>INDEX('0.시간표데이터'!$E$10:$AR$32,QUOTIENT(ROW(A110)-1,40)+1,MOD(ROW(A110)-1,40)+1)</f>
        <v>음악</v>
      </c>
      <c r="I116" s="161"/>
      <c r="J116" s="26"/>
      <c r="K116" s="165"/>
      <c r="L116" s="165"/>
      <c r="M116" s="166"/>
      <c r="N116" s="166"/>
      <c r="O116" s="166"/>
      <c r="P116" s="166"/>
      <c r="Q116" s="167"/>
      <c r="R116" s="111"/>
    </row>
    <row r="117" spans="1:18" ht="13.5" hidden="1" customHeight="1">
      <c r="A117" s="30">
        <v>111</v>
      </c>
      <c r="B117" s="24">
        <f>DATE('1.연간시수표'!$U$2,'1.연간시수표'!$X$2,'1.연간시수표'!$Z$2)+QUOTIENT(ROW(A111)-1,8)+(QUOTIENT(ROW(A111)-1,40)*2)</f>
        <v>44637</v>
      </c>
      <c r="C117" s="24" t="str">
        <f t="shared" si="3"/>
        <v>목</v>
      </c>
      <c r="D117" s="91" t="str">
        <f t="shared" si="4"/>
        <v>7교시</v>
      </c>
      <c r="E117" s="68">
        <f>COUNTIF($H$7:$H117,$H117)</f>
        <v>48</v>
      </c>
      <c r="F117" s="67">
        <f>'1.연간시수표'!$AL$33</f>
        <v>5</v>
      </c>
      <c r="G117" s="89">
        <f t="shared" si="5"/>
        <v>1</v>
      </c>
      <c r="H117" s="91" t="str">
        <f>INDEX('0.시간표데이터'!$E$10:$AR$32,QUOTIENT(ROW(A111)-1,40)+1,MOD(ROW(A111)-1,40)+1)</f>
        <v>_</v>
      </c>
      <c r="I117" s="76"/>
      <c r="J117" s="26"/>
      <c r="K117" s="165"/>
      <c r="L117" s="165"/>
      <c r="M117" s="166"/>
      <c r="N117" s="166"/>
      <c r="O117" s="166"/>
      <c r="P117" s="166"/>
      <c r="Q117" s="167"/>
      <c r="R117" s="111"/>
    </row>
    <row r="118" spans="1:18" ht="13.5" hidden="1" customHeight="1">
      <c r="A118" s="30">
        <v>112</v>
      </c>
      <c r="B118" s="24">
        <f>DATE('1.연간시수표'!$U$2,'1.연간시수표'!$X$2,'1.연간시수표'!$Z$2)+QUOTIENT(ROW(A112)-1,8)+(QUOTIENT(ROW(A112)-1,40)*2)</f>
        <v>44637</v>
      </c>
      <c r="C118" s="24" t="str">
        <f t="shared" si="3"/>
        <v>목</v>
      </c>
      <c r="D118" s="91" t="str">
        <f t="shared" si="4"/>
        <v>8교시</v>
      </c>
      <c r="E118" s="68">
        <f>COUNTIF($H$7:$H118,$H118)</f>
        <v>49</v>
      </c>
      <c r="F118" s="67">
        <f>'1.연간시수표'!$AL$33</f>
        <v>5</v>
      </c>
      <c r="G118" s="89">
        <f t="shared" si="5"/>
        <v>1</v>
      </c>
      <c r="H118" s="91" t="str">
        <f>INDEX('0.시간표데이터'!$E$10:$AR$32,QUOTIENT(ROW(A112)-1,40)+1,MOD(ROW(A112)-1,40)+1)</f>
        <v>_</v>
      </c>
      <c r="I118" s="76"/>
      <c r="J118" s="26"/>
      <c r="K118" s="165"/>
      <c r="L118" s="165"/>
      <c r="M118" s="166"/>
      <c r="N118" s="166"/>
      <c r="O118" s="166"/>
      <c r="P118" s="166"/>
      <c r="Q118" s="167"/>
      <c r="R118" s="111"/>
    </row>
    <row r="119" spans="1:18" ht="13.5" hidden="1" customHeight="1">
      <c r="A119" s="30">
        <v>113</v>
      </c>
      <c r="B119" s="24">
        <f>DATE('1.연간시수표'!$U$2,'1.연간시수표'!$X$2,'1.연간시수표'!$Z$2)+QUOTIENT(ROW(A113)-1,8)+(QUOTIENT(ROW(A113)-1,40)*2)</f>
        <v>44638</v>
      </c>
      <c r="C119" s="24" t="str">
        <f t="shared" si="3"/>
        <v>금</v>
      </c>
      <c r="D119" s="91" t="str">
        <f t="shared" si="4"/>
        <v>1교시</v>
      </c>
      <c r="E119" s="68">
        <f>COUNTIF($H$7:$H119,$H119)</f>
        <v>12</v>
      </c>
      <c r="F119" s="67">
        <f>'1.연간시수표'!$AL$33</f>
        <v>5</v>
      </c>
      <c r="G119" s="89">
        <f t="shared" si="5"/>
        <v>1</v>
      </c>
      <c r="H119" s="91" t="str">
        <f>INDEX('0.시간표데이터'!$E$10:$AR$32,QUOTIENT(ROW(A113)-1,40)+1,MOD(ROW(A113)-1,40)+1)</f>
        <v>국어</v>
      </c>
      <c r="I119" s="77"/>
      <c r="J119" s="26"/>
      <c r="K119" s="162"/>
      <c r="L119" s="162"/>
      <c r="M119" s="168"/>
      <c r="N119" s="98"/>
      <c r="O119" s="99"/>
      <c r="P119" s="99"/>
      <c r="Q119" s="167"/>
      <c r="R119" s="111"/>
    </row>
    <row r="120" spans="1:18" ht="13.5" hidden="1" customHeight="1">
      <c r="A120" s="30">
        <v>114</v>
      </c>
      <c r="B120" s="24">
        <f>DATE('1.연간시수표'!$U$2,'1.연간시수표'!$X$2,'1.연간시수표'!$Z$2)+QUOTIENT(ROW(A114)-1,8)+(QUOTIENT(ROW(A114)-1,40)*2)</f>
        <v>44638</v>
      </c>
      <c r="C120" s="24" t="str">
        <f t="shared" si="3"/>
        <v>금</v>
      </c>
      <c r="D120" s="91" t="str">
        <f t="shared" si="4"/>
        <v>2교시</v>
      </c>
      <c r="E120" s="68">
        <f>COUNTIF($H$7:$H120,$H120)</f>
        <v>3</v>
      </c>
      <c r="F120" s="67">
        <f>'1.연간시수표'!$AL$33</f>
        <v>5</v>
      </c>
      <c r="G120" s="89">
        <f t="shared" si="5"/>
        <v>1</v>
      </c>
      <c r="H120" s="91" t="str">
        <f>INDEX('0.시간표데이터'!$E$10:$AR$32,QUOTIENT(ROW(A114)-1,40)+1,MOD(ROW(A114)-1,40)+1)</f>
        <v>체육</v>
      </c>
      <c r="I120" s="77"/>
      <c r="J120" s="26"/>
      <c r="K120" s="162"/>
      <c r="L120" s="162"/>
      <c r="M120" s="168"/>
      <c r="N120" s="98"/>
      <c r="O120" s="99"/>
      <c r="P120" s="99"/>
      <c r="Q120" s="167"/>
      <c r="R120" s="111"/>
    </row>
    <row r="121" spans="1:18" ht="13.5" hidden="1" customHeight="1">
      <c r="A121" s="30">
        <v>115</v>
      </c>
      <c r="B121" s="24">
        <f>DATE('1.연간시수표'!$U$2,'1.연간시수표'!$X$2,'1.연간시수표'!$Z$2)+QUOTIENT(ROW(A115)-1,8)+(QUOTIENT(ROW(A115)-1,40)*2)</f>
        <v>44638</v>
      </c>
      <c r="C121" s="24" t="str">
        <f t="shared" si="3"/>
        <v>금</v>
      </c>
      <c r="D121" s="91" t="str">
        <f t="shared" si="4"/>
        <v>3교시</v>
      </c>
      <c r="E121" s="68">
        <f>COUNTIF($H$7:$H121,$H121)</f>
        <v>13</v>
      </c>
      <c r="F121" s="67">
        <f>'1.연간시수표'!$AL$33</f>
        <v>5</v>
      </c>
      <c r="G121" s="89">
        <f t="shared" si="5"/>
        <v>1</v>
      </c>
      <c r="H121" s="91" t="str">
        <f>INDEX('0.시간표데이터'!$E$10:$AR$32,QUOTIENT(ROW(A115)-1,40)+1,MOD(ROW(A115)-1,40)+1)</f>
        <v>국어</v>
      </c>
      <c r="I121" s="77"/>
      <c r="J121" s="26"/>
      <c r="K121" s="165"/>
      <c r="L121" s="165"/>
      <c r="M121" s="166"/>
      <c r="N121" s="166"/>
      <c r="O121" s="166"/>
      <c r="P121" s="166"/>
      <c r="Q121" s="167"/>
      <c r="R121" s="111"/>
    </row>
    <row r="122" spans="1:18" ht="13.5" hidden="1" customHeight="1">
      <c r="A122" s="30">
        <v>116</v>
      </c>
      <c r="B122" s="24">
        <f>DATE('1.연간시수표'!$U$2,'1.연간시수표'!$X$2,'1.연간시수표'!$Z$2)+QUOTIENT(ROW(A116)-1,8)+(QUOTIENT(ROW(A116)-1,40)*2)</f>
        <v>44638</v>
      </c>
      <c r="C122" s="24" t="str">
        <f t="shared" si="3"/>
        <v>금</v>
      </c>
      <c r="D122" s="91" t="str">
        <f t="shared" si="4"/>
        <v>4교시</v>
      </c>
      <c r="E122" s="68">
        <f>COUNTIF($H$7:$H122,$H122)</f>
        <v>7</v>
      </c>
      <c r="F122" s="67">
        <f>'1.연간시수표'!$AL$33</f>
        <v>5</v>
      </c>
      <c r="G122" s="89">
        <f t="shared" si="5"/>
        <v>1</v>
      </c>
      <c r="H122" s="91" t="str">
        <f>INDEX('0.시간표데이터'!$E$10:$AR$32,QUOTIENT(ROW(A116)-1,40)+1,MOD(ROW(A116)-1,40)+1)</f>
        <v>음악</v>
      </c>
      <c r="I122" s="77"/>
      <c r="J122" s="26"/>
      <c r="K122" s="162"/>
      <c r="L122" s="162"/>
      <c r="M122" s="169"/>
      <c r="N122" s="101"/>
      <c r="O122" s="99"/>
      <c r="P122" s="99"/>
      <c r="Q122" s="167"/>
      <c r="R122" s="111"/>
    </row>
    <row r="123" spans="1:18" ht="13.5" hidden="1" customHeight="1">
      <c r="A123" s="30">
        <v>117</v>
      </c>
      <c r="B123" s="24">
        <f>DATE('1.연간시수표'!$U$2,'1.연간시수표'!$X$2,'1.연간시수표'!$Z$2)+QUOTIENT(ROW(A117)-1,8)+(QUOTIENT(ROW(A117)-1,40)*2)</f>
        <v>44638</v>
      </c>
      <c r="C123" s="24" t="str">
        <f t="shared" si="3"/>
        <v>금</v>
      </c>
      <c r="D123" s="91" t="str">
        <f t="shared" si="4"/>
        <v>5교시</v>
      </c>
      <c r="E123" s="68">
        <f>COUNTIF($H$7:$H123,$H123)</f>
        <v>8</v>
      </c>
      <c r="F123" s="67">
        <f>'1.연간시수표'!$AL$33</f>
        <v>5</v>
      </c>
      <c r="G123" s="89">
        <f t="shared" si="5"/>
        <v>1</v>
      </c>
      <c r="H123" s="91" t="str">
        <f>INDEX('0.시간표데이터'!$E$10:$AR$32,QUOTIENT(ROW(A117)-1,40)+1,MOD(ROW(A117)-1,40)+1)</f>
        <v>사회</v>
      </c>
      <c r="I123" s="77"/>
      <c r="J123" s="26"/>
      <c r="K123" s="162"/>
      <c r="L123" s="162"/>
      <c r="M123" s="170"/>
      <c r="N123" s="98"/>
      <c r="O123" s="98"/>
      <c r="P123" s="98"/>
      <c r="Q123" s="167"/>
      <c r="R123" s="111"/>
    </row>
    <row r="124" spans="1:18" ht="13.5" hidden="1" customHeight="1">
      <c r="A124" s="30">
        <v>118</v>
      </c>
      <c r="B124" s="24">
        <f>DATE('1.연간시수표'!$U$2,'1.연간시수표'!$X$2,'1.연간시수표'!$Z$2)+QUOTIENT(ROW(A118)-1,8)+(QUOTIENT(ROW(A118)-1,40)*2)</f>
        <v>44638</v>
      </c>
      <c r="C124" s="24" t="str">
        <f t="shared" si="3"/>
        <v>금</v>
      </c>
      <c r="D124" s="91" t="str">
        <f t="shared" si="4"/>
        <v>6교시</v>
      </c>
      <c r="E124" s="68">
        <f>COUNTIF($H$7:$H124,$H124)</f>
        <v>5</v>
      </c>
      <c r="F124" s="67">
        <f>'1.연간시수표'!$AL$33</f>
        <v>5</v>
      </c>
      <c r="G124" s="89">
        <f t="shared" si="5"/>
        <v>1</v>
      </c>
      <c r="H124" s="91" t="str">
        <f>INDEX('0.시간표데이터'!$E$10:$AR$32,QUOTIENT(ROW(A118)-1,40)+1,MOD(ROW(A118)-1,40)+1)</f>
        <v>실과</v>
      </c>
      <c r="I124" s="77"/>
      <c r="J124" s="26"/>
      <c r="K124" s="165"/>
      <c r="L124" s="165"/>
      <c r="M124" s="166"/>
      <c r="N124" s="166"/>
      <c r="O124" s="166"/>
      <c r="P124" s="166"/>
      <c r="Q124" s="167"/>
      <c r="R124" s="111"/>
    </row>
    <row r="125" spans="1:18" ht="13.5" hidden="1" customHeight="1">
      <c r="A125" s="30">
        <v>119</v>
      </c>
      <c r="B125" s="24">
        <f>DATE('1.연간시수표'!$U$2,'1.연간시수표'!$X$2,'1.연간시수표'!$Z$2)+QUOTIENT(ROW(A119)-1,8)+(QUOTIENT(ROW(A119)-1,40)*2)</f>
        <v>44638</v>
      </c>
      <c r="C125" s="24" t="str">
        <f t="shared" si="3"/>
        <v>금</v>
      </c>
      <c r="D125" s="91" t="str">
        <f t="shared" si="4"/>
        <v>7교시</v>
      </c>
      <c r="E125" s="68">
        <f>COUNTIF($H$7:$H125,$H125)</f>
        <v>50</v>
      </c>
      <c r="F125" s="67">
        <f>'1.연간시수표'!$AL$33</f>
        <v>5</v>
      </c>
      <c r="G125" s="89">
        <f t="shared" si="5"/>
        <v>1</v>
      </c>
      <c r="H125" s="91" t="str">
        <f>INDEX('0.시간표데이터'!$E$10:$AR$32,QUOTIENT(ROW(A119)-1,40)+1,MOD(ROW(A119)-1,40)+1)</f>
        <v>_</v>
      </c>
      <c r="I125" s="76"/>
      <c r="J125" s="26"/>
      <c r="K125" s="165"/>
      <c r="L125" s="165"/>
      <c r="M125" s="166"/>
      <c r="N125" s="166"/>
      <c r="O125" s="166"/>
      <c r="P125" s="166"/>
      <c r="Q125" s="167"/>
      <c r="R125" s="111"/>
    </row>
    <row r="126" spans="1:18" ht="13.5" hidden="1" customHeight="1">
      <c r="A126" s="30">
        <v>120</v>
      </c>
      <c r="B126" s="24">
        <f>DATE('1.연간시수표'!$U$2,'1.연간시수표'!$X$2,'1.연간시수표'!$Z$2)+QUOTIENT(ROW(A120)-1,8)+(QUOTIENT(ROW(A120)-1,40)*2)</f>
        <v>44638</v>
      </c>
      <c r="C126" s="24" t="str">
        <f t="shared" si="3"/>
        <v>금</v>
      </c>
      <c r="D126" s="91" t="str">
        <f t="shared" si="4"/>
        <v>8교시</v>
      </c>
      <c r="E126" s="68">
        <f>COUNTIF($H$7:$H126,$H126)</f>
        <v>51</v>
      </c>
      <c r="F126" s="67">
        <f>'1.연간시수표'!$AL$33</f>
        <v>5</v>
      </c>
      <c r="G126" s="89">
        <f t="shared" si="5"/>
        <v>1</v>
      </c>
      <c r="H126" s="91" t="str">
        <f>INDEX('0.시간표데이터'!$E$10:$AR$32,QUOTIENT(ROW(A120)-1,40)+1,MOD(ROW(A120)-1,40)+1)</f>
        <v>_</v>
      </c>
      <c r="I126" s="76"/>
      <c r="J126" s="26"/>
      <c r="K126" s="165"/>
      <c r="L126" s="165"/>
      <c r="M126" s="166"/>
      <c r="N126" s="166"/>
      <c r="O126" s="166"/>
      <c r="P126" s="166"/>
      <c r="Q126" s="167"/>
      <c r="R126" s="111"/>
    </row>
    <row r="127" spans="1:18" hidden="1">
      <c r="A127" s="30">
        <v>121</v>
      </c>
      <c r="B127" s="24">
        <f>DATE('1.연간시수표'!$U$2,'1.연간시수표'!$X$2,'1.연간시수표'!$Z$2)+QUOTIENT(ROW(A121)-1,8)+(QUOTIENT(ROW(A121)-1,40)*2)</f>
        <v>44641</v>
      </c>
      <c r="C127" s="24" t="str">
        <f t="shared" si="3"/>
        <v>월</v>
      </c>
      <c r="D127" s="91" t="str">
        <f t="shared" si="4"/>
        <v>1교시</v>
      </c>
      <c r="E127" s="68">
        <f>COUNTIF($H$7:$H127,$H127)</f>
        <v>14</v>
      </c>
      <c r="F127" s="67">
        <f>'1.연간시수표'!$AL$33</f>
        <v>5</v>
      </c>
      <c r="G127" s="89">
        <f t="shared" si="5"/>
        <v>1</v>
      </c>
      <c r="H127" s="91" t="str">
        <f>INDEX('0.시간표데이터'!$E$10:$AR$32,QUOTIENT(ROW(A121)-1,40)+1,MOD(ROW(A121)-1,40)+1)</f>
        <v>국어</v>
      </c>
      <c r="I127" s="77"/>
      <c r="J127" s="26"/>
      <c r="K127" s="162"/>
      <c r="L127" s="162"/>
      <c r="M127" s="163"/>
      <c r="N127" s="171"/>
      <c r="O127" s="99"/>
      <c r="P127" s="99"/>
      <c r="Q127" s="167"/>
      <c r="R127" s="111"/>
    </row>
    <row r="128" spans="1:18" hidden="1">
      <c r="A128" s="30">
        <v>122</v>
      </c>
      <c r="B128" s="24">
        <f>DATE('1.연간시수표'!$U$2,'1.연간시수표'!$X$2,'1.연간시수표'!$Z$2)+QUOTIENT(ROW(A122)-1,8)+(QUOTIENT(ROW(A122)-1,40)*2)</f>
        <v>44641</v>
      </c>
      <c r="C128" s="24" t="str">
        <f t="shared" si="3"/>
        <v>월</v>
      </c>
      <c r="D128" s="91" t="str">
        <f t="shared" si="4"/>
        <v>2교시</v>
      </c>
      <c r="E128" s="68">
        <f>COUNTIF($H$7:$H128,$H128)</f>
        <v>5</v>
      </c>
      <c r="F128" s="67">
        <f>'1.연간시수표'!$AL$33</f>
        <v>5</v>
      </c>
      <c r="G128" s="89">
        <f t="shared" si="5"/>
        <v>1</v>
      </c>
      <c r="H128" s="91" t="str">
        <f>INDEX('0.시간표데이터'!$E$10:$AR$32,QUOTIENT(ROW(A122)-1,40)+1,MOD(ROW(A122)-1,40)+1)</f>
        <v>미술</v>
      </c>
      <c r="I128" s="161"/>
      <c r="J128" s="26"/>
      <c r="K128" s="165"/>
      <c r="L128" s="165"/>
      <c r="M128" s="166"/>
      <c r="N128" s="166"/>
      <c r="O128" s="166"/>
      <c r="P128" s="166"/>
      <c r="Q128" s="167"/>
      <c r="R128" s="111"/>
    </row>
    <row r="129" spans="1:18" ht="13.5" hidden="1" customHeight="1">
      <c r="A129" s="30">
        <v>123</v>
      </c>
      <c r="B129" s="24">
        <f>DATE('1.연간시수표'!$U$2,'1.연간시수표'!$X$2,'1.연간시수표'!$Z$2)+QUOTIENT(ROW(A123)-1,8)+(QUOTIENT(ROW(A123)-1,40)*2)</f>
        <v>44641</v>
      </c>
      <c r="C129" s="24" t="str">
        <f t="shared" si="3"/>
        <v>월</v>
      </c>
      <c r="D129" s="91" t="str">
        <f t="shared" si="4"/>
        <v>3교시</v>
      </c>
      <c r="E129" s="68">
        <f>COUNTIF($H$7:$H129,$H129)</f>
        <v>6</v>
      </c>
      <c r="F129" s="67">
        <f>'1.연간시수표'!$AL$33</f>
        <v>5</v>
      </c>
      <c r="G129" s="89">
        <f t="shared" si="5"/>
        <v>1</v>
      </c>
      <c r="H129" s="91" t="str">
        <f>INDEX('0.시간표데이터'!$E$10:$AR$32,QUOTIENT(ROW(A123)-1,40)+1,MOD(ROW(A123)-1,40)+1)</f>
        <v>미술</v>
      </c>
      <c r="I129" s="77"/>
      <c r="J129" s="26"/>
      <c r="K129" s="162"/>
      <c r="L129" s="162"/>
      <c r="M129" s="169"/>
      <c r="N129" s="101"/>
      <c r="O129" s="99"/>
      <c r="P129" s="99"/>
      <c r="Q129" s="167"/>
      <c r="R129" s="111"/>
    </row>
    <row r="130" spans="1:18" ht="13.5" hidden="1" customHeight="1">
      <c r="A130" s="30">
        <v>124</v>
      </c>
      <c r="B130" s="24">
        <f>DATE('1.연간시수표'!$U$2,'1.연간시수표'!$X$2,'1.연간시수표'!$Z$2)+QUOTIENT(ROW(A124)-1,8)+(QUOTIENT(ROW(A124)-1,40)*2)</f>
        <v>44641</v>
      </c>
      <c r="C130" s="24" t="str">
        <f t="shared" si="3"/>
        <v>월</v>
      </c>
      <c r="D130" s="91" t="str">
        <f t="shared" si="4"/>
        <v>4교시</v>
      </c>
      <c r="E130" s="68">
        <f>COUNTIF($H$7:$H130,$H130)</f>
        <v>6</v>
      </c>
      <c r="F130" s="67">
        <f>'1.연간시수표'!$AL$33</f>
        <v>5</v>
      </c>
      <c r="G130" s="89">
        <f t="shared" si="5"/>
        <v>1</v>
      </c>
      <c r="H130" s="91" t="str">
        <f>INDEX('0.시간표데이터'!$E$10:$AR$32,QUOTIENT(ROW(A124)-1,40)+1,MOD(ROW(A124)-1,40)+1)</f>
        <v>영어</v>
      </c>
      <c r="I130" s="77"/>
      <c r="J130" s="26"/>
      <c r="K130" s="162"/>
      <c r="L130" s="162"/>
      <c r="M130" s="169"/>
      <c r="N130" s="101"/>
      <c r="O130" s="99"/>
      <c r="P130" s="99"/>
      <c r="Q130" s="167"/>
      <c r="R130" s="111"/>
    </row>
    <row r="131" spans="1:18" ht="13.5" hidden="1" customHeight="1">
      <c r="A131" s="30">
        <v>125</v>
      </c>
      <c r="B131" s="24">
        <f>DATE('1.연간시수표'!$U$2,'1.연간시수표'!$X$2,'1.연간시수표'!$Z$2)+QUOTIENT(ROW(A125)-1,8)+(QUOTIENT(ROW(A125)-1,40)*2)</f>
        <v>44641</v>
      </c>
      <c r="C131" s="24" t="str">
        <f t="shared" si="3"/>
        <v>월</v>
      </c>
      <c r="D131" s="91" t="str">
        <f t="shared" si="4"/>
        <v>5교시</v>
      </c>
      <c r="E131" s="68">
        <f>COUNTIF($H$7:$H131,$H131)</f>
        <v>10</v>
      </c>
      <c r="F131" s="67">
        <f>'1.연간시수표'!$AL$33</f>
        <v>5</v>
      </c>
      <c r="G131" s="89">
        <f t="shared" si="5"/>
        <v>1</v>
      </c>
      <c r="H131" s="91" t="str">
        <f>INDEX('0.시간표데이터'!$E$10:$AR$32,QUOTIENT(ROW(A125)-1,40)+1,MOD(ROW(A125)-1,40)+1)</f>
        <v>수학</v>
      </c>
      <c r="I131" s="77"/>
      <c r="J131" s="26"/>
      <c r="K131" s="162"/>
      <c r="L131" s="162"/>
      <c r="M131" s="168"/>
      <c r="N131" s="98"/>
      <c r="O131" s="99"/>
      <c r="P131" s="99"/>
      <c r="Q131" s="167"/>
      <c r="R131" s="111"/>
    </row>
    <row r="132" spans="1:18" ht="13.5" hidden="1" customHeight="1">
      <c r="A132" s="30">
        <v>126</v>
      </c>
      <c r="B132" s="24">
        <f>DATE('1.연간시수표'!$U$2,'1.연간시수표'!$X$2,'1.연간시수표'!$Z$2)+QUOTIENT(ROW(A126)-1,8)+(QUOTIENT(ROW(A126)-1,40)*2)</f>
        <v>44641</v>
      </c>
      <c r="C132" s="24" t="str">
        <f t="shared" si="3"/>
        <v>월</v>
      </c>
      <c r="D132" s="91" t="str">
        <f t="shared" si="4"/>
        <v>6교시</v>
      </c>
      <c r="E132" s="68">
        <f>COUNTIF($H$7:$H132,$H132)</f>
        <v>7</v>
      </c>
      <c r="F132" s="67">
        <f>'1.연간시수표'!$AL$33</f>
        <v>5</v>
      </c>
      <c r="G132" s="89">
        <f t="shared" si="5"/>
        <v>1</v>
      </c>
      <c r="H132" s="91" t="str">
        <f>INDEX('0.시간표데이터'!$E$10:$AR$32,QUOTIENT(ROW(A126)-1,40)+1,MOD(ROW(A126)-1,40)+1)</f>
        <v>자율활동</v>
      </c>
      <c r="I132" s="77"/>
      <c r="J132" s="26"/>
      <c r="K132" s="165"/>
      <c r="L132" s="165"/>
      <c r="M132" s="166"/>
      <c r="N132" s="166"/>
      <c r="O132" s="166"/>
      <c r="P132" s="166"/>
      <c r="Q132" s="167"/>
      <c r="R132" s="111"/>
    </row>
    <row r="133" spans="1:18" ht="13.5" hidden="1" customHeight="1">
      <c r="A133" s="30">
        <v>127</v>
      </c>
      <c r="B133" s="24">
        <f>DATE('1.연간시수표'!$U$2,'1.연간시수표'!$X$2,'1.연간시수표'!$Z$2)+QUOTIENT(ROW(A127)-1,8)+(QUOTIENT(ROW(A127)-1,40)*2)</f>
        <v>44641</v>
      </c>
      <c r="C133" s="24" t="str">
        <f t="shared" si="3"/>
        <v>월</v>
      </c>
      <c r="D133" s="91" t="str">
        <f t="shared" si="4"/>
        <v>7교시</v>
      </c>
      <c r="E133" s="68">
        <f>COUNTIF($H$7:$H133,$H133)</f>
        <v>52</v>
      </c>
      <c r="F133" s="67">
        <f>'1.연간시수표'!$AL$33</f>
        <v>5</v>
      </c>
      <c r="G133" s="89">
        <f t="shared" si="5"/>
        <v>1</v>
      </c>
      <c r="H133" s="91" t="str">
        <f>INDEX('0.시간표데이터'!$E$10:$AR$32,QUOTIENT(ROW(A127)-1,40)+1,MOD(ROW(A127)-1,40)+1)</f>
        <v>_</v>
      </c>
      <c r="I133" s="76"/>
      <c r="J133" s="26"/>
      <c r="K133" s="165"/>
      <c r="L133" s="165"/>
      <c r="M133" s="166"/>
      <c r="N133" s="166"/>
      <c r="O133" s="166"/>
      <c r="P133" s="166"/>
      <c r="Q133" s="167"/>
      <c r="R133" s="111"/>
    </row>
    <row r="134" spans="1:18" ht="13.5" hidden="1" customHeight="1">
      <c r="A134" s="30">
        <v>128</v>
      </c>
      <c r="B134" s="24">
        <f>DATE('1.연간시수표'!$U$2,'1.연간시수표'!$X$2,'1.연간시수표'!$Z$2)+QUOTIENT(ROW(A128)-1,8)+(QUOTIENT(ROW(A128)-1,40)*2)</f>
        <v>44641</v>
      </c>
      <c r="C134" s="24" t="str">
        <f t="shared" si="3"/>
        <v>월</v>
      </c>
      <c r="D134" s="91" t="str">
        <f t="shared" si="4"/>
        <v>8교시</v>
      </c>
      <c r="E134" s="68">
        <f>COUNTIF($H$7:$H134,$H134)</f>
        <v>53</v>
      </c>
      <c r="F134" s="67">
        <f>'1.연간시수표'!$AL$33</f>
        <v>5</v>
      </c>
      <c r="G134" s="89">
        <f t="shared" si="5"/>
        <v>1</v>
      </c>
      <c r="H134" s="91" t="str">
        <f>INDEX('0.시간표데이터'!$E$10:$AR$32,QUOTIENT(ROW(A128)-1,40)+1,MOD(ROW(A128)-1,40)+1)</f>
        <v>_</v>
      </c>
      <c r="I134" s="76"/>
      <c r="J134" s="26"/>
      <c r="K134" s="165"/>
      <c r="L134" s="165"/>
      <c r="M134" s="166"/>
      <c r="N134" s="166"/>
      <c r="O134" s="166"/>
      <c r="P134" s="166"/>
      <c r="Q134" s="167"/>
      <c r="R134" s="111"/>
    </row>
    <row r="135" spans="1:18" ht="13.5" hidden="1" customHeight="1">
      <c r="A135" s="30">
        <v>129</v>
      </c>
      <c r="B135" s="24">
        <f>DATE('1.연간시수표'!$U$2,'1.연간시수표'!$X$2,'1.연간시수표'!$Z$2)+QUOTIENT(ROW(A129)-1,8)+(QUOTIENT(ROW(A129)-1,40)*2)</f>
        <v>44642</v>
      </c>
      <c r="C135" s="24" t="str">
        <f t="shared" ref="C135:C198" si="6">IF(WEEKDAY(B135,2)=1,"월",IF(WEEKDAY(B135,2)=2,"화",IF(WEEKDAY(B135,2)=3,"수",IF(WEEKDAY(B135,2)=4,"목",IF(WEEKDAY(B135,2)=5,"금")))))</f>
        <v>화</v>
      </c>
      <c r="D135" s="91" t="str">
        <f t="shared" ref="D135:D198" si="7">TEXT(MOD(ROW(A129)-1,8)+1,"#교시")</f>
        <v>1교시</v>
      </c>
      <c r="E135" s="68">
        <f>COUNTIF($H$7:$H135,$H135)</f>
        <v>15</v>
      </c>
      <c r="F135" s="67">
        <f>'1.연간시수표'!$AL$33</f>
        <v>5</v>
      </c>
      <c r="G135" s="89">
        <f t="shared" ref="G135:G198" si="8">$A$2</f>
        <v>1</v>
      </c>
      <c r="H135" s="91" t="str">
        <f>INDEX('0.시간표데이터'!$E$10:$AR$32,QUOTIENT(ROW(A129)-1,40)+1,MOD(ROW(A129)-1,40)+1)</f>
        <v>국어</v>
      </c>
      <c r="I135" s="77"/>
      <c r="J135" s="26"/>
      <c r="K135" s="165"/>
      <c r="L135" s="165"/>
      <c r="M135" s="166"/>
      <c r="N135" s="166"/>
      <c r="O135" s="166"/>
      <c r="P135" s="166"/>
      <c r="Q135" s="167"/>
      <c r="R135" s="111"/>
    </row>
    <row r="136" spans="1:18" ht="13.5" hidden="1" customHeight="1">
      <c r="A136" s="30">
        <v>130</v>
      </c>
      <c r="B136" s="24">
        <f>DATE('1.연간시수표'!$U$2,'1.연간시수표'!$X$2,'1.연간시수표'!$Z$2)+QUOTIENT(ROW(A130)-1,8)+(QUOTIENT(ROW(A130)-1,40)*2)</f>
        <v>44642</v>
      </c>
      <c r="C136" s="24" t="str">
        <f t="shared" si="6"/>
        <v>화</v>
      </c>
      <c r="D136" s="91" t="str">
        <f t="shared" si="7"/>
        <v>2교시</v>
      </c>
      <c r="E136" s="68">
        <f>COUNTIF($H$7:$H136,$H136)</f>
        <v>16</v>
      </c>
      <c r="F136" s="67">
        <f>'1.연간시수표'!$AL$33</f>
        <v>5</v>
      </c>
      <c r="G136" s="89">
        <f t="shared" si="8"/>
        <v>1</v>
      </c>
      <c r="H136" s="91" t="str">
        <f>INDEX('0.시간표데이터'!$E$10:$AR$32,QUOTIENT(ROW(A130)-1,40)+1,MOD(ROW(A130)-1,40)+1)</f>
        <v>국어</v>
      </c>
      <c r="I136" s="161"/>
      <c r="J136" s="26"/>
      <c r="K136" s="165"/>
      <c r="L136" s="165"/>
      <c r="M136" s="166"/>
      <c r="N136" s="166"/>
      <c r="O136" s="166"/>
      <c r="P136" s="166"/>
      <c r="Q136" s="167"/>
      <c r="R136" s="111"/>
    </row>
    <row r="137" spans="1:18" ht="13.5" hidden="1" customHeight="1">
      <c r="A137" s="30">
        <v>131</v>
      </c>
      <c r="B137" s="24">
        <f>DATE('1.연간시수표'!$U$2,'1.연간시수표'!$X$2,'1.연간시수표'!$Z$2)+QUOTIENT(ROW(A131)-1,8)+(QUOTIENT(ROW(A131)-1,40)*2)</f>
        <v>44642</v>
      </c>
      <c r="C137" s="24" t="str">
        <f t="shared" si="6"/>
        <v>화</v>
      </c>
      <c r="D137" s="91" t="str">
        <f t="shared" si="7"/>
        <v>3교시</v>
      </c>
      <c r="E137" s="68">
        <f>COUNTIF($H$7:$H137,$H137)</f>
        <v>9</v>
      </c>
      <c r="F137" s="67">
        <f>'1.연간시수표'!$AL$33</f>
        <v>5</v>
      </c>
      <c r="G137" s="89">
        <f t="shared" si="8"/>
        <v>1</v>
      </c>
      <c r="H137" s="91" t="str">
        <f>INDEX('0.시간표데이터'!$E$10:$AR$32,QUOTIENT(ROW(A131)-1,40)+1,MOD(ROW(A131)-1,40)+1)</f>
        <v>사회</v>
      </c>
      <c r="I137" s="77"/>
      <c r="J137" s="26"/>
      <c r="K137" s="162"/>
      <c r="L137" s="162"/>
      <c r="M137" s="170"/>
      <c r="N137" s="98"/>
      <c r="O137" s="98"/>
      <c r="P137" s="98"/>
      <c r="Q137" s="167"/>
      <c r="R137" s="111"/>
    </row>
    <row r="138" spans="1:18" ht="13.5" hidden="1" customHeight="1">
      <c r="A138" s="30">
        <v>132</v>
      </c>
      <c r="B138" s="24">
        <f>DATE('1.연간시수표'!$U$2,'1.연간시수표'!$X$2,'1.연간시수표'!$Z$2)+QUOTIENT(ROW(A132)-1,8)+(QUOTIENT(ROW(A132)-1,40)*2)</f>
        <v>44642</v>
      </c>
      <c r="C138" s="24" t="str">
        <f t="shared" si="6"/>
        <v>화</v>
      </c>
      <c r="D138" s="91" t="str">
        <f t="shared" si="7"/>
        <v>4교시</v>
      </c>
      <c r="E138" s="68">
        <f>COUNTIF($H$7:$H138,$H138)</f>
        <v>11</v>
      </c>
      <c r="F138" s="67">
        <f>'1.연간시수표'!$AL$33</f>
        <v>5</v>
      </c>
      <c r="G138" s="89">
        <f t="shared" si="8"/>
        <v>1</v>
      </c>
      <c r="H138" s="91" t="str">
        <f>INDEX('0.시간표데이터'!$E$10:$AR$32,QUOTIENT(ROW(A132)-1,40)+1,MOD(ROW(A132)-1,40)+1)</f>
        <v>수학</v>
      </c>
      <c r="I138" s="77"/>
      <c r="J138" s="26"/>
      <c r="K138" s="162"/>
      <c r="L138" s="162"/>
      <c r="M138" s="168"/>
      <c r="N138" s="168"/>
      <c r="O138" s="99"/>
      <c r="P138" s="99"/>
      <c r="Q138" s="167"/>
      <c r="R138" s="111"/>
    </row>
    <row r="139" spans="1:18" ht="13.5" hidden="1" customHeight="1">
      <c r="A139" s="30">
        <v>133</v>
      </c>
      <c r="B139" s="24">
        <f>DATE('1.연간시수표'!$U$2,'1.연간시수표'!$X$2,'1.연간시수표'!$Z$2)+QUOTIENT(ROW(A133)-1,8)+(QUOTIENT(ROW(A133)-1,40)*2)</f>
        <v>44642</v>
      </c>
      <c r="C139" s="24" t="str">
        <f t="shared" si="6"/>
        <v>화</v>
      </c>
      <c r="D139" s="91" t="str">
        <f t="shared" si="7"/>
        <v>5교시</v>
      </c>
      <c r="E139" s="68">
        <f>COUNTIF($H$7:$H139,$H139)</f>
        <v>8</v>
      </c>
      <c r="F139" s="67">
        <f>'1.연간시수표'!$AL$33</f>
        <v>5</v>
      </c>
      <c r="G139" s="89">
        <f t="shared" si="8"/>
        <v>1</v>
      </c>
      <c r="H139" s="91" t="str">
        <f>INDEX('0.시간표데이터'!$E$10:$AR$32,QUOTIENT(ROW(A133)-1,40)+1,MOD(ROW(A133)-1,40)+1)</f>
        <v>과학</v>
      </c>
      <c r="I139" s="77"/>
      <c r="J139" s="26"/>
      <c r="K139" s="137"/>
      <c r="L139" s="137"/>
      <c r="M139" s="114"/>
      <c r="N139" s="114"/>
      <c r="O139" s="114"/>
      <c r="P139" s="114"/>
      <c r="Q139" s="164"/>
      <c r="R139" s="110"/>
    </row>
    <row r="140" spans="1:18" ht="13.5" hidden="1" customHeight="1">
      <c r="A140" s="30">
        <v>134</v>
      </c>
      <c r="B140" s="24">
        <f>DATE('1.연간시수표'!$U$2,'1.연간시수표'!$X$2,'1.연간시수표'!$Z$2)+QUOTIENT(ROW(A134)-1,8)+(QUOTIENT(ROW(A134)-1,40)*2)</f>
        <v>44642</v>
      </c>
      <c r="C140" s="24" t="str">
        <f t="shared" si="6"/>
        <v>화</v>
      </c>
      <c r="D140" s="91" t="str">
        <f t="shared" si="7"/>
        <v>6교시</v>
      </c>
      <c r="E140" s="68">
        <f>COUNTIF($H$7:$H140,$H140)</f>
        <v>6</v>
      </c>
      <c r="F140" s="67">
        <f>'1.연간시수표'!$AL$33</f>
        <v>5</v>
      </c>
      <c r="G140" s="89">
        <f t="shared" si="8"/>
        <v>1</v>
      </c>
      <c r="H140" s="91" t="str">
        <f>INDEX('0.시간표데이터'!$E$10:$AR$32,QUOTIENT(ROW(A134)-1,40)+1,MOD(ROW(A134)-1,40)+1)</f>
        <v>실과</v>
      </c>
      <c r="I140" s="77"/>
      <c r="J140" s="26"/>
      <c r="K140" s="165"/>
      <c r="L140" s="165"/>
      <c r="M140" s="166"/>
      <c r="N140" s="166"/>
      <c r="O140" s="166"/>
      <c r="P140" s="166"/>
      <c r="Q140" s="167"/>
      <c r="R140" s="111"/>
    </row>
    <row r="141" spans="1:18" ht="13.5" hidden="1" customHeight="1">
      <c r="A141" s="30">
        <v>135</v>
      </c>
      <c r="B141" s="24">
        <f>DATE('1.연간시수표'!$U$2,'1.연간시수표'!$X$2,'1.연간시수표'!$Z$2)+QUOTIENT(ROW(A135)-1,8)+(QUOTIENT(ROW(A135)-1,40)*2)</f>
        <v>44642</v>
      </c>
      <c r="C141" s="24" t="str">
        <f t="shared" si="6"/>
        <v>화</v>
      </c>
      <c r="D141" s="91" t="str">
        <f t="shared" si="7"/>
        <v>7교시</v>
      </c>
      <c r="E141" s="68">
        <f>COUNTIF($H$7:$H141,$H141)</f>
        <v>54</v>
      </c>
      <c r="F141" s="67">
        <f>'1.연간시수표'!$AL$33</f>
        <v>5</v>
      </c>
      <c r="G141" s="89">
        <f t="shared" si="8"/>
        <v>1</v>
      </c>
      <c r="H141" s="91" t="str">
        <f>INDEX('0.시간표데이터'!$E$10:$AR$32,QUOTIENT(ROW(A135)-1,40)+1,MOD(ROW(A135)-1,40)+1)</f>
        <v>_</v>
      </c>
      <c r="I141" s="76"/>
      <c r="J141" s="26"/>
      <c r="K141" s="165"/>
      <c r="L141" s="165"/>
      <c r="M141" s="166"/>
      <c r="N141" s="166"/>
      <c r="O141" s="166"/>
      <c r="P141" s="166"/>
      <c r="Q141" s="167"/>
      <c r="R141" s="111"/>
    </row>
    <row r="142" spans="1:18" ht="13.5" hidden="1" customHeight="1">
      <c r="A142" s="30">
        <v>136</v>
      </c>
      <c r="B142" s="24">
        <f>DATE('1.연간시수표'!$U$2,'1.연간시수표'!$X$2,'1.연간시수표'!$Z$2)+QUOTIENT(ROW(A136)-1,8)+(QUOTIENT(ROW(A136)-1,40)*2)</f>
        <v>44642</v>
      </c>
      <c r="C142" s="24" t="str">
        <f t="shared" si="6"/>
        <v>화</v>
      </c>
      <c r="D142" s="91" t="str">
        <f t="shared" si="7"/>
        <v>8교시</v>
      </c>
      <c r="E142" s="68">
        <f>COUNTIF($H$7:$H142,$H142)</f>
        <v>55</v>
      </c>
      <c r="F142" s="67">
        <f>'1.연간시수표'!$AL$33</f>
        <v>5</v>
      </c>
      <c r="G142" s="89">
        <f t="shared" si="8"/>
        <v>1</v>
      </c>
      <c r="H142" s="91" t="str">
        <f>INDEX('0.시간표데이터'!$E$10:$AR$32,QUOTIENT(ROW(A136)-1,40)+1,MOD(ROW(A136)-1,40)+1)</f>
        <v>_</v>
      </c>
      <c r="I142" s="76"/>
      <c r="J142" s="26"/>
      <c r="K142" s="165"/>
      <c r="L142" s="165"/>
      <c r="M142" s="166"/>
      <c r="N142" s="166"/>
      <c r="O142" s="166"/>
      <c r="P142" s="166"/>
      <c r="Q142" s="167"/>
      <c r="R142" s="111"/>
    </row>
    <row r="143" spans="1:18" ht="13.5" hidden="1" customHeight="1">
      <c r="A143" s="30">
        <v>137</v>
      </c>
      <c r="B143" s="24">
        <f>DATE('1.연간시수표'!$U$2,'1.연간시수표'!$X$2,'1.연간시수표'!$Z$2)+QUOTIENT(ROW(A137)-1,8)+(QUOTIENT(ROW(A137)-1,40)*2)</f>
        <v>44643</v>
      </c>
      <c r="C143" s="24" t="str">
        <f t="shared" si="6"/>
        <v>수</v>
      </c>
      <c r="D143" s="91" t="str">
        <f t="shared" si="7"/>
        <v>1교시</v>
      </c>
      <c r="E143" s="68">
        <f>COUNTIF($H$7:$H143,$H143)</f>
        <v>7</v>
      </c>
      <c r="F143" s="67">
        <f>'1.연간시수표'!$AL$33</f>
        <v>5</v>
      </c>
      <c r="G143" s="89">
        <f t="shared" si="8"/>
        <v>1</v>
      </c>
      <c r="H143" s="91" t="str">
        <f>INDEX('0.시간표데이터'!$E$10:$AR$32,QUOTIENT(ROW(A137)-1,40)+1,MOD(ROW(A137)-1,40)+1)</f>
        <v>영어</v>
      </c>
      <c r="I143" s="77"/>
      <c r="J143" s="26"/>
      <c r="K143" s="162"/>
      <c r="L143" s="162"/>
      <c r="M143" s="168"/>
      <c r="N143" s="168"/>
      <c r="O143" s="99"/>
      <c r="P143" s="99"/>
      <c r="Q143" s="167"/>
      <c r="R143" s="111"/>
    </row>
    <row r="144" spans="1:18" ht="13.5" hidden="1" customHeight="1">
      <c r="A144" s="30">
        <v>138</v>
      </c>
      <c r="B144" s="24">
        <f>DATE('1.연간시수표'!$U$2,'1.연간시수표'!$X$2,'1.연간시수표'!$Z$2)+QUOTIENT(ROW(A138)-1,8)+(QUOTIENT(ROW(A138)-1,40)*2)</f>
        <v>44643</v>
      </c>
      <c r="C144" s="24" t="str">
        <f t="shared" si="6"/>
        <v>수</v>
      </c>
      <c r="D144" s="91" t="str">
        <f t="shared" si="7"/>
        <v>2교시</v>
      </c>
      <c r="E144" s="68">
        <f>COUNTIF($H$7:$H144,$H144)</f>
        <v>9</v>
      </c>
      <c r="F144" s="67">
        <f>'1.연간시수표'!$AL$33</f>
        <v>5</v>
      </c>
      <c r="G144" s="89">
        <f t="shared" si="8"/>
        <v>1</v>
      </c>
      <c r="H144" s="91" t="str">
        <f>INDEX('0.시간표데이터'!$E$10:$AR$32,QUOTIENT(ROW(A138)-1,40)+1,MOD(ROW(A138)-1,40)+1)</f>
        <v>과학</v>
      </c>
      <c r="I144" s="77"/>
      <c r="J144" s="26"/>
      <c r="K144" s="137"/>
      <c r="L144" s="137"/>
      <c r="M144" s="114"/>
      <c r="N144" s="114"/>
      <c r="O144" s="114"/>
      <c r="P144" s="114"/>
      <c r="Q144" s="164"/>
      <c r="R144" s="110"/>
    </row>
    <row r="145" spans="1:18" ht="13.5" hidden="1" customHeight="1">
      <c r="A145" s="30">
        <v>139</v>
      </c>
      <c r="B145" s="24">
        <f>DATE('1.연간시수표'!$U$2,'1.연간시수표'!$X$2,'1.연간시수표'!$Z$2)+QUOTIENT(ROW(A139)-1,8)+(QUOTIENT(ROW(A139)-1,40)*2)</f>
        <v>44643</v>
      </c>
      <c r="C145" s="24" t="str">
        <f t="shared" si="6"/>
        <v>수</v>
      </c>
      <c r="D145" s="91" t="str">
        <f t="shared" si="7"/>
        <v>3교시</v>
      </c>
      <c r="E145" s="68">
        <f>COUNTIF($H$7:$H145,$H145)</f>
        <v>4</v>
      </c>
      <c r="F145" s="67">
        <f>'1.연간시수표'!$AL$33</f>
        <v>5</v>
      </c>
      <c r="G145" s="89">
        <f t="shared" si="8"/>
        <v>1</v>
      </c>
      <c r="H145" s="91" t="str">
        <f>INDEX('0.시간표데이터'!$E$10:$AR$32,QUOTIENT(ROW(A139)-1,40)+1,MOD(ROW(A139)-1,40)+1)</f>
        <v>체육</v>
      </c>
      <c r="I145" s="77"/>
      <c r="J145" s="26"/>
      <c r="K145" s="162"/>
      <c r="L145" s="162"/>
      <c r="M145" s="169"/>
      <c r="N145" s="101"/>
      <c r="O145" s="99"/>
      <c r="P145" s="99"/>
      <c r="Q145" s="167"/>
      <c r="R145" s="111"/>
    </row>
    <row r="146" spans="1:18" ht="13.5" customHeight="1">
      <c r="A146" s="30">
        <v>140</v>
      </c>
      <c r="B146" s="24">
        <f>DATE('1.연간시수표'!$U$2,'1.연간시수표'!$X$2,'1.연간시수표'!$Z$2)+QUOTIENT(ROW(A140)-1,8)+(QUOTIENT(ROW(A140)-1,40)*2)</f>
        <v>44643</v>
      </c>
      <c r="C146" s="24" t="str">
        <f t="shared" si="6"/>
        <v>수</v>
      </c>
      <c r="D146" s="91" t="str">
        <f t="shared" si="7"/>
        <v>4교시</v>
      </c>
      <c r="E146" s="68">
        <f>COUNTIF($H$7:$H146,$H146)</f>
        <v>8</v>
      </c>
      <c r="F146" s="67">
        <f>'1.연간시수표'!$AL$33</f>
        <v>5</v>
      </c>
      <c r="G146" s="89">
        <f t="shared" si="8"/>
        <v>1</v>
      </c>
      <c r="H146" s="91" t="str">
        <f>INDEX('0.시간표데이터'!$E$10:$AR$32,QUOTIENT(ROW(A140)-1,40)+1,MOD(ROW(A140)-1,40)+1)</f>
        <v>음악</v>
      </c>
      <c r="I146" s="77"/>
      <c r="J146" s="26"/>
      <c r="K146" s="173"/>
      <c r="L146" s="173"/>
      <c r="M146" s="10"/>
      <c r="N146" s="10"/>
      <c r="O146" s="10"/>
      <c r="P146" s="10"/>
      <c r="Q146" s="164"/>
      <c r="R146" s="109"/>
    </row>
    <row r="147" spans="1:18" ht="13.5" customHeight="1">
      <c r="A147" s="30">
        <v>141</v>
      </c>
      <c r="B147" s="24">
        <f>DATE('1.연간시수표'!$U$2,'1.연간시수표'!$X$2,'1.연간시수표'!$Z$2)+QUOTIENT(ROW(A141)-1,8)+(QUOTIENT(ROW(A141)-1,40)*2)</f>
        <v>44643</v>
      </c>
      <c r="C147" s="24" t="str">
        <f t="shared" si="6"/>
        <v>수</v>
      </c>
      <c r="D147" s="91" t="str">
        <f t="shared" si="7"/>
        <v>5교시</v>
      </c>
      <c r="E147" s="68">
        <f>COUNTIF($H$7:$H147,$H147)</f>
        <v>3</v>
      </c>
      <c r="F147" s="67">
        <f>'1.연간시수표'!$AL$33</f>
        <v>5</v>
      </c>
      <c r="G147" s="89">
        <f t="shared" si="8"/>
        <v>1</v>
      </c>
      <c r="H147" s="91" t="str">
        <f>INDEX('0.시간표데이터'!$E$10:$AR$32,QUOTIENT(ROW(A141)-1,40)+1,MOD(ROW(A141)-1,40)+1)</f>
        <v>도덕</v>
      </c>
      <c r="I147" s="77"/>
      <c r="J147" s="26"/>
      <c r="K147" s="173"/>
      <c r="L147" s="173"/>
      <c r="M147" s="10"/>
      <c r="N147" s="10"/>
      <c r="O147" s="10"/>
      <c r="P147" s="10"/>
      <c r="Q147" s="164"/>
      <c r="R147" s="109"/>
    </row>
    <row r="148" spans="1:18" ht="13.5" hidden="1" customHeight="1">
      <c r="A148" s="30">
        <v>142</v>
      </c>
      <c r="B148" s="24">
        <f>DATE('1.연간시수표'!$U$2,'1.연간시수표'!$X$2,'1.연간시수표'!$Z$2)+QUOTIENT(ROW(A142)-1,8)+(QUOTIENT(ROW(A142)-1,40)*2)</f>
        <v>44643</v>
      </c>
      <c r="C148" s="24" t="str">
        <f t="shared" si="6"/>
        <v>수</v>
      </c>
      <c r="D148" s="91" t="str">
        <f t="shared" si="7"/>
        <v>6교시</v>
      </c>
      <c r="E148" s="68">
        <f>COUNTIF($H$7:$H148,$H148)</f>
        <v>56</v>
      </c>
      <c r="F148" s="67">
        <f>'1.연간시수표'!$AL$33</f>
        <v>5</v>
      </c>
      <c r="G148" s="89">
        <f t="shared" si="8"/>
        <v>1</v>
      </c>
      <c r="H148" s="91" t="str">
        <f>INDEX('0.시간표데이터'!$E$10:$AR$32,QUOTIENT(ROW(A142)-1,40)+1,MOD(ROW(A142)-1,40)+1)</f>
        <v>_</v>
      </c>
      <c r="I148" s="77"/>
      <c r="J148" s="26"/>
      <c r="K148" s="165"/>
      <c r="L148" s="165"/>
      <c r="M148" s="166"/>
      <c r="N148" s="166"/>
      <c r="O148" s="166"/>
      <c r="P148" s="166"/>
      <c r="Q148" s="167"/>
      <c r="R148" s="111"/>
    </row>
    <row r="149" spans="1:18" ht="13.5" hidden="1" customHeight="1">
      <c r="A149" s="30">
        <v>143</v>
      </c>
      <c r="B149" s="24">
        <f>DATE('1.연간시수표'!$U$2,'1.연간시수표'!$X$2,'1.연간시수표'!$Z$2)+QUOTIENT(ROW(A143)-1,8)+(QUOTIENT(ROW(A143)-1,40)*2)</f>
        <v>44643</v>
      </c>
      <c r="C149" s="24" t="str">
        <f t="shared" si="6"/>
        <v>수</v>
      </c>
      <c r="D149" s="91" t="str">
        <f t="shared" si="7"/>
        <v>7교시</v>
      </c>
      <c r="E149" s="68">
        <f>COUNTIF($H$7:$H149,$H149)</f>
        <v>57</v>
      </c>
      <c r="F149" s="67">
        <f>'1.연간시수표'!$AL$33</f>
        <v>5</v>
      </c>
      <c r="G149" s="89">
        <f t="shared" si="8"/>
        <v>1</v>
      </c>
      <c r="H149" s="91" t="str">
        <f>INDEX('0.시간표데이터'!$E$10:$AR$32,QUOTIENT(ROW(A143)-1,40)+1,MOD(ROW(A143)-1,40)+1)</f>
        <v>_</v>
      </c>
      <c r="I149" s="76"/>
      <c r="J149" s="26"/>
      <c r="K149" s="165"/>
      <c r="L149" s="165"/>
      <c r="M149" s="166"/>
      <c r="N149" s="166"/>
      <c r="O149" s="166"/>
      <c r="P149" s="166"/>
      <c r="Q149" s="167"/>
      <c r="R149" s="111"/>
    </row>
    <row r="150" spans="1:18" ht="13.5" hidden="1" customHeight="1">
      <c r="A150" s="30">
        <v>144</v>
      </c>
      <c r="B150" s="24">
        <f>DATE('1.연간시수표'!$U$2,'1.연간시수표'!$X$2,'1.연간시수표'!$Z$2)+QUOTIENT(ROW(A144)-1,8)+(QUOTIENT(ROW(A144)-1,40)*2)</f>
        <v>44643</v>
      </c>
      <c r="C150" s="24" t="str">
        <f t="shared" si="6"/>
        <v>수</v>
      </c>
      <c r="D150" s="91" t="str">
        <f t="shared" si="7"/>
        <v>8교시</v>
      </c>
      <c r="E150" s="68">
        <f>COUNTIF($H$7:$H150,$H150)</f>
        <v>58</v>
      </c>
      <c r="F150" s="67">
        <f>'1.연간시수표'!$AL$33</f>
        <v>5</v>
      </c>
      <c r="G150" s="89">
        <f t="shared" si="8"/>
        <v>1</v>
      </c>
      <c r="H150" s="91" t="str">
        <f>INDEX('0.시간표데이터'!$E$10:$AR$32,QUOTIENT(ROW(A144)-1,40)+1,MOD(ROW(A144)-1,40)+1)</f>
        <v>_</v>
      </c>
      <c r="I150" s="76"/>
      <c r="J150" s="26"/>
      <c r="K150" s="165"/>
      <c r="L150" s="165"/>
      <c r="M150" s="166"/>
      <c r="N150" s="166"/>
      <c r="O150" s="166"/>
      <c r="P150" s="166"/>
      <c r="Q150" s="167"/>
      <c r="R150" s="111"/>
    </row>
    <row r="151" spans="1:18" ht="13.5" hidden="1" customHeight="1">
      <c r="A151" s="30">
        <v>145</v>
      </c>
      <c r="B151" s="24">
        <f>DATE('1.연간시수표'!$U$2,'1.연간시수표'!$X$2,'1.연간시수표'!$Z$2)+QUOTIENT(ROW(A145)-1,8)+(QUOTIENT(ROW(A145)-1,40)*2)</f>
        <v>44644</v>
      </c>
      <c r="C151" s="24" t="str">
        <f t="shared" si="6"/>
        <v>목</v>
      </c>
      <c r="D151" s="91" t="str">
        <f t="shared" si="7"/>
        <v>1교시</v>
      </c>
      <c r="E151" s="68">
        <f>COUNTIF($H$7:$H151,$H151)</f>
        <v>17</v>
      </c>
      <c r="F151" s="67">
        <f>'1.연간시수표'!$AL$33</f>
        <v>5</v>
      </c>
      <c r="G151" s="89">
        <f t="shared" si="8"/>
        <v>1</v>
      </c>
      <c r="H151" s="91" t="str">
        <f>INDEX('0.시간표데이터'!$E$10:$AR$32,QUOTIENT(ROW(A145)-1,40)+1,MOD(ROW(A145)-1,40)+1)</f>
        <v>국어</v>
      </c>
      <c r="I151" s="77"/>
      <c r="J151" s="26"/>
      <c r="K151" s="162"/>
      <c r="L151" s="162"/>
      <c r="M151" s="168"/>
      <c r="N151" s="98"/>
      <c r="O151" s="99"/>
      <c r="P151" s="99"/>
      <c r="Q151" s="167"/>
      <c r="R151" s="111"/>
    </row>
    <row r="152" spans="1:18" ht="13.5" hidden="1" customHeight="1">
      <c r="A152" s="30">
        <v>146</v>
      </c>
      <c r="B152" s="24">
        <f>DATE('1.연간시수표'!$U$2,'1.연간시수표'!$X$2,'1.연간시수표'!$Z$2)+QUOTIENT(ROW(A146)-1,8)+(QUOTIENT(ROW(A146)-1,40)*2)</f>
        <v>44644</v>
      </c>
      <c r="C152" s="24" t="str">
        <f t="shared" si="6"/>
        <v>목</v>
      </c>
      <c r="D152" s="91" t="str">
        <f t="shared" si="7"/>
        <v>2교시</v>
      </c>
      <c r="E152" s="68">
        <f>COUNTIF($H$7:$H152,$H152)</f>
        <v>12</v>
      </c>
      <c r="F152" s="67">
        <f>'1.연간시수표'!$AL$33</f>
        <v>5</v>
      </c>
      <c r="G152" s="89">
        <f t="shared" si="8"/>
        <v>1</v>
      </c>
      <c r="H152" s="91" t="str">
        <f>INDEX('0.시간표데이터'!$E$10:$AR$32,QUOTIENT(ROW(A146)-1,40)+1,MOD(ROW(A146)-1,40)+1)</f>
        <v>수학</v>
      </c>
      <c r="I152" s="161"/>
      <c r="J152" s="26"/>
      <c r="K152" s="165"/>
      <c r="L152" s="165"/>
      <c r="M152" s="166"/>
      <c r="N152" s="166"/>
      <c r="O152" s="166"/>
      <c r="P152" s="166"/>
      <c r="Q152" s="167"/>
      <c r="R152" s="111"/>
    </row>
    <row r="153" spans="1:18" ht="13.5" hidden="1" customHeight="1">
      <c r="A153" s="30">
        <v>147</v>
      </c>
      <c r="B153" s="24">
        <f>DATE('1.연간시수표'!$U$2,'1.연간시수표'!$X$2,'1.연간시수표'!$Z$2)+QUOTIENT(ROW(A147)-1,8)+(QUOTIENT(ROW(A147)-1,40)*2)</f>
        <v>44644</v>
      </c>
      <c r="C153" s="24" t="str">
        <f t="shared" si="6"/>
        <v>목</v>
      </c>
      <c r="D153" s="91" t="str">
        <f t="shared" si="7"/>
        <v>3교시</v>
      </c>
      <c r="E153" s="68">
        <f>COUNTIF($H$7:$H153,$H153)</f>
        <v>10</v>
      </c>
      <c r="F153" s="67">
        <f>'1.연간시수표'!$AL$33</f>
        <v>5</v>
      </c>
      <c r="G153" s="89">
        <f t="shared" si="8"/>
        <v>1</v>
      </c>
      <c r="H153" s="91" t="str">
        <f>INDEX('0.시간표데이터'!$E$10:$AR$32,QUOTIENT(ROW(A147)-1,40)+1,MOD(ROW(A147)-1,40)+1)</f>
        <v>사회</v>
      </c>
      <c r="I153" s="77"/>
      <c r="J153" s="26"/>
      <c r="K153" s="162"/>
      <c r="L153" s="162"/>
      <c r="M153" s="168"/>
      <c r="N153" s="99"/>
      <c r="O153" s="99"/>
      <c r="P153" s="99"/>
      <c r="Q153" s="167"/>
      <c r="R153" s="111"/>
    </row>
    <row r="154" spans="1:18" ht="13.5" hidden="1" customHeight="1">
      <c r="A154" s="30">
        <v>148</v>
      </c>
      <c r="B154" s="24">
        <f>DATE('1.연간시수표'!$U$2,'1.연간시수표'!$X$2,'1.연간시수표'!$Z$2)+QUOTIENT(ROW(A148)-1,8)+(QUOTIENT(ROW(A148)-1,40)*2)</f>
        <v>44644</v>
      </c>
      <c r="C154" s="24" t="str">
        <f t="shared" si="6"/>
        <v>목</v>
      </c>
      <c r="D154" s="91" t="str">
        <f t="shared" si="7"/>
        <v>4교시</v>
      </c>
      <c r="E154" s="68">
        <f>COUNTIF($H$7:$H154,$H154)</f>
        <v>8</v>
      </c>
      <c r="F154" s="67">
        <f>'1.연간시수표'!$AL$33</f>
        <v>5</v>
      </c>
      <c r="G154" s="89">
        <f t="shared" si="8"/>
        <v>1</v>
      </c>
      <c r="H154" s="91" t="str">
        <f>INDEX('0.시간표데이터'!$E$10:$AR$32,QUOTIENT(ROW(A148)-1,40)+1,MOD(ROW(A148)-1,40)+1)</f>
        <v>영어</v>
      </c>
      <c r="I154" s="77"/>
      <c r="J154" s="26"/>
      <c r="K154" s="162"/>
      <c r="L154" s="162"/>
      <c r="M154" s="170"/>
      <c r="N154" s="98"/>
      <c r="O154" s="98"/>
      <c r="P154" s="98"/>
      <c r="Q154" s="167"/>
      <c r="R154" s="111"/>
    </row>
    <row r="155" spans="1:18" ht="13.5" hidden="1" customHeight="1">
      <c r="A155" s="30">
        <v>149</v>
      </c>
      <c r="B155" s="24">
        <f>DATE('1.연간시수표'!$U$2,'1.연간시수표'!$X$2,'1.연간시수표'!$Z$2)+QUOTIENT(ROW(A149)-1,8)+(QUOTIENT(ROW(A149)-1,40)*2)</f>
        <v>44644</v>
      </c>
      <c r="C155" s="24" t="str">
        <f t="shared" si="6"/>
        <v>목</v>
      </c>
      <c r="D155" s="91" t="str">
        <f t="shared" si="7"/>
        <v>5교시</v>
      </c>
      <c r="E155" s="68">
        <f>COUNTIF($H$7:$H155,$H155)</f>
        <v>10</v>
      </c>
      <c r="F155" s="67">
        <f>'1.연간시수표'!$AL$33</f>
        <v>5</v>
      </c>
      <c r="G155" s="89">
        <f t="shared" si="8"/>
        <v>1</v>
      </c>
      <c r="H155" s="91" t="str">
        <f>INDEX('0.시간표데이터'!$E$10:$AR$32,QUOTIENT(ROW(A149)-1,40)+1,MOD(ROW(A149)-1,40)+1)</f>
        <v>과학</v>
      </c>
      <c r="I155" s="77"/>
      <c r="J155" s="26"/>
      <c r="K155" s="165"/>
      <c r="L155" s="165"/>
      <c r="M155" s="166"/>
      <c r="N155" s="166"/>
      <c r="O155" s="166"/>
      <c r="P155" s="166"/>
      <c r="Q155" s="167"/>
      <c r="R155" s="111"/>
    </row>
    <row r="156" spans="1:18" ht="13.5" hidden="1" customHeight="1">
      <c r="A156" s="30">
        <v>150</v>
      </c>
      <c r="B156" s="24">
        <f>DATE('1.연간시수표'!$U$2,'1.연간시수표'!$X$2,'1.연간시수표'!$Z$2)+QUOTIENT(ROW(A150)-1,8)+(QUOTIENT(ROW(A150)-1,40)*2)</f>
        <v>44644</v>
      </c>
      <c r="C156" s="24" t="str">
        <f t="shared" si="6"/>
        <v>목</v>
      </c>
      <c r="D156" s="91" t="str">
        <f t="shared" si="7"/>
        <v>6교시</v>
      </c>
      <c r="E156" s="68">
        <f>COUNTIF($H$7:$H156,$H156)</f>
        <v>9</v>
      </c>
      <c r="F156" s="67">
        <f>'1.연간시수표'!$AL$33</f>
        <v>5</v>
      </c>
      <c r="G156" s="89">
        <f t="shared" si="8"/>
        <v>1</v>
      </c>
      <c r="H156" s="91" t="str">
        <f>INDEX('0.시간표데이터'!$E$10:$AR$32,QUOTIENT(ROW(A150)-1,40)+1,MOD(ROW(A150)-1,40)+1)</f>
        <v>음악</v>
      </c>
      <c r="I156" s="161"/>
      <c r="J156" s="26"/>
      <c r="K156" s="165"/>
      <c r="L156" s="165"/>
      <c r="M156" s="166"/>
      <c r="N156" s="166"/>
      <c r="O156" s="166"/>
      <c r="P156" s="166"/>
      <c r="Q156" s="167"/>
      <c r="R156" s="111"/>
    </row>
    <row r="157" spans="1:18" hidden="1">
      <c r="A157" s="30">
        <v>151</v>
      </c>
      <c r="B157" s="24">
        <f>DATE('1.연간시수표'!$U$2,'1.연간시수표'!$X$2,'1.연간시수표'!$Z$2)+QUOTIENT(ROW(A151)-1,8)+(QUOTIENT(ROW(A151)-1,40)*2)</f>
        <v>44644</v>
      </c>
      <c r="C157" s="24" t="str">
        <f t="shared" si="6"/>
        <v>목</v>
      </c>
      <c r="D157" s="91" t="str">
        <f t="shared" si="7"/>
        <v>7교시</v>
      </c>
      <c r="E157" s="68">
        <f>COUNTIF($H$7:$H157,$H157)</f>
        <v>59</v>
      </c>
      <c r="F157" s="67">
        <f>'1.연간시수표'!$AL$33</f>
        <v>5</v>
      </c>
      <c r="G157" s="89">
        <f t="shared" si="8"/>
        <v>1</v>
      </c>
      <c r="H157" s="91" t="str">
        <f>INDEX('0.시간표데이터'!$E$10:$AR$32,QUOTIENT(ROW(A151)-1,40)+1,MOD(ROW(A151)-1,40)+1)</f>
        <v>_</v>
      </c>
      <c r="I157" s="76"/>
      <c r="J157" s="26"/>
      <c r="K157" s="165"/>
      <c r="L157" s="165"/>
      <c r="M157" s="166"/>
      <c r="N157" s="166"/>
      <c r="O157" s="166"/>
      <c r="P157" s="166"/>
      <c r="Q157" s="167"/>
      <c r="R157" s="111"/>
    </row>
    <row r="158" spans="1:18" hidden="1">
      <c r="A158" s="30">
        <v>152</v>
      </c>
      <c r="B158" s="24">
        <f>DATE('1.연간시수표'!$U$2,'1.연간시수표'!$X$2,'1.연간시수표'!$Z$2)+QUOTIENT(ROW(A152)-1,8)+(QUOTIENT(ROW(A152)-1,40)*2)</f>
        <v>44644</v>
      </c>
      <c r="C158" s="24" t="str">
        <f t="shared" si="6"/>
        <v>목</v>
      </c>
      <c r="D158" s="91" t="str">
        <f t="shared" si="7"/>
        <v>8교시</v>
      </c>
      <c r="E158" s="68">
        <f>COUNTIF($H$7:$H158,$H158)</f>
        <v>60</v>
      </c>
      <c r="F158" s="67">
        <f>'1.연간시수표'!$AL$33</f>
        <v>5</v>
      </c>
      <c r="G158" s="89">
        <f t="shared" si="8"/>
        <v>1</v>
      </c>
      <c r="H158" s="91" t="str">
        <f>INDEX('0.시간표데이터'!$E$10:$AR$32,QUOTIENT(ROW(A152)-1,40)+1,MOD(ROW(A152)-1,40)+1)</f>
        <v>_</v>
      </c>
      <c r="I158" s="76"/>
      <c r="J158" s="26"/>
      <c r="K158" s="165"/>
      <c r="L158" s="165"/>
      <c r="M158" s="166"/>
      <c r="N158" s="166"/>
      <c r="O158" s="166"/>
      <c r="P158" s="166"/>
      <c r="Q158" s="167"/>
      <c r="R158" s="111"/>
    </row>
    <row r="159" spans="1:18" ht="13.5" customHeight="1">
      <c r="A159" s="30">
        <v>153</v>
      </c>
      <c r="B159" s="24">
        <f>DATE('1.연간시수표'!$U$2,'1.연간시수표'!$X$2,'1.연간시수표'!$Z$2)+QUOTIENT(ROW(A153)-1,8)+(QUOTIENT(ROW(A153)-1,40)*2)</f>
        <v>44645</v>
      </c>
      <c r="C159" s="24" t="str">
        <f t="shared" si="6"/>
        <v>금</v>
      </c>
      <c r="D159" s="91" t="str">
        <f t="shared" si="7"/>
        <v>1교시</v>
      </c>
      <c r="E159" s="68">
        <f>COUNTIF($H$7:$H159,$H159)</f>
        <v>8</v>
      </c>
      <c r="F159" s="67">
        <f>'1.연간시수표'!$AL$33</f>
        <v>5</v>
      </c>
      <c r="G159" s="89">
        <f t="shared" si="8"/>
        <v>1</v>
      </c>
      <c r="H159" s="91" t="str">
        <f>INDEX('0.시간표데이터'!$E$10:$AR$32,QUOTIENT(ROW(A153)-1,40)+1,MOD(ROW(A153)-1,40)+1)</f>
        <v>자율활동</v>
      </c>
      <c r="I159" s="77"/>
      <c r="J159" s="26"/>
      <c r="K159" s="173"/>
      <c r="L159" s="173"/>
      <c r="M159" s="10"/>
      <c r="N159" s="10"/>
      <c r="O159" s="10"/>
      <c r="P159" s="10"/>
      <c r="Q159" s="164"/>
      <c r="R159" s="109"/>
    </row>
    <row r="160" spans="1:18" ht="13.5" customHeight="1">
      <c r="A160" s="30">
        <v>154</v>
      </c>
      <c r="B160" s="24">
        <f>DATE('1.연간시수표'!$U$2,'1.연간시수표'!$X$2,'1.연간시수표'!$Z$2)+QUOTIENT(ROW(A154)-1,8)+(QUOTIENT(ROW(A154)-1,40)*2)</f>
        <v>44645</v>
      </c>
      <c r="C160" s="24" t="str">
        <f t="shared" si="6"/>
        <v>금</v>
      </c>
      <c r="D160" s="91" t="str">
        <f t="shared" si="7"/>
        <v>2교시</v>
      </c>
      <c r="E160" s="68">
        <f>COUNTIF($H$7:$H160,$H160)</f>
        <v>5</v>
      </c>
      <c r="F160" s="67">
        <f>'1.연간시수표'!$AL$33</f>
        <v>5</v>
      </c>
      <c r="G160" s="89">
        <f t="shared" si="8"/>
        <v>1</v>
      </c>
      <c r="H160" s="91" t="str">
        <f>INDEX('0.시간표데이터'!$E$10:$AR$32,QUOTIENT(ROW(A154)-1,40)+1,MOD(ROW(A154)-1,40)+1)</f>
        <v>체육</v>
      </c>
      <c r="I160" s="77"/>
      <c r="J160" s="26"/>
      <c r="K160" s="173"/>
      <c r="L160" s="173"/>
      <c r="M160" s="10"/>
      <c r="N160" s="10"/>
      <c r="O160" s="10"/>
      <c r="P160" s="10"/>
      <c r="Q160" s="164"/>
      <c r="R160" s="109"/>
    </row>
    <row r="161" spans="1:18" ht="13.5" customHeight="1">
      <c r="A161" s="30">
        <v>155</v>
      </c>
      <c r="B161" s="24">
        <f>DATE('1.연간시수표'!$U$2,'1.연간시수표'!$X$2,'1.연간시수표'!$Z$2)+QUOTIENT(ROW(A155)-1,8)+(QUOTIENT(ROW(A155)-1,40)*2)</f>
        <v>44645</v>
      </c>
      <c r="C161" s="24" t="str">
        <f t="shared" si="6"/>
        <v>금</v>
      </c>
      <c r="D161" s="91" t="str">
        <f t="shared" si="7"/>
        <v>3교시</v>
      </c>
      <c r="E161" s="68">
        <f>COUNTIF($H$7:$H161,$H161)</f>
        <v>13</v>
      </c>
      <c r="F161" s="67">
        <f>'1.연간시수표'!$AL$33</f>
        <v>5</v>
      </c>
      <c r="G161" s="89">
        <f t="shared" si="8"/>
        <v>1</v>
      </c>
      <c r="H161" s="91" t="str">
        <f>INDEX('0.시간표데이터'!$E$10:$AR$32,QUOTIENT(ROW(A155)-1,40)+1,MOD(ROW(A155)-1,40)+1)</f>
        <v>수학</v>
      </c>
      <c r="I161" s="77"/>
      <c r="J161" s="26"/>
      <c r="K161" s="173"/>
      <c r="L161" s="173"/>
      <c r="M161" s="10"/>
      <c r="N161" s="10"/>
      <c r="O161" s="10"/>
      <c r="P161" s="10"/>
      <c r="Q161" s="164"/>
      <c r="R161" s="109"/>
    </row>
    <row r="162" spans="1:18" ht="13.5" customHeight="1">
      <c r="A162" s="30">
        <v>156</v>
      </c>
      <c r="B162" s="24">
        <f>DATE('1.연간시수표'!$U$2,'1.연간시수표'!$X$2,'1.연간시수표'!$Z$2)+QUOTIENT(ROW(A156)-1,8)+(QUOTIENT(ROW(A156)-1,40)*2)</f>
        <v>44645</v>
      </c>
      <c r="C162" s="24" t="str">
        <f t="shared" si="6"/>
        <v>금</v>
      </c>
      <c r="D162" s="91" t="str">
        <f t="shared" si="7"/>
        <v>4교시</v>
      </c>
      <c r="E162" s="68">
        <f>COUNTIF($H$7:$H162,$H162)</f>
        <v>10</v>
      </c>
      <c r="F162" s="67">
        <f>'1.연간시수표'!$AL$33</f>
        <v>5</v>
      </c>
      <c r="G162" s="89">
        <f t="shared" si="8"/>
        <v>1</v>
      </c>
      <c r="H162" s="91" t="str">
        <f>INDEX('0.시간표데이터'!$E$10:$AR$32,QUOTIENT(ROW(A156)-1,40)+1,MOD(ROW(A156)-1,40)+1)</f>
        <v>음악</v>
      </c>
      <c r="I162" s="77"/>
      <c r="J162" s="26"/>
      <c r="K162" s="173"/>
      <c r="L162" s="173"/>
      <c r="M162" s="10"/>
      <c r="N162" s="10"/>
      <c r="O162" s="10"/>
      <c r="P162" s="10"/>
      <c r="Q162" s="164"/>
      <c r="R162" s="109"/>
    </row>
    <row r="163" spans="1:18" ht="13.5" hidden="1" customHeight="1">
      <c r="A163" s="30">
        <v>157</v>
      </c>
      <c r="B163" s="24">
        <f>DATE('1.연간시수표'!$U$2,'1.연간시수표'!$X$2,'1.연간시수표'!$Z$2)+QUOTIENT(ROW(A157)-1,8)+(QUOTIENT(ROW(A157)-1,40)*2)</f>
        <v>44645</v>
      </c>
      <c r="C163" s="24" t="str">
        <f t="shared" si="6"/>
        <v>금</v>
      </c>
      <c r="D163" s="91" t="str">
        <f t="shared" si="7"/>
        <v>5교시</v>
      </c>
      <c r="E163" s="68">
        <f>COUNTIF($H$7:$H163,$H163)</f>
        <v>1</v>
      </c>
      <c r="F163" s="67">
        <f>'1.연간시수표'!$AL$33</f>
        <v>5</v>
      </c>
      <c r="G163" s="89">
        <f t="shared" si="8"/>
        <v>1</v>
      </c>
      <c r="H163" s="91" t="str">
        <f>INDEX('0.시간표데이터'!$E$10:$AR$32,QUOTIENT(ROW(A157)-1,40)+1,MOD(ROW(A157)-1,40)+1)</f>
        <v>진로활동</v>
      </c>
      <c r="I163" s="77"/>
      <c r="J163" s="26"/>
      <c r="K163" s="162"/>
      <c r="L163" s="162"/>
      <c r="M163" s="170"/>
      <c r="N163" s="98"/>
      <c r="O163" s="98"/>
      <c r="P163" s="98"/>
      <c r="Q163" s="167"/>
      <c r="R163" s="111"/>
    </row>
    <row r="164" spans="1:18" ht="13.5" hidden="1" customHeight="1">
      <c r="A164" s="30">
        <v>158</v>
      </c>
      <c r="B164" s="24">
        <f>DATE('1.연간시수표'!$U$2,'1.연간시수표'!$X$2,'1.연간시수표'!$Z$2)+QUOTIENT(ROW(A158)-1,8)+(QUOTIENT(ROW(A158)-1,40)*2)</f>
        <v>44645</v>
      </c>
      <c r="C164" s="24" t="str">
        <f t="shared" si="6"/>
        <v>금</v>
      </c>
      <c r="D164" s="91" t="str">
        <f t="shared" si="7"/>
        <v>6교시</v>
      </c>
      <c r="E164" s="68">
        <f>COUNTIF($H$7:$H164,$H164)</f>
        <v>2</v>
      </c>
      <c r="F164" s="67">
        <f>'1.연간시수표'!$AL$33</f>
        <v>5</v>
      </c>
      <c r="G164" s="89">
        <f t="shared" si="8"/>
        <v>1</v>
      </c>
      <c r="H164" s="91" t="str">
        <f>INDEX('0.시간표데이터'!$E$10:$AR$32,QUOTIENT(ROW(A158)-1,40)+1,MOD(ROW(A158)-1,40)+1)</f>
        <v>진로활동</v>
      </c>
      <c r="I164" s="77"/>
      <c r="J164" s="26"/>
      <c r="K164" s="165"/>
      <c r="L164" s="165"/>
      <c r="M164" s="166"/>
      <c r="N164" s="166"/>
      <c r="O164" s="166"/>
      <c r="P164" s="166"/>
      <c r="Q164" s="167"/>
      <c r="R164" s="111"/>
    </row>
    <row r="165" spans="1:18" ht="13.5" hidden="1" customHeight="1">
      <c r="A165" s="30">
        <v>159</v>
      </c>
      <c r="B165" s="24">
        <f>DATE('1.연간시수표'!$U$2,'1.연간시수표'!$X$2,'1.연간시수표'!$Z$2)+QUOTIENT(ROW(A159)-1,8)+(QUOTIENT(ROW(A159)-1,40)*2)</f>
        <v>44645</v>
      </c>
      <c r="C165" s="24" t="str">
        <f t="shared" si="6"/>
        <v>금</v>
      </c>
      <c r="D165" s="91" t="str">
        <f t="shared" si="7"/>
        <v>7교시</v>
      </c>
      <c r="E165" s="68">
        <f>COUNTIF($H$7:$H165,$H165)</f>
        <v>61</v>
      </c>
      <c r="F165" s="67">
        <f>'1.연간시수표'!$AL$33</f>
        <v>5</v>
      </c>
      <c r="G165" s="89">
        <f t="shared" si="8"/>
        <v>1</v>
      </c>
      <c r="H165" s="91" t="str">
        <f>INDEX('0.시간표데이터'!$E$10:$AR$32,QUOTIENT(ROW(A159)-1,40)+1,MOD(ROW(A159)-1,40)+1)</f>
        <v>_</v>
      </c>
      <c r="I165" s="76"/>
      <c r="J165" s="26"/>
      <c r="K165" s="165"/>
      <c r="L165" s="165"/>
      <c r="M165" s="166"/>
      <c r="N165" s="166"/>
      <c r="O165" s="166"/>
      <c r="P165" s="166"/>
      <c r="Q165" s="167"/>
      <c r="R165" s="111"/>
    </row>
    <row r="166" spans="1:18" ht="13.5" hidden="1" customHeight="1">
      <c r="A166" s="30">
        <v>160</v>
      </c>
      <c r="B166" s="24">
        <f>DATE('1.연간시수표'!$U$2,'1.연간시수표'!$X$2,'1.연간시수표'!$Z$2)+QUOTIENT(ROW(A160)-1,8)+(QUOTIENT(ROW(A160)-1,40)*2)</f>
        <v>44645</v>
      </c>
      <c r="C166" s="24" t="str">
        <f t="shared" si="6"/>
        <v>금</v>
      </c>
      <c r="D166" s="91" t="str">
        <f t="shared" si="7"/>
        <v>8교시</v>
      </c>
      <c r="E166" s="68">
        <f>COUNTIF($H$7:$H166,$H166)</f>
        <v>62</v>
      </c>
      <c r="F166" s="67">
        <f>'1.연간시수표'!$AL$33</f>
        <v>5</v>
      </c>
      <c r="G166" s="89">
        <f t="shared" si="8"/>
        <v>1</v>
      </c>
      <c r="H166" s="91" t="str">
        <f>INDEX('0.시간표데이터'!$E$10:$AR$32,QUOTIENT(ROW(A160)-1,40)+1,MOD(ROW(A160)-1,40)+1)</f>
        <v>_</v>
      </c>
      <c r="I166" s="76"/>
      <c r="J166" s="26"/>
      <c r="K166" s="165"/>
      <c r="L166" s="165"/>
      <c r="M166" s="166"/>
      <c r="N166" s="166"/>
      <c r="O166" s="166"/>
      <c r="P166" s="166"/>
      <c r="Q166" s="167"/>
      <c r="R166" s="111"/>
    </row>
    <row r="167" spans="1:18" ht="13.5" hidden="1" customHeight="1">
      <c r="A167" s="30">
        <v>161</v>
      </c>
      <c r="B167" s="24">
        <f>DATE('1.연간시수표'!$U$2,'1.연간시수표'!$X$2,'1.연간시수표'!$Z$2)+QUOTIENT(ROW(A161)-1,8)+(QUOTIENT(ROW(A161)-1,40)*2)</f>
        <v>44648</v>
      </c>
      <c r="C167" s="24" t="str">
        <f t="shared" si="6"/>
        <v>월</v>
      </c>
      <c r="D167" s="91" t="str">
        <f t="shared" si="7"/>
        <v>1교시</v>
      </c>
      <c r="E167" s="68">
        <f>COUNTIF($H$7:$H167,$H167)</f>
        <v>18</v>
      </c>
      <c r="F167" s="67">
        <f>'1.연간시수표'!$AL$33</f>
        <v>5</v>
      </c>
      <c r="G167" s="89">
        <f t="shared" si="8"/>
        <v>1</v>
      </c>
      <c r="H167" s="91" t="str">
        <f>INDEX('0.시간표데이터'!$E$10:$AR$32,QUOTIENT(ROW(A161)-1,40)+1,MOD(ROW(A161)-1,40)+1)</f>
        <v>국어</v>
      </c>
      <c r="I167" s="77"/>
      <c r="J167" s="26"/>
      <c r="K167" s="162"/>
      <c r="L167" s="162"/>
      <c r="M167" s="168"/>
      <c r="N167" s="99"/>
      <c r="O167" s="99"/>
      <c r="P167" s="99"/>
      <c r="Q167" s="167"/>
      <c r="R167" s="111"/>
    </row>
    <row r="168" spans="1:18" ht="13.5" hidden="1" customHeight="1">
      <c r="A168" s="30">
        <v>162</v>
      </c>
      <c r="B168" s="24">
        <f>DATE('1.연간시수표'!$U$2,'1.연간시수표'!$X$2,'1.연간시수표'!$Z$2)+QUOTIENT(ROW(A162)-1,8)+(QUOTIENT(ROW(A162)-1,40)*2)</f>
        <v>44648</v>
      </c>
      <c r="C168" s="24" t="str">
        <f t="shared" si="6"/>
        <v>월</v>
      </c>
      <c r="D168" s="91" t="str">
        <f t="shared" si="7"/>
        <v>2교시</v>
      </c>
      <c r="E168" s="68">
        <f>COUNTIF($H$7:$H168,$H168)</f>
        <v>7</v>
      </c>
      <c r="F168" s="67">
        <f>'1.연간시수표'!$AL$33</f>
        <v>5</v>
      </c>
      <c r="G168" s="89">
        <f t="shared" si="8"/>
        <v>1</v>
      </c>
      <c r="H168" s="91" t="str">
        <f>INDEX('0.시간표데이터'!$E$10:$AR$32,QUOTIENT(ROW(A162)-1,40)+1,MOD(ROW(A162)-1,40)+1)</f>
        <v>미술</v>
      </c>
      <c r="I168" s="161"/>
      <c r="J168" s="26"/>
      <c r="K168" s="165"/>
      <c r="L168" s="165"/>
      <c r="M168" s="166"/>
      <c r="N168" s="166"/>
      <c r="O168" s="166"/>
      <c r="P168" s="166"/>
      <c r="Q168" s="167"/>
      <c r="R168" s="111"/>
    </row>
    <row r="169" spans="1:18" ht="13.5" hidden="1" customHeight="1">
      <c r="A169" s="30">
        <v>163</v>
      </c>
      <c r="B169" s="24">
        <f>DATE('1.연간시수표'!$U$2,'1.연간시수표'!$X$2,'1.연간시수표'!$Z$2)+QUOTIENT(ROW(A163)-1,8)+(QUOTIENT(ROW(A163)-1,40)*2)</f>
        <v>44648</v>
      </c>
      <c r="C169" s="24" t="str">
        <f t="shared" si="6"/>
        <v>월</v>
      </c>
      <c r="D169" s="91" t="str">
        <f t="shared" si="7"/>
        <v>3교시</v>
      </c>
      <c r="E169" s="68">
        <f>COUNTIF($H$7:$H169,$H169)</f>
        <v>8</v>
      </c>
      <c r="F169" s="67">
        <f>'1.연간시수표'!$AL$33</f>
        <v>5</v>
      </c>
      <c r="G169" s="89">
        <f t="shared" si="8"/>
        <v>1</v>
      </c>
      <c r="H169" s="91" t="str">
        <f>INDEX('0.시간표데이터'!$E$10:$AR$32,QUOTIENT(ROW(A163)-1,40)+1,MOD(ROW(A163)-1,40)+1)</f>
        <v>미술</v>
      </c>
      <c r="I169" s="77"/>
      <c r="J169" s="26"/>
      <c r="K169" s="162"/>
      <c r="L169" s="162"/>
      <c r="M169" s="169"/>
      <c r="N169" s="101"/>
      <c r="O169" s="99"/>
      <c r="P169" s="99"/>
      <c r="Q169" s="167"/>
      <c r="R169" s="111"/>
    </row>
    <row r="170" spans="1:18" ht="13.5" hidden="1" customHeight="1">
      <c r="A170" s="30">
        <v>164</v>
      </c>
      <c r="B170" s="24">
        <f>DATE('1.연간시수표'!$U$2,'1.연간시수표'!$X$2,'1.연간시수표'!$Z$2)+QUOTIENT(ROW(A164)-1,8)+(QUOTIENT(ROW(A164)-1,40)*2)</f>
        <v>44648</v>
      </c>
      <c r="C170" s="24" t="str">
        <f t="shared" si="6"/>
        <v>월</v>
      </c>
      <c r="D170" s="91" t="str">
        <f t="shared" si="7"/>
        <v>4교시</v>
      </c>
      <c r="E170" s="68">
        <f>COUNTIF($H$7:$H170,$H170)</f>
        <v>9</v>
      </c>
      <c r="F170" s="67">
        <f>'1.연간시수표'!$AL$33</f>
        <v>5</v>
      </c>
      <c r="G170" s="89">
        <f t="shared" si="8"/>
        <v>1</v>
      </c>
      <c r="H170" s="91" t="str">
        <f>INDEX('0.시간표데이터'!$E$10:$AR$32,QUOTIENT(ROW(A164)-1,40)+1,MOD(ROW(A164)-1,40)+1)</f>
        <v>영어</v>
      </c>
      <c r="I170" s="77"/>
      <c r="J170" s="26"/>
      <c r="K170" s="162"/>
      <c r="L170" s="162"/>
      <c r="M170" s="169"/>
      <c r="N170" s="101"/>
      <c r="O170" s="99"/>
      <c r="P170" s="99"/>
      <c r="Q170" s="167"/>
      <c r="R170" s="111"/>
    </row>
    <row r="171" spans="1:18" ht="13.5" hidden="1" customHeight="1">
      <c r="A171" s="30">
        <v>165</v>
      </c>
      <c r="B171" s="24">
        <f>DATE('1.연간시수표'!$U$2,'1.연간시수표'!$X$2,'1.연간시수표'!$Z$2)+QUOTIENT(ROW(A165)-1,8)+(QUOTIENT(ROW(A165)-1,40)*2)</f>
        <v>44648</v>
      </c>
      <c r="C171" s="24" t="str">
        <f t="shared" si="6"/>
        <v>월</v>
      </c>
      <c r="D171" s="91" t="str">
        <f t="shared" si="7"/>
        <v>5교시</v>
      </c>
      <c r="E171" s="68">
        <f>COUNTIF($H$7:$H171,$H171)</f>
        <v>14</v>
      </c>
      <c r="F171" s="67">
        <f>'1.연간시수표'!$AL$33</f>
        <v>5</v>
      </c>
      <c r="G171" s="89">
        <f t="shared" si="8"/>
        <v>1</v>
      </c>
      <c r="H171" s="91" t="str">
        <f>INDEX('0.시간표데이터'!$E$10:$AR$32,QUOTIENT(ROW(A165)-1,40)+1,MOD(ROW(A165)-1,40)+1)</f>
        <v>수학</v>
      </c>
      <c r="I171" s="77"/>
      <c r="J171" s="26"/>
      <c r="K171" s="162"/>
      <c r="L171" s="162"/>
      <c r="M171" s="168"/>
      <c r="N171" s="98"/>
      <c r="O171" s="99"/>
      <c r="P171" s="99"/>
      <c r="Q171" s="167"/>
      <c r="R171" s="111"/>
    </row>
    <row r="172" spans="1:18" ht="13.5" hidden="1" customHeight="1">
      <c r="A172" s="30">
        <v>166</v>
      </c>
      <c r="B172" s="24">
        <f>DATE('1.연간시수표'!$U$2,'1.연간시수표'!$X$2,'1.연간시수표'!$Z$2)+QUOTIENT(ROW(A166)-1,8)+(QUOTIENT(ROW(A166)-1,40)*2)</f>
        <v>44648</v>
      </c>
      <c r="C172" s="24" t="str">
        <f t="shared" si="6"/>
        <v>월</v>
      </c>
      <c r="D172" s="91" t="str">
        <f t="shared" si="7"/>
        <v>6교시</v>
      </c>
      <c r="E172" s="68">
        <f>COUNTIF($H$7:$H172,$H172)</f>
        <v>9</v>
      </c>
      <c r="F172" s="67">
        <f>'1.연간시수표'!$AL$33</f>
        <v>5</v>
      </c>
      <c r="G172" s="89">
        <f t="shared" si="8"/>
        <v>1</v>
      </c>
      <c r="H172" s="91" t="str">
        <f>INDEX('0.시간표데이터'!$E$10:$AR$32,QUOTIENT(ROW(A166)-1,40)+1,MOD(ROW(A166)-1,40)+1)</f>
        <v>자율활동</v>
      </c>
      <c r="I172" s="77"/>
      <c r="J172" s="26"/>
      <c r="K172" s="165"/>
      <c r="L172" s="165"/>
      <c r="M172" s="166"/>
      <c r="N172" s="166"/>
      <c r="O172" s="166"/>
      <c r="P172" s="166"/>
      <c r="Q172" s="167"/>
      <c r="R172" s="111"/>
    </row>
    <row r="173" spans="1:18" ht="13.5" hidden="1" customHeight="1">
      <c r="A173" s="30">
        <v>167</v>
      </c>
      <c r="B173" s="24">
        <f>DATE('1.연간시수표'!$U$2,'1.연간시수표'!$X$2,'1.연간시수표'!$Z$2)+QUOTIENT(ROW(A167)-1,8)+(QUOTIENT(ROW(A167)-1,40)*2)</f>
        <v>44648</v>
      </c>
      <c r="C173" s="24" t="str">
        <f t="shared" si="6"/>
        <v>월</v>
      </c>
      <c r="D173" s="91" t="str">
        <f t="shared" si="7"/>
        <v>7교시</v>
      </c>
      <c r="E173" s="68">
        <f>COUNTIF($H$7:$H173,$H173)</f>
        <v>63</v>
      </c>
      <c r="F173" s="67">
        <f>'1.연간시수표'!$AL$33</f>
        <v>5</v>
      </c>
      <c r="G173" s="89">
        <f t="shared" si="8"/>
        <v>1</v>
      </c>
      <c r="H173" s="91" t="str">
        <f>INDEX('0.시간표데이터'!$E$10:$AR$32,QUOTIENT(ROW(A167)-1,40)+1,MOD(ROW(A167)-1,40)+1)</f>
        <v>_</v>
      </c>
      <c r="I173" s="76"/>
      <c r="J173" s="26"/>
      <c r="K173" s="165"/>
      <c r="L173" s="165"/>
      <c r="M173" s="166"/>
      <c r="N173" s="166"/>
      <c r="O173" s="166"/>
      <c r="P173" s="166"/>
      <c r="Q173" s="167"/>
      <c r="R173" s="111"/>
    </row>
    <row r="174" spans="1:18" ht="13.5" hidden="1" customHeight="1">
      <c r="A174" s="30">
        <v>168</v>
      </c>
      <c r="B174" s="24">
        <f>DATE('1.연간시수표'!$U$2,'1.연간시수표'!$X$2,'1.연간시수표'!$Z$2)+QUOTIENT(ROW(A168)-1,8)+(QUOTIENT(ROW(A168)-1,40)*2)</f>
        <v>44648</v>
      </c>
      <c r="C174" s="24" t="str">
        <f t="shared" si="6"/>
        <v>월</v>
      </c>
      <c r="D174" s="91" t="str">
        <f t="shared" si="7"/>
        <v>8교시</v>
      </c>
      <c r="E174" s="68">
        <f>COUNTIF($H$7:$H174,$H174)</f>
        <v>64</v>
      </c>
      <c r="F174" s="67">
        <f>'1.연간시수표'!$AL$33</f>
        <v>5</v>
      </c>
      <c r="G174" s="89">
        <f t="shared" si="8"/>
        <v>1</v>
      </c>
      <c r="H174" s="91" t="str">
        <f>INDEX('0.시간표데이터'!$E$10:$AR$32,QUOTIENT(ROW(A168)-1,40)+1,MOD(ROW(A168)-1,40)+1)</f>
        <v>_</v>
      </c>
      <c r="I174" s="76"/>
      <c r="J174" s="26"/>
      <c r="K174" s="165"/>
      <c r="L174" s="165"/>
      <c r="M174" s="166"/>
      <c r="N174" s="166"/>
      <c r="O174" s="166"/>
      <c r="P174" s="166"/>
      <c r="Q174" s="167"/>
      <c r="R174" s="111"/>
    </row>
    <row r="175" spans="1:18" ht="13.5" customHeight="1">
      <c r="A175" s="30">
        <v>169</v>
      </c>
      <c r="B175" s="24">
        <f>DATE('1.연간시수표'!$U$2,'1.연간시수표'!$X$2,'1.연간시수표'!$Z$2)+QUOTIENT(ROW(A169)-1,8)+(QUOTIENT(ROW(A169)-1,40)*2)</f>
        <v>44649</v>
      </c>
      <c r="C175" s="24" t="str">
        <f t="shared" si="6"/>
        <v>화</v>
      </c>
      <c r="D175" s="91" t="str">
        <f t="shared" si="7"/>
        <v>1교시</v>
      </c>
      <c r="E175" s="68">
        <f>COUNTIF($H$7:$H175,$H175)</f>
        <v>19</v>
      </c>
      <c r="F175" s="67">
        <f>'1.연간시수표'!$AL$33</f>
        <v>5</v>
      </c>
      <c r="G175" s="89">
        <f t="shared" si="8"/>
        <v>1</v>
      </c>
      <c r="H175" s="91" t="str">
        <f>INDEX('0.시간표데이터'!$E$10:$AR$32,QUOTIENT(ROW(A169)-1,40)+1,MOD(ROW(A169)-1,40)+1)</f>
        <v>국어</v>
      </c>
      <c r="I175" s="77"/>
      <c r="J175" s="26"/>
      <c r="K175" s="173"/>
      <c r="L175" s="173"/>
      <c r="M175" s="10"/>
      <c r="N175" s="10"/>
      <c r="O175" s="10"/>
      <c r="P175" s="10"/>
      <c r="Q175" s="164"/>
      <c r="R175" s="109"/>
    </row>
    <row r="176" spans="1:18" ht="13.5" customHeight="1">
      <c r="A176" s="30">
        <v>170</v>
      </c>
      <c r="B176" s="24">
        <f>DATE('1.연간시수표'!$U$2,'1.연간시수표'!$X$2,'1.연간시수표'!$Z$2)+QUOTIENT(ROW(A170)-1,8)+(QUOTIENT(ROW(A170)-1,40)*2)</f>
        <v>44649</v>
      </c>
      <c r="C176" s="24" t="str">
        <f t="shared" si="6"/>
        <v>화</v>
      </c>
      <c r="D176" s="91" t="str">
        <f t="shared" si="7"/>
        <v>2교시</v>
      </c>
      <c r="E176" s="68">
        <f>COUNTIF($H$7:$H176,$H176)</f>
        <v>20</v>
      </c>
      <c r="F176" s="67">
        <f>'1.연간시수표'!$AL$33</f>
        <v>5</v>
      </c>
      <c r="G176" s="89">
        <f t="shared" si="8"/>
        <v>1</v>
      </c>
      <c r="H176" s="91" t="str">
        <f>INDEX('0.시간표데이터'!$E$10:$AR$32,QUOTIENT(ROW(A170)-1,40)+1,MOD(ROW(A170)-1,40)+1)</f>
        <v>국어</v>
      </c>
      <c r="I176" s="161"/>
      <c r="J176" s="26"/>
      <c r="K176" s="173"/>
      <c r="L176" s="173"/>
      <c r="M176" s="10"/>
      <c r="N176" s="10"/>
      <c r="O176" s="10"/>
      <c r="P176" s="10"/>
      <c r="Q176" s="164"/>
      <c r="R176" s="109"/>
    </row>
    <row r="177" spans="1:18" ht="13.5" customHeight="1">
      <c r="A177" s="30">
        <v>171</v>
      </c>
      <c r="B177" s="24">
        <f>DATE('1.연간시수표'!$U$2,'1.연간시수표'!$X$2,'1.연간시수표'!$Z$2)+QUOTIENT(ROW(A171)-1,8)+(QUOTIENT(ROW(A171)-1,40)*2)</f>
        <v>44649</v>
      </c>
      <c r="C177" s="24" t="str">
        <f t="shared" si="6"/>
        <v>화</v>
      </c>
      <c r="D177" s="91" t="str">
        <f t="shared" si="7"/>
        <v>3교시</v>
      </c>
      <c r="E177" s="68">
        <f>COUNTIF($H$7:$H177,$H177)</f>
        <v>11</v>
      </c>
      <c r="F177" s="67">
        <f>'1.연간시수표'!$AL$33</f>
        <v>5</v>
      </c>
      <c r="G177" s="89">
        <f t="shared" si="8"/>
        <v>1</v>
      </c>
      <c r="H177" s="91" t="str">
        <f>INDEX('0.시간표데이터'!$E$10:$AR$32,QUOTIENT(ROW(A171)-1,40)+1,MOD(ROW(A171)-1,40)+1)</f>
        <v>사회</v>
      </c>
      <c r="I177" s="77"/>
      <c r="J177" s="26"/>
      <c r="K177" s="173"/>
      <c r="L177" s="173"/>
      <c r="M177" s="10"/>
      <c r="N177" s="10"/>
      <c r="O177" s="10"/>
      <c r="P177" s="10"/>
      <c r="Q177" s="164"/>
      <c r="R177" s="109"/>
    </row>
    <row r="178" spans="1:18" ht="13.5" customHeight="1">
      <c r="A178" s="30">
        <v>172</v>
      </c>
      <c r="B178" s="24">
        <f>DATE('1.연간시수표'!$U$2,'1.연간시수표'!$X$2,'1.연간시수표'!$Z$2)+QUOTIENT(ROW(A172)-1,8)+(QUOTIENT(ROW(A172)-1,40)*2)</f>
        <v>44649</v>
      </c>
      <c r="C178" s="24" t="str">
        <f t="shared" si="6"/>
        <v>화</v>
      </c>
      <c r="D178" s="91" t="str">
        <f t="shared" si="7"/>
        <v>4교시</v>
      </c>
      <c r="E178" s="68">
        <f>COUNTIF($H$7:$H178,$H178)</f>
        <v>15</v>
      </c>
      <c r="F178" s="67">
        <f>'1.연간시수표'!$AL$33</f>
        <v>5</v>
      </c>
      <c r="G178" s="89">
        <f t="shared" si="8"/>
        <v>1</v>
      </c>
      <c r="H178" s="91" t="str">
        <f>INDEX('0.시간표데이터'!$E$10:$AR$32,QUOTIENT(ROW(A172)-1,40)+1,MOD(ROW(A172)-1,40)+1)</f>
        <v>수학</v>
      </c>
      <c r="I178" s="77"/>
      <c r="J178" s="26"/>
      <c r="K178" s="173"/>
      <c r="L178" s="173"/>
      <c r="M178" s="10"/>
      <c r="N178" s="10"/>
      <c r="O178" s="10"/>
      <c r="P178" s="10"/>
      <c r="Q178" s="164"/>
      <c r="R178" s="109"/>
    </row>
    <row r="179" spans="1:18" ht="13.5" hidden="1" customHeight="1">
      <c r="A179" s="30">
        <v>173</v>
      </c>
      <c r="B179" s="24">
        <f>DATE('1.연간시수표'!$U$2,'1.연간시수표'!$X$2,'1.연간시수표'!$Z$2)+QUOTIENT(ROW(A173)-1,8)+(QUOTIENT(ROW(A173)-1,40)*2)</f>
        <v>44649</v>
      </c>
      <c r="C179" s="24" t="str">
        <f t="shared" si="6"/>
        <v>화</v>
      </c>
      <c r="D179" s="91" t="str">
        <f t="shared" si="7"/>
        <v>5교시</v>
      </c>
      <c r="E179" s="68">
        <f>COUNTIF($H$7:$H179,$H179)</f>
        <v>11</v>
      </c>
      <c r="F179" s="67">
        <f>'1.연간시수표'!$AL$33</f>
        <v>5</v>
      </c>
      <c r="G179" s="89">
        <f t="shared" si="8"/>
        <v>1</v>
      </c>
      <c r="H179" s="91" t="str">
        <f>INDEX('0.시간표데이터'!$E$10:$AR$32,QUOTIENT(ROW(A173)-1,40)+1,MOD(ROW(A173)-1,40)+1)</f>
        <v>과학</v>
      </c>
      <c r="I179" s="77"/>
      <c r="J179" s="26"/>
      <c r="K179" s="137"/>
      <c r="L179" s="137"/>
      <c r="M179" s="114"/>
      <c r="N179" s="114"/>
      <c r="O179" s="114"/>
      <c r="P179" s="114"/>
      <c r="Q179" s="164"/>
      <c r="R179" s="110"/>
    </row>
    <row r="180" spans="1:18" ht="13.5" hidden="1" customHeight="1">
      <c r="A180" s="30">
        <v>174</v>
      </c>
      <c r="B180" s="24">
        <f>DATE('1.연간시수표'!$U$2,'1.연간시수표'!$X$2,'1.연간시수표'!$Z$2)+QUOTIENT(ROW(A174)-1,8)+(QUOTIENT(ROW(A174)-1,40)*2)</f>
        <v>44649</v>
      </c>
      <c r="C180" s="24" t="str">
        <f t="shared" si="6"/>
        <v>화</v>
      </c>
      <c r="D180" s="91" t="str">
        <f t="shared" si="7"/>
        <v>6교시</v>
      </c>
      <c r="E180" s="68">
        <f>COUNTIF($H$7:$H180,$H180)</f>
        <v>7</v>
      </c>
      <c r="F180" s="67">
        <f>'1.연간시수표'!$AL$33</f>
        <v>5</v>
      </c>
      <c r="G180" s="89">
        <f t="shared" si="8"/>
        <v>1</v>
      </c>
      <c r="H180" s="91" t="str">
        <f>INDEX('0.시간표데이터'!$E$10:$AR$32,QUOTIENT(ROW(A174)-1,40)+1,MOD(ROW(A174)-1,40)+1)</f>
        <v>실과</v>
      </c>
      <c r="I180" s="77"/>
      <c r="J180" s="26"/>
      <c r="K180" s="165"/>
      <c r="L180" s="165"/>
      <c r="M180" s="166"/>
      <c r="N180" s="166"/>
      <c r="O180" s="166"/>
      <c r="P180" s="166"/>
      <c r="Q180" s="167"/>
      <c r="R180" s="111"/>
    </row>
    <row r="181" spans="1:18" ht="13.5" hidden="1" customHeight="1">
      <c r="A181" s="30">
        <v>175</v>
      </c>
      <c r="B181" s="24">
        <f>DATE('1.연간시수표'!$U$2,'1.연간시수표'!$X$2,'1.연간시수표'!$Z$2)+QUOTIENT(ROW(A175)-1,8)+(QUOTIENT(ROW(A175)-1,40)*2)</f>
        <v>44649</v>
      </c>
      <c r="C181" s="24" t="str">
        <f t="shared" si="6"/>
        <v>화</v>
      </c>
      <c r="D181" s="91" t="str">
        <f t="shared" si="7"/>
        <v>7교시</v>
      </c>
      <c r="E181" s="68">
        <f>COUNTIF($H$7:$H181,$H181)</f>
        <v>65</v>
      </c>
      <c r="F181" s="67">
        <f>'1.연간시수표'!$AL$33</f>
        <v>5</v>
      </c>
      <c r="G181" s="89">
        <f t="shared" si="8"/>
        <v>1</v>
      </c>
      <c r="H181" s="91" t="str">
        <f>INDEX('0.시간표데이터'!$E$10:$AR$32,QUOTIENT(ROW(A175)-1,40)+1,MOD(ROW(A175)-1,40)+1)</f>
        <v>_</v>
      </c>
      <c r="I181" s="76"/>
      <c r="J181" s="26"/>
      <c r="K181" s="165"/>
      <c r="L181" s="165"/>
      <c r="M181" s="166"/>
      <c r="N181" s="166"/>
      <c r="O181" s="166"/>
      <c r="P181" s="166"/>
      <c r="Q181" s="167"/>
      <c r="R181" s="111"/>
    </row>
    <row r="182" spans="1:18" ht="13.5" hidden="1" customHeight="1">
      <c r="A182" s="30">
        <v>176</v>
      </c>
      <c r="B182" s="24">
        <f>DATE('1.연간시수표'!$U$2,'1.연간시수표'!$X$2,'1.연간시수표'!$Z$2)+QUOTIENT(ROW(A176)-1,8)+(QUOTIENT(ROW(A176)-1,40)*2)</f>
        <v>44649</v>
      </c>
      <c r="C182" s="24" t="str">
        <f t="shared" si="6"/>
        <v>화</v>
      </c>
      <c r="D182" s="91" t="str">
        <f t="shared" si="7"/>
        <v>8교시</v>
      </c>
      <c r="E182" s="68">
        <f>COUNTIF($H$7:$H182,$H182)</f>
        <v>66</v>
      </c>
      <c r="F182" s="67">
        <f>'1.연간시수표'!$AL$33</f>
        <v>5</v>
      </c>
      <c r="G182" s="89">
        <f t="shared" si="8"/>
        <v>1</v>
      </c>
      <c r="H182" s="91" t="str">
        <f>INDEX('0.시간표데이터'!$E$10:$AR$32,QUOTIENT(ROW(A176)-1,40)+1,MOD(ROW(A176)-1,40)+1)</f>
        <v>_</v>
      </c>
      <c r="I182" s="76"/>
      <c r="J182" s="26"/>
      <c r="K182" s="165"/>
      <c r="L182" s="165"/>
      <c r="M182" s="166"/>
      <c r="N182" s="166"/>
      <c r="O182" s="166"/>
      <c r="P182" s="166"/>
      <c r="Q182" s="167"/>
      <c r="R182" s="111"/>
    </row>
    <row r="183" spans="1:18" ht="13.5" customHeight="1">
      <c r="A183" s="30">
        <v>177</v>
      </c>
      <c r="B183" s="24">
        <f>DATE('1.연간시수표'!$U$2,'1.연간시수표'!$X$2,'1.연간시수표'!$Z$2)+QUOTIENT(ROW(A177)-1,8)+(QUOTIENT(ROW(A177)-1,40)*2)</f>
        <v>44650</v>
      </c>
      <c r="C183" s="24" t="str">
        <f t="shared" si="6"/>
        <v>수</v>
      </c>
      <c r="D183" s="91" t="str">
        <f t="shared" si="7"/>
        <v>1교시</v>
      </c>
      <c r="E183" s="68">
        <f>COUNTIF($H$7:$H183,$H183)</f>
        <v>10</v>
      </c>
      <c r="F183" s="67">
        <f>'1.연간시수표'!$AL$33</f>
        <v>5</v>
      </c>
      <c r="G183" s="89">
        <f t="shared" si="8"/>
        <v>1</v>
      </c>
      <c r="H183" s="91" t="str">
        <f>INDEX('0.시간표데이터'!$E$10:$AR$32,QUOTIENT(ROW(A177)-1,40)+1,MOD(ROW(A177)-1,40)+1)</f>
        <v>영어</v>
      </c>
      <c r="I183" s="77"/>
      <c r="J183" s="26"/>
      <c r="K183" s="173"/>
      <c r="L183" s="173"/>
      <c r="M183" s="10"/>
      <c r="N183" s="10"/>
      <c r="O183" s="10"/>
      <c r="P183" s="10"/>
      <c r="Q183" s="164"/>
      <c r="R183" s="109"/>
    </row>
    <row r="184" spans="1:18" ht="13.5" customHeight="1">
      <c r="A184" s="30">
        <v>178</v>
      </c>
      <c r="B184" s="24">
        <f>DATE('1.연간시수표'!$U$2,'1.연간시수표'!$X$2,'1.연간시수표'!$Z$2)+QUOTIENT(ROW(A178)-1,8)+(QUOTIENT(ROW(A178)-1,40)*2)</f>
        <v>44650</v>
      </c>
      <c r="C184" s="24" t="str">
        <f t="shared" si="6"/>
        <v>수</v>
      </c>
      <c r="D184" s="91" t="str">
        <f t="shared" si="7"/>
        <v>2교시</v>
      </c>
      <c r="E184" s="68">
        <f>COUNTIF($H$7:$H184,$H184)</f>
        <v>12</v>
      </c>
      <c r="F184" s="67">
        <f>'1.연간시수표'!$AL$33</f>
        <v>5</v>
      </c>
      <c r="G184" s="89">
        <f t="shared" si="8"/>
        <v>1</v>
      </c>
      <c r="H184" s="91" t="str">
        <f>INDEX('0.시간표데이터'!$E$10:$AR$32,QUOTIENT(ROW(A178)-1,40)+1,MOD(ROW(A178)-1,40)+1)</f>
        <v>과학</v>
      </c>
      <c r="I184" s="77"/>
      <c r="J184" s="26"/>
      <c r="K184" s="173"/>
      <c r="L184" s="173"/>
      <c r="M184" s="10"/>
      <c r="N184" s="10"/>
      <c r="O184" s="10"/>
      <c r="P184" s="10"/>
      <c r="Q184" s="164"/>
      <c r="R184" s="109"/>
    </row>
    <row r="185" spans="1:18" ht="13.5" customHeight="1">
      <c r="A185" s="30">
        <v>179</v>
      </c>
      <c r="B185" s="24">
        <f>DATE('1.연간시수표'!$U$2,'1.연간시수표'!$X$2,'1.연간시수표'!$Z$2)+QUOTIENT(ROW(A179)-1,8)+(QUOTIENT(ROW(A179)-1,40)*2)</f>
        <v>44650</v>
      </c>
      <c r="C185" s="24" t="str">
        <f t="shared" si="6"/>
        <v>수</v>
      </c>
      <c r="D185" s="91" t="str">
        <f t="shared" si="7"/>
        <v>3교시</v>
      </c>
      <c r="E185" s="68">
        <f>COUNTIF($H$7:$H185,$H185)</f>
        <v>6</v>
      </c>
      <c r="F185" s="67">
        <f>'1.연간시수표'!$AL$33</f>
        <v>5</v>
      </c>
      <c r="G185" s="89">
        <f t="shared" si="8"/>
        <v>1</v>
      </c>
      <c r="H185" s="91" t="str">
        <f>INDEX('0.시간표데이터'!$E$10:$AR$32,QUOTIENT(ROW(A179)-1,40)+1,MOD(ROW(A179)-1,40)+1)</f>
        <v>체육</v>
      </c>
      <c r="I185" s="77"/>
      <c r="J185" s="26"/>
      <c r="K185" s="173"/>
      <c r="L185" s="173"/>
      <c r="M185" s="10"/>
      <c r="N185" s="10"/>
      <c r="O185" s="10"/>
      <c r="P185" s="10"/>
      <c r="Q185" s="164"/>
      <c r="R185" s="109"/>
    </row>
    <row r="186" spans="1:18" ht="13.5" customHeight="1">
      <c r="A186" s="30">
        <v>180</v>
      </c>
      <c r="B186" s="24">
        <f>DATE('1.연간시수표'!$U$2,'1.연간시수표'!$X$2,'1.연간시수표'!$Z$2)+QUOTIENT(ROW(A180)-1,8)+(QUOTIENT(ROW(A180)-1,40)*2)</f>
        <v>44650</v>
      </c>
      <c r="C186" s="24" t="str">
        <f t="shared" si="6"/>
        <v>수</v>
      </c>
      <c r="D186" s="91" t="str">
        <f t="shared" si="7"/>
        <v>4교시</v>
      </c>
      <c r="E186" s="68">
        <f>COUNTIF($H$7:$H186,$H186)</f>
        <v>11</v>
      </c>
      <c r="F186" s="67">
        <f>'1.연간시수표'!$AL$33</f>
        <v>5</v>
      </c>
      <c r="G186" s="89">
        <f t="shared" si="8"/>
        <v>1</v>
      </c>
      <c r="H186" s="91" t="str">
        <f>INDEX('0.시간표데이터'!$E$10:$AR$32,QUOTIENT(ROW(A180)-1,40)+1,MOD(ROW(A180)-1,40)+1)</f>
        <v>음악</v>
      </c>
      <c r="I186" s="77"/>
      <c r="J186" s="26"/>
      <c r="K186" s="173"/>
      <c r="L186" s="173"/>
      <c r="M186" s="10"/>
      <c r="N186" s="10"/>
      <c r="O186" s="10"/>
      <c r="P186" s="10"/>
      <c r="Q186" s="164"/>
      <c r="R186" s="109"/>
    </row>
    <row r="187" spans="1:18">
      <c r="A187" s="30">
        <v>181</v>
      </c>
      <c r="B187" s="24">
        <f>DATE('1.연간시수표'!$U$2,'1.연간시수표'!$X$2,'1.연간시수표'!$Z$2)+QUOTIENT(ROW(A181)-1,8)+(QUOTIENT(ROW(A181)-1,40)*2)</f>
        <v>44650</v>
      </c>
      <c r="C187" s="24" t="str">
        <f t="shared" si="6"/>
        <v>수</v>
      </c>
      <c r="D187" s="91" t="str">
        <f t="shared" si="7"/>
        <v>5교시</v>
      </c>
      <c r="E187" s="68">
        <f>COUNTIF($H$7:$H187,$H187)</f>
        <v>4</v>
      </c>
      <c r="F187" s="67">
        <f>'1.연간시수표'!$AL$33</f>
        <v>5</v>
      </c>
      <c r="G187" s="89">
        <f t="shared" si="8"/>
        <v>1</v>
      </c>
      <c r="H187" s="91" t="str">
        <f>INDEX('0.시간표데이터'!$E$10:$AR$32,QUOTIENT(ROW(A181)-1,40)+1,MOD(ROW(A181)-1,40)+1)</f>
        <v>도덕</v>
      </c>
      <c r="I187" s="77"/>
      <c r="J187" s="26"/>
      <c r="K187" s="173"/>
      <c r="L187" s="178"/>
      <c r="M187" s="10"/>
      <c r="N187" s="10"/>
      <c r="O187" s="10"/>
      <c r="P187" s="10"/>
      <c r="Q187" s="164"/>
      <c r="R187" s="109"/>
    </row>
    <row r="188" spans="1:18" hidden="1">
      <c r="A188" s="30">
        <v>182</v>
      </c>
      <c r="B188" s="24">
        <f>DATE('1.연간시수표'!$U$2,'1.연간시수표'!$X$2,'1.연간시수표'!$Z$2)+QUOTIENT(ROW(A182)-1,8)+(QUOTIENT(ROW(A182)-1,40)*2)</f>
        <v>44650</v>
      </c>
      <c r="C188" s="24" t="str">
        <f t="shared" si="6"/>
        <v>수</v>
      </c>
      <c r="D188" s="91" t="str">
        <f t="shared" si="7"/>
        <v>6교시</v>
      </c>
      <c r="E188" s="68">
        <f>COUNTIF($H$7:$H188,$H188)</f>
        <v>67</v>
      </c>
      <c r="F188" s="67">
        <f>'1.연간시수표'!$AL$33</f>
        <v>5</v>
      </c>
      <c r="G188" s="89">
        <f t="shared" si="8"/>
        <v>1</v>
      </c>
      <c r="H188" s="91" t="str">
        <f>INDEX('0.시간표데이터'!$E$10:$AR$32,QUOTIENT(ROW(A182)-1,40)+1,MOD(ROW(A182)-1,40)+1)</f>
        <v>_</v>
      </c>
      <c r="I188" s="77"/>
      <c r="J188" s="26"/>
      <c r="K188" s="165"/>
      <c r="L188" s="165"/>
      <c r="M188" s="166"/>
      <c r="N188" s="166"/>
      <c r="O188" s="166"/>
      <c r="P188" s="166"/>
      <c r="Q188" s="167"/>
      <c r="R188" s="111"/>
    </row>
    <row r="189" spans="1:18" ht="13.5" hidden="1" customHeight="1">
      <c r="A189" s="30">
        <v>183</v>
      </c>
      <c r="B189" s="24">
        <f>DATE('1.연간시수표'!$U$2,'1.연간시수표'!$X$2,'1.연간시수표'!$Z$2)+QUOTIENT(ROW(A183)-1,8)+(QUOTIENT(ROW(A183)-1,40)*2)</f>
        <v>44650</v>
      </c>
      <c r="C189" s="24" t="str">
        <f t="shared" si="6"/>
        <v>수</v>
      </c>
      <c r="D189" s="91" t="str">
        <f t="shared" si="7"/>
        <v>7교시</v>
      </c>
      <c r="E189" s="68">
        <f>COUNTIF($H$7:$H189,$H189)</f>
        <v>68</v>
      </c>
      <c r="F189" s="67">
        <f>'1.연간시수표'!$AL$33</f>
        <v>5</v>
      </c>
      <c r="G189" s="89">
        <f t="shared" si="8"/>
        <v>1</v>
      </c>
      <c r="H189" s="91" t="str">
        <f>INDEX('0.시간표데이터'!$E$10:$AR$32,QUOTIENT(ROW(A183)-1,40)+1,MOD(ROW(A183)-1,40)+1)</f>
        <v>_</v>
      </c>
      <c r="I189" s="76"/>
      <c r="J189" s="26"/>
      <c r="K189" s="165"/>
      <c r="L189" s="165"/>
      <c r="M189" s="166"/>
      <c r="N189" s="166"/>
      <c r="O189" s="166"/>
      <c r="P189" s="166"/>
      <c r="Q189" s="167"/>
      <c r="R189" s="111"/>
    </row>
    <row r="190" spans="1:18" ht="13.5" hidden="1" customHeight="1">
      <c r="A190" s="30">
        <v>184</v>
      </c>
      <c r="B190" s="24">
        <f>DATE('1.연간시수표'!$U$2,'1.연간시수표'!$X$2,'1.연간시수표'!$Z$2)+QUOTIENT(ROW(A184)-1,8)+(QUOTIENT(ROW(A184)-1,40)*2)</f>
        <v>44650</v>
      </c>
      <c r="C190" s="24" t="str">
        <f t="shared" si="6"/>
        <v>수</v>
      </c>
      <c r="D190" s="91" t="str">
        <f t="shared" si="7"/>
        <v>8교시</v>
      </c>
      <c r="E190" s="68">
        <f>COUNTIF($H$7:$H190,$H190)</f>
        <v>69</v>
      </c>
      <c r="F190" s="67">
        <f>'1.연간시수표'!$AL$33</f>
        <v>5</v>
      </c>
      <c r="G190" s="89">
        <f t="shared" si="8"/>
        <v>1</v>
      </c>
      <c r="H190" s="91" t="str">
        <f>INDEX('0.시간표데이터'!$E$10:$AR$32,QUOTIENT(ROW(A184)-1,40)+1,MOD(ROW(A184)-1,40)+1)</f>
        <v>_</v>
      </c>
      <c r="I190" s="76"/>
      <c r="J190" s="26"/>
      <c r="K190" s="165"/>
      <c r="L190" s="165"/>
      <c r="M190" s="166"/>
      <c r="N190" s="166"/>
      <c r="O190" s="166"/>
      <c r="P190" s="166"/>
      <c r="Q190" s="167"/>
      <c r="R190" s="111"/>
    </row>
    <row r="191" spans="1:18" ht="13.5" hidden="1" customHeight="1">
      <c r="A191" s="30">
        <v>185</v>
      </c>
      <c r="B191" s="24">
        <f>DATE('1.연간시수표'!$U$2,'1.연간시수표'!$X$2,'1.연간시수표'!$Z$2)+QUOTIENT(ROW(A185)-1,8)+(QUOTIENT(ROW(A185)-1,40)*2)</f>
        <v>44651</v>
      </c>
      <c r="C191" s="24" t="str">
        <f t="shared" si="6"/>
        <v>목</v>
      </c>
      <c r="D191" s="91" t="str">
        <f t="shared" si="7"/>
        <v>1교시</v>
      </c>
      <c r="E191" s="68">
        <f>COUNTIF($H$7:$H191,$H191)</f>
        <v>21</v>
      </c>
      <c r="F191" s="67">
        <f>'1.연간시수표'!$AL$33</f>
        <v>5</v>
      </c>
      <c r="G191" s="89">
        <f t="shared" si="8"/>
        <v>1</v>
      </c>
      <c r="H191" s="91" t="str">
        <f>INDEX('0.시간표데이터'!$E$10:$AR$32,QUOTIENT(ROW(A185)-1,40)+1,MOD(ROW(A185)-1,40)+1)</f>
        <v>국어</v>
      </c>
      <c r="I191" s="77"/>
      <c r="J191" s="26"/>
      <c r="K191" s="162"/>
      <c r="L191" s="162"/>
      <c r="M191" s="168"/>
      <c r="N191" s="98"/>
      <c r="O191" s="99"/>
      <c r="P191" s="99"/>
      <c r="Q191" s="167"/>
      <c r="R191" s="111"/>
    </row>
    <row r="192" spans="1:18" ht="13.5" hidden="1" customHeight="1">
      <c r="A192" s="30">
        <v>186</v>
      </c>
      <c r="B192" s="24">
        <f>DATE('1.연간시수표'!$U$2,'1.연간시수표'!$X$2,'1.연간시수표'!$Z$2)+QUOTIENT(ROW(A186)-1,8)+(QUOTIENT(ROW(A186)-1,40)*2)</f>
        <v>44651</v>
      </c>
      <c r="C192" s="24" t="str">
        <f t="shared" si="6"/>
        <v>목</v>
      </c>
      <c r="D192" s="91" t="str">
        <f t="shared" si="7"/>
        <v>2교시</v>
      </c>
      <c r="E192" s="68">
        <f>COUNTIF($H$7:$H192,$H192)</f>
        <v>16</v>
      </c>
      <c r="F192" s="67">
        <f>'1.연간시수표'!$AL$33</f>
        <v>5</v>
      </c>
      <c r="G192" s="89">
        <f t="shared" si="8"/>
        <v>1</v>
      </c>
      <c r="H192" s="91" t="str">
        <f>INDEX('0.시간표데이터'!$E$10:$AR$32,QUOTIENT(ROW(A186)-1,40)+1,MOD(ROW(A186)-1,40)+1)</f>
        <v>수학</v>
      </c>
      <c r="I192" s="161"/>
      <c r="J192" s="26"/>
      <c r="K192" s="165"/>
      <c r="L192" s="165"/>
      <c r="M192" s="166"/>
      <c r="N192" s="166"/>
      <c r="O192" s="166"/>
      <c r="P192" s="166"/>
      <c r="Q192" s="167"/>
      <c r="R192" s="111"/>
    </row>
    <row r="193" spans="1:18" ht="13.5" customHeight="1">
      <c r="A193" s="30">
        <v>187</v>
      </c>
      <c r="B193" s="24">
        <f>DATE('1.연간시수표'!$U$2,'1.연간시수표'!$X$2,'1.연간시수표'!$Z$2)+QUOTIENT(ROW(A187)-1,8)+(QUOTIENT(ROW(A187)-1,40)*2)</f>
        <v>44651</v>
      </c>
      <c r="C193" s="24" t="str">
        <f t="shared" si="6"/>
        <v>목</v>
      </c>
      <c r="D193" s="91" t="str">
        <f t="shared" si="7"/>
        <v>3교시</v>
      </c>
      <c r="E193" s="68">
        <f>COUNTIF($H$7:$H193,$H193)</f>
        <v>12</v>
      </c>
      <c r="F193" s="67">
        <f>'1.연간시수표'!$AL$33</f>
        <v>5</v>
      </c>
      <c r="G193" s="89">
        <f t="shared" si="8"/>
        <v>1</v>
      </c>
      <c r="H193" s="91" t="str">
        <f>INDEX('0.시간표데이터'!$E$10:$AR$32,QUOTIENT(ROW(A187)-1,40)+1,MOD(ROW(A187)-1,40)+1)</f>
        <v>사회</v>
      </c>
      <c r="I193" s="77"/>
      <c r="J193" s="26"/>
      <c r="K193" s="173"/>
      <c r="L193" s="173"/>
      <c r="M193" s="10"/>
      <c r="N193" s="10"/>
      <c r="O193" s="10"/>
      <c r="P193" s="10"/>
      <c r="Q193" s="164"/>
      <c r="R193" s="109"/>
    </row>
    <row r="194" spans="1:18" ht="13.5" customHeight="1">
      <c r="A194" s="30">
        <v>188</v>
      </c>
      <c r="B194" s="24">
        <f>DATE('1.연간시수표'!$U$2,'1.연간시수표'!$X$2,'1.연간시수표'!$Z$2)+QUOTIENT(ROW(A188)-1,8)+(QUOTIENT(ROW(A188)-1,40)*2)</f>
        <v>44651</v>
      </c>
      <c r="C194" s="24" t="str">
        <f t="shared" si="6"/>
        <v>목</v>
      </c>
      <c r="D194" s="91" t="str">
        <f t="shared" si="7"/>
        <v>4교시</v>
      </c>
      <c r="E194" s="68">
        <f>COUNTIF($H$7:$H194,$H194)</f>
        <v>11</v>
      </c>
      <c r="F194" s="67">
        <f>'1.연간시수표'!$AL$33</f>
        <v>5</v>
      </c>
      <c r="G194" s="89">
        <f t="shared" si="8"/>
        <v>1</v>
      </c>
      <c r="H194" s="91" t="str">
        <f>INDEX('0.시간표데이터'!$E$10:$AR$32,QUOTIENT(ROW(A188)-1,40)+1,MOD(ROW(A188)-1,40)+1)</f>
        <v>영어</v>
      </c>
      <c r="I194" s="77"/>
      <c r="J194" s="26"/>
      <c r="K194" s="173"/>
      <c r="L194" s="173"/>
      <c r="M194" s="10"/>
      <c r="N194" s="10"/>
      <c r="O194" s="10"/>
      <c r="P194" s="10"/>
      <c r="Q194" s="164"/>
      <c r="R194" s="109"/>
    </row>
    <row r="195" spans="1:18" ht="13.5" hidden="1" customHeight="1">
      <c r="A195" s="30">
        <v>189</v>
      </c>
      <c r="B195" s="24">
        <f>DATE('1.연간시수표'!$U$2,'1.연간시수표'!$X$2,'1.연간시수표'!$Z$2)+QUOTIENT(ROW(A189)-1,8)+(QUOTIENT(ROW(A189)-1,40)*2)</f>
        <v>44651</v>
      </c>
      <c r="C195" s="24" t="str">
        <f t="shared" si="6"/>
        <v>목</v>
      </c>
      <c r="D195" s="91" t="str">
        <f t="shared" si="7"/>
        <v>5교시</v>
      </c>
      <c r="E195" s="68">
        <f>COUNTIF($H$7:$H195,$H195)</f>
        <v>13</v>
      </c>
      <c r="F195" s="67">
        <f>'1.연간시수표'!$AL$33</f>
        <v>5</v>
      </c>
      <c r="G195" s="89">
        <f t="shared" si="8"/>
        <v>1</v>
      </c>
      <c r="H195" s="91" t="str">
        <f>INDEX('0.시간표데이터'!$E$10:$AR$32,QUOTIENT(ROW(A189)-1,40)+1,MOD(ROW(A189)-1,40)+1)</f>
        <v>과학</v>
      </c>
      <c r="I195" s="77"/>
      <c r="J195" s="26"/>
      <c r="K195" s="162"/>
      <c r="L195" s="162"/>
      <c r="M195" s="170"/>
      <c r="N195" s="98"/>
      <c r="O195" s="98"/>
      <c r="P195" s="98"/>
      <c r="Q195" s="167"/>
      <c r="R195" s="111"/>
    </row>
    <row r="196" spans="1:18" ht="13.5" hidden="1" customHeight="1">
      <c r="A196" s="30">
        <v>190</v>
      </c>
      <c r="B196" s="24">
        <f>DATE('1.연간시수표'!$U$2,'1.연간시수표'!$X$2,'1.연간시수표'!$Z$2)+QUOTIENT(ROW(A190)-1,8)+(QUOTIENT(ROW(A190)-1,40)*2)</f>
        <v>44651</v>
      </c>
      <c r="C196" s="24" t="str">
        <f t="shared" si="6"/>
        <v>목</v>
      </c>
      <c r="D196" s="91" t="str">
        <f t="shared" si="7"/>
        <v>6교시</v>
      </c>
      <c r="E196" s="68">
        <f>COUNTIF($H$7:$H196,$H196)</f>
        <v>12</v>
      </c>
      <c r="F196" s="67">
        <f>'1.연간시수표'!$AL$33</f>
        <v>5</v>
      </c>
      <c r="G196" s="89">
        <f t="shared" si="8"/>
        <v>1</v>
      </c>
      <c r="H196" s="91" t="str">
        <f>INDEX('0.시간표데이터'!$E$10:$AR$32,QUOTIENT(ROW(A190)-1,40)+1,MOD(ROW(A190)-1,40)+1)</f>
        <v>음악</v>
      </c>
      <c r="I196" s="161"/>
      <c r="J196" s="26"/>
      <c r="K196" s="162"/>
      <c r="L196" s="162"/>
      <c r="M196" s="170"/>
      <c r="N196" s="98"/>
      <c r="O196" s="98"/>
      <c r="P196" s="98"/>
      <c r="Q196" s="167"/>
      <c r="R196" s="111"/>
    </row>
    <row r="197" spans="1:18" ht="13.5" hidden="1" customHeight="1">
      <c r="A197" s="30">
        <v>191</v>
      </c>
      <c r="B197" s="24">
        <f>DATE('1.연간시수표'!$U$2,'1.연간시수표'!$X$2,'1.연간시수표'!$Z$2)+QUOTIENT(ROW(A191)-1,8)+(QUOTIENT(ROW(A191)-1,40)*2)</f>
        <v>44651</v>
      </c>
      <c r="C197" s="24" t="str">
        <f t="shared" si="6"/>
        <v>목</v>
      </c>
      <c r="D197" s="91" t="str">
        <f t="shared" si="7"/>
        <v>7교시</v>
      </c>
      <c r="E197" s="68">
        <f>COUNTIF($H$7:$H197,$H197)</f>
        <v>70</v>
      </c>
      <c r="F197" s="67">
        <f>'1.연간시수표'!$AL$33</f>
        <v>5</v>
      </c>
      <c r="G197" s="89">
        <f t="shared" si="8"/>
        <v>1</v>
      </c>
      <c r="H197" s="91" t="str">
        <f>INDEX('0.시간표데이터'!$E$10:$AR$32,QUOTIENT(ROW(A191)-1,40)+1,MOD(ROW(A191)-1,40)+1)</f>
        <v>_</v>
      </c>
      <c r="I197" s="76"/>
      <c r="J197" s="26"/>
      <c r="K197" s="165"/>
      <c r="L197" s="165"/>
      <c r="M197" s="166"/>
      <c r="N197" s="166"/>
      <c r="O197" s="166"/>
      <c r="P197" s="166"/>
      <c r="Q197" s="167"/>
      <c r="R197" s="111"/>
    </row>
    <row r="198" spans="1:18" ht="13.5" hidden="1" customHeight="1">
      <c r="A198" s="30">
        <v>192</v>
      </c>
      <c r="B198" s="24">
        <f>DATE('1.연간시수표'!$U$2,'1.연간시수표'!$X$2,'1.연간시수표'!$Z$2)+QUOTIENT(ROW(A192)-1,8)+(QUOTIENT(ROW(A192)-1,40)*2)</f>
        <v>44651</v>
      </c>
      <c r="C198" s="24" t="str">
        <f t="shared" si="6"/>
        <v>목</v>
      </c>
      <c r="D198" s="91" t="str">
        <f t="shared" si="7"/>
        <v>8교시</v>
      </c>
      <c r="E198" s="68">
        <f>COUNTIF($H$7:$H198,$H198)</f>
        <v>71</v>
      </c>
      <c r="F198" s="67">
        <f>'1.연간시수표'!$AL$33</f>
        <v>5</v>
      </c>
      <c r="G198" s="89">
        <f t="shared" si="8"/>
        <v>1</v>
      </c>
      <c r="H198" s="91" t="str">
        <f>INDEX('0.시간표데이터'!$E$10:$AR$32,QUOTIENT(ROW(A192)-1,40)+1,MOD(ROW(A192)-1,40)+1)</f>
        <v>_</v>
      </c>
      <c r="I198" s="76"/>
      <c r="J198" s="26"/>
      <c r="K198" s="165"/>
      <c r="L198" s="165"/>
      <c r="M198" s="166"/>
      <c r="N198" s="166"/>
      <c r="O198" s="166"/>
      <c r="P198" s="166"/>
      <c r="Q198" s="167"/>
      <c r="R198" s="111"/>
    </row>
    <row r="199" spans="1:18" ht="13.5" hidden="1" customHeight="1">
      <c r="A199" s="30">
        <v>193</v>
      </c>
      <c r="B199" s="24">
        <f>DATE('1.연간시수표'!$U$2,'1.연간시수표'!$X$2,'1.연간시수표'!$Z$2)+QUOTIENT(ROW(A193)-1,8)+(QUOTIENT(ROW(A193)-1,40)*2)</f>
        <v>44652</v>
      </c>
      <c r="C199" s="24" t="str">
        <f t="shared" ref="C199:C262" si="9">IF(WEEKDAY(B199,2)=1,"월",IF(WEEKDAY(B199,2)=2,"화",IF(WEEKDAY(B199,2)=3,"수",IF(WEEKDAY(B199,2)=4,"목",IF(WEEKDAY(B199,2)=5,"금")))))</f>
        <v>금</v>
      </c>
      <c r="D199" s="91" t="str">
        <f t="shared" ref="D199:D262" si="10">TEXT(MOD(ROW(A193)-1,8)+1,"#교시")</f>
        <v>1교시</v>
      </c>
      <c r="E199" s="68">
        <f>COUNTIF($H$7:$H199,$H199)</f>
        <v>10</v>
      </c>
      <c r="F199" s="67">
        <f>'1.연간시수표'!$AL$33</f>
        <v>5</v>
      </c>
      <c r="G199" s="89">
        <f t="shared" ref="G199:G262" si="11">$A$2</f>
        <v>1</v>
      </c>
      <c r="H199" s="91" t="str">
        <f>INDEX('0.시간표데이터'!$E$10:$AR$32,QUOTIENT(ROW(A193)-1,40)+1,MOD(ROW(A193)-1,40)+1)</f>
        <v>자율활동</v>
      </c>
      <c r="I199" s="77"/>
      <c r="J199" s="26"/>
      <c r="K199" s="162"/>
      <c r="L199" s="162"/>
      <c r="M199" s="168"/>
      <c r="N199" s="98"/>
      <c r="O199" s="99"/>
      <c r="P199" s="99"/>
      <c r="Q199" s="167"/>
      <c r="R199" s="111"/>
    </row>
    <row r="200" spans="1:18" ht="13.5" hidden="1" customHeight="1">
      <c r="A200" s="30">
        <v>194</v>
      </c>
      <c r="B200" s="24">
        <f>DATE('1.연간시수표'!$U$2,'1.연간시수표'!$X$2,'1.연간시수표'!$Z$2)+QUOTIENT(ROW(A194)-1,8)+(QUOTIENT(ROW(A194)-1,40)*2)</f>
        <v>44652</v>
      </c>
      <c r="C200" s="24" t="str">
        <f t="shared" si="9"/>
        <v>금</v>
      </c>
      <c r="D200" s="91" t="str">
        <f t="shared" si="10"/>
        <v>2교시</v>
      </c>
      <c r="E200" s="68">
        <f>COUNTIF($H$7:$H200,$H200)</f>
        <v>7</v>
      </c>
      <c r="F200" s="67">
        <f>'1.연간시수표'!$AL$33</f>
        <v>5</v>
      </c>
      <c r="G200" s="89">
        <f t="shared" si="11"/>
        <v>1</v>
      </c>
      <c r="H200" s="91" t="str">
        <f>INDEX('0.시간표데이터'!$E$10:$AR$32,QUOTIENT(ROW(A194)-1,40)+1,MOD(ROW(A194)-1,40)+1)</f>
        <v>체육</v>
      </c>
      <c r="I200" s="77"/>
      <c r="J200" s="26"/>
      <c r="K200" s="162"/>
      <c r="L200" s="162"/>
      <c r="M200" s="168"/>
      <c r="N200" s="98"/>
      <c r="O200" s="99"/>
      <c r="P200" s="99"/>
      <c r="Q200" s="167"/>
      <c r="R200" s="111"/>
    </row>
    <row r="201" spans="1:18" ht="13.5" hidden="1" customHeight="1">
      <c r="A201" s="30">
        <v>195</v>
      </c>
      <c r="B201" s="24">
        <f>DATE('1.연간시수표'!$U$2,'1.연간시수표'!$X$2,'1.연간시수표'!$Z$2)+QUOTIENT(ROW(A195)-1,8)+(QUOTIENT(ROW(A195)-1,40)*2)</f>
        <v>44652</v>
      </c>
      <c r="C201" s="24" t="str">
        <f t="shared" si="9"/>
        <v>금</v>
      </c>
      <c r="D201" s="91" t="str">
        <f t="shared" si="10"/>
        <v>3교시</v>
      </c>
      <c r="E201" s="68">
        <f>COUNTIF($H$7:$H201,$H201)</f>
        <v>17</v>
      </c>
      <c r="F201" s="67">
        <f>'1.연간시수표'!$AL$33</f>
        <v>5</v>
      </c>
      <c r="G201" s="89">
        <f t="shared" si="11"/>
        <v>1</v>
      </c>
      <c r="H201" s="91" t="str">
        <f>INDEX('0.시간표데이터'!$E$10:$AR$32,QUOTIENT(ROW(A195)-1,40)+1,MOD(ROW(A195)-1,40)+1)</f>
        <v>수학</v>
      </c>
      <c r="I201" s="77"/>
      <c r="J201" s="26"/>
      <c r="K201" s="165"/>
      <c r="L201" s="165"/>
      <c r="M201" s="166"/>
      <c r="N201" s="166"/>
      <c r="O201" s="166"/>
      <c r="P201" s="166"/>
      <c r="Q201" s="167"/>
      <c r="R201" s="111"/>
    </row>
    <row r="202" spans="1:18" ht="13.5" hidden="1" customHeight="1">
      <c r="A202" s="30">
        <v>196</v>
      </c>
      <c r="B202" s="24">
        <f>DATE('1.연간시수표'!$U$2,'1.연간시수표'!$X$2,'1.연간시수표'!$Z$2)+QUOTIENT(ROW(A196)-1,8)+(QUOTIENT(ROW(A196)-1,40)*2)</f>
        <v>44652</v>
      </c>
      <c r="C202" s="24" t="str">
        <f t="shared" si="9"/>
        <v>금</v>
      </c>
      <c r="D202" s="91" t="str">
        <f t="shared" si="10"/>
        <v>4교시</v>
      </c>
      <c r="E202" s="68">
        <f>COUNTIF($H$7:$H202,$H202)</f>
        <v>22</v>
      </c>
      <c r="F202" s="67">
        <f>'1.연간시수표'!$AL$33</f>
        <v>5</v>
      </c>
      <c r="G202" s="89">
        <f t="shared" si="11"/>
        <v>1</v>
      </c>
      <c r="H202" s="91" t="str">
        <f>INDEX('0.시간표데이터'!$E$10:$AR$32,QUOTIENT(ROW(A196)-1,40)+1,MOD(ROW(A196)-1,40)+1)</f>
        <v>국어</v>
      </c>
      <c r="I202" s="77"/>
      <c r="J202" s="26"/>
      <c r="K202" s="162"/>
      <c r="L202" s="162"/>
      <c r="M202" s="172"/>
      <c r="N202" s="101"/>
      <c r="O202" s="99"/>
      <c r="P202" s="99"/>
      <c r="Q202" s="167"/>
      <c r="R202" s="111"/>
    </row>
    <row r="203" spans="1:18" ht="13.5" customHeight="1">
      <c r="A203" s="30">
        <v>197</v>
      </c>
      <c r="B203" s="24">
        <f>DATE('1.연간시수표'!$U$2,'1.연간시수표'!$X$2,'1.연간시수표'!$Z$2)+QUOTIENT(ROW(A197)-1,8)+(QUOTIENT(ROW(A197)-1,40)*2)</f>
        <v>44652</v>
      </c>
      <c r="C203" s="24" t="str">
        <f t="shared" si="9"/>
        <v>금</v>
      </c>
      <c r="D203" s="91" t="str">
        <f t="shared" si="10"/>
        <v>5교시</v>
      </c>
      <c r="E203" s="68">
        <f>COUNTIF($H$7:$H203,$H203)</f>
        <v>13</v>
      </c>
      <c r="F203" s="67">
        <f>'1.연간시수표'!$AL$33</f>
        <v>5</v>
      </c>
      <c r="G203" s="89">
        <f t="shared" si="11"/>
        <v>1</v>
      </c>
      <c r="H203" s="91" t="str">
        <f>INDEX('0.시간표데이터'!$E$10:$AR$32,QUOTIENT(ROW(A197)-1,40)+1,MOD(ROW(A197)-1,40)+1)</f>
        <v>사회</v>
      </c>
      <c r="I203" s="77"/>
      <c r="J203" s="26"/>
      <c r="K203" s="173"/>
      <c r="L203" s="173"/>
      <c r="M203" s="179"/>
      <c r="N203" s="112"/>
      <c r="O203" s="112"/>
      <c r="P203" s="112"/>
      <c r="Q203" s="164"/>
      <c r="R203" s="110"/>
    </row>
    <row r="204" spans="1:18" ht="13.5" hidden="1" customHeight="1">
      <c r="A204" s="30">
        <v>198</v>
      </c>
      <c r="B204" s="24">
        <f>DATE('1.연간시수표'!$U$2,'1.연간시수표'!$X$2,'1.연간시수표'!$Z$2)+QUOTIENT(ROW(A198)-1,8)+(QUOTIENT(ROW(A198)-1,40)*2)</f>
        <v>44652</v>
      </c>
      <c r="C204" s="24" t="str">
        <f t="shared" si="9"/>
        <v>금</v>
      </c>
      <c r="D204" s="91" t="str">
        <f t="shared" si="10"/>
        <v>6교시</v>
      </c>
      <c r="E204" s="68">
        <f>COUNTIF($H$7:$H204,$H204)</f>
        <v>8</v>
      </c>
      <c r="F204" s="67">
        <f>'1.연간시수표'!$AL$33</f>
        <v>5</v>
      </c>
      <c r="G204" s="89">
        <f t="shared" si="11"/>
        <v>1</v>
      </c>
      <c r="H204" s="91" t="str">
        <f>INDEX('0.시간표데이터'!$E$10:$AR$32,QUOTIENT(ROW(A198)-1,40)+1,MOD(ROW(A198)-1,40)+1)</f>
        <v>실과</v>
      </c>
      <c r="I204" s="77"/>
      <c r="J204" s="26"/>
      <c r="K204" s="165"/>
      <c r="L204" s="165"/>
      <c r="M204" s="166"/>
      <c r="N204" s="166"/>
      <c r="O204" s="166"/>
      <c r="P204" s="166"/>
      <c r="Q204" s="167"/>
      <c r="R204" s="111"/>
    </row>
    <row r="205" spans="1:18" ht="13.5" hidden="1" customHeight="1">
      <c r="A205" s="30">
        <v>199</v>
      </c>
      <c r="B205" s="24">
        <f>DATE('1.연간시수표'!$U$2,'1.연간시수표'!$X$2,'1.연간시수표'!$Z$2)+QUOTIENT(ROW(A199)-1,8)+(QUOTIENT(ROW(A199)-1,40)*2)</f>
        <v>44652</v>
      </c>
      <c r="C205" s="24" t="str">
        <f t="shared" si="9"/>
        <v>금</v>
      </c>
      <c r="D205" s="91" t="str">
        <f t="shared" si="10"/>
        <v>7교시</v>
      </c>
      <c r="E205" s="68">
        <f>COUNTIF($H$7:$H205,$H205)</f>
        <v>72</v>
      </c>
      <c r="F205" s="67">
        <f>'1.연간시수표'!$AL$33</f>
        <v>5</v>
      </c>
      <c r="G205" s="89">
        <f t="shared" si="11"/>
        <v>1</v>
      </c>
      <c r="H205" s="91" t="str">
        <f>INDEX('0.시간표데이터'!$E$10:$AR$32,QUOTIENT(ROW(A199)-1,40)+1,MOD(ROW(A199)-1,40)+1)</f>
        <v>_</v>
      </c>
      <c r="I205" s="76"/>
      <c r="J205" s="26"/>
      <c r="K205" s="165"/>
      <c r="L205" s="165"/>
      <c r="M205" s="166"/>
      <c r="N205" s="166"/>
      <c r="O205" s="166"/>
      <c r="P205" s="166"/>
      <c r="Q205" s="167"/>
      <c r="R205" s="111"/>
    </row>
    <row r="206" spans="1:18" ht="13.5" hidden="1" customHeight="1">
      <c r="A206" s="30">
        <v>200</v>
      </c>
      <c r="B206" s="24">
        <f>DATE('1.연간시수표'!$U$2,'1.연간시수표'!$X$2,'1.연간시수표'!$Z$2)+QUOTIENT(ROW(A200)-1,8)+(QUOTIENT(ROW(A200)-1,40)*2)</f>
        <v>44652</v>
      </c>
      <c r="C206" s="24" t="str">
        <f t="shared" si="9"/>
        <v>금</v>
      </c>
      <c r="D206" s="91" t="str">
        <f t="shared" si="10"/>
        <v>8교시</v>
      </c>
      <c r="E206" s="68">
        <f>COUNTIF($H$7:$H206,$H206)</f>
        <v>73</v>
      </c>
      <c r="F206" s="67">
        <f>'1.연간시수표'!$AL$33</f>
        <v>5</v>
      </c>
      <c r="G206" s="89">
        <f t="shared" si="11"/>
        <v>1</v>
      </c>
      <c r="H206" s="91" t="str">
        <f>INDEX('0.시간표데이터'!$E$10:$AR$32,QUOTIENT(ROW(A200)-1,40)+1,MOD(ROW(A200)-1,40)+1)</f>
        <v>_</v>
      </c>
      <c r="I206" s="76"/>
      <c r="J206" s="26"/>
      <c r="K206" s="165"/>
      <c r="L206" s="165"/>
      <c r="M206" s="166"/>
      <c r="N206" s="166"/>
      <c r="O206" s="166"/>
      <c r="P206" s="166"/>
      <c r="Q206" s="167"/>
      <c r="R206" s="111"/>
    </row>
    <row r="207" spans="1:18" ht="13.5" hidden="1" customHeight="1">
      <c r="A207" s="30">
        <v>201</v>
      </c>
      <c r="B207" s="24">
        <f>DATE('1.연간시수표'!$U$2,'1.연간시수표'!$X$2,'1.연간시수표'!$Z$2)+QUOTIENT(ROW(A201)-1,8)+(QUOTIENT(ROW(A201)-1,40)*2)</f>
        <v>44655</v>
      </c>
      <c r="C207" s="24" t="str">
        <f t="shared" si="9"/>
        <v>월</v>
      </c>
      <c r="D207" s="91" t="str">
        <f t="shared" si="10"/>
        <v>1교시</v>
      </c>
      <c r="E207" s="68">
        <f>COUNTIF($H$7:$H207,$H207)</f>
        <v>23</v>
      </c>
      <c r="F207" s="67">
        <f>'1.연간시수표'!$AL$33</f>
        <v>5</v>
      </c>
      <c r="G207" s="89">
        <f t="shared" si="11"/>
        <v>1</v>
      </c>
      <c r="H207" s="91" t="str">
        <f>INDEX('0.시간표데이터'!$E$10:$AR$32,QUOTIENT(ROW(A201)-1,40)+1,MOD(ROW(A201)-1,40)+1)</f>
        <v>국어</v>
      </c>
      <c r="I207" s="77"/>
      <c r="J207" s="26"/>
      <c r="K207" s="162"/>
      <c r="L207" s="162"/>
      <c r="M207" s="168"/>
      <c r="N207" s="99"/>
      <c r="O207" s="99"/>
      <c r="P207" s="99"/>
      <c r="Q207" s="167"/>
      <c r="R207" s="111"/>
    </row>
    <row r="208" spans="1:18" ht="13.5" hidden="1" customHeight="1">
      <c r="A208" s="30">
        <v>202</v>
      </c>
      <c r="B208" s="24">
        <f>DATE('1.연간시수표'!$U$2,'1.연간시수표'!$X$2,'1.연간시수표'!$Z$2)+QUOTIENT(ROW(A202)-1,8)+(QUOTIENT(ROW(A202)-1,40)*2)</f>
        <v>44655</v>
      </c>
      <c r="C208" s="24" t="str">
        <f t="shared" si="9"/>
        <v>월</v>
      </c>
      <c r="D208" s="91" t="str">
        <f t="shared" si="10"/>
        <v>2교시</v>
      </c>
      <c r="E208" s="68">
        <f>COUNTIF($H$7:$H208,$H208)</f>
        <v>9</v>
      </c>
      <c r="F208" s="67">
        <f>'1.연간시수표'!$AL$33</f>
        <v>5</v>
      </c>
      <c r="G208" s="89">
        <f t="shared" si="11"/>
        <v>1</v>
      </c>
      <c r="H208" s="91" t="str">
        <f>INDEX('0.시간표데이터'!$E$10:$AR$32,QUOTIENT(ROW(A202)-1,40)+1,MOD(ROW(A202)-1,40)+1)</f>
        <v>미술</v>
      </c>
      <c r="I208" s="161"/>
      <c r="J208" s="26"/>
      <c r="K208" s="165"/>
      <c r="L208" s="165"/>
      <c r="M208" s="166"/>
      <c r="N208" s="166"/>
      <c r="O208" s="166"/>
      <c r="P208" s="166"/>
      <c r="Q208" s="167"/>
      <c r="R208" s="111"/>
    </row>
    <row r="209" spans="1:18" ht="13.5" hidden="1" customHeight="1">
      <c r="A209" s="30">
        <v>203</v>
      </c>
      <c r="B209" s="24">
        <f>DATE('1.연간시수표'!$U$2,'1.연간시수표'!$X$2,'1.연간시수표'!$Z$2)+QUOTIENT(ROW(A203)-1,8)+(QUOTIENT(ROW(A203)-1,40)*2)</f>
        <v>44655</v>
      </c>
      <c r="C209" s="24" t="str">
        <f t="shared" si="9"/>
        <v>월</v>
      </c>
      <c r="D209" s="91" t="str">
        <f t="shared" si="10"/>
        <v>3교시</v>
      </c>
      <c r="E209" s="68">
        <f>COUNTIF($H$7:$H209,$H209)</f>
        <v>10</v>
      </c>
      <c r="F209" s="67">
        <f>'1.연간시수표'!$AL$33</f>
        <v>5</v>
      </c>
      <c r="G209" s="89">
        <f t="shared" si="11"/>
        <v>1</v>
      </c>
      <c r="H209" s="91" t="str">
        <f>INDEX('0.시간표데이터'!$E$10:$AR$32,QUOTIENT(ROW(A203)-1,40)+1,MOD(ROW(A203)-1,40)+1)</f>
        <v>미술</v>
      </c>
      <c r="I209" s="77"/>
      <c r="J209" s="26"/>
      <c r="K209" s="162"/>
      <c r="L209" s="162"/>
      <c r="M209" s="169"/>
      <c r="N209" s="101"/>
      <c r="O209" s="99"/>
      <c r="P209" s="99"/>
      <c r="Q209" s="167"/>
      <c r="R209" s="111"/>
    </row>
    <row r="210" spans="1:18" ht="13.5" hidden="1" customHeight="1">
      <c r="A210" s="30">
        <v>204</v>
      </c>
      <c r="B210" s="24">
        <f>DATE('1.연간시수표'!$U$2,'1.연간시수표'!$X$2,'1.연간시수표'!$Z$2)+QUOTIENT(ROW(A204)-1,8)+(QUOTIENT(ROW(A204)-1,40)*2)</f>
        <v>44655</v>
      </c>
      <c r="C210" s="24" t="str">
        <f t="shared" si="9"/>
        <v>월</v>
      </c>
      <c r="D210" s="91" t="str">
        <f t="shared" si="10"/>
        <v>4교시</v>
      </c>
      <c r="E210" s="68">
        <f>COUNTIF($H$7:$H210,$H210)</f>
        <v>12</v>
      </c>
      <c r="F210" s="67">
        <f>'1.연간시수표'!$AL$33</f>
        <v>5</v>
      </c>
      <c r="G210" s="89">
        <f t="shared" si="11"/>
        <v>1</v>
      </c>
      <c r="H210" s="91" t="str">
        <f>INDEX('0.시간표데이터'!$E$10:$AR$32,QUOTIENT(ROW(A204)-1,40)+1,MOD(ROW(A204)-1,40)+1)</f>
        <v>영어</v>
      </c>
      <c r="I210" s="77"/>
      <c r="J210" s="26"/>
      <c r="K210" s="162"/>
      <c r="L210" s="162"/>
      <c r="M210" s="169"/>
      <c r="N210" s="101"/>
      <c r="O210" s="99"/>
      <c r="P210" s="99"/>
      <c r="Q210" s="167"/>
      <c r="R210" s="111"/>
    </row>
    <row r="211" spans="1:18" ht="13.5" hidden="1" customHeight="1">
      <c r="A211" s="30">
        <v>205</v>
      </c>
      <c r="B211" s="24">
        <f>DATE('1.연간시수표'!$U$2,'1.연간시수표'!$X$2,'1.연간시수표'!$Z$2)+QUOTIENT(ROW(A205)-1,8)+(QUOTIENT(ROW(A205)-1,40)*2)</f>
        <v>44655</v>
      </c>
      <c r="C211" s="24" t="str">
        <f t="shared" si="9"/>
        <v>월</v>
      </c>
      <c r="D211" s="91" t="str">
        <f t="shared" si="10"/>
        <v>5교시</v>
      </c>
      <c r="E211" s="68">
        <f>COUNTIF($H$7:$H211,$H211)</f>
        <v>18</v>
      </c>
      <c r="F211" s="67">
        <f>'1.연간시수표'!$AL$33</f>
        <v>5</v>
      </c>
      <c r="G211" s="89">
        <f t="shared" si="11"/>
        <v>1</v>
      </c>
      <c r="H211" s="91" t="str">
        <f>INDEX('0.시간표데이터'!$E$10:$AR$32,QUOTIENT(ROW(A205)-1,40)+1,MOD(ROW(A205)-1,40)+1)</f>
        <v>수학</v>
      </c>
      <c r="I211" s="77"/>
      <c r="J211" s="26"/>
      <c r="K211" s="162"/>
      <c r="L211" s="162"/>
      <c r="M211" s="168"/>
      <c r="N211" s="98"/>
      <c r="O211" s="99"/>
      <c r="P211" s="99"/>
      <c r="Q211" s="167"/>
      <c r="R211" s="111"/>
    </row>
    <row r="212" spans="1:18" ht="13.5" hidden="1" customHeight="1">
      <c r="A212" s="30">
        <v>206</v>
      </c>
      <c r="B212" s="24">
        <f>DATE('1.연간시수표'!$U$2,'1.연간시수표'!$X$2,'1.연간시수표'!$Z$2)+QUOTIENT(ROW(A206)-1,8)+(QUOTIENT(ROW(A206)-1,40)*2)</f>
        <v>44655</v>
      </c>
      <c r="C212" s="24" t="str">
        <f t="shared" si="9"/>
        <v>월</v>
      </c>
      <c r="D212" s="91" t="str">
        <f t="shared" si="10"/>
        <v>6교시</v>
      </c>
      <c r="E212" s="68">
        <f>COUNTIF($H$7:$H212,$H212)</f>
        <v>11</v>
      </c>
      <c r="F212" s="67">
        <f>'1.연간시수표'!$AL$33</f>
        <v>5</v>
      </c>
      <c r="G212" s="89">
        <f t="shared" si="11"/>
        <v>1</v>
      </c>
      <c r="H212" s="91" t="str">
        <f>INDEX('0.시간표데이터'!$E$10:$AR$32,QUOTIENT(ROW(A206)-1,40)+1,MOD(ROW(A206)-1,40)+1)</f>
        <v>자율활동</v>
      </c>
      <c r="I212" s="77"/>
      <c r="J212" s="26"/>
      <c r="K212" s="165"/>
      <c r="L212" s="165"/>
      <c r="M212" s="166"/>
      <c r="N212" s="166"/>
      <c r="O212" s="166"/>
      <c r="P212" s="166"/>
      <c r="Q212" s="167"/>
      <c r="R212" s="111"/>
    </row>
    <row r="213" spans="1:18" ht="13.5" hidden="1" customHeight="1">
      <c r="A213" s="30">
        <v>207</v>
      </c>
      <c r="B213" s="24">
        <f>DATE('1.연간시수표'!$U$2,'1.연간시수표'!$X$2,'1.연간시수표'!$Z$2)+QUOTIENT(ROW(A207)-1,8)+(QUOTIENT(ROW(A207)-1,40)*2)</f>
        <v>44655</v>
      </c>
      <c r="C213" s="24" t="str">
        <f t="shared" si="9"/>
        <v>월</v>
      </c>
      <c r="D213" s="91" t="str">
        <f t="shared" si="10"/>
        <v>7교시</v>
      </c>
      <c r="E213" s="68">
        <f>COUNTIF($H$7:$H213,$H213)</f>
        <v>74</v>
      </c>
      <c r="F213" s="67">
        <f>'1.연간시수표'!$AL$33</f>
        <v>5</v>
      </c>
      <c r="G213" s="89">
        <f t="shared" si="11"/>
        <v>1</v>
      </c>
      <c r="H213" s="91" t="str">
        <f>INDEX('0.시간표데이터'!$E$10:$AR$32,QUOTIENT(ROW(A207)-1,40)+1,MOD(ROW(A207)-1,40)+1)</f>
        <v>_</v>
      </c>
      <c r="I213" s="76"/>
      <c r="J213" s="26"/>
      <c r="K213" s="165"/>
      <c r="L213" s="165"/>
      <c r="M213" s="166"/>
      <c r="N213" s="166"/>
      <c r="O213" s="166"/>
      <c r="P213" s="166"/>
      <c r="Q213" s="167"/>
      <c r="R213" s="111"/>
    </row>
    <row r="214" spans="1:18" ht="13.5" hidden="1" customHeight="1">
      <c r="A214" s="30">
        <v>208</v>
      </c>
      <c r="B214" s="24">
        <f>DATE('1.연간시수표'!$U$2,'1.연간시수표'!$X$2,'1.연간시수표'!$Z$2)+QUOTIENT(ROW(A208)-1,8)+(QUOTIENT(ROW(A208)-1,40)*2)</f>
        <v>44655</v>
      </c>
      <c r="C214" s="24" t="str">
        <f t="shared" si="9"/>
        <v>월</v>
      </c>
      <c r="D214" s="91" t="str">
        <f t="shared" si="10"/>
        <v>8교시</v>
      </c>
      <c r="E214" s="68">
        <f>COUNTIF($H$7:$H214,$H214)</f>
        <v>75</v>
      </c>
      <c r="F214" s="67">
        <f>'1.연간시수표'!$AL$33</f>
        <v>5</v>
      </c>
      <c r="G214" s="89">
        <f t="shared" si="11"/>
        <v>1</v>
      </c>
      <c r="H214" s="91" t="str">
        <f>INDEX('0.시간표데이터'!$E$10:$AR$32,QUOTIENT(ROW(A208)-1,40)+1,MOD(ROW(A208)-1,40)+1)</f>
        <v>_</v>
      </c>
      <c r="I214" s="76"/>
      <c r="J214" s="26"/>
      <c r="K214" s="165"/>
      <c r="L214" s="165"/>
      <c r="M214" s="166"/>
      <c r="N214" s="166"/>
      <c r="O214" s="166"/>
      <c r="P214" s="166"/>
      <c r="Q214" s="167"/>
      <c r="R214" s="111"/>
    </row>
    <row r="215" spans="1:18" ht="13.5" hidden="1" customHeight="1">
      <c r="A215" s="30">
        <v>209</v>
      </c>
      <c r="B215" s="24">
        <f>DATE('1.연간시수표'!$U$2,'1.연간시수표'!$X$2,'1.연간시수표'!$Z$2)+QUOTIENT(ROW(A209)-1,8)+(QUOTIENT(ROW(A209)-1,40)*2)</f>
        <v>44656</v>
      </c>
      <c r="C215" s="24" t="str">
        <f t="shared" si="9"/>
        <v>화</v>
      </c>
      <c r="D215" s="91" t="str">
        <f t="shared" si="10"/>
        <v>1교시</v>
      </c>
      <c r="E215" s="68">
        <f>COUNTIF($H$7:$H215,$H215)</f>
        <v>24</v>
      </c>
      <c r="F215" s="67">
        <f>'1.연간시수표'!$AL$33</f>
        <v>5</v>
      </c>
      <c r="G215" s="89">
        <f t="shared" si="11"/>
        <v>1</v>
      </c>
      <c r="H215" s="91" t="str">
        <f>INDEX('0.시간표데이터'!$E$10:$AR$32,QUOTIENT(ROW(A209)-1,40)+1,MOD(ROW(A209)-1,40)+1)</f>
        <v>국어</v>
      </c>
      <c r="I215" s="77"/>
      <c r="J215" s="26"/>
      <c r="K215" s="162"/>
      <c r="L215" s="162"/>
      <c r="M215" s="168"/>
      <c r="N215" s="99"/>
      <c r="O215" s="99"/>
      <c r="P215" s="99"/>
      <c r="Q215" s="167"/>
      <c r="R215" s="111"/>
    </row>
    <row r="216" spans="1:18" ht="13.5" hidden="1" customHeight="1">
      <c r="A216" s="30">
        <v>210</v>
      </c>
      <c r="B216" s="24">
        <f>DATE('1.연간시수표'!$U$2,'1.연간시수표'!$X$2,'1.연간시수표'!$Z$2)+QUOTIENT(ROW(A210)-1,8)+(QUOTIENT(ROW(A210)-1,40)*2)</f>
        <v>44656</v>
      </c>
      <c r="C216" s="24" t="str">
        <f t="shared" si="9"/>
        <v>화</v>
      </c>
      <c r="D216" s="91" t="str">
        <f t="shared" si="10"/>
        <v>2교시</v>
      </c>
      <c r="E216" s="68">
        <f>COUNTIF($H$7:$H216,$H216)</f>
        <v>25</v>
      </c>
      <c r="F216" s="67">
        <f>'1.연간시수표'!$AL$33</f>
        <v>5</v>
      </c>
      <c r="G216" s="89">
        <f t="shared" si="11"/>
        <v>1</v>
      </c>
      <c r="H216" s="91" t="str">
        <f>INDEX('0.시간표데이터'!$E$10:$AR$32,QUOTIENT(ROW(A210)-1,40)+1,MOD(ROW(A210)-1,40)+1)</f>
        <v>국어</v>
      </c>
      <c r="I216" s="161"/>
      <c r="J216" s="26"/>
      <c r="K216" s="165"/>
      <c r="L216" s="165"/>
      <c r="M216" s="166"/>
      <c r="N216" s="166"/>
      <c r="O216" s="166"/>
      <c r="P216" s="166"/>
      <c r="Q216" s="167"/>
      <c r="R216" s="111"/>
    </row>
    <row r="217" spans="1:18" hidden="1">
      <c r="A217" s="30">
        <v>211</v>
      </c>
      <c r="B217" s="24">
        <f>DATE('1.연간시수표'!$U$2,'1.연간시수표'!$X$2,'1.연간시수표'!$Z$2)+QUOTIENT(ROW(A211)-1,8)+(QUOTIENT(ROW(A211)-1,40)*2)</f>
        <v>44656</v>
      </c>
      <c r="C217" s="24" t="str">
        <f t="shared" si="9"/>
        <v>화</v>
      </c>
      <c r="D217" s="91" t="str">
        <f t="shared" si="10"/>
        <v>3교시</v>
      </c>
      <c r="E217" s="68">
        <f>COUNTIF($H$7:$H217,$H217)</f>
        <v>12</v>
      </c>
      <c r="F217" s="67">
        <f>'1.연간시수표'!$AL$33</f>
        <v>5</v>
      </c>
      <c r="G217" s="89">
        <f t="shared" si="11"/>
        <v>1</v>
      </c>
      <c r="H217" s="91" t="str">
        <f>INDEX('0.시간표데이터'!$E$10:$AR$32,QUOTIENT(ROW(A211)-1,40)+1,MOD(ROW(A211)-1,40)+1)</f>
        <v>자율활동</v>
      </c>
      <c r="I217" s="77"/>
      <c r="J217" s="26"/>
      <c r="K217" s="162"/>
      <c r="L217" s="162"/>
      <c r="M217" s="168"/>
      <c r="N217" s="98"/>
      <c r="O217" s="98"/>
      <c r="P217" s="98"/>
      <c r="Q217" s="167"/>
      <c r="R217" s="111"/>
    </row>
    <row r="218" spans="1:18" hidden="1">
      <c r="A218" s="30">
        <v>212</v>
      </c>
      <c r="B218" s="24">
        <f>DATE('1.연간시수표'!$U$2,'1.연간시수표'!$X$2,'1.연간시수표'!$Z$2)+QUOTIENT(ROW(A212)-1,8)+(QUOTIENT(ROW(A212)-1,40)*2)</f>
        <v>44656</v>
      </c>
      <c r="C218" s="24" t="str">
        <f t="shared" si="9"/>
        <v>화</v>
      </c>
      <c r="D218" s="91" t="str">
        <f t="shared" si="10"/>
        <v>4교시</v>
      </c>
      <c r="E218" s="68">
        <f>COUNTIF($H$7:$H218,$H218)</f>
        <v>13</v>
      </c>
      <c r="F218" s="67">
        <f>'1.연간시수표'!$AL$33</f>
        <v>5</v>
      </c>
      <c r="G218" s="89">
        <f t="shared" si="11"/>
        <v>1</v>
      </c>
      <c r="H218" s="91" t="str">
        <f>INDEX('0.시간표데이터'!$E$10:$AR$32,QUOTIENT(ROW(A212)-1,40)+1,MOD(ROW(A212)-1,40)+1)</f>
        <v>자율활동</v>
      </c>
      <c r="I218" s="77"/>
      <c r="J218" s="26"/>
      <c r="K218" s="162"/>
      <c r="L218" s="162"/>
      <c r="M218" s="168"/>
      <c r="N218" s="98"/>
      <c r="O218" s="99"/>
      <c r="P218" s="99"/>
      <c r="Q218" s="167"/>
      <c r="R218" s="111"/>
    </row>
    <row r="219" spans="1:18" ht="13.5" hidden="1" customHeight="1">
      <c r="A219" s="30">
        <v>213</v>
      </c>
      <c r="B219" s="24">
        <f>DATE('1.연간시수표'!$U$2,'1.연간시수표'!$X$2,'1.연간시수표'!$Z$2)+QUOTIENT(ROW(A213)-1,8)+(QUOTIENT(ROW(A213)-1,40)*2)</f>
        <v>44656</v>
      </c>
      <c r="C219" s="24" t="str">
        <f t="shared" si="9"/>
        <v>화</v>
      </c>
      <c r="D219" s="91" t="str">
        <f t="shared" si="10"/>
        <v>5교시</v>
      </c>
      <c r="E219" s="68">
        <f>COUNTIF($H$7:$H219,$H219)</f>
        <v>14</v>
      </c>
      <c r="F219" s="67">
        <f>'1.연간시수표'!$AL$33</f>
        <v>5</v>
      </c>
      <c r="G219" s="89">
        <f t="shared" si="11"/>
        <v>1</v>
      </c>
      <c r="H219" s="91" t="str">
        <f>INDEX('0.시간표데이터'!$E$10:$AR$32,QUOTIENT(ROW(A213)-1,40)+1,MOD(ROW(A213)-1,40)+1)</f>
        <v>과학</v>
      </c>
      <c r="I219" s="77"/>
      <c r="J219" s="26"/>
      <c r="K219" s="137"/>
      <c r="L219" s="137"/>
      <c r="M219" s="114"/>
      <c r="N219" s="114"/>
      <c r="O219" s="114"/>
      <c r="P219" s="114"/>
      <c r="Q219" s="164"/>
      <c r="R219" s="110"/>
    </row>
    <row r="220" spans="1:18" ht="13.5" hidden="1" customHeight="1">
      <c r="A220" s="30">
        <v>214</v>
      </c>
      <c r="B220" s="24">
        <f>DATE('1.연간시수표'!$U$2,'1.연간시수표'!$X$2,'1.연간시수표'!$Z$2)+QUOTIENT(ROW(A214)-1,8)+(QUOTIENT(ROW(A214)-1,40)*2)</f>
        <v>44656</v>
      </c>
      <c r="C220" s="24" t="str">
        <f t="shared" si="9"/>
        <v>화</v>
      </c>
      <c r="D220" s="91" t="str">
        <f t="shared" si="10"/>
        <v>6교시</v>
      </c>
      <c r="E220" s="68">
        <f>COUNTIF($H$7:$H220,$H220)</f>
        <v>9</v>
      </c>
      <c r="F220" s="67">
        <f>'1.연간시수표'!$AL$33</f>
        <v>5</v>
      </c>
      <c r="G220" s="89">
        <f t="shared" si="11"/>
        <v>1</v>
      </c>
      <c r="H220" s="91" t="str">
        <f>INDEX('0.시간표데이터'!$E$10:$AR$32,QUOTIENT(ROW(A214)-1,40)+1,MOD(ROW(A214)-1,40)+1)</f>
        <v>실과</v>
      </c>
      <c r="I220" s="77"/>
      <c r="J220" s="26"/>
      <c r="K220" s="165"/>
      <c r="L220" s="165"/>
      <c r="M220" s="166"/>
      <c r="N220" s="166"/>
      <c r="O220" s="166"/>
      <c r="P220" s="166"/>
      <c r="Q220" s="167"/>
      <c r="R220" s="111"/>
    </row>
    <row r="221" spans="1:18" ht="13.5" hidden="1" customHeight="1">
      <c r="A221" s="30">
        <v>215</v>
      </c>
      <c r="B221" s="24">
        <f>DATE('1.연간시수표'!$U$2,'1.연간시수표'!$X$2,'1.연간시수표'!$Z$2)+QUOTIENT(ROW(A215)-1,8)+(QUOTIENT(ROW(A215)-1,40)*2)</f>
        <v>44656</v>
      </c>
      <c r="C221" s="24" t="str">
        <f t="shared" si="9"/>
        <v>화</v>
      </c>
      <c r="D221" s="91" t="str">
        <f t="shared" si="10"/>
        <v>7교시</v>
      </c>
      <c r="E221" s="68">
        <f>COUNTIF($H$7:$H221,$H221)</f>
        <v>76</v>
      </c>
      <c r="F221" s="67">
        <f>'1.연간시수표'!$AL$33</f>
        <v>5</v>
      </c>
      <c r="G221" s="89">
        <f t="shared" si="11"/>
        <v>1</v>
      </c>
      <c r="H221" s="91" t="str">
        <f>INDEX('0.시간표데이터'!$E$10:$AR$32,QUOTIENT(ROW(A215)-1,40)+1,MOD(ROW(A215)-1,40)+1)</f>
        <v>_</v>
      </c>
      <c r="I221" s="76"/>
      <c r="J221" s="26"/>
      <c r="K221" s="165"/>
      <c r="L221" s="165"/>
      <c r="M221" s="166"/>
      <c r="N221" s="166"/>
      <c r="O221" s="166"/>
      <c r="P221" s="166"/>
      <c r="Q221" s="167"/>
      <c r="R221" s="111"/>
    </row>
    <row r="222" spans="1:18" ht="13.5" hidden="1" customHeight="1">
      <c r="A222" s="30">
        <v>216</v>
      </c>
      <c r="B222" s="24">
        <f>DATE('1.연간시수표'!$U$2,'1.연간시수표'!$X$2,'1.연간시수표'!$Z$2)+QUOTIENT(ROW(A216)-1,8)+(QUOTIENT(ROW(A216)-1,40)*2)</f>
        <v>44656</v>
      </c>
      <c r="C222" s="24" t="str">
        <f t="shared" si="9"/>
        <v>화</v>
      </c>
      <c r="D222" s="91" t="str">
        <f t="shared" si="10"/>
        <v>8교시</v>
      </c>
      <c r="E222" s="68">
        <f>COUNTIF($H$7:$H222,$H222)</f>
        <v>77</v>
      </c>
      <c r="F222" s="67">
        <f>'1.연간시수표'!$AL$33</f>
        <v>5</v>
      </c>
      <c r="G222" s="89">
        <f t="shared" si="11"/>
        <v>1</v>
      </c>
      <c r="H222" s="91" t="str">
        <f>INDEX('0.시간표데이터'!$E$10:$AR$32,QUOTIENT(ROW(A216)-1,40)+1,MOD(ROW(A216)-1,40)+1)</f>
        <v>_</v>
      </c>
      <c r="I222" s="76"/>
      <c r="J222" s="26"/>
      <c r="K222" s="165"/>
      <c r="L222" s="165"/>
      <c r="M222" s="166"/>
      <c r="N222" s="166"/>
      <c r="O222" s="166"/>
      <c r="P222" s="166"/>
      <c r="Q222" s="167"/>
      <c r="R222" s="111"/>
    </row>
    <row r="223" spans="1:18" ht="13.5" customHeight="1">
      <c r="A223" s="30">
        <v>217</v>
      </c>
      <c r="B223" s="24">
        <f>DATE('1.연간시수표'!$U$2,'1.연간시수표'!$X$2,'1.연간시수표'!$Z$2)+QUOTIENT(ROW(A217)-1,8)+(QUOTIENT(ROW(A217)-1,40)*2)</f>
        <v>44657</v>
      </c>
      <c r="C223" s="24" t="str">
        <f t="shared" si="9"/>
        <v>수</v>
      </c>
      <c r="D223" s="91" t="str">
        <f t="shared" si="10"/>
        <v>1교시</v>
      </c>
      <c r="E223" s="68">
        <f>COUNTIF($H$7:$H223,$H223)</f>
        <v>13</v>
      </c>
      <c r="F223" s="67">
        <f>'1.연간시수표'!$AL$33</f>
        <v>5</v>
      </c>
      <c r="G223" s="89">
        <f t="shared" si="11"/>
        <v>1</v>
      </c>
      <c r="H223" s="91" t="str">
        <f>INDEX('0.시간표데이터'!$E$10:$AR$32,QUOTIENT(ROW(A217)-1,40)+1,MOD(ROW(A217)-1,40)+1)</f>
        <v>영어</v>
      </c>
      <c r="I223" s="77"/>
      <c r="J223" s="26"/>
      <c r="K223" s="173"/>
      <c r="L223" s="173"/>
      <c r="M223" s="10"/>
      <c r="N223" s="10"/>
      <c r="O223" s="10"/>
      <c r="P223" s="10"/>
      <c r="Q223" s="164"/>
      <c r="R223" s="109"/>
    </row>
    <row r="224" spans="1:18" ht="13.5" customHeight="1">
      <c r="A224" s="30">
        <v>218</v>
      </c>
      <c r="B224" s="24">
        <f>DATE('1.연간시수표'!$U$2,'1.연간시수표'!$X$2,'1.연간시수표'!$Z$2)+QUOTIENT(ROW(A218)-1,8)+(QUOTIENT(ROW(A218)-1,40)*2)</f>
        <v>44657</v>
      </c>
      <c r="C224" s="24" t="str">
        <f t="shared" si="9"/>
        <v>수</v>
      </c>
      <c r="D224" s="91" t="str">
        <f t="shared" si="10"/>
        <v>2교시</v>
      </c>
      <c r="E224" s="68">
        <f>COUNTIF($H$7:$H224,$H224)</f>
        <v>15</v>
      </c>
      <c r="F224" s="67">
        <f>'1.연간시수표'!$AL$33</f>
        <v>5</v>
      </c>
      <c r="G224" s="89">
        <f t="shared" si="11"/>
        <v>1</v>
      </c>
      <c r="H224" s="91" t="str">
        <f>INDEX('0.시간표데이터'!$E$10:$AR$32,QUOTIENT(ROW(A218)-1,40)+1,MOD(ROW(A218)-1,40)+1)</f>
        <v>과학</v>
      </c>
      <c r="I224" s="77"/>
      <c r="J224" s="26"/>
      <c r="K224" s="173"/>
      <c r="L224" s="173"/>
      <c r="M224" s="10"/>
      <c r="N224" s="10"/>
      <c r="O224" s="10"/>
      <c r="P224" s="10"/>
      <c r="Q224" s="164"/>
      <c r="R224" s="109"/>
    </row>
    <row r="225" spans="1:18" ht="13.5" customHeight="1">
      <c r="A225" s="30">
        <v>219</v>
      </c>
      <c r="B225" s="24">
        <f>DATE('1.연간시수표'!$U$2,'1.연간시수표'!$X$2,'1.연간시수표'!$Z$2)+QUOTIENT(ROW(A219)-1,8)+(QUOTIENT(ROW(A219)-1,40)*2)</f>
        <v>44657</v>
      </c>
      <c r="C225" s="24" t="str">
        <f t="shared" si="9"/>
        <v>수</v>
      </c>
      <c r="D225" s="91" t="str">
        <f t="shared" si="10"/>
        <v>3교시</v>
      </c>
      <c r="E225" s="68">
        <f>COUNTIF($H$7:$H225,$H225)</f>
        <v>8</v>
      </c>
      <c r="F225" s="67">
        <f>'1.연간시수표'!$AL$33</f>
        <v>5</v>
      </c>
      <c r="G225" s="89">
        <f t="shared" si="11"/>
        <v>1</v>
      </c>
      <c r="H225" s="91" t="str">
        <f>INDEX('0.시간표데이터'!$E$10:$AR$32,QUOTIENT(ROW(A219)-1,40)+1,MOD(ROW(A219)-1,40)+1)</f>
        <v>체육</v>
      </c>
      <c r="I225" s="77"/>
      <c r="J225" s="26"/>
      <c r="K225" s="173"/>
      <c r="L225" s="173"/>
      <c r="M225" s="10"/>
      <c r="N225" s="10"/>
      <c r="O225" s="10"/>
      <c r="P225" s="10"/>
      <c r="Q225" s="164"/>
      <c r="R225" s="109"/>
    </row>
    <row r="226" spans="1:18" ht="13.5" customHeight="1">
      <c r="A226" s="30">
        <v>220</v>
      </c>
      <c r="B226" s="24">
        <f>DATE('1.연간시수표'!$U$2,'1.연간시수표'!$X$2,'1.연간시수표'!$Z$2)+QUOTIENT(ROW(A220)-1,8)+(QUOTIENT(ROW(A220)-1,40)*2)</f>
        <v>44657</v>
      </c>
      <c r="C226" s="24" t="str">
        <f t="shared" si="9"/>
        <v>수</v>
      </c>
      <c r="D226" s="91" t="str">
        <f t="shared" si="10"/>
        <v>4교시</v>
      </c>
      <c r="E226" s="68">
        <f>COUNTIF($H$7:$H226,$H226)</f>
        <v>13</v>
      </c>
      <c r="F226" s="67">
        <f>'1.연간시수표'!$AL$33</f>
        <v>5</v>
      </c>
      <c r="G226" s="89">
        <f t="shared" si="11"/>
        <v>1</v>
      </c>
      <c r="H226" s="91" t="str">
        <f>INDEX('0.시간표데이터'!$E$10:$AR$32,QUOTIENT(ROW(A220)-1,40)+1,MOD(ROW(A220)-1,40)+1)</f>
        <v>음악</v>
      </c>
      <c r="I226" s="77"/>
      <c r="J226" s="26"/>
      <c r="K226" s="173"/>
      <c r="L226" s="173"/>
      <c r="M226" s="10"/>
      <c r="N226" s="10"/>
      <c r="O226" s="10"/>
      <c r="P226" s="10"/>
      <c r="Q226" s="164"/>
      <c r="R226" s="109"/>
    </row>
    <row r="227" spans="1:18" ht="13.5" hidden="1" customHeight="1">
      <c r="A227" s="30">
        <v>221</v>
      </c>
      <c r="B227" s="24">
        <f>DATE('1.연간시수표'!$U$2,'1.연간시수표'!$X$2,'1.연간시수표'!$Z$2)+QUOTIENT(ROW(A221)-1,8)+(QUOTIENT(ROW(A221)-1,40)*2)</f>
        <v>44657</v>
      </c>
      <c r="C227" s="24" t="str">
        <f t="shared" si="9"/>
        <v>수</v>
      </c>
      <c r="D227" s="91" t="str">
        <f t="shared" si="10"/>
        <v>5교시</v>
      </c>
      <c r="E227" s="68">
        <f>COUNTIF($H$7:$H227,$H227)</f>
        <v>5</v>
      </c>
      <c r="F227" s="67">
        <f>'1.연간시수표'!$AL$33</f>
        <v>5</v>
      </c>
      <c r="G227" s="89">
        <f t="shared" si="11"/>
        <v>1</v>
      </c>
      <c r="H227" s="91" t="str">
        <f>INDEX('0.시간표데이터'!$E$10:$AR$32,QUOTIENT(ROW(A221)-1,40)+1,MOD(ROW(A221)-1,40)+1)</f>
        <v>도덕</v>
      </c>
      <c r="I227" s="77"/>
      <c r="J227" s="26"/>
      <c r="K227" s="165"/>
      <c r="L227" s="165"/>
      <c r="M227" s="166"/>
      <c r="N227" s="166"/>
      <c r="O227" s="166"/>
      <c r="P227" s="166"/>
      <c r="Q227" s="167"/>
      <c r="R227" s="111"/>
    </row>
    <row r="228" spans="1:18" ht="13.5" hidden="1" customHeight="1">
      <c r="A228" s="30">
        <v>222</v>
      </c>
      <c r="B228" s="24">
        <f>DATE('1.연간시수표'!$U$2,'1.연간시수표'!$X$2,'1.연간시수표'!$Z$2)+QUOTIENT(ROW(A222)-1,8)+(QUOTIENT(ROW(A222)-1,40)*2)</f>
        <v>44657</v>
      </c>
      <c r="C228" s="24" t="str">
        <f t="shared" si="9"/>
        <v>수</v>
      </c>
      <c r="D228" s="91" t="str">
        <f t="shared" si="10"/>
        <v>6교시</v>
      </c>
      <c r="E228" s="68">
        <f>COUNTIF($H$7:$H228,$H228)</f>
        <v>78</v>
      </c>
      <c r="F228" s="67">
        <f>'1.연간시수표'!$AL$33</f>
        <v>5</v>
      </c>
      <c r="G228" s="89">
        <f t="shared" si="11"/>
        <v>1</v>
      </c>
      <c r="H228" s="91" t="str">
        <f>INDEX('0.시간표데이터'!$E$10:$AR$32,QUOTIENT(ROW(A222)-1,40)+1,MOD(ROW(A222)-1,40)+1)</f>
        <v>_</v>
      </c>
      <c r="I228" s="77"/>
      <c r="J228" s="26"/>
      <c r="K228" s="165"/>
      <c r="L228" s="165"/>
      <c r="M228" s="166"/>
      <c r="N228" s="166"/>
      <c r="O228" s="166"/>
      <c r="P228" s="166"/>
      <c r="Q228" s="167"/>
      <c r="R228" s="111"/>
    </row>
    <row r="229" spans="1:18" ht="13.5" hidden="1" customHeight="1">
      <c r="A229" s="30">
        <v>223</v>
      </c>
      <c r="B229" s="24">
        <f>DATE('1.연간시수표'!$U$2,'1.연간시수표'!$X$2,'1.연간시수표'!$Z$2)+QUOTIENT(ROW(A223)-1,8)+(QUOTIENT(ROW(A223)-1,40)*2)</f>
        <v>44657</v>
      </c>
      <c r="C229" s="24" t="str">
        <f t="shared" si="9"/>
        <v>수</v>
      </c>
      <c r="D229" s="91" t="str">
        <f t="shared" si="10"/>
        <v>7교시</v>
      </c>
      <c r="E229" s="68">
        <f>COUNTIF($H$7:$H229,$H229)</f>
        <v>79</v>
      </c>
      <c r="F229" s="67">
        <f>'1.연간시수표'!$AL$33</f>
        <v>5</v>
      </c>
      <c r="G229" s="89">
        <f t="shared" si="11"/>
        <v>1</v>
      </c>
      <c r="H229" s="91" t="str">
        <f>INDEX('0.시간표데이터'!$E$10:$AR$32,QUOTIENT(ROW(A223)-1,40)+1,MOD(ROW(A223)-1,40)+1)</f>
        <v>_</v>
      </c>
      <c r="I229" s="76"/>
      <c r="J229" s="26"/>
      <c r="K229" s="165"/>
      <c r="L229" s="165"/>
      <c r="M229" s="166"/>
      <c r="N229" s="166"/>
      <c r="O229" s="166"/>
      <c r="P229" s="166"/>
      <c r="Q229" s="167"/>
      <c r="R229" s="111"/>
    </row>
    <row r="230" spans="1:18" ht="13.5" hidden="1" customHeight="1">
      <c r="A230" s="30">
        <v>224</v>
      </c>
      <c r="B230" s="24">
        <f>DATE('1.연간시수표'!$U$2,'1.연간시수표'!$X$2,'1.연간시수표'!$Z$2)+QUOTIENT(ROW(A224)-1,8)+(QUOTIENT(ROW(A224)-1,40)*2)</f>
        <v>44657</v>
      </c>
      <c r="C230" s="24" t="str">
        <f t="shared" si="9"/>
        <v>수</v>
      </c>
      <c r="D230" s="91" t="str">
        <f t="shared" si="10"/>
        <v>8교시</v>
      </c>
      <c r="E230" s="68">
        <f>COUNTIF($H$7:$H230,$H230)</f>
        <v>80</v>
      </c>
      <c r="F230" s="67">
        <f>'1.연간시수표'!$AL$33</f>
        <v>5</v>
      </c>
      <c r="G230" s="89">
        <f t="shared" si="11"/>
        <v>1</v>
      </c>
      <c r="H230" s="91" t="str">
        <f>INDEX('0.시간표데이터'!$E$10:$AR$32,QUOTIENT(ROW(A224)-1,40)+1,MOD(ROW(A224)-1,40)+1)</f>
        <v>_</v>
      </c>
      <c r="I230" s="76"/>
      <c r="J230" s="26"/>
      <c r="K230" s="165"/>
      <c r="L230" s="165"/>
      <c r="M230" s="166"/>
      <c r="N230" s="166"/>
      <c r="O230" s="166"/>
      <c r="P230" s="166"/>
      <c r="Q230" s="167"/>
      <c r="R230" s="111"/>
    </row>
    <row r="231" spans="1:18" ht="13.5" hidden="1" customHeight="1">
      <c r="A231" s="30">
        <v>225</v>
      </c>
      <c r="B231" s="24">
        <f>DATE('1.연간시수표'!$U$2,'1.연간시수표'!$X$2,'1.연간시수표'!$Z$2)+QUOTIENT(ROW(A225)-1,8)+(QUOTIENT(ROW(A225)-1,40)*2)</f>
        <v>44658</v>
      </c>
      <c r="C231" s="24" t="str">
        <f t="shared" si="9"/>
        <v>목</v>
      </c>
      <c r="D231" s="91" t="str">
        <f t="shared" si="10"/>
        <v>1교시</v>
      </c>
      <c r="E231" s="68">
        <f>COUNTIF($H$7:$H231,$H231)</f>
        <v>26</v>
      </c>
      <c r="F231" s="67">
        <f>'1.연간시수표'!$AL$33</f>
        <v>5</v>
      </c>
      <c r="G231" s="89">
        <f t="shared" si="11"/>
        <v>1</v>
      </c>
      <c r="H231" s="91" t="str">
        <f>INDEX('0.시간표데이터'!$E$10:$AR$32,QUOTIENT(ROW(A225)-1,40)+1,MOD(ROW(A225)-1,40)+1)</f>
        <v>국어</v>
      </c>
      <c r="I231" s="77"/>
      <c r="J231" s="26"/>
      <c r="K231" s="162"/>
      <c r="L231" s="162"/>
      <c r="M231" s="168"/>
      <c r="N231" s="98"/>
      <c r="O231" s="99"/>
      <c r="P231" s="99"/>
      <c r="Q231" s="167"/>
      <c r="R231" s="111"/>
    </row>
    <row r="232" spans="1:18" ht="13.5" hidden="1" customHeight="1">
      <c r="A232" s="30">
        <v>226</v>
      </c>
      <c r="B232" s="24">
        <f>DATE('1.연간시수표'!$U$2,'1.연간시수표'!$X$2,'1.연간시수표'!$Z$2)+QUOTIENT(ROW(A226)-1,8)+(QUOTIENT(ROW(A226)-1,40)*2)</f>
        <v>44658</v>
      </c>
      <c r="C232" s="24" t="str">
        <f t="shared" si="9"/>
        <v>목</v>
      </c>
      <c r="D232" s="91" t="str">
        <f t="shared" si="10"/>
        <v>2교시</v>
      </c>
      <c r="E232" s="68">
        <f>COUNTIF($H$7:$H232,$H232)</f>
        <v>19</v>
      </c>
      <c r="F232" s="67">
        <f>'1.연간시수표'!$AL$33</f>
        <v>5</v>
      </c>
      <c r="G232" s="89">
        <f t="shared" si="11"/>
        <v>1</v>
      </c>
      <c r="H232" s="91" t="str">
        <f>INDEX('0.시간표데이터'!$E$10:$AR$32,QUOTIENT(ROW(A226)-1,40)+1,MOD(ROW(A226)-1,40)+1)</f>
        <v>수학</v>
      </c>
      <c r="I232" s="161"/>
      <c r="J232" s="26"/>
      <c r="K232" s="165"/>
      <c r="L232" s="165"/>
      <c r="M232" s="166"/>
      <c r="N232" s="166"/>
      <c r="O232" s="166"/>
      <c r="P232" s="166"/>
      <c r="Q232" s="167"/>
      <c r="R232" s="111"/>
    </row>
    <row r="233" spans="1:18" ht="13.5" customHeight="1">
      <c r="A233" s="30">
        <v>227</v>
      </c>
      <c r="B233" s="24">
        <f>DATE('1.연간시수표'!$U$2,'1.연간시수표'!$X$2,'1.연간시수표'!$Z$2)+QUOTIENT(ROW(A227)-1,8)+(QUOTIENT(ROW(A227)-1,40)*2)</f>
        <v>44658</v>
      </c>
      <c r="C233" s="24" t="str">
        <f t="shared" si="9"/>
        <v>목</v>
      </c>
      <c r="D233" s="91" t="str">
        <f t="shared" si="10"/>
        <v>3교시</v>
      </c>
      <c r="E233" s="68">
        <f>COUNTIF($H$7:$H233,$H233)</f>
        <v>14</v>
      </c>
      <c r="F233" s="67">
        <f>'1.연간시수표'!$AL$33</f>
        <v>5</v>
      </c>
      <c r="G233" s="89">
        <f t="shared" si="11"/>
        <v>1</v>
      </c>
      <c r="H233" s="91" t="str">
        <f>INDEX('0.시간표데이터'!$E$10:$AR$32,QUOTIENT(ROW(A227)-1,40)+1,MOD(ROW(A227)-1,40)+1)</f>
        <v>사회</v>
      </c>
      <c r="I233" s="77"/>
      <c r="J233" s="26"/>
      <c r="K233" s="173"/>
      <c r="L233" s="173"/>
      <c r="M233" s="10"/>
      <c r="N233" s="10"/>
      <c r="O233" s="10"/>
      <c r="P233" s="10"/>
      <c r="Q233" s="164"/>
      <c r="R233" s="109"/>
    </row>
    <row r="234" spans="1:18" ht="13.5" customHeight="1">
      <c r="A234" s="30">
        <v>228</v>
      </c>
      <c r="B234" s="24">
        <f>DATE('1.연간시수표'!$U$2,'1.연간시수표'!$X$2,'1.연간시수표'!$Z$2)+QUOTIENT(ROW(A228)-1,8)+(QUOTIENT(ROW(A228)-1,40)*2)</f>
        <v>44658</v>
      </c>
      <c r="C234" s="24" t="str">
        <f t="shared" si="9"/>
        <v>목</v>
      </c>
      <c r="D234" s="91" t="str">
        <f t="shared" si="10"/>
        <v>4교시</v>
      </c>
      <c r="E234" s="68">
        <f>COUNTIF($H$7:$H234,$H234)</f>
        <v>14</v>
      </c>
      <c r="F234" s="67">
        <f>'1.연간시수표'!$AL$33</f>
        <v>5</v>
      </c>
      <c r="G234" s="89">
        <f t="shared" si="11"/>
        <v>1</v>
      </c>
      <c r="H234" s="91" t="str">
        <f>INDEX('0.시간표데이터'!$E$10:$AR$32,QUOTIENT(ROW(A228)-1,40)+1,MOD(ROW(A228)-1,40)+1)</f>
        <v>영어</v>
      </c>
      <c r="I234" s="77"/>
      <c r="J234" s="26"/>
      <c r="K234" s="173"/>
      <c r="L234" s="173"/>
      <c r="M234" s="10"/>
      <c r="N234" s="10"/>
      <c r="O234" s="10"/>
      <c r="P234" s="10"/>
      <c r="Q234" s="164"/>
      <c r="R234" s="109"/>
    </row>
    <row r="235" spans="1:18" ht="13.5" hidden="1" customHeight="1">
      <c r="A235" s="30">
        <v>229</v>
      </c>
      <c r="B235" s="24">
        <f>DATE('1.연간시수표'!$U$2,'1.연간시수표'!$X$2,'1.연간시수표'!$Z$2)+QUOTIENT(ROW(A229)-1,8)+(QUOTIENT(ROW(A229)-1,40)*2)</f>
        <v>44658</v>
      </c>
      <c r="C235" s="24" t="str">
        <f t="shared" si="9"/>
        <v>목</v>
      </c>
      <c r="D235" s="91" t="str">
        <f t="shared" si="10"/>
        <v>5교시</v>
      </c>
      <c r="E235" s="68">
        <f>COUNTIF($H$7:$H235,$H235)</f>
        <v>16</v>
      </c>
      <c r="F235" s="67">
        <f>'1.연간시수표'!$AL$33</f>
        <v>5</v>
      </c>
      <c r="G235" s="89">
        <f t="shared" si="11"/>
        <v>1</v>
      </c>
      <c r="H235" s="91" t="str">
        <f>INDEX('0.시간표데이터'!$E$10:$AR$32,QUOTIENT(ROW(A229)-1,40)+1,MOD(ROW(A229)-1,40)+1)</f>
        <v>과학</v>
      </c>
      <c r="I235" s="77"/>
      <c r="J235" s="26"/>
      <c r="K235" s="162"/>
      <c r="L235" s="162"/>
      <c r="M235" s="168"/>
      <c r="N235" s="99"/>
      <c r="O235" s="99"/>
      <c r="P235" s="99"/>
      <c r="Q235" s="167"/>
      <c r="R235" s="111"/>
    </row>
    <row r="236" spans="1:18" ht="13.5" hidden="1" customHeight="1">
      <c r="A236" s="30">
        <v>230</v>
      </c>
      <c r="B236" s="24">
        <f>DATE('1.연간시수표'!$U$2,'1.연간시수표'!$X$2,'1.연간시수표'!$Z$2)+QUOTIENT(ROW(A230)-1,8)+(QUOTIENT(ROW(A230)-1,40)*2)</f>
        <v>44658</v>
      </c>
      <c r="C236" s="24" t="str">
        <f t="shared" si="9"/>
        <v>목</v>
      </c>
      <c r="D236" s="91" t="str">
        <f t="shared" si="10"/>
        <v>6교시</v>
      </c>
      <c r="E236" s="68">
        <f>COUNTIF($H$7:$H236,$H236)</f>
        <v>14</v>
      </c>
      <c r="F236" s="67">
        <f>'1.연간시수표'!$AL$33</f>
        <v>5</v>
      </c>
      <c r="G236" s="89">
        <f t="shared" si="11"/>
        <v>1</v>
      </c>
      <c r="H236" s="91" t="str">
        <f>INDEX('0.시간표데이터'!$E$10:$AR$32,QUOTIENT(ROW(A230)-1,40)+1,MOD(ROW(A230)-1,40)+1)</f>
        <v>음악</v>
      </c>
      <c r="I236" s="161"/>
      <c r="J236" s="26"/>
      <c r="K236" s="162"/>
      <c r="L236" s="162"/>
      <c r="M236" s="170"/>
      <c r="N236" s="98"/>
      <c r="O236" s="98"/>
      <c r="P236" s="98"/>
      <c r="Q236" s="167"/>
      <c r="R236" s="111"/>
    </row>
    <row r="237" spans="1:18" ht="13.5" hidden="1" customHeight="1">
      <c r="A237" s="30">
        <v>231</v>
      </c>
      <c r="B237" s="24">
        <f>DATE('1.연간시수표'!$U$2,'1.연간시수표'!$X$2,'1.연간시수표'!$Z$2)+QUOTIENT(ROW(A231)-1,8)+(QUOTIENT(ROW(A231)-1,40)*2)</f>
        <v>44658</v>
      </c>
      <c r="C237" s="24" t="str">
        <f t="shared" si="9"/>
        <v>목</v>
      </c>
      <c r="D237" s="91" t="str">
        <f t="shared" si="10"/>
        <v>7교시</v>
      </c>
      <c r="E237" s="68">
        <f>COUNTIF($H$7:$H237,$H237)</f>
        <v>81</v>
      </c>
      <c r="F237" s="67">
        <f>'1.연간시수표'!$AL$33</f>
        <v>5</v>
      </c>
      <c r="G237" s="89">
        <f t="shared" si="11"/>
        <v>1</v>
      </c>
      <c r="H237" s="91" t="str">
        <f>INDEX('0.시간표데이터'!$E$10:$AR$32,QUOTIENT(ROW(A231)-1,40)+1,MOD(ROW(A231)-1,40)+1)</f>
        <v>_</v>
      </c>
      <c r="I237" s="76"/>
      <c r="J237" s="26"/>
      <c r="K237" s="165"/>
      <c r="L237" s="165"/>
      <c r="M237" s="166"/>
      <c r="N237" s="166"/>
      <c r="O237" s="166"/>
      <c r="P237" s="166"/>
      <c r="Q237" s="167"/>
      <c r="R237" s="111"/>
    </row>
    <row r="238" spans="1:18" ht="13.5" hidden="1" customHeight="1">
      <c r="A238" s="30">
        <v>232</v>
      </c>
      <c r="B238" s="24">
        <f>DATE('1.연간시수표'!$U$2,'1.연간시수표'!$X$2,'1.연간시수표'!$Z$2)+QUOTIENT(ROW(A232)-1,8)+(QUOTIENT(ROW(A232)-1,40)*2)</f>
        <v>44658</v>
      </c>
      <c r="C238" s="24" t="str">
        <f t="shared" si="9"/>
        <v>목</v>
      </c>
      <c r="D238" s="91" t="str">
        <f t="shared" si="10"/>
        <v>8교시</v>
      </c>
      <c r="E238" s="68">
        <f>COUNTIF($H$7:$H238,$H238)</f>
        <v>82</v>
      </c>
      <c r="F238" s="67">
        <f>'1.연간시수표'!$AL$33</f>
        <v>5</v>
      </c>
      <c r="G238" s="89">
        <f t="shared" si="11"/>
        <v>1</v>
      </c>
      <c r="H238" s="91" t="str">
        <f>INDEX('0.시간표데이터'!$E$10:$AR$32,QUOTIENT(ROW(A232)-1,40)+1,MOD(ROW(A232)-1,40)+1)</f>
        <v>_</v>
      </c>
      <c r="I238" s="76"/>
      <c r="J238" s="26"/>
      <c r="K238" s="165"/>
      <c r="L238" s="165"/>
      <c r="M238" s="166"/>
      <c r="N238" s="166"/>
      <c r="O238" s="166"/>
      <c r="P238" s="166"/>
      <c r="Q238" s="167"/>
      <c r="R238" s="111"/>
    </row>
    <row r="239" spans="1:18" ht="13.5" hidden="1" customHeight="1">
      <c r="A239" s="30">
        <v>233</v>
      </c>
      <c r="B239" s="24">
        <f>DATE('1.연간시수표'!$U$2,'1.연간시수표'!$X$2,'1.연간시수표'!$Z$2)+QUOTIENT(ROW(A233)-1,8)+(QUOTIENT(ROW(A233)-1,40)*2)</f>
        <v>44659</v>
      </c>
      <c r="C239" s="24" t="str">
        <f t="shared" si="9"/>
        <v>금</v>
      </c>
      <c r="D239" s="91" t="str">
        <f t="shared" si="10"/>
        <v>1교시</v>
      </c>
      <c r="E239" s="68">
        <f>COUNTIF($H$7:$H239,$H239)</f>
        <v>14</v>
      </c>
      <c r="F239" s="67">
        <f>'1.연간시수표'!$AL$33</f>
        <v>5</v>
      </c>
      <c r="G239" s="89">
        <f t="shared" si="11"/>
        <v>1</v>
      </c>
      <c r="H239" s="91" t="str">
        <f>INDEX('0.시간표데이터'!$E$10:$AR$32,QUOTIENT(ROW(A233)-1,40)+1,MOD(ROW(A233)-1,40)+1)</f>
        <v>자율활동</v>
      </c>
      <c r="I239" s="77"/>
      <c r="J239" s="26"/>
      <c r="K239" s="162"/>
      <c r="L239" s="162"/>
      <c r="M239" s="168"/>
      <c r="N239" s="98"/>
      <c r="O239" s="99"/>
      <c r="P239" s="99"/>
      <c r="Q239" s="167"/>
      <c r="R239" s="111"/>
    </row>
    <row r="240" spans="1:18" ht="13.5" hidden="1" customHeight="1">
      <c r="A240" s="30">
        <v>234</v>
      </c>
      <c r="B240" s="24">
        <f>DATE('1.연간시수표'!$U$2,'1.연간시수표'!$X$2,'1.연간시수표'!$Z$2)+QUOTIENT(ROW(A234)-1,8)+(QUOTIENT(ROW(A234)-1,40)*2)</f>
        <v>44659</v>
      </c>
      <c r="C240" s="24" t="str">
        <f t="shared" si="9"/>
        <v>금</v>
      </c>
      <c r="D240" s="91" t="str">
        <f t="shared" si="10"/>
        <v>2교시</v>
      </c>
      <c r="E240" s="68">
        <f>COUNTIF($H$7:$H240,$H240)</f>
        <v>9</v>
      </c>
      <c r="F240" s="67">
        <f>'1.연간시수표'!$AL$33</f>
        <v>5</v>
      </c>
      <c r="G240" s="89">
        <f t="shared" si="11"/>
        <v>1</v>
      </c>
      <c r="H240" s="91" t="str">
        <f>INDEX('0.시간표데이터'!$E$10:$AR$32,QUOTIENT(ROW(A234)-1,40)+1,MOD(ROW(A234)-1,40)+1)</f>
        <v>체육</v>
      </c>
      <c r="I240" s="77"/>
      <c r="J240" s="26"/>
      <c r="K240" s="162"/>
      <c r="L240" s="162"/>
      <c r="M240" s="168"/>
      <c r="N240" s="168"/>
      <c r="O240" s="99"/>
      <c r="P240" s="99"/>
      <c r="Q240" s="167"/>
      <c r="R240" s="111"/>
    </row>
    <row r="241" spans="1:18" ht="13.5" hidden="1" customHeight="1">
      <c r="A241" s="30">
        <v>235</v>
      </c>
      <c r="B241" s="24">
        <f>DATE('1.연간시수표'!$U$2,'1.연간시수표'!$X$2,'1.연간시수표'!$Z$2)+QUOTIENT(ROW(A235)-1,8)+(QUOTIENT(ROW(A235)-1,40)*2)</f>
        <v>44659</v>
      </c>
      <c r="C241" s="24" t="str">
        <f t="shared" si="9"/>
        <v>금</v>
      </c>
      <c r="D241" s="91" t="str">
        <f t="shared" si="10"/>
        <v>3교시</v>
      </c>
      <c r="E241" s="68">
        <f>COUNTIF($H$7:$H241,$H241)</f>
        <v>20</v>
      </c>
      <c r="F241" s="67">
        <f>'1.연간시수표'!$AL$33</f>
        <v>5</v>
      </c>
      <c r="G241" s="89">
        <f t="shared" si="11"/>
        <v>1</v>
      </c>
      <c r="H241" s="91" t="str">
        <f>INDEX('0.시간표데이터'!$E$10:$AR$32,QUOTIENT(ROW(A235)-1,40)+1,MOD(ROW(A235)-1,40)+1)</f>
        <v>수학</v>
      </c>
      <c r="I241" s="77"/>
      <c r="J241" s="26"/>
      <c r="K241" s="165"/>
      <c r="L241" s="165"/>
      <c r="M241" s="166"/>
      <c r="N241" s="166"/>
      <c r="O241" s="166"/>
      <c r="P241" s="166"/>
      <c r="Q241" s="167"/>
      <c r="R241" s="111"/>
    </row>
    <row r="242" spans="1:18" ht="13.5" hidden="1" customHeight="1">
      <c r="A242" s="30">
        <v>236</v>
      </c>
      <c r="B242" s="24">
        <f>DATE('1.연간시수표'!$U$2,'1.연간시수표'!$X$2,'1.연간시수표'!$Z$2)+QUOTIENT(ROW(A236)-1,8)+(QUOTIENT(ROW(A236)-1,40)*2)</f>
        <v>44659</v>
      </c>
      <c r="C242" s="24" t="str">
        <f t="shared" si="9"/>
        <v>금</v>
      </c>
      <c r="D242" s="91" t="str">
        <f t="shared" si="10"/>
        <v>4교시</v>
      </c>
      <c r="E242" s="68">
        <f>COUNTIF($H$7:$H242,$H242)</f>
        <v>27</v>
      </c>
      <c r="F242" s="67">
        <f>'1.연간시수표'!$AL$33</f>
        <v>5</v>
      </c>
      <c r="G242" s="89">
        <f t="shared" si="11"/>
        <v>1</v>
      </c>
      <c r="H242" s="91" t="str">
        <f>INDEX('0.시간표데이터'!$E$10:$AR$32,QUOTIENT(ROW(A236)-1,40)+1,MOD(ROW(A236)-1,40)+1)</f>
        <v>국어</v>
      </c>
      <c r="I242" s="77"/>
      <c r="J242" s="26"/>
      <c r="K242" s="162"/>
      <c r="L242" s="162"/>
      <c r="M242" s="169"/>
      <c r="N242" s="101"/>
      <c r="O242" s="99"/>
      <c r="P242" s="99"/>
      <c r="Q242" s="167"/>
      <c r="R242" s="111"/>
    </row>
    <row r="243" spans="1:18" ht="13.5" hidden="1" customHeight="1">
      <c r="A243" s="30">
        <v>237</v>
      </c>
      <c r="B243" s="24">
        <f>DATE('1.연간시수표'!$U$2,'1.연간시수표'!$X$2,'1.연간시수표'!$Z$2)+QUOTIENT(ROW(A237)-1,8)+(QUOTIENT(ROW(A237)-1,40)*2)</f>
        <v>44659</v>
      </c>
      <c r="C243" s="24" t="str">
        <f t="shared" si="9"/>
        <v>금</v>
      </c>
      <c r="D243" s="91" t="str">
        <f t="shared" si="10"/>
        <v>5교시</v>
      </c>
      <c r="E243" s="68">
        <f>COUNTIF($H$7:$H243,$H243)</f>
        <v>15</v>
      </c>
      <c r="F243" s="67">
        <f>'1.연간시수표'!$AL$33</f>
        <v>5</v>
      </c>
      <c r="G243" s="89">
        <f t="shared" si="11"/>
        <v>1</v>
      </c>
      <c r="H243" s="91" t="str">
        <f>INDEX('0.시간표데이터'!$E$10:$AR$32,QUOTIENT(ROW(A237)-1,40)+1,MOD(ROW(A237)-1,40)+1)</f>
        <v>사회</v>
      </c>
      <c r="I243" s="77"/>
      <c r="J243" s="26"/>
      <c r="K243" s="162"/>
      <c r="L243" s="162"/>
      <c r="M243" s="170"/>
      <c r="N243" s="98"/>
      <c r="O243" s="98"/>
      <c r="P243" s="98"/>
      <c r="Q243" s="167"/>
      <c r="R243" s="111"/>
    </row>
    <row r="244" spans="1:18" ht="13.5" hidden="1" customHeight="1">
      <c r="A244" s="30">
        <v>238</v>
      </c>
      <c r="B244" s="24">
        <f>DATE('1.연간시수표'!$U$2,'1.연간시수표'!$X$2,'1.연간시수표'!$Z$2)+QUOTIENT(ROW(A238)-1,8)+(QUOTIENT(ROW(A238)-1,40)*2)</f>
        <v>44659</v>
      </c>
      <c r="C244" s="24" t="str">
        <f t="shared" si="9"/>
        <v>금</v>
      </c>
      <c r="D244" s="91" t="str">
        <f t="shared" si="10"/>
        <v>6교시</v>
      </c>
      <c r="E244" s="68">
        <f>COUNTIF($H$7:$H244,$H244)</f>
        <v>10</v>
      </c>
      <c r="F244" s="67">
        <f>'1.연간시수표'!$AL$33</f>
        <v>5</v>
      </c>
      <c r="G244" s="89">
        <f t="shared" si="11"/>
        <v>1</v>
      </c>
      <c r="H244" s="91" t="str">
        <f>INDEX('0.시간표데이터'!$E$10:$AR$32,QUOTIENT(ROW(A238)-1,40)+1,MOD(ROW(A238)-1,40)+1)</f>
        <v>실과</v>
      </c>
      <c r="I244" s="77"/>
      <c r="J244" s="26"/>
      <c r="K244" s="165"/>
      <c r="L244" s="165"/>
      <c r="M244" s="166"/>
      <c r="N244" s="166"/>
      <c r="O244" s="166"/>
      <c r="P244" s="166"/>
      <c r="Q244" s="167"/>
      <c r="R244" s="111"/>
    </row>
    <row r="245" spans="1:18" ht="13.5" hidden="1" customHeight="1">
      <c r="A245" s="30">
        <v>239</v>
      </c>
      <c r="B245" s="24">
        <f>DATE('1.연간시수표'!$U$2,'1.연간시수표'!$X$2,'1.연간시수표'!$Z$2)+QUOTIENT(ROW(A239)-1,8)+(QUOTIENT(ROW(A239)-1,40)*2)</f>
        <v>44659</v>
      </c>
      <c r="C245" s="24" t="str">
        <f t="shared" si="9"/>
        <v>금</v>
      </c>
      <c r="D245" s="91" t="str">
        <f t="shared" si="10"/>
        <v>7교시</v>
      </c>
      <c r="E245" s="68">
        <f>COUNTIF($H$7:$H245,$H245)</f>
        <v>83</v>
      </c>
      <c r="F245" s="67">
        <f>'1.연간시수표'!$AL$33</f>
        <v>5</v>
      </c>
      <c r="G245" s="89">
        <f t="shared" si="11"/>
        <v>1</v>
      </c>
      <c r="H245" s="91" t="str">
        <f>INDEX('0.시간표데이터'!$E$10:$AR$32,QUOTIENT(ROW(A239)-1,40)+1,MOD(ROW(A239)-1,40)+1)</f>
        <v>_</v>
      </c>
      <c r="I245" s="76"/>
      <c r="J245" s="26"/>
      <c r="K245" s="165"/>
      <c r="L245" s="165"/>
      <c r="M245" s="166"/>
      <c r="N245" s="166"/>
      <c r="O245" s="166"/>
      <c r="P245" s="166"/>
      <c r="Q245" s="167"/>
      <c r="R245" s="111"/>
    </row>
    <row r="246" spans="1:18" ht="13.5" hidden="1" customHeight="1">
      <c r="A246" s="30">
        <v>240</v>
      </c>
      <c r="B246" s="24">
        <f>DATE('1.연간시수표'!$U$2,'1.연간시수표'!$X$2,'1.연간시수표'!$Z$2)+QUOTIENT(ROW(A240)-1,8)+(QUOTIENT(ROW(A240)-1,40)*2)</f>
        <v>44659</v>
      </c>
      <c r="C246" s="24" t="str">
        <f t="shared" si="9"/>
        <v>금</v>
      </c>
      <c r="D246" s="91" t="str">
        <f t="shared" si="10"/>
        <v>8교시</v>
      </c>
      <c r="E246" s="68">
        <f>COUNTIF($H$7:$H246,$H246)</f>
        <v>84</v>
      </c>
      <c r="F246" s="67">
        <f>'1.연간시수표'!$AL$33</f>
        <v>5</v>
      </c>
      <c r="G246" s="89">
        <f t="shared" si="11"/>
        <v>1</v>
      </c>
      <c r="H246" s="91" t="str">
        <f>INDEX('0.시간표데이터'!$E$10:$AR$32,QUOTIENT(ROW(A240)-1,40)+1,MOD(ROW(A240)-1,40)+1)</f>
        <v>_</v>
      </c>
      <c r="I246" s="76"/>
      <c r="J246" s="26"/>
      <c r="K246" s="165"/>
      <c r="L246" s="165"/>
      <c r="M246" s="166"/>
      <c r="N246" s="166"/>
      <c r="O246" s="166"/>
      <c r="P246" s="166"/>
      <c r="Q246" s="167"/>
      <c r="R246" s="111"/>
    </row>
    <row r="247" spans="1:18" hidden="1">
      <c r="A247" s="30">
        <v>241</v>
      </c>
      <c r="B247" s="24">
        <f>DATE('1.연간시수표'!$U$2,'1.연간시수표'!$X$2,'1.연간시수표'!$Z$2)+QUOTIENT(ROW(A241)-1,8)+(QUOTIENT(ROW(A241)-1,40)*2)</f>
        <v>44662</v>
      </c>
      <c r="C247" s="24" t="str">
        <f t="shared" si="9"/>
        <v>월</v>
      </c>
      <c r="D247" s="91" t="str">
        <f t="shared" si="10"/>
        <v>1교시</v>
      </c>
      <c r="E247" s="68">
        <f>COUNTIF($H$7:$H247,$H247)</f>
        <v>28</v>
      </c>
      <c r="F247" s="67">
        <f>'1.연간시수표'!$AL$33</f>
        <v>5</v>
      </c>
      <c r="G247" s="89">
        <f t="shared" si="11"/>
        <v>1</v>
      </c>
      <c r="H247" s="91" t="str">
        <f>INDEX('0.시간표데이터'!$E$10:$AR$32,QUOTIENT(ROW(A241)-1,40)+1,MOD(ROW(A241)-1,40)+1)</f>
        <v>국어</v>
      </c>
      <c r="I247" s="77"/>
      <c r="J247" s="26"/>
      <c r="K247" s="162"/>
      <c r="L247" s="162"/>
      <c r="M247" s="168"/>
      <c r="N247" s="99"/>
      <c r="O247" s="99"/>
      <c r="P247" s="99"/>
      <c r="Q247" s="167"/>
      <c r="R247" s="111"/>
    </row>
    <row r="248" spans="1:18" hidden="1">
      <c r="A248" s="30">
        <v>242</v>
      </c>
      <c r="B248" s="24">
        <f>DATE('1.연간시수표'!$U$2,'1.연간시수표'!$X$2,'1.연간시수표'!$Z$2)+QUOTIENT(ROW(A242)-1,8)+(QUOTIENT(ROW(A242)-1,40)*2)</f>
        <v>44662</v>
      </c>
      <c r="C248" s="24" t="str">
        <f t="shared" si="9"/>
        <v>월</v>
      </c>
      <c r="D248" s="91" t="str">
        <f t="shared" si="10"/>
        <v>2교시</v>
      </c>
      <c r="E248" s="68">
        <f>COUNTIF($H$7:$H248,$H248)</f>
        <v>11</v>
      </c>
      <c r="F248" s="67">
        <f>'1.연간시수표'!$AL$33</f>
        <v>5</v>
      </c>
      <c r="G248" s="89">
        <f t="shared" si="11"/>
        <v>1</v>
      </c>
      <c r="H248" s="91" t="str">
        <f>INDEX('0.시간표데이터'!$E$10:$AR$32,QUOTIENT(ROW(A242)-1,40)+1,MOD(ROW(A242)-1,40)+1)</f>
        <v>미술</v>
      </c>
      <c r="I248" s="161"/>
      <c r="J248" s="26"/>
      <c r="K248" s="165"/>
      <c r="L248" s="165"/>
      <c r="M248" s="166"/>
      <c r="N248" s="166"/>
      <c r="O248" s="166"/>
      <c r="P248" s="166"/>
      <c r="Q248" s="167"/>
      <c r="R248" s="111"/>
    </row>
    <row r="249" spans="1:18" ht="13.5" hidden="1" customHeight="1">
      <c r="A249" s="30">
        <v>243</v>
      </c>
      <c r="B249" s="24">
        <f>DATE('1.연간시수표'!$U$2,'1.연간시수표'!$X$2,'1.연간시수표'!$Z$2)+QUOTIENT(ROW(A243)-1,8)+(QUOTIENT(ROW(A243)-1,40)*2)</f>
        <v>44662</v>
      </c>
      <c r="C249" s="24" t="str">
        <f t="shared" si="9"/>
        <v>월</v>
      </c>
      <c r="D249" s="91" t="str">
        <f t="shared" si="10"/>
        <v>3교시</v>
      </c>
      <c r="E249" s="68">
        <f>COUNTIF($H$7:$H249,$H249)</f>
        <v>12</v>
      </c>
      <c r="F249" s="67">
        <f>'1.연간시수표'!$AL$33</f>
        <v>5</v>
      </c>
      <c r="G249" s="89">
        <f t="shared" si="11"/>
        <v>1</v>
      </c>
      <c r="H249" s="91" t="str">
        <f>INDEX('0.시간표데이터'!$E$10:$AR$32,QUOTIENT(ROW(A243)-1,40)+1,MOD(ROW(A243)-1,40)+1)</f>
        <v>미술</v>
      </c>
      <c r="I249" s="77"/>
      <c r="J249" s="26"/>
      <c r="K249" s="162"/>
      <c r="L249" s="162"/>
      <c r="M249" s="169"/>
      <c r="N249" s="101"/>
      <c r="O249" s="99"/>
      <c r="P249" s="99"/>
      <c r="Q249" s="167"/>
      <c r="R249" s="111"/>
    </row>
    <row r="250" spans="1:18" ht="13.5" hidden="1" customHeight="1">
      <c r="A250" s="30">
        <v>244</v>
      </c>
      <c r="B250" s="24">
        <f>DATE('1.연간시수표'!$U$2,'1.연간시수표'!$X$2,'1.연간시수표'!$Z$2)+QUOTIENT(ROW(A244)-1,8)+(QUOTIENT(ROW(A244)-1,40)*2)</f>
        <v>44662</v>
      </c>
      <c r="C250" s="24" t="str">
        <f t="shared" si="9"/>
        <v>월</v>
      </c>
      <c r="D250" s="91" t="str">
        <f t="shared" si="10"/>
        <v>4교시</v>
      </c>
      <c r="E250" s="68">
        <f>COUNTIF($H$7:$H250,$H250)</f>
        <v>15</v>
      </c>
      <c r="F250" s="67">
        <f>'1.연간시수표'!$AL$33</f>
        <v>5</v>
      </c>
      <c r="G250" s="89">
        <f t="shared" si="11"/>
        <v>1</v>
      </c>
      <c r="H250" s="91" t="str">
        <f>INDEX('0.시간표데이터'!$E$10:$AR$32,QUOTIENT(ROW(A244)-1,40)+1,MOD(ROW(A244)-1,40)+1)</f>
        <v>영어</v>
      </c>
      <c r="I250" s="77"/>
      <c r="J250" s="26"/>
      <c r="K250" s="162"/>
      <c r="L250" s="162"/>
      <c r="M250" s="169"/>
      <c r="N250" s="101"/>
      <c r="O250" s="99"/>
      <c r="P250" s="99"/>
      <c r="Q250" s="167"/>
      <c r="R250" s="111"/>
    </row>
    <row r="251" spans="1:18" ht="13.5" hidden="1" customHeight="1">
      <c r="A251" s="30">
        <v>245</v>
      </c>
      <c r="B251" s="24">
        <f>DATE('1.연간시수표'!$U$2,'1.연간시수표'!$X$2,'1.연간시수표'!$Z$2)+QUOTIENT(ROW(A245)-1,8)+(QUOTIENT(ROW(A245)-1,40)*2)</f>
        <v>44662</v>
      </c>
      <c r="C251" s="24" t="str">
        <f t="shared" si="9"/>
        <v>월</v>
      </c>
      <c r="D251" s="91" t="str">
        <f t="shared" si="10"/>
        <v>5교시</v>
      </c>
      <c r="E251" s="68">
        <f>COUNTIF($H$7:$H251,$H251)</f>
        <v>21</v>
      </c>
      <c r="F251" s="67">
        <f>'1.연간시수표'!$AL$33</f>
        <v>5</v>
      </c>
      <c r="G251" s="89">
        <f t="shared" si="11"/>
        <v>1</v>
      </c>
      <c r="H251" s="91" t="str">
        <f>INDEX('0.시간표데이터'!$E$10:$AR$32,QUOTIENT(ROW(A245)-1,40)+1,MOD(ROW(A245)-1,40)+1)</f>
        <v>수학</v>
      </c>
      <c r="I251" s="77"/>
      <c r="J251" s="26"/>
      <c r="K251" s="162"/>
      <c r="L251" s="162"/>
      <c r="M251" s="168"/>
      <c r="N251" s="98"/>
      <c r="O251" s="99"/>
      <c r="P251" s="99"/>
      <c r="Q251" s="167"/>
      <c r="R251" s="111"/>
    </row>
    <row r="252" spans="1:18" ht="13.5" hidden="1" customHeight="1">
      <c r="A252" s="30">
        <v>246</v>
      </c>
      <c r="B252" s="24">
        <f>DATE('1.연간시수표'!$U$2,'1.연간시수표'!$X$2,'1.연간시수표'!$Z$2)+QUOTIENT(ROW(A246)-1,8)+(QUOTIENT(ROW(A246)-1,40)*2)</f>
        <v>44662</v>
      </c>
      <c r="C252" s="24" t="str">
        <f t="shared" si="9"/>
        <v>월</v>
      </c>
      <c r="D252" s="91" t="str">
        <f t="shared" si="10"/>
        <v>6교시</v>
      </c>
      <c r="E252" s="68">
        <f>COUNTIF($H$7:$H252,$H252)</f>
        <v>15</v>
      </c>
      <c r="F252" s="67">
        <f>'1.연간시수표'!$AL$33</f>
        <v>5</v>
      </c>
      <c r="G252" s="89">
        <f t="shared" si="11"/>
        <v>1</v>
      </c>
      <c r="H252" s="91" t="str">
        <f>INDEX('0.시간표데이터'!$E$10:$AR$32,QUOTIENT(ROW(A246)-1,40)+1,MOD(ROW(A246)-1,40)+1)</f>
        <v>자율활동</v>
      </c>
      <c r="I252" s="77"/>
      <c r="J252" s="26"/>
      <c r="K252" s="165"/>
      <c r="L252" s="165"/>
      <c r="M252" s="166"/>
      <c r="N252" s="166"/>
      <c r="O252" s="166"/>
      <c r="P252" s="166"/>
      <c r="Q252" s="167"/>
      <c r="R252" s="111"/>
    </row>
    <row r="253" spans="1:18" ht="13.5" hidden="1" customHeight="1">
      <c r="A253" s="30">
        <v>247</v>
      </c>
      <c r="B253" s="24">
        <f>DATE('1.연간시수표'!$U$2,'1.연간시수표'!$X$2,'1.연간시수표'!$Z$2)+QUOTIENT(ROW(A247)-1,8)+(QUOTIENT(ROW(A247)-1,40)*2)</f>
        <v>44662</v>
      </c>
      <c r="C253" s="24" t="str">
        <f t="shared" si="9"/>
        <v>월</v>
      </c>
      <c r="D253" s="91" t="str">
        <f t="shared" si="10"/>
        <v>7교시</v>
      </c>
      <c r="E253" s="68">
        <f>COUNTIF($H$7:$H253,$H253)</f>
        <v>85</v>
      </c>
      <c r="F253" s="67">
        <f>'1.연간시수표'!$AL$33</f>
        <v>5</v>
      </c>
      <c r="G253" s="89">
        <f t="shared" si="11"/>
        <v>1</v>
      </c>
      <c r="H253" s="91" t="str">
        <f>INDEX('0.시간표데이터'!$E$10:$AR$32,QUOTIENT(ROW(A247)-1,40)+1,MOD(ROW(A247)-1,40)+1)</f>
        <v>_</v>
      </c>
      <c r="I253" s="76"/>
      <c r="J253" s="26"/>
      <c r="K253" s="165"/>
      <c r="L253" s="165"/>
      <c r="M253" s="166"/>
      <c r="N253" s="166"/>
      <c r="O253" s="166"/>
      <c r="P253" s="166"/>
      <c r="Q253" s="167"/>
      <c r="R253" s="111"/>
    </row>
    <row r="254" spans="1:18" ht="13.5" hidden="1" customHeight="1">
      <c r="A254" s="30">
        <v>248</v>
      </c>
      <c r="B254" s="24">
        <f>DATE('1.연간시수표'!$U$2,'1.연간시수표'!$X$2,'1.연간시수표'!$Z$2)+QUOTIENT(ROW(A248)-1,8)+(QUOTIENT(ROW(A248)-1,40)*2)</f>
        <v>44662</v>
      </c>
      <c r="C254" s="24" t="str">
        <f t="shared" si="9"/>
        <v>월</v>
      </c>
      <c r="D254" s="91" t="str">
        <f t="shared" si="10"/>
        <v>8교시</v>
      </c>
      <c r="E254" s="68">
        <f>COUNTIF($H$7:$H254,$H254)</f>
        <v>86</v>
      </c>
      <c r="F254" s="67">
        <f>'1.연간시수표'!$AL$33</f>
        <v>5</v>
      </c>
      <c r="G254" s="89">
        <f t="shared" si="11"/>
        <v>1</v>
      </c>
      <c r="H254" s="91" t="str">
        <f>INDEX('0.시간표데이터'!$E$10:$AR$32,QUOTIENT(ROW(A248)-1,40)+1,MOD(ROW(A248)-1,40)+1)</f>
        <v>_</v>
      </c>
      <c r="I254" s="76"/>
      <c r="J254" s="26"/>
      <c r="K254" s="165"/>
      <c r="L254" s="165"/>
      <c r="M254" s="166"/>
      <c r="N254" s="166"/>
      <c r="O254" s="166"/>
      <c r="P254" s="166"/>
      <c r="Q254" s="167"/>
      <c r="R254" s="111"/>
    </row>
    <row r="255" spans="1:18" ht="13.5" hidden="1" customHeight="1">
      <c r="A255" s="30">
        <v>249</v>
      </c>
      <c r="B255" s="24">
        <f>DATE('1.연간시수표'!$U$2,'1.연간시수표'!$X$2,'1.연간시수표'!$Z$2)+QUOTIENT(ROW(A249)-1,8)+(QUOTIENT(ROW(A249)-1,40)*2)</f>
        <v>44663</v>
      </c>
      <c r="C255" s="24" t="str">
        <f t="shared" si="9"/>
        <v>화</v>
      </c>
      <c r="D255" s="91" t="str">
        <f t="shared" si="10"/>
        <v>1교시</v>
      </c>
      <c r="E255" s="68">
        <f>COUNTIF($H$7:$H255,$H255)</f>
        <v>29</v>
      </c>
      <c r="F255" s="67">
        <f>'1.연간시수표'!$AL$33</f>
        <v>5</v>
      </c>
      <c r="G255" s="89">
        <f t="shared" si="11"/>
        <v>1</v>
      </c>
      <c r="H255" s="91" t="str">
        <f>INDEX('0.시간표데이터'!$E$10:$AR$32,QUOTIENT(ROW(A249)-1,40)+1,MOD(ROW(A249)-1,40)+1)</f>
        <v>국어</v>
      </c>
      <c r="I255" s="77"/>
      <c r="J255" s="26"/>
      <c r="K255" s="162"/>
      <c r="L255" s="162"/>
      <c r="M255" s="168"/>
      <c r="N255" s="99"/>
      <c r="O255" s="99"/>
      <c r="P255" s="99"/>
      <c r="Q255" s="167"/>
      <c r="R255" s="111"/>
    </row>
    <row r="256" spans="1:18" ht="13.5" hidden="1" customHeight="1">
      <c r="A256" s="30">
        <v>250</v>
      </c>
      <c r="B256" s="24">
        <f>DATE('1.연간시수표'!$U$2,'1.연간시수표'!$X$2,'1.연간시수표'!$Z$2)+QUOTIENT(ROW(A250)-1,8)+(QUOTIENT(ROW(A250)-1,40)*2)</f>
        <v>44663</v>
      </c>
      <c r="C256" s="24" t="str">
        <f t="shared" si="9"/>
        <v>화</v>
      </c>
      <c r="D256" s="91" t="str">
        <f t="shared" si="10"/>
        <v>2교시</v>
      </c>
      <c r="E256" s="68">
        <f>COUNTIF($H$7:$H256,$H256)</f>
        <v>30</v>
      </c>
      <c r="F256" s="67">
        <f>'1.연간시수표'!$AL$33</f>
        <v>5</v>
      </c>
      <c r="G256" s="89">
        <f t="shared" si="11"/>
        <v>1</v>
      </c>
      <c r="H256" s="91" t="str">
        <f>INDEX('0.시간표데이터'!$E$10:$AR$32,QUOTIENT(ROW(A250)-1,40)+1,MOD(ROW(A250)-1,40)+1)</f>
        <v>국어</v>
      </c>
      <c r="I256" s="161"/>
      <c r="J256" s="26"/>
      <c r="K256" s="165"/>
      <c r="L256" s="165"/>
      <c r="M256" s="166"/>
      <c r="N256" s="166"/>
      <c r="O256" s="166"/>
      <c r="P256" s="166"/>
      <c r="Q256" s="167"/>
      <c r="R256" s="111"/>
    </row>
    <row r="257" spans="1:18" ht="13.5" hidden="1" customHeight="1">
      <c r="A257" s="30">
        <v>251</v>
      </c>
      <c r="B257" s="24">
        <f>DATE('1.연간시수표'!$U$2,'1.연간시수표'!$X$2,'1.연간시수표'!$Z$2)+QUOTIENT(ROW(A251)-1,8)+(QUOTIENT(ROW(A251)-1,40)*2)</f>
        <v>44663</v>
      </c>
      <c r="C257" s="24" t="str">
        <f t="shared" si="9"/>
        <v>화</v>
      </c>
      <c r="D257" s="91" t="str">
        <f t="shared" si="10"/>
        <v>3교시</v>
      </c>
      <c r="E257" s="68">
        <f>COUNTIF($H$7:$H257,$H257)</f>
        <v>16</v>
      </c>
      <c r="F257" s="67">
        <f>'1.연간시수표'!$AL$33</f>
        <v>5</v>
      </c>
      <c r="G257" s="89">
        <f t="shared" si="11"/>
        <v>1</v>
      </c>
      <c r="H257" s="91" t="str">
        <f>INDEX('0.시간표데이터'!$E$10:$AR$32,QUOTIENT(ROW(A251)-1,40)+1,MOD(ROW(A251)-1,40)+1)</f>
        <v>사회</v>
      </c>
      <c r="I257" s="77"/>
      <c r="J257" s="26"/>
      <c r="K257" s="162"/>
      <c r="L257" s="162"/>
      <c r="M257" s="170"/>
      <c r="N257" s="98"/>
      <c r="O257" s="98"/>
      <c r="P257" s="98"/>
      <c r="Q257" s="167"/>
      <c r="R257" s="111"/>
    </row>
    <row r="258" spans="1:18" ht="13.5" hidden="1" customHeight="1">
      <c r="A258" s="30">
        <v>252</v>
      </c>
      <c r="B258" s="24">
        <f>DATE('1.연간시수표'!$U$2,'1.연간시수표'!$X$2,'1.연간시수표'!$Z$2)+QUOTIENT(ROW(A252)-1,8)+(QUOTIENT(ROW(A252)-1,40)*2)</f>
        <v>44663</v>
      </c>
      <c r="C258" s="24" t="str">
        <f t="shared" si="9"/>
        <v>화</v>
      </c>
      <c r="D258" s="91" t="str">
        <f t="shared" si="10"/>
        <v>4교시</v>
      </c>
      <c r="E258" s="68">
        <f>COUNTIF($H$7:$H258,$H258)</f>
        <v>22</v>
      </c>
      <c r="F258" s="67">
        <f>'1.연간시수표'!$AL$33</f>
        <v>5</v>
      </c>
      <c r="G258" s="89">
        <f t="shared" si="11"/>
        <v>1</v>
      </c>
      <c r="H258" s="91" t="str">
        <f>INDEX('0.시간표데이터'!$E$10:$AR$32,QUOTIENT(ROW(A252)-1,40)+1,MOD(ROW(A252)-1,40)+1)</f>
        <v>수학</v>
      </c>
      <c r="I258" s="77"/>
      <c r="J258" s="26"/>
      <c r="K258" s="162"/>
      <c r="L258" s="162"/>
      <c r="M258" s="168"/>
      <c r="N258" s="98"/>
      <c r="O258" s="99"/>
      <c r="P258" s="99"/>
      <c r="Q258" s="167"/>
      <c r="R258" s="111"/>
    </row>
    <row r="259" spans="1:18" ht="13.5" hidden="1" customHeight="1">
      <c r="A259" s="30">
        <v>253</v>
      </c>
      <c r="B259" s="24">
        <f>DATE('1.연간시수표'!$U$2,'1.연간시수표'!$X$2,'1.연간시수표'!$Z$2)+QUOTIENT(ROW(A253)-1,8)+(QUOTIENT(ROW(A253)-1,40)*2)</f>
        <v>44663</v>
      </c>
      <c r="C259" s="24" t="str">
        <f t="shared" si="9"/>
        <v>화</v>
      </c>
      <c r="D259" s="91" t="str">
        <f t="shared" si="10"/>
        <v>5교시</v>
      </c>
      <c r="E259" s="68">
        <f>COUNTIF($H$7:$H259,$H259)</f>
        <v>17</v>
      </c>
      <c r="F259" s="67">
        <f>'1.연간시수표'!$AL$33</f>
        <v>5</v>
      </c>
      <c r="G259" s="89">
        <f t="shared" si="11"/>
        <v>1</v>
      </c>
      <c r="H259" s="91" t="str">
        <f>INDEX('0.시간표데이터'!$E$10:$AR$32,QUOTIENT(ROW(A253)-1,40)+1,MOD(ROW(A253)-1,40)+1)</f>
        <v>과학</v>
      </c>
      <c r="I259" s="77"/>
      <c r="J259" s="26"/>
      <c r="K259" s="137"/>
      <c r="L259" s="137"/>
      <c r="M259" s="114"/>
      <c r="N259" s="114"/>
      <c r="O259" s="114"/>
      <c r="P259" s="114"/>
      <c r="Q259" s="164"/>
      <c r="R259" s="110"/>
    </row>
    <row r="260" spans="1:18" ht="13.5" hidden="1" customHeight="1">
      <c r="A260" s="30">
        <v>254</v>
      </c>
      <c r="B260" s="24">
        <f>DATE('1.연간시수표'!$U$2,'1.연간시수표'!$X$2,'1.연간시수표'!$Z$2)+QUOTIENT(ROW(A254)-1,8)+(QUOTIENT(ROW(A254)-1,40)*2)</f>
        <v>44663</v>
      </c>
      <c r="C260" s="24" t="str">
        <f t="shared" si="9"/>
        <v>화</v>
      </c>
      <c r="D260" s="91" t="str">
        <f t="shared" si="10"/>
        <v>6교시</v>
      </c>
      <c r="E260" s="68">
        <f>COUNTIF($H$7:$H260,$H260)</f>
        <v>11</v>
      </c>
      <c r="F260" s="67">
        <f>'1.연간시수표'!$AL$33</f>
        <v>5</v>
      </c>
      <c r="G260" s="89">
        <f t="shared" si="11"/>
        <v>1</v>
      </c>
      <c r="H260" s="91" t="str">
        <f>INDEX('0.시간표데이터'!$E$10:$AR$32,QUOTIENT(ROW(A254)-1,40)+1,MOD(ROW(A254)-1,40)+1)</f>
        <v>실과</v>
      </c>
      <c r="I260" s="77"/>
      <c r="J260" s="26"/>
      <c r="K260" s="165"/>
      <c r="L260" s="165"/>
      <c r="M260" s="166"/>
      <c r="N260" s="166"/>
      <c r="O260" s="166"/>
      <c r="P260" s="166"/>
      <c r="Q260" s="167"/>
      <c r="R260" s="111"/>
    </row>
    <row r="261" spans="1:18" ht="13.5" hidden="1" customHeight="1">
      <c r="A261" s="30">
        <v>255</v>
      </c>
      <c r="B261" s="24">
        <f>DATE('1.연간시수표'!$U$2,'1.연간시수표'!$X$2,'1.연간시수표'!$Z$2)+QUOTIENT(ROW(A255)-1,8)+(QUOTIENT(ROW(A255)-1,40)*2)</f>
        <v>44663</v>
      </c>
      <c r="C261" s="24" t="str">
        <f t="shared" si="9"/>
        <v>화</v>
      </c>
      <c r="D261" s="91" t="str">
        <f t="shared" si="10"/>
        <v>7교시</v>
      </c>
      <c r="E261" s="68">
        <f>COUNTIF($H$7:$H261,$H261)</f>
        <v>87</v>
      </c>
      <c r="F261" s="67">
        <f>'1.연간시수표'!$AL$33</f>
        <v>5</v>
      </c>
      <c r="G261" s="89">
        <f t="shared" si="11"/>
        <v>1</v>
      </c>
      <c r="H261" s="91" t="str">
        <f>INDEX('0.시간표데이터'!$E$10:$AR$32,QUOTIENT(ROW(A255)-1,40)+1,MOD(ROW(A255)-1,40)+1)</f>
        <v>_</v>
      </c>
      <c r="I261" s="76"/>
      <c r="J261" s="26"/>
      <c r="K261" s="165"/>
      <c r="L261" s="165"/>
      <c r="M261" s="166"/>
      <c r="N261" s="166"/>
      <c r="O261" s="166"/>
      <c r="P261" s="166"/>
      <c r="Q261" s="167"/>
      <c r="R261" s="111"/>
    </row>
    <row r="262" spans="1:18" ht="13.5" hidden="1" customHeight="1">
      <c r="A262" s="30">
        <v>256</v>
      </c>
      <c r="B262" s="24">
        <f>DATE('1.연간시수표'!$U$2,'1.연간시수표'!$X$2,'1.연간시수표'!$Z$2)+QUOTIENT(ROW(A256)-1,8)+(QUOTIENT(ROW(A256)-1,40)*2)</f>
        <v>44663</v>
      </c>
      <c r="C262" s="24" t="str">
        <f t="shared" si="9"/>
        <v>화</v>
      </c>
      <c r="D262" s="91" t="str">
        <f t="shared" si="10"/>
        <v>8교시</v>
      </c>
      <c r="E262" s="68">
        <f>COUNTIF($H$7:$H262,$H262)</f>
        <v>88</v>
      </c>
      <c r="F262" s="67">
        <f>'1.연간시수표'!$AL$33</f>
        <v>5</v>
      </c>
      <c r="G262" s="89">
        <f t="shared" si="11"/>
        <v>1</v>
      </c>
      <c r="H262" s="91" t="str">
        <f>INDEX('0.시간표데이터'!$E$10:$AR$32,QUOTIENT(ROW(A256)-1,40)+1,MOD(ROW(A256)-1,40)+1)</f>
        <v>_</v>
      </c>
      <c r="I262" s="76"/>
      <c r="J262" s="26"/>
      <c r="K262" s="165"/>
      <c r="L262" s="165"/>
      <c r="M262" s="166"/>
      <c r="N262" s="166"/>
      <c r="O262" s="166"/>
      <c r="P262" s="166"/>
      <c r="Q262" s="167"/>
      <c r="R262" s="111"/>
    </row>
    <row r="263" spans="1:18" ht="13.5" hidden="1" customHeight="1">
      <c r="A263" s="30">
        <v>257</v>
      </c>
      <c r="B263" s="24">
        <f>DATE('1.연간시수표'!$U$2,'1.연간시수표'!$X$2,'1.연간시수표'!$Z$2)+QUOTIENT(ROW(A257)-1,8)+(QUOTIENT(ROW(A257)-1,40)*2)</f>
        <v>44664</v>
      </c>
      <c r="C263" s="24" t="str">
        <f t="shared" ref="C263:C326" si="12">IF(WEEKDAY(B263,2)=1,"월",IF(WEEKDAY(B263,2)=2,"화",IF(WEEKDAY(B263,2)=3,"수",IF(WEEKDAY(B263,2)=4,"목",IF(WEEKDAY(B263,2)=5,"금")))))</f>
        <v>수</v>
      </c>
      <c r="D263" s="91" t="str">
        <f t="shared" ref="D263:D326" si="13">TEXT(MOD(ROW(A257)-1,8)+1,"#교시")</f>
        <v>1교시</v>
      </c>
      <c r="E263" s="68">
        <f>COUNTIF($H$7:$H263,$H263)</f>
        <v>16</v>
      </c>
      <c r="F263" s="67">
        <f>'1.연간시수표'!$AL$33</f>
        <v>5</v>
      </c>
      <c r="G263" s="89">
        <f t="shared" ref="G263:G326" si="14">$A$2</f>
        <v>1</v>
      </c>
      <c r="H263" s="91" t="str">
        <f>INDEX('0.시간표데이터'!$E$10:$AR$32,QUOTIENT(ROW(A257)-1,40)+1,MOD(ROW(A257)-1,40)+1)</f>
        <v>영어</v>
      </c>
      <c r="I263" s="77"/>
      <c r="J263" s="26"/>
      <c r="K263" s="162"/>
      <c r="L263" s="162"/>
      <c r="M263" s="168"/>
      <c r="N263" s="168"/>
      <c r="O263" s="99"/>
      <c r="P263" s="99"/>
      <c r="Q263" s="167"/>
      <c r="R263" s="111"/>
    </row>
    <row r="264" spans="1:18" ht="13.5" hidden="1" customHeight="1">
      <c r="A264" s="30">
        <v>258</v>
      </c>
      <c r="B264" s="24">
        <f>DATE('1.연간시수표'!$U$2,'1.연간시수표'!$X$2,'1.연간시수표'!$Z$2)+QUOTIENT(ROW(A258)-1,8)+(QUOTIENT(ROW(A258)-1,40)*2)</f>
        <v>44664</v>
      </c>
      <c r="C264" s="24" t="str">
        <f t="shared" si="12"/>
        <v>수</v>
      </c>
      <c r="D264" s="91" t="str">
        <f t="shared" si="13"/>
        <v>2교시</v>
      </c>
      <c r="E264" s="68">
        <f>COUNTIF($H$7:$H264,$H264)</f>
        <v>18</v>
      </c>
      <c r="F264" s="67">
        <f>'1.연간시수표'!$AL$33</f>
        <v>5</v>
      </c>
      <c r="G264" s="89">
        <f t="shared" si="14"/>
        <v>1</v>
      </c>
      <c r="H264" s="91" t="str">
        <f>INDEX('0.시간표데이터'!$E$10:$AR$32,QUOTIENT(ROW(A258)-1,40)+1,MOD(ROW(A258)-1,40)+1)</f>
        <v>과학</v>
      </c>
      <c r="I264" s="77"/>
      <c r="J264" s="26"/>
      <c r="K264" s="137"/>
      <c r="L264" s="137"/>
      <c r="M264" s="114"/>
      <c r="N264" s="114"/>
      <c r="O264" s="114"/>
      <c r="P264" s="114"/>
      <c r="Q264" s="164"/>
      <c r="R264" s="110"/>
    </row>
    <row r="265" spans="1:18" ht="13.5" hidden="1" customHeight="1">
      <c r="A265" s="30">
        <v>259</v>
      </c>
      <c r="B265" s="24">
        <f>DATE('1.연간시수표'!$U$2,'1.연간시수표'!$X$2,'1.연간시수표'!$Z$2)+QUOTIENT(ROW(A259)-1,8)+(QUOTIENT(ROW(A259)-1,40)*2)</f>
        <v>44664</v>
      </c>
      <c r="C265" s="24" t="str">
        <f t="shared" si="12"/>
        <v>수</v>
      </c>
      <c r="D265" s="91" t="str">
        <f t="shared" si="13"/>
        <v>3교시</v>
      </c>
      <c r="E265" s="68">
        <f>COUNTIF($H$7:$H265,$H265)</f>
        <v>10</v>
      </c>
      <c r="F265" s="67">
        <f>'1.연간시수표'!$AL$33</f>
        <v>5</v>
      </c>
      <c r="G265" s="89">
        <f t="shared" si="14"/>
        <v>1</v>
      </c>
      <c r="H265" s="91" t="str">
        <f>INDEX('0.시간표데이터'!$E$10:$AR$32,QUOTIENT(ROW(A259)-1,40)+1,MOD(ROW(A259)-1,40)+1)</f>
        <v>체육</v>
      </c>
      <c r="I265" s="77"/>
      <c r="J265" s="26"/>
      <c r="K265" s="162"/>
      <c r="L265" s="162"/>
      <c r="M265" s="169"/>
      <c r="N265" s="101"/>
      <c r="O265" s="99"/>
      <c r="P265" s="99"/>
      <c r="Q265" s="167"/>
      <c r="R265" s="111"/>
    </row>
    <row r="266" spans="1:18" ht="13.5" hidden="1" customHeight="1">
      <c r="A266" s="30">
        <v>260</v>
      </c>
      <c r="B266" s="24">
        <f>DATE('1.연간시수표'!$U$2,'1.연간시수표'!$X$2,'1.연간시수표'!$Z$2)+QUOTIENT(ROW(A260)-1,8)+(QUOTIENT(ROW(A260)-1,40)*2)</f>
        <v>44664</v>
      </c>
      <c r="C266" s="24" t="str">
        <f t="shared" si="12"/>
        <v>수</v>
      </c>
      <c r="D266" s="91" t="str">
        <f t="shared" si="13"/>
        <v>4교시</v>
      </c>
      <c r="E266" s="68">
        <f>COUNTIF($H$7:$H266,$H266)</f>
        <v>15</v>
      </c>
      <c r="F266" s="67">
        <f>'1.연간시수표'!$AL$33</f>
        <v>5</v>
      </c>
      <c r="G266" s="89">
        <f t="shared" si="14"/>
        <v>1</v>
      </c>
      <c r="H266" s="91" t="str">
        <f>INDEX('0.시간표데이터'!$E$10:$AR$32,QUOTIENT(ROW(A260)-1,40)+1,MOD(ROW(A260)-1,40)+1)</f>
        <v>음악</v>
      </c>
      <c r="I266" s="77"/>
      <c r="J266" s="26"/>
      <c r="K266" s="162"/>
      <c r="L266" s="162"/>
      <c r="M266" s="168"/>
      <c r="N266" s="99"/>
      <c r="O266" s="99"/>
      <c r="P266" s="99"/>
      <c r="Q266" s="167"/>
      <c r="R266" s="111"/>
    </row>
    <row r="267" spans="1:18" ht="13.5" customHeight="1">
      <c r="A267" s="30">
        <v>261</v>
      </c>
      <c r="B267" s="24">
        <f>DATE('1.연간시수표'!$U$2,'1.연간시수표'!$X$2,'1.연간시수표'!$Z$2)+QUOTIENT(ROW(A261)-1,8)+(QUOTIENT(ROW(A261)-1,40)*2)</f>
        <v>44664</v>
      </c>
      <c r="C267" s="24" t="str">
        <f t="shared" si="12"/>
        <v>수</v>
      </c>
      <c r="D267" s="91" t="str">
        <f t="shared" si="13"/>
        <v>5교시</v>
      </c>
      <c r="E267" s="68">
        <f>COUNTIF($H$7:$H267,$H267)</f>
        <v>6</v>
      </c>
      <c r="F267" s="67">
        <f>'1.연간시수표'!$AL$33</f>
        <v>5</v>
      </c>
      <c r="G267" s="89">
        <f t="shared" si="14"/>
        <v>1</v>
      </c>
      <c r="H267" s="91" t="str">
        <f>INDEX('0.시간표데이터'!$E$10:$AR$32,QUOTIENT(ROW(A261)-1,40)+1,MOD(ROW(A261)-1,40)+1)</f>
        <v>도덕</v>
      </c>
      <c r="I267" s="77"/>
      <c r="J267" s="26"/>
      <c r="K267" s="173"/>
      <c r="L267" s="178"/>
      <c r="M267" s="10"/>
      <c r="N267" s="10"/>
      <c r="O267" s="10"/>
      <c r="P267" s="10"/>
      <c r="Q267" s="164"/>
      <c r="R267" s="109"/>
    </row>
    <row r="268" spans="1:18" ht="13.5" hidden="1" customHeight="1">
      <c r="A268" s="30">
        <v>262</v>
      </c>
      <c r="B268" s="24">
        <f>DATE('1.연간시수표'!$U$2,'1.연간시수표'!$X$2,'1.연간시수표'!$Z$2)+QUOTIENT(ROW(A262)-1,8)+(QUOTIENT(ROW(A262)-1,40)*2)</f>
        <v>44664</v>
      </c>
      <c r="C268" s="24" t="str">
        <f t="shared" si="12"/>
        <v>수</v>
      </c>
      <c r="D268" s="91" t="str">
        <f t="shared" si="13"/>
        <v>6교시</v>
      </c>
      <c r="E268" s="68">
        <f>COUNTIF($H$7:$H268,$H268)</f>
        <v>89</v>
      </c>
      <c r="F268" s="67">
        <f>'1.연간시수표'!$AL$33</f>
        <v>5</v>
      </c>
      <c r="G268" s="89">
        <f t="shared" si="14"/>
        <v>1</v>
      </c>
      <c r="H268" s="91" t="str">
        <f>INDEX('0.시간표데이터'!$E$10:$AR$32,QUOTIENT(ROW(A262)-1,40)+1,MOD(ROW(A262)-1,40)+1)</f>
        <v>_</v>
      </c>
      <c r="I268" s="77"/>
      <c r="J268" s="26"/>
      <c r="K268" s="165"/>
      <c r="L268" s="165"/>
      <c r="M268" s="166"/>
      <c r="N268" s="166"/>
      <c r="O268" s="166"/>
      <c r="P268" s="166"/>
      <c r="Q268" s="167"/>
      <c r="R268" s="111"/>
    </row>
    <row r="269" spans="1:18" ht="13.5" hidden="1" customHeight="1">
      <c r="A269" s="30">
        <v>263</v>
      </c>
      <c r="B269" s="24">
        <f>DATE('1.연간시수표'!$U$2,'1.연간시수표'!$X$2,'1.연간시수표'!$Z$2)+QUOTIENT(ROW(A263)-1,8)+(QUOTIENT(ROW(A263)-1,40)*2)</f>
        <v>44664</v>
      </c>
      <c r="C269" s="24" t="str">
        <f t="shared" si="12"/>
        <v>수</v>
      </c>
      <c r="D269" s="91" t="str">
        <f t="shared" si="13"/>
        <v>7교시</v>
      </c>
      <c r="E269" s="68">
        <f>COUNTIF($H$7:$H269,$H269)</f>
        <v>90</v>
      </c>
      <c r="F269" s="67">
        <f>'1.연간시수표'!$AL$33</f>
        <v>5</v>
      </c>
      <c r="G269" s="89">
        <f t="shared" si="14"/>
        <v>1</v>
      </c>
      <c r="H269" s="91" t="str">
        <f>INDEX('0.시간표데이터'!$E$10:$AR$32,QUOTIENT(ROW(A263)-1,40)+1,MOD(ROW(A263)-1,40)+1)</f>
        <v>_</v>
      </c>
      <c r="I269" s="76"/>
      <c r="J269" s="26"/>
      <c r="K269" s="165"/>
      <c r="L269" s="165"/>
      <c r="M269" s="166"/>
      <c r="N269" s="166"/>
      <c r="O269" s="166"/>
      <c r="P269" s="166"/>
      <c r="Q269" s="167"/>
      <c r="R269" s="111"/>
    </row>
    <row r="270" spans="1:18" ht="13.5" hidden="1" customHeight="1">
      <c r="A270" s="30">
        <v>264</v>
      </c>
      <c r="B270" s="24">
        <f>DATE('1.연간시수표'!$U$2,'1.연간시수표'!$X$2,'1.연간시수표'!$Z$2)+QUOTIENT(ROW(A264)-1,8)+(QUOTIENT(ROW(A264)-1,40)*2)</f>
        <v>44664</v>
      </c>
      <c r="C270" s="24" t="str">
        <f t="shared" si="12"/>
        <v>수</v>
      </c>
      <c r="D270" s="91" t="str">
        <f t="shared" si="13"/>
        <v>8교시</v>
      </c>
      <c r="E270" s="68">
        <f>COUNTIF($H$7:$H270,$H270)</f>
        <v>91</v>
      </c>
      <c r="F270" s="67">
        <f>'1.연간시수표'!$AL$33</f>
        <v>5</v>
      </c>
      <c r="G270" s="89">
        <f t="shared" si="14"/>
        <v>1</v>
      </c>
      <c r="H270" s="91" t="str">
        <f>INDEX('0.시간표데이터'!$E$10:$AR$32,QUOTIENT(ROW(A264)-1,40)+1,MOD(ROW(A264)-1,40)+1)</f>
        <v>_</v>
      </c>
      <c r="I270" s="76"/>
      <c r="J270" s="26"/>
      <c r="K270" s="165"/>
      <c r="L270" s="165"/>
      <c r="M270" s="166"/>
      <c r="N270" s="166"/>
      <c r="O270" s="166"/>
      <c r="P270" s="166"/>
      <c r="Q270" s="167"/>
      <c r="R270" s="111"/>
    </row>
    <row r="271" spans="1:18" ht="13.5" hidden="1" customHeight="1">
      <c r="A271" s="30">
        <v>265</v>
      </c>
      <c r="B271" s="24">
        <f>DATE('1.연간시수표'!$U$2,'1.연간시수표'!$X$2,'1.연간시수표'!$Z$2)+QUOTIENT(ROW(A265)-1,8)+(QUOTIENT(ROW(A265)-1,40)*2)</f>
        <v>44665</v>
      </c>
      <c r="C271" s="24" t="str">
        <f t="shared" si="12"/>
        <v>목</v>
      </c>
      <c r="D271" s="91" t="str">
        <f t="shared" si="13"/>
        <v>1교시</v>
      </c>
      <c r="E271" s="68">
        <f>COUNTIF($H$7:$H271,$H271)</f>
        <v>31</v>
      </c>
      <c r="F271" s="67">
        <f>'1.연간시수표'!$AL$33</f>
        <v>5</v>
      </c>
      <c r="G271" s="89">
        <f t="shared" si="14"/>
        <v>1</v>
      </c>
      <c r="H271" s="91" t="str">
        <f>INDEX('0.시간표데이터'!$E$10:$AR$32,QUOTIENT(ROW(A265)-1,40)+1,MOD(ROW(A265)-1,40)+1)</f>
        <v>국어</v>
      </c>
      <c r="I271" s="77"/>
      <c r="J271" s="26"/>
      <c r="K271" s="162"/>
      <c r="L271" s="162"/>
      <c r="M271" s="168"/>
      <c r="N271" s="168"/>
      <c r="O271" s="99"/>
      <c r="P271" s="99"/>
      <c r="Q271" s="167"/>
      <c r="R271" s="111"/>
    </row>
    <row r="272" spans="1:18" ht="13.5" hidden="1" customHeight="1">
      <c r="A272" s="30">
        <v>266</v>
      </c>
      <c r="B272" s="24">
        <f>DATE('1.연간시수표'!$U$2,'1.연간시수표'!$X$2,'1.연간시수표'!$Z$2)+QUOTIENT(ROW(A266)-1,8)+(QUOTIENT(ROW(A266)-1,40)*2)</f>
        <v>44665</v>
      </c>
      <c r="C272" s="24" t="str">
        <f t="shared" si="12"/>
        <v>목</v>
      </c>
      <c r="D272" s="91" t="str">
        <f t="shared" si="13"/>
        <v>2교시</v>
      </c>
      <c r="E272" s="68">
        <f>COUNTIF($H$7:$H272,$H272)</f>
        <v>23</v>
      </c>
      <c r="F272" s="67">
        <f>'1.연간시수표'!$AL$33</f>
        <v>5</v>
      </c>
      <c r="G272" s="89">
        <f t="shared" si="14"/>
        <v>1</v>
      </c>
      <c r="H272" s="91" t="str">
        <f>INDEX('0.시간표데이터'!$E$10:$AR$32,QUOTIENT(ROW(A266)-1,40)+1,MOD(ROW(A266)-1,40)+1)</f>
        <v>수학</v>
      </c>
      <c r="I272" s="161"/>
      <c r="J272" s="26"/>
      <c r="K272" s="165"/>
      <c r="L272" s="165"/>
      <c r="M272" s="166"/>
      <c r="N272" s="166"/>
      <c r="O272" s="166"/>
      <c r="P272" s="166"/>
      <c r="Q272" s="167"/>
      <c r="R272" s="111"/>
    </row>
    <row r="273" spans="1:18" ht="13.5" hidden="1" customHeight="1">
      <c r="A273" s="30">
        <v>267</v>
      </c>
      <c r="B273" s="24">
        <f>DATE('1.연간시수표'!$U$2,'1.연간시수표'!$X$2,'1.연간시수표'!$Z$2)+QUOTIENT(ROW(A267)-1,8)+(QUOTIENT(ROW(A267)-1,40)*2)</f>
        <v>44665</v>
      </c>
      <c r="C273" s="24" t="str">
        <f t="shared" si="12"/>
        <v>목</v>
      </c>
      <c r="D273" s="91" t="str">
        <f t="shared" si="13"/>
        <v>3교시</v>
      </c>
      <c r="E273" s="68">
        <f>COUNTIF($H$7:$H273,$H273)</f>
        <v>17</v>
      </c>
      <c r="F273" s="67">
        <f>'1.연간시수표'!$AL$33</f>
        <v>5</v>
      </c>
      <c r="G273" s="89">
        <f t="shared" si="14"/>
        <v>1</v>
      </c>
      <c r="H273" s="91" t="str">
        <f>INDEX('0.시간표데이터'!$E$10:$AR$32,QUOTIENT(ROW(A267)-1,40)+1,MOD(ROW(A267)-1,40)+1)</f>
        <v>사회</v>
      </c>
      <c r="I273" s="77"/>
      <c r="J273" s="26"/>
      <c r="K273" s="162"/>
      <c r="L273" s="162"/>
      <c r="M273" s="168"/>
      <c r="N273" s="99"/>
      <c r="O273" s="99"/>
      <c r="P273" s="99"/>
      <c r="Q273" s="167"/>
      <c r="R273" s="111"/>
    </row>
    <row r="274" spans="1:18" ht="13.5" hidden="1" customHeight="1">
      <c r="A274" s="30">
        <v>268</v>
      </c>
      <c r="B274" s="24">
        <f>DATE('1.연간시수표'!$U$2,'1.연간시수표'!$X$2,'1.연간시수표'!$Z$2)+QUOTIENT(ROW(A268)-1,8)+(QUOTIENT(ROW(A268)-1,40)*2)</f>
        <v>44665</v>
      </c>
      <c r="C274" s="24" t="str">
        <f t="shared" si="12"/>
        <v>목</v>
      </c>
      <c r="D274" s="91" t="str">
        <f t="shared" si="13"/>
        <v>4교시</v>
      </c>
      <c r="E274" s="68">
        <f>COUNTIF($H$7:$H274,$H274)</f>
        <v>17</v>
      </c>
      <c r="F274" s="67">
        <f>'1.연간시수표'!$AL$33</f>
        <v>5</v>
      </c>
      <c r="G274" s="89">
        <f t="shared" si="14"/>
        <v>1</v>
      </c>
      <c r="H274" s="91" t="str">
        <f>INDEX('0.시간표데이터'!$E$10:$AR$32,QUOTIENT(ROW(A268)-1,40)+1,MOD(ROW(A268)-1,40)+1)</f>
        <v>영어</v>
      </c>
      <c r="I274" s="77"/>
      <c r="J274" s="26"/>
      <c r="K274" s="162"/>
      <c r="L274" s="162"/>
      <c r="M274" s="170"/>
      <c r="N274" s="98"/>
      <c r="O274" s="98"/>
      <c r="P274" s="98"/>
      <c r="Q274" s="167"/>
      <c r="R274" s="111"/>
    </row>
    <row r="275" spans="1:18" ht="13.5" hidden="1" customHeight="1">
      <c r="A275" s="30">
        <v>269</v>
      </c>
      <c r="B275" s="24">
        <f>DATE('1.연간시수표'!$U$2,'1.연간시수표'!$X$2,'1.연간시수표'!$Z$2)+QUOTIENT(ROW(A269)-1,8)+(QUOTIENT(ROW(A269)-1,40)*2)</f>
        <v>44665</v>
      </c>
      <c r="C275" s="24" t="str">
        <f t="shared" si="12"/>
        <v>목</v>
      </c>
      <c r="D275" s="91" t="str">
        <f t="shared" si="13"/>
        <v>5교시</v>
      </c>
      <c r="E275" s="68">
        <f>COUNTIF($H$7:$H275,$H275)</f>
        <v>19</v>
      </c>
      <c r="F275" s="67">
        <f>'1.연간시수표'!$AL$33</f>
        <v>5</v>
      </c>
      <c r="G275" s="89">
        <f t="shared" si="14"/>
        <v>1</v>
      </c>
      <c r="H275" s="91" t="str">
        <f>INDEX('0.시간표데이터'!$E$10:$AR$32,QUOTIENT(ROW(A269)-1,40)+1,MOD(ROW(A269)-1,40)+1)</f>
        <v>과학</v>
      </c>
      <c r="I275" s="77"/>
      <c r="J275" s="26"/>
      <c r="K275" s="162"/>
      <c r="L275" s="162"/>
      <c r="M275" s="168"/>
      <c r="N275" s="99"/>
      <c r="O275" s="99"/>
      <c r="P275" s="99"/>
      <c r="Q275" s="167"/>
      <c r="R275" s="111"/>
    </row>
    <row r="276" spans="1:18" ht="13.5" hidden="1" customHeight="1">
      <c r="A276" s="30">
        <v>270</v>
      </c>
      <c r="B276" s="24">
        <f>DATE('1.연간시수표'!$U$2,'1.연간시수표'!$X$2,'1.연간시수표'!$Z$2)+QUOTIENT(ROW(A270)-1,8)+(QUOTIENT(ROW(A270)-1,40)*2)</f>
        <v>44665</v>
      </c>
      <c r="C276" s="24" t="str">
        <f t="shared" si="12"/>
        <v>목</v>
      </c>
      <c r="D276" s="91" t="str">
        <f t="shared" si="13"/>
        <v>6교시</v>
      </c>
      <c r="E276" s="68">
        <f>COUNTIF($H$7:$H276,$H276)</f>
        <v>16</v>
      </c>
      <c r="F276" s="67">
        <f>'1.연간시수표'!$AL$33</f>
        <v>5</v>
      </c>
      <c r="G276" s="89">
        <f t="shared" si="14"/>
        <v>1</v>
      </c>
      <c r="H276" s="91" t="str">
        <f>INDEX('0.시간표데이터'!$E$10:$AR$32,QUOTIENT(ROW(A270)-1,40)+1,MOD(ROW(A270)-1,40)+1)</f>
        <v>음악</v>
      </c>
      <c r="I276" s="161"/>
      <c r="J276" s="26"/>
      <c r="K276" s="162"/>
      <c r="L276" s="162"/>
      <c r="M276" s="170"/>
      <c r="N276" s="98"/>
      <c r="O276" s="98"/>
      <c r="P276" s="98"/>
      <c r="Q276" s="167"/>
      <c r="R276" s="111"/>
    </row>
    <row r="277" spans="1:18" hidden="1">
      <c r="A277" s="30">
        <v>271</v>
      </c>
      <c r="B277" s="24">
        <f>DATE('1.연간시수표'!$U$2,'1.연간시수표'!$X$2,'1.연간시수표'!$Z$2)+QUOTIENT(ROW(A271)-1,8)+(QUOTIENT(ROW(A271)-1,40)*2)</f>
        <v>44665</v>
      </c>
      <c r="C277" s="24" t="str">
        <f t="shared" si="12"/>
        <v>목</v>
      </c>
      <c r="D277" s="91" t="str">
        <f t="shared" si="13"/>
        <v>7교시</v>
      </c>
      <c r="E277" s="68">
        <f>COUNTIF($H$7:$H277,$H277)</f>
        <v>92</v>
      </c>
      <c r="F277" s="67">
        <f>'1.연간시수표'!$AL$33</f>
        <v>5</v>
      </c>
      <c r="G277" s="89">
        <f t="shared" si="14"/>
        <v>1</v>
      </c>
      <c r="H277" s="91" t="str">
        <f>INDEX('0.시간표데이터'!$E$10:$AR$32,QUOTIENT(ROW(A271)-1,40)+1,MOD(ROW(A271)-1,40)+1)</f>
        <v>_</v>
      </c>
      <c r="I277" s="76"/>
      <c r="J277" s="26"/>
      <c r="K277" s="165"/>
      <c r="L277" s="165"/>
      <c r="M277" s="166"/>
      <c r="N277" s="166"/>
      <c r="O277" s="166"/>
      <c r="P277" s="166"/>
      <c r="Q277" s="167"/>
      <c r="R277" s="111"/>
    </row>
    <row r="278" spans="1:18" hidden="1">
      <c r="A278" s="30">
        <v>272</v>
      </c>
      <c r="B278" s="24">
        <f>DATE('1.연간시수표'!$U$2,'1.연간시수표'!$X$2,'1.연간시수표'!$Z$2)+QUOTIENT(ROW(A272)-1,8)+(QUOTIENT(ROW(A272)-1,40)*2)</f>
        <v>44665</v>
      </c>
      <c r="C278" s="24" t="str">
        <f t="shared" si="12"/>
        <v>목</v>
      </c>
      <c r="D278" s="91" t="str">
        <f t="shared" si="13"/>
        <v>8교시</v>
      </c>
      <c r="E278" s="68">
        <f>COUNTIF($H$7:$H278,$H278)</f>
        <v>93</v>
      </c>
      <c r="F278" s="67">
        <f>'1.연간시수표'!$AL$33</f>
        <v>5</v>
      </c>
      <c r="G278" s="89">
        <f t="shared" si="14"/>
        <v>1</v>
      </c>
      <c r="H278" s="91" t="str">
        <f>INDEX('0.시간표데이터'!$E$10:$AR$32,QUOTIENT(ROW(A272)-1,40)+1,MOD(ROW(A272)-1,40)+1)</f>
        <v>_</v>
      </c>
      <c r="I278" s="76"/>
      <c r="J278" s="26"/>
      <c r="K278" s="165"/>
      <c r="L278" s="165"/>
      <c r="M278" s="166"/>
      <c r="N278" s="166"/>
      <c r="O278" s="166"/>
      <c r="P278" s="166"/>
      <c r="Q278" s="167"/>
      <c r="R278" s="111"/>
    </row>
    <row r="279" spans="1:18" ht="13.5" hidden="1" customHeight="1">
      <c r="A279" s="30">
        <v>273</v>
      </c>
      <c r="B279" s="24">
        <f>DATE('1.연간시수표'!$U$2,'1.연간시수표'!$X$2,'1.연간시수표'!$Z$2)+QUOTIENT(ROW(A273)-1,8)+(QUOTIENT(ROW(A273)-1,40)*2)</f>
        <v>44666</v>
      </c>
      <c r="C279" s="24" t="str">
        <f t="shared" si="12"/>
        <v>금</v>
      </c>
      <c r="D279" s="91" t="str">
        <f t="shared" si="13"/>
        <v>1교시</v>
      </c>
      <c r="E279" s="68">
        <f>COUNTIF($H$7:$H279,$H279)</f>
        <v>32</v>
      </c>
      <c r="F279" s="67">
        <f>'1.연간시수표'!$AL$33</f>
        <v>5</v>
      </c>
      <c r="G279" s="89">
        <f t="shared" si="14"/>
        <v>1</v>
      </c>
      <c r="H279" s="91" t="str">
        <f>INDEX('0.시간표데이터'!$E$10:$AR$32,QUOTIENT(ROW(A273)-1,40)+1,MOD(ROW(A273)-1,40)+1)</f>
        <v>국어</v>
      </c>
      <c r="I279" s="77"/>
      <c r="J279" s="26"/>
      <c r="K279" s="162"/>
      <c r="L279" s="162"/>
      <c r="M279" s="168"/>
      <c r="N279" s="98"/>
      <c r="O279" s="99"/>
      <c r="P279" s="99"/>
      <c r="Q279" s="167"/>
      <c r="R279" s="111"/>
    </row>
    <row r="280" spans="1:18" ht="13.5" hidden="1" customHeight="1">
      <c r="A280" s="30">
        <v>274</v>
      </c>
      <c r="B280" s="24">
        <f>DATE('1.연간시수표'!$U$2,'1.연간시수표'!$X$2,'1.연간시수표'!$Z$2)+QUOTIENT(ROW(A274)-1,8)+(QUOTIENT(ROW(A274)-1,40)*2)</f>
        <v>44666</v>
      </c>
      <c r="C280" s="24" t="str">
        <f t="shared" si="12"/>
        <v>금</v>
      </c>
      <c r="D280" s="91" t="str">
        <f t="shared" si="13"/>
        <v>2교시</v>
      </c>
      <c r="E280" s="68">
        <f>COUNTIF($H$7:$H280,$H280)</f>
        <v>11</v>
      </c>
      <c r="F280" s="67">
        <f>'1.연간시수표'!$AL$33</f>
        <v>5</v>
      </c>
      <c r="G280" s="89">
        <f t="shared" si="14"/>
        <v>1</v>
      </c>
      <c r="H280" s="91" t="str">
        <f>INDEX('0.시간표데이터'!$E$10:$AR$32,QUOTIENT(ROW(A274)-1,40)+1,MOD(ROW(A274)-1,40)+1)</f>
        <v>체육</v>
      </c>
      <c r="I280" s="77"/>
      <c r="J280" s="26"/>
      <c r="K280" s="162"/>
      <c r="L280" s="162"/>
      <c r="M280" s="168"/>
      <c r="N280" s="98"/>
      <c r="O280" s="99"/>
      <c r="P280" s="99"/>
      <c r="Q280" s="167"/>
      <c r="R280" s="111"/>
    </row>
    <row r="281" spans="1:18" ht="13.5" hidden="1" customHeight="1">
      <c r="A281" s="30">
        <v>275</v>
      </c>
      <c r="B281" s="24">
        <f>DATE('1.연간시수표'!$U$2,'1.연간시수표'!$X$2,'1.연간시수표'!$Z$2)+QUOTIENT(ROW(A275)-1,8)+(QUOTIENT(ROW(A275)-1,40)*2)</f>
        <v>44666</v>
      </c>
      <c r="C281" s="24" t="str">
        <f t="shared" si="12"/>
        <v>금</v>
      </c>
      <c r="D281" s="91" t="str">
        <f t="shared" si="13"/>
        <v>3교시</v>
      </c>
      <c r="E281" s="68">
        <f>COUNTIF($H$7:$H281,$H281)</f>
        <v>24</v>
      </c>
      <c r="F281" s="67">
        <f>'1.연간시수표'!$AL$33</f>
        <v>5</v>
      </c>
      <c r="G281" s="89">
        <f t="shared" si="14"/>
        <v>1</v>
      </c>
      <c r="H281" s="91" t="str">
        <f>INDEX('0.시간표데이터'!$E$10:$AR$32,QUOTIENT(ROW(A275)-1,40)+1,MOD(ROW(A275)-1,40)+1)</f>
        <v>수학</v>
      </c>
      <c r="I281" s="77"/>
      <c r="J281" s="26"/>
      <c r="K281" s="165"/>
      <c r="L281" s="165"/>
      <c r="M281" s="166"/>
      <c r="N281" s="166"/>
      <c r="O281" s="166"/>
      <c r="P281" s="166"/>
      <c r="Q281" s="167"/>
      <c r="R281" s="111"/>
    </row>
    <row r="282" spans="1:18" ht="13.5" hidden="1" customHeight="1">
      <c r="A282" s="30">
        <v>276</v>
      </c>
      <c r="B282" s="24">
        <f>DATE('1.연간시수표'!$U$2,'1.연간시수표'!$X$2,'1.연간시수표'!$Z$2)+QUOTIENT(ROW(A276)-1,8)+(QUOTIENT(ROW(A276)-1,40)*2)</f>
        <v>44666</v>
      </c>
      <c r="C282" s="24" t="str">
        <f t="shared" si="12"/>
        <v>금</v>
      </c>
      <c r="D282" s="91" t="str">
        <f t="shared" si="13"/>
        <v>4교시</v>
      </c>
      <c r="E282" s="68">
        <f>COUNTIF($H$7:$H282,$H282)</f>
        <v>33</v>
      </c>
      <c r="F282" s="67">
        <f>'1.연간시수표'!$AL$33</f>
        <v>5</v>
      </c>
      <c r="G282" s="89">
        <f t="shared" si="14"/>
        <v>1</v>
      </c>
      <c r="H282" s="91" t="str">
        <f>INDEX('0.시간표데이터'!$E$10:$AR$32,QUOTIENT(ROW(A276)-1,40)+1,MOD(ROW(A276)-1,40)+1)</f>
        <v>국어</v>
      </c>
      <c r="I282" s="77"/>
      <c r="J282" s="26"/>
      <c r="K282" s="162"/>
      <c r="L282" s="162"/>
      <c r="M282" s="169"/>
      <c r="N282" s="101"/>
      <c r="O282" s="99"/>
      <c r="P282" s="99"/>
      <c r="Q282" s="167"/>
      <c r="R282" s="111"/>
    </row>
    <row r="283" spans="1:18" ht="13.5" customHeight="1">
      <c r="A283" s="30">
        <v>277</v>
      </c>
      <c r="B283" s="24">
        <f>DATE('1.연간시수표'!$U$2,'1.연간시수표'!$X$2,'1.연간시수표'!$Z$2)+QUOTIENT(ROW(A277)-1,8)+(QUOTIENT(ROW(A277)-1,40)*2)</f>
        <v>44666</v>
      </c>
      <c r="C283" s="24" t="str">
        <f t="shared" si="12"/>
        <v>금</v>
      </c>
      <c r="D283" s="91" t="str">
        <f t="shared" si="13"/>
        <v>5교시</v>
      </c>
      <c r="E283" s="68">
        <f>COUNTIF($H$7:$H283,$H283)</f>
        <v>18</v>
      </c>
      <c r="F283" s="67">
        <f>'1.연간시수표'!$AL$33</f>
        <v>5</v>
      </c>
      <c r="G283" s="89">
        <f t="shared" si="14"/>
        <v>1</v>
      </c>
      <c r="H283" s="91" t="str">
        <f>INDEX('0.시간표데이터'!$E$10:$AR$32,QUOTIENT(ROW(A277)-1,40)+1,MOD(ROW(A277)-1,40)+1)</f>
        <v>사회</v>
      </c>
      <c r="I283" s="77"/>
      <c r="J283" s="26"/>
      <c r="K283" s="173"/>
      <c r="L283" s="173"/>
      <c r="M283" s="10"/>
      <c r="N283" s="10"/>
      <c r="O283" s="10"/>
      <c r="P283" s="10"/>
      <c r="Q283" s="164"/>
      <c r="R283" s="109"/>
    </row>
    <row r="284" spans="1:18" ht="13.5" hidden="1" customHeight="1">
      <c r="A284" s="30">
        <v>278</v>
      </c>
      <c r="B284" s="24">
        <f>DATE('1.연간시수표'!$U$2,'1.연간시수표'!$X$2,'1.연간시수표'!$Z$2)+QUOTIENT(ROW(A278)-1,8)+(QUOTIENT(ROW(A278)-1,40)*2)</f>
        <v>44666</v>
      </c>
      <c r="C284" s="24" t="str">
        <f t="shared" si="12"/>
        <v>금</v>
      </c>
      <c r="D284" s="91" t="str">
        <f t="shared" si="13"/>
        <v>6교시</v>
      </c>
      <c r="E284" s="68">
        <f>COUNTIF($H$7:$H284,$H284)</f>
        <v>12</v>
      </c>
      <c r="F284" s="67">
        <f>'1.연간시수표'!$AL$33</f>
        <v>5</v>
      </c>
      <c r="G284" s="89">
        <f t="shared" si="14"/>
        <v>1</v>
      </c>
      <c r="H284" s="91" t="str">
        <f>INDEX('0.시간표데이터'!$E$10:$AR$32,QUOTIENT(ROW(A278)-1,40)+1,MOD(ROW(A278)-1,40)+1)</f>
        <v>실과</v>
      </c>
      <c r="I284" s="77"/>
      <c r="J284" s="26"/>
      <c r="K284" s="165"/>
      <c r="L284" s="165"/>
      <c r="M284" s="166"/>
      <c r="N284" s="166"/>
      <c r="O284" s="166"/>
      <c r="P284" s="166"/>
      <c r="Q284" s="167"/>
      <c r="R284" s="111"/>
    </row>
    <row r="285" spans="1:18" ht="13.5" hidden="1" customHeight="1">
      <c r="A285" s="30">
        <v>279</v>
      </c>
      <c r="B285" s="24">
        <f>DATE('1.연간시수표'!$U$2,'1.연간시수표'!$X$2,'1.연간시수표'!$Z$2)+QUOTIENT(ROW(A279)-1,8)+(QUOTIENT(ROW(A279)-1,40)*2)</f>
        <v>44666</v>
      </c>
      <c r="C285" s="24" t="str">
        <f t="shared" si="12"/>
        <v>금</v>
      </c>
      <c r="D285" s="91" t="str">
        <f t="shared" si="13"/>
        <v>7교시</v>
      </c>
      <c r="E285" s="68">
        <f>COUNTIF($H$7:$H285,$H285)</f>
        <v>94</v>
      </c>
      <c r="F285" s="67">
        <f>'1.연간시수표'!$AL$33</f>
        <v>5</v>
      </c>
      <c r="G285" s="89">
        <f t="shared" si="14"/>
        <v>1</v>
      </c>
      <c r="H285" s="91" t="str">
        <f>INDEX('0.시간표데이터'!$E$10:$AR$32,QUOTIENT(ROW(A279)-1,40)+1,MOD(ROW(A279)-1,40)+1)</f>
        <v>_</v>
      </c>
      <c r="I285" s="76"/>
      <c r="J285" s="26"/>
      <c r="K285" s="165"/>
      <c r="L285" s="165"/>
      <c r="M285" s="166"/>
      <c r="N285" s="166"/>
      <c r="O285" s="166"/>
      <c r="P285" s="166"/>
      <c r="Q285" s="167"/>
      <c r="R285" s="111"/>
    </row>
    <row r="286" spans="1:18" ht="13.5" hidden="1" customHeight="1">
      <c r="A286" s="30">
        <v>280</v>
      </c>
      <c r="B286" s="24">
        <f>DATE('1.연간시수표'!$U$2,'1.연간시수표'!$X$2,'1.연간시수표'!$Z$2)+QUOTIENT(ROW(A280)-1,8)+(QUOTIENT(ROW(A280)-1,40)*2)</f>
        <v>44666</v>
      </c>
      <c r="C286" s="24" t="str">
        <f t="shared" si="12"/>
        <v>금</v>
      </c>
      <c r="D286" s="91" t="str">
        <f t="shared" si="13"/>
        <v>8교시</v>
      </c>
      <c r="E286" s="68">
        <f>COUNTIF($H$7:$H286,$H286)</f>
        <v>95</v>
      </c>
      <c r="F286" s="67">
        <f>'1.연간시수표'!$AL$33</f>
        <v>5</v>
      </c>
      <c r="G286" s="89">
        <f t="shared" si="14"/>
        <v>1</v>
      </c>
      <c r="H286" s="91" t="str">
        <f>INDEX('0.시간표데이터'!$E$10:$AR$32,QUOTIENT(ROW(A280)-1,40)+1,MOD(ROW(A280)-1,40)+1)</f>
        <v>_</v>
      </c>
      <c r="I286" s="76"/>
      <c r="J286" s="26"/>
      <c r="K286" s="165"/>
      <c r="L286" s="165"/>
      <c r="M286" s="166"/>
      <c r="N286" s="166"/>
      <c r="O286" s="166"/>
      <c r="P286" s="166"/>
      <c r="Q286" s="167"/>
      <c r="R286" s="111"/>
    </row>
    <row r="287" spans="1:18" ht="13.5" hidden="1" customHeight="1">
      <c r="A287" s="30">
        <v>281</v>
      </c>
      <c r="B287" s="24">
        <f>DATE('1.연간시수표'!$U$2,'1.연간시수표'!$X$2,'1.연간시수표'!$Z$2)+QUOTIENT(ROW(A281)-1,8)+(QUOTIENT(ROW(A281)-1,40)*2)</f>
        <v>44669</v>
      </c>
      <c r="C287" s="24" t="str">
        <f t="shared" si="12"/>
        <v>월</v>
      </c>
      <c r="D287" s="91" t="str">
        <f t="shared" si="13"/>
        <v>1교시</v>
      </c>
      <c r="E287" s="68">
        <f>COUNTIF($H$7:$H287,$H287)</f>
        <v>34</v>
      </c>
      <c r="F287" s="67">
        <f>'1.연간시수표'!$AL$33</f>
        <v>5</v>
      </c>
      <c r="G287" s="89">
        <f t="shared" si="14"/>
        <v>1</v>
      </c>
      <c r="H287" s="91" t="str">
        <f>INDEX('0.시간표데이터'!$E$10:$AR$32,QUOTIENT(ROW(A281)-1,40)+1,MOD(ROW(A281)-1,40)+1)</f>
        <v>국어</v>
      </c>
      <c r="I287" s="77"/>
      <c r="J287" s="26"/>
      <c r="K287" s="162"/>
      <c r="L287" s="162"/>
      <c r="M287" s="168"/>
      <c r="N287" s="99"/>
      <c r="O287" s="99"/>
      <c r="P287" s="99"/>
      <c r="Q287" s="167"/>
      <c r="R287" s="111"/>
    </row>
    <row r="288" spans="1:18" ht="13.5" hidden="1" customHeight="1">
      <c r="A288" s="30">
        <v>282</v>
      </c>
      <c r="B288" s="24">
        <f>DATE('1.연간시수표'!$U$2,'1.연간시수표'!$X$2,'1.연간시수표'!$Z$2)+QUOTIENT(ROW(A282)-1,8)+(QUOTIENT(ROW(A282)-1,40)*2)</f>
        <v>44669</v>
      </c>
      <c r="C288" s="24" t="str">
        <f t="shared" si="12"/>
        <v>월</v>
      </c>
      <c r="D288" s="91" t="str">
        <f t="shared" si="13"/>
        <v>2교시</v>
      </c>
      <c r="E288" s="68">
        <f>COUNTIF($H$7:$H288,$H288)</f>
        <v>13</v>
      </c>
      <c r="F288" s="67">
        <f>'1.연간시수표'!$AL$33</f>
        <v>5</v>
      </c>
      <c r="G288" s="89">
        <f t="shared" si="14"/>
        <v>1</v>
      </c>
      <c r="H288" s="91" t="str">
        <f>INDEX('0.시간표데이터'!$E$10:$AR$32,QUOTIENT(ROW(A282)-1,40)+1,MOD(ROW(A282)-1,40)+1)</f>
        <v>미술</v>
      </c>
      <c r="I288" s="161"/>
      <c r="J288" s="26"/>
      <c r="K288" s="165"/>
      <c r="L288" s="165"/>
      <c r="M288" s="166"/>
      <c r="N288" s="166"/>
      <c r="O288" s="166"/>
      <c r="P288" s="166"/>
      <c r="Q288" s="167"/>
      <c r="R288" s="111"/>
    </row>
    <row r="289" spans="1:18" ht="13.5" hidden="1" customHeight="1">
      <c r="A289" s="30">
        <v>283</v>
      </c>
      <c r="B289" s="24">
        <f>DATE('1.연간시수표'!$U$2,'1.연간시수표'!$X$2,'1.연간시수표'!$Z$2)+QUOTIENT(ROW(A283)-1,8)+(QUOTIENT(ROW(A283)-1,40)*2)</f>
        <v>44669</v>
      </c>
      <c r="C289" s="24" t="str">
        <f t="shared" si="12"/>
        <v>월</v>
      </c>
      <c r="D289" s="91" t="str">
        <f t="shared" si="13"/>
        <v>3교시</v>
      </c>
      <c r="E289" s="68">
        <f>COUNTIF($H$7:$H289,$H289)</f>
        <v>14</v>
      </c>
      <c r="F289" s="67">
        <f>'1.연간시수표'!$AL$33</f>
        <v>5</v>
      </c>
      <c r="G289" s="89">
        <f t="shared" si="14"/>
        <v>1</v>
      </c>
      <c r="H289" s="91" t="str">
        <f>INDEX('0.시간표데이터'!$E$10:$AR$32,QUOTIENT(ROW(A283)-1,40)+1,MOD(ROW(A283)-1,40)+1)</f>
        <v>미술</v>
      </c>
      <c r="I289" s="77"/>
      <c r="J289" s="26"/>
      <c r="K289" s="162"/>
      <c r="L289" s="162"/>
      <c r="M289" s="169"/>
      <c r="N289" s="101"/>
      <c r="O289" s="99"/>
      <c r="P289" s="99"/>
      <c r="Q289" s="167"/>
      <c r="R289" s="111"/>
    </row>
    <row r="290" spans="1:18" ht="13.5" hidden="1" customHeight="1">
      <c r="A290" s="30">
        <v>284</v>
      </c>
      <c r="B290" s="24">
        <f>DATE('1.연간시수표'!$U$2,'1.연간시수표'!$X$2,'1.연간시수표'!$Z$2)+QUOTIENT(ROW(A284)-1,8)+(QUOTIENT(ROW(A284)-1,40)*2)</f>
        <v>44669</v>
      </c>
      <c r="C290" s="24" t="str">
        <f t="shared" si="12"/>
        <v>월</v>
      </c>
      <c r="D290" s="91" t="str">
        <f t="shared" si="13"/>
        <v>4교시</v>
      </c>
      <c r="E290" s="68">
        <f>COUNTIF($H$7:$H290,$H290)</f>
        <v>18</v>
      </c>
      <c r="F290" s="67">
        <f>'1.연간시수표'!$AL$33</f>
        <v>5</v>
      </c>
      <c r="G290" s="89">
        <f t="shared" si="14"/>
        <v>1</v>
      </c>
      <c r="H290" s="91" t="str">
        <f>INDEX('0.시간표데이터'!$E$10:$AR$32,QUOTIENT(ROW(A284)-1,40)+1,MOD(ROW(A284)-1,40)+1)</f>
        <v>영어</v>
      </c>
      <c r="I290" s="77"/>
      <c r="J290" s="26"/>
      <c r="K290" s="162"/>
      <c r="L290" s="162"/>
      <c r="M290" s="169"/>
      <c r="N290" s="101"/>
      <c r="O290" s="99"/>
      <c r="P290" s="99"/>
      <c r="Q290" s="167"/>
      <c r="R290" s="111"/>
    </row>
    <row r="291" spans="1:18" ht="13.5" hidden="1" customHeight="1">
      <c r="A291" s="30">
        <v>285</v>
      </c>
      <c r="B291" s="24">
        <f>DATE('1.연간시수표'!$U$2,'1.연간시수표'!$X$2,'1.연간시수표'!$Z$2)+QUOTIENT(ROW(A285)-1,8)+(QUOTIENT(ROW(A285)-1,40)*2)</f>
        <v>44669</v>
      </c>
      <c r="C291" s="24" t="str">
        <f t="shared" si="12"/>
        <v>월</v>
      </c>
      <c r="D291" s="91" t="str">
        <f t="shared" si="13"/>
        <v>5교시</v>
      </c>
      <c r="E291" s="68">
        <f>COUNTIF($H$7:$H291,$H291)</f>
        <v>25</v>
      </c>
      <c r="F291" s="67">
        <f>'1.연간시수표'!$AL$33</f>
        <v>5</v>
      </c>
      <c r="G291" s="89">
        <f t="shared" si="14"/>
        <v>1</v>
      </c>
      <c r="H291" s="91" t="str">
        <f>INDEX('0.시간표데이터'!$E$10:$AR$32,QUOTIENT(ROW(A285)-1,40)+1,MOD(ROW(A285)-1,40)+1)</f>
        <v>수학</v>
      </c>
      <c r="I291" s="77"/>
      <c r="J291" s="26"/>
      <c r="K291" s="162"/>
      <c r="L291" s="162"/>
      <c r="M291" s="168"/>
      <c r="N291" s="98"/>
      <c r="O291" s="99"/>
      <c r="P291" s="99"/>
      <c r="Q291" s="167"/>
      <c r="R291" s="111"/>
    </row>
    <row r="292" spans="1:18" ht="13.5" hidden="1" customHeight="1">
      <c r="A292" s="30">
        <v>286</v>
      </c>
      <c r="B292" s="24">
        <f>DATE('1.연간시수표'!$U$2,'1.연간시수표'!$X$2,'1.연간시수표'!$Z$2)+QUOTIENT(ROW(A286)-1,8)+(QUOTIENT(ROW(A286)-1,40)*2)</f>
        <v>44669</v>
      </c>
      <c r="C292" s="24" t="str">
        <f t="shared" si="12"/>
        <v>월</v>
      </c>
      <c r="D292" s="91" t="str">
        <f t="shared" si="13"/>
        <v>6교시</v>
      </c>
      <c r="E292" s="68">
        <f>COUNTIF($H$7:$H292,$H292)</f>
        <v>16</v>
      </c>
      <c r="F292" s="67">
        <f>'1.연간시수표'!$AL$33</f>
        <v>5</v>
      </c>
      <c r="G292" s="89">
        <f t="shared" si="14"/>
        <v>1</v>
      </c>
      <c r="H292" s="91" t="str">
        <f>INDEX('0.시간표데이터'!$E$10:$AR$32,QUOTIENT(ROW(A286)-1,40)+1,MOD(ROW(A286)-1,40)+1)</f>
        <v>자율활동</v>
      </c>
      <c r="I292" s="77"/>
      <c r="J292" s="26"/>
      <c r="K292" s="165"/>
      <c r="L292" s="165"/>
      <c r="M292" s="166"/>
      <c r="N292" s="166"/>
      <c r="O292" s="166"/>
      <c r="P292" s="166"/>
      <c r="Q292" s="167"/>
      <c r="R292" s="111"/>
    </row>
    <row r="293" spans="1:18" ht="13.5" hidden="1" customHeight="1">
      <c r="A293" s="30">
        <v>287</v>
      </c>
      <c r="B293" s="24">
        <f>DATE('1.연간시수표'!$U$2,'1.연간시수표'!$X$2,'1.연간시수표'!$Z$2)+QUOTIENT(ROW(A287)-1,8)+(QUOTIENT(ROW(A287)-1,40)*2)</f>
        <v>44669</v>
      </c>
      <c r="C293" s="24" t="str">
        <f t="shared" si="12"/>
        <v>월</v>
      </c>
      <c r="D293" s="91" t="str">
        <f t="shared" si="13"/>
        <v>7교시</v>
      </c>
      <c r="E293" s="68">
        <f>COUNTIF($H$7:$H293,$H293)</f>
        <v>96</v>
      </c>
      <c r="F293" s="67">
        <f>'1.연간시수표'!$AL$33</f>
        <v>5</v>
      </c>
      <c r="G293" s="89">
        <f t="shared" si="14"/>
        <v>1</v>
      </c>
      <c r="H293" s="91" t="str">
        <f>INDEX('0.시간표데이터'!$E$10:$AR$32,QUOTIENT(ROW(A287)-1,40)+1,MOD(ROW(A287)-1,40)+1)</f>
        <v>_</v>
      </c>
      <c r="I293" s="76"/>
      <c r="J293" s="26"/>
      <c r="K293" s="165"/>
      <c r="L293" s="165"/>
      <c r="M293" s="166"/>
      <c r="N293" s="166"/>
      <c r="O293" s="166"/>
      <c r="P293" s="166"/>
      <c r="Q293" s="167"/>
      <c r="R293" s="111"/>
    </row>
    <row r="294" spans="1:18" ht="13.5" hidden="1" customHeight="1">
      <c r="A294" s="30">
        <v>288</v>
      </c>
      <c r="B294" s="24">
        <f>DATE('1.연간시수표'!$U$2,'1.연간시수표'!$X$2,'1.연간시수표'!$Z$2)+QUOTIENT(ROW(A288)-1,8)+(QUOTIENT(ROW(A288)-1,40)*2)</f>
        <v>44669</v>
      </c>
      <c r="C294" s="24" t="str">
        <f t="shared" si="12"/>
        <v>월</v>
      </c>
      <c r="D294" s="91" t="str">
        <f t="shared" si="13"/>
        <v>8교시</v>
      </c>
      <c r="E294" s="68">
        <f>COUNTIF($H$7:$H294,$H294)</f>
        <v>97</v>
      </c>
      <c r="F294" s="67">
        <f>'1.연간시수표'!$AL$33</f>
        <v>5</v>
      </c>
      <c r="G294" s="89">
        <f t="shared" si="14"/>
        <v>1</v>
      </c>
      <c r="H294" s="91" t="str">
        <f>INDEX('0.시간표데이터'!$E$10:$AR$32,QUOTIENT(ROW(A288)-1,40)+1,MOD(ROW(A288)-1,40)+1)</f>
        <v>_</v>
      </c>
      <c r="I294" s="76"/>
      <c r="J294" s="26"/>
      <c r="K294" s="165"/>
      <c r="L294" s="165"/>
      <c r="M294" s="166"/>
      <c r="N294" s="166"/>
      <c r="O294" s="166"/>
      <c r="P294" s="166"/>
      <c r="Q294" s="167"/>
      <c r="R294" s="111"/>
    </row>
    <row r="295" spans="1:18" ht="13.5" hidden="1" customHeight="1">
      <c r="A295" s="30">
        <v>289</v>
      </c>
      <c r="B295" s="24">
        <f>DATE('1.연간시수표'!$U$2,'1.연간시수표'!$X$2,'1.연간시수표'!$Z$2)+QUOTIENT(ROW(A289)-1,8)+(QUOTIENT(ROW(A289)-1,40)*2)</f>
        <v>44670</v>
      </c>
      <c r="C295" s="24" t="str">
        <f t="shared" si="12"/>
        <v>화</v>
      </c>
      <c r="D295" s="91" t="str">
        <f t="shared" si="13"/>
        <v>1교시</v>
      </c>
      <c r="E295" s="68">
        <f>COUNTIF($H$7:$H295,$H295)</f>
        <v>35</v>
      </c>
      <c r="F295" s="67">
        <f>'1.연간시수표'!$AL$33</f>
        <v>5</v>
      </c>
      <c r="G295" s="89">
        <f t="shared" si="14"/>
        <v>1</v>
      </c>
      <c r="H295" s="91" t="str">
        <f>INDEX('0.시간표데이터'!$E$10:$AR$32,QUOTIENT(ROW(A289)-1,40)+1,MOD(ROW(A289)-1,40)+1)</f>
        <v>국어</v>
      </c>
      <c r="I295" s="77"/>
      <c r="J295" s="26"/>
      <c r="K295" s="165"/>
      <c r="L295" s="165"/>
      <c r="M295" s="166"/>
      <c r="N295" s="166"/>
      <c r="O295" s="166"/>
      <c r="P295" s="166"/>
      <c r="Q295" s="167"/>
      <c r="R295" s="111"/>
    </row>
    <row r="296" spans="1:18" ht="13.5" hidden="1" customHeight="1">
      <c r="A296" s="30">
        <v>290</v>
      </c>
      <c r="B296" s="24">
        <f>DATE('1.연간시수표'!$U$2,'1.연간시수표'!$X$2,'1.연간시수표'!$Z$2)+QUOTIENT(ROW(A290)-1,8)+(QUOTIENT(ROW(A290)-1,40)*2)</f>
        <v>44670</v>
      </c>
      <c r="C296" s="24" t="str">
        <f t="shared" si="12"/>
        <v>화</v>
      </c>
      <c r="D296" s="91" t="str">
        <f t="shared" si="13"/>
        <v>2교시</v>
      </c>
      <c r="E296" s="68">
        <f>COUNTIF($H$7:$H296,$H296)</f>
        <v>36</v>
      </c>
      <c r="F296" s="67">
        <f>'1.연간시수표'!$AL$33</f>
        <v>5</v>
      </c>
      <c r="G296" s="89">
        <f t="shared" si="14"/>
        <v>1</v>
      </c>
      <c r="H296" s="91" t="str">
        <f>INDEX('0.시간표데이터'!$E$10:$AR$32,QUOTIENT(ROW(A290)-1,40)+1,MOD(ROW(A290)-1,40)+1)</f>
        <v>국어</v>
      </c>
      <c r="I296" s="161"/>
      <c r="J296" s="26"/>
      <c r="K296" s="165"/>
      <c r="L296" s="165"/>
      <c r="M296" s="166"/>
      <c r="N296" s="166"/>
      <c r="O296" s="166"/>
      <c r="P296" s="166"/>
      <c r="Q296" s="167"/>
      <c r="R296" s="111"/>
    </row>
    <row r="297" spans="1:18" ht="13.5" hidden="1" customHeight="1">
      <c r="A297" s="30">
        <v>291</v>
      </c>
      <c r="B297" s="24">
        <f>DATE('1.연간시수표'!$U$2,'1.연간시수표'!$X$2,'1.연간시수표'!$Z$2)+QUOTIENT(ROW(A291)-1,8)+(QUOTIENT(ROW(A291)-1,40)*2)</f>
        <v>44670</v>
      </c>
      <c r="C297" s="24" t="str">
        <f t="shared" si="12"/>
        <v>화</v>
      </c>
      <c r="D297" s="91" t="str">
        <f t="shared" si="13"/>
        <v>3교시</v>
      </c>
      <c r="E297" s="68">
        <f>COUNTIF($H$7:$H297,$H297)</f>
        <v>19</v>
      </c>
      <c r="F297" s="67">
        <f>'1.연간시수표'!$AL$33</f>
        <v>5</v>
      </c>
      <c r="G297" s="89">
        <f t="shared" si="14"/>
        <v>1</v>
      </c>
      <c r="H297" s="91" t="str">
        <f>INDEX('0.시간표데이터'!$E$10:$AR$32,QUOTIENT(ROW(A291)-1,40)+1,MOD(ROW(A291)-1,40)+1)</f>
        <v>사회</v>
      </c>
      <c r="I297" s="77"/>
      <c r="J297" s="26"/>
      <c r="K297" s="162"/>
      <c r="L297" s="162"/>
      <c r="M297" s="170"/>
      <c r="N297" s="98"/>
      <c r="O297" s="98"/>
      <c r="P297" s="98"/>
      <c r="Q297" s="167"/>
      <c r="R297" s="111"/>
    </row>
    <row r="298" spans="1:18" ht="13.5" hidden="1" customHeight="1">
      <c r="A298" s="30">
        <v>292</v>
      </c>
      <c r="B298" s="24">
        <f>DATE('1.연간시수표'!$U$2,'1.연간시수표'!$X$2,'1.연간시수표'!$Z$2)+QUOTIENT(ROW(A292)-1,8)+(QUOTIENT(ROW(A292)-1,40)*2)</f>
        <v>44670</v>
      </c>
      <c r="C298" s="24" t="str">
        <f t="shared" si="12"/>
        <v>화</v>
      </c>
      <c r="D298" s="91" t="str">
        <f t="shared" si="13"/>
        <v>4교시</v>
      </c>
      <c r="E298" s="68">
        <f>COUNTIF($H$7:$H298,$H298)</f>
        <v>26</v>
      </c>
      <c r="F298" s="67">
        <f>'1.연간시수표'!$AL$33</f>
        <v>5</v>
      </c>
      <c r="G298" s="89">
        <f t="shared" si="14"/>
        <v>1</v>
      </c>
      <c r="H298" s="91" t="str">
        <f>INDEX('0.시간표데이터'!$E$10:$AR$32,QUOTIENT(ROW(A292)-1,40)+1,MOD(ROW(A292)-1,40)+1)</f>
        <v>수학</v>
      </c>
      <c r="I298" s="77"/>
      <c r="J298" s="26"/>
      <c r="K298" s="162"/>
      <c r="L298" s="162"/>
      <c r="M298" s="168"/>
      <c r="N298" s="98"/>
      <c r="O298" s="99"/>
      <c r="P298" s="99"/>
      <c r="Q298" s="167"/>
      <c r="R298" s="111"/>
    </row>
    <row r="299" spans="1:18" ht="13.5" hidden="1" customHeight="1">
      <c r="A299" s="30">
        <v>293</v>
      </c>
      <c r="B299" s="24">
        <f>DATE('1.연간시수표'!$U$2,'1.연간시수표'!$X$2,'1.연간시수표'!$Z$2)+QUOTIENT(ROW(A293)-1,8)+(QUOTIENT(ROW(A293)-1,40)*2)</f>
        <v>44670</v>
      </c>
      <c r="C299" s="24" t="str">
        <f t="shared" si="12"/>
        <v>화</v>
      </c>
      <c r="D299" s="91" t="str">
        <f t="shared" si="13"/>
        <v>5교시</v>
      </c>
      <c r="E299" s="68">
        <f>COUNTIF($H$7:$H299,$H299)</f>
        <v>20</v>
      </c>
      <c r="F299" s="67">
        <f>'1.연간시수표'!$AL$33</f>
        <v>5</v>
      </c>
      <c r="G299" s="89">
        <f t="shared" si="14"/>
        <v>1</v>
      </c>
      <c r="H299" s="91" t="str">
        <f>INDEX('0.시간표데이터'!$E$10:$AR$32,QUOTIENT(ROW(A293)-1,40)+1,MOD(ROW(A293)-1,40)+1)</f>
        <v>과학</v>
      </c>
      <c r="I299" s="77"/>
      <c r="J299" s="26"/>
      <c r="K299" s="137"/>
      <c r="L299" s="137"/>
      <c r="M299" s="114"/>
      <c r="N299" s="114"/>
      <c r="O299" s="114"/>
      <c r="P299" s="114"/>
      <c r="Q299" s="164"/>
      <c r="R299" s="110"/>
    </row>
    <row r="300" spans="1:18" ht="13.5" hidden="1" customHeight="1">
      <c r="A300" s="30">
        <v>294</v>
      </c>
      <c r="B300" s="24">
        <f>DATE('1.연간시수표'!$U$2,'1.연간시수표'!$X$2,'1.연간시수표'!$Z$2)+QUOTIENT(ROW(A294)-1,8)+(QUOTIENT(ROW(A294)-1,40)*2)</f>
        <v>44670</v>
      </c>
      <c r="C300" s="24" t="str">
        <f t="shared" si="12"/>
        <v>화</v>
      </c>
      <c r="D300" s="91" t="str">
        <f t="shared" si="13"/>
        <v>6교시</v>
      </c>
      <c r="E300" s="68">
        <f>COUNTIF($H$7:$H300,$H300)</f>
        <v>13</v>
      </c>
      <c r="F300" s="67">
        <f>'1.연간시수표'!$AL$33</f>
        <v>5</v>
      </c>
      <c r="G300" s="89">
        <f t="shared" si="14"/>
        <v>1</v>
      </c>
      <c r="H300" s="91" t="str">
        <f>INDEX('0.시간표데이터'!$E$10:$AR$32,QUOTIENT(ROW(A294)-1,40)+1,MOD(ROW(A294)-1,40)+1)</f>
        <v>실과</v>
      </c>
      <c r="I300" s="77"/>
      <c r="J300" s="26"/>
      <c r="K300" s="165"/>
      <c r="L300" s="165"/>
      <c r="M300" s="166"/>
      <c r="N300" s="166"/>
      <c r="O300" s="166"/>
      <c r="P300" s="166"/>
      <c r="Q300" s="167"/>
      <c r="R300" s="111"/>
    </row>
    <row r="301" spans="1:18" ht="13.5" hidden="1" customHeight="1">
      <c r="A301" s="30">
        <v>295</v>
      </c>
      <c r="B301" s="24">
        <f>DATE('1.연간시수표'!$U$2,'1.연간시수표'!$X$2,'1.연간시수표'!$Z$2)+QUOTIENT(ROW(A295)-1,8)+(QUOTIENT(ROW(A295)-1,40)*2)</f>
        <v>44670</v>
      </c>
      <c r="C301" s="24" t="str">
        <f t="shared" si="12"/>
        <v>화</v>
      </c>
      <c r="D301" s="91" t="str">
        <f t="shared" si="13"/>
        <v>7교시</v>
      </c>
      <c r="E301" s="68">
        <f>COUNTIF($H$7:$H301,$H301)</f>
        <v>98</v>
      </c>
      <c r="F301" s="67">
        <f>'1.연간시수표'!$AL$33</f>
        <v>5</v>
      </c>
      <c r="G301" s="89">
        <f t="shared" si="14"/>
        <v>1</v>
      </c>
      <c r="H301" s="91" t="str">
        <f>INDEX('0.시간표데이터'!$E$10:$AR$32,QUOTIENT(ROW(A295)-1,40)+1,MOD(ROW(A295)-1,40)+1)</f>
        <v>_</v>
      </c>
      <c r="I301" s="76"/>
      <c r="J301" s="26"/>
      <c r="K301" s="165"/>
      <c r="L301" s="165"/>
      <c r="M301" s="166"/>
      <c r="N301" s="166"/>
      <c r="O301" s="166"/>
      <c r="P301" s="166"/>
      <c r="Q301" s="167"/>
      <c r="R301" s="111"/>
    </row>
    <row r="302" spans="1:18" ht="13.5" hidden="1" customHeight="1">
      <c r="A302" s="30">
        <v>296</v>
      </c>
      <c r="B302" s="24">
        <f>DATE('1.연간시수표'!$U$2,'1.연간시수표'!$X$2,'1.연간시수표'!$Z$2)+QUOTIENT(ROW(A296)-1,8)+(QUOTIENT(ROW(A296)-1,40)*2)</f>
        <v>44670</v>
      </c>
      <c r="C302" s="24" t="str">
        <f t="shared" si="12"/>
        <v>화</v>
      </c>
      <c r="D302" s="91" t="str">
        <f t="shared" si="13"/>
        <v>8교시</v>
      </c>
      <c r="E302" s="68">
        <f>COUNTIF($H$7:$H302,$H302)</f>
        <v>99</v>
      </c>
      <c r="F302" s="67">
        <f>'1.연간시수표'!$AL$33</f>
        <v>5</v>
      </c>
      <c r="G302" s="89">
        <f t="shared" si="14"/>
        <v>1</v>
      </c>
      <c r="H302" s="91" t="str">
        <f>INDEX('0.시간표데이터'!$E$10:$AR$32,QUOTIENT(ROW(A296)-1,40)+1,MOD(ROW(A296)-1,40)+1)</f>
        <v>_</v>
      </c>
      <c r="I302" s="76"/>
      <c r="J302" s="26"/>
      <c r="K302" s="165"/>
      <c r="L302" s="165"/>
      <c r="M302" s="166"/>
      <c r="N302" s="166"/>
      <c r="O302" s="166"/>
      <c r="P302" s="166"/>
      <c r="Q302" s="167"/>
      <c r="R302" s="111"/>
    </row>
    <row r="303" spans="1:18" ht="13.5" hidden="1" customHeight="1">
      <c r="A303" s="30">
        <v>297</v>
      </c>
      <c r="B303" s="24">
        <f>DATE('1.연간시수표'!$U$2,'1.연간시수표'!$X$2,'1.연간시수표'!$Z$2)+QUOTIENT(ROW(A297)-1,8)+(QUOTIENT(ROW(A297)-1,40)*2)</f>
        <v>44671</v>
      </c>
      <c r="C303" s="24" t="str">
        <f t="shared" si="12"/>
        <v>수</v>
      </c>
      <c r="D303" s="91" t="str">
        <f t="shared" si="13"/>
        <v>1교시</v>
      </c>
      <c r="E303" s="68">
        <f>COUNTIF($H$7:$H303,$H303)</f>
        <v>19</v>
      </c>
      <c r="F303" s="67">
        <f>'1.연간시수표'!$AL$33</f>
        <v>5</v>
      </c>
      <c r="G303" s="89">
        <f t="shared" si="14"/>
        <v>1</v>
      </c>
      <c r="H303" s="91" t="str">
        <f>INDEX('0.시간표데이터'!$E$10:$AR$32,QUOTIENT(ROW(A297)-1,40)+1,MOD(ROW(A297)-1,40)+1)</f>
        <v>영어</v>
      </c>
      <c r="I303" s="77"/>
      <c r="J303" s="26"/>
      <c r="K303" s="162"/>
      <c r="L303" s="162"/>
      <c r="M303" s="168"/>
      <c r="N303" s="98"/>
      <c r="O303" s="99"/>
      <c r="P303" s="99"/>
      <c r="Q303" s="167"/>
      <c r="R303" s="111"/>
    </row>
    <row r="304" spans="1:18" ht="13.5" hidden="1" customHeight="1">
      <c r="A304" s="30">
        <v>298</v>
      </c>
      <c r="B304" s="24">
        <f>DATE('1.연간시수표'!$U$2,'1.연간시수표'!$X$2,'1.연간시수표'!$Z$2)+QUOTIENT(ROW(A298)-1,8)+(QUOTIENT(ROW(A298)-1,40)*2)</f>
        <v>44671</v>
      </c>
      <c r="C304" s="24" t="str">
        <f t="shared" si="12"/>
        <v>수</v>
      </c>
      <c r="D304" s="91" t="str">
        <f t="shared" si="13"/>
        <v>2교시</v>
      </c>
      <c r="E304" s="68">
        <f>COUNTIF($H$7:$H304,$H304)</f>
        <v>17</v>
      </c>
      <c r="F304" s="67">
        <f>'1.연간시수표'!$AL$33</f>
        <v>5</v>
      </c>
      <c r="G304" s="89">
        <f t="shared" si="14"/>
        <v>1</v>
      </c>
      <c r="H304" s="91" t="str">
        <f>INDEX('0.시간표데이터'!$E$10:$AR$32,QUOTIENT(ROW(A298)-1,40)+1,MOD(ROW(A298)-1,40)+1)</f>
        <v>자율활동</v>
      </c>
      <c r="I304" s="77"/>
      <c r="J304" s="26"/>
      <c r="K304" s="137"/>
      <c r="L304" s="137"/>
      <c r="M304" s="114"/>
      <c r="N304" s="114"/>
      <c r="O304" s="114"/>
      <c r="P304" s="114"/>
      <c r="Q304" s="164"/>
      <c r="R304" s="110"/>
    </row>
    <row r="305" spans="1:18" ht="13.5" hidden="1" customHeight="1">
      <c r="A305" s="30">
        <v>299</v>
      </c>
      <c r="B305" s="24">
        <f>DATE('1.연간시수표'!$U$2,'1.연간시수표'!$X$2,'1.연간시수표'!$Z$2)+QUOTIENT(ROW(A299)-1,8)+(QUOTIENT(ROW(A299)-1,40)*2)</f>
        <v>44671</v>
      </c>
      <c r="C305" s="24" t="str">
        <f t="shared" si="12"/>
        <v>수</v>
      </c>
      <c r="D305" s="91" t="str">
        <f t="shared" si="13"/>
        <v>3교시</v>
      </c>
      <c r="E305" s="68">
        <f>COUNTIF($H$7:$H305,$H305)</f>
        <v>12</v>
      </c>
      <c r="F305" s="67">
        <f>'1.연간시수표'!$AL$33</f>
        <v>5</v>
      </c>
      <c r="G305" s="89">
        <f t="shared" si="14"/>
        <v>1</v>
      </c>
      <c r="H305" s="91" t="str">
        <f>INDEX('0.시간표데이터'!$E$10:$AR$32,QUOTIENT(ROW(A299)-1,40)+1,MOD(ROW(A299)-1,40)+1)</f>
        <v>체육</v>
      </c>
      <c r="I305" s="77"/>
      <c r="J305" s="26"/>
      <c r="K305" s="162"/>
      <c r="L305" s="162"/>
      <c r="M305" s="172"/>
      <c r="N305" s="101"/>
      <c r="O305" s="99"/>
      <c r="P305" s="99"/>
      <c r="Q305" s="167"/>
      <c r="R305" s="111"/>
    </row>
    <row r="306" spans="1:18" ht="13.5" customHeight="1">
      <c r="A306" s="30">
        <v>300</v>
      </c>
      <c r="B306" s="24">
        <f>DATE('1.연간시수표'!$U$2,'1.연간시수표'!$X$2,'1.연간시수표'!$Z$2)+QUOTIENT(ROW(A300)-1,8)+(QUOTIENT(ROW(A300)-1,40)*2)</f>
        <v>44671</v>
      </c>
      <c r="C306" s="24" t="str">
        <f t="shared" si="12"/>
        <v>수</v>
      </c>
      <c r="D306" s="91" t="str">
        <f t="shared" si="13"/>
        <v>4교시</v>
      </c>
      <c r="E306" s="68">
        <f>COUNTIF($H$7:$H306,$H306)</f>
        <v>17</v>
      </c>
      <c r="F306" s="67">
        <f>'1.연간시수표'!$AL$33</f>
        <v>5</v>
      </c>
      <c r="G306" s="89">
        <f t="shared" si="14"/>
        <v>1</v>
      </c>
      <c r="H306" s="91" t="str">
        <f>INDEX('0.시간표데이터'!$E$10:$AR$32,QUOTIENT(ROW(A300)-1,40)+1,MOD(ROW(A300)-1,40)+1)</f>
        <v>음악</v>
      </c>
      <c r="I306" s="77"/>
      <c r="J306" s="26"/>
      <c r="K306" s="173"/>
      <c r="L306" s="173"/>
      <c r="M306" s="10"/>
      <c r="N306" s="10"/>
      <c r="O306" s="10"/>
      <c r="P306" s="10"/>
      <c r="Q306" s="164"/>
      <c r="R306" s="109"/>
    </row>
    <row r="307" spans="1:18">
      <c r="A307" s="30">
        <v>301</v>
      </c>
      <c r="B307" s="24">
        <f>DATE('1.연간시수표'!$U$2,'1.연간시수표'!$X$2,'1.연간시수표'!$Z$2)+QUOTIENT(ROW(A301)-1,8)+(QUOTIENT(ROW(A301)-1,40)*2)</f>
        <v>44671</v>
      </c>
      <c r="C307" s="24" t="str">
        <f t="shared" si="12"/>
        <v>수</v>
      </c>
      <c r="D307" s="91" t="str">
        <f t="shared" si="13"/>
        <v>5교시</v>
      </c>
      <c r="E307" s="68">
        <f>COUNTIF($H$7:$H307,$H307)</f>
        <v>7</v>
      </c>
      <c r="F307" s="67">
        <f>'1.연간시수표'!$AL$33</f>
        <v>5</v>
      </c>
      <c r="G307" s="89">
        <f t="shared" si="14"/>
        <v>1</v>
      </c>
      <c r="H307" s="91" t="str">
        <f>INDEX('0.시간표데이터'!$E$10:$AR$32,QUOTIENT(ROW(A301)-1,40)+1,MOD(ROW(A301)-1,40)+1)</f>
        <v>도덕</v>
      </c>
      <c r="I307" s="77"/>
      <c r="J307" s="26"/>
      <c r="K307" s="173"/>
      <c r="L307" s="173"/>
      <c r="M307" s="10"/>
      <c r="N307" s="10"/>
      <c r="O307" s="10"/>
      <c r="P307" s="10"/>
      <c r="Q307" s="164"/>
      <c r="R307" s="109"/>
    </row>
    <row r="308" spans="1:18" hidden="1">
      <c r="A308" s="30">
        <v>302</v>
      </c>
      <c r="B308" s="24">
        <f>DATE('1.연간시수표'!$U$2,'1.연간시수표'!$X$2,'1.연간시수표'!$Z$2)+QUOTIENT(ROW(A302)-1,8)+(QUOTIENT(ROW(A302)-1,40)*2)</f>
        <v>44671</v>
      </c>
      <c r="C308" s="24" t="str">
        <f t="shared" si="12"/>
        <v>수</v>
      </c>
      <c r="D308" s="91" t="str">
        <f t="shared" si="13"/>
        <v>6교시</v>
      </c>
      <c r="E308" s="68">
        <f>COUNTIF($H$7:$H308,$H308)</f>
        <v>100</v>
      </c>
      <c r="F308" s="67">
        <f>'1.연간시수표'!$AL$33</f>
        <v>5</v>
      </c>
      <c r="G308" s="89">
        <f t="shared" si="14"/>
        <v>1</v>
      </c>
      <c r="H308" s="91" t="str">
        <f>INDEX('0.시간표데이터'!$E$10:$AR$32,QUOTIENT(ROW(A302)-1,40)+1,MOD(ROW(A302)-1,40)+1)</f>
        <v>_</v>
      </c>
      <c r="I308" s="77"/>
      <c r="J308" s="26"/>
      <c r="K308" s="165"/>
      <c r="L308" s="165"/>
      <c r="M308" s="166"/>
      <c r="N308" s="166"/>
      <c r="O308" s="166"/>
      <c r="P308" s="166"/>
      <c r="Q308" s="167"/>
      <c r="R308" s="111"/>
    </row>
    <row r="309" spans="1:18" ht="13.5" hidden="1" customHeight="1">
      <c r="A309" s="30">
        <v>303</v>
      </c>
      <c r="B309" s="24">
        <f>DATE('1.연간시수표'!$U$2,'1.연간시수표'!$X$2,'1.연간시수표'!$Z$2)+QUOTIENT(ROW(A303)-1,8)+(QUOTIENT(ROW(A303)-1,40)*2)</f>
        <v>44671</v>
      </c>
      <c r="C309" s="24" t="str">
        <f t="shared" si="12"/>
        <v>수</v>
      </c>
      <c r="D309" s="91" t="str">
        <f t="shared" si="13"/>
        <v>7교시</v>
      </c>
      <c r="E309" s="68">
        <f>COUNTIF($H$7:$H309,$H309)</f>
        <v>101</v>
      </c>
      <c r="F309" s="67">
        <f>'1.연간시수표'!$AL$33</f>
        <v>5</v>
      </c>
      <c r="G309" s="89">
        <f t="shared" si="14"/>
        <v>1</v>
      </c>
      <c r="H309" s="91" t="str">
        <f>INDEX('0.시간표데이터'!$E$10:$AR$32,QUOTIENT(ROW(A303)-1,40)+1,MOD(ROW(A303)-1,40)+1)</f>
        <v>_</v>
      </c>
      <c r="I309" s="76"/>
      <c r="J309" s="26"/>
      <c r="K309" s="165"/>
      <c r="L309" s="165"/>
      <c r="M309" s="166"/>
      <c r="N309" s="166"/>
      <c r="O309" s="166"/>
      <c r="P309" s="166"/>
      <c r="Q309" s="167"/>
      <c r="R309" s="111"/>
    </row>
    <row r="310" spans="1:18" ht="13.5" hidden="1" customHeight="1">
      <c r="A310" s="30">
        <v>304</v>
      </c>
      <c r="B310" s="24">
        <f>DATE('1.연간시수표'!$U$2,'1.연간시수표'!$X$2,'1.연간시수표'!$Z$2)+QUOTIENT(ROW(A304)-1,8)+(QUOTIENT(ROW(A304)-1,40)*2)</f>
        <v>44671</v>
      </c>
      <c r="C310" s="24" t="str">
        <f t="shared" si="12"/>
        <v>수</v>
      </c>
      <c r="D310" s="91" t="str">
        <f t="shared" si="13"/>
        <v>8교시</v>
      </c>
      <c r="E310" s="68">
        <f>COUNTIF($H$7:$H310,$H310)</f>
        <v>102</v>
      </c>
      <c r="F310" s="67">
        <f>'1.연간시수표'!$AL$33</f>
        <v>5</v>
      </c>
      <c r="G310" s="89">
        <f t="shared" si="14"/>
        <v>1</v>
      </c>
      <c r="H310" s="91" t="str">
        <f>INDEX('0.시간표데이터'!$E$10:$AR$32,QUOTIENT(ROW(A304)-1,40)+1,MOD(ROW(A304)-1,40)+1)</f>
        <v>_</v>
      </c>
      <c r="I310" s="76"/>
      <c r="J310" s="26"/>
      <c r="K310" s="165"/>
      <c r="L310" s="165"/>
      <c r="M310" s="166"/>
      <c r="N310" s="166"/>
      <c r="O310" s="166"/>
      <c r="P310" s="166"/>
      <c r="Q310" s="167"/>
      <c r="R310" s="111"/>
    </row>
    <row r="311" spans="1:18" ht="13.5" hidden="1" customHeight="1">
      <c r="A311" s="30">
        <v>305</v>
      </c>
      <c r="B311" s="24">
        <f>DATE('1.연간시수표'!$U$2,'1.연간시수표'!$X$2,'1.연간시수표'!$Z$2)+QUOTIENT(ROW(A305)-1,8)+(QUOTIENT(ROW(A305)-1,40)*2)</f>
        <v>44672</v>
      </c>
      <c r="C311" s="24" t="str">
        <f t="shared" si="12"/>
        <v>목</v>
      </c>
      <c r="D311" s="91" t="str">
        <f t="shared" si="13"/>
        <v>1교시</v>
      </c>
      <c r="E311" s="68">
        <f>COUNTIF($H$7:$H311,$H311)</f>
        <v>37</v>
      </c>
      <c r="F311" s="67">
        <f>'1.연간시수표'!$AL$33</f>
        <v>5</v>
      </c>
      <c r="G311" s="89">
        <f t="shared" si="14"/>
        <v>1</v>
      </c>
      <c r="H311" s="91" t="str">
        <f>INDEX('0.시간표데이터'!$E$10:$AR$32,QUOTIENT(ROW(A305)-1,40)+1,MOD(ROW(A305)-1,40)+1)</f>
        <v>국어</v>
      </c>
      <c r="I311" s="77"/>
      <c r="J311" s="26"/>
      <c r="K311" s="162"/>
      <c r="L311" s="162"/>
      <c r="M311" s="168"/>
      <c r="N311" s="98"/>
      <c r="O311" s="99"/>
      <c r="P311" s="99"/>
      <c r="Q311" s="167"/>
      <c r="R311" s="111"/>
    </row>
    <row r="312" spans="1:18" ht="13.5" hidden="1" customHeight="1">
      <c r="A312" s="30">
        <v>306</v>
      </c>
      <c r="B312" s="24">
        <f>DATE('1.연간시수표'!$U$2,'1.연간시수표'!$X$2,'1.연간시수표'!$Z$2)+QUOTIENT(ROW(A306)-1,8)+(QUOTIENT(ROW(A306)-1,40)*2)</f>
        <v>44672</v>
      </c>
      <c r="C312" s="24" t="str">
        <f t="shared" si="12"/>
        <v>목</v>
      </c>
      <c r="D312" s="91" t="str">
        <f t="shared" si="13"/>
        <v>2교시</v>
      </c>
      <c r="E312" s="68">
        <f>COUNTIF($H$7:$H312,$H312)</f>
        <v>27</v>
      </c>
      <c r="F312" s="67">
        <f>'1.연간시수표'!$AL$33</f>
        <v>5</v>
      </c>
      <c r="G312" s="89">
        <f t="shared" si="14"/>
        <v>1</v>
      </c>
      <c r="H312" s="91" t="str">
        <f>INDEX('0.시간표데이터'!$E$10:$AR$32,QUOTIENT(ROW(A306)-1,40)+1,MOD(ROW(A306)-1,40)+1)</f>
        <v>수학</v>
      </c>
      <c r="I312" s="161"/>
      <c r="J312" s="26"/>
      <c r="K312" s="165"/>
      <c r="L312" s="165"/>
      <c r="M312" s="166"/>
      <c r="N312" s="166"/>
      <c r="O312" s="166"/>
      <c r="P312" s="166"/>
      <c r="Q312" s="167"/>
      <c r="R312" s="111"/>
    </row>
    <row r="313" spans="1:18" ht="13.5" customHeight="1">
      <c r="A313" s="30">
        <v>307</v>
      </c>
      <c r="B313" s="24">
        <f>DATE('1.연간시수표'!$U$2,'1.연간시수표'!$X$2,'1.연간시수표'!$Z$2)+QUOTIENT(ROW(A307)-1,8)+(QUOTIENT(ROW(A307)-1,40)*2)</f>
        <v>44672</v>
      </c>
      <c r="C313" s="24" t="str">
        <f t="shared" si="12"/>
        <v>목</v>
      </c>
      <c r="D313" s="91" t="str">
        <f t="shared" si="13"/>
        <v>3교시</v>
      </c>
      <c r="E313" s="68">
        <f>COUNTIF($H$7:$H313,$H313)</f>
        <v>20</v>
      </c>
      <c r="F313" s="67">
        <f>'1.연간시수표'!$AL$33</f>
        <v>5</v>
      </c>
      <c r="G313" s="89">
        <f t="shared" si="14"/>
        <v>1</v>
      </c>
      <c r="H313" s="91" t="str">
        <f>INDEX('0.시간표데이터'!$E$10:$AR$32,QUOTIENT(ROW(A307)-1,40)+1,MOD(ROW(A307)-1,40)+1)</f>
        <v>사회</v>
      </c>
      <c r="I313" s="77"/>
      <c r="J313" s="26"/>
      <c r="K313" s="173"/>
      <c r="L313" s="173"/>
      <c r="M313" s="10"/>
      <c r="N313" s="10"/>
      <c r="O313" s="10"/>
      <c r="P313" s="10"/>
      <c r="Q313" s="164"/>
      <c r="R313" s="109"/>
    </row>
    <row r="314" spans="1:18" ht="13.5" customHeight="1">
      <c r="A314" s="30">
        <v>308</v>
      </c>
      <c r="B314" s="24">
        <f>DATE('1.연간시수표'!$U$2,'1.연간시수표'!$X$2,'1.연간시수표'!$Z$2)+QUOTIENT(ROW(A308)-1,8)+(QUOTIENT(ROW(A308)-1,40)*2)</f>
        <v>44672</v>
      </c>
      <c r="C314" s="24" t="str">
        <f t="shared" si="12"/>
        <v>목</v>
      </c>
      <c r="D314" s="91" t="str">
        <f t="shared" si="13"/>
        <v>4교시</v>
      </c>
      <c r="E314" s="68">
        <f>COUNTIF($H$7:$H314,$H314)</f>
        <v>20</v>
      </c>
      <c r="F314" s="67">
        <f>'1.연간시수표'!$AL$33</f>
        <v>5</v>
      </c>
      <c r="G314" s="89">
        <f t="shared" si="14"/>
        <v>1</v>
      </c>
      <c r="H314" s="91" t="str">
        <f>INDEX('0.시간표데이터'!$E$10:$AR$32,QUOTIENT(ROW(A308)-1,40)+1,MOD(ROW(A308)-1,40)+1)</f>
        <v>영어</v>
      </c>
      <c r="I314" s="77"/>
      <c r="J314" s="26"/>
      <c r="K314" s="173"/>
      <c r="L314" s="173"/>
      <c r="M314" s="10"/>
      <c r="N314" s="10"/>
      <c r="O314" s="10"/>
      <c r="P314" s="10"/>
      <c r="Q314" s="164"/>
      <c r="R314" s="109"/>
    </row>
    <row r="315" spans="1:18" ht="13.5" hidden="1" customHeight="1">
      <c r="A315" s="30">
        <v>309</v>
      </c>
      <c r="B315" s="24">
        <f>DATE('1.연간시수표'!$U$2,'1.연간시수표'!$X$2,'1.연간시수표'!$Z$2)+QUOTIENT(ROW(A309)-1,8)+(QUOTIENT(ROW(A309)-1,40)*2)</f>
        <v>44672</v>
      </c>
      <c r="C315" s="24" t="str">
        <f t="shared" si="12"/>
        <v>목</v>
      </c>
      <c r="D315" s="91" t="str">
        <f t="shared" si="13"/>
        <v>5교시</v>
      </c>
      <c r="E315" s="68">
        <f>COUNTIF($H$7:$H315,$H315)</f>
        <v>1</v>
      </c>
      <c r="F315" s="67">
        <f>'1.연간시수표'!$AL$33</f>
        <v>5</v>
      </c>
      <c r="G315" s="89">
        <f t="shared" si="14"/>
        <v>1</v>
      </c>
      <c r="H315" s="91" t="str">
        <f>INDEX('0.시간표데이터'!$E$10:$AR$32,QUOTIENT(ROW(A309)-1,40)+1,MOD(ROW(A309)-1,40)+1)</f>
        <v>동아리활동</v>
      </c>
      <c r="I315" s="77"/>
      <c r="J315" s="26"/>
      <c r="K315" s="165"/>
      <c r="L315" s="165"/>
      <c r="M315" s="166"/>
      <c r="N315" s="166"/>
      <c r="O315" s="166"/>
      <c r="P315" s="166"/>
      <c r="Q315" s="167"/>
      <c r="R315" s="111"/>
    </row>
    <row r="316" spans="1:18" ht="13.5" hidden="1" customHeight="1">
      <c r="A316" s="30">
        <v>310</v>
      </c>
      <c r="B316" s="24">
        <f>DATE('1.연간시수표'!$U$2,'1.연간시수표'!$X$2,'1.연간시수표'!$Z$2)+QUOTIENT(ROW(A310)-1,8)+(QUOTIENT(ROW(A310)-1,40)*2)</f>
        <v>44672</v>
      </c>
      <c r="C316" s="24" t="str">
        <f t="shared" si="12"/>
        <v>목</v>
      </c>
      <c r="D316" s="91" t="str">
        <f t="shared" si="13"/>
        <v>6교시</v>
      </c>
      <c r="E316" s="68">
        <f>COUNTIF($H$7:$H316,$H316)</f>
        <v>2</v>
      </c>
      <c r="F316" s="67">
        <f>'1.연간시수표'!$AL$33</f>
        <v>5</v>
      </c>
      <c r="G316" s="89">
        <f t="shared" si="14"/>
        <v>1</v>
      </c>
      <c r="H316" s="91" t="str">
        <f>INDEX('0.시간표데이터'!$E$10:$AR$32,QUOTIENT(ROW(A310)-1,40)+1,MOD(ROW(A310)-1,40)+1)</f>
        <v>동아리활동</v>
      </c>
      <c r="I316" s="161"/>
      <c r="J316" s="26"/>
      <c r="K316" s="165"/>
      <c r="L316" s="165"/>
      <c r="M316" s="166"/>
      <c r="N316" s="166"/>
      <c r="O316" s="166"/>
      <c r="P316" s="166"/>
      <c r="Q316" s="167"/>
      <c r="R316" s="111"/>
    </row>
    <row r="317" spans="1:18" ht="13.5" hidden="1" customHeight="1">
      <c r="A317" s="30">
        <v>311</v>
      </c>
      <c r="B317" s="24">
        <f>DATE('1.연간시수표'!$U$2,'1.연간시수표'!$X$2,'1.연간시수표'!$Z$2)+QUOTIENT(ROW(A311)-1,8)+(QUOTIENT(ROW(A311)-1,40)*2)</f>
        <v>44672</v>
      </c>
      <c r="C317" s="24" t="str">
        <f t="shared" si="12"/>
        <v>목</v>
      </c>
      <c r="D317" s="91" t="str">
        <f t="shared" si="13"/>
        <v>7교시</v>
      </c>
      <c r="E317" s="68">
        <f>COUNTIF($H$7:$H317,$H317)</f>
        <v>103</v>
      </c>
      <c r="F317" s="67">
        <f>'1.연간시수표'!$AL$33</f>
        <v>5</v>
      </c>
      <c r="G317" s="89">
        <f t="shared" si="14"/>
        <v>1</v>
      </c>
      <c r="H317" s="91" t="str">
        <f>INDEX('0.시간표데이터'!$E$10:$AR$32,QUOTIENT(ROW(A311)-1,40)+1,MOD(ROW(A311)-1,40)+1)</f>
        <v>_</v>
      </c>
      <c r="I317" s="76"/>
      <c r="J317" s="26"/>
      <c r="K317" s="165"/>
      <c r="L317" s="165"/>
      <c r="M317" s="166"/>
      <c r="N317" s="166"/>
      <c r="O317" s="166"/>
      <c r="P317" s="166"/>
      <c r="Q317" s="167"/>
      <c r="R317" s="111"/>
    </row>
    <row r="318" spans="1:18" ht="13.5" hidden="1" customHeight="1">
      <c r="A318" s="30">
        <v>312</v>
      </c>
      <c r="B318" s="24">
        <f>DATE('1.연간시수표'!$U$2,'1.연간시수표'!$X$2,'1.연간시수표'!$Z$2)+QUOTIENT(ROW(A312)-1,8)+(QUOTIENT(ROW(A312)-1,40)*2)</f>
        <v>44672</v>
      </c>
      <c r="C318" s="24" t="str">
        <f t="shared" si="12"/>
        <v>목</v>
      </c>
      <c r="D318" s="91" t="str">
        <f t="shared" si="13"/>
        <v>8교시</v>
      </c>
      <c r="E318" s="68">
        <f>COUNTIF($H$7:$H318,$H318)</f>
        <v>104</v>
      </c>
      <c r="F318" s="67">
        <f>'1.연간시수표'!$AL$33</f>
        <v>5</v>
      </c>
      <c r="G318" s="89">
        <f t="shared" si="14"/>
        <v>1</v>
      </c>
      <c r="H318" s="91" t="str">
        <f>INDEX('0.시간표데이터'!$E$10:$AR$32,QUOTIENT(ROW(A312)-1,40)+1,MOD(ROW(A312)-1,40)+1)</f>
        <v>_</v>
      </c>
      <c r="I318" s="76"/>
      <c r="J318" s="26"/>
      <c r="K318" s="165"/>
      <c r="L318" s="165"/>
      <c r="M318" s="166"/>
      <c r="N318" s="166"/>
      <c r="O318" s="166"/>
      <c r="P318" s="166"/>
      <c r="Q318" s="167"/>
      <c r="R318" s="111"/>
    </row>
    <row r="319" spans="1:18" ht="13.5" customHeight="1">
      <c r="A319" s="30">
        <v>313</v>
      </c>
      <c r="B319" s="24">
        <f>DATE('1.연간시수표'!$U$2,'1.연간시수표'!$X$2,'1.연간시수표'!$Z$2)+QUOTIENT(ROW(A313)-1,8)+(QUOTIENT(ROW(A313)-1,40)*2)</f>
        <v>44673</v>
      </c>
      <c r="C319" s="24" t="str">
        <f t="shared" si="12"/>
        <v>금</v>
      </c>
      <c r="D319" s="91" t="str">
        <f t="shared" si="13"/>
        <v>1교시</v>
      </c>
      <c r="E319" s="68">
        <f>COUNTIF($H$7:$H319,$H319)</f>
        <v>38</v>
      </c>
      <c r="F319" s="67">
        <f>'1.연간시수표'!$AL$33</f>
        <v>5</v>
      </c>
      <c r="G319" s="89">
        <f t="shared" si="14"/>
        <v>1</v>
      </c>
      <c r="H319" s="91" t="str">
        <f>INDEX('0.시간표데이터'!$E$10:$AR$32,QUOTIENT(ROW(A313)-1,40)+1,MOD(ROW(A313)-1,40)+1)</f>
        <v>국어</v>
      </c>
      <c r="I319" s="77"/>
      <c r="J319" s="26"/>
      <c r="K319" s="173"/>
      <c r="L319" s="173"/>
      <c r="M319" s="10"/>
      <c r="N319" s="10"/>
      <c r="O319" s="10"/>
      <c r="P319" s="10"/>
      <c r="Q319" s="164"/>
      <c r="R319" s="109"/>
    </row>
    <row r="320" spans="1:18" ht="13.5" customHeight="1">
      <c r="A320" s="30">
        <v>314</v>
      </c>
      <c r="B320" s="24">
        <f>DATE('1.연간시수표'!$U$2,'1.연간시수표'!$X$2,'1.연간시수표'!$Z$2)+QUOTIENT(ROW(A314)-1,8)+(QUOTIENT(ROW(A314)-1,40)*2)</f>
        <v>44673</v>
      </c>
      <c r="C320" s="24" t="str">
        <f t="shared" si="12"/>
        <v>금</v>
      </c>
      <c r="D320" s="91" t="str">
        <f t="shared" si="13"/>
        <v>2교시</v>
      </c>
      <c r="E320" s="68">
        <f>COUNTIF($H$7:$H320,$H320)</f>
        <v>13</v>
      </c>
      <c r="F320" s="67">
        <f>'1.연간시수표'!$AL$33</f>
        <v>5</v>
      </c>
      <c r="G320" s="89">
        <f t="shared" si="14"/>
        <v>1</v>
      </c>
      <c r="H320" s="91" t="str">
        <f>INDEX('0.시간표데이터'!$E$10:$AR$32,QUOTIENT(ROW(A314)-1,40)+1,MOD(ROW(A314)-1,40)+1)</f>
        <v>체육</v>
      </c>
      <c r="I320" s="77"/>
      <c r="J320" s="26"/>
      <c r="K320" s="173"/>
      <c r="L320" s="173"/>
      <c r="M320" s="10"/>
      <c r="N320" s="10"/>
      <c r="O320" s="10"/>
      <c r="P320" s="10"/>
      <c r="Q320" s="164"/>
      <c r="R320" s="109"/>
    </row>
    <row r="321" spans="1:18" ht="13.5" customHeight="1">
      <c r="A321" s="30">
        <v>315</v>
      </c>
      <c r="B321" s="24">
        <f>DATE('1.연간시수표'!$U$2,'1.연간시수표'!$X$2,'1.연간시수표'!$Z$2)+QUOTIENT(ROW(A315)-1,8)+(QUOTIENT(ROW(A315)-1,40)*2)</f>
        <v>44673</v>
      </c>
      <c r="C321" s="24" t="str">
        <f t="shared" si="12"/>
        <v>금</v>
      </c>
      <c r="D321" s="91" t="str">
        <f t="shared" si="13"/>
        <v>3교시</v>
      </c>
      <c r="E321" s="68">
        <f>COUNTIF($H$7:$H321,$H321)</f>
        <v>28</v>
      </c>
      <c r="F321" s="67">
        <f>'1.연간시수표'!$AL$33</f>
        <v>5</v>
      </c>
      <c r="G321" s="89">
        <f t="shared" si="14"/>
        <v>1</v>
      </c>
      <c r="H321" s="91" t="str">
        <f>INDEX('0.시간표데이터'!$E$10:$AR$32,QUOTIENT(ROW(A315)-1,40)+1,MOD(ROW(A315)-1,40)+1)</f>
        <v>수학</v>
      </c>
      <c r="I321" s="77"/>
      <c r="J321" s="26"/>
      <c r="K321" s="173"/>
      <c r="L321" s="173"/>
      <c r="M321" s="10"/>
      <c r="N321" s="10"/>
      <c r="O321" s="10"/>
      <c r="P321" s="10"/>
      <c r="Q321" s="164"/>
      <c r="R321" s="109"/>
    </row>
    <row r="322" spans="1:18" ht="13.5" customHeight="1">
      <c r="A322" s="30">
        <v>316</v>
      </c>
      <c r="B322" s="24">
        <f>DATE('1.연간시수표'!$U$2,'1.연간시수표'!$X$2,'1.연간시수표'!$Z$2)+QUOTIENT(ROW(A316)-1,8)+(QUOTIENT(ROW(A316)-1,40)*2)</f>
        <v>44673</v>
      </c>
      <c r="C322" s="24" t="str">
        <f t="shared" si="12"/>
        <v>금</v>
      </c>
      <c r="D322" s="91" t="str">
        <f t="shared" si="13"/>
        <v>4교시</v>
      </c>
      <c r="E322" s="68">
        <f>COUNTIF($H$7:$H322,$H322)</f>
        <v>39</v>
      </c>
      <c r="F322" s="67">
        <f>'1.연간시수표'!$AL$33</f>
        <v>5</v>
      </c>
      <c r="G322" s="89">
        <f t="shared" si="14"/>
        <v>1</v>
      </c>
      <c r="H322" s="91" t="str">
        <f>INDEX('0.시간표데이터'!$E$10:$AR$32,QUOTIENT(ROW(A316)-1,40)+1,MOD(ROW(A316)-1,40)+1)</f>
        <v>국어</v>
      </c>
      <c r="I322" s="77"/>
      <c r="J322" s="26"/>
      <c r="K322" s="173"/>
      <c r="L322" s="173"/>
      <c r="M322" s="10"/>
      <c r="N322" s="10"/>
      <c r="O322" s="10"/>
      <c r="P322" s="10"/>
      <c r="Q322" s="164"/>
      <c r="R322" s="109"/>
    </row>
    <row r="323" spans="1:18" ht="13.5" customHeight="1">
      <c r="A323" s="30">
        <v>317</v>
      </c>
      <c r="B323" s="24">
        <f>DATE('1.연간시수표'!$U$2,'1.연간시수표'!$X$2,'1.연간시수표'!$Z$2)+QUOTIENT(ROW(A317)-1,8)+(QUOTIENT(ROW(A317)-1,40)*2)</f>
        <v>44673</v>
      </c>
      <c r="C323" s="24" t="str">
        <f t="shared" si="12"/>
        <v>금</v>
      </c>
      <c r="D323" s="91" t="str">
        <f t="shared" si="13"/>
        <v>5교시</v>
      </c>
      <c r="E323" s="68">
        <f>COUNTIF($H$7:$H323,$H323)</f>
        <v>21</v>
      </c>
      <c r="F323" s="67">
        <f>'1.연간시수표'!$AL$33</f>
        <v>5</v>
      </c>
      <c r="G323" s="89">
        <f t="shared" si="14"/>
        <v>1</v>
      </c>
      <c r="H323" s="91" t="str">
        <f>INDEX('0.시간표데이터'!$E$10:$AR$32,QUOTIENT(ROW(A317)-1,40)+1,MOD(ROW(A317)-1,40)+1)</f>
        <v>사회</v>
      </c>
      <c r="I323" s="77"/>
      <c r="J323" s="26"/>
      <c r="K323" s="173"/>
      <c r="L323" s="173"/>
      <c r="M323" s="10"/>
      <c r="N323" s="10"/>
      <c r="O323" s="10"/>
      <c r="P323" s="10"/>
      <c r="Q323" s="164"/>
      <c r="R323" s="109"/>
    </row>
    <row r="324" spans="1:18" ht="13.5" customHeight="1">
      <c r="A324" s="30">
        <v>318</v>
      </c>
      <c r="B324" s="24">
        <f>DATE('1.연간시수표'!$U$2,'1.연간시수표'!$X$2,'1.연간시수표'!$Z$2)+QUOTIENT(ROW(A318)-1,8)+(QUOTIENT(ROW(A318)-1,40)*2)</f>
        <v>44673</v>
      </c>
      <c r="C324" s="24" t="str">
        <f t="shared" si="12"/>
        <v>금</v>
      </c>
      <c r="D324" s="91" t="str">
        <f t="shared" si="13"/>
        <v>6교시</v>
      </c>
      <c r="E324" s="68">
        <f>COUNTIF($H$7:$H324,$H324)</f>
        <v>14</v>
      </c>
      <c r="F324" s="67">
        <f>'1.연간시수표'!$AL$33</f>
        <v>5</v>
      </c>
      <c r="G324" s="89">
        <f t="shared" si="14"/>
        <v>1</v>
      </c>
      <c r="H324" s="91" t="str">
        <f>INDEX('0.시간표데이터'!$E$10:$AR$32,QUOTIENT(ROW(A318)-1,40)+1,MOD(ROW(A318)-1,40)+1)</f>
        <v>실과</v>
      </c>
      <c r="I324" s="77"/>
      <c r="J324" s="26"/>
      <c r="K324" s="173"/>
      <c r="L324" s="173"/>
      <c r="M324" s="10"/>
      <c r="N324" s="10"/>
      <c r="O324" s="10"/>
      <c r="P324" s="10"/>
      <c r="Q324" s="164"/>
      <c r="R324" s="109"/>
    </row>
    <row r="325" spans="1:18" ht="13.5" hidden="1" customHeight="1">
      <c r="A325" s="30">
        <v>319</v>
      </c>
      <c r="B325" s="24">
        <f>DATE('1.연간시수표'!$U$2,'1.연간시수표'!$X$2,'1.연간시수표'!$Z$2)+QUOTIENT(ROW(A319)-1,8)+(QUOTIENT(ROW(A319)-1,40)*2)</f>
        <v>44673</v>
      </c>
      <c r="C325" s="24" t="str">
        <f t="shared" si="12"/>
        <v>금</v>
      </c>
      <c r="D325" s="91" t="str">
        <f t="shared" si="13"/>
        <v>7교시</v>
      </c>
      <c r="E325" s="68">
        <f>COUNTIF($H$7:$H325,$H325)</f>
        <v>105</v>
      </c>
      <c r="F325" s="67">
        <f>'1.연간시수표'!$AL$33</f>
        <v>5</v>
      </c>
      <c r="G325" s="89">
        <f t="shared" si="14"/>
        <v>1</v>
      </c>
      <c r="H325" s="91" t="str">
        <f>INDEX('0.시간표데이터'!$E$10:$AR$32,QUOTIENT(ROW(A319)-1,40)+1,MOD(ROW(A319)-1,40)+1)</f>
        <v>_</v>
      </c>
      <c r="I325" s="76"/>
      <c r="J325" s="26"/>
      <c r="K325" s="165"/>
      <c r="L325" s="165"/>
      <c r="M325" s="166"/>
      <c r="N325" s="166"/>
      <c r="O325" s="166"/>
      <c r="P325" s="166"/>
      <c r="Q325" s="167"/>
      <c r="R325" s="111"/>
    </row>
    <row r="326" spans="1:18" ht="13.5" hidden="1" customHeight="1">
      <c r="A326" s="30">
        <v>320</v>
      </c>
      <c r="B326" s="24">
        <f>DATE('1.연간시수표'!$U$2,'1.연간시수표'!$X$2,'1.연간시수표'!$Z$2)+QUOTIENT(ROW(A320)-1,8)+(QUOTIENT(ROW(A320)-1,40)*2)</f>
        <v>44673</v>
      </c>
      <c r="C326" s="24" t="str">
        <f t="shared" si="12"/>
        <v>금</v>
      </c>
      <c r="D326" s="91" t="str">
        <f t="shared" si="13"/>
        <v>8교시</v>
      </c>
      <c r="E326" s="68">
        <f>COUNTIF($H$7:$H326,$H326)</f>
        <v>106</v>
      </c>
      <c r="F326" s="67">
        <f>'1.연간시수표'!$AL$33</f>
        <v>5</v>
      </c>
      <c r="G326" s="89">
        <f t="shared" si="14"/>
        <v>1</v>
      </c>
      <c r="H326" s="91" t="str">
        <f>INDEX('0.시간표데이터'!$E$10:$AR$32,QUOTIENT(ROW(A320)-1,40)+1,MOD(ROW(A320)-1,40)+1)</f>
        <v>_</v>
      </c>
      <c r="I326" s="76"/>
      <c r="J326" s="26"/>
      <c r="K326" s="165"/>
      <c r="L326" s="165"/>
      <c r="M326" s="166"/>
      <c r="N326" s="166"/>
      <c r="O326" s="166"/>
      <c r="P326" s="166"/>
      <c r="Q326" s="167"/>
      <c r="R326" s="111"/>
    </row>
    <row r="327" spans="1:18" ht="13.5" hidden="1" customHeight="1">
      <c r="A327" s="30">
        <v>321</v>
      </c>
      <c r="B327" s="24">
        <f>DATE('1.연간시수표'!$U$2,'1.연간시수표'!$X$2,'1.연간시수표'!$Z$2)+QUOTIENT(ROW(A321)-1,8)+(QUOTIENT(ROW(A321)-1,40)*2)</f>
        <v>44676</v>
      </c>
      <c r="C327" s="24" t="str">
        <f t="shared" ref="C327:C390" si="15">IF(WEEKDAY(B327,2)=1,"월",IF(WEEKDAY(B327,2)=2,"화",IF(WEEKDAY(B327,2)=3,"수",IF(WEEKDAY(B327,2)=4,"목",IF(WEEKDAY(B327,2)=5,"금")))))</f>
        <v>월</v>
      </c>
      <c r="D327" s="91" t="str">
        <f t="shared" ref="D327:D390" si="16">TEXT(MOD(ROW(A321)-1,8)+1,"#교시")</f>
        <v>1교시</v>
      </c>
      <c r="E327" s="68">
        <f>COUNTIF($H$7:$H327,$H327)</f>
        <v>40</v>
      </c>
      <c r="F327" s="67">
        <f>'1.연간시수표'!$AL$33</f>
        <v>5</v>
      </c>
      <c r="G327" s="89">
        <f t="shared" ref="G327:G390" si="17">$A$2</f>
        <v>1</v>
      </c>
      <c r="H327" s="91" t="str">
        <f>INDEX('0.시간표데이터'!$E$10:$AR$32,QUOTIENT(ROW(A321)-1,40)+1,MOD(ROW(A321)-1,40)+1)</f>
        <v>국어</v>
      </c>
      <c r="I327" s="77"/>
      <c r="J327" s="26"/>
      <c r="K327" s="162"/>
      <c r="L327" s="162"/>
      <c r="M327" s="168"/>
      <c r="N327" s="99"/>
      <c r="O327" s="99"/>
      <c r="P327" s="99"/>
      <c r="Q327" s="167"/>
      <c r="R327" s="111"/>
    </row>
    <row r="328" spans="1:18" ht="13.5" hidden="1" customHeight="1">
      <c r="A328" s="30">
        <v>322</v>
      </c>
      <c r="B328" s="24">
        <f>DATE('1.연간시수표'!$U$2,'1.연간시수표'!$X$2,'1.연간시수표'!$Z$2)+QUOTIENT(ROW(A322)-1,8)+(QUOTIENT(ROW(A322)-1,40)*2)</f>
        <v>44676</v>
      </c>
      <c r="C328" s="24" t="str">
        <f t="shared" si="15"/>
        <v>월</v>
      </c>
      <c r="D328" s="91" t="str">
        <f t="shared" si="16"/>
        <v>2교시</v>
      </c>
      <c r="E328" s="68">
        <f>COUNTIF($H$7:$H328,$H328)</f>
        <v>15</v>
      </c>
      <c r="F328" s="67">
        <f>'1.연간시수표'!$AL$33</f>
        <v>5</v>
      </c>
      <c r="G328" s="89">
        <f t="shared" si="17"/>
        <v>1</v>
      </c>
      <c r="H328" s="91" t="str">
        <f>INDEX('0.시간표데이터'!$E$10:$AR$32,QUOTIENT(ROW(A322)-1,40)+1,MOD(ROW(A322)-1,40)+1)</f>
        <v>미술</v>
      </c>
      <c r="I328" s="161"/>
      <c r="J328" s="26"/>
      <c r="K328" s="165"/>
      <c r="L328" s="165"/>
      <c r="M328" s="166"/>
      <c r="N328" s="166"/>
      <c r="O328" s="166"/>
      <c r="P328" s="166"/>
      <c r="Q328" s="167"/>
      <c r="R328" s="111"/>
    </row>
    <row r="329" spans="1:18" ht="13.5" hidden="1" customHeight="1">
      <c r="A329" s="30">
        <v>323</v>
      </c>
      <c r="B329" s="24">
        <f>DATE('1.연간시수표'!$U$2,'1.연간시수표'!$X$2,'1.연간시수표'!$Z$2)+QUOTIENT(ROW(A323)-1,8)+(QUOTIENT(ROW(A323)-1,40)*2)</f>
        <v>44676</v>
      </c>
      <c r="C329" s="24" t="str">
        <f t="shared" si="15"/>
        <v>월</v>
      </c>
      <c r="D329" s="91" t="str">
        <f t="shared" si="16"/>
        <v>3교시</v>
      </c>
      <c r="E329" s="68">
        <f>COUNTIF($H$7:$H329,$H329)</f>
        <v>16</v>
      </c>
      <c r="F329" s="67">
        <f>'1.연간시수표'!$AL$33</f>
        <v>5</v>
      </c>
      <c r="G329" s="89">
        <f t="shared" si="17"/>
        <v>1</v>
      </c>
      <c r="H329" s="91" t="str">
        <f>INDEX('0.시간표데이터'!$E$10:$AR$32,QUOTIENT(ROW(A323)-1,40)+1,MOD(ROW(A323)-1,40)+1)</f>
        <v>미술</v>
      </c>
      <c r="I329" s="77"/>
      <c r="J329" s="26"/>
      <c r="K329" s="162"/>
      <c r="L329" s="162"/>
      <c r="M329" s="172"/>
      <c r="N329" s="101"/>
      <c r="O329" s="99"/>
      <c r="P329" s="99"/>
      <c r="Q329" s="167"/>
      <c r="R329" s="111"/>
    </row>
    <row r="330" spans="1:18" ht="13.5" hidden="1" customHeight="1">
      <c r="A330" s="30">
        <v>324</v>
      </c>
      <c r="B330" s="24">
        <f>DATE('1.연간시수표'!$U$2,'1.연간시수표'!$X$2,'1.연간시수표'!$Z$2)+QUOTIENT(ROW(A324)-1,8)+(QUOTIENT(ROW(A324)-1,40)*2)</f>
        <v>44676</v>
      </c>
      <c r="C330" s="24" t="str">
        <f t="shared" si="15"/>
        <v>월</v>
      </c>
      <c r="D330" s="91" t="str">
        <f t="shared" si="16"/>
        <v>4교시</v>
      </c>
      <c r="E330" s="68">
        <f>COUNTIF($H$7:$H330,$H330)</f>
        <v>21</v>
      </c>
      <c r="F330" s="67">
        <f>'1.연간시수표'!$AL$33</f>
        <v>5</v>
      </c>
      <c r="G330" s="89">
        <f t="shared" si="17"/>
        <v>1</v>
      </c>
      <c r="H330" s="91" t="str">
        <f>INDEX('0.시간표데이터'!$E$10:$AR$32,QUOTIENT(ROW(A324)-1,40)+1,MOD(ROW(A324)-1,40)+1)</f>
        <v>영어</v>
      </c>
      <c r="I330" s="77"/>
      <c r="J330" s="26"/>
      <c r="K330" s="162"/>
      <c r="L330" s="162"/>
      <c r="M330" s="172"/>
      <c r="N330" s="101"/>
      <c r="O330" s="99"/>
      <c r="P330" s="99"/>
      <c r="Q330" s="167"/>
      <c r="R330" s="111"/>
    </row>
    <row r="331" spans="1:18" ht="13.5" hidden="1" customHeight="1">
      <c r="A331" s="30">
        <v>325</v>
      </c>
      <c r="B331" s="24">
        <f>DATE('1.연간시수표'!$U$2,'1.연간시수표'!$X$2,'1.연간시수표'!$Z$2)+QUOTIENT(ROW(A325)-1,8)+(QUOTIENT(ROW(A325)-1,40)*2)</f>
        <v>44676</v>
      </c>
      <c r="C331" s="24" t="str">
        <f t="shared" si="15"/>
        <v>월</v>
      </c>
      <c r="D331" s="91" t="str">
        <f t="shared" si="16"/>
        <v>5교시</v>
      </c>
      <c r="E331" s="68">
        <f>COUNTIF($H$7:$H331,$H331)</f>
        <v>29</v>
      </c>
      <c r="F331" s="67">
        <f>'1.연간시수표'!$AL$33</f>
        <v>5</v>
      </c>
      <c r="G331" s="89">
        <f t="shared" si="17"/>
        <v>1</v>
      </c>
      <c r="H331" s="91" t="str">
        <f>INDEX('0.시간표데이터'!$E$10:$AR$32,QUOTIENT(ROW(A325)-1,40)+1,MOD(ROW(A325)-1,40)+1)</f>
        <v>수학</v>
      </c>
      <c r="I331" s="77"/>
      <c r="J331" s="26"/>
      <c r="K331" s="162"/>
      <c r="L331" s="162"/>
      <c r="M331" s="168"/>
      <c r="N331" s="98"/>
      <c r="O331" s="99"/>
      <c r="P331" s="99"/>
      <c r="Q331" s="167"/>
      <c r="R331" s="111"/>
    </row>
    <row r="332" spans="1:18" ht="13.5" hidden="1" customHeight="1">
      <c r="A332" s="30">
        <v>326</v>
      </c>
      <c r="B332" s="24">
        <f>DATE('1.연간시수표'!$U$2,'1.연간시수표'!$X$2,'1.연간시수표'!$Z$2)+QUOTIENT(ROW(A326)-1,8)+(QUOTIENT(ROW(A326)-1,40)*2)</f>
        <v>44676</v>
      </c>
      <c r="C332" s="24" t="str">
        <f t="shared" si="15"/>
        <v>월</v>
      </c>
      <c r="D332" s="91" t="str">
        <f t="shared" si="16"/>
        <v>6교시</v>
      </c>
      <c r="E332" s="68">
        <f>COUNTIF($H$7:$H332,$H332)</f>
        <v>41</v>
      </c>
      <c r="F332" s="67">
        <f>'1.연간시수표'!$AL$33</f>
        <v>5</v>
      </c>
      <c r="G332" s="89">
        <f t="shared" si="17"/>
        <v>1</v>
      </c>
      <c r="H332" s="91" t="str">
        <f>INDEX('0.시간표데이터'!$E$10:$AR$32,QUOTIENT(ROW(A326)-1,40)+1,MOD(ROW(A326)-1,40)+1)</f>
        <v>국어</v>
      </c>
      <c r="I332" s="77"/>
      <c r="J332" s="26"/>
      <c r="K332" s="165"/>
      <c r="L332" s="165"/>
      <c r="M332" s="166"/>
      <c r="N332" s="166"/>
      <c r="O332" s="166"/>
      <c r="P332" s="166"/>
      <c r="Q332" s="167"/>
      <c r="R332" s="111"/>
    </row>
    <row r="333" spans="1:18" ht="13.5" hidden="1" customHeight="1">
      <c r="A333" s="30">
        <v>327</v>
      </c>
      <c r="B333" s="24">
        <f>DATE('1.연간시수표'!$U$2,'1.연간시수표'!$X$2,'1.연간시수표'!$Z$2)+QUOTIENT(ROW(A327)-1,8)+(QUOTIENT(ROW(A327)-1,40)*2)</f>
        <v>44676</v>
      </c>
      <c r="C333" s="24" t="str">
        <f t="shared" si="15"/>
        <v>월</v>
      </c>
      <c r="D333" s="91" t="str">
        <f t="shared" si="16"/>
        <v>7교시</v>
      </c>
      <c r="E333" s="68">
        <f>COUNTIF($H$7:$H333,$H333)</f>
        <v>107</v>
      </c>
      <c r="F333" s="67">
        <f>'1.연간시수표'!$AL$33</f>
        <v>5</v>
      </c>
      <c r="G333" s="89">
        <f t="shared" si="17"/>
        <v>1</v>
      </c>
      <c r="H333" s="91" t="str">
        <f>INDEX('0.시간표데이터'!$E$10:$AR$32,QUOTIENT(ROW(A327)-1,40)+1,MOD(ROW(A327)-1,40)+1)</f>
        <v>_</v>
      </c>
      <c r="I333" s="76"/>
      <c r="J333" s="26"/>
      <c r="K333" s="165"/>
      <c r="L333" s="165"/>
      <c r="M333" s="166"/>
      <c r="N333" s="166"/>
      <c r="O333" s="166"/>
      <c r="P333" s="166"/>
      <c r="Q333" s="167"/>
      <c r="R333" s="111"/>
    </row>
    <row r="334" spans="1:18" ht="13.5" hidden="1" customHeight="1">
      <c r="A334" s="30">
        <v>328</v>
      </c>
      <c r="B334" s="24">
        <f>DATE('1.연간시수표'!$U$2,'1.연간시수표'!$X$2,'1.연간시수표'!$Z$2)+QUOTIENT(ROW(A328)-1,8)+(QUOTIENT(ROW(A328)-1,40)*2)</f>
        <v>44676</v>
      </c>
      <c r="C334" s="24" t="str">
        <f t="shared" si="15"/>
        <v>월</v>
      </c>
      <c r="D334" s="91" t="str">
        <f t="shared" si="16"/>
        <v>8교시</v>
      </c>
      <c r="E334" s="68">
        <f>COUNTIF($H$7:$H334,$H334)</f>
        <v>108</v>
      </c>
      <c r="F334" s="67">
        <f>'1.연간시수표'!$AL$33</f>
        <v>5</v>
      </c>
      <c r="G334" s="89">
        <f t="shared" si="17"/>
        <v>1</v>
      </c>
      <c r="H334" s="91" t="str">
        <f>INDEX('0.시간표데이터'!$E$10:$AR$32,QUOTIENT(ROW(A328)-1,40)+1,MOD(ROW(A328)-1,40)+1)</f>
        <v>_</v>
      </c>
      <c r="I334" s="76"/>
      <c r="J334" s="26"/>
      <c r="K334" s="165"/>
      <c r="L334" s="165"/>
      <c r="M334" s="166"/>
      <c r="N334" s="166"/>
      <c r="O334" s="166"/>
      <c r="P334" s="166"/>
      <c r="Q334" s="167"/>
      <c r="R334" s="111"/>
    </row>
    <row r="335" spans="1:18" ht="13.5" hidden="1" customHeight="1">
      <c r="A335" s="30">
        <v>329</v>
      </c>
      <c r="B335" s="24">
        <f>DATE('1.연간시수표'!$U$2,'1.연간시수표'!$X$2,'1.연간시수표'!$Z$2)+QUOTIENT(ROW(A329)-1,8)+(QUOTIENT(ROW(A329)-1,40)*2)</f>
        <v>44677</v>
      </c>
      <c r="C335" s="24" t="str">
        <f t="shared" si="15"/>
        <v>화</v>
      </c>
      <c r="D335" s="91" t="str">
        <f t="shared" si="16"/>
        <v>1교시</v>
      </c>
      <c r="E335" s="68">
        <f>COUNTIF($H$7:$H335,$H335)</f>
        <v>42</v>
      </c>
      <c r="F335" s="67">
        <f>'1.연간시수표'!$AL$33</f>
        <v>5</v>
      </c>
      <c r="G335" s="89">
        <f t="shared" si="17"/>
        <v>1</v>
      </c>
      <c r="H335" s="91" t="str">
        <f>INDEX('0.시간표데이터'!$E$10:$AR$32,QUOTIENT(ROW(A329)-1,40)+1,MOD(ROW(A329)-1,40)+1)</f>
        <v>국어</v>
      </c>
      <c r="I335" s="77"/>
      <c r="J335" s="26"/>
      <c r="K335" s="162"/>
      <c r="L335" s="162"/>
      <c r="M335" s="168"/>
      <c r="N335" s="99"/>
      <c r="O335" s="99"/>
      <c r="P335" s="99"/>
      <c r="Q335" s="167"/>
      <c r="R335" s="111"/>
    </row>
    <row r="336" spans="1:18" ht="13.5" hidden="1" customHeight="1">
      <c r="A336" s="30">
        <v>330</v>
      </c>
      <c r="B336" s="24">
        <f>DATE('1.연간시수표'!$U$2,'1.연간시수표'!$X$2,'1.연간시수표'!$Z$2)+QUOTIENT(ROW(A330)-1,8)+(QUOTIENT(ROW(A330)-1,40)*2)</f>
        <v>44677</v>
      </c>
      <c r="C336" s="24" t="str">
        <f t="shared" si="15"/>
        <v>화</v>
      </c>
      <c r="D336" s="91" t="str">
        <f t="shared" si="16"/>
        <v>2교시</v>
      </c>
      <c r="E336" s="68">
        <f>COUNTIF($H$7:$H336,$H336)</f>
        <v>43</v>
      </c>
      <c r="F336" s="67">
        <f>'1.연간시수표'!$AL$33</f>
        <v>5</v>
      </c>
      <c r="G336" s="89">
        <f t="shared" si="17"/>
        <v>1</v>
      </c>
      <c r="H336" s="91" t="str">
        <f>INDEX('0.시간표데이터'!$E$10:$AR$32,QUOTIENT(ROW(A330)-1,40)+1,MOD(ROW(A330)-1,40)+1)</f>
        <v>국어</v>
      </c>
      <c r="I336" s="161"/>
      <c r="J336" s="26"/>
      <c r="K336" s="165"/>
      <c r="L336" s="165"/>
      <c r="M336" s="166"/>
      <c r="N336" s="166"/>
      <c r="O336" s="166"/>
      <c r="P336" s="166"/>
      <c r="Q336" s="167"/>
      <c r="R336" s="111"/>
    </row>
    <row r="337" spans="1:18" hidden="1">
      <c r="A337" s="30">
        <v>331</v>
      </c>
      <c r="B337" s="24">
        <f>DATE('1.연간시수표'!$U$2,'1.연간시수표'!$X$2,'1.연간시수표'!$Z$2)+QUOTIENT(ROW(A331)-1,8)+(QUOTIENT(ROW(A331)-1,40)*2)</f>
        <v>44677</v>
      </c>
      <c r="C337" s="24" t="str">
        <f t="shared" si="15"/>
        <v>화</v>
      </c>
      <c r="D337" s="91" t="str">
        <f t="shared" si="16"/>
        <v>3교시</v>
      </c>
      <c r="E337" s="68">
        <f>COUNTIF($H$7:$H337,$H337)</f>
        <v>22</v>
      </c>
      <c r="F337" s="67">
        <f>'1.연간시수표'!$AL$33</f>
        <v>5</v>
      </c>
      <c r="G337" s="89">
        <f t="shared" si="17"/>
        <v>1</v>
      </c>
      <c r="H337" s="91" t="str">
        <f>INDEX('0.시간표데이터'!$E$10:$AR$32,QUOTIENT(ROW(A331)-1,40)+1,MOD(ROW(A331)-1,40)+1)</f>
        <v>사회</v>
      </c>
      <c r="I337" s="77"/>
      <c r="J337" s="26"/>
      <c r="K337" s="162"/>
      <c r="L337" s="162"/>
      <c r="M337" s="170"/>
      <c r="N337" s="98"/>
      <c r="O337" s="98"/>
      <c r="P337" s="98"/>
      <c r="Q337" s="167"/>
      <c r="R337" s="111"/>
    </row>
    <row r="338" spans="1:18" hidden="1">
      <c r="A338" s="30">
        <v>332</v>
      </c>
      <c r="B338" s="24">
        <f>DATE('1.연간시수표'!$U$2,'1.연간시수표'!$X$2,'1.연간시수표'!$Z$2)+QUOTIENT(ROW(A332)-1,8)+(QUOTIENT(ROW(A332)-1,40)*2)</f>
        <v>44677</v>
      </c>
      <c r="C338" s="24" t="str">
        <f t="shared" si="15"/>
        <v>화</v>
      </c>
      <c r="D338" s="91" t="str">
        <f t="shared" si="16"/>
        <v>4교시</v>
      </c>
      <c r="E338" s="68">
        <f>COUNTIF($H$7:$H338,$H338)</f>
        <v>30</v>
      </c>
      <c r="F338" s="67">
        <f>'1.연간시수표'!$AL$33</f>
        <v>5</v>
      </c>
      <c r="G338" s="89">
        <f t="shared" si="17"/>
        <v>1</v>
      </c>
      <c r="H338" s="91" t="str">
        <f>INDEX('0.시간표데이터'!$E$10:$AR$32,QUOTIENT(ROW(A332)-1,40)+1,MOD(ROW(A332)-1,40)+1)</f>
        <v>수학</v>
      </c>
      <c r="I338" s="77"/>
      <c r="J338" s="26"/>
      <c r="K338" s="162"/>
      <c r="L338" s="162"/>
      <c r="M338" s="168"/>
      <c r="N338" s="98"/>
      <c r="O338" s="99"/>
      <c r="P338" s="99"/>
      <c r="Q338" s="167"/>
      <c r="R338" s="111"/>
    </row>
    <row r="339" spans="1:18" ht="13.5" hidden="1" customHeight="1">
      <c r="A339" s="30">
        <v>333</v>
      </c>
      <c r="B339" s="24">
        <f>DATE('1.연간시수표'!$U$2,'1.연간시수표'!$X$2,'1.연간시수표'!$Z$2)+QUOTIENT(ROW(A333)-1,8)+(QUOTIENT(ROW(A333)-1,40)*2)</f>
        <v>44677</v>
      </c>
      <c r="C339" s="24" t="str">
        <f t="shared" si="15"/>
        <v>화</v>
      </c>
      <c r="D339" s="91" t="str">
        <f t="shared" si="16"/>
        <v>5교시</v>
      </c>
      <c r="E339" s="68">
        <f>COUNTIF($H$7:$H339,$H339)</f>
        <v>21</v>
      </c>
      <c r="F339" s="67">
        <f>'1.연간시수표'!$AL$33</f>
        <v>5</v>
      </c>
      <c r="G339" s="89">
        <f t="shared" si="17"/>
        <v>1</v>
      </c>
      <c r="H339" s="91" t="str">
        <f>INDEX('0.시간표데이터'!$E$10:$AR$32,QUOTIENT(ROW(A333)-1,40)+1,MOD(ROW(A333)-1,40)+1)</f>
        <v>과학</v>
      </c>
      <c r="I339" s="77"/>
      <c r="J339" s="26"/>
      <c r="K339" s="137"/>
      <c r="L339" s="137"/>
      <c r="M339" s="114"/>
      <c r="N339" s="114"/>
      <c r="O339" s="114"/>
      <c r="P339" s="114"/>
      <c r="Q339" s="164"/>
      <c r="R339" s="110"/>
    </row>
    <row r="340" spans="1:18" ht="13.5" hidden="1" customHeight="1">
      <c r="A340" s="30">
        <v>334</v>
      </c>
      <c r="B340" s="24">
        <f>DATE('1.연간시수표'!$U$2,'1.연간시수표'!$X$2,'1.연간시수표'!$Z$2)+QUOTIENT(ROW(A334)-1,8)+(QUOTIENT(ROW(A334)-1,40)*2)</f>
        <v>44677</v>
      </c>
      <c r="C340" s="24" t="str">
        <f t="shared" si="15"/>
        <v>화</v>
      </c>
      <c r="D340" s="91" t="str">
        <f t="shared" si="16"/>
        <v>6교시</v>
      </c>
      <c r="E340" s="68">
        <f>COUNTIF($H$7:$H340,$H340)</f>
        <v>15</v>
      </c>
      <c r="F340" s="67">
        <f>'1.연간시수표'!$AL$33</f>
        <v>5</v>
      </c>
      <c r="G340" s="89">
        <f t="shared" si="17"/>
        <v>1</v>
      </c>
      <c r="H340" s="91" t="str">
        <f>INDEX('0.시간표데이터'!$E$10:$AR$32,QUOTIENT(ROW(A334)-1,40)+1,MOD(ROW(A334)-1,40)+1)</f>
        <v>실과</v>
      </c>
      <c r="I340" s="77"/>
      <c r="J340" s="26"/>
      <c r="K340" s="165"/>
      <c r="L340" s="165"/>
      <c r="M340" s="166"/>
      <c r="N340" s="166"/>
      <c r="O340" s="166"/>
      <c r="P340" s="166"/>
      <c r="Q340" s="167"/>
      <c r="R340" s="111"/>
    </row>
    <row r="341" spans="1:18" ht="13.5" hidden="1" customHeight="1">
      <c r="A341" s="30">
        <v>335</v>
      </c>
      <c r="B341" s="24">
        <f>DATE('1.연간시수표'!$U$2,'1.연간시수표'!$X$2,'1.연간시수표'!$Z$2)+QUOTIENT(ROW(A335)-1,8)+(QUOTIENT(ROW(A335)-1,40)*2)</f>
        <v>44677</v>
      </c>
      <c r="C341" s="24" t="str">
        <f t="shared" si="15"/>
        <v>화</v>
      </c>
      <c r="D341" s="91" t="str">
        <f t="shared" si="16"/>
        <v>7교시</v>
      </c>
      <c r="E341" s="68">
        <f>COUNTIF($H$7:$H341,$H341)</f>
        <v>109</v>
      </c>
      <c r="F341" s="67">
        <f>'1.연간시수표'!$AL$33</f>
        <v>5</v>
      </c>
      <c r="G341" s="89">
        <f t="shared" si="17"/>
        <v>1</v>
      </c>
      <c r="H341" s="91" t="str">
        <f>INDEX('0.시간표데이터'!$E$10:$AR$32,QUOTIENT(ROW(A335)-1,40)+1,MOD(ROW(A335)-1,40)+1)</f>
        <v>_</v>
      </c>
      <c r="I341" s="76"/>
      <c r="J341" s="26"/>
      <c r="K341" s="165"/>
      <c r="L341" s="165"/>
      <c r="M341" s="166"/>
      <c r="N341" s="166"/>
      <c r="O341" s="166"/>
      <c r="P341" s="166"/>
      <c r="Q341" s="167"/>
      <c r="R341" s="111"/>
    </row>
    <row r="342" spans="1:18" ht="13.5" hidden="1" customHeight="1">
      <c r="A342" s="30">
        <v>336</v>
      </c>
      <c r="B342" s="24">
        <f>DATE('1.연간시수표'!$U$2,'1.연간시수표'!$X$2,'1.연간시수표'!$Z$2)+QUOTIENT(ROW(A336)-1,8)+(QUOTIENT(ROW(A336)-1,40)*2)</f>
        <v>44677</v>
      </c>
      <c r="C342" s="24" t="str">
        <f t="shared" si="15"/>
        <v>화</v>
      </c>
      <c r="D342" s="91" t="str">
        <f t="shared" si="16"/>
        <v>8교시</v>
      </c>
      <c r="E342" s="68">
        <f>COUNTIF($H$7:$H342,$H342)</f>
        <v>110</v>
      </c>
      <c r="F342" s="67">
        <f>'1.연간시수표'!$AL$33</f>
        <v>5</v>
      </c>
      <c r="G342" s="89">
        <f t="shared" si="17"/>
        <v>1</v>
      </c>
      <c r="H342" s="91" t="str">
        <f>INDEX('0.시간표데이터'!$E$10:$AR$32,QUOTIENT(ROW(A336)-1,40)+1,MOD(ROW(A336)-1,40)+1)</f>
        <v>_</v>
      </c>
      <c r="I342" s="76"/>
      <c r="J342" s="26"/>
      <c r="K342" s="165"/>
      <c r="L342" s="165"/>
      <c r="M342" s="166"/>
      <c r="N342" s="166"/>
      <c r="O342" s="166"/>
      <c r="P342" s="166"/>
      <c r="Q342" s="167"/>
      <c r="R342" s="111"/>
    </row>
    <row r="343" spans="1:18" ht="13.5" hidden="1" customHeight="1">
      <c r="A343" s="30">
        <v>337</v>
      </c>
      <c r="B343" s="24">
        <f>DATE('1.연간시수표'!$U$2,'1.연간시수표'!$X$2,'1.연간시수표'!$Z$2)+QUOTIENT(ROW(A337)-1,8)+(QUOTIENT(ROW(A337)-1,40)*2)</f>
        <v>44678</v>
      </c>
      <c r="C343" s="24" t="str">
        <f t="shared" si="15"/>
        <v>수</v>
      </c>
      <c r="D343" s="91" t="str">
        <f t="shared" si="16"/>
        <v>1교시</v>
      </c>
      <c r="E343" s="68">
        <f>COUNTIF($H$7:$H343,$H343)</f>
        <v>22</v>
      </c>
      <c r="F343" s="67">
        <f>'1.연간시수표'!$AL$33</f>
        <v>5</v>
      </c>
      <c r="G343" s="89">
        <f t="shared" si="17"/>
        <v>1</v>
      </c>
      <c r="H343" s="91" t="str">
        <f>INDEX('0.시간표데이터'!$E$10:$AR$32,QUOTIENT(ROW(A337)-1,40)+1,MOD(ROW(A337)-1,40)+1)</f>
        <v>영어</v>
      </c>
      <c r="I343" s="77"/>
      <c r="J343" s="26"/>
      <c r="K343" s="162"/>
      <c r="L343" s="162"/>
      <c r="M343" s="168"/>
      <c r="N343" s="98"/>
      <c r="O343" s="99"/>
      <c r="P343" s="99"/>
      <c r="Q343" s="167"/>
      <c r="R343" s="111"/>
    </row>
    <row r="344" spans="1:18" ht="13.5" hidden="1" customHeight="1">
      <c r="A344" s="30">
        <v>338</v>
      </c>
      <c r="B344" s="24">
        <f>DATE('1.연간시수표'!$U$2,'1.연간시수표'!$X$2,'1.연간시수표'!$Z$2)+QUOTIENT(ROW(A338)-1,8)+(QUOTIENT(ROW(A338)-1,40)*2)</f>
        <v>44678</v>
      </c>
      <c r="C344" s="24" t="str">
        <f t="shared" si="15"/>
        <v>수</v>
      </c>
      <c r="D344" s="91" t="str">
        <f t="shared" si="16"/>
        <v>2교시</v>
      </c>
      <c r="E344" s="68">
        <f>COUNTIF($H$7:$H344,$H344)</f>
        <v>22</v>
      </c>
      <c r="F344" s="67">
        <f>'1.연간시수표'!$AL$33</f>
        <v>5</v>
      </c>
      <c r="G344" s="89">
        <f t="shared" si="17"/>
        <v>1</v>
      </c>
      <c r="H344" s="91" t="str">
        <f>INDEX('0.시간표데이터'!$E$10:$AR$32,QUOTIENT(ROW(A338)-1,40)+1,MOD(ROW(A338)-1,40)+1)</f>
        <v>과학</v>
      </c>
      <c r="I344" s="77"/>
      <c r="J344" s="26"/>
      <c r="K344" s="137"/>
      <c r="L344" s="137"/>
      <c r="M344" s="114"/>
      <c r="N344" s="114"/>
      <c r="O344" s="114"/>
      <c r="P344" s="114"/>
      <c r="Q344" s="164"/>
      <c r="R344" s="110"/>
    </row>
    <row r="345" spans="1:18" ht="13.5" hidden="1" customHeight="1">
      <c r="A345" s="30">
        <v>339</v>
      </c>
      <c r="B345" s="24">
        <f>DATE('1.연간시수표'!$U$2,'1.연간시수표'!$X$2,'1.연간시수표'!$Z$2)+QUOTIENT(ROW(A339)-1,8)+(QUOTIENT(ROW(A339)-1,40)*2)</f>
        <v>44678</v>
      </c>
      <c r="C345" s="24" t="str">
        <f t="shared" si="15"/>
        <v>수</v>
      </c>
      <c r="D345" s="91" t="str">
        <f t="shared" si="16"/>
        <v>3교시</v>
      </c>
      <c r="E345" s="68">
        <f>COUNTIF($H$7:$H345,$H345)</f>
        <v>14</v>
      </c>
      <c r="F345" s="67">
        <f>'1.연간시수표'!$AL$33</f>
        <v>5</v>
      </c>
      <c r="G345" s="89">
        <f t="shared" si="17"/>
        <v>1</v>
      </c>
      <c r="H345" s="91" t="str">
        <f>INDEX('0.시간표데이터'!$E$10:$AR$32,QUOTIENT(ROW(A339)-1,40)+1,MOD(ROW(A339)-1,40)+1)</f>
        <v>체육</v>
      </c>
      <c r="I345" s="77"/>
      <c r="J345" s="26"/>
      <c r="K345" s="162"/>
      <c r="L345" s="162"/>
      <c r="M345" s="169"/>
      <c r="N345" s="101"/>
      <c r="O345" s="99"/>
      <c r="P345" s="99"/>
      <c r="Q345" s="167"/>
      <c r="R345" s="111"/>
    </row>
    <row r="346" spans="1:18" ht="13.5" hidden="1" customHeight="1">
      <c r="A346" s="30">
        <v>340</v>
      </c>
      <c r="B346" s="24">
        <f>DATE('1.연간시수표'!$U$2,'1.연간시수표'!$X$2,'1.연간시수표'!$Z$2)+QUOTIENT(ROW(A340)-1,8)+(QUOTIENT(ROW(A340)-1,40)*2)</f>
        <v>44678</v>
      </c>
      <c r="C346" s="24" t="str">
        <f t="shared" si="15"/>
        <v>수</v>
      </c>
      <c r="D346" s="91" t="str">
        <f t="shared" si="16"/>
        <v>4교시</v>
      </c>
      <c r="E346" s="68">
        <f>COUNTIF($H$7:$H346,$H346)</f>
        <v>18</v>
      </c>
      <c r="F346" s="67">
        <f>'1.연간시수표'!$AL$33</f>
        <v>5</v>
      </c>
      <c r="G346" s="89">
        <f t="shared" si="17"/>
        <v>1</v>
      </c>
      <c r="H346" s="91" t="str">
        <f>INDEX('0.시간표데이터'!$E$10:$AR$32,QUOTIENT(ROW(A340)-1,40)+1,MOD(ROW(A340)-1,40)+1)</f>
        <v>음악</v>
      </c>
      <c r="I346" s="77"/>
      <c r="J346" s="26"/>
      <c r="K346" s="162"/>
      <c r="L346" s="162"/>
      <c r="M346" s="168"/>
      <c r="N346" s="99"/>
      <c r="O346" s="99"/>
      <c r="P346" s="99"/>
      <c r="Q346" s="167"/>
      <c r="R346" s="111"/>
    </row>
    <row r="347" spans="1:18" ht="13.5" customHeight="1">
      <c r="A347" s="30">
        <v>341</v>
      </c>
      <c r="B347" s="24">
        <f>DATE('1.연간시수표'!$U$2,'1.연간시수표'!$X$2,'1.연간시수표'!$Z$2)+QUOTIENT(ROW(A341)-1,8)+(QUOTIENT(ROW(A341)-1,40)*2)</f>
        <v>44678</v>
      </c>
      <c r="C347" s="24" t="str">
        <f t="shared" si="15"/>
        <v>수</v>
      </c>
      <c r="D347" s="91" t="str">
        <f t="shared" si="16"/>
        <v>5교시</v>
      </c>
      <c r="E347" s="68">
        <f>COUNTIF($H$7:$H347,$H347)</f>
        <v>8</v>
      </c>
      <c r="F347" s="67">
        <f>'1.연간시수표'!$AL$33</f>
        <v>5</v>
      </c>
      <c r="G347" s="89">
        <f t="shared" si="17"/>
        <v>1</v>
      </c>
      <c r="H347" s="91" t="str">
        <f>INDEX('0.시간표데이터'!$E$10:$AR$32,QUOTIENT(ROW(A341)-1,40)+1,MOD(ROW(A341)-1,40)+1)</f>
        <v>도덕</v>
      </c>
      <c r="I347" s="77"/>
      <c r="J347" s="26"/>
      <c r="K347" s="173"/>
      <c r="L347" s="178"/>
      <c r="M347" s="10"/>
      <c r="N347" s="10"/>
      <c r="O347" s="10"/>
      <c r="P347" s="10"/>
      <c r="Q347" s="164"/>
      <c r="R347" s="109"/>
    </row>
    <row r="348" spans="1:18" ht="13.5" hidden="1" customHeight="1">
      <c r="A348" s="30">
        <v>342</v>
      </c>
      <c r="B348" s="24">
        <f>DATE('1.연간시수표'!$U$2,'1.연간시수표'!$X$2,'1.연간시수표'!$Z$2)+QUOTIENT(ROW(A342)-1,8)+(QUOTIENT(ROW(A342)-1,40)*2)</f>
        <v>44678</v>
      </c>
      <c r="C348" s="24" t="str">
        <f t="shared" si="15"/>
        <v>수</v>
      </c>
      <c r="D348" s="91" t="str">
        <f t="shared" si="16"/>
        <v>6교시</v>
      </c>
      <c r="E348" s="68">
        <f>COUNTIF($H$7:$H348,$H348)</f>
        <v>111</v>
      </c>
      <c r="F348" s="67">
        <f>'1.연간시수표'!$AL$33</f>
        <v>5</v>
      </c>
      <c r="G348" s="89">
        <f t="shared" si="17"/>
        <v>1</v>
      </c>
      <c r="H348" s="91" t="str">
        <f>INDEX('0.시간표데이터'!$E$10:$AR$32,QUOTIENT(ROW(A342)-1,40)+1,MOD(ROW(A342)-1,40)+1)</f>
        <v>_</v>
      </c>
      <c r="I348" s="77"/>
      <c r="J348" s="26"/>
      <c r="K348" s="165"/>
      <c r="L348" s="165"/>
      <c r="M348" s="166"/>
      <c r="N348" s="166"/>
      <c r="O348" s="166"/>
      <c r="P348" s="166"/>
      <c r="Q348" s="167"/>
      <c r="R348" s="111"/>
    </row>
    <row r="349" spans="1:18" ht="13.5" hidden="1" customHeight="1">
      <c r="A349" s="30">
        <v>343</v>
      </c>
      <c r="B349" s="24">
        <f>DATE('1.연간시수표'!$U$2,'1.연간시수표'!$X$2,'1.연간시수표'!$Z$2)+QUOTIENT(ROW(A343)-1,8)+(QUOTIENT(ROW(A343)-1,40)*2)</f>
        <v>44678</v>
      </c>
      <c r="C349" s="24" t="str">
        <f t="shared" si="15"/>
        <v>수</v>
      </c>
      <c r="D349" s="91" t="str">
        <f t="shared" si="16"/>
        <v>7교시</v>
      </c>
      <c r="E349" s="68">
        <f>COUNTIF($H$7:$H349,$H349)</f>
        <v>112</v>
      </c>
      <c r="F349" s="67">
        <f>'1.연간시수표'!$AL$33</f>
        <v>5</v>
      </c>
      <c r="G349" s="89">
        <f t="shared" si="17"/>
        <v>1</v>
      </c>
      <c r="H349" s="91" t="str">
        <f>INDEX('0.시간표데이터'!$E$10:$AR$32,QUOTIENT(ROW(A343)-1,40)+1,MOD(ROW(A343)-1,40)+1)</f>
        <v>_</v>
      </c>
      <c r="I349" s="76"/>
      <c r="J349" s="26"/>
      <c r="K349" s="165"/>
      <c r="L349" s="165"/>
      <c r="M349" s="166"/>
      <c r="N349" s="166"/>
      <c r="O349" s="166"/>
      <c r="P349" s="166"/>
      <c r="Q349" s="167"/>
      <c r="R349" s="111"/>
    </row>
    <row r="350" spans="1:18" ht="13.5" hidden="1" customHeight="1">
      <c r="A350" s="30">
        <v>344</v>
      </c>
      <c r="B350" s="24">
        <f>DATE('1.연간시수표'!$U$2,'1.연간시수표'!$X$2,'1.연간시수표'!$Z$2)+QUOTIENT(ROW(A344)-1,8)+(QUOTIENT(ROW(A344)-1,40)*2)</f>
        <v>44678</v>
      </c>
      <c r="C350" s="24" t="str">
        <f t="shared" si="15"/>
        <v>수</v>
      </c>
      <c r="D350" s="91" t="str">
        <f t="shared" si="16"/>
        <v>8교시</v>
      </c>
      <c r="E350" s="68">
        <f>COUNTIF($H$7:$H350,$H350)</f>
        <v>113</v>
      </c>
      <c r="F350" s="67">
        <f>'1.연간시수표'!$AL$33</f>
        <v>5</v>
      </c>
      <c r="G350" s="89">
        <f t="shared" si="17"/>
        <v>1</v>
      </c>
      <c r="H350" s="91" t="str">
        <f>INDEX('0.시간표데이터'!$E$10:$AR$32,QUOTIENT(ROW(A344)-1,40)+1,MOD(ROW(A344)-1,40)+1)</f>
        <v>_</v>
      </c>
      <c r="I350" s="76"/>
      <c r="J350" s="26"/>
      <c r="K350" s="165"/>
      <c r="L350" s="165"/>
      <c r="M350" s="166"/>
      <c r="N350" s="166"/>
      <c r="O350" s="166"/>
      <c r="P350" s="166"/>
      <c r="Q350" s="167"/>
      <c r="R350" s="111"/>
    </row>
    <row r="351" spans="1:18" ht="13.5" hidden="1" customHeight="1">
      <c r="A351" s="30">
        <v>345</v>
      </c>
      <c r="B351" s="24">
        <f>DATE('1.연간시수표'!$U$2,'1.연간시수표'!$X$2,'1.연간시수표'!$Z$2)+QUOTIENT(ROW(A345)-1,8)+(QUOTIENT(ROW(A345)-1,40)*2)</f>
        <v>44679</v>
      </c>
      <c r="C351" s="24" t="str">
        <f t="shared" si="15"/>
        <v>목</v>
      </c>
      <c r="D351" s="91" t="str">
        <f t="shared" si="16"/>
        <v>1교시</v>
      </c>
      <c r="E351" s="68">
        <f>COUNTIF($H$7:$H351,$H351)</f>
        <v>44</v>
      </c>
      <c r="F351" s="67">
        <f>'1.연간시수표'!$AL$33</f>
        <v>5</v>
      </c>
      <c r="G351" s="89">
        <f t="shared" si="17"/>
        <v>1</v>
      </c>
      <c r="H351" s="91" t="str">
        <f>INDEX('0.시간표데이터'!$E$10:$AR$32,QUOTIENT(ROW(A345)-1,40)+1,MOD(ROW(A345)-1,40)+1)</f>
        <v>국어</v>
      </c>
      <c r="I351" s="77"/>
      <c r="J351" s="26"/>
      <c r="K351" s="162"/>
      <c r="L351" s="162"/>
      <c r="M351" s="168"/>
      <c r="N351" s="98"/>
      <c r="O351" s="99"/>
      <c r="P351" s="99"/>
      <c r="Q351" s="167"/>
      <c r="R351" s="111"/>
    </row>
    <row r="352" spans="1:18" ht="13.5" hidden="1" customHeight="1">
      <c r="A352" s="30">
        <v>346</v>
      </c>
      <c r="B352" s="24">
        <f>DATE('1.연간시수표'!$U$2,'1.연간시수표'!$X$2,'1.연간시수표'!$Z$2)+QUOTIENT(ROW(A346)-1,8)+(QUOTIENT(ROW(A346)-1,40)*2)</f>
        <v>44679</v>
      </c>
      <c r="C352" s="24" t="str">
        <f t="shared" si="15"/>
        <v>목</v>
      </c>
      <c r="D352" s="91" t="str">
        <f t="shared" si="16"/>
        <v>2교시</v>
      </c>
      <c r="E352" s="68">
        <f>COUNTIF($H$7:$H352,$H352)</f>
        <v>31</v>
      </c>
      <c r="F352" s="67">
        <f>'1.연간시수표'!$AL$33</f>
        <v>5</v>
      </c>
      <c r="G352" s="89">
        <f t="shared" si="17"/>
        <v>1</v>
      </c>
      <c r="H352" s="91" t="str">
        <f>INDEX('0.시간표데이터'!$E$10:$AR$32,QUOTIENT(ROW(A346)-1,40)+1,MOD(ROW(A346)-1,40)+1)</f>
        <v>수학</v>
      </c>
      <c r="I352" s="161"/>
      <c r="J352" s="26"/>
      <c r="K352" s="165"/>
      <c r="L352" s="165"/>
      <c r="M352" s="166"/>
      <c r="N352" s="166"/>
      <c r="O352" s="166"/>
      <c r="P352" s="166"/>
      <c r="Q352" s="167"/>
      <c r="R352" s="111"/>
    </row>
    <row r="353" spans="1:18" ht="13.5" customHeight="1">
      <c r="A353" s="30">
        <v>347</v>
      </c>
      <c r="B353" s="24">
        <f>DATE('1.연간시수표'!$U$2,'1.연간시수표'!$X$2,'1.연간시수표'!$Z$2)+QUOTIENT(ROW(A347)-1,8)+(QUOTIENT(ROW(A347)-1,40)*2)</f>
        <v>44679</v>
      </c>
      <c r="C353" s="24" t="str">
        <f t="shared" si="15"/>
        <v>목</v>
      </c>
      <c r="D353" s="91" t="str">
        <f t="shared" si="16"/>
        <v>3교시</v>
      </c>
      <c r="E353" s="68">
        <f>COUNTIF($H$7:$H353,$H353)</f>
        <v>23</v>
      </c>
      <c r="F353" s="67">
        <f>'1.연간시수표'!$AL$33</f>
        <v>5</v>
      </c>
      <c r="G353" s="89">
        <f t="shared" si="17"/>
        <v>1</v>
      </c>
      <c r="H353" s="91" t="str">
        <f>INDEX('0.시간표데이터'!$E$10:$AR$32,QUOTIENT(ROW(A347)-1,40)+1,MOD(ROW(A347)-1,40)+1)</f>
        <v>사회</v>
      </c>
      <c r="I353" s="77"/>
      <c r="J353" s="26"/>
      <c r="K353" s="173"/>
      <c r="L353" s="173"/>
      <c r="M353" s="10"/>
      <c r="N353" s="10"/>
      <c r="O353" s="10"/>
      <c r="P353" s="10"/>
      <c r="Q353" s="164"/>
      <c r="R353" s="109"/>
    </row>
    <row r="354" spans="1:18" ht="13.5" customHeight="1">
      <c r="A354" s="30">
        <v>348</v>
      </c>
      <c r="B354" s="24">
        <f>DATE('1.연간시수표'!$U$2,'1.연간시수표'!$X$2,'1.연간시수표'!$Z$2)+QUOTIENT(ROW(A348)-1,8)+(QUOTIENT(ROW(A348)-1,40)*2)</f>
        <v>44679</v>
      </c>
      <c r="C354" s="24" t="str">
        <f t="shared" si="15"/>
        <v>목</v>
      </c>
      <c r="D354" s="91" t="str">
        <f t="shared" si="16"/>
        <v>4교시</v>
      </c>
      <c r="E354" s="68">
        <f>COUNTIF($H$7:$H354,$H354)</f>
        <v>23</v>
      </c>
      <c r="F354" s="67">
        <f>'1.연간시수표'!$AL$33</f>
        <v>5</v>
      </c>
      <c r="G354" s="89">
        <f t="shared" si="17"/>
        <v>1</v>
      </c>
      <c r="H354" s="91" t="str">
        <f>INDEX('0.시간표데이터'!$E$10:$AR$32,QUOTIENT(ROW(A348)-1,40)+1,MOD(ROW(A348)-1,40)+1)</f>
        <v>영어</v>
      </c>
      <c r="I354" s="77"/>
      <c r="J354" s="26"/>
      <c r="K354" s="173"/>
      <c r="L354" s="173"/>
      <c r="M354" s="10"/>
      <c r="N354" s="10"/>
      <c r="O354" s="10"/>
      <c r="P354" s="10"/>
      <c r="Q354" s="164"/>
      <c r="R354" s="109"/>
    </row>
    <row r="355" spans="1:18" ht="13.5" hidden="1" customHeight="1">
      <c r="A355" s="30">
        <v>349</v>
      </c>
      <c r="B355" s="24">
        <f>DATE('1.연간시수표'!$U$2,'1.연간시수표'!$X$2,'1.연간시수표'!$Z$2)+QUOTIENT(ROW(A349)-1,8)+(QUOTIENT(ROW(A349)-1,40)*2)</f>
        <v>44679</v>
      </c>
      <c r="C355" s="24" t="str">
        <f t="shared" si="15"/>
        <v>목</v>
      </c>
      <c r="D355" s="91" t="str">
        <f t="shared" si="16"/>
        <v>5교시</v>
      </c>
      <c r="E355" s="68">
        <f>COUNTIF($H$7:$H355,$H355)</f>
        <v>3</v>
      </c>
      <c r="F355" s="67">
        <f>'1.연간시수표'!$AL$33</f>
        <v>5</v>
      </c>
      <c r="G355" s="89">
        <f t="shared" si="17"/>
        <v>1</v>
      </c>
      <c r="H355" s="91" t="str">
        <f>INDEX('0.시간표데이터'!$E$10:$AR$32,QUOTIENT(ROW(A349)-1,40)+1,MOD(ROW(A349)-1,40)+1)</f>
        <v>동아리활동</v>
      </c>
      <c r="I355" s="77"/>
      <c r="J355" s="26"/>
      <c r="K355" s="165"/>
      <c r="L355" s="165"/>
      <c r="M355" s="166"/>
      <c r="N355" s="166"/>
      <c r="O355" s="166"/>
      <c r="P355" s="166"/>
      <c r="Q355" s="167"/>
      <c r="R355" s="111"/>
    </row>
    <row r="356" spans="1:18" ht="13.5" hidden="1" customHeight="1">
      <c r="A356" s="30">
        <v>350</v>
      </c>
      <c r="B356" s="24">
        <f>DATE('1.연간시수표'!$U$2,'1.연간시수표'!$X$2,'1.연간시수표'!$Z$2)+QUOTIENT(ROW(A350)-1,8)+(QUOTIENT(ROW(A350)-1,40)*2)</f>
        <v>44679</v>
      </c>
      <c r="C356" s="24" t="str">
        <f t="shared" si="15"/>
        <v>목</v>
      </c>
      <c r="D356" s="91" t="str">
        <f t="shared" si="16"/>
        <v>6교시</v>
      </c>
      <c r="E356" s="68">
        <f>COUNTIF($H$7:$H356,$H356)</f>
        <v>4</v>
      </c>
      <c r="F356" s="67">
        <f>'1.연간시수표'!$AL$33</f>
        <v>5</v>
      </c>
      <c r="G356" s="89">
        <f t="shared" si="17"/>
        <v>1</v>
      </c>
      <c r="H356" s="91" t="str">
        <f>INDEX('0.시간표데이터'!$E$10:$AR$32,QUOTIENT(ROW(A350)-1,40)+1,MOD(ROW(A350)-1,40)+1)</f>
        <v>동아리활동</v>
      </c>
      <c r="I356" s="161"/>
      <c r="J356" s="26"/>
      <c r="K356" s="165"/>
      <c r="L356" s="165"/>
      <c r="M356" s="166"/>
      <c r="N356" s="166"/>
      <c r="O356" s="166"/>
      <c r="P356" s="166"/>
      <c r="Q356" s="167"/>
      <c r="R356" s="111"/>
    </row>
    <row r="357" spans="1:18" ht="13.5" hidden="1" customHeight="1">
      <c r="A357" s="30">
        <v>351</v>
      </c>
      <c r="B357" s="24">
        <f>DATE('1.연간시수표'!$U$2,'1.연간시수표'!$X$2,'1.연간시수표'!$Z$2)+QUOTIENT(ROW(A351)-1,8)+(QUOTIENT(ROW(A351)-1,40)*2)</f>
        <v>44679</v>
      </c>
      <c r="C357" s="24" t="str">
        <f t="shared" si="15"/>
        <v>목</v>
      </c>
      <c r="D357" s="91" t="str">
        <f t="shared" si="16"/>
        <v>7교시</v>
      </c>
      <c r="E357" s="68">
        <f>COUNTIF($H$7:$H357,$H357)</f>
        <v>114</v>
      </c>
      <c r="F357" s="67">
        <f>'1.연간시수표'!$AL$33</f>
        <v>5</v>
      </c>
      <c r="G357" s="89">
        <f t="shared" si="17"/>
        <v>1</v>
      </c>
      <c r="H357" s="91" t="str">
        <f>INDEX('0.시간표데이터'!$E$10:$AR$32,QUOTIENT(ROW(A351)-1,40)+1,MOD(ROW(A351)-1,40)+1)</f>
        <v>_</v>
      </c>
      <c r="I357" s="76"/>
      <c r="J357" s="26"/>
      <c r="K357" s="165"/>
      <c r="L357" s="165"/>
      <c r="M357" s="166"/>
      <c r="N357" s="166"/>
      <c r="O357" s="166"/>
      <c r="P357" s="166"/>
      <c r="Q357" s="167"/>
      <c r="R357" s="111"/>
    </row>
    <row r="358" spans="1:18" ht="13.5" hidden="1" customHeight="1">
      <c r="A358" s="30">
        <v>352</v>
      </c>
      <c r="B358" s="24">
        <f>DATE('1.연간시수표'!$U$2,'1.연간시수표'!$X$2,'1.연간시수표'!$Z$2)+QUOTIENT(ROW(A352)-1,8)+(QUOTIENT(ROW(A352)-1,40)*2)</f>
        <v>44679</v>
      </c>
      <c r="C358" s="24" t="str">
        <f t="shared" si="15"/>
        <v>목</v>
      </c>
      <c r="D358" s="91" t="str">
        <f t="shared" si="16"/>
        <v>8교시</v>
      </c>
      <c r="E358" s="68">
        <f>COUNTIF($H$7:$H358,$H358)</f>
        <v>115</v>
      </c>
      <c r="F358" s="67">
        <f>'1.연간시수표'!$AL$33</f>
        <v>5</v>
      </c>
      <c r="G358" s="89">
        <f t="shared" si="17"/>
        <v>1</v>
      </c>
      <c r="H358" s="91" t="str">
        <f>INDEX('0.시간표데이터'!$E$10:$AR$32,QUOTIENT(ROW(A352)-1,40)+1,MOD(ROW(A352)-1,40)+1)</f>
        <v>_</v>
      </c>
      <c r="I358" s="76"/>
      <c r="J358" s="26"/>
      <c r="K358" s="165"/>
      <c r="L358" s="165"/>
      <c r="M358" s="166"/>
      <c r="N358" s="166"/>
      <c r="O358" s="166"/>
      <c r="P358" s="166"/>
      <c r="Q358" s="167"/>
      <c r="R358" s="111"/>
    </row>
    <row r="359" spans="1:18" ht="13.5" hidden="1" customHeight="1">
      <c r="A359" s="30">
        <v>353</v>
      </c>
      <c r="B359" s="24">
        <f>DATE('1.연간시수표'!$U$2,'1.연간시수표'!$X$2,'1.연간시수표'!$Z$2)+QUOTIENT(ROW(A353)-1,8)+(QUOTIENT(ROW(A353)-1,40)*2)</f>
        <v>44680</v>
      </c>
      <c r="C359" s="24" t="str">
        <f t="shared" si="15"/>
        <v>금</v>
      </c>
      <c r="D359" s="91" t="str">
        <f t="shared" si="16"/>
        <v>1교시</v>
      </c>
      <c r="E359" s="68">
        <f>COUNTIF($H$7:$H359,$H359)</f>
        <v>45</v>
      </c>
      <c r="F359" s="67">
        <f>'1.연간시수표'!$AL$33</f>
        <v>5</v>
      </c>
      <c r="G359" s="89">
        <f t="shared" si="17"/>
        <v>1</v>
      </c>
      <c r="H359" s="91" t="str">
        <f>INDEX('0.시간표데이터'!$E$10:$AR$32,QUOTIENT(ROW(A353)-1,40)+1,MOD(ROW(A353)-1,40)+1)</f>
        <v>국어</v>
      </c>
      <c r="I359" s="77"/>
      <c r="J359" s="26"/>
      <c r="K359" s="162"/>
      <c r="L359" s="162"/>
      <c r="M359" s="168"/>
      <c r="N359" s="168"/>
      <c r="O359" s="99"/>
      <c r="P359" s="99"/>
      <c r="Q359" s="167"/>
      <c r="R359" s="111"/>
    </row>
    <row r="360" spans="1:18" ht="13.5" customHeight="1">
      <c r="A360" s="30">
        <v>354</v>
      </c>
      <c r="B360" s="24">
        <f>DATE('1.연간시수표'!$U$2,'1.연간시수표'!$X$2,'1.연간시수표'!$Z$2)+QUOTIENT(ROW(A354)-1,8)+(QUOTIENT(ROW(A354)-1,40)*2)</f>
        <v>44680</v>
      </c>
      <c r="C360" s="24" t="str">
        <f t="shared" si="15"/>
        <v>금</v>
      </c>
      <c r="D360" s="91" t="str">
        <f t="shared" si="16"/>
        <v>2교시</v>
      </c>
      <c r="E360" s="68">
        <f>COUNTIF($H$7:$H360,$H360)</f>
        <v>15</v>
      </c>
      <c r="F360" s="67">
        <f>'1.연간시수표'!$AL$33</f>
        <v>5</v>
      </c>
      <c r="G360" s="89">
        <f t="shared" si="17"/>
        <v>1</v>
      </c>
      <c r="H360" s="91" t="str">
        <f>INDEX('0.시간표데이터'!$E$10:$AR$32,QUOTIENT(ROW(A354)-1,40)+1,MOD(ROW(A354)-1,40)+1)</f>
        <v>체육</v>
      </c>
      <c r="I360" s="77"/>
      <c r="J360" s="26"/>
      <c r="K360" s="173"/>
      <c r="L360" s="173"/>
      <c r="M360" s="10"/>
      <c r="N360" s="10"/>
      <c r="O360" s="10"/>
      <c r="P360" s="10"/>
      <c r="Q360" s="164"/>
      <c r="R360" s="109"/>
    </row>
    <row r="361" spans="1:18" ht="13.5" hidden="1" customHeight="1">
      <c r="A361" s="30">
        <v>355</v>
      </c>
      <c r="B361" s="24">
        <f>DATE('1.연간시수표'!$U$2,'1.연간시수표'!$X$2,'1.연간시수표'!$Z$2)+QUOTIENT(ROW(A355)-1,8)+(QUOTIENT(ROW(A355)-1,40)*2)</f>
        <v>44680</v>
      </c>
      <c r="C361" s="24" t="str">
        <f t="shared" si="15"/>
        <v>금</v>
      </c>
      <c r="D361" s="91" t="str">
        <f t="shared" si="16"/>
        <v>3교시</v>
      </c>
      <c r="E361" s="68">
        <f>COUNTIF($H$7:$H361,$H361)</f>
        <v>32</v>
      </c>
      <c r="F361" s="67">
        <f>'1.연간시수표'!$AL$33</f>
        <v>5</v>
      </c>
      <c r="G361" s="89">
        <f t="shared" si="17"/>
        <v>1</v>
      </c>
      <c r="H361" s="91" t="str">
        <f>INDEX('0.시간표데이터'!$E$10:$AR$32,QUOTIENT(ROW(A355)-1,40)+1,MOD(ROW(A355)-1,40)+1)</f>
        <v>수학</v>
      </c>
      <c r="I361" s="77"/>
      <c r="J361" s="26"/>
      <c r="K361" s="165"/>
      <c r="L361" s="165"/>
      <c r="M361" s="166"/>
      <c r="N361" s="166"/>
      <c r="O361" s="166"/>
      <c r="P361" s="166"/>
      <c r="Q361" s="167"/>
      <c r="R361" s="111"/>
    </row>
    <row r="362" spans="1:18" ht="13.5" hidden="1" customHeight="1">
      <c r="A362" s="30">
        <v>356</v>
      </c>
      <c r="B362" s="24">
        <f>DATE('1.연간시수표'!$U$2,'1.연간시수표'!$X$2,'1.연간시수표'!$Z$2)+QUOTIENT(ROW(A356)-1,8)+(QUOTIENT(ROW(A356)-1,40)*2)</f>
        <v>44680</v>
      </c>
      <c r="C362" s="24" t="str">
        <f t="shared" si="15"/>
        <v>금</v>
      </c>
      <c r="D362" s="91" t="str">
        <f t="shared" si="16"/>
        <v>4교시</v>
      </c>
      <c r="E362" s="68">
        <f>COUNTIF($H$7:$H362,$H362)</f>
        <v>46</v>
      </c>
      <c r="F362" s="67">
        <f>'1.연간시수표'!$AL$33</f>
        <v>5</v>
      </c>
      <c r="G362" s="89">
        <f t="shared" si="17"/>
        <v>1</v>
      </c>
      <c r="H362" s="91" t="str">
        <f>INDEX('0.시간표데이터'!$E$10:$AR$32,QUOTIENT(ROW(A356)-1,40)+1,MOD(ROW(A356)-1,40)+1)</f>
        <v>국어</v>
      </c>
      <c r="I362" s="77"/>
      <c r="J362" s="26"/>
      <c r="K362" s="162"/>
      <c r="L362" s="162"/>
      <c r="M362" s="169"/>
      <c r="N362" s="101"/>
      <c r="O362" s="99"/>
      <c r="P362" s="99"/>
      <c r="Q362" s="167"/>
      <c r="R362" s="111"/>
    </row>
    <row r="363" spans="1:18" ht="13.5" customHeight="1">
      <c r="A363" s="30">
        <v>357</v>
      </c>
      <c r="B363" s="24">
        <f>DATE('1.연간시수표'!$U$2,'1.연간시수표'!$X$2,'1.연간시수표'!$Z$2)+QUOTIENT(ROW(A357)-1,8)+(QUOTIENT(ROW(A357)-1,40)*2)</f>
        <v>44680</v>
      </c>
      <c r="C363" s="24" t="str">
        <f t="shared" si="15"/>
        <v>금</v>
      </c>
      <c r="D363" s="91" t="str">
        <f t="shared" si="16"/>
        <v>5교시</v>
      </c>
      <c r="E363" s="68">
        <f>COUNTIF($H$7:$H363,$H363)</f>
        <v>24</v>
      </c>
      <c r="F363" s="67">
        <f>'1.연간시수표'!$AL$33</f>
        <v>5</v>
      </c>
      <c r="G363" s="89">
        <f t="shared" si="17"/>
        <v>1</v>
      </c>
      <c r="H363" s="91" t="str">
        <f>INDEX('0.시간표데이터'!$E$10:$AR$32,QUOTIENT(ROW(A357)-1,40)+1,MOD(ROW(A357)-1,40)+1)</f>
        <v>사회</v>
      </c>
      <c r="I363" s="77"/>
      <c r="J363" s="26"/>
      <c r="K363" s="173"/>
      <c r="L363" s="173"/>
      <c r="M363" s="179"/>
      <c r="N363" s="112"/>
      <c r="O363" s="112"/>
      <c r="P363" s="112"/>
      <c r="Q363" s="164"/>
      <c r="R363" s="110"/>
    </row>
    <row r="364" spans="1:18" ht="13.5" hidden="1" customHeight="1">
      <c r="A364" s="30">
        <v>358</v>
      </c>
      <c r="B364" s="24">
        <f>DATE('1.연간시수표'!$U$2,'1.연간시수표'!$X$2,'1.연간시수표'!$Z$2)+QUOTIENT(ROW(A358)-1,8)+(QUOTIENT(ROW(A358)-1,40)*2)</f>
        <v>44680</v>
      </c>
      <c r="C364" s="24" t="str">
        <f t="shared" si="15"/>
        <v>금</v>
      </c>
      <c r="D364" s="91" t="str">
        <f t="shared" si="16"/>
        <v>6교시</v>
      </c>
      <c r="E364" s="68">
        <f>COUNTIF($H$7:$H364,$H364)</f>
        <v>16</v>
      </c>
      <c r="F364" s="67">
        <f>'1.연간시수표'!$AL$33</f>
        <v>5</v>
      </c>
      <c r="G364" s="89">
        <f t="shared" si="17"/>
        <v>1</v>
      </c>
      <c r="H364" s="91" t="str">
        <f>INDEX('0.시간표데이터'!$E$10:$AR$32,QUOTIENT(ROW(A358)-1,40)+1,MOD(ROW(A358)-1,40)+1)</f>
        <v>실과</v>
      </c>
      <c r="I364" s="77"/>
      <c r="J364" s="26"/>
      <c r="K364" s="165"/>
      <c r="L364" s="165"/>
      <c r="M364" s="166"/>
      <c r="N364" s="166"/>
      <c r="O364" s="166"/>
      <c r="P364" s="166"/>
      <c r="Q364" s="167"/>
      <c r="R364" s="111"/>
    </row>
    <row r="365" spans="1:18" ht="13.5" hidden="1" customHeight="1">
      <c r="A365" s="30">
        <v>359</v>
      </c>
      <c r="B365" s="24">
        <f>DATE('1.연간시수표'!$U$2,'1.연간시수표'!$X$2,'1.연간시수표'!$Z$2)+QUOTIENT(ROW(A359)-1,8)+(QUOTIENT(ROW(A359)-1,40)*2)</f>
        <v>44680</v>
      </c>
      <c r="C365" s="24" t="str">
        <f t="shared" si="15"/>
        <v>금</v>
      </c>
      <c r="D365" s="91" t="str">
        <f t="shared" si="16"/>
        <v>7교시</v>
      </c>
      <c r="E365" s="68">
        <f>COUNTIF($H$7:$H365,$H365)</f>
        <v>116</v>
      </c>
      <c r="F365" s="67">
        <f>'1.연간시수표'!$AL$33</f>
        <v>5</v>
      </c>
      <c r="G365" s="89">
        <f t="shared" si="17"/>
        <v>1</v>
      </c>
      <c r="H365" s="91" t="str">
        <f>INDEX('0.시간표데이터'!$E$10:$AR$32,QUOTIENT(ROW(A359)-1,40)+1,MOD(ROW(A359)-1,40)+1)</f>
        <v>_</v>
      </c>
      <c r="I365" s="76"/>
      <c r="J365" s="26"/>
      <c r="K365" s="165"/>
      <c r="L365" s="165"/>
      <c r="M365" s="166"/>
      <c r="N365" s="166"/>
      <c r="O365" s="166"/>
      <c r="P365" s="166"/>
      <c r="Q365" s="167"/>
      <c r="R365" s="111"/>
    </row>
    <row r="366" spans="1:18" ht="13.5" hidden="1" customHeight="1">
      <c r="A366" s="30">
        <v>360</v>
      </c>
      <c r="B366" s="24">
        <f>DATE('1.연간시수표'!$U$2,'1.연간시수표'!$X$2,'1.연간시수표'!$Z$2)+QUOTIENT(ROW(A360)-1,8)+(QUOTIENT(ROW(A360)-1,40)*2)</f>
        <v>44680</v>
      </c>
      <c r="C366" s="24" t="str">
        <f t="shared" si="15"/>
        <v>금</v>
      </c>
      <c r="D366" s="91" t="str">
        <f t="shared" si="16"/>
        <v>8교시</v>
      </c>
      <c r="E366" s="68">
        <f>COUNTIF($H$7:$H366,$H366)</f>
        <v>117</v>
      </c>
      <c r="F366" s="67">
        <f>'1.연간시수표'!$AL$33</f>
        <v>5</v>
      </c>
      <c r="G366" s="89">
        <f t="shared" si="17"/>
        <v>1</v>
      </c>
      <c r="H366" s="91" t="str">
        <f>INDEX('0.시간표데이터'!$E$10:$AR$32,QUOTIENT(ROW(A360)-1,40)+1,MOD(ROW(A360)-1,40)+1)</f>
        <v>_</v>
      </c>
      <c r="I366" s="76"/>
      <c r="J366" s="26"/>
      <c r="K366" s="165"/>
      <c r="L366" s="165"/>
      <c r="M366" s="166"/>
      <c r="N366" s="166"/>
      <c r="O366" s="166"/>
      <c r="P366" s="166"/>
      <c r="Q366" s="167"/>
      <c r="R366" s="111"/>
    </row>
    <row r="367" spans="1:18" hidden="1">
      <c r="A367" s="30">
        <v>361</v>
      </c>
      <c r="B367" s="24">
        <f>DATE('1.연간시수표'!$U$2,'1.연간시수표'!$X$2,'1.연간시수표'!$Z$2)+QUOTIENT(ROW(A361)-1,8)+(QUOTIENT(ROW(A361)-1,40)*2)</f>
        <v>44683</v>
      </c>
      <c r="C367" s="24" t="str">
        <f t="shared" si="15"/>
        <v>월</v>
      </c>
      <c r="D367" s="91" t="str">
        <f t="shared" si="16"/>
        <v>1교시</v>
      </c>
      <c r="E367" s="68">
        <f>COUNTIF($H$7:$H367,$H367)</f>
        <v>47</v>
      </c>
      <c r="F367" s="67">
        <f>'1.연간시수표'!$AL$33</f>
        <v>5</v>
      </c>
      <c r="G367" s="89">
        <f t="shared" si="17"/>
        <v>1</v>
      </c>
      <c r="H367" s="91" t="str">
        <f>INDEX('0.시간표데이터'!$E$10:$AR$32,QUOTIENT(ROW(A361)-1,40)+1,MOD(ROW(A361)-1,40)+1)</f>
        <v>국어</v>
      </c>
      <c r="I367" s="77"/>
      <c r="J367" s="26"/>
      <c r="K367" s="165"/>
      <c r="L367" s="165"/>
      <c r="M367" s="166"/>
      <c r="N367" s="166"/>
      <c r="O367" s="166"/>
      <c r="P367" s="166"/>
      <c r="Q367" s="167"/>
      <c r="R367" s="111"/>
    </row>
    <row r="368" spans="1:18" hidden="1">
      <c r="A368" s="30">
        <v>362</v>
      </c>
      <c r="B368" s="24">
        <f>DATE('1.연간시수표'!$U$2,'1.연간시수표'!$X$2,'1.연간시수표'!$Z$2)+QUOTIENT(ROW(A362)-1,8)+(QUOTIENT(ROW(A362)-1,40)*2)</f>
        <v>44683</v>
      </c>
      <c r="C368" s="24" t="str">
        <f t="shared" si="15"/>
        <v>월</v>
      </c>
      <c r="D368" s="91" t="str">
        <f t="shared" si="16"/>
        <v>2교시</v>
      </c>
      <c r="E368" s="68">
        <f>COUNTIF($H$7:$H368,$H368)</f>
        <v>17</v>
      </c>
      <c r="F368" s="67">
        <f>'1.연간시수표'!$AL$33</f>
        <v>5</v>
      </c>
      <c r="G368" s="89">
        <f t="shared" si="17"/>
        <v>1</v>
      </c>
      <c r="H368" s="91" t="str">
        <f>INDEX('0.시간표데이터'!$E$10:$AR$32,QUOTIENT(ROW(A362)-1,40)+1,MOD(ROW(A362)-1,40)+1)</f>
        <v>미술</v>
      </c>
      <c r="I368" s="161"/>
      <c r="J368" s="26"/>
      <c r="K368" s="165"/>
      <c r="L368" s="165"/>
      <c r="M368" s="166"/>
      <c r="N368" s="166"/>
      <c r="O368" s="166"/>
      <c r="P368" s="166"/>
      <c r="Q368" s="167"/>
      <c r="R368" s="111"/>
    </row>
    <row r="369" spans="1:18" ht="13.5" hidden="1" customHeight="1">
      <c r="A369" s="30">
        <v>363</v>
      </c>
      <c r="B369" s="24">
        <f>DATE('1.연간시수표'!$U$2,'1.연간시수표'!$X$2,'1.연간시수표'!$Z$2)+QUOTIENT(ROW(A363)-1,8)+(QUOTIENT(ROW(A363)-1,40)*2)</f>
        <v>44683</v>
      </c>
      <c r="C369" s="24" t="str">
        <f t="shared" si="15"/>
        <v>월</v>
      </c>
      <c r="D369" s="91" t="str">
        <f t="shared" si="16"/>
        <v>3교시</v>
      </c>
      <c r="E369" s="68">
        <f>COUNTIF($H$7:$H369,$H369)</f>
        <v>18</v>
      </c>
      <c r="F369" s="67">
        <f>'1.연간시수표'!$AL$33</f>
        <v>5</v>
      </c>
      <c r="G369" s="89">
        <f t="shared" si="17"/>
        <v>1</v>
      </c>
      <c r="H369" s="91" t="str">
        <f>INDEX('0.시간표데이터'!$E$10:$AR$32,QUOTIENT(ROW(A363)-1,40)+1,MOD(ROW(A363)-1,40)+1)</f>
        <v>미술</v>
      </c>
      <c r="I369" s="77"/>
      <c r="J369" s="26"/>
      <c r="K369" s="165"/>
      <c r="L369" s="165"/>
      <c r="M369" s="166"/>
      <c r="N369" s="166"/>
      <c r="O369" s="166"/>
      <c r="P369" s="166"/>
      <c r="Q369" s="167"/>
      <c r="R369" s="111"/>
    </row>
    <row r="370" spans="1:18" ht="13.5" hidden="1" customHeight="1">
      <c r="A370" s="30">
        <v>364</v>
      </c>
      <c r="B370" s="24">
        <f>DATE('1.연간시수표'!$U$2,'1.연간시수표'!$X$2,'1.연간시수표'!$Z$2)+QUOTIENT(ROW(A364)-1,8)+(QUOTIENT(ROW(A364)-1,40)*2)</f>
        <v>44683</v>
      </c>
      <c r="C370" s="24" t="str">
        <f t="shared" si="15"/>
        <v>월</v>
      </c>
      <c r="D370" s="91" t="str">
        <f t="shared" si="16"/>
        <v>4교시</v>
      </c>
      <c r="E370" s="68">
        <f>COUNTIF($H$7:$H370,$H370)</f>
        <v>24</v>
      </c>
      <c r="F370" s="67">
        <f>'1.연간시수표'!$AL$33</f>
        <v>5</v>
      </c>
      <c r="G370" s="89">
        <f t="shared" si="17"/>
        <v>1</v>
      </c>
      <c r="H370" s="91" t="str">
        <f>INDEX('0.시간표데이터'!$E$10:$AR$32,QUOTIENT(ROW(A364)-1,40)+1,MOD(ROW(A364)-1,40)+1)</f>
        <v>영어</v>
      </c>
      <c r="I370" s="77"/>
      <c r="J370" s="26"/>
      <c r="K370" s="165"/>
      <c r="L370" s="165"/>
      <c r="M370" s="166"/>
      <c r="N370" s="166"/>
      <c r="O370" s="166"/>
      <c r="P370" s="166"/>
      <c r="Q370" s="167"/>
      <c r="R370" s="111"/>
    </row>
    <row r="371" spans="1:18" ht="13.5" hidden="1" customHeight="1">
      <c r="A371" s="30">
        <v>365</v>
      </c>
      <c r="B371" s="24">
        <f>DATE('1.연간시수표'!$U$2,'1.연간시수표'!$X$2,'1.연간시수표'!$Z$2)+QUOTIENT(ROW(A365)-1,8)+(QUOTIENT(ROW(A365)-1,40)*2)</f>
        <v>44683</v>
      </c>
      <c r="C371" s="24" t="str">
        <f t="shared" si="15"/>
        <v>월</v>
      </c>
      <c r="D371" s="91" t="str">
        <f t="shared" si="16"/>
        <v>5교시</v>
      </c>
      <c r="E371" s="68">
        <f>COUNTIF($H$7:$H371,$H371)</f>
        <v>33</v>
      </c>
      <c r="F371" s="67">
        <f>'1.연간시수표'!$AL$33</f>
        <v>5</v>
      </c>
      <c r="G371" s="89">
        <f t="shared" si="17"/>
        <v>1</v>
      </c>
      <c r="H371" s="91" t="str">
        <f>INDEX('0.시간표데이터'!$E$10:$AR$32,QUOTIENT(ROW(A365)-1,40)+1,MOD(ROW(A365)-1,40)+1)</f>
        <v>수학</v>
      </c>
      <c r="I371" s="77"/>
      <c r="J371" s="26"/>
      <c r="K371" s="165"/>
      <c r="L371" s="165"/>
      <c r="M371" s="166"/>
      <c r="N371" s="166"/>
      <c r="O371" s="166"/>
      <c r="P371" s="166"/>
      <c r="Q371" s="167"/>
      <c r="R371" s="111"/>
    </row>
    <row r="372" spans="1:18" ht="13.5" hidden="1" customHeight="1">
      <c r="A372" s="30">
        <v>366</v>
      </c>
      <c r="B372" s="24">
        <f>DATE('1.연간시수표'!$U$2,'1.연간시수표'!$X$2,'1.연간시수표'!$Z$2)+QUOTIENT(ROW(A366)-1,8)+(QUOTIENT(ROW(A366)-1,40)*2)</f>
        <v>44683</v>
      </c>
      <c r="C372" s="24" t="str">
        <f t="shared" si="15"/>
        <v>월</v>
      </c>
      <c r="D372" s="91" t="str">
        <f t="shared" si="16"/>
        <v>6교시</v>
      </c>
      <c r="E372" s="68">
        <f>COUNTIF($H$7:$H372,$H372)</f>
        <v>48</v>
      </c>
      <c r="F372" s="67">
        <f>'1.연간시수표'!$AL$33</f>
        <v>5</v>
      </c>
      <c r="G372" s="89">
        <f t="shared" si="17"/>
        <v>1</v>
      </c>
      <c r="H372" s="91" t="str">
        <f>INDEX('0.시간표데이터'!$E$10:$AR$32,QUOTIENT(ROW(A366)-1,40)+1,MOD(ROW(A366)-1,40)+1)</f>
        <v>국어</v>
      </c>
      <c r="I372" s="77"/>
      <c r="J372" s="26"/>
      <c r="K372" s="165"/>
      <c r="L372" s="165"/>
      <c r="M372" s="166"/>
      <c r="N372" s="166"/>
      <c r="O372" s="166"/>
      <c r="P372" s="166"/>
      <c r="Q372" s="167"/>
      <c r="R372" s="111"/>
    </row>
    <row r="373" spans="1:18" ht="13.5" hidden="1" customHeight="1">
      <c r="A373" s="30">
        <v>367</v>
      </c>
      <c r="B373" s="24">
        <f>DATE('1.연간시수표'!$U$2,'1.연간시수표'!$X$2,'1.연간시수표'!$Z$2)+QUOTIENT(ROW(A367)-1,8)+(QUOTIENT(ROW(A367)-1,40)*2)</f>
        <v>44683</v>
      </c>
      <c r="C373" s="24" t="str">
        <f t="shared" si="15"/>
        <v>월</v>
      </c>
      <c r="D373" s="91" t="str">
        <f t="shared" si="16"/>
        <v>7교시</v>
      </c>
      <c r="E373" s="68">
        <f>COUNTIF($H$7:$H373,$H373)</f>
        <v>118</v>
      </c>
      <c r="F373" s="67">
        <f>'1.연간시수표'!$AL$33</f>
        <v>5</v>
      </c>
      <c r="G373" s="89">
        <f t="shared" si="17"/>
        <v>1</v>
      </c>
      <c r="H373" s="91" t="str">
        <f>INDEX('0.시간표데이터'!$E$10:$AR$32,QUOTIENT(ROW(A367)-1,40)+1,MOD(ROW(A367)-1,40)+1)</f>
        <v>_</v>
      </c>
      <c r="I373" s="76"/>
      <c r="J373" s="26"/>
      <c r="K373" s="165"/>
      <c r="L373" s="165"/>
      <c r="M373" s="166"/>
      <c r="N373" s="166"/>
      <c r="O373" s="166"/>
      <c r="P373" s="166"/>
      <c r="Q373" s="167"/>
      <c r="R373" s="111"/>
    </row>
    <row r="374" spans="1:18" ht="13.5" hidden="1" customHeight="1">
      <c r="A374" s="30">
        <v>368</v>
      </c>
      <c r="B374" s="24">
        <f>DATE('1.연간시수표'!$U$2,'1.연간시수표'!$X$2,'1.연간시수표'!$Z$2)+QUOTIENT(ROW(A368)-1,8)+(QUOTIENT(ROW(A368)-1,40)*2)</f>
        <v>44683</v>
      </c>
      <c r="C374" s="24" t="str">
        <f t="shared" si="15"/>
        <v>월</v>
      </c>
      <c r="D374" s="91" t="str">
        <f t="shared" si="16"/>
        <v>8교시</v>
      </c>
      <c r="E374" s="68">
        <f>COUNTIF($H$7:$H374,$H374)</f>
        <v>119</v>
      </c>
      <c r="F374" s="67">
        <f>'1.연간시수표'!$AL$33</f>
        <v>5</v>
      </c>
      <c r="G374" s="89">
        <f t="shared" si="17"/>
        <v>1</v>
      </c>
      <c r="H374" s="91" t="str">
        <f>INDEX('0.시간표데이터'!$E$10:$AR$32,QUOTIENT(ROW(A368)-1,40)+1,MOD(ROW(A368)-1,40)+1)</f>
        <v>_</v>
      </c>
      <c r="I374" s="76"/>
      <c r="J374" s="26"/>
      <c r="K374" s="165"/>
      <c r="L374" s="165"/>
      <c r="M374" s="166"/>
      <c r="N374" s="166"/>
      <c r="O374" s="166"/>
      <c r="P374" s="166"/>
      <c r="Q374" s="167"/>
      <c r="R374" s="111"/>
    </row>
    <row r="375" spans="1:18" ht="13.5" customHeight="1">
      <c r="A375" s="30">
        <v>369</v>
      </c>
      <c r="B375" s="24">
        <f>DATE('1.연간시수표'!$U$2,'1.연간시수표'!$X$2,'1.연간시수표'!$Z$2)+QUOTIENT(ROW(A369)-1,8)+(QUOTIENT(ROW(A369)-1,40)*2)</f>
        <v>44684</v>
      </c>
      <c r="C375" s="24" t="str">
        <f t="shared" si="15"/>
        <v>화</v>
      </c>
      <c r="D375" s="91" t="str">
        <f t="shared" si="16"/>
        <v>1교시</v>
      </c>
      <c r="E375" s="68">
        <f>COUNTIF($H$7:$H375,$H375)</f>
        <v>49</v>
      </c>
      <c r="F375" s="67">
        <f>'1.연간시수표'!$AL$33</f>
        <v>5</v>
      </c>
      <c r="G375" s="89">
        <f t="shared" si="17"/>
        <v>1</v>
      </c>
      <c r="H375" s="91" t="str">
        <f>INDEX('0.시간표데이터'!$E$10:$AR$32,QUOTIENT(ROW(A369)-1,40)+1,MOD(ROW(A369)-1,40)+1)</f>
        <v>국어</v>
      </c>
      <c r="I375" s="77"/>
      <c r="J375" s="26"/>
      <c r="K375" s="173"/>
      <c r="L375" s="173"/>
      <c r="M375" s="10"/>
      <c r="N375" s="10"/>
      <c r="O375" s="10"/>
      <c r="P375" s="10"/>
      <c r="Q375" s="164"/>
      <c r="R375" s="109"/>
    </row>
    <row r="376" spans="1:18" ht="13.5" customHeight="1">
      <c r="A376" s="30">
        <v>370</v>
      </c>
      <c r="B376" s="24">
        <f>DATE('1.연간시수표'!$U$2,'1.연간시수표'!$X$2,'1.연간시수표'!$Z$2)+QUOTIENT(ROW(A370)-1,8)+(QUOTIENT(ROW(A370)-1,40)*2)</f>
        <v>44684</v>
      </c>
      <c r="C376" s="24" t="str">
        <f t="shared" si="15"/>
        <v>화</v>
      </c>
      <c r="D376" s="91" t="str">
        <f t="shared" si="16"/>
        <v>2교시</v>
      </c>
      <c r="E376" s="68">
        <f>COUNTIF($H$7:$H376,$H376)</f>
        <v>50</v>
      </c>
      <c r="F376" s="67">
        <f>'1.연간시수표'!$AL$33</f>
        <v>5</v>
      </c>
      <c r="G376" s="89">
        <f t="shared" si="17"/>
        <v>1</v>
      </c>
      <c r="H376" s="91" t="str">
        <f>INDEX('0.시간표데이터'!$E$10:$AR$32,QUOTIENT(ROW(A370)-1,40)+1,MOD(ROW(A370)-1,40)+1)</f>
        <v>국어</v>
      </c>
      <c r="I376" s="161"/>
      <c r="J376" s="26"/>
      <c r="K376" s="173"/>
      <c r="L376" s="173"/>
      <c r="M376" s="10"/>
      <c r="N376" s="10"/>
      <c r="O376" s="10"/>
      <c r="P376" s="10"/>
      <c r="Q376" s="164"/>
      <c r="R376" s="109"/>
    </row>
    <row r="377" spans="1:18" ht="13.5" customHeight="1">
      <c r="A377" s="30">
        <v>371</v>
      </c>
      <c r="B377" s="24">
        <f>DATE('1.연간시수표'!$U$2,'1.연간시수표'!$X$2,'1.연간시수표'!$Z$2)+QUOTIENT(ROW(A371)-1,8)+(QUOTIENT(ROW(A371)-1,40)*2)</f>
        <v>44684</v>
      </c>
      <c r="C377" s="24" t="str">
        <f t="shared" si="15"/>
        <v>화</v>
      </c>
      <c r="D377" s="91" t="str">
        <f t="shared" si="16"/>
        <v>3교시</v>
      </c>
      <c r="E377" s="68">
        <f>COUNTIF($H$7:$H377,$H377)</f>
        <v>25</v>
      </c>
      <c r="F377" s="67">
        <f>'1.연간시수표'!$AL$33</f>
        <v>5</v>
      </c>
      <c r="G377" s="89">
        <f t="shared" si="17"/>
        <v>1</v>
      </c>
      <c r="H377" s="91" t="str">
        <f>INDEX('0.시간표데이터'!$E$10:$AR$32,QUOTIENT(ROW(A371)-1,40)+1,MOD(ROW(A371)-1,40)+1)</f>
        <v>사회</v>
      </c>
      <c r="I377" s="77"/>
      <c r="J377" s="26"/>
      <c r="K377" s="173"/>
      <c r="L377" s="173"/>
      <c r="M377" s="10"/>
      <c r="N377" s="10"/>
      <c r="O377" s="10"/>
      <c r="P377" s="10"/>
      <c r="Q377" s="164"/>
      <c r="R377" s="109"/>
    </row>
    <row r="378" spans="1:18" ht="13.5" hidden="1" customHeight="1">
      <c r="A378" s="30">
        <v>372</v>
      </c>
      <c r="B378" s="24">
        <f>DATE('1.연간시수표'!$U$2,'1.연간시수표'!$X$2,'1.연간시수표'!$Z$2)+QUOTIENT(ROW(A372)-1,8)+(QUOTIENT(ROW(A372)-1,40)*2)</f>
        <v>44684</v>
      </c>
      <c r="C378" s="24" t="str">
        <f t="shared" si="15"/>
        <v>화</v>
      </c>
      <c r="D378" s="91" t="str">
        <f t="shared" si="16"/>
        <v>4교시</v>
      </c>
      <c r="E378" s="68">
        <f>COUNTIF($H$7:$H378,$H378)</f>
        <v>34</v>
      </c>
      <c r="F378" s="67">
        <f>'1.연간시수표'!$AL$33</f>
        <v>5</v>
      </c>
      <c r="G378" s="89">
        <f t="shared" si="17"/>
        <v>1</v>
      </c>
      <c r="H378" s="91" t="str">
        <f>INDEX('0.시간표데이터'!$E$10:$AR$32,QUOTIENT(ROW(A372)-1,40)+1,MOD(ROW(A372)-1,40)+1)</f>
        <v>수학</v>
      </c>
      <c r="I378" s="77"/>
      <c r="J378" s="26"/>
      <c r="K378" s="162"/>
      <c r="L378" s="162"/>
      <c r="M378" s="168"/>
      <c r="N378" s="98"/>
      <c r="O378" s="99"/>
      <c r="P378" s="99"/>
      <c r="Q378" s="167"/>
      <c r="R378" s="111"/>
    </row>
    <row r="379" spans="1:18" ht="13.5" hidden="1" customHeight="1">
      <c r="A379" s="30">
        <v>373</v>
      </c>
      <c r="B379" s="24">
        <f>DATE('1.연간시수표'!$U$2,'1.연간시수표'!$X$2,'1.연간시수표'!$Z$2)+QUOTIENT(ROW(A373)-1,8)+(QUOTIENT(ROW(A373)-1,40)*2)</f>
        <v>44684</v>
      </c>
      <c r="C379" s="24" t="str">
        <f t="shared" si="15"/>
        <v>화</v>
      </c>
      <c r="D379" s="91" t="str">
        <f t="shared" si="16"/>
        <v>5교시</v>
      </c>
      <c r="E379" s="68">
        <f>COUNTIF($H$7:$H379,$H379)</f>
        <v>23</v>
      </c>
      <c r="F379" s="67">
        <f>'1.연간시수표'!$AL$33</f>
        <v>5</v>
      </c>
      <c r="G379" s="89">
        <f t="shared" si="17"/>
        <v>1</v>
      </c>
      <c r="H379" s="91" t="str">
        <f>INDEX('0.시간표데이터'!$E$10:$AR$32,QUOTIENT(ROW(A373)-1,40)+1,MOD(ROW(A373)-1,40)+1)</f>
        <v>과학</v>
      </c>
      <c r="I379" s="77"/>
      <c r="J379" s="26"/>
      <c r="K379" s="137"/>
      <c r="L379" s="137"/>
      <c r="M379" s="114"/>
      <c r="N379" s="114"/>
      <c r="O379" s="114"/>
      <c r="P379" s="114"/>
      <c r="Q379" s="164"/>
      <c r="R379" s="110"/>
    </row>
    <row r="380" spans="1:18" ht="13.5" hidden="1" customHeight="1">
      <c r="A380" s="30">
        <v>374</v>
      </c>
      <c r="B380" s="24">
        <f>DATE('1.연간시수표'!$U$2,'1.연간시수표'!$X$2,'1.연간시수표'!$Z$2)+QUOTIENT(ROW(A374)-1,8)+(QUOTIENT(ROW(A374)-1,40)*2)</f>
        <v>44684</v>
      </c>
      <c r="C380" s="24" t="str">
        <f t="shared" si="15"/>
        <v>화</v>
      </c>
      <c r="D380" s="91" t="str">
        <f t="shared" si="16"/>
        <v>6교시</v>
      </c>
      <c r="E380" s="68">
        <f>COUNTIF($H$7:$H380,$H380)</f>
        <v>17</v>
      </c>
      <c r="F380" s="67">
        <f>'1.연간시수표'!$AL$33</f>
        <v>5</v>
      </c>
      <c r="G380" s="89">
        <f t="shared" si="17"/>
        <v>1</v>
      </c>
      <c r="H380" s="91" t="str">
        <f>INDEX('0.시간표데이터'!$E$10:$AR$32,QUOTIENT(ROW(A374)-1,40)+1,MOD(ROW(A374)-1,40)+1)</f>
        <v>실과</v>
      </c>
      <c r="I380" s="77"/>
      <c r="J380" s="26"/>
      <c r="K380" s="165"/>
      <c r="L380" s="165"/>
      <c r="M380" s="166"/>
      <c r="N380" s="166"/>
      <c r="O380" s="166"/>
      <c r="P380" s="166"/>
      <c r="Q380" s="167"/>
      <c r="R380" s="111"/>
    </row>
    <row r="381" spans="1:18" ht="13.5" hidden="1" customHeight="1">
      <c r="A381" s="30">
        <v>375</v>
      </c>
      <c r="B381" s="24">
        <f>DATE('1.연간시수표'!$U$2,'1.연간시수표'!$X$2,'1.연간시수표'!$Z$2)+QUOTIENT(ROW(A375)-1,8)+(QUOTIENT(ROW(A375)-1,40)*2)</f>
        <v>44684</v>
      </c>
      <c r="C381" s="24" t="str">
        <f t="shared" si="15"/>
        <v>화</v>
      </c>
      <c r="D381" s="91" t="str">
        <f t="shared" si="16"/>
        <v>7교시</v>
      </c>
      <c r="E381" s="68">
        <f>COUNTIF($H$7:$H381,$H381)</f>
        <v>120</v>
      </c>
      <c r="F381" s="67">
        <f>'1.연간시수표'!$AL$33</f>
        <v>5</v>
      </c>
      <c r="G381" s="89">
        <f t="shared" si="17"/>
        <v>1</v>
      </c>
      <c r="H381" s="91" t="str">
        <f>INDEX('0.시간표데이터'!$E$10:$AR$32,QUOTIENT(ROW(A375)-1,40)+1,MOD(ROW(A375)-1,40)+1)</f>
        <v>_</v>
      </c>
      <c r="I381" s="76"/>
      <c r="J381" s="26"/>
      <c r="K381" s="165"/>
      <c r="L381" s="165"/>
      <c r="M381" s="166"/>
      <c r="N381" s="166"/>
      <c r="O381" s="166"/>
      <c r="P381" s="166"/>
      <c r="Q381" s="167"/>
      <c r="R381" s="111"/>
    </row>
    <row r="382" spans="1:18" ht="13.5" hidden="1" customHeight="1">
      <c r="A382" s="30">
        <v>376</v>
      </c>
      <c r="B382" s="24">
        <f>DATE('1.연간시수표'!$U$2,'1.연간시수표'!$X$2,'1.연간시수표'!$Z$2)+QUOTIENT(ROW(A376)-1,8)+(QUOTIENT(ROW(A376)-1,40)*2)</f>
        <v>44684</v>
      </c>
      <c r="C382" s="24" t="str">
        <f t="shared" si="15"/>
        <v>화</v>
      </c>
      <c r="D382" s="91" t="str">
        <f t="shared" si="16"/>
        <v>8교시</v>
      </c>
      <c r="E382" s="68">
        <f>COUNTIF($H$7:$H382,$H382)</f>
        <v>121</v>
      </c>
      <c r="F382" s="67">
        <f>'1.연간시수표'!$AL$33</f>
        <v>5</v>
      </c>
      <c r="G382" s="89">
        <f t="shared" si="17"/>
        <v>1</v>
      </c>
      <c r="H382" s="91" t="str">
        <f>INDEX('0.시간표데이터'!$E$10:$AR$32,QUOTIENT(ROW(A376)-1,40)+1,MOD(ROW(A376)-1,40)+1)</f>
        <v>_</v>
      </c>
      <c r="I382" s="76"/>
      <c r="J382" s="26"/>
      <c r="K382" s="165"/>
      <c r="L382" s="165"/>
      <c r="M382" s="166"/>
      <c r="N382" s="166"/>
      <c r="O382" s="166"/>
      <c r="P382" s="166"/>
      <c r="Q382" s="167"/>
      <c r="R382" s="111"/>
    </row>
    <row r="383" spans="1:18" ht="13.5" customHeight="1">
      <c r="A383" s="30">
        <v>377</v>
      </c>
      <c r="B383" s="24">
        <f>DATE('1.연간시수표'!$U$2,'1.연간시수표'!$X$2,'1.연간시수표'!$Z$2)+QUOTIENT(ROW(A377)-1,8)+(QUOTIENT(ROW(A377)-1,40)*2)</f>
        <v>44685</v>
      </c>
      <c r="C383" s="24" t="str">
        <f t="shared" si="15"/>
        <v>수</v>
      </c>
      <c r="D383" s="91" t="str">
        <f t="shared" si="16"/>
        <v>1교시</v>
      </c>
      <c r="E383" s="68">
        <f>COUNTIF($H$7:$H383,$H383)</f>
        <v>25</v>
      </c>
      <c r="F383" s="67">
        <f>'1.연간시수표'!$AL$33</f>
        <v>5</v>
      </c>
      <c r="G383" s="89">
        <f t="shared" si="17"/>
        <v>1</v>
      </c>
      <c r="H383" s="91" t="str">
        <f>INDEX('0.시간표데이터'!$E$10:$AR$32,QUOTIENT(ROW(A377)-1,40)+1,MOD(ROW(A377)-1,40)+1)</f>
        <v>영어</v>
      </c>
      <c r="I383" s="77"/>
      <c r="J383" s="26"/>
      <c r="K383" s="173"/>
      <c r="L383" s="173"/>
      <c r="M383" s="10"/>
      <c r="N383" s="10"/>
      <c r="O383" s="10"/>
      <c r="P383" s="10"/>
      <c r="Q383" s="164"/>
      <c r="R383" s="109"/>
    </row>
    <row r="384" spans="1:18" ht="13.5" customHeight="1">
      <c r="A384" s="30">
        <v>378</v>
      </c>
      <c r="B384" s="24">
        <f>DATE('1.연간시수표'!$U$2,'1.연간시수표'!$X$2,'1.연간시수표'!$Z$2)+QUOTIENT(ROW(A378)-1,8)+(QUOTIENT(ROW(A378)-1,40)*2)</f>
        <v>44685</v>
      </c>
      <c r="C384" s="24" t="str">
        <f t="shared" si="15"/>
        <v>수</v>
      </c>
      <c r="D384" s="91" t="str">
        <f t="shared" si="16"/>
        <v>2교시</v>
      </c>
      <c r="E384" s="68">
        <f>COUNTIF($H$7:$H384,$H384)</f>
        <v>24</v>
      </c>
      <c r="F384" s="67">
        <f>'1.연간시수표'!$AL$33</f>
        <v>5</v>
      </c>
      <c r="G384" s="89">
        <f t="shared" si="17"/>
        <v>1</v>
      </c>
      <c r="H384" s="91" t="str">
        <f>INDEX('0.시간표데이터'!$E$10:$AR$32,QUOTIENT(ROW(A378)-1,40)+1,MOD(ROW(A378)-1,40)+1)</f>
        <v>과학</v>
      </c>
      <c r="I384" s="77"/>
      <c r="J384" s="26"/>
      <c r="K384" s="173"/>
      <c r="L384" s="173"/>
      <c r="M384" s="10"/>
      <c r="N384" s="10"/>
      <c r="O384" s="10"/>
      <c r="P384" s="10"/>
      <c r="Q384" s="164"/>
      <c r="R384" s="109"/>
    </row>
    <row r="385" spans="1:18" ht="13.5" hidden="1" customHeight="1">
      <c r="A385" s="30">
        <v>379</v>
      </c>
      <c r="B385" s="24">
        <f>DATE('1.연간시수표'!$U$2,'1.연간시수표'!$X$2,'1.연간시수표'!$Z$2)+QUOTIENT(ROW(A379)-1,8)+(QUOTIENT(ROW(A379)-1,40)*2)</f>
        <v>44685</v>
      </c>
      <c r="C385" s="24" t="str">
        <f t="shared" si="15"/>
        <v>수</v>
      </c>
      <c r="D385" s="91" t="str">
        <f t="shared" si="16"/>
        <v>3교시</v>
      </c>
      <c r="E385" s="68">
        <f>COUNTIF($H$7:$H385,$H385)</f>
        <v>16</v>
      </c>
      <c r="F385" s="67">
        <f>'1.연간시수표'!$AL$33</f>
        <v>5</v>
      </c>
      <c r="G385" s="89">
        <f t="shared" si="17"/>
        <v>1</v>
      </c>
      <c r="H385" s="91" t="str">
        <f>INDEX('0.시간표데이터'!$E$10:$AR$32,QUOTIENT(ROW(A379)-1,40)+1,MOD(ROW(A379)-1,40)+1)</f>
        <v>체육</v>
      </c>
      <c r="I385" s="77"/>
      <c r="J385" s="26"/>
      <c r="K385" s="162"/>
      <c r="L385" s="162"/>
      <c r="M385" s="169"/>
      <c r="N385" s="101"/>
      <c r="O385" s="99"/>
      <c r="P385" s="99"/>
      <c r="Q385" s="167"/>
      <c r="R385" s="111"/>
    </row>
    <row r="386" spans="1:18" ht="13.5" hidden="1" customHeight="1">
      <c r="A386" s="30">
        <v>380</v>
      </c>
      <c r="B386" s="24">
        <f>DATE('1.연간시수표'!$U$2,'1.연간시수표'!$X$2,'1.연간시수표'!$Z$2)+QUOTIENT(ROW(A380)-1,8)+(QUOTIENT(ROW(A380)-1,40)*2)</f>
        <v>44685</v>
      </c>
      <c r="C386" s="24" t="str">
        <f t="shared" si="15"/>
        <v>수</v>
      </c>
      <c r="D386" s="91" t="str">
        <f t="shared" si="16"/>
        <v>4교시</v>
      </c>
      <c r="E386" s="68">
        <f>COUNTIF($H$7:$H386,$H386)</f>
        <v>19</v>
      </c>
      <c r="F386" s="67">
        <f>'1.연간시수표'!$AL$33</f>
        <v>5</v>
      </c>
      <c r="G386" s="89">
        <f t="shared" si="17"/>
        <v>1</v>
      </c>
      <c r="H386" s="91" t="str">
        <f>INDEX('0.시간표데이터'!$E$10:$AR$32,QUOTIENT(ROW(A380)-1,40)+1,MOD(ROW(A380)-1,40)+1)</f>
        <v>음악</v>
      </c>
      <c r="I386" s="77"/>
      <c r="J386" s="26"/>
      <c r="K386" s="162"/>
      <c r="L386" s="162"/>
      <c r="M386" s="168"/>
      <c r="N386" s="99"/>
      <c r="O386" s="99"/>
      <c r="P386" s="99"/>
      <c r="Q386" s="167"/>
      <c r="R386" s="111"/>
    </row>
    <row r="387" spans="1:18" ht="13.5" hidden="1" customHeight="1">
      <c r="A387" s="30">
        <v>381</v>
      </c>
      <c r="B387" s="24">
        <f>DATE('1.연간시수표'!$U$2,'1.연간시수표'!$X$2,'1.연간시수표'!$Z$2)+QUOTIENT(ROW(A381)-1,8)+(QUOTIENT(ROW(A381)-1,40)*2)</f>
        <v>44685</v>
      </c>
      <c r="C387" s="24" t="str">
        <f t="shared" si="15"/>
        <v>수</v>
      </c>
      <c r="D387" s="91" t="str">
        <f t="shared" si="16"/>
        <v>5교시</v>
      </c>
      <c r="E387" s="68">
        <f>COUNTIF($H$7:$H387,$H387)</f>
        <v>9</v>
      </c>
      <c r="F387" s="67">
        <f>'1.연간시수표'!$AL$33</f>
        <v>5</v>
      </c>
      <c r="G387" s="89">
        <f t="shared" si="17"/>
        <v>1</v>
      </c>
      <c r="H387" s="91" t="str">
        <f>INDEX('0.시간표데이터'!$E$10:$AR$32,QUOTIENT(ROW(A381)-1,40)+1,MOD(ROW(A381)-1,40)+1)</f>
        <v>도덕</v>
      </c>
      <c r="I387" s="77"/>
      <c r="J387" s="26"/>
      <c r="K387" s="173"/>
      <c r="L387" s="173"/>
      <c r="M387" s="10"/>
      <c r="N387" s="10"/>
      <c r="O387" s="10"/>
      <c r="P387" s="10"/>
      <c r="Q387" s="164"/>
      <c r="R387" s="110"/>
    </row>
    <row r="388" spans="1:18" ht="13.5" hidden="1" customHeight="1">
      <c r="A388" s="30">
        <v>382</v>
      </c>
      <c r="B388" s="24">
        <f>DATE('1.연간시수표'!$U$2,'1.연간시수표'!$X$2,'1.연간시수표'!$Z$2)+QUOTIENT(ROW(A382)-1,8)+(QUOTIENT(ROW(A382)-1,40)*2)</f>
        <v>44685</v>
      </c>
      <c r="C388" s="24" t="str">
        <f t="shared" si="15"/>
        <v>수</v>
      </c>
      <c r="D388" s="91" t="str">
        <f t="shared" si="16"/>
        <v>6교시</v>
      </c>
      <c r="E388" s="68">
        <f>COUNTIF($H$7:$H388,$H388)</f>
        <v>122</v>
      </c>
      <c r="F388" s="67">
        <f>'1.연간시수표'!$AL$33</f>
        <v>5</v>
      </c>
      <c r="G388" s="89">
        <f t="shared" si="17"/>
        <v>1</v>
      </c>
      <c r="H388" s="91" t="str">
        <f>INDEX('0.시간표데이터'!$E$10:$AR$32,QUOTIENT(ROW(A382)-1,40)+1,MOD(ROW(A382)-1,40)+1)</f>
        <v>_</v>
      </c>
      <c r="I388" s="77"/>
      <c r="J388" s="26"/>
      <c r="K388" s="165"/>
      <c r="L388" s="165"/>
      <c r="M388" s="166"/>
      <c r="N388" s="166"/>
      <c r="O388" s="166"/>
      <c r="P388" s="166"/>
      <c r="Q388" s="167"/>
      <c r="R388" s="111"/>
    </row>
    <row r="389" spans="1:18" ht="13.5" hidden="1" customHeight="1">
      <c r="A389" s="30">
        <v>383</v>
      </c>
      <c r="B389" s="24">
        <f>DATE('1.연간시수표'!$U$2,'1.연간시수표'!$X$2,'1.연간시수표'!$Z$2)+QUOTIENT(ROW(A383)-1,8)+(QUOTIENT(ROW(A383)-1,40)*2)</f>
        <v>44685</v>
      </c>
      <c r="C389" s="24" t="str">
        <f t="shared" si="15"/>
        <v>수</v>
      </c>
      <c r="D389" s="91" t="str">
        <f t="shared" si="16"/>
        <v>7교시</v>
      </c>
      <c r="E389" s="68">
        <f>COUNTIF($H$7:$H389,$H389)</f>
        <v>123</v>
      </c>
      <c r="F389" s="67">
        <f>'1.연간시수표'!$AL$33</f>
        <v>5</v>
      </c>
      <c r="G389" s="89">
        <f t="shared" si="17"/>
        <v>1</v>
      </c>
      <c r="H389" s="91" t="str">
        <f>INDEX('0.시간표데이터'!$E$10:$AR$32,QUOTIENT(ROW(A383)-1,40)+1,MOD(ROW(A383)-1,40)+1)</f>
        <v>_</v>
      </c>
      <c r="I389" s="76"/>
      <c r="J389" s="26"/>
      <c r="K389" s="165"/>
      <c r="L389" s="165"/>
      <c r="M389" s="166"/>
      <c r="N389" s="166"/>
      <c r="O389" s="166"/>
      <c r="P389" s="166"/>
      <c r="Q389" s="167"/>
      <c r="R389" s="111"/>
    </row>
    <row r="390" spans="1:18" ht="13.5" hidden="1" customHeight="1">
      <c r="A390" s="30">
        <v>384</v>
      </c>
      <c r="B390" s="24">
        <f>DATE('1.연간시수표'!$U$2,'1.연간시수표'!$X$2,'1.연간시수표'!$Z$2)+QUOTIENT(ROW(A384)-1,8)+(QUOTIENT(ROW(A384)-1,40)*2)</f>
        <v>44685</v>
      </c>
      <c r="C390" s="24" t="str">
        <f t="shared" si="15"/>
        <v>수</v>
      </c>
      <c r="D390" s="91" t="str">
        <f t="shared" si="16"/>
        <v>8교시</v>
      </c>
      <c r="E390" s="68">
        <f>COUNTIF($H$7:$H390,$H390)</f>
        <v>124</v>
      </c>
      <c r="F390" s="67">
        <f>'1.연간시수표'!$AL$33</f>
        <v>5</v>
      </c>
      <c r="G390" s="89">
        <f t="shared" si="17"/>
        <v>1</v>
      </c>
      <c r="H390" s="91" t="str">
        <f>INDEX('0.시간표데이터'!$E$10:$AR$32,QUOTIENT(ROW(A384)-1,40)+1,MOD(ROW(A384)-1,40)+1)</f>
        <v>_</v>
      </c>
      <c r="I390" s="76"/>
      <c r="J390" s="26"/>
      <c r="K390" s="165"/>
      <c r="L390" s="165"/>
      <c r="M390" s="166"/>
      <c r="N390" s="166"/>
      <c r="O390" s="166"/>
      <c r="P390" s="166"/>
      <c r="Q390" s="167"/>
      <c r="R390" s="111"/>
    </row>
    <row r="391" spans="1:18" ht="13.5" customHeight="1">
      <c r="A391" s="30">
        <v>385</v>
      </c>
      <c r="B391" s="24">
        <f>DATE('1.연간시수표'!$U$2,'1.연간시수표'!$X$2,'1.연간시수표'!$Z$2)+QUOTIENT(ROW(A385)-1,8)+(QUOTIENT(ROW(A385)-1,40)*2)</f>
        <v>44686</v>
      </c>
      <c r="C391" s="24" t="str">
        <f t="shared" ref="C391:C454" si="18">IF(WEEKDAY(B391,2)=1,"월",IF(WEEKDAY(B391,2)=2,"화",IF(WEEKDAY(B391,2)=3,"수",IF(WEEKDAY(B391,2)=4,"목",IF(WEEKDAY(B391,2)=5,"금")))))</f>
        <v>목</v>
      </c>
      <c r="D391" s="91" t="str">
        <f t="shared" ref="D391:D454" si="19">TEXT(MOD(ROW(A385)-1,8)+1,"#교시")</f>
        <v>1교시</v>
      </c>
      <c r="E391" s="68">
        <f>COUNTIF($H$7:$H391,$H391)</f>
        <v>125</v>
      </c>
      <c r="F391" s="67">
        <f>'1.연간시수표'!$AL$33</f>
        <v>5</v>
      </c>
      <c r="G391" s="89">
        <f t="shared" ref="G391:G454" si="20">$A$2</f>
        <v>1</v>
      </c>
      <c r="H391" s="91" t="str">
        <f>INDEX('0.시간표데이터'!$E$10:$AR$32,QUOTIENT(ROW(A385)-1,40)+1,MOD(ROW(A385)-1,40)+1)</f>
        <v>_</v>
      </c>
      <c r="I391" s="77"/>
      <c r="J391" s="26"/>
      <c r="K391" s="173"/>
      <c r="L391" s="173"/>
      <c r="M391" s="10"/>
      <c r="N391" s="10"/>
      <c r="O391" s="10"/>
      <c r="P391" s="10"/>
      <c r="Q391" s="164"/>
      <c r="R391" s="109"/>
    </row>
    <row r="392" spans="1:18" ht="13.5" customHeight="1">
      <c r="A392" s="30">
        <v>386</v>
      </c>
      <c r="B392" s="24">
        <f>DATE('1.연간시수표'!$U$2,'1.연간시수표'!$X$2,'1.연간시수표'!$Z$2)+QUOTIENT(ROW(A386)-1,8)+(QUOTIENT(ROW(A386)-1,40)*2)</f>
        <v>44686</v>
      </c>
      <c r="C392" s="24" t="str">
        <f t="shared" si="18"/>
        <v>목</v>
      </c>
      <c r="D392" s="91" t="str">
        <f t="shared" si="19"/>
        <v>2교시</v>
      </c>
      <c r="E392" s="68">
        <f>COUNTIF($H$7:$H392,$H392)</f>
        <v>126</v>
      </c>
      <c r="F392" s="67">
        <f>'1.연간시수표'!$AL$33</f>
        <v>5</v>
      </c>
      <c r="G392" s="89">
        <f t="shared" si="20"/>
        <v>1</v>
      </c>
      <c r="H392" s="91" t="str">
        <f>INDEX('0.시간표데이터'!$E$10:$AR$32,QUOTIENT(ROW(A386)-1,40)+1,MOD(ROW(A386)-1,40)+1)</f>
        <v>_</v>
      </c>
      <c r="I392" s="161"/>
      <c r="J392" s="26"/>
      <c r="K392" s="173"/>
      <c r="L392" s="173"/>
      <c r="M392" s="10"/>
      <c r="N392" s="10"/>
      <c r="O392" s="10"/>
      <c r="P392" s="10"/>
      <c r="Q392" s="164"/>
      <c r="R392" s="109"/>
    </row>
    <row r="393" spans="1:18" ht="13.5" customHeight="1">
      <c r="A393" s="30">
        <v>387</v>
      </c>
      <c r="B393" s="24">
        <f>DATE('1.연간시수표'!$U$2,'1.연간시수표'!$X$2,'1.연간시수표'!$Z$2)+QUOTIENT(ROW(A387)-1,8)+(QUOTIENT(ROW(A387)-1,40)*2)</f>
        <v>44686</v>
      </c>
      <c r="C393" s="24" t="str">
        <f t="shared" si="18"/>
        <v>목</v>
      </c>
      <c r="D393" s="91" t="str">
        <f t="shared" si="19"/>
        <v>3교시</v>
      </c>
      <c r="E393" s="68">
        <f>COUNTIF($H$7:$H393,$H393)</f>
        <v>127</v>
      </c>
      <c r="F393" s="67">
        <f>'1.연간시수표'!$AL$33</f>
        <v>5</v>
      </c>
      <c r="G393" s="89">
        <f t="shared" si="20"/>
        <v>1</v>
      </c>
      <c r="H393" s="91" t="str">
        <f>INDEX('0.시간표데이터'!$E$10:$AR$32,QUOTIENT(ROW(A387)-1,40)+1,MOD(ROW(A387)-1,40)+1)</f>
        <v>_</v>
      </c>
      <c r="I393" s="77"/>
      <c r="J393" s="26"/>
      <c r="K393" s="173"/>
      <c r="L393" s="173"/>
      <c r="M393" s="10"/>
      <c r="N393" s="10"/>
      <c r="O393" s="10"/>
      <c r="P393" s="10"/>
      <c r="Q393" s="164"/>
      <c r="R393" s="109"/>
    </row>
    <row r="394" spans="1:18" ht="13.5" customHeight="1">
      <c r="A394" s="30">
        <v>388</v>
      </c>
      <c r="B394" s="24">
        <f>DATE('1.연간시수표'!$U$2,'1.연간시수표'!$X$2,'1.연간시수표'!$Z$2)+QUOTIENT(ROW(A388)-1,8)+(QUOTIENT(ROW(A388)-1,40)*2)</f>
        <v>44686</v>
      </c>
      <c r="C394" s="24" t="str">
        <f t="shared" si="18"/>
        <v>목</v>
      </c>
      <c r="D394" s="91" t="str">
        <f t="shared" si="19"/>
        <v>4교시</v>
      </c>
      <c r="E394" s="68">
        <f>COUNTIF($H$7:$H394,$H394)</f>
        <v>128</v>
      </c>
      <c r="F394" s="67">
        <f>'1.연간시수표'!$AL$33</f>
        <v>5</v>
      </c>
      <c r="G394" s="89">
        <f t="shared" si="20"/>
        <v>1</v>
      </c>
      <c r="H394" s="91" t="str">
        <f>INDEX('0.시간표데이터'!$E$10:$AR$32,QUOTIENT(ROW(A388)-1,40)+1,MOD(ROW(A388)-1,40)+1)</f>
        <v>_</v>
      </c>
      <c r="I394" s="77"/>
      <c r="J394" s="26"/>
      <c r="K394" s="173"/>
      <c r="L394" s="173"/>
      <c r="M394" s="10"/>
      <c r="N394" s="10"/>
      <c r="O394" s="10"/>
      <c r="P394" s="10"/>
      <c r="Q394" s="164"/>
      <c r="R394" s="109"/>
    </row>
    <row r="395" spans="1:18" ht="13.5" hidden="1" customHeight="1">
      <c r="A395" s="30">
        <v>389</v>
      </c>
      <c r="B395" s="24">
        <f>DATE('1.연간시수표'!$U$2,'1.연간시수표'!$X$2,'1.연간시수표'!$Z$2)+QUOTIENT(ROW(A389)-1,8)+(QUOTIENT(ROW(A389)-1,40)*2)</f>
        <v>44686</v>
      </c>
      <c r="C395" s="24" t="str">
        <f t="shared" si="18"/>
        <v>목</v>
      </c>
      <c r="D395" s="91" t="str">
        <f t="shared" si="19"/>
        <v>5교시</v>
      </c>
      <c r="E395" s="68">
        <f>COUNTIF($H$7:$H395,$H395)</f>
        <v>129</v>
      </c>
      <c r="F395" s="67">
        <f>'1.연간시수표'!$AL$33</f>
        <v>5</v>
      </c>
      <c r="G395" s="89">
        <f t="shared" si="20"/>
        <v>1</v>
      </c>
      <c r="H395" s="91" t="str">
        <f>INDEX('0.시간표데이터'!$E$10:$AR$32,QUOTIENT(ROW(A389)-1,40)+1,MOD(ROW(A389)-1,40)+1)</f>
        <v>_</v>
      </c>
      <c r="I395" s="77"/>
      <c r="J395" s="26"/>
      <c r="K395" s="165"/>
      <c r="L395" s="165"/>
      <c r="M395" s="166"/>
      <c r="N395" s="166"/>
      <c r="O395" s="166"/>
      <c r="P395" s="166"/>
      <c r="Q395" s="167"/>
      <c r="R395" s="111"/>
    </row>
    <row r="396" spans="1:18" ht="13.5" hidden="1" customHeight="1">
      <c r="A396" s="30">
        <v>390</v>
      </c>
      <c r="B396" s="24">
        <f>DATE('1.연간시수표'!$U$2,'1.연간시수표'!$X$2,'1.연간시수표'!$Z$2)+QUOTIENT(ROW(A390)-1,8)+(QUOTIENT(ROW(A390)-1,40)*2)</f>
        <v>44686</v>
      </c>
      <c r="C396" s="24" t="str">
        <f t="shared" si="18"/>
        <v>목</v>
      </c>
      <c r="D396" s="91" t="str">
        <f t="shared" si="19"/>
        <v>6교시</v>
      </c>
      <c r="E396" s="68">
        <f>COUNTIF($H$7:$H396,$H396)</f>
        <v>130</v>
      </c>
      <c r="F396" s="67">
        <f>'1.연간시수표'!$AL$33</f>
        <v>5</v>
      </c>
      <c r="G396" s="89">
        <f t="shared" si="20"/>
        <v>1</v>
      </c>
      <c r="H396" s="91" t="str">
        <f>INDEX('0.시간표데이터'!$E$10:$AR$32,QUOTIENT(ROW(A390)-1,40)+1,MOD(ROW(A390)-1,40)+1)</f>
        <v>_</v>
      </c>
      <c r="I396" s="161"/>
      <c r="J396" s="26"/>
      <c r="K396" s="165"/>
      <c r="L396" s="165"/>
      <c r="M396" s="166"/>
      <c r="N396" s="166"/>
      <c r="O396" s="166"/>
      <c r="P396" s="166"/>
      <c r="Q396" s="167"/>
      <c r="R396" s="111"/>
    </row>
    <row r="397" spans="1:18" hidden="1">
      <c r="A397" s="30">
        <v>391</v>
      </c>
      <c r="B397" s="24">
        <f>DATE('1.연간시수표'!$U$2,'1.연간시수표'!$X$2,'1.연간시수표'!$Z$2)+QUOTIENT(ROW(A391)-1,8)+(QUOTIENT(ROW(A391)-1,40)*2)</f>
        <v>44686</v>
      </c>
      <c r="C397" s="24" t="str">
        <f t="shared" si="18"/>
        <v>목</v>
      </c>
      <c r="D397" s="91" t="str">
        <f t="shared" si="19"/>
        <v>7교시</v>
      </c>
      <c r="E397" s="68">
        <f>COUNTIF($H$7:$H397,$H397)</f>
        <v>131</v>
      </c>
      <c r="F397" s="67">
        <f>'1.연간시수표'!$AL$33</f>
        <v>5</v>
      </c>
      <c r="G397" s="89">
        <f t="shared" si="20"/>
        <v>1</v>
      </c>
      <c r="H397" s="91" t="str">
        <f>INDEX('0.시간표데이터'!$E$10:$AR$32,QUOTIENT(ROW(A391)-1,40)+1,MOD(ROW(A391)-1,40)+1)</f>
        <v>_</v>
      </c>
      <c r="I397" s="76"/>
      <c r="J397" s="26"/>
      <c r="K397" s="165"/>
      <c r="L397" s="165"/>
      <c r="M397" s="166"/>
      <c r="N397" s="166"/>
      <c r="O397" s="166"/>
      <c r="P397" s="166"/>
      <c r="Q397" s="167"/>
      <c r="R397" s="111"/>
    </row>
    <row r="398" spans="1:18" hidden="1">
      <c r="A398" s="30">
        <v>392</v>
      </c>
      <c r="B398" s="24">
        <f>DATE('1.연간시수표'!$U$2,'1.연간시수표'!$X$2,'1.연간시수표'!$Z$2)+QUOTIENT(ROW(A392)-1,8)+(QUOTIENT(ROW(A392)-1,40)*2)</f>
        <v>44686</v>
      </c>
      <c r="C398" s="24" t="str">
        <f t="shared" si="18"/>
        <v>목</v>
      </c>
      <c r="D398" s="91" t="str">
        <f t="shared" si="19"/>
        <v>8교시</v>
      </c>
      <c r="E398" s="68">
        <f>COUNTIF($H$7:$H398,$H398)</f>
        <v>132</v>
      </c>
      <c r="F398" s="67">
        <f>'1.연간시수표'!$AL$33</f>
        <v>5</v>
      </c>
      <c r="G398" s="89">
        <f t="shared" si="20"/>
        <v>1</v>
      </c>
      <c r="H398" s="91" t="str">
        <f>INDEX('0.시간표데이터'!$E$10:$AR$32,QUOTIENT(ROW(A392)-1,40)+1,MOD(ROW(A392)-1,40)+1)</f>
        <v>_</v>
      </c>
      <c r="I398" s="76"/>
      <c r="J398" s="26"/>
      <c r="K398" s="165"/>
      <c r="L398" s="165"/>
      <c r="M398" s="166"/>
      <c r="N398" s="166"/>
      <c r="O398" s="166"/>
      <c r="P398" s="166"/>
      <c r="Q398" s="167"/>
      <c r="R398" s="111"/>
    </row>
    <row r="399" spans="1:18" ht="13.5" hidden="1" customHeight="1">
      <c r="A399" s="30">
        <v>393</v>
      </c>
      <c r="B399" s="24">
        <f>DATE('1.연간시수표'!$U$2,'1.연간시수표'!$X$2,'1.연간시수표'!$Z$2)+QUOTIENT(ROW(A393)-1,8)+(QUOTIENT(ROW(A393)-1,40)*2)</f>
        <v>44687</v>
      </c>
      <c r="C399" s="24" t="str">
        <f t="shared" si="18"/>
        <v>금</v>
      </c>
      <c r="D399" s="91" t="str">
        <f t="shared" si="19"/>
        <v>1교시</v>
      </c>
      <c r="E399" s="68">
        <f>COUNTIF($H$7:$H399,$H399)</f>
        <v>133</v>
      </c>
      <c r="F399" s="67">
        <f>'1.연간시수표'!$AL$33</f>
        <v>5</v>
      </c>
      <c r="G399" s="89">
        <f t="shared" si="20"/>
        <v>1</v>
      </c>
      <c r="H399" s="91" t="str">
        <f>INDEX('0.시간표데이터'!$E$10:$AR$32,QUOTIENT(ROW(A393)-1,40)+1,MOD(ROW(A393)-1,40)+1)</f>
        <v>_</v>
      </c>
      <c r="I399" s="77"/>
      <c r="J399" s="26"/>
      <c r="K399" s="162"/>
      <c r="L399" s="162"/>
      <c r="M399" s="168"/>
      <c r="N399" s="102"/>
      <c r="O399" s="99"/>
      <c r="P399" s="99"/>
      <c r="Q399" s="167"/>
      <c r="R399" s="111"/>
    </row>
    <row r="400" spans="1:18" ht="13.5" hidden="1" customHeight="1">
      <c r="A400" s="30">
        <v>394</v>
      </c>
      <c r="B400" s="24">
        <f>DATE('1.연간시수표'!$U$2,'1.연간시수표'!$X$2,'1.연간시수표'!$Z$2)+QUOTIENT(ROW(A394)-1,8)+(QUOTIENT(ROW(A394)-1,40)*2)</f>
        <v>44687</v>
      </c>
      <c r="C400" s="24" t="str">
        <f t="shared" si="18"/>
        <v>금</v>
      </c>
      <c r="D400" s="91" t="str">
        <f t="shared" si="19"/>
        <v>2교시</v>
      </c>
      <c r="E400" s="68">
        <f>COUNTIF($H$7:$H400,$H400)</f>
        <v>134</v>
      </c>
      <c r="F400" s="67">
        <f>'1.연간시수표'!$AL$33</f>
        <v>5</v>
      </c>
      <c r="G400" s="89">
        <f t="shared" si="20"/>
        <v>1</v>
      </c>
      <c r="H400" s="91" t="str">
        <f>INDEX('0.시간표데이터'!$E$10:$AR$32,QUOTIENT(ROW(A394)-1,40)+1,MOD(ROW(A394)-1,40)+1)</f>
        <v>_</v>
      </c>
      <c r="I400" s="77"/>
      <c r="J400" s="26"/>
      <c r="K400" s="162"/>
      <c r="L400" s="162"/>
      <c r="M400" s="168"/>
      <c r="N400" s="102"/>
      <c r="O400" s="99"/>
      <c r="P400" s="99"/>
      <c r="Q400" s="167"/>
      <c r="R400" s="111"/>
    </row>
    <row r="401" spans="1:18" ht="13.5" hidden="1" customHeight="1">
      <c r="A401" s="30">
        <v>395</v>
      </c>
      <c r="B401" s="24">
        <f>DATE('1.연간시수표'!$U$2,'1.연간시수표'!$X$2,'1.연간시수표'!$Z$2)+QUOTIENT(ROW(A395)-1,8)+(QUOTIENT(ROW(A395)-1,40)*2)</f>
        <v>44687</v>
      </c>
      <c r="C401" s="24" t="str">
        <f t="shared" si="18"/>
        <v>금</v>
      </c>
      <c r="D401" s="91" t="str">
        <f t="shared" si="19"/>
        <v>3교시</v>
      </c>
      <c r="E401" s="68">
        <f>COUNTIF($H$7:$H401,$H401)</f>
        <v>135</v>
      </c>
      <c r="F401" s="67">
        <f>'1.연간시수표'!$AL$33</f>
        <v>5</v>
      </c>
      <c r="G401" s="89">
        <f t="shared" si="20"/>
        <v>1</v>
      </c>
      <c r="H401" s="91" t="str">
        <f>INDEX('0.시간표데이터'!$E$10:$AR$32,QUOTIENT(ROW(A395)-1,40)+1,MOD(ROW(A395)-1,40)+1)</f>
        <v>_</v>
      </c>
      <c r="I401" s="77"/>
      <c r="J401" s="26"/>
      <c r="K401" s="165"/>
      <c r="L401" s="165"/>
      <c r="M401" s="166"/>
      <c r="N401" s="166"/>
      <c r="O401" s="166"/>
      <c r="P401" s="166"/>
      <c r="Q401" s="167"/>
      <c r="R401" s="111"/>
    </row>
    <row r="402" spans="1:18" ht="13.5" hidden="1" customHeight="1">
      <c r="A402" s="30">
        <v>396</v>
      </c>
      <c r="B402" s="24">
        <f>DATE('1.연간시수표'!$U$2,'1.연간시수표'!$X$2,'1.연간시수표'!$Z$2)+QUOTIENT(ROW(A396)-1,8)+(QUOTIENT(ROW(A396)-1,40)*2)</f>
        <v>44687</v>
      </c>
      <c r="C402" s="24" t="str">
        <f t="shared" si="18"/>
        <v>금</v>
      </c>
      <c r="D402" s="91" t="str">
        <f t="shared" si="19"/>
        <v>4교시</v>
      </c>
      <c r="E402" s="68">
        <f>COUNTIF($H$7:$H402,$H402)</f>
        <v>136</v>
      </c>
      <c r="F402" s="67">
        <f>'1.연간시수표'!$AL$33</f>
        <v>5</v>
      </c>
      <c r="G402" s="89">
        <f t="shared" si="20"/>
        <v>1</v>
      </c>
      <c r="H402" s="91" t="str">
        <f>INDEX('0.시간표데이터'!$E$10:$AR$32,QUOTIENT(ROW(A396)-1,40)+1,MOD(ROW(A396)-1,40)+1)</f>
        <v>_</v>
      </c>
      <c r="I402" s="77"/>
      <c r="J402" s="26"/>
      <c r="K402" s="162"/>
      <c r="L402" s="162"/>
      <c r="M402" s="169"/>
      <c r="N402" s="101"/>
      <c r="O402" s="99"/>
      <c r="P402" s="99"/>
      <c r="Q402" s="167"/>
      <c r="R402" s="111"/>
    </row>
    <row r="403" spans="1:18" ht="13.5" hidden="1" customHeight="1">
      <c r="A403" s="30">
        <v>397</v>
      </c>
      <c r="B403" s="24">
        <f>DATE('1.연간시수표'!$U$2,'1.연간시수표'!$X$2,'1.연간시수표'!$Z$2)+QUOTIENT(ROW(A397)-1,8)+(QUOTIENT(ROW(A397)-1,40)*2)</f>
        <v>44687</v>
      </c>
      <c r="C403" s="24" t="str">
        <f t="shared" si="18"/>
        <v>금</v>
      </c>
      <c r="D403" s="91" t="str">
        <f t="shared" si="19"/>
        <v>5교시</v>
      </c>
      <c r="E403" s="68">
        <f>COUNTIF($H$7:$H403,$H403)</f>
        <v>137</v>
      </c>
      <c r="F403" s="67">
        <f>'1.연간시수표'!$AL$33</f>
        <v>5</v>
      </c>
      <c r="G403" s="89">
        <f t="shared" si="20"/>
        <v>1</v>
      </c>
      <c r="H403" s="91" t="str">
        <f>INDEX('0.시간표데이터'!$E$10:$AR$32,QUOTIENT(ROW(A397)-1,40)+1,MOD(ROW(A397)-1,40)+1)</f>
        <v>_</v>
      </c>
      <c r="I403" s="77"/>
      <c r="J403" s="26"/>
      <c r="K403" s="162"/>
      <c r="L403" s="162"/>
      <c r="M403" s="170"/>
      <c r="N403" s="98"/>
      <c r="O403" s="98"/>
      <c r="P403" s="98"/>
      <c r="Q403" s="167"/>
      <c r="R403" s="111"/>
    </row>
    <row r="404" spans="1:18" ht="13.5" hidden="1" customHeight="1">
      <c r="A404" s="30">
        <v>398</v>
      </c>
      <c r="B404" s="24">
        <f>DATE('1.연간시수표'!$U$2,'1.연간시수표'!$X$2,'1.연간시수표'!$Z$2)+QUOTIENT(ROW(A398)-1,8)+(QUOTIENT(ROW(A398)-1,40)*2)</f>
        <v>44687</v>
      </c>
      <c r="C404" s="24" t="str">
        <f t="shared" si="18"/>
        <v>금</v>
      </c>
      <c r="D404" s="91" t="str">
        <f t="shared" si="19"/>
        <v>6교시</v>
      </c>
      <c r="E404" s="68">
        <f>COUNTIF($H$7:$H404,$H404)</f>
        <v>138</v>
      </c>
      <c r="F404" s="67">
        <f>'1.연간시수표'!$AL$33</f>
        <v>5</v>
      </c>
      <c r="G404" s="89">
        <f t="shared" si="20"/>
        <v>1</v>
      </c>
      <c r="H404" s="91" t="str">
        <f>INDEX('0.시간표데이터'!$E$10:$AR$32,QUOTIENT(ROW(A398)-1,40)+1,MOD(ROW(A398)-1,40)+1)</f>
        <v>_</v>
      </c>
      <c r="I404" s="77"/>
      <c r="J404" s="26"/>
      <c r="K404" s="165"/>
      <c r="L404" s="165"/>
      <c r="M404" s="166"/>
      <c r="N404" s="166"/>
      <c r="O404" s="166"/>
      <c r="P404" s="166"/>
      <c r="Q404" s="167"/>
      <c r="R404" s="111"/>
    </row>
    <row r="405" spans="1:18" ht="13.5" hidden="1" customHeight="1">
      <c r="A405" s="30">
        <v>399</v>
      </c>
      <c r="B405" s="24">
        <f>DATE('1.연간시수표'!$U$2,'1.연간시수표'!$X$2,'1.연간시수표'!$Z$2)+QUOTIENT(ROW(A399)-1,8)+(QUOTIENT(ROW(A399)-1,40)*2)</f>
        <v>44687</v>
      </c>
      <c r="C405" s="24" t="str">
        <f t="shared" si="18"/>
        <v>금</v>
      </c>
      <c r="D405" s="91" t="str">
        <f t="shared" si="19"/>
        <v>7교시</v>
      </c>
      <c r="E405" s="68">
        <f>COUNTIF($H$7:$H405,$H405)</f>
        <v>139</v>
      </c>
      <c r="F405" s="67">
        <f>'1.연간시수표'!$AL$33</f>
        <v>5</v>
      </c>
      <c r="G405" s="89">
        <f t="shared" si="20"/>
        <v>1</v>
      </c>
      <c r="H405" s="91" t="str">
        <f>INDEX('0.시간표데이터'!$E$10:$AR$32,QUOTIENT(ROW(A399)-1,40)+1,MOD(ROW(A399)-1,40)+1)</f>
        <v>_</v>
      </c>
      <c r="I405" s="76"/>
      <c r="J405" s="26"/>
      <c r="K405" s="165"/>
      <c r="L405" s="165"/>
      <c r="M405" s="166"/>
      <c r="N405" s="166"/>
      <c r="O405" s="166"/>
      <c r="P405" s="166"/>
      <c r="Q405" s="167"/>
      <c r="R405" s="111"/>
    </row>
    <row r="406" spans="1:18" ht="13.5" hidden="1" customHeight="1">
      <c r="A406" s="30">
        <v>400</v>
      </c>
      <c r="B406" s="24">
        <f>DATE('1.연간시수표'!$U$2,'1.연간시수표'!$X$2,'1.연간시수표'!$Z$2)+QUOTIENT(ROW(A400)-1,8)+(QUOTIENT(ROW(A400)-1,40)*2)</f>
        <v>44687</v>
      </c>
      <c r="C406" s="24" t="str">
        <f t="shared" si="18"/>
        <v>금</v>
      </c>
      <c r="D406" s="91" t="str">
        <f t="shared" si="19"/>
        <v>8교시</v>
      </c>
      <c r="E406" s="68">
        <f>COUNTIF($H$7:$H406,$H406)</f>
        <v>140</v>
      </c>
      <c r="F406" s="67">
        <f>'1.연간시수표'!$AL$33</f>
        <v>5</v>
      </c>
      <c r="G406" s="89">
        <f t="shared" si="20"/>
        <v>1</v>
      </c>
      <c r="H406" s="91" t="str">
        <f>INDEX('0.시간표데이터'!$E$10:$AR$32,QUOTIENT(ROW(A400)-1,40)+1,MOD(ROW(A400)-1,40)+1)</f>
        <v>_</v>
      </c>
      <c r="I406" s="76"/>
      <c r="J406" s="26"/>
      <c r="K406" s="165"/>
      <c r="L406" s="165"/>
      <c r="M406" s="166"/>
      <c r="N406" s="166"/>
      <c r="O406" s="166"/>
      <c r="P406" s="166"/>
      <c r="Q406" s="167"/>
      <c r="R406" s="111"/>
    </row>
    <row r="407" spans="1:18" ht="13.5" hidden="1" customHeight="1">
      <c r="A407" s="30">
        <v>401</v>
      </c>
      <c r="B407" s="24">
        <f>DATE('1.연간시수표'!$U$2,'1.연간시수표'!$X$2,'1.연간시수표'!$Z$2)+QUOTIENT(ROW(A401)-1,8)+(QUOTIENT(ROW(A401)-1,40)*2)</f>
        <v>44690</v>
      </c>
      <c r="C407" s="24" t="str">
        <f t="shared" si="18"/>
        <v>월</v>
      </c>
      <c r="D407" s="91" t="str">
        <f t="shared" si="19"/>
        <v>1교시</v>
      </c>
      <c r="E407" s="68">
        <f>COUNTIF($H$7:$H407,$H407)</f>
        <v>51</v>
      </c>
      <c r="F407" s="67">
        <f>'1.연간시수표'!$AL$33</f>
        <v>5</v>
      </c>
      <c r="G407" s="89">
        <f t="shared" si="20"/>
        <v>1</v>
      </c>
      <c r="H407" s="91" t="str">
        <f>INDEX('0.시간표데이터'!$E$10:$AR$32,QUOTIENT(ROW(A401)-1,40)+1,MOD(ROW(A401)-1,40)+1)</f>
        <v>국어</v>
      </c>
      <c r="I407" s="77"/>
      <c r="J407" s="26"/>
      <c r="K407" s="162"/>
      <c r="L407" s="162"/>
      <c r="M407" s="168"/>
      <c r="N407" s="99"/>
      <c r="O407" s="99"/>
      <c r="P407" s="99"/>
      <c r="Q407" s="167"/>
      <c r="R407" s="111"/>
    </row>
    <row r="408" spans="1:18" ht="13.5" hidden="1" customHeight="1">
      <c r="A408" s="30">
        <v>402</v>
      </c>
      <c r="B408" s="24">
        <f>DATE('1.연간시수표'!$U$2,'1.연간시수표'!$X$2,'1.연간시수표'!$Z$2)+QUOTIENT(ROW(A402)-1,8)+(QUOTIENT(ROW(A402)-1,40)*2)</f>
        <v>44690</v>
      </c>
      <c r="C408" s="24" t="str">
        <f t="shared" si="18"/>
        <v>월</v>
      </c>
      <c r="D408" s="91" t="str">
        <f t="shared" si="19"/>
        <v>2교시</v>
      </c>
      <c r="E408" s="68">
        <f>COUNTIF($H$7:$H408,$H408)</f>
        <v>19</v>
      </c>
      <c r="F408" s="67">
        <f>'1.연간시수표'!$AL$33</f>
        <v>5</v>
      </c>
      <c r="G408" s="89">
        <f t="shared" si="20"/>
        <v>1</v>
      </c>
      <c r="H408" s="91" t="str">
        <f>INDEX('0.시간표데이터'!$E$10:$AR$32,QUOTIENT(ROW(A402)-1,40)+1,MOD(ROW(A402)-1,40)+1)</f>
        <v>미술</v>
      </c>
      <c r="I408" s="161"/>
      <c r="J408" s="26"/>
      <c r="K408" s="165"/>
      <c r="L408" s="165"/>
      <c r="M408" s="166"/>
      <c r="N408" s="166"/>
      <c r="O408" s="166"/>
      <c r="P408" s="166"/>
      <c r="Q408" s="167"/>
      <c r="R408" s="111"/>
    </row>
    <row r="409" spans="1:18" ht="13.5" hidden="1" customHeight="1">
      <c r="A409" s="30">
        <v>403</v>
      </c>
      <c r="B409" s="24">
        <f>DATE('1.연간시수표'!$U$2,'1.연간시수표'!$X$2,'1.연간시수표'!$Z$2)+QUOTIENT(ROW(A403)-1,8)+(QUOTIENT(ROW(A403)-1,40)*2)</f>
        <v>44690</v>
      </c>
      <c r="C409" s="24" t="str">
        <f t="shared" si="18"/>
        <v>월</v>
      </c>
      <c r="D409" s="91" t="str">
        <f t="shared" si="19"/>
        <v>3교시</v>
      </c>
      <c r="E409" s="68">
        <f>COUNTIF($H$7:$H409,$H409)</f>
        <v>20</v>
      </c>
      <c r="F409" s="67">
        <f>'1.연간시수표'!$AL$33</f>
        <v>5</v>
      </c>
      <c r="G409" s="89">
        <f t="shared" si="20"/>
        <v>1</v>
      </c>
      <c r="H409" s="91" t="str">
        <f>INDEX('0.시간표데이터'!$E$10:$AR$32,QUOTIENT(ROW(A403)-1,40)+1,MOD(ROW(A403)-1,40)+1)</f>
        <v>미술</v>
      </c>
      <c r="I409" s="77"/>
      <c r="J409" s="26"/>
      <c r="K409" s="162"/>
      <c r="L409" s="162"/>
      <c r="M409" s="169"/>
      <c r="N409" s="101"/>
      <c r="O409" s="99"/>
      <c r="P409" s="99"/>
      <c r="Q409" s="167"/>
      <c r="R409" s="111"/>
    </row>
    <row r="410" spans="1:18" ht="13.5" hidden="1" customHeight="1">
      <c r="A410" s="30">
        <v>404</v>
      </c>
      <c r="B410" s="24">
        <f>DATE('1.연간시수표'!$U$2,'1.연간시수표'!$X$2,'1.연간시수표'!$Z$2)+QUOTIENT(ROW(A404)-1,8)+(QUOTIENT(ROW(A404)-1,40)*2)</f>
        <v>44690</v>
      </c>
      <c r="C410" s="24" t="str">
        <f t="shared" si="18"/>
        <v>월</v>
      </c>
      <c r="D410" s="91" t="str">
        <f t="shared" si="19"/>
        <v>4교시</v>
      </c>
      <c r="E410" s="68">
        <f>COUNTIF($H$7:$H410,$H410)</f>
        <v>26</v>
      </c>
      <c r="F410" s="67">
        <f>'1.연간시수표'!$AL$33</f>
        <v>5</v>
      </c>
      <c r="G410" s="89">
        <f t="shared" si="20"/>
        <v>1</v>
      </c>
      <c r="H410" s="91" t="str">
        <f>INDEX('0.시간표데이터'!$E$10:$AR$32,QUOTIENT(ROW(A404)-1,40)+1,MOD(ROW(A404)-1,40)+1)</f>
        <v>영어</v>
      </c>
      <c r="I410" s="77"/>
      <c r="J410" s="26"/>
      <c r="K410" s="162"/>
      <c r="L410" s="162"/>
      <c r="M410" s="169"/>
      <c r="N410" s="101"/>
      <c r="O410" s="99"/>
      <c r="P410" s="99"/>
      <c r="Q410" s="167"/>
      <c r="R410" s="111"/>
    </row>
    <row r="411" spans="1:18" ht="13.5" hidden="1" customHeight="1">
      <c r="A411" s="30">
        <v>405</v>
      </c>
      <c r="B411" s="24">
        <f>DATE('1.연간시수표'!$U$2,'1.연간시수표'!$X$2,'1.연간시수표'!$Z$2)+QUOTIENT(ROW(A405)-1,8)+(QUOTIENT(ROW(A405)-1,40)*2)</f>
        <v>44690</v>
      </c>
      <c r="C411" s="24" t="str">
        <f t="shared" si="18"/>
        <v>월</v>
      </c>
      <c r="D411" s="91" t="str">
        <f t="shared" si="19"/>
        <v>5교시</v>
      </c>
      <c r="E411" s="68">
        <f>COUNTIF($H$7:$H411,$H411)</f>
        <v>35</v>
      </c>
      <c r="F411" s="67">
        <f>'1.연간시수표'!$AL$33</f>
        <v>5</v>
      </c>
      <c r="G411" s="89">
        <f t="shared" si="20"/>
        <v>1</v>
      </c>
      <c r="H411" s="91" t="str">
        <f>INDEX('0.시간표데이터'!$E$10:$AR$32,QUOTIENT(ROW(A405)-1,40)+1,MOD(ROW(A405)-1,40)+1)</f>
        <v>수학</v>
      </c>
      <c r="I411" s="77"/>
      <c r="J411" s="26"/>
      <c r="K411" s="162"/>
      <c r="L411" s="162"/>
      <c r="M411" s="168"/>
      <c r="N411" s="98"/>
      <c r="O411" s="99"/>
      <c r="P411" s="99"/>
      <c r="Q411" s="167"/>
      <c r="R411" s="111"/>
    </row>
    <row r="412" spans="1:18" ht="13.5" hidden="1" customHeight="1">
      <c r="A412" s="30">
        <v>406</v>
      </c>
      <c r="B412" s="24">
        <f>DATE('1.연간시수표'!$U$2,'1.연간시수표'!$X$2,'1.연간시수표'!$Z$2)+QUOTIENT(ROW(A406)-1,8)+(QUOTIENT(ROW(A406)-1,40)*2)</f>
        <v>44690</v>
      </c>
      <c r="C412" s="24" t="str">
        <f t="shared" si="18"/>
        <v>월</v>
      </c>
      <c r="D412" s="91" t="str">
        <f t="shared" si="19"/>
        <v>6교시</v>
      </c>
      <c r="E412" s="68">
        <f>COUNTIF($H$7:$H412,$H412)</f>
        <v>52</v>
      </c>
      <c r="F412" s="67">
        <f>'1.연간시수표'!$AL$33</f>
        <v>5</v>
      </c>
      <c r="G412" s="89">
        <f t="shared" si="20"/>
        <v>1</v>
      </c>
      <c r="H412" s="91" t="str">
        <f>INDEX('0.시간표데이터'!$E$10:$AR$32,QUOTIENT(ROW(A406)-1,40)+1,MOD(ROW(A406)-1,40)+1)</f>
        <v>국어</v>
      </c>
      <c r="I412" s="77"/>
      <c r="J412" s="26"/>
      <c r="K412" s="165"/>
      <c r="L412" s="165"/>
      <c r="M412" s="166"/>
      <c r="N412" s="166"/>
      <c r="O412" s="166"/>
      <c r="P412" s="166"/>
      <c r="Q412" s="167"/>
      <c r="R412" s="111"/>
    </row>
    <row r="413" spans="1:18" ht="13.5" hidden="1" customHeight="1">
      <c r="A413" s="30">
        <v>407</v>
      </c>
      <c r="B413" s="24">
        <f>DATE('1.연간시수표'!$U$2,'1.연간시수표'!$X$2,'1.연간시수표'!$Z$2)+QUOTIENT(ROW(A407)-1,8)+(QUOTIENT(ROW(A407)-1,40)*2)</f>
        <v>44690</v>
      </c>
      <c r="C413" s="24" t="str">
        <f t="shared" si="18"/>
        <v>월</v>
      </c>
      <c r="D413" s="91" t="str">
        <f t="shared" si="19"/>
        <v>7교시</v>
      </c>
      <c r="E413" s="68">
        <f>COUNTIF($H$7:$H413,$H413)</f>
        <v>141</v>
      </c>
      <c r="F413" s="67">
        <f>'1.연간시수표'!$AL$33</f>
        <v>5</v>
      </c>
      <c r="G413" s="89">
        <f t="shared" si="20"/>
        <v>1</v>
      </c>
      <c r="H413" s="91" t="str">
        <f>INDEX('0.시간표데이터'!$E$10:$AR$32,QUOTIENT(ROW(A407)-1,40)+1,MOD(ROW(A407)-1,40)+1)</f>
        <v>_</v>
      </c>
      <c r="I413" s="76"/>
      <c r="J413" s="26"/>
      <c r="K413" s="165"/>
      <c r="L413" s="165"/>
      <c r="M413" s="166"/>
      <c r="N413" s="166"/>
      <c r="O413" s="166"/>
      <c r="P413" s="166"/>
      <c r="Q413" s="167"/>
      <c r="R413" s="111"/>
    </row>
    <row r="414" spans="1:18" ht="13.5" hidden="1" customHeight="1">
      <c r="A414" s="30">
        <v>408</v>
      </c>
      <c r="B414" s="24">
        <f>DATE('1.연간시수표'!$U$2,'1.연간시수표'!$X$2,'1.연간시수표'!$Z$2)+QUOTIENT(ROW(A408)-1,8)+(QUOTIENT(ROW(A408)-1,40)*2)</f>
        <v>44690</v>
      </c>
      <c r="C414" s="24" t="str">
        <f t="shared" si="18"/>
        <v>월</v>
      </c>
      <c r="D414" s="91" t="str">
        <f t="shared" si="19"/>
        <v>8교시</v>
      </c>
      <c r="E414" s="68">
        <f>COUNTIF($H$7:$H414,$H414)</f>
        <v>142</v>
      </c>
      <c r="F414" s="67">
        <f>'1.연간시수표'!$AL$33</f>
        <v>5</v>
      </c>
      <c r="G414" s="89">
        <f t="shared" si="20"/>
        <v>1</v>
      </c>
      <c r="H414" s="91" t="str">
        <f>INDEX('0.시간표데이터'!$E$10:$AR$32,QUOTIENT(ROW(A408)-1,40)+1,MOD(ROW(A408)-1,40)+1)</f>
        <v>_</v>
      </c>
      <c r="I414" s="76"/>
      <c r="J414" s="26"/>
      <c r="K414" s="165"/>
      <c r="L414" s="165"/>
      <c r="M414" s="166"/>
      <c r="N414" s="166"/>
      <c r="O414" s="166"/>
      <c r="P414" s="166"/>
      <c r="Q414" s="167"/>
      <c r="R414" s="111"/>
    </row>
    <row r="415" spans="1:18" ht="13.5" hidden="1" customHeight="1">
      <c r="A415" s="30">
        <v>409</v>
      </c>
      <c r="B415" s="24">
        <f>DATE('1.연간시수표'!$U$2,'1.연간시수표'!$X$2,'1.연간시수표'!$Z$2)+QUOTIENT(ROW(A409)-1,8)+(QUOTIENT(ROW(A409)-1,40)*2)</f>
        <v>44691</v>
      </c>
      <c r="C415" s="24" t="str">
        <f t="shared" si="18"/>
        <v>화</v>
      </c>
      <c r="D415" s="91" t="str">
        <f t="shared" si="19"/>
        <v>1교시</v>
      </c>
      <c r="E415" s="68">
        <f>COUNTIF($H$7:$H415,$H415)</f>
        <v>53</v>
      </c>
      <c r="F415" s="67">
        <f>'1.연간시수표'!$AL$33</f>
        <v>5</v>
      </c>
      <c r="G415" s="89">
        <f t="shared" si="20"/>
        <v>1</v>
      </c>
      <c r="H415" s="91" t="str">
        <f>INDEX('0.시간표데이터'!$E$10:$AR$32,QUOTIENT(ROW(A409)-1,40)+1,MOD(ROW(A409)-1,40)+1)</f>
        <v>국어</v>
      </c>
      <c r="I415" s="77"/>
      <c r="J415" s="26"/>
      <c r="K415" s="162"/>
      <c r="L415" s="162"/>
      <c r="M415" s="168"/>
      <c r="N415" s="99"/>
      <c r="O415" s="99"/>
      <c r="P415" s="99"/>
      <c r="Q415" s="167"/>
      <c r="R415" s="111"/>
    </row>
    <row r="416" spans="1:18" ht="13.5" hidden="1" customHeight="1">
      <c r="A416" s="30">
        <v>410</v>
      </c>
      <c r="B416" s="24">
        <f>DATE('1.연간시수표'!$U$2,'1.연간시수표'!$X$2,'1.연간시수표'!$Z$2)+QUOTIENT(ROW(A410)-1,8)+(QUOTIENT(ROW(A410)-1,40)*2)</f>
        <v>44691</v>
      </c>
      <c r="C416" s="24" t="str">
        <f t="shared" si="18"/>
        <v>화</v>
      </c>
      <c r="D416" s="91" t="str">
        <f t="shared" si="19"/>
        <v>2교시</v>
      </c>
      <c r="E416" s="68">
        <f>COUNTIF($H$7:$H416,$H416)</f>
        <v>54</v>
      </c>
      <c r="F416" s="67">
        <f>'1.연간시수표'!$AL$33</f>
        <v>5</v>
      </c>
      <c r="G416" s="89">
        <f t="shared" si="20"/>
        <v>1</v>
      </c>
      <c r="H416" s="91" t="str">
        <f>INDEX('0.시간표데이터'!$E$10:$AR$32,QUOTIENT(ROW(A410)-1,40)+1,MOD(ROW(A410)-1,40)+1)</f>
        <v>국어</v>
      </c>
      <c r="I416" s="161"/>
      <c r="J416" s="26"/>
      <c r="K416" s="165"/>
      <c r="L416" s="165"/>
      <c r="M416" s="166"/>
      <c r="N416" s="166"/>
      <c r="O416" s="166"/>
      <c r="P416" s="166"/>
      <c r="Q416" s="167"/>
      <c r="R416" s="111"/>
    </row>
    <row r="417" spans="1:18" ht="13.5" hidden="1" customHeight="1">
      <c r="A417" s="30">
        <v>411</v>
      </c>
      <c r="B417" s="24">
        <f>DATE('1.연간시수표'!$U$2,'1.연간시수표'!$X$2,'1.연간시수표'!$Z$2)+QUOTIENT(ROW(A411)-1,8)+(QUOTIENT(ROW(A411)-1,40)*2)</f>
        <v>44691</v>
      </c>
      <c r="C417" s="24" t="str">
        <f t="shared" si="18"/>
        <v>화</v>
      </c>
      <c r="D417" s="91" t="str">
        <f t="shared" si="19"/>
        <v>3교시</v>
      </c>
      <c r="E417" s="68">
        <f>COUNTIF($H$7:$H417,$H417)</f>
        <v>26</v>
      </c>
      <c r="F417" s="67">
        <f>'1.연간시수표'!$AL$33</f>
        <v>5</v>
      </c>
      <c r="G417" s="89">
        <f t="shared" si="20"/>
        <v>1</v>
      </c>
      <c r="H417" s="91" t="str">
        <f>INDEX('0.시간표데이터'!$E$10:$AR$32,QUOTIENT(ROW(A411)-1,40)+1,MOD(ROW(A411)-1,40)+1)</f>
        <v>사회</v>
      </c>
      <c r="I417" s="77"/>
      <c r="J417" s="26"/>
      <c r="K417" s="162"/>
      <c r="L417" s="162"/>
      <c r="M417" s="170"/>
      <c r="N417" s="98"/>
      <c r="O417" s="98"/>
      <c r="P417" s="98"/>
      <c r="Q417" s="167"/>
      <c r="R417" s="111"/>
    </row>
    <row r="418" spans="1:18" ht="13.5" hidden="1" customHeight="1">
      <c r="A418" s="30">
        <v>412</v>
      </c>
      <c r="B418" s="24">
        <f>DATE('1.연간시수표'!$U$2,'1.연간시수표'!$X$2,'1.연간시수표'!$Z$2)+QUOTIENT(ROW(A412)-1,8)+(QUOTIENT(ROW(A412)-1,40)*2)</f>
        <v>44691</v>
      </c>
      <c r="C418" s="24" t="str">
        <f t="shared" si="18"/>
        <v>화</v>
      </c>
      <c r="D418" s="91" t="str">
        <f t="shared" si="19"/>
        <v>4교시</v>
      </c>
      <c r="E418" s="68">
        <f>COUNTIF($H$7:$H418,$H418)</f>
        <v>36</v>
      </c>
      <c r="F418" s="67">
        <f>'1.연간시수표'!$AL$33</f>
        <v>5</v>
      </c>
      <c r="G418" s="89">
        <f t="shared" si="20"/>
        <v>1</v>
      </c>
      <c r="H418" s="91" t="str">
        <f>INDEX('0.시간표데이터'!$E$10:$AR$32,QUOTIENT(ROW(A412)-1,40)+1,MOD(ROW(A412)-1,40)+1)</f>
        <v>수학</v>
      </c>
      <c r="I418" s="77"/>
      <c r="J418" s="26"/>
      <c r="K418" s="162"/>
      <c r="L418" s="162"/>
      <c r="M418" s="168"/>
      <c r="N418" s="98"/>
      <c r="O418" s="99"/>
      <c r="P418" s="99"/>
      <c r="Q418" s="167"/>
      <c r="R418" s="111"/>
    </row>
    <row r="419" spans="1:18" ht="13.5" hidden="1" customHeight="1">
      <c r="A419" s="30">
        <v>413</v>
      </c>
      <c r="B419" s="24">
        <f>DATE('1.연간시수표'!$U$2,'1.연간시수표'!$X$2,'1.연간시수표'!$Z$2)+QUOTIENT(ROW(A413)-1,8)+(QUOTIENT(ROW(A413)-1,40)*2)</f>
        <v>44691</v>
      </c>
      <c r="C419" s="24" t="str">
        <f t="shared" si="18"/>
        <v>화</v>
      </c>
      <c r="D419" s="91" t="str">
        <f t="shared" si="19"/>
        <v>5교시</v>
      </c>
      <c r="E419" s="68">
        <f>COUNTIF($H$7:$H419,$H419)</f>
        <v>25</v>
      </c>
      <c r="F419" s="67">
        <f>'1.연간시수표'!$AL$33</f>
        <v>5</v>
      </c>
      <c r="G419" s="89">
        <f t="shared" si="20"/>
        <v>1</v>
      </c>
      <c r="H419" s="91" t="str">
        <f>INDEX('0.시간표데이터'!$E$10:$AR$32,QUOTIENT(ROW(A413)-1,40)+1,MOD(ROW(A413)-1,40)+1)</f>
        <v>과학</v>
      </c>
      <c r="I419" s="77"/>
      <c r="J419" s="26"/>
      <c r="K419" s="137"/>
      <c r="L419" s="137"/>
      <c r="M419" s="114"/>
      <c r="N419" s="114"/>
      <c r="O419" s="114"/>
      <c r="P419" s="114"/>
      <c r="Q419" s="164"/>
      <c r="R419" s="110"/>
    </row>
    <row r="420" spans="1:18" ht="13.5" hidden="1" customHeight="1">
      <c r="A420" s="30">
        <v>414</v>
      </c>
      <c r="B420" s="24">
        <f>DATE('1.연간시수표'!$U$2,'1.연간시수표'!$X$2,'1.연간시수표'!$Z$2)+QUOTIENT(ROW(A414)-1,8)+(QUOTIENT(ROW(A414)-1,40)*2)</f>
        <v>44691</v>
      </c>
      <c r="C420" s="24" t="str">
        <f t="shared" si="18"/>
        <v>화</v>
      </c>
      <c r="D420" s="91" t="str">
        <f t="shared" si="19"/>
        <v>6교시</v>
      </c>
      <c r="E420" s="68">
        <f>COUNTIF($H$7:$H420,$H420)</f>
        <v>18</v>
      </c>
      <c r="F420" s="67">
        <f>'1.연간시수표'!$AL$33</f>
        <v>5</v>
      </c>
      <c r="G420" s="89">
        <f t="shared" si="20"/>
        <v>1</v>
      </c>
      <c r="H420" s="91" t="str">
        <f>INDEX('0.시간표데이터'!$E$10:$AR$32,QUOTIENT(ROW(A414)-1,40)+1,MOD(ROW(A414)-1,40)+1)</f>
        <v>실과</v>
      </c>
      <c r="I420" s="77"/>
      <c r="J420" s="26"/>
      <c r="K420" s="165"/>
      <c r="L420" s="165"/>
      <c r="M420" s="166"/>
      <c r="N420" s="166"/>
      <c r="O420" s="166"/>
      <c r="P420" s="166"/>
      <c r="Q420" s="167"/>
      <c r="R420" s="111"/>
    </row>
    <row r="421" spans="1:18" ht="13.5" hidden="1" customHeight="1">
      <c r="A421" s="30">
        <v>415</v>
      </c>
      <c r="B421" s="24">
        <f>DATE('1.연간시수표'!$U$2,'1.연간시수표'!$X$2,'1.연간시수표'!$Z$2)+QUOTIENT(ROW(A415)-1,8)+(QUOTIENT(ROW(A415)-1,40)*2)</f>
        <v>44691</v>
      </c>
      <c r="C421" s="24" t="str">
        <f t="shared" si="18"/>
        <v>화</v>
      </c>
      <c r="D421" s="91" t="str">
        <f t="shared" si="19"/>
        <v>7교시</v>
      </c>
      <c r="E421" s="68">
        <f>COUNTIF($H$7:$H421,$H421)</f>
        <v>143</v>
      </c>
      <c r="F421" s="67">
        <f>'1.연간시수표'!$AL$33</f>
        <v>5</v>
      </c>
      <c r="G421" s="89">
        <f t="shared" si="20"/>
        <v>1</v>
      </c>
      <c r="H421" s="91" t="str">
        <f>INDEX('0.시간표데이터'!$E$10:$AR$32,QUOTIENT(ROW(A415)-1,40)+1,MOD(ROW(A415)-1,40)+1)</f>
        <v>_</v>
      </c>
      <c r="I421" s="76"/>
      <c r="J421" s="26"/>
      <c r="K421" s="165"/>
      <c r="L421" s="165"/>
      <c r="M421" s="166"/>
      <c r="N421" s="166"/>
      <c r="O421" s="166"/>
      <c r="P421" s="166"/>
      <c r="Q421" s="167"/>
      <c r="R421" s="111"/>
    </row>
    <row r="422" spans="1:18" ht="13.5" hidden="1" customHeight="1">
      <c r="A422" s="30">
        <v>416</v>
      </c>
      <c r="B422" s="24">
        <f>DATE('1.연간시수표'!$U$2,'1.연간시수표'!$X$2,'1.연간시수표'!$Z$2)+QUOTIENT(ROW(A416)-1,8)+(QUOTIENT(ROW(A416)-1,40)*2)</f>
        <v>44691</v>
      </c>
      <c r="C422" s="24" t="str">
        <f t="shared" si="18"/>
        <v>화</v>
      </c>
      <c r="D422" s="91" t="str">
        <f t="shared" si="19"/>
        <v>8교시</v>
      </c>
      <c r="E422" s="68">
        <f>COUNTIF($H$7:$H422,$H422)</f>
        <v>144</v>
      </c>
      <c r="F422" s="67">
        <f>'1.연간시수표'!$AL$33</f>
        <v>5</v>
      </c>
      <c r="G422" s="89">
        <f t="shared" si="20"/>
        <v>1</v>
      </c>
      <c r="H422" s="91" t="str">
        <f>INDEX('0.시간표데이터'!$E$10:$AR$32,QUOTIENT(ROW(A416)-1,40)+1,MOD(ROW(A416)-1,40)+1)</f>
        <v>_</v>
      </c>
      <c r="I422" s="76"/>
      <c r="J422" s="26"/>
      <c r="K422" s="165"/>
      <c r="L422" s="165"/>
      <c r="M422" s="166"/>
      <c r="N422" s="166"/>
      <c r="O422" s="166"/>
      <c r="P422" s="166"/>
      <c r="Q422" s="167"/>
      <c r="R422" s="111"/>
    </row>
    <row r="423" spans="1:18" ht="13.5" hidden="1" customHeight="1">
      <c r="A423" s="30">
        <v>417</v>
      </c>
      <c r="B423" s="24">
        <f>DATE('1.연간시수표'!$U$2,'1.연간시수표'!$X$2,'1.연간시수표'!$Z$2)+QUOTIENT(ROW(A417)-1,8)+(QUOTIENT(ROW(A417)-1,40)*2)</f>
        <v>44692</v>
      </c>
      <c r="C423" s="24" t="str">
        <f t="shared" si="18"/>
        <v>수</v>
      </c>
      <c r="D423" s="91" t="str">
        <f t="shared" si="19"/>
        <v>1교시</v>
      </c>
      <c r="E423" s="68">
        <f>COUNTIF($H$7:$H423,$H423)</f>
        <v>27</v>
      </c>
      <c r="F423" s="67">
        <f>'1.연간시수표'!$AL$33</f>
        <v>5</v>
      </c>
      <c r="G423" s="89">
        <f t="shared" si="20"/>
        <v>1</v>
      </c>
      <c r="H423" s="91" t="str">
        <f>INDEX('0.시간표데이터'!$E$10:$AR$32,QUOTIENT(ROW(A417)-1,40)+1,MOD(ROW(A417)-1,40)+1)</f>
        <v>영어</v>
      </c>
      <c r="I423" s="77"/>
      <c r="J423" s="26"/>
      <c r="K423" s="162"/>
      <c r="L423" s="162"/>
      <c r="M423" s="168"/>
      <c r="N423" s="168"/>
      <c r="O423" s="99"/>
      <c r="P423" s="99"/>
      <c r="Q423" s="167"/>
      <c r="R423" s="111"/>
    </row>
    <row r="424" spans="1:18" ht="13.5" hidden="1" customHeight="1">
      <c r="A424" s="30">
        <v>418</v>
      </c>
      <c r="B424" s="24">
        <f>DATE('1.연간시수표'!$U$2,'1.연간시수표'!$X$2,'1.연간시수표'!$Z$2)+QUOTIENT(ROW(A418)-1,8)+(QUOTIENT(ROW(A418)-1,40)*2)</f>
        <v>44692</v>
      </c>
      <c r="C424" s="24" t="str">
        <f t="shared" si="18"/>
        <v>수</v>
      </c>
      <c r="D424" s="91" t="str">
        <f t="shared" si="19"/>
        <v>2교시</v>
      </c>
      <c r="E424" s="68">
        <f>COUNTIF($H$7:$H424,$H424)</f>
        <v>26</v>
      </c>
      <c r="F424" s="67">
        <f>'1.연간시수표'!$AL$33</f>
        <v>5</v>
      </c>
      <c r="G424" s="89">
        <f t="shared" si="20"/>
        <v>1</v>
      </c>
      <c r="H424" s="91" t="str">
        <f>INDEX('0.시간표데이터'!$E$10:$AR$32,QUOTIENT(ROW(A418)-1,40)+1,MOD(ROW(A418)-1,40)+1)</f>
        <v>과학</v>
      </c>
      <c r="I424" s="77"/>
      <c r="J424" s="26"/>
      <c r="K424" s="137"/>
      <c r="L424" s="137"/>
      <c r="M424" s="114"/>
      <c r="N424" s="114"/>
      <c r="O424" s="114"/>
      <c r="P424" s="114"/>
      <c r="Q424" s="164"/>
      <c r="R424" s="110"/>
    </row>
    <row r="425" spans="1:18" ht="13.5" hidden="1" customHeight="1">
      <c r="A425" s="30">
        <v>419</v>
      </c>
      <c r="B425" s="24">
        <f>DATE('1.연간시수표'!$U$2,'1.연간시수표'!$X$2,'1.연간시수표'!$Z$2)+QUOTIENT(ROW(A419)-1,8)+(QUOTIENT(ROW(A419)-1,40)*2)</f>
        <v>44692</v>
      </c>
      <c r="C425" s="24" t="str">
        <f t="shared" si="18"/>
        <v>수</v>
      </c>
      <c r="D425" s="91" t="str">
        <f t="shared" si="19"/>
        <v>3교시</v>
      </c>
      <c r="E425" s="68">
        <f>COUNTIF($H$7:$H425,$H425)</f>
        <v>17</v>
      </c>
      <c r="F425" s="67">
        <f>'1.연간시수표'!$AL$33</f>
        <v>5</v>
      </c>
      <c r="G425" s="89">
        <f t="shared" si="20"/>
        <v>1</v>
      </c>
      <c r="H425" s="91" t="str">
        <f>INDEX('0.시간표데이터'!$E$10:$AR$32,QUOTIENT(ROW(A419)-1,40)+1,MOD(ROW(A419)-1,40)+1)</f>
        <v>체육</v>
      </c>
      <c r="I425" s="77"/>
      <c r="J425" s="26"/>
      <c r="K425" s="162"/>
      <c r="L425" s="162"/>
      <c r="M425" s="169"/>
      <c r="N425" s="101"/>
      <c r="O425" s="99"/>
      <c r="P425" s="99"/>
      <c r="Q425" s="167"/>
      <c r="R425" s="111"/>
    </row>
    <row r="426" spans="1:18" ht="13.5" hidden="1" customHeight="1">
      <c r="A426" s="30">
        <v>420</v>
      </c>
      <c r="B426" s="24">
        <f>DATE('1.연간시수표'!$U$2,'1.연간시수표'!$X$2,'1.연간시수표'!$Z$2)+QUOTIENT(ROW(A420)-1,8)+(QUOTIENT(ROW(A420)-1,40)*2)</f>
        <v>44692</v>
      </c>
      <c r="C426" s="24" t="str">
        <f t="shared" si="18"/>
        <v>수</v>
      </c>
      <c r="D426" s="91" t="str">
        <f t="shared" si="19"/>
        <v>4교시</v>
      </c>
      <c r="E426" s="68">
        <f>COUNTIF($H$7:$H426,$H426)</f>
        <v>20</v>
      </c>
      <c r="F426" s="67">
        <f>'1.연간시수표'!$AL$33</f>
        <v>5</v>
      </c>
      <c r="G426" s="89">
        <f t="shared" si="20"/>
        <v>1</v>
      </c>
      <c r="H426" s="91" t="str">
        <f>INDEX('0.시간표데이터'!$E$10:$AR$32,QUOTIENT(ROW(A420)-1,40)+1,MOD(ROW(A420)-1,40)+1)</f>
        <v>음악</v>
      </c>
      <c r="I426" s="77"/>
      <c r="J426" s="26"/>
      <c r="K426" s="162"/>
      <c r="L426" s="162"/>
      <c r="M426" s="168"/>
      <c r="N426" s="99"/>
      <c r="O426" s="99"/>
      <c r="P426" s="99"/>
      <c r="Q426" s="167"/>
      <c r="R426" s="111"/>
    </row>
    <row r="427" spans="1:18">
      <c r="A427" s="30">
        <v>421</v>
      </c>
      <c r="B427" s="24">
        <f>DATE('1.연간시수표'!$U$2,'1.연간시수표'!$X$2,'1.연간시수표'!$Z$2)+QUOTIENT(ROW(A421)-1,8)+(QUOTIENT(ROW(A421)-1,40)*2)</f>
        <v>44692</v>
      </c>
      <c r="C427" s="24" t="str">
        <f t="shared" si="18"/>
        <v>수</v>
      </c>
      <c r="D427" s="91" t="str">
        <f t="shared" si="19"/>
        <v>5교시</v>
      </c>
      <c r="E427" s="68">
        <f>COUNTIF($H$7:$H427,$H427)</f>
        <v>10</v>
      </c>
      <c r="F427" s="67">
        <f>'1.연간시수표'!$AL$33</f>
        <v>5</v>
      </c>
      <c r="G427" s="89">
        <f t="shared" si="20"/>
        <v>1</v>
      </c>
      <c r="H427" s="91" t="str">
        <f>INDEX('0.시간표데이터'!$E$10:$AR$32,QUOTIENT(ROW(A421)-1,40)+1,MOD(ROW(A421)-1,40)+1)</f>
        <v>도덕</v>
      </c>
      <c r="I427" s="77"/>
      <c r="J427" s="26"/>
      <c r="K427" s="173"/>
      <c r="L427" s="178"/>
      <c r="M427" s="10"/>
      <c r="N427" s="10"/>
      <c r="O427" s="10"/>
      <c r="P427" s="10"/>
      <c r="Q427" s="164"/>
      <c r="R427" s="109"/>
    </row>
    <row r="428" spans="1:18" hidden="1">
      <c r="A428" s="30">
        <v>422</v>
      </c>
      <c r="B428" s="24">
        <f>DATE('1.연간시수표'!$U$2,'1.연간시수표'!$X$2,'1.연간시수표'!$Z$2)+QUOTIENT(ROW(A422)-1,8)+(QUOTIENT(ROW(A422)-1,40)*2)</f>
        <v>44692</v>
      </c>
      <c r="C428" s="24" t="str">
        <f t="shared" si="18"/>
        <v>수</v>
      </c>
      <c r="D428" s="91" t="str">
        <f t="shared" si="19"/>
        <v>6교시</v>
      </c>
      <c r="E428" s="68">
        <f>COUNTIF($H$7:$H428,$H428)</f>
        <v>145</v>
      </c>
      <c r="F428" s="67">
        <f>'1.연간시수표'!$AL$33</f>
        <v>5</v>
      </c>
      <c r="G428" s="89">
        <f t="shared" si="20"/>
        <v>1</v>
      </c>
      <c r="H428" s="91" t="str">
        <f>INDEX('0.시간표데이터'!$E$10:$AR$32,QUOTIENT(ROW(A422)-1,40)+1,MOD(ROW(A422)-1,40)+1)</f>
        <v>_</v>
      </c>
      <c r="I428" s="77"/>
      <c r="J428" s="26"/>
      <c r="K428" s="165"/>
      <c r="L428" s="165"/>
      <c r="M428" s="166"/>
      <c r="N428" s="166"/>
      <c r="O428" s="166"/>
      <c r="P428" s="166"/>
      <c r="Q428" s="167"/>
      <c r="R428" s="111"/>
    </row>
    <row r="429" spans="1:18" ht="13.5" hidden="1" customHeight="1">
      <c r="A429" s="30">
        <v>423</v>
      </c>
      <c r="B429" s="24">
        <f>DATE('1.연간시수표'!$U$2,'1.연간시수표'!$X$2,'1.연간시수표'!$Z$2)+QUOTIENT(ROW(A423)-1,8)+(QUOTIENT(ROW(A423)-1,40)*2)</f>
        <v>44692</v>
      </c>
      <c r="C429" s="24" t="str">
        <f t="shared" si="18"/>
        <v>수</v>
      </c>
      <c r="D429" s="91" t="str">
        <f t="shared" si="19"/>
        <v>7교시</v>
      </c>
      <c r="E429" s="68">
        <f>COUNTIF($H$7:$H429,$H429)</f>
        <v>146</v>
      </c>
      <c r="F429" s="67">
        <f>'1.연간시수표'!$AL$33</f>
        <v>5</v>
      </c>
      <c r="G429" s="89">
        <f t="shared" si="20"/>
        <v>1</v>
      </c>
      <c r="H429" s="91" t="str">
        <f>INDEX('0.시간표데이터'!$E$10:$AR$32,QUOTIENT(ROW(A423)-1,40)+1,MOD(ROW(A423)-1,40)+1)</f>
        <v>_</v>
      </c>
      <c r="I429" s="76"/>
      <c r="J429" s="26"/>
      <c r="K429" s="165"/>
      <c r="L429" s="165"/>
      <c r="M429" s="166"/>
      <c r="N429" s="166"/>
      <c r="O429" s="166"/>
      <c r="P429" s="166"/>
      <c r="Q429" s="167"/>
      <c r="R429" s="111"/>
    </row>
    <row r="430" spans="1:18" ht="13.5" hidden="1" customHeight="1">
      <c r="A430" s="30">
        <v>424</v>
      </c>
      <c r="B430" s="24">
        <f>DATE('1.연간시수표'!$U$2,'1.연간시수표'!$X$2,'1.연간시수표'!$Z$2)+QUOTIENT(ROW(A424)-1,8)+(QUOTIENT(ROW(A424)-1,40)*2)</f>
        <v>44692</v>
      </c>
      <c r="C430" s="24" t="str">
        <f t="shared" si="18"/>
        <v>수</v>
      </c>
      <c r="D430" s="91" t="str">
        <f t="shared" si="19"/>
        <v>8교시</v>
      </c>
      <c r="E430" s="68">
        <f>COUNTIF($H$7:$H430,$H430)</f>
        <v>147</v>
      </c>
      <c r="F430" s="67">
        <f>'1.연간시수표'!$AL$33</f>
        <v>5</v>
      </c>
      <c r="G430" s="89">
        <f t="shared" si="20"/>
        <v>1</v>
      </c>
      <c r="H430" s="91" t="str">
        <f>INDEX('0.시간표데이터'!$E$10:$AR$32,QUOTIENT(ROW(A424)-1,40)+1,MOD(ROW(A424)-1,40)+1)</f>
        <v>_</v>
      </c>
      <c r="I430" s="76"/>
      <c r="J430" s="26"/>
      <c r="K430" s="165"/>
      <c r="L430" s="165"/>
      <c r="M430" s="166"/>
      <c r="N430" s="166"/>
      <c r="O430" s="166"/>
      <c r="P430" s="166"/>
      <c r="Q430" s="167"/>
      <c r="R430" s="111"/>
    </row>
    <row r="431" spans="1:18" ht="13.5" hidden="1" customHeight="1">
      <c r="A431" s="30">
        <v>425</v>
      </c>
      <c r="B431" s="24">
        <f>DATE('1.연간시수표'!$U$2,'1.연간시수표'!$X$2,'1.연간시수표'!$Z$2)+QUOTIENT(ROW(A425)-1,8)+(QUOTIENT(ROW(A425)-1,40)*2)</f>
        <v>44693</v>
      </c>
      <c r="C431" s="24" t="str">
        <f t="shared" si="18"/>
        <v>목</v>
      </c>
      <c r="D431" s="91" t="str">
        <f t="shared" si="19"/>
        <v>1교시</v>
      </c>
      <c r="E431" s="68">
        <f>COUNTIF($H$7:$H431,$H431)</f>
        <v>55</v>
      </c>
      <c r="F431" s="67">
        <f>'1.연간시수표'!$AL$33</f>
        <v>5</v>
      </c>
      <c r="G431" s="89">
        <f t="shared" si="20"/>
        <v>1</v>
      </c>
      <c r="H431" s="91" t="str">
        <f>INDEX('0.시간표데이터'!$E$10:$AR$32,QUOTIENT(ROW(A425)-1,40)+1,MOD(ROW(A425)-1,40)+1)</f>
        <v>국어</v>
      </c>
      <c r="I431" s="77"/>
      <c r="J431" s="26"/>
      <c r="K431" s="162"/>
      <c r="L431" s="162"/>
      <c r="M431" s="168"/>
      <c r="N431" s="98"/>
      <c r="O431" s="99"/>
      <c r="P431" s="99"/>
      <c r="Q431" s="167"/>
      <c r="R431" s="111"/>
    </row>
    <row r="432" spans="1:18" ht="13.5" hidden="1" customHeight="1">
      <c r="A432" s="30">
        <v>426</v>
      </c>
      <c r="B432" s="24">
        <f>DATE('1.연간시수표'!$U$2,'1.연간시수표'!$X$2,'1.연간시수표'!$Z$2)+QUOTIENT(ROW(A426)-1,8)+(QUOTIENT(ROW(A426)-1,40)*2)</f>
        <v>44693</v>
      </c>
      <c r="C432" s="24" t="str">
        <f t="shared" si="18"/>
        <v>목</v>
      </c>
      <c r="D432" s="91" t="str">
        <f t="shared" si="19"/>
        <v>2교시</v>
      </c>
      <c r="E432" s="68">
        <f>COUNTIF($H$7:$H432,$H432)</f>
        <v>37</v>
      </c>
      <c r="F432" s="67">
        <f>'1.연간시수표'!$AL$33</f>
        <v>5</v>
      </c>
      <c r="G432" s="89">
        <f t="shared" si="20"/>
        <v>1</v>
      </c>
      <c r="H432" s="91" t="str">
        <f>INDEX('0.시간표데이터'!$E$10:$AR$32,QUOTIENT(ROW(A426)-1,40)+1,MOD(ROW(A426)-1,40)+1)</f>
        <v>수학</v>
      </c>
      <c r="I432" s="161"/>
      <c r="J432" s="26"/>
      <c r="K432" s="165"/>
      <c r="L432" s="165"/>
      <c r="M432" s="166"/>
      <c r="N432" s="166"/>
      <c r="O432" s="166"/>
      <c r="P432" s="166"/>
      <c r="Q432" s="167"/>
      <c r="R432" s="111"/>
    </row>
    <row r="433" spans="1:18" ht="13.5" hidden="1" customHeight="1">
      <c r="A433" s="30">
        <v>427</v>
      </c>
      <c r="B433" s="24">
        <f>DATE('1.연간시수표'!$U$2,'1.연간시수표'!$X$2,'1.연간시수표'!$Z$2)+QUOTIENT(ROW(A427)-1,8)+(QUOTIENT(ROW(A427)-1,40)*2)</f>
        <v>44693</v>
      </c>
      <c r="C433" s="24" t="str">
        <f t="shared" si="18"/>
        <v>목</v>
      </c>
      <c r="D433" s="91" t="str">
        <f t="shared" si="19"/>
        <v>3교시</v>
      </c>
      <c r="E433" s="68">
        <f>COUNTIF($H$7:$H433,$H433)</f>
        <v>27</v>
      </c>
      <c r="F433" s="67">
        <f>'1.연간시수표'!$AL$33</f>
        <v>5</v>
      </c>
      <c r="G433" s="89">
        <f t="shared" si="20"/>
        <v>1</v>
      </c>
      <c r="H433" s="91" t="str">
        <f>INDEX('0.시간표데이터'!$E$10:$AR$32,QUOTIENT(ROW(A427)-1,40)+1,MOD(ROW(A427)-1,40)+1)</f>
        <v>사회</v>
      </c>
      <c r="I433" s="77"/>
      <c r="J433" s="26"/>
      <c r="K433" s="162"/>
      <c r="L433" s="162"/>
      <c r="M433" s="168"/>
      <c r="N433" s="99"/>
      <c r="O433" s="99"/>
      <c r="P433" s="99"/>
      <c r="Q433" s="167"/>
      <c r="R433" s="111"/>
    </row>
    <row r="434" spans="1:18" ht="13.5" hidden="1" customHeight="1">
      <c r="A434" s="30">
        <v>428</v>
      </c>
      <c r="B434" s="24">
        <f>DATE('1.연간시수표'!$U$2,'1.연간시수표'!$X$2,'1.연간시수표'!$Z$2)+QUOTIENT(ROW(A428)-1,8)+(QUOTIENT(ROW(A428)-1,40)*2)</f>
        <v>44693</v>
      </c>
      <c r="C434" s="24" t="str">
        <f t="shared" si="18"/>
        <v>목</v>
      </c>
      <c r="D434" s="91" t="str">
        <f t="shared" si="19"/>
        <v>4교시</v>
      </c>
      <c r="E434" s="68">
        <f>COUNTIF($H$7:$H434,$H434)</f>
        <v>28</v>
      </c>
      <c r="F434" s="67">
        <f>'1.연간시수표'!$AL$33</f>
        <v>5</v>
      </c>
      <c r="G434" s="89">
        <f t="shared" si="20"/>
        <v>1</v>
      </c>
      <c r="H434" s="91" t="str">
        <f>INDEX('0.시간표데이터'!$E$10:$AR$32,QUOTIENT(ROW(A428)-1,40)+1,MOD(ROW(A428)-1,40)+1)</f>
        <v>영어</v>
      </c>
      <c r="I434" s="77"/>
      <c r="J434" s="26"/>
      <c r="K434" s="162"/>
      <c r="L434" s="162"/>
      <c r="M434" s="170"/>
      <c r="N434" s="98"/>
      <c r="O434" s="98"/>
      <c r="P434" s="98"/>
      <c r="Q434" s="167"/>
      <c r="R434" s="111"/>
    </row>
    <row r="435" spans="1:18" ht="13.5" hidden="1" customHeight="1">
      <c r="A435" s="30">
        <v>429</v>
      </c>
      <c r="B435" s="24">
        <f>DATE('1.연간시수표'!$U$2,'1.연간시수표'!$X$2,'1.연간시수표'!$Z$2)+QUOTIENT(ROW(A429)-1,8)+(QUOTIENT(ROW(A429)-1,40)*2)</f>
        <v>44693</v>
      </c>
      <c r="C435" s="24" t="str">
        <f t="shared" si="18"/>
        <v>목</v>
      </c>
      <c r="D435" s="91" t="str">
        <f t="shared" si="19"/>
        <v>5교시</v>
      </c>
      <c r="E435" s="68">
        <f>COUNTIF($H$7:$H435,$H435)</f>
        <v>27</v>
      </c>
      <c r="F435" s="67">
        <f>'1.연간시수표'!$AL$33</f>
        <v>5</v>
      </c>
      <c r="G435" s="89">
        <f t="shared" si="20"/>
        <v>1</v>
      </c>
      <c r="H435" s="91" t="str">
        <f>INDEX('0.시간표데이터'!$E$10:$AR$32,QUOTIENT(ROW(A429)-1,40)+1,MOD(ROW(A429)-1,40)+1)</f>
        <v>과학</v>
      </c>
      <c r="I435" s="77"/>
      <c r="J435" s="26"/>
      <c r="K435" s="162"/>
      <c r="L435" s="162"/>
      <c r="M435" s="168"/>
      <c r="N435" s="99"/>
      <c r="O435" s="99"/>
      <c r="P435" s="99"/>
      <c r="Q435" s="167"/>
      <c r="R435" s="111"/>
    </row>
    <row r="436" spans="1:18" ht="13.5" hidden="1" customHeight="1">
      <c r="A436" s="30">
        <v>430</v>
      </c>
      <c r="B436" s="24">
        <f>DATE('1.연간시수표'!$U$2,'1.연간시수표'!$X$2,'1.연간시수표'!$Z$2)+QUOTIENT(ROW(A430)-1,8)+(QUOTIENT(ROW(A430)-1,40)*2)</f>
        <v>44693</v>
      </c>
      <c r="C436" s="24" t="str">
        <f t="shared" si="18"/>
        <v>목</v>
      </c>
      <c r="D436" s="91" t="str">
        <f t="shared" si="19"/>
        <v>6교시</v>
      </c>
      <c r="E436" s="68">
        <f>COUNTIF($H$7:$H436,$H436)</f>
        <v>21</v>
      </c>
      <c r="F436" s="67">
        <f>'1.연간시수표'!$AL$33</f>
        <v>5</v>
      </c>
      <c r="G436" s="89">
        <f t="shared" si="20"/>
        <v>1</v>
      </c>
      <c r="H436" s="91" t="str">
        <f>INDEX('0.시간표데이터'!$E$10:$AR$32,QUOTIENT(ROW(A430)-1,40)+1,MOD(ROW(A430)-1,40)+1)</f>
        <v>음악</v>
      </c>
      <c r="I436" s="161"/>
      <c r="J436" s="26"/>
      <c r="K436" s="162"/>
      <c r="L436" s="162"/>
      <c r="M436" s="168"/>
      <c r="N436" s="102"/>
      <c r="O436" s="168"/>
      <c r="P436" s="168"/>
      <c r="Q436" s="167"/>
      <c r="R436" s="111"/>
    </row>
    <row r="437" spans="1:18" ht="13.5" hidden="1" customHeight="1">
      <c r="A437" s="30">
        <v>431</v>
      </c>
      <c r="B437" s="24">
        <f>DATE('1.연간시수표'!$U$2,'1.연간시수표'!$X$2,'1.연간시수표'!$Z$2)+QUOTIENT(ROW(A431)-1,8)+(QUOTIENT(ROW(A431)-1,40)*2)</f>
        <v>44693</v>
      </c>
      <c r="C437" s="24" t="str">
        <f t="shared" si="18"/>
        <v>목</v>
      </c>
      <c r="D437" s="91" t="str">
        <f t="shared" si="19"/>
        <v>7교시</v>
      </c>
      <c r="E437" s="68">
        <f>COUNTIF($H$7:$H437,$H437)</f>
        <v>148</v>
      </c>
      <c r="F437" s="67">
        <f>'1.연간시수표'!$AL$33</f>
        <v>5</v>
      </c>
      <c r="G437" s="89">
        <f t="shared" si="20"/>
        <v>1</v>
      </c>
      <c r="H437" s="91" t="str">
        <f>INDEX('0.시간표데이터'!$E$10:$AR$32,QUOTIENT(ROW(A431)-1,40)+1,MOD(ROW(A431)-1,40)+1)</f>
        <v>_</v>
      </c>
      <c r="I437" s="76"/>
      <c r="J437" s="26"/>
      <c r="K437" s="165"/>
      <c r="L437" s="165"/>
      <c r="M437" s="166"/>
      <c r="N437" s="166"/>
      <c r="O437" s="166"/>
      <c r="P437" s="166"/>
      <c r="Q437" s="167"/>
      <c r="R437" s="111"/>
    </row>
    <row r="438" spans="1:18" ht="13.5" hidden="1" customHeight="1">
      <c r="A438" s="30">
        <v>432</v>
      </c>
      <c r="B438" s="24">
        <f>DATE('1.연간시수표'!$U$2,'1.연간시수표'!$X$2,'1.연간시수표'!$Z$2)+QUOTIENT(ROW(A432)-1,8)+(QUOTIENT(ROW(A432)-1,40)*2)</f>
        <v>44693</v>
      </c>
      <c r="C438" s="24" t="str">
        <f t="shared" si="18"/>
        <v>목</v>
      </c>
      <c r="D438" s="91" t="str">
        <f t="shared" si="19"/>
        <v>8교시</v>
      </c>
      <c r="E438" s="68">
        <f>COUNTIF($H$7:$H438,$H438)</f>
        <v>149</v>
      </c>
      <c r="F438" s="67">
        <f>'1.연간시수표'!$AL$33</f>
        <v>5</v>
      </c>
      <c r="G438" s="89">
        <f t="shared" si="20"/>
        <v>1</v>
      </c>
      <c r="H438" s="91" t="str">
        <f>INDEX('0.시간표데이터'!$E$10:$AR$32,QUOTIENT(ROW(A432)-1,40)+1,MOD(ROW(A432)-1,40)+1)</f>
        <v>_</v>
      </c>
      <c r="I438" s="76"/>
      <c r="J438" s="26"/>
      <c r="K438" s="165"/>
      <c r="L438" s="165"/>
      <c r="M438" s="166"/>
      <c r="N438" s="166"/>
      <c r="O438" s="166"/>
      <c r="P438" s="166"/>
      <c r="Q438" s="167"/>
      <c r="R438" s="111"/>
    </row>
    <row r="439" spans="1:18" ht="13.5" hidden="1" customHeight="1">
      <c r="A439" s="30">
        <v>433</v>
      </c>
      <c r="B439" s="24">
        <f>DATE('1.연간시수표'!$U$2,'1.연간시수표'!$X$2,'1.연간시수표'!$Z$2)+QUOTIENT(ROW(A433)-1,8)+(QUOTIENT(ROW(A433)-1,40)*2)</f>
        <v>44694</v>
      </c>
      <c r="C439" s="24" t="str">
        <f t="shared" si="18"/>
        <v>금</v>
      </c>
      <c r="D439" s="91" t="str">
        <f t="shared" si="19"/>
        <v>1교시</v>
      </c>
      <c r="E439" s="68">
        <f>COUNTIF($H$7:$H439,$H439)</f>
        <v>56</v>
      </c>
      <c r="F439" s="67">
        <f>'1.연간시수표'!$AL$33</f>
        <v>5</v>
      </c>
      <c r="G439" s="89">
        <f t="shared" si="20"/>
        <v>1</v>
      </c>
      <c r="H439" s="91" t="str">
        <f>INDEX('0.시간표데이터'!$E$10:$AR$32,QUOTIENT(ROW(A433)-1,40)+1,MOD(ROW(A433)-1,40)+1)</f>
        <v>국어</v>
      </c>
      <c r="I439" s="77"/>
      <c r="J439" s="26"/>
      <c r="K439" s="162"/>
      <c r="L439" s="162"/>
      <c r="M439" s="168"/>
      <c r="N439" s="98"/>
      <c r="O439" s="99"/>
      <c r="P439" s="99"/>
      <c r="Q439" s="167"/>
      <c r="R439" s="111"/>
    </row>
    <row r="440" spans="1:18" ht="13.5" hidden="1" customHeight="1">
      <c r="A440" s="30">
        <v>434</v>
      </c>
      <c r="B440" s="24">
        <f>DATE('1.연간시수표'!$U$2,'1.연간시수표'!$X$2,'1.연간시수표'!$Z$2)+QUOTIENT(ROW(A434)-1,8)+(QUOTIENT(ROW(A434)-1,40)*2)</f>
        <v>44694</v>
      </c>
      <c r="C440" s="24" t="str">
        <f t="shared" si="18"/>
        <v>금</v>
      </c>
      <c r="D440" s="91" t="str">
        <f t="shared" si="19"/>
        <v>2교시</v>
      </c>
      <c r="E440" s="68">
        <f>COUNTIF($H$7:$H440,$H440)</f>
        <v>18</v>
      </c>
      <c r="F440" s="67">
        <f>'1.연간시수표'!$AL$33</f>
        <v>5</v>
      </c>
      <c r="G440" s="89">
        <f t="shared" si="20"/>
        <v>1</v>
      </c>
      <c r="H440" s="91" t="str">
        <f>INDEX('0.시간표데이터'!$E$10:$AR$32,QUOTIENT(ROW(A434)-1,40)+1,MOD(ROW(A434)-1,40)+1)</f>
        <v>체육</v>
      </c>
      <c r="I440" s="77"/>
      <c r="J440" s="26"/>
      <c r="K440" s="162"/>
      <c r="L440" s="162"/>
      <c r="M440" s="168"/>
      <c r="N440" s="98"/>
      <c r="O440" s="99"/>
      <c r="P440" s="99"/>
      <c r="Q440" s="167"/>
      <c r="R440" s="111"/>
    </row>
    <row r="441" spans="1:18" ht="13.5" hidden="1" customHeight="1">
      <c r="A441" s="30">
        <v>435</v>
      </c>
      <c r="B441" s="24">
        <f>DATE('1.연간시수표'!$U$2,'1.연간시수표'!$X$2,'1.연간시수표'!$Z$2)+QUOTIENT(ROW(A435)-1,8)+(QUOTIENT(ROW(A435)-1,40)*2)</f>
        <v>44694</v>
      </c>
      <c r="C441" s="24" t="str">
        <f t="shared" si="18"/>
        <v>금</v>
      </c>
      <c r="D441" s="91" t="str">
        <f t="shared" si="19"/>
        <v>3교시</v>
      </c>
      <c r="E441" s="68">
        <f>COUNTIF($H$7:$H441,$H441)</f>
        <v>38</v>
      </c>
      <c r="F441" s="67">
        <f>'1.연간시수표'!$AL$33</f>
        <v>5</v>
      </c>
      <c r="G441" s="89">
        <f t="shared" si="20"/>
        <v>1</v>
      </c>
      <c r="H441" s="91" t="str">
        <f>INDEX('0.시간표데이터'!$E$10:$AR$32,QUOTIENT(ROW(A435)-1,40)+1,MOD(ROW(A435)-1,40)+1)</f>
        <v>수학</v>
      </c>
      <c r="I441" s="77"/>
      <c r="J441" s="26"/>
      <c r="K441" s="165"/>
      <c r="L441" s="165"/>
      <c r="M441" s="166"/>
      <c r="N441" s="166"/>
      <c r="O441" s="166"/>
      <c r="P441" s="166"/>
      <c r="Q441" s="167"/>
      <c r="R441" s="111"/>
    </row>
    <row r="442" spans="1:18" ht="13.5" hidden="1" customHeight="1">
      <c r="A442" s="30">
        <v>436</v>
      </c>
      <c r="B442" s="24">
        <f>DATE('1.연간시수표'!$U$2,'1.연간시수표'!$X$2,'1.연간시수표'!$Z$2)+QUOTIENT(ROW(A436)-1,8)+(QUOTIENT(ROW(A436)-1,40)*2)</f>
        <v>44694</v>
      </c>
      <c r="C442" s="24" t="str">
        <f t="shared" si="18"/>
        <v>금</v>
      </c>
      <c r="D442" s="91" t="str">
        <f t="shared" si="19"/>
        <v>4교시</v>
      </c>
      <c r="E442" s="68">
        <f>COUNTIF($H$7:$H442,$H442)</f>
        <v>57</v>
      </c>
      <c r="F442" s="67">
        <f>'1.연간시수표'!$AL$33</f>
        <v>5</v>
      </c>
      <c r="G442" s="89">
        <f t="shared" si="20"/>
        <v>1</v>
      </c>
      <c r="H442" s="91" t="str">
        <f>INDEX('0.시간표데이터'!$E$10:$AR$32,QUOTIENT(ROW(A436)-1,40)+1,MOD(ROW(A436)-1,40)+1)</f>
        <v>국어</v>
      </c>
      <c r="I442" s="77"/>
      <c r="J442" s="26"/>
      <c r="K442" s="162"/>
      <c r="L442" s="162"/>
      <c r="M442" s="169"/>
      <c r="N442" s="101"/>
      <c r="O442" s="99"/>
      <c r="P442" s="99"/>
      <c r="Q442" s="167"/>
      <c r="R442" s="111"/>
    </row>
    <row r="443" spans="1:18" ht="13.5" hidden="1" customHeight="1">
      <c r="A443" s="30">
        <v>437</v>
      </c>
      <c r="B443" s="24">
        <f>DATE('1.연간시수표'!$U$2,'1.연간시수표'!$X$2,'1.연간시수표'!$Z$2)+QUOTIENT(ROW(A437)-1,8)+(QUOTIENT(ROW(A437)-1,40)*2)</f>
        <v>44694</v>
      </c>
      <c r="C443" s="24" t="str">
        <f t="shared" si="18"/>
        <v>금</v>
      </c>
      <c r="D443" s="91" t="str">
        <f t="shared" si="19"/>
        <v>5교시</v>
      </c>
      <c r="E443" s="68">
        <f>COUNTIF($H$7:$H443,$H443)</f>
        <v>28</v>
      </c>
      <c r="F443" s="67">
        <f>'1.연간시수표'!$AL$33</f>
        <v>5</v>
      </c>
      <c r="G443" s="89">
        <f t="shared" si="20"/>
        <v>1</v>
      </c>
      <c r="H443" s="91" t="str">
        <f>INDEX('0.시간표데이터'!$E$10:$AR$32,QUOTIENT(ROW(A437)-1,40)+1,MOD(ROW(A437)-1,40)+1)</f>
        <v>사회</v>
      </c>
      <c r="I443" s="77"/>
      <c r="J443" s="26"/>
      <c r="K443" s="162"/>
      <c r="L443" s="162"/>
      <c r="M443" s="168"/>
      <c r="N443" s="102"/>
      <c r="O443" s="168"/>
      <c r="P443" s="168"/>
      <c r="Q443" s="167"/>
      <c r="R443" s="111"/>
    </row>
    <row r="444" spans="1:18" ht="13.5" hidden="1" customHeight="1">
      <c r="A444" s="30">
        <v>438</v>
      </c>
      <c r="B444" s="24">
        <f>DATE('1.연간시수표'!$U$2,'1.연간시수표'!$X$2,'1.연간시수표'!$Z$2)+QUOTIENT(ROW(A438)-1,8)+(QUOTIENT(ROW(A438)-1,40)*2)</f>
        <v>44694</v>
      </c>
      <c r="C444" s="24" t="str">
        <f t="shared" si="18"/>
        <v>금</v>
      </c>
      <c r="D444" s="91" t="str">
        <f t="shared" si="19"/>
        <v>6교시</v>
      </c>
      <c r="E444" s="68">
        <f>COUNTIF($H$7:$H444,$H444)</f>
        <v>19</v>
      </c>
      <c r="F444" s="67">
        <f>'1.연간시수표'!$AL$33</f>
        <v>5</v>
      </c>
      <c r="G444" s="89">
        <f t="shared" si="20"/>
        <v>1</v>
      </c>
      <c r="H444" s="91" t="str">
        <f>INDEX('0.시간표데이터'!$E$10:$AR$32,QUOTIENT(ROW(A438)-1,40)+1,MOD(ROW(A438)-1,40)+1)</f>
        <v>실과</v>
      </c>
      <c r="I444" s="77"/>
      <c r="J444" s="26"/>
      <c r="K444" s="165"/>
      <c r="L444" s="165"/>
      <c r="M444" s="166"/>
      <c r="N444" s="166"/>
      <c r="O444" s="166"/>
      <c r="P444" s="166"/>
      <c r="Q444" s="167"/>
      <c r="R444" s="111"/>
    </row>
    <row r="445" spans="1:18" ht="13.5" hidden="1" customHeight="1">
      <c r="A445" s="30">
        <v>439</v>
      </c>
      <c r="B445" s="24">
        <f>DATE('1.연간시수표'!$U$2,'1.연간시수표'!$X$2,'1.연간시수표'!$Z$2)+QUOTIENT(ROW(A439)-1,8)+(QUOTIENT(ROW(A439)-1,40)*2)</f>
        <v>44694</v>
      </c>
      <c r="C445" s="24" t="str">
        <f t="shared" si="18"/>
        <v>금</v>
      </c>
      <c r="D445" s="91" t="str">
        <f t="shared" si="19"/>
        <v>7교시</v>
      </c>
      <c r="E445" s="68">
        <f>COUNTIF($H$7:$H445,$H445)</f>
        <v>150</v>
      </c>
      <c r="F445" s="67">
        <f>'1.연간시수표'!$AL$33</f>
        <v>5</v>
      </c>
      <c r="G445" s="89">
        <f t="shared" si="20"/>
        <v>1</v>
      </c>
      <c r="H445" s="91" t="str">
        <f>INDEX('0.시간표데이터'!$E$10:$AR$32,QUOTIENT(ROW(A439)-1,40)+1,MOD(ROW(A439)-1,40)+1)</f>
        <v>_</v>
      </c>
      <c r="I445" s="76"/>
      <c r="J445" s="26"/>
      <c r="K445" s="165"/>
      <c r="L445" s="165"/>
      <c r="M445" s="166"/>
      <c r="N445" s="166"/>
      <c r="O445" s="166"/>
      <c r="P445" s="166"/>
      <c r="Q445" s="167"/>
      <c r="R445" s="111"/>
    </row>
    <row r="446" spans="1:18" ht="13.5" hidden="1" customHeight="1">
      <c r="A446" s="30">
        <v>440</v>
      </c>
      <c r="B446" s="24">
        <f>DATE('1.연간시수표'!$U$2,'1.연간시수표'!$X$2,'1.연간시수표'!$Z$2)+QUOTIENT(ROW(A440)-1,8)+(QUOTIENT(ROW(A440)-1,40)*2)</f>
        <v>44694</v>
      </c>
      <c r="C446" s="24" t="str">
        <f t="shared" si="18"/>
        <v>금</v>
      </c>
      <c r="D446" s="91" t="str">
        <f t="shared" si="19"/>
        <v>8교시</v>
      </c>
      <c r="E446" s="68">
        <f>COUNTIF($H$7:$H446,$H446)</f>
        <v>151</v>
      </c>
      <c r="F446" s="67">
        <f>'1.연간시수표'!$AL$33</f>
        <v>5</v>
      </c>
      <c r="G446" s="89">
        <f t="shared" si="20"/>
        <v>1</v>
      </c>
      <c r="H446" s="91" t="str">
        <f>INDEX('0.시간표데이터'!$E$10:$AR$32,QUOTIENT(ROW(A440)-1,40)+1,MOD(ROW(A440)-1,40)+1)</f>
        <v>_</v>
      </c>
      <c r="I446" s="76"/>
      <c r="J446" s="26"/>
      <c r="K446" s="165"/>
      <c r="L446" s="165"/>
      <c r="M446" s="166"/>
      <c r="N446" s="166"/>
      <c r="O446" s="166"/>
      <c r="P446" s="166"/>
      <c r="Q446" s="167"/>
      <c r="R446" s="111"/>
    </row>
    <row r="447" spans="1:18" ht="13.5" hidden="1" customHeight="1">
      <c r="A447" s="30">
        <v>441</v>
      </c>
      <c r="B447" s="24">
        <f>DATE('1.연간시수표'!$U$2,'1.연간시수표'!$X$2,'1.연간시수표'!$Z$2)+QUOTIENT(ROW(A441)-1,8)+(QUOTIENT(ROW(A441)-1,40)*2)</f>
        <v>44697</v>
      </c>
      <c r="C447" s="24" t="str">
        <f t="shared" si="18"/>
        <v>월</v>
      </c>
      <c r="D447" s="91" t="str">
        <f t="shared" si="19"/>
        <v>1교시</v>
      </c>
      <c r="E447" s="68">
        <f>COUNTIF($H$7:$H447,$H447)</f>
        <v>58</v>
      </c>
      <c r="F447" s="67">
        <f>'1.연간시수표'!$AL$33</f>
        <v>5</v>
      </c>
      <c r="G447" s="89">
        <f t="shared" si="20"/>
        <v>1</v>
      </c>
      <c r="H447" s="91" t="str">
        <f>INDEX('0.시간표데이터'!$E$10:$AR$32,QUOTIENT(ROW(A441)-1,40)+1,MOD(ROW(A441)-1,40)+1)</f>
        <v>국어</v>
      </c>
      <c r="I447" s="77"/>
      <c r="J447" s="26"/>
      <c r="K447" s="162"/>
      <c r="L447" s="162"/>
      <c r="M447" s="168"/>
      <c r="N447" s="99"/>
      <c r="O447" s="99"/>
      <c r="P447" s="99"/>
      <c r="Q447" s="167"/>
      <c r="R447" s="111"/>
    </row>
    <row r="448" spans="1:18" ht="13.5" hidden="1" customHeight="1">
      <c r="A448" s="30">
        <v>442</v>
      </c>
      <c r="B448" s="24">
        <f>DATE('1.연간시수표'!$U$2,'1.연간시수표'!$X$2,'1.연간시수표'!$Z$2)+QUOTIENT(ROW(A442)-1,8)+(QUOTIENT(ROW(A442)-1,40)*2)</f>
        <v>44697</v>
      </c>
      <c r="C448" s="24" t="str">
        <f t="shared" si="18"/>
        <v>월</v>
      </c>
      <c r="D448" s="91" t="str">
        <f t="shared" si="19"/>
        <v>2교시</v>
      </c>
      <c r="E448" s="68">
        <f>COUNTIF($H$7:$H448,$H448)</f>
        <v>21</v>
      </c>
      <c r="F448" s="67">
        <f>'1.연간시수표'!$AL$33</f>
        <v>5</v>
      </c>
      <c r="G448" s="89">
        <f t="shared" si="20"/>
        <v>1</v>
      </c>
      <c r="H448" s="91" t="str">
        <f>INDEX('0.시간표데이터'!$E$10:$AR$32,QUOTIENT(ROW(A442)-1,40)+1,MOD(ROW(A442)-1,40)+1)</f>
        <v>미술</v>
      </c>
      <c r="I448" s="161"/>
      <c r="J448" s="26"/>
      <c r="K448" s="165"/>
      <c r="L448" s="165"/>
      <c r="M448" s="166"/>
      <c r="N448" s="166"/>
      <c r="O448" s="166"/>
      <c r="P448" s="166"/>
      <c r="Q448" s="167"/>
      <c r="R448" s="111"/>
    </row>
    <row r="449" spans="1:18" ht="13.5" customHeight="1">
      <c r="A449" s="30">
        <v>443</v>
      </c>
      <c r="B449" s="24">
        <f>DATE('1.연간시수표'!$U$2,'1.연간시수표'!$X$2,'1.연간시수표'!$Z$2)+QUOTIENT(ROW(A443)-1,8)+(QUOTIENT(ROW(A443)-1,40)*2)</f>
        <v>44697</v>
      </c>
      <c r="C449" s="24" t="str">
        <f t="shared" si="18"/>
        <v>월</v>
      </c>
      <c r="D449" s="91" t="str">
        <f t="shared" si="19"/>
        <v>3교시</v>
      </c>
      <c r="E449" s="68">
        <f>COUNTIF($H$7:$H449,$H449)</f>
        <v>22</v>
      </c>
      <c r="F449" s="67">
        <f>'1.연간시수표'!$AL$33</f>
        <v>5</v>
      </c>
      <c r="G449" s="89">
        <f t="shared" si="20"/>
        <v>1</v>
      </c>
      <c r="H449" s="91" t="str">
        <f>INDEX('0.시간표데이터'!$E$10:$AR$32,QUOTIENT(ROW(A443)-1,40)+1,MOD(ROW(A443)-1,40)+1)</f>
        <v>미술</v>
      </c>
      <c r="I449" s="77"/>
      <c r="J449" s="26"/>
      <c r="K449" s="173"/>
      <c r="L449" s="173"/>
      <c r="M449" s="10"/>
      <c r="N449" s="10"/>
      <c r="O449" s="10"/>
      <c r="P449" s="10"/>
      <c r="Q449" s="164"/>
      <c r="R449" s="109"/>
    </row>
    <row r="450" spans="1:18" ht="13.5" customHeight="1">
      <c r="A450" s="30">
        <v>444</v>
      </c>
      <c r="B450" s="24">
        <f>DATE('1.연간시수표'!$U$2,'1.연간시수표'!$X$2,'1.연간시수표'!$Z$2)+QUOTIENT(ROW(A444)-1,8)+(QUOTIENT(ROW(A444)-1,40)*2)</f>
        <v>44697</v>
      </c>
      <c r="C450" s="24" t="str">
        <f t="shared" si="18"/>
        <v>월</v>
      </c>
      <c r="D450" s="91" t="str">
        <f t="shared" si="19"/>
        <v>4교시</v>
      </c>
      <c r="E450" s="68">
        <f>COUNTIF($H$7:$H450,$H450)</f>
        <v>29</v>
      </c>
      <c r="F450" s="67">
        <f>'1.연간시수표'!$AL$33</f>
        <v>5</v>
      </c>
      <c r="G450" s="89">
        <f t="shared" si="20"/>
        <v>1</v>
      </c>
      <c r="H450" s="91" t="str">
        <f>INDEX('0.시간표데이터'!$E$10:$AR$32,QUOTIENT(ROW(A444)-1,40)+1,MOD(ROW(A444)-1,40)+1)</f>
        <v>영어</v>
      </c>
      <c r="I450" s="77"/>
      <c r="J450" s="26"/>
      <c r="K450" s="173"/>
      <c r="L450" s="173"/>
      <c r="M450" s="10"/>
      <c r="N450" s="10"/>
      <c r="O450" s="10"/>
      <c r="P450" s="10"/>
      <c r="Q450" s="164"/>
      <c r="R450" s="109"/>
    </row>
    <row r="451" spans="1:18" ht="13.5" hidden="1" customHeight="1">
      <c r="A451" s="30">
        <v>445</v>
      </c>
      <c r="B451" s="24">
        <f>DATE('1.연간시수표'!$U$2,'1.연간시수표'!$X$2,'1.연간시수표'!$Z$2)+QUOTIENT(ROW(A445)-1,8)+(QUOTIENT(ROW(A445)-1,40)*2)</f>
        <v>44697</v>
      </c>
      <c r="C451" s="24" t="str">
        <f t="shared" si="18"/>
        <v>월</v>
      </c>
      <c r="D451" s="91" t="str">
        <f t="shared" si="19"/>
        <v>5교시</v>
      </c>
      <c r="E451" s="68">
        <f>COUNTIF($H$7:$H451,$H451)</f>
        <v>39</v>
      </c>
      <c r="F451" s="67">
        <f>'1.연간시수표'!$AL$33</f>
        <v>5</v>
      </c>
      <c r="G451" s="89">
        <f t="shared" si="20"/>
        <v>1</v>
      </c>
      <c r="H451" s="91" t="str">
        <f>INDEX('0.시간표데이터'!$E$10:$AR$32,QUOTIENT(ROW(A445)-1,40)+1,MOD(ROW(A445)-1,40)+1)</f>
        <v>수학</v>
      </c>
      <c r="I451" s="77"/>
      <c r="J451" s="26"/>
      <c r="K451" s="162"/>
      <c r="L451" s="162"/>
      <c r="M451" s="168"/>
      <c r="N451" s="98"/>
      <c r="O451" s="99"/>
      <c r="P451" s="99"/>
      <c r="Q451" s="167"/>
      <c r="R451" s="111"/>
    </row>
    <row r="452" spans="1:18" ht="13.5" hidden="1" customHeight="1">
      <c r="A452" s="30">
        <v>446</v>
      </c>
      <c r="B452" s="24">
        <f>DATE('1.연간시수표'!$U$2,'1.연간시수표'!$X$2,'1.연간시수표'!$Z$2)+QUOTIENT(ROW(A446)-1,8)+(QUOTIENT(ROW(A446)-1,40)*2)</f>
        <v>44697</v>
      </c>
      <c r="C452" s="24" t="str">
        <f t="shared" si="18"/>
        <v>월</v>
      </c>
      <c r="D452" s="91" t="str">
        <f t="shared" si="19"/>
        <v>6교시</v>
      </c>
      <c r="E452" s="68">
        <f>COUNTIF($H$7:$H452,$H452)</f>
        <v>59</v>
      </c>
      <c r="F452" s="67">
        <f>'1.연간시수표'!$AL$33</f>
        <v>5</v>
      </c>
      <c r="G452" s="89">
        <f t="shared" si="20"/>
        <v>1</v>
      </c>
      <c r="H452" s="91" t="str">
        <f>INDEX('0.시간표데이터'!$E$10:$AR$32,QUOTIENT(ROW(A446)-1,40)+1,MOD(ROW(A446)-1,40)+1)</f>
        <v>국어</v>
      </c>
      <c r="I452" s="77"/>
      <c r="J452" s="26"/>
      <c r="K452" s="165"/>
      <c r="L452" s="165"/>
      <c r="M452" s="166"/>
      <c r="N452" s="166"/>
      <c r="O452" s="166"/>
      <c r="P452" s="166"/>
      <c r="Q452" s="167"/>
      <c r="R452" s="111"/>
    </row>
    <row r="453" spans="1:18" ht="13.5" hidden="1" customHeight="1">
      <c r="A453" s="30">
        <v>447</v>
      </c>
      <c r="B453" s="24">
        <f>DATE('1.연간시수표'!$U$2,'1.연간시수표'!$X$2,'1.연간시수표'!$Z$2)+QUOTIENT(ROW(A447)-1,8)+(QUOTIENT(ROW(A447)-1,40)*2)</f>
        <v>44697</v>
      </c>
      <c r="C453" s="24" t="str">
        <f t="shared" si="18"/>
        <v>월</v>
      </c>
      <c r="D453" s="91" t="str">
        <f t="shared" si="19"/>
        <v>7교시</v>
      </c>
      <c r="E453" s="68">
        <f>COUNTIF($H$7:$H453,$H453)</f>
        <v>152</v>
      </c>
      <c r="F453" s="67">
        <f>'1.연간시수표'!$AL$33</f>
        <v>5</v>
      </c>
      <c r="G453" s="89">
        <f t="shared" si="20"/>
        <v>1</v>
      </c>
      <c r="H453" s="91" t="str">
        <f>INDEX('0.시간표데이터'!$E$10:$AR$32,QUOTIENT(ROW(A447)-1,40)+1,MOD(ROW(A447)-1,40)+1)</f>
        <v>_</v>
      </c>
      <c r="I453" s="76"/>
      <c r="J453" s="26"/>
      <c r="K453" s="165"/>
      <c r="L453" s="165"/>
      <c r="M453" s="166"/>
      <c r="N453" s="166"/>
      <c r="O453" s="166"/>
      <c r="P453" s="166"/>
      <c r="Q453" s="167"/>
      <c r="R453" s="111"/>
    </row>
    <row r="454" spans="1:18" ht="13.5" hidden="1" customHeight="1">
      <c r="A454" s="30">
        <v>448</v>
      </c>
      <c r="B454" s="24">
        <f>DATE('1.연간시수표'!$U$2,'1.연간시수표'!$X$2,'1.연간시수표'!$Z$2)+QUOTIENT(ROW(A448)-1,8)+(QUOTIENT(ROW(A448)-1,40)*2)</f>
        <v>44697</v>
      </c>
      <c r="C454" s="24" t="str">
        <f t="shared" si="18"/>
        <v>월</v>
      </c>
      <c r="D454" s="91" t="str">
        <f t="shared" si="19"/>
        <v>8교시</v>
      </c>
      <c r="E454" s="68">
        <f>COUNTIF($H$7:$H454,$H454)</f>
        <v>153</v>
      </c>
      <c r="F454" s="67">
        <f>'1.연간시수표'!$AL$33</f>
        <v>5</v>
      </c>
      <c r="G454" s="89">
        <f t="shared" si="20"/>
        <v>1</v>
      </c>
      <c r="H454" s="91" t="str">
        <f>INDEX('0.시간표데이터'!$E$10:$AR$32,QUOTIENT(ROW(A448)-1,40)+1,MOD(ROW(A448)-1,40)+1)</f>
        <v>_</v>
      </c>
      <c r="I454" s="76"/>
      <c r="J454" s="26"/>
      <c r="K454" s="165"/>
      <c r="L454" s="165"/>
      <c r="M454" s="166"/>
      <c r="N454" s="166"/>
      <c r="O454" s="166"/>
      <c r="P454" s="166"/>
      <c r="Q454" s="167"/>
      <c r="R454" s="111"/>
    </row>
    <row r="455" spans="1:18" ht="13.5" hidden="1" customHeight="1">
      <c r="A455" s="30">
        <v>449</v>
      </c>
      <c r="B455" s="24">
        <f>DATE('1.연간시수표'!$U$2,'1.연간시수표'!$X$2,'1.연간시수표'!$Z$2)+QUOTIENT(ROW(A449)-1,8)+(QUOTIENT(ROW(A449)-1,40)*2)</f>
        <v>44698</v>
      </c>
      <c r="C455" s="24" t="str">
        <f t="shared" ref="C455:C518" si="21">IF(WEEKDAY(B455,2)=1,"월",IF(WEEKDAY(B455,2)=2,"화",IF(WEEKDAY(B455,2)=3,"수",IF(WEEKDAY(B455,2)=4,"목",IF(WEEKDAY(B455,2)=5,"금")))))</f>
        <v>화</v>
      </c>
      <c r="D455" s="91" t="str">
        <f t="shared" ref="D455:D518" si="22">TEXT(MOD(ROW(A449)-1,8)+1,"#교시")</f>
        <v>1교시</v>
      </c>
      <c r="E455" s="68">
        <f>COUNTIF($H$7:$H455,$H455)</f>
        <v>60</v>
      </c>
      <c r="F455" s="67">
        <f>'1.연간시수표'!$AL$33</f>
        <v>5</v>
      </c>
      <c r="G455" s="89">
        <f t="shared" ref="G455:G518" si="23">$A$2</f>
        <v>1</v>
      </c>
      <c r="H455" s="91" t="str">
        <f>INDEX('0.시간표데이터'!$E$10:$AR$32,QUOTIENT(ROW(A449)-1,40)+1,MOD(ROW(A449)-1,40)+1)</f>
        <v>국어</v>
      </c>
      <c r="I455" s="77"/>
      <c r="J455" s="26"/>
      <c r="K455" s="162"/>
      <c r="L455" s="162"/>
      <c r="M455" s="168"/>
      <c r="N455" s="99"/>
      <c r="O455" s="99"/>
      <c r="P455" s="99"/>
      <c r="Q455" s="167"/>
      <c r="R455" s="111"/>
    </row>
    <row r="456" spans="1:18" ht="13.5" hidden="1" customHeight="1">
      <c r="A456" s="30">
        <v>450</v>
      </c>
      <c r="B456" s="24">
        <f>DATE('1.연간시수표'!$U$2,'1.연간시수표'!$X$2,'1.연간시수표'!$Z$2)+QUOTIENT(ROW(A450)-1,8)+(QUOTIENT(ROW(A450)-1,40)*2)</f>
        <v>44698</v>
      </c>
      <c r="C456" s="24" t="str">
        <f t="shared" si="21"/>
        <v>화</v>
      </c>
      <c r="D456" s="91" t="str">
        <f t="shared" si="22"/>
        <v>2교시</v>
      </c>
      <c r="E456" s="68">
        <f>COUNTIF($H$7:$H456,$H456)</f>
        <v>61</v>
      </c>
      <c r="F456" s="67">
        <f>'1.연간시수표'!$AL$33</f>
        <v>5</v>
      </c>
      <c r="G456" s="89">
        <f t="shared" si="23"/>
        <v>1</v>
      </c>
      <c r="H456" s="91" t="str">
        <f>INDEX('0.시간표데이터'!$E$10:$AR$32,QUOTIENT(ROW(A450)-1,40)+1,MOD(ROW(A450)-1,40)+1)</f>
        <v>국어</v>
      </c>
      <c r="I456" s="161"/>
      <c r="J456" s="26"/>
      <c r="K456" s="165"/>
      <c r="L456" s="165"/>
      <c r="M456" s="166"/>
      <c r="N456" s="166"/>
      <c r="O456" s="166"/>
      <c r="P456" s="166"/>
      <c r="Q456" s="167"/>
      <c r="R456" s="111"/>
    </row>
    <row r="457" spans="1:18" hidden="1">
      <c r="A457" s="30">
        <v>451</v>
      </c>
      <c r="B457" s="24">
        <f>DATE('1.연간시수표'!$U$2,'1.연간시수표'!$X$2,'1.연간시수표'!$Z$2)+QUOTIENT(ROW(A451)-1,8)+(QUOTIENT(ROW(A451)-1,40)*2)</f>
        <v>44698</v>
      </c>
      <c r="C457" s="24" t="str">
        <f t="shared" si="21"/>
        <v>화</v>
      </c>
      <c r="D457" s="91" t="str">
        <f t="shared" si="22"/>
        <v>3교시</v>
      </c>
      <c r="E457" s="68">
        <f>COUNTIF($H$7:$H457,$H457)</f>
        <v>29</v>
      </c>
      <c r="F457" s="67">
        <f>'1.연간시수표'!$AL$33</f>
        <v>5</v>
      </c>
      <c r="G457" s="89">
        <f t="shared" si="23"/>
        <v>1</v>
      </c>
      <c r="H457" s="91" t="str">
        <f>INDEX('0.시간표데이터'!$E$10:$AR$32,QUOTIENT(ROW(A451)-1,40)+1,MOD(ROW(A451)-1,40)+1)</f>
        <v>사회</v>
      </c>
      <c r="I457" s="77"/>
      <c r="J457" s="26"/>
      <c r="K457" s="162"/>
      <c r="L457" s="162"/>
      <c r="M457" s="168"/>
      <c r="N457" s="99"/>
      <c r="O457" s="98"/>
      <c r="P457" s="98"/>
      <c r="Q457" s="167"/>
      <c r="R457" s="111"/>
    </row>
    <row r="458" spans="1:18" hidden="1">
      <c r="A458" s="30">
        <v>452</v>
      </c>
      <c r="B458" s="24">
        <f>DATE('1.연간시수표'!$U$2,'1.연간시수표'!$X$2,'1.연간시수표'!$Z$2)+QUOTIENT(ROW(A452)-1,8)+(QUOTIENT(ROW(A452)-1,40)*2)</f>
        <v>44698</v>
      </c>
      <c r="C458" s="24" t="str">
        <f t="shared" si="21"/>
        <v>화</v>
      </c>
      <c r="D458" s="91" t="str">
        <f t="shared" si="22"/>
        <v>4교시</v>
      </c>
      <c r="E458" s="68">
        <f>COUNTIF($H$7:$H458,$H458)</f>
        <v>40</v>
      </c>
      <c r="F458" s="67">
        <f>'1.연간시수표'!$AL$33</f>
        <v>5</v>
      </c>
      <c r="G458" s="89">
        <f t="shared" si="23"/>
        <v>1</v>
      </c>
      <c r="H458" s="91" t="str">
        <f>INDEX('0.시간표데이터'!$E$10:$AR$32,QUOTIENT(ROW(A452)-1,40)+1,MOD(ROW(A452)-1,40)+1)</f>
        <v>수학</v>
      </c>
      <c r="I458" s="77"/>
      <c r="J458" s="26"/>
      <c r="K458" s="162"/>
      <c r="L458" s="162"/>
      <c r="M458" s="168"/>
      <c r="N458" s="98"/>
      <c r="O458" s="99"/>
      <c r="P458" s="99"/>
      <c r="Q458" s="167"/>
      <c r="R458" s="111"/>
    </row>
    <row r="459" spans="1:18" ht="13.5" hidden="1" customHeight="1">
      <c r="A459" s="30">
        <v>453</v>
      </c>
      <c r="B459" s="24">
        <f>DATE('1.연간시수표'!$U$2,'1.연간시수표'!$X$2,'1.연간시수표'!$Z$2)+QUOTIENT(ROW(A453)-1,8)+(QUOTIENT(ROW(A453)-1,40)*2)</f>
        <v>44698</v>
      </c>
      <c r="C459" s="24" t="str">
        <f t="shared" si="21"/>
        <v>화</v>
      </c>
      <c r="D459" s="91" t="str">
        <f t="shared" si="22"/>
        <v>5교시</v>
      </c>
      <c r="E459" s="68">
        <f>COUNTIF($H$7:$H459,$H459)</f>
        <v>28</v>
      </c>
      <c r="F459" s="67">
        <f>'1.연간시수표'!$AL$33</f>
        <v>5</v>
      </c>
      <c r="G459" s="89">
        <f t="shared" si="23"/>
        <v>1</v>
      </c>
      <c r="H459" s="91" t="str">
        <f>INDEX('0.시간표데이터'!$E$10:$AR$32,QUOTIENT(ROW(A453)-1,40)+1,MOD(ROW(A453)-1,40)+1)</f>
        <v>과학</v>
      </c>
      <c r="I459" s="77"/>
      <c r="J459" s="26"/>
      <c r="K459" s="137"/>
      <c r="L459" s="137"/>
      <c r="M459" s="114"/>
      <c r="N459" s="114"/>
      <c r="O459" s="114"/>
      <c r="P459" s="114"/>
      <c r="Q459" s="164"/>
      <c r="R459" s="110"/>
    </row>
    <row r="460" spans="1:18" ht="13.5" hidden="1" customHeight="1">
      <c r="A460" s="30">
        <v>454</v>
      </c>
      <c r="B460" s="24">
        <f>DATE('1.연간시수표'!$U$2,'1.연간시수표'!$X$2,'1.연간시수표'!$Z$2)+QUOTIENT(ROW(A454)-1,8)+(QUOTIENT(ROW(A454)-1,40)*2)</f>
        <v>44698</v>
      </c>
      <c r="C460" s="24" t="str">
        <f t="shared" si="21"/>
        <v>화</v>
      </c>
      <c r="D460" s="91" t="str">
        <f t="shared" si="22"/>
        <v>6교시</v>
      </c>
      <c r="E460" s="68">
        <f>COUNTIF($H$7:$H460,$H460)</f>
        <v>20</v>
      </c>
      <c r="F460" s="67">
        <f>'1.연간시수표'!$AL$33</f>
        <v>5</v>
      </c>
      <c r="G460" s="89">
        <f t="shared" si="23"/>
        <v>1</v>
      </c>
      <c r="H460" s="91" t="str">
        <f>INDEX('0.시간표데이터'!$E$10:$AR$32,QUOTIENT(ROW(A454)-1,40)+1,MOD(ROW(A454)-1,40)+1)</f>
        <v>실과</v>
      </c>
      <c r="I460" s="77"/>
      <c r="J460" s="26"/>
      <c r="K460" s="165"/>
      <c r="L460" s="165"/>
      <c r="M460" s="166"/>
      <c r="N460" s="166"/>
      <c r="O460" s="166"/>
      <c r="P460" s="166"/>
      <c r="Q460" s="167"/>
      <c r="R460" s="111"/>
    </row>
    <row r="461" spans="1:18" ht="13.5" hidden="1" customHeight="1">
      <c r="A461" s="30">
        <v>455</v>
      </c>
      <c r="B461" s="24">
        <f>DATE('1.연간시수표'!$U$2,'1.연간시수표'!$X$2,'1.연간시수표'!$Z$2)+QUOTIENT(ROW(A455)-1,8)+(QUOTIENT(ROW(A455)-1,40)*2)</f>
        <v>44698</v>
      </c>
      <c r="C461" s="24" t="str">
        <f t="shared" si="21"/>
        <v>화</v>
      </c>
      <c r="D461" s="91" t="str">
        <f t="shared" si="22"/>
        <v>7교시</v>
      </c>
      <c r="E461" s="68">
        <f>COUNTIF($H$7:$H461,$H461)</f>
        <v>154</v>
      </c>
      <c r="F461" s="67">
        <f>'1.연간시수표'!$AL$33</f>
        <v>5</v>
      </c>
      <c r="G461" s="89">
        <f t="shared" si="23"/>
        <v>1</v>
      </c>
      <c r="H461" s="91" t="str">
        <f>INDEX('0.시간표데이터'!$E$10:$AR$32,QUOTIENT(ROW(A455)-1,40)+1,MOD(ROW(A455)-1,40)+1)</f>
        <v>_</v>
      </c>
      <c r="I461" s="76"/>
      <c r="J461" s="26"/>
      <c r="K461" s="165"/>
      <c r="L461" s="165"/>
      <c r="M461" s="166"/>
      <c r="N461" s="166"/>
      <c r="O461" s="166"/>
      <c r="P461" s="166"/>
      <c r="Q461" s="167"/>
      <c r="R461" s="111"/>
    </row>
    <row r="462" spans="1:18" ht="13.5" hidden="1" customHeight="1">
      <c r="A462" s="30">
        <v>456</v>
      </c>
      <c r="B462" s="24">
        <f>DATE('1.연간시수표'!$U$2,'1.연간시수표'!$X$2,'1.연간시수표'!$Z$2)+QUOTIENT(ROW(A456)-1,8)+(QUOTIENT(ROW(A456)-1,40)*2)</f>
        <v>44698</v>
      </c>
      <c r="C462" s="24" t="str">
        <f t="shared" si="21"/>
        <v>화</v>
      </c>
      <c r="D462" s="91" t="str">
        <f t="shared" si="22"/>
        <v>8교시</v>
      </c>
      <c r="E462" s="68">
        <f>COUNTIF($H$7:$H462,$H462)</f>
        <v>155</v>
      </c>
      <c r="F462" s="67">
        <f>'1.연간시수표'!$AL$33</f>
        <v>5</v>
      </c>
      <c r="G462" s="89">
        <f t="shared" si="23"/>
        <v>1</v>
      </c>
      <c r="H462" s="91" t="str">
        <f>INDEX('0.시간표데이터'!$E$10:$AR$32,QUOTIENT(ROW(A456)-1,40)+1,MOD(ROW(A456)-1,40)+1)</f>
        <v>_</v>
      </c>
      <c r="I462" s="76"/>
      <c r="J462" s="26"/>
      <c r="K462" s="165"/>
      <c r="L462" s="165"/>
      <c r="M462" s="166"/>
      <c r="N462" s="166"/>
      <c r="O462" s="166"/>
      <c r="P462" s="166"/>
      <c r="Q462" s="167"/>
      <c r="R462" s="111"/>
    </row>
    <row r="463" spans="1:18" ht="13.5" hidden="1" customHeight="1">
      <c r="A463" s="30">
        <v>457</v>
      </c>
      <c r="B463" s="24">
        <f>DATE('1.연간시수표'!$U$2,'1.연간시수표'!$X$2,'1.연간시수표'!$Z$2)+QUOTIENT(ROW(A457)-1,8)+(QUOTIENT(ROW(A457)-1,40)*2)</f>
        <v>44699</v>
      </c>
      <c r="C463" s="24" t="str">
        <f t="shared" si="21"/>
        <v>수</v>
      </c>
      <c r="D463" s="91" t="str">
        <f t="shared" si="22"/>
        <v>1교시</v>
      </c>
      <c r="E463" s="68">
        <f>COUNTIF($H$7:$H463,$H463)</f>
        <v>30</v>
      </c>
      <c r="F463" s="67">
        <f>'1.연간시수표'!$AL$33</f>
        <v>5</v>
      </c>
      <c r="G463" s="89">
        <f t="shared" si="23"/>
        <v>1</v>
      </c>
      <c r="H463" s="91" t="str">
        <f>INDEX('0.시간표데이터'!$E$10:$AR$32,QUOTIENT(ROW(A457)-1,40)+1,MOD(ROW(A457)-1,40)+1)</f>
        <v>영어</v>
      </c>
      <c r="I463" s="77"/>
      <c r="J463" s="26"/>
      <c r="K463" s="162"/>
      <c r="L463" s="162"/>
      <c r="M463" s="168"/>
      <c r="N463" s="98"/>
      <c r="O463" s="99"/>
      <c r="P463" s="99"/>
      <c r="Q463" s="167"/>
      <c r="R463" s="111"/>
    </row>
    <row r="464" spans="1:18" ht="13.5" hidden="1" customHeight="1">
      <c r="A464" s="30">
        <v>458</v>
      </c>
      <c r="B464" s="24">
        <f>DATE('1.연간시수표'!$U$2,'1.연간시수표'!$X$2,'1.연간시수표'!$Z$2)+QUOTIENT(ROW(A458)-1,8)+(QUOTIENT(ROW(A458)-1,40)*2)</f>
        <v>44699</v>
      </c>
      <c r="C464" s="24" t="str">
        <f t="shared" si="21"/>
        <v>수</v>
      </c>
      <c r="D464" s="91" t="str">
        <f t="shared" si="22"/>
        <v>2교시</v>
      </c>
      <c r="E464" s="68">
        <f>COUNTIF($H$7:$H464,$H464)</f>
        <v>29</v>
      </c>
      <c r="F464" s="67">
        <f>'1.연간시수표'!$AL$33</f>
        <v>5</v>
      </c>
      <c r="G464" s="89">
        <f t="shared" si="23"/>
        <v>1</v>
      </c>
      <c r="H464" s="91" t="str">
        <f>INDEX('0.시간표데이터'!$E$10:$AR$32,QUOTIENT(ROW(A458)-1,40)+1,MOD(ROW(A458)-1,40)+1)</f>
        <v>과학</v>
      </c>
      <c r="I464" s="77"/>
      <c r="J464" s="26"/>
      <c r="K464" s="137"/>
      <c r="L464" s="137"/>
      <c r="M464" s="114"/>
      <c r="N464" s="114"/>
      <c r="O464" s="114"/>
      <c r="P464" s="114"/>
      <c r="Q464" s="164"/>
      <c r="R464" s="110"/>
    </row>
    <row r="465" spans="1:18" ht="13.5" hidden="1" customHeight="1">
      <c r="A465" s="30">
        <v>459</v>
      </c>
      <c r="B465" s="24">
        <f>DATE('1.연간시수표'!$U$2,'1.연간시수표'!$X$2,'1.연간시수표'!$Z$2)+QUOTIENT(ROW(A459)-1,8)+(QUOTIENT(ROW(A459)-1,40)*2)</f>
        <v>44699</v>
      </c>
      <c r="C465" s="24" t="str">
        <f t="shared" si="21"/>
        <v>수</v>
      </c>
      <c r="D465" s="91" t="str">
        <f t="shared" si="22"/>
        <v>3교시</v>
      </c>
      <c r="E465" s="68">
        <f>COUNTIF($H$7:$H465,$H465)</f>
        <v>19</v>
      </c>
      <c r="F465" s="67">
        <f>'1.연간시수표'!$AL$33</f>
        <v>5</v>
      </c>
      <c r="G465" s="89">
        <f t="shared" si="23"/>
        <v>1</v>
      </c>
      <c r="H465" s="91" t="str">
        <f>INDEX('0.시간표데이터'!$E$10:$AR$32,QUOTIENT(ROW(A459)-1,40)+1,MOD(ROW(A459)-1,40)+1)</f>
        <v>체육</v>
      </c>
      <c r="I465" s="77"/>
      <c r="J465" s="26"/>
      <c r="K465" s="162"/>
      <c r="L465" s="162"/>
      <c r="M465" s="172"/>
      <c r="N465" s="101"/>
      <c r="O465" s="99"/>
      <c r="P465" s="99"/>
      <c r="Q465" s="167"/>
      <c r="R465" s="111"/>
    </row>
    <row r="466" spans="1:18" ht="13.5" hidden="1" customHeight="1">
      <c r="A466" s="30">
        <v>460</v>
      </c>
      <c r="B466" s="24">
        <f>DATE('1.연간시수표'!$U$2,'1.연간시수표'!$X$2,'1.연간시수표'!$Z$2)+QUOTIENT(ROW(A460)-1,8)+(QUOTIENT(ROW(A460)-1,40)*2)</f>
        <v>44699</v>
      </c>
      <c r="C466" s="24" t="str">
        <f t="shared" si="21"/>
        <v>수</v>
      </c>
      <c r="D466" s="91" t="str">
        <f t="shared" si="22"/>
        <v>4교시</v>
      </c>
      <c r="E466" s="68">
        <f>COUNTIF($H$7:$H466,$H466)</f>
        <v>22</v>
      </c>
      <c r="F466" s="67">
        <f>'1.연간시수표'!$AL$33</f>
        <v>5</v>
      </c>
      <c r="G466" s="89">
        <f t="shared" si="23"/>
        <v>1</v>
      </c>
      <c r="H466" s="91" t="str">
        <f>INDEX('0.시간표데이터'!$E$10:$AR$32,QUOTIENT(ROW(A460)-1,40)+1,MOD(ROW(A460)-1,40)+1)</f>
        <v>음악</v>
      </c>
      <c r="I466" s="77"/>
      <c r="J466" s="26"/>
      <c r="K466" s="162"/>
      <c r="L466" s="162"/>
      <c r="M466" s="168"/>
      <c r="N466" s="99"/>
      <c r="O466" s="99"/>
      <c r="P466" s="99"/>
      <c r="Q466" s="167"/>
      <c r="R466" s="111"/>
    </row>
    <row r="467" spans="1:18" ht="13.5" customHeight="1">
      <c r="A467" s="30">
        <v>461</v>
      </c>
      <c r="B467" s="24">
        <f>DATE('1.연간시수표'!$U$2,'1.연간시수표'!$X$2,'1.연간시수표'!$Z$2)+QUOTIENT(ROW(A461)-1,8)+(QUOTIENT(ROW(A461)-1,40)*2)</f>
        <v>44699</v>
      </c>
      <c r="C467" s="24" t="str">
        <f t="shared" si="21"/>
        <v>수</v>
      </c>
      <c r="D467" s="91" t="str">
        <f t="shared" si="22"/>
        <v>5교시</v>
      </c>
      <c r="E467" s="68">
        <f>COUNTIF($H$7:$H467,$H467)</f>
        <v>11</v>
      </c>
      <c r="F467" s="67">
        <f>'1.연간시수표'!$AL$33</f>
        <v>5</v>
      </c>
      <c r="G467" s="89">
        <f t="shared" si="23"/>
        <v>1</v>
      </c>
      <c r="H467" s="91" t="str">
        <f>INDEX('0.시간표데이터'!$E$10:$AR$32,QUOTIENT(ROW(A461)-1,40)+1,MOD(ROW(A461)-1,40)+1)</f>
        <v>도덕</v>
      </c>
      <c r="I467" s="77"/>
      <c r="J467" s="26"/>
      <c r="K467" s="173"/>
      <c r="L467" s="178"/>
      <c r="M467" s="10"/>
      <c r="N467" s="10"/>
      <c r="O467" s="10"/>
      <c r="P467" s="10"/>
      <c r="Q467" s="164"/>
      <c r="R467" s="109"/>
    </row>
    <row r="468" spans="1:18" ht="13.5" hidden="1" customHeight="1">
      <c r="A468" s="30">
        <v>462</v>
      </c>
      <c r="B468" s="24">
        <f>DATE('1.연간시수표'!$U$2,'1.연간시수표'!$X$2,'1.연간시수표'!$Z$2)+QUOTIENT(ROW(A462)-1,8)+(QUOTIENT(ROW(A462)-1,40)*2)</f>
        <v>44699</v>
      </c>
      <c r="C468" s="24" t="str">
        <f t="shared" si="21"/>
        <v>수</v>
      </c>
      <c r="D468" s="91" t="str">
        <f t="shared" si="22"/>
        <v>6교시</v>
      </c>
      <c r="E468" s="68">
        <f>COUNTIF($H$7:$H468,$H468)</f>
        <v>156</v>
      </c>
      <c r="F468" s="67">
        <f>'1.연간시수표'!$AL$33</f>
        <v>5</v>
      </c>
      <c r="G468" s="89">
        <f t="shared" si="23"/>
        <v>1</v>
      </c>
      <c r="H468" s="91" t="str">
        <f>INDEX('0.시간표데이터'!$E$10:$AR$32,QUOTIENT(ROW(A462)-1,40)+1,MOD(ROW(A462)-1,40)+1)</f>
        <v>_</v>
      </c>
      <c r="I468" s="77"/>
      <c r="J468" s="26"/>
      <c r="K468" s="165"/>
      <c r="L468" s="165"/>
      <c r="M468" s="166"/>
      <c r="N468" s="166"/>
      <c r="O468" s="166"/>
      <c r="P468" s="166"/>
      <c r="Q468" s="167"/>
      <c r="R468" s="111"/>
    </row>
    <row r="469" spans="1:18" ht="13.5" hidden="1" customHeight="1">
      <c r="A469" s="30">
        <v>463</v>
      </c>
      <c r="B469" s="24">
        <f>DATE('1.연간시수표'!$U$2,'1.연간시수표'!$X$2,'1.연간시수표'!$Z$2)+QUOTIENT(ROW(A463)-1,8)+(QUOTIENT(ROW(A463)-1,40)*2)</f>
        <v>44699</v>
      </c>
      <c r="C469" s="24" t="str">
        <f t="shared" si="21"/>
        <v>수</v>
      </c>
      <c r="D469" s="91" t="str">
        <f t="shared" si="22"/>
        <v>7교시</v>
      </c>
      <c r="E469" s="68">
        <f>COUNTIF($H$7:$H469,$H469)</f>
        <v>157</v>
      </c>
      <c r="F469" s="67">
        <f>'1.연간시수표'!$AL$33</f>
        <v>5</v>
      </c>
      <c r="G469" s="89">
        <f t="shared" si="23"/>
        <v>1</v>
      </c>
      <c r="H469" s="91" t="str">
        <f>INDEX('0.시간표데이터'!$E$10:$AR$32,QUOTIENT(ROW(A463)-1,40)+1,MOD(ROW(A463)-1,40)+1)</f>
        <v>_</v>
      </c>
      <c r="I469" s="76"/>
      <c r="J469" s="26"/>
      <c r="K469" s="165"/>
      <c r="L469" s="165"/>
      <c r="M469" s="166"/>
      <c r="N469" s="166"/>
      <c r="O469" s="166"/>
      <c r="P469" s="166"/>
      <c r="Q469" s="167"/>
      <c r="R469" s="111"/>
    </row>
    <row r="470" spans="1:18" ht="13.5" hidden="1" customHeight="1">
      <c r="A470" s="30">
        <v>464</v>
      </c>
      <c r="B470" s="24">
        <f>DATE('1.연간시수표'!$U$2,'1.연간시수표'!$X$2,'1.연간시수표'!$Z$2)+QUOTIENT(ROW(A464)-1,8)+(QUOTIENT(ROW(A464)-1,40)*2)</f>
        <v>44699</v>
      </c>
      <c r="C470" s="24" t="str">
        <f t="shared" si="21"/>
        <v>수</v>
      </c>
      <c r="D470" s="91" t="str">
        <f t="shared" si="22"/>
        <v>8교시</v>
      </c>
      <c r="E470" s="68">
        <f>COUNTIF($H$7:$H470,$H470)</f>
        <v>158</v>
      </c>
      <c r="F470" s="67">
        <f>'1.연간시수표'!$AL$33</f>
        <v>5</v>
      </c>
      <c r="G470" s="89">
        <f t="shared" si="23"/>
        <v>1</v>
      </c>
      <c r="H470" s="91" t="str">
        <f>INDEX('0.시간표데이터'!$E$10:$AR$32,QUOTIENT(ROW(A464)-1,40)+1,MOD(ROW(A464)-1,40)+1)</f>
        <v>_</v>
      </c>
      <c r="I470" s="76"/>
      <c r="J470" s="26"/>
      <c r="K470" s="165"/>
      <c r="L470" s="165"/>
      <c r="M470" s="166"/>
      <c r="N470" s="166"/>
      <c r="O470" s="166"/>
      <c r="P470" s="166"/>
      <c r="Q470" s="167"/>
      <c r="R470" s="111"/>
    </row>
    <row r="471" spans="1:18" ht="13.5" hidden="1" customHeight="1">
      <c r="A471" s="30">
        <v>465</v>
      </c>
      <c r="B471" s="24">
        <f>DATE('1.연간시수표'!$U$2,'1.연간시수표'!$X$2,'1.연간시수표'!$Z$2)+QUOTIENT(ROW(A465)-1,8)+(QUOTIENT(ROW(A465)-1,40)*2)</f>
        <v>44700</v>
      </c>
      <c r="C471" s="24" t="str">
        <f t="shared" si="21"/>
        <v>목</v>
      </c>
      <c r="D471" s="91" t="str">
        <f t="shared" si="22"/>
        <v>1교시</v>
      </c>
      <c r="E471" s="68">
        <f>COUNTIF($H$7:$H471,$H471)</f>
        <v>62</v>
      </c>
      <c r="F471" s="67">
        <f>'1.연간시수표'!$AL$33</f>
        <v>5</v>
      </c>
      <c r="G471" s="89">
        <f t="shared" si="23"/>
        <v>1</v>
      </c>
      <c r="H471" s="91" t="str">
        <f>INDEX('0.시간표데이터'!$E$10:$AR$32,QUOTIENT(ROW(A465)-1,40)+1,MOD(ROW(A465)-1,40)+1)</f>
        <v>국어</v>
      </c>
      <c r="I471" s="77"/>
      <c r="J471" s="26"/>
      <c r="K471" s="162"/>
      <c r="L471" s="162"/>
      <c r="M471" s="168"/>
      <c r="N471" s="98"/>
      <c r="O471" s="99"/>
      <c r="P471" s="99"/>
      <c r="Q471" s="167"/>
      <c r="R471" s="111"/>
    </row>
    <row r="472" spans="1:18" ht="13.5" hidden="1" customHeight="1">
      <c r="A472" s="30">
        <v>466</v>
      </c>
      <c r="B472" s="24">
        <f>DATE('1.연간시수표'!$U$2,'1.연간시수표'!$X$2,'1.연간시수표'!$Z$2)+QUOTIENT(ROW(A466)-1,8)+(QUOTIENT(ROW(A466)-1,40)*2)</f>
        <v>44700</v>
      </c>
      <c r="C472" s="24" t="str">
        <f t="shared" si="21"/>
        <v>목</v>
      </c>
      <c r="D472" s="91" t="str">
        <f t="shared" si="22"/>
        <v>2교시</v>
      </c>
      <c r="E472" s="68">
        <f>COUNTIF($H$7:$H472,$H472)</f>
        <v>41</v>
      </c>
      <c r="F472" s="67">
        <f>'1.연간시수표'!$AL$33</f>
        <v>5</v>
      </c>
      <c r="G472" s="89">
        <f t="shared" si="23"/>
        <v>1</v>
      </c>
      <c r="H472" s="91" t="str">
        <f>INDEX('0.시간표데이터'!$E$10:$AR$32,QUOTIENT(ROW(A466)-1,40)+1,MOD(ROW(A466)-1,40)+1)</f>
        <v>수학</v>
      </c>
      <c r="I472" s="161"/>
      <c r="J472" s="26"/>
      <c r="K472" s="165"/>
      <c r="L472" s="165"/>
      <c r="M472" s="166"/>
      <c r="N472" s="166"/>
      <c r="O472" s="166"/>
      <c r="P472" s="166"/>
      <c r="Q472" s="167"/>
      <c r="R472" s="111"/>
    </row>
    <row r="473" spans="1:18" ht="13.5" customHeight="1">
      <c r="A473" s="30">
        <v>467</v>
      </c>
      <c r="B473" s="24">
        <f>DATE('1.연간시수표'!$U$2,'1.연간시수표'!$X$2,'1.연간시수표'!$Z$2)+QUOTIENT(ROW(A467)-1,8)+(QUOTIENT(ROW(A467)-1,40)*2)</f>
        <v>44700</v>
      </c>
      <c r="C473" s="24" t="str">
        <f t="shared" si="21"/>
        <v>목</v>
      </c>
      <c r="D473" s="91" t="str">
        <f t="shared" si="22"/>
        <v>3교시</v>
      </c>
      <c r="E473" s="68">
        <f>COUNTIF($H$7:$H473,$H473)</f>
        <v>30</v>
      </c>
      <c r="F473" s="67">
        <f>'1.연간시수표'!$AL$33</f>
        <v>5</v>
      </c>
      <c r="G473" s="89">
        <f t="shared" si="23"/>
        <v>1</v>
      </c>
      <c r="H473" s="91" t="str">
        <f>INDEX('0.시간표데이터'!$E$10:$AR$32,QUOTIENT(ROW(A467)-1,40)+1,MOD(ROW(A467)-1,40)+1)</f>
        <v>사회</v>
      </c>
      <c r="I473" s="77"/>
      <c r="J473" s="26"/>
      <c r="K473" s="173"/>
      <c r="L473" s="173"/>
      <c r="M473" s="10"/>
      <c r="N473" s="10"/>
      <c r="O473" s="10"/>
      <c r="P473" s="10"/>
      <c r="Q473" s="164"/>
      <c r="R473" s="109"/>
    </row>
    <row r="474" spans="1:18" ht="13.5" customHeight="1">
      <c r="A474" s="30">
        <v>468</v>
      </c>
      <c r="B474" s="24">
        <f>DATE('1.연간시수표'!$U$2,'1.연간시수표'!$X$2,'1.연간시수표'!$Z$2)+QUOTIENT(ROW(A468)-1,8)+(QUOTIENT(ROW(A468)-1,40)*2)</f>
        <v>44700</v>
      </c>
      <c r="C474" s="24" t="str">
        <f t="shared" si="21"/>
        <v>목</v>
      </c>
      <c r="D474" s="91" t="str">
        <f t="shared" si="22"/>
        <v>4교시</v>
      </c>
      <c r="E474" s="68">
        <f>COUNTIF($H$7:$H474,$H474)</f>
        <v>31</v>
      </c>
      <c r="F474" s="67">
        <f>'1.연간시수표'!$AL$33</f>
        <v>5</v>
      </c>
      <c r="G474" s="89">
        <f t="shared" si="23"/>
        <v>1</v>
      </c>
      <c r="H474" s="91" t="str">
        <f>INDEX('0.시간표데이터'!$E$10:$AR$32,QUOTIENT(ROW(A468)-1,40)+1,MOD(ROW(A468)-1,40)+1)</f>
        <v>영어</v>
      </c>
      <c r="I474" s="77"/>
      <c r="J474" s="26"/>
      <c r="K474" s="173"/>
      <c r="L474" s="173"/>
      <c r="M474" s="10"/>
      <c r="N474" s="10"/>
      <c r="O474" s="10"/>
      <c r="P474" s="10"/>
      <c r="Q474" s="164"/>
      <c r="R474" s="109"/>
    </row>
    <row r="475" spans="1:18" ht="13.5" hidden="1" customHeight="1">
      <c r="A475" s="30">
        <v>469</v>
      </c>
      <c r="B475" s="24">
        <f>DATE('1.연간시수표'!$U$2,'1.연간시수표'!$X$2,'1.연간시수표'!$Z$2)+QUOTIENT(ROW(A469)-1,8)+(QUOTIENT(ROW(A469)-1,40)*2)</f>
        <v>44700</v>
      </c>
      <c r="C475" s="24" t="str">
        <f t="shared" si="21"/>
        <v>목</v>
      </c>
      <c r="D475" s="91" t="str">
        <f t="shared" si="22"/>
        <v>5교시</v>
      </c>
      <c r="E475" s="68">
        <f>COUNTIF($H$7:$H475,$H475)</f>
        <v>5</v>
      </c>
      <c r="F475" s="67">
        <f>'1.연간시수표'!$AL$33</f>
        <v>5</v>
      </c>
      <c r="G475" s="89">
        <f t="shared" si="23"/>
        <v>1</v>
      </c>
      <c r="H475" s="91" t="str">
        <f>INDEX('0.시간표데이터'!$E$10:$AR$32,QUOTIENT(ROW(A469)-1,40)+1,MOD(ROW(A469)-1,40)+1)</f>
        <v>동아리활동</v>
      </c>
      <c r="I475" s="77"/>
      <c r="J475" s="26"/>
      <c r="K475" s="162"/>
      <c r="L475" s="162"/>
      <c r="M475" s="170"/>
      <c r="N475" s="98"/>
      <c r="O475" s="98"/>
      <c r="P475" s="98"/>
      <c r="Q475" s="167"/>
      <c r="R475" s="111"/>
    </row>
    <row r="476" spans="1:18" ht="13.5" hidden="1" customHeight="1">
      <c r="A476" s="30">
        <v>470</v>
      </c>
      <c r="B476" s="24">
        <f>DATE('1.연간시수표'!$U$2,'1.연간시수표'!$X$2,'1.연간시수표'!$Z$2)+QUOTIENT(ROW(A470)-1,8)+(QUOTIENT(ROW(A470)-1,40)*2)</f>
        <v>44700</v>
      </c>
      <c r="C476" s="24" t="str">
        <f t="shared" si="21"/>
        <v>목</v>
      </c>
      <c r="D476" s="91" t="str">
        <f t="shared" si="22"/>
        <v>6교시</v>
      </c>
      <c r="E476" s="68">
        <f>COUNTIF($H$7:$H476,$H476)</f>
        <v>6</v>
      </c>
      <c r="F476" s="67">
        <f>'1.연간시수표'!$AL$33</f>
        <v>5</v>
      </c>
      <c r="G476" s="89">
        <f t="shared" si="23"/>
        <v>1</v>
      </c>
      <c r="H476" s="91" t="str">
        <f>INDEX('0.시간표데이터'!$E$10:$AR$32,QUOTIENT(ROW(A470)-1,40)+1,MOD(ROW(A470)-1,40)+1)</f>
        <v>동아리활동</v>
      </c>
      <c r="I476" s="161"/>
      <c r="J476" s="26"/>
      <c r="K476" s="162"/>
      <c r="L476" s="162"/>
      <c r="M476" s="170"/>
      <c r="N476" s="98"/>
      <c r="O476" s="98"/>
      <c r="P476" s="98"/>
      <c r="Q476" s="167"/>
      <c r="R476" s="111"/>
    </row>
    <row r="477" spans="1:18" ht="13.5" hidden="1" customHeight="1">
      <c r="A477" s="30">
        <v>471</v>
      </c>
      <c r="B477" s="24">
        <f>DATE('1.연간시수표'!$U$2,'1.연간시수표'!$X$2,'1.연간시수표'!$Z$2)+QUOTIENT(ROW(A471)-1,8)+(QUOTIENT(ROW(A471)-1,40)*2)</f>
        <v>44700</v>
      </c>
      <c r="C477" s="24" t="str">
        <f t="shared" si="21"/>
        <v>목</v>
      </c>
      <c r="D477" s="91" t="str">
        <f t="shared" si="22"/>
        <v>7교시</v>
      </c>
      <c r="E477" s="68">
        <f>COUNTIF($H$7:$H477,$H477)</f>
        <v>159</v>
      </c>
      <c r="F477" s="67">
        <f>'1.연간시수표'!$AL$33</f>
        <v>5</v>
      </c>
      <c r="G477" s="89">
        <f t="shared" si="23"/>
        <v>1</v>
      </c>
      <c r="H477" s="91" t="str">
        <f>INDEX('0.시간표데이터'!$E$10:$AR$32,QUOTIENT(ROW(A471)-1,40)+1,MOD(ROW(A471)-1,40)+1)</f>
        <v>_</v>
      </c>
      <c r="I477" s="76"/>
      <c r="J477" s="26"/>
      <c r="K477" s="165"/>
      <c r="L477" s="165"/>
      <c r="M477" s="166"/>
      <c r="N477" s="166"/>
      <c r="O477" s="166"/>
      <c r="P477" s="166"/>
      <c r="Q477" s="167"/>
      <c r="R477" s="111"/>
    </row>
    <row r="478" spans="1:18" ht="13.5" hidden="1" customHeight="1">
      <c r="A478" s="30">
        <v>472</v>
      </c>
      <c r="B478" s="24">
        <f>DATE('1.연간시수표'!$U$2,'1.연간시수표'!$X$2,'1.연간시수표'!$Z$2)+QUOTIENT(ROW(A472)-1,8)+(QUOTIENT(ROW(A472)-1,40)*2)</f>
        <v>44700</v>
      </c>
      <c r="C478" s="24" t="str">
        <f t="shared" si="21"/>
        <v>목</v>
      </c>
      <c r="D478" s="91" t="str">
        <f t="shared" si="22"/>
        <v>8교시</v>
      </c>
      <c r="E478" s="68">
        <f>COUNTIF($H$7:$H478,$H478)</f>
        <v>160</v>
      </c>
      <c r="F478" s="67">
        <f>'1.연간시수표'!$AL$33</f>
        <v>5</v>
      </c>
      <c r="G478" s="89">
        <f t="shared" si="23"/>
        <v>1</v>
      </c>
      <c r="H478" s="91" t="str">
        <f>INDEX('0.시간표데이터'!$E$10:$AR$32,QUOTIENT(ROW(A472)-1,40)+1,MOD(ROW(A472)-1,40)+1)</f>
        <v>_</v>
      </c>
      <c r="I478" s="76"/>
      <c r="J478" s="26"/>
      <c r="K478" s="165"/>
      <c r="L478" s="165"/>
      <c r="M478" s="166"/>
      <c r="N478" s="166"/>
      <c r="O478" s="166"/>
      <c r="P478" s="166"/>
      <c r="Q478" s="167"/>
      <c r="R478" s="111"/>
    </row>
    <row r="479" spans="1:18" ht="13.5" customHeight="1">
      <c r="A479" s="30">
        <v>473</v>
      </c>
      <c r="B479" s="24">
        <f>DATE('1.연간시수표'!$U$2,'1.연간시수표'!$X$2,'1.연간시수표'!$Z$2)+QUOTIENT(ROW(A473)-1,8)+(QUOTIENT(ROW(A473)-1,40)*2)</f>
        <v>44701</v>
      </c>
      <c r="C479" s="24" t="str">
        <f t="shared" si="21"/>
        <v>금</v>
      </c>
      <c r="D479" s="91" t="str">
        <f t="shared" si="22"/>
        <v>1교시</v>
      </c>
      <c r="E479" s="68">
        <f>COUNTIF($H$7:$H479,$H479)</f>
        <v>63</v>
      </c>
      <c r="F479" s="67">
        <f>'1.연간시수표'!$AL$33</f>
        <v>5</v>
      </c>
      <c r="G479" s="89">
        <f t="shared" si="23"/>
        <v>1</v>
      </c>
      <c r="H479" s="91" t="str">
        <f>INDEX('0.시간표데이터'!$E$10:$AR$32,QUOTIENT(ROW(A473)-1,40)+1,MOD(ROW(A473)-1,40)+1)</f>
        <v>국어</v>
      </c>
      <c r="I479" s="77"/>
      <c r="J479" s="26"/>
      <c r="K479" s="173"/>
      <c r="L479" s="173"/>
      <c r="M479" s="10"/>
      <c r="N479" s="10"/>
      <c r="O479" s="10"/>
      <c r="P479" s="10"/>
      <c r="Q479" s="164"/>
      <c r="R479" s="109"/>
    </row>
    <row r="480" spans="1:18" ht="13.5" customHeight="1">
      <c r="A480" s="30">
        <v>474</v>
      </c>
      <c r="B480" s="24">
        <f>DATE('1.연간시수표'!$U$2,'1.연간시수표'!$X$2,'1.연간시수표'!$Z$2)+QUOTIENT(ROW(A474)-1,8)+(QUOTIENT(ROW(A474)-1,40)*2)</f>
        <v>44701</v>
      </c>
      <c r="C480" s="24" t="str">
        <f t="shared" si="21"/>
        <v>금</v>
      </c>
      <c r="D480" s="91" t="str">
        <f t="shared" si="22"/>
        <v>2교시</v>
      </c>
      <c r="E480" s="68">
        <f>COUNTIF($H$7:$H480,$H480)</f>
        <v>20</v>
      </c>
      <c r="F480" s="67">
        <f>'1.연간시수표'!$AL$33</f>
        <v>5</v>
      </c>
      <c r="G480" s="89">
        <f t="shared" si="23"/>
        <v>1</v>
      </c>
      <c r="H480" s="91" t="str">
        <f>INDEX('0.시간표데이터'!$E$10:$AR$32,QUOTIENT(ROW(A474)-1,40)+1,MOD(ROW(A474)-1,40)+1)</f>
        <v>체육</v>
      </c>
      <c r="I480" s="77"/>
      <c r="J480" s="26"/>
      <c r="K480" s="173"/>
      <c r="L480" s="173"/>
      <c r="M480" s="10"/>
      <c r="N480" s="10"/>
      <c r="O480" s="10"/>
      <c r="P480" s="10"/>
      <c r="Q480" s="164"/>
      <c r="R480" s="109"/>
    </row>
    <row r="481" spans="1:18" ht="13.5" customHeight="1">
      <c r="A481" s="30">
        <v>475</v>
      </c>
      <c r="B481" s="24">
        <f>DATE('1.연간시수표'!$U$2,'1.연간시수표'!$X$2,'1.연간시수표'!$Z$2)+QUOTIENT(ROW(A475)-1,8)+(QUOTIENT(ROW(A475)-1,40)*2)</f>
        <v>44701</v>
      </c>
      <c r="C481" s="24" t="str">
        <f t="shared" si="21"/>
        <v>금</v>
      </c>
      <c r="D481" s="91" t="str">
        <f t="shared" si="22"/>
        <v>3교시</v>
      </c>
      <c r="E481" s="68">
        <f>COUNTIF($H$7:$H481,$H481)</f>
        <v>42</v>
      </c>
      <c r="F481" s="67">
        <f>'1.연간시수표'!$AL$33</f>
        <v>5</v>
      </c>
      <c r="G481" s="89">
        <f t="shared" si="23"/>
        <v>1</v>
      </c>
      <c r="H481" s="91" t="str">
        <f>INDEX('0.시간표데이터'!$E$10:$AR$32,QUOTIENT(ROW(A475)-1,40)+1,MOD(ROW(A475)-1,40)+1)</f>
        <v>수학</v>
      </c>
      <c r="I481" s="77"/>
      <c r="J481" s="26"/>
      <c r="K481" s="173"/>
      <c r="L481" s="173"/>
      <c r="M481" s="10"/>
      <c r="N481" s="10"/>
      <c r="O481" s="10"/>
      <c r="P481" s="10"/>
      <c r="Q481" s="164"/>
      <c r="R481" s="109"/>
    </row>
    <row r="482" spans="1:18" ht="13.5" customHeight="1">
      <c r="A482" s="30">
        <v>476</v>
      </c>
      <c r="B482" s="24">
        <f>DATE('1.연간시수표'!$U$2,'1.연간시수표'!$X$2,'1.연간시수표'!$Z$2)+QUOTIENT(ROW(A476)-1,8)+(QUOTIENT(ROW(A476)-1,40)*2)</f>
        <v>44701</v>
      </c>
      <c r="C482" s="24" t="str">
        <f t="shared" si="21"/>
        <v>금</v>
      </c>
      <c r="D482" s="91" t="str">
        <f t="shared" si="22"/>
        <v>4교시</v>
      </c>
      <c r="E482" s="68">
        <f>COUNTIF($H$7:$H482,$H482)</f>
        <v>64</v>
      </c>
      <c r="F482" s="67">
        <f>'1.연간시수표'!$AL$33</f>
        <v>5</v>
      </c>
      <c r="G482" s="89">
        <f t="shared" si="23"/>
        <v>1</v>
      </c>
      <c r="H482" s="91" t="str">
        <f>INDEX('0.시간표데이터'!$E$10:$AR$32,QUOTIENT(ROW(A476)-1,40)+1,MOD(ROW(A476)-1,40)+1)</f>
        <v>국어</v>
      </c>
      <c r="I482" s="77"/>
      <c r="J482" s="26"/>
      <c r="K482" s="173"/>
      <c r="L482" s="173"/>
      <c r="M482" s="10"/>
      <c r="N482" s="10"/>
      <c r="O482" s="10"/>
      <c r="P482" s="10"/>
      <c r="Q482" s="164"/>
      <c r="R482" s="109"/>
    </row>
    <row r="483" spans="1:18" ht="13.5" customHeight="1">
      <c r="A483" s="30">
        <v>477</v>
      </c>
      <c r="B483" s="24">
        <f>DATE('1.연간시수표'!$U$2,'1.연간시수표'!$X$2,'1.연간시수표'!$Z$2)+QUOTIENT(ROW(A477)-1,8)+(QUOTIENT(ROW(A477)-1,40)*2)</f>
        <v>44701</v>
      </c>
      <c r="C483" s="24" t="str">
        <f t="shared" si="21"/>
        <v>금</v>
      </c>
      <c r="D483" s="91" t="str">
        <f t="shared" si="22"/>
        <v>5교시</v>
      </c>
      <c r="E483" s="68">
        <f>COUNTIF($H$7:$H483,$H483)</f>
        <v>31</v>
      </c>
      <c r="F483" s="67">
        <f>'1.연간시수표'!$AL$33</f>
        <v>5</v>
      </c>
      <c r="G483" s="89">
        <f t="shared" si="23"/>
        <v>1</v>
      </c>
      <c r="H483" s="91" t="str">
        <f>INDEX('0.시간표데이터'!$E$10:$AR$32,QUOTIENT(ROW(A477)-1,40)+1,MOD(ROW(A477)-1,40)+1)</f>
        <v>사회</v>
      </c>
      <c r="I483" s="77"/>
      <c r="J483" s="26"/>
      <c r="K483" s="173"/>
      <c r="L483" s="173"/>
      <c r="M483" s="10"/>
      <c r="N483" s="10"/>
      <c r="O483" s="10"/>
      <c r="P483" s="10"/>
      <c r="Q483" s="164"/>
      <c r="R483" s="109"/>
    </row>
    <row r="484" spans="1:18" ht="13.5" customHeight="1">
      <c r="A484" s="30">
        <v>478</v>
      </c>
      <c r="B484" s="24">
        <f>DATE('1.연간시수표'!$U$2,'1.연간시수표'!$X$2,'1.연간시수표'!$Z$2)+QUOTIENT(ROW(A478)-1,8)+(QUOTIENT(ROW(A478)-1,40)*2)</f>
        <v>44701</v>
      </c>
      <c r="C484" s="24" t="str">
        <f t="shared" si="21"/>
        <v>금</v>
      </c>
      <c r="D484" s="91" t="str">
        <f t="shared" si="22"/>
        <v>6교시</v>
      </c>
      <c r="E484" s="68">
        <f>COUNTIF($H$7:$H484,$H484)</f>
        <v>21</v>
      </c>
      <c r="F484" s="67">
        <f>'1.연간시수표'!$AL$33</f>
        <v>5</v>
      </c>
      <c r="G484" s="89">
        <f t="shared" si="23"/>
        <v>1</v>
      </c>
      <c r="H484" s="91" t="str">
        <f>INDEX('0.시간표데이터'!$E$10:$AR$32,QUOTIENT(ROW(A478)-1,40)+1,MOD(ROW(A478)-1,40)+1)</f>
        <v>실과</v>
      </c>
      <c r="I484" s="77"/>
      <c r="J484" s="26"/>
      <c r="K484" s="173"/>
      <c r="L484" s="173"/>
      <c r="M484" s="10"/>
      <c r="N484" s="10"/>
      <c r="O484" s="10"/>
      <c r="P484" s="10"/>
      <c r="Q484" s="164"/>
      <c r="R484" s="109"/>
    </row>
    <row r="485" spans="1:18" ht="13.5" hidden="1" customHeight="1">
      <c r="A485" s="30">
        <v>479</v>
      </c>
      <c r="B485" s="24">
        <f>DATE('1.연간시수표'!$U$2,'1.연간시수표'!$X$2,'1.연간시수표'!$Z$2)+QUOTIENT(ROW(A479)-1,8)+(QUOTIENT(ROW(A479)-1,40)*2)</f>
        <v>44701</v>
      </c>
      <c r="C485" s="24" t="str">
        <f t="shared" si="21"/>
        <v>금</v>
      </c>
      <c r="D485" s="91" t="str">
        <f t="shared" si="22"/>
        <v>7교시</v>
      </c>
      <c r="E485" s="68">
        <f>COUNTIF($H$7:$H485,$H485)</f>
        <v>161</v>
      </c>
      <c r="F485" s="67">
        <f>'1.연간시수표'!$AL$33</f>
        <v>5</v>
      </c>
      <c r="G485" s="89">
        <f t="shared" si="23"/>
        <v>1</v>
      </c>
      <c r="H485" s="91" t="str">
        <f>INDEX('0.시간표데이터'!$E$10:$AR$32,QUOTIENT(ROW(A479)-1,40)+1,MOD(ROW(A479)-1,40)+1)</f>
        <v>_</v>
      </c>
      <c r="I485" s="76"/>
      <c r="J485" s="26"/>
      <c r="K485" s="165"/>
      <c r="L485" s="165"/>
      <c r="M485" s="166"/>
      <c r="N485" s="166"/>
      <c r="O485" s="166"/>
      <c r="P485" s="166"/>
      <c r="Q485" s="167"/>
      <c r="R485" s="111"/>
    </row>
    <row r="486" spans="1:18" ht="13.5" hidden="1" customHeight="1">
      <c r="A486" s="30">
        <v>480</v>
      </c>
      <c r="B486" s="24">
        <f>DATE('1.연간시수표'!$U$2,'1.연간시수표'!$X$2,'1.연간시수표'!$Z$2)+QUOTIENT(ROW(A480)-1,8)+(QUOTIENT(ROW(A480)-1,40)*2)</f>
        <v>44701</v>
      </c>
      <c r="C486" s="24" t="str">
        <f t="shared" si="21"/>
        <v>금</v>
      </c>
      <c r="D486" s="91" t="str">
        <f t="shared" si="22"/>
        <v>8교시</v>
      </c>
      <c r="E486" s="68">
        <f>COUNTIF($H$7:$H486,$H486)</f>
        <v>162</v>
      </c>
      <c r="F486" s="67">
        <f>'1.연간시수표'!$AL$33</f>
        <v>5</v>
      </c>
      <c r="G486" s="89">
        <f t="shared" si="23"/>
        <v>1</v>
      </c>
      <c r="H486" s="91" t="str">
        <f>INDEX('0.시간표데이터'!$E$10:$AR$32,QUOTIENT(ROW(A480)-1,40)+1,MOD(ROW(A480)-1,40)+1)</f>
        <v>_</v>
      </c>
      <c r="I486" s="76"/>
      <c r="J486" s="26"/>
      <c r="K486" s="165"/>
      <c r="L486" s="165"/>
      <c r="M486" s="166"/>
      <c r="N486" s="166"/>
      <c r="O486" s="166"/>
      <c r="P486" s="166"/>
      <c r="Q486" s="167"/>
      <c r="R486" s="111"/>
    </row>
    <row r="487" spans="1:18" hidden="1">
      <c r="A487" s="30">
        <v>481</v>
      </c>
      <c r="B487" s="24">
        <f>DATE('1.연간시수표'!$U$2,'1.연간시수표'!$X$2,'1.연간시수표'!$Z$2)+QUOTIENT(ROW(A481)-1,8)+(QUOTIENT(ROW(A481)-1,40)*2)</f>
        <v>44704</v>
      </c>
      <c r="C487" s="24" t="str">
        <f t="shared" si="21"/>
        <v>월</v>
      </c>
      <c r="D487" s="91" t="str">
        <f t="shared" si="22"/>
        <v>1교시</v>
      </c>
      <c r="E487" s="68">
        <f>COUNTIF($H$7:$H487,$H487)</f>
        <v>65</v>
      </c>
      <c r="F487" s="67">
        <f>'1.연간시수표'!$AL$33</f>
        <v>5</v>
      </c>
      <c r="G487" s="89">
        <f t="shared" si="23"/>
        <v>1</v>
      </c>
      <c r="H487" s="91" t="str">
        <f>INDEX('0.시간표데이터'!$E$10:$AR$32,QUOTIENT(ROW(A481)-1,40)+1,MOD(ROW(A481)-1,40)+1)</f>
        <v>국어</v>
      </c>
      <c r="I487" s="77"/>
      <c r="J487" s="26"/>
      <c r="K487" s="162"/>
      <c r="L487" s="162"/>
      <c r="M487" s="168"/>
      <c r="N487" s="99"/>
      <c r="O487" s="99"/>
      <c r="P487" s="99"/>
      <c r="Q487" s="167"/>
      <c r="R487" s="111"/>
    </row>
    <row r="488" spans="1:18" hidden="1">
      <c r="A488" s="30">
        <v>482</v>
      </c>
      <c r="B488" s="24">
        <f>DATE('1.연간시수표'!$U$2,'1.연간시수표'!$X$2,'1.연간시수표'!$Z$2)+QUOTIENT(ROW(A482)-1,8)+(QUOTIENT(ROW(A482)-1,40)*2)</f>
        <v>44704</v>
      </c>
      <c r="C488" s="24" t="str">
        <f t="shared" si="21"/>
        <v>월</v>
      </c>
      <c r="D488" s="91" t="str">
        <f t="shared" si="22"/>
        <v>2교시</v>
      </c>
      <c r="E488" s="68">
        <f>COUNTIF($H$7:$H488,$H488)</f>
        <v>23</v>
      </c>
      <c r="F488" s="67">
        <f>'1.연간시수표'!$AL$33</f>
        <v>5</v>
      </c>
      <c r="G488" s="89">
        <f t="shared" si="23"/>
        <v>1</v>
      </c>
      <c r="H488" s="91" t="str">
        <f>INDEX('0.시간표데이터'!$E$10:$AR$32,QUOTIENT(ROW(A482)-1,40)+1,MOD(ROW(A482)-1,40)+1)</f>
        <v>미술</v>
      </c>
      <c r="I488" s="161"/>
      <c r="J488" s="26"/>
      <c r="K488" s="165"/>
      <c r="L488" s="165"/>
      <c r="M488" s="166"/>
      <c r="N488" s="166"/>
      <c r="O488" s="166"/>
      <c r="P488" s="166"/>
      <c r="Q488" s="167"/>
      <c r="R488" s="111"/>
    </row>
    <row r="489" spans="1:18" ht="13.5" hidden="1" customHeight="1">
      <c r="A489" s="30">
        <v>483</v>
      </c>
      <c r="B489" s="24">
        <f>DATE('1.연간시수표'!$U$2,'1.연간시수표'!$X$2,'1.연간시수표'!$Z$2)+QUOTIENT(ROW(A483)-1,8)+(QUOTIENT(ROW(A483)-1,40)*2)</f>
        <v>44704</v>
      </c>
      <c r="C489" s="24" t="str">
        <f t="shared" si="21"/>
        <v>월</v>
      </c>
      <c r="D489" s="91" t="str">
        <f t="shared" si="22"/>
        <v>3교시</v>
      </c>
      <c r="E489" s="68">
        <f>COUNTIF($H$7:$H489,$H489)</f>
        <v>24</v>
      </c>
      <c r="F489" s="67">
        <f>'1.연간시수표'!$AL$33</f>
        <v>5</v>
      </c>
      <c r="G489" s="89">
        <f t="shared" si="23"/>
        <v>1</v>
      </c>
      <c r="H489" s="91" t="str">
        <f>INDEX('0.시간표데이터'!$E$10:$AR$32,QUOTIENT(ROW(A483)-1,40)+1,MOD(ROW(A483)-1,40)+1)</f>
        <v>미술</v>
      </c>
      <c r="I489" s="77"/>
      <c r="J489" s="26"/>
      <c r="K489" s="162"/>
      <c r="L489" s="162"/>
      <c r="M489" s="172"/>
      <c r="N489" s="101"/>
      <c r="O489" s="99"/>
      <c r="P489" s="99"/>
      <c r="Q489" s="167"/>
      <c r="R489" s="111"/>
    </row>
    <row r="490" spans="1:18" ht="13.5" hidden="1" customHeight="1">
      <c r="A490" s="30">
        <v>484</v>
      </c>
      <c r="B490" s="24">
        <f>DATE('1.연간시수표'!$U$2,'1.연간시수표'!$X$2,'1.연간시수표'!$Z$2)+QUOTIENT(ROW(A484)-1,8)+(QUOTIENT(ROW(A484)-1,40)*2)</f>
        <v>44704</v>
      </c>
      <c r="C490" s="24" t="str">
        <f t="shared" si="21"/>
        <v>월</v>
      </c>
      <c r="D490" s="91" t="str">
        <f t="shared" si="22"/>
        <v>4교시</v>
      </c>
      <c r="E490" s="68">
        <f>COUNTIF($H$7:$H490,$H490)</f>
        <v>32</v>
      </c>
      <c r="F490" s="67">
        <f>'1.연간시수표'!$AL$33</f>
        <v>5</v>
      </c>
      <c r="G490" s="89">
        <f t="shared" si="23"/>
        <v>1</v>
      </c>
      <c r="H490" s="91" t="str">
        <f>INDEX('0.시간표데이터'!$E$10:$AR$32,QUOTIENT(ROW(A484)-1,40)+1,MOD(ROW(A484)-1,40)+1)</f>
        <v>영어</v>
      </c>
      <c r="I490" s="77"/>
      <c r="J490" s="26"/>
      <c r="K490" s="162"/>
      <c r="L490" s="162"/>
      <c r="M490" s="172"/>
      <c r="N490" s="101"/>
      <c r="O490" s="99"/>
      <c r="P490" s="99"/>
      <c r="Q490" s="167"/>
      <c r="R490" s="111"/>
    </row>
    <row r="491" spans="1:18" ht="13.5" hidden="1" customHeight="1">
      <c r="A491" s="30">
        <v>485</v>
      </c>
      <c r="B491" s="24">
        <f>DATE('1.연간시수표'!$U$2,'1.연간시수표'!$X$2,'1.연간시수표'!$Z$2)+QUOTIENT(ROW(A485)-1,8)+(QUOTIENT(ROW(A485)-1,40)*2)</f>
        <v>44704</v>
      </c>
      <c r="C491" s="24" t="str">
        <f t="shared" si="21"/>
        <v>월</v>
      </c>
      <c r="D491" s="91" t="str">
        <f t="shared" si="22"/>
        <v>5교시</v>
      </c>
      <c r="E491" s="68">
        <f>COUNTIF($H$7:$H491,$H491)</f>
        <v>43</v>
      </c>
      <c r="F491" s="67">
        <f>'1.연간시수표'!$AL$33</f>
        <v>5</v>
      </c>
      <c r="G491" s="89">
        <f t="shared" si="23"/>
        <v>1</v>
      </c>
      <c r="H491" s="91" t="str">
        <f>INDEX('0.시간표데이터'!$E$10:$AR$32,QUOTIENT(ROW(A485)-1,40)+1,MOD(ROW(A485)-1,40)+1)</f>
        <v>수학</v>
      </c>
      <c r="I491" s="77"/>
      <c r="J491" s="26"/>
      <c r="K491" s="162"/>
      <c r="L491" s="162"/>
      <c r="M491" s="168"/>
      <c r="N491" s="168"/>
      <c r="O491" s="99"/>
      <c r="P491" s="99"/>
      <c r="Q491" s="167"/>
      <c r="R491" s="111"/>
    </row>
    <row r="492" spans="1:18" ht="13.5" hidden="1" customHeight="1">
      <c r="A492" s="30">
        <v>486</v>
      </c>
      <c r="B492" s="24">
        <f>DATE('1.연간시수표'!$U$2,'1.연간시수표'!$X$2,'1.연간시수표'!$Z$2)+QUOTIENT(ROW(A486)-1,8)+(QUOTIENT(ROW(A486)-1,40)*2)</f>
        <v>44704</v>
      </c>
      <c r="C492" s="24" t="str">
        <f t="shared" si="21"/>
        <v>월</v>
      </c>
      <c r="D492" s="91" t="str">
        <f t="shared" si="22"/>
        <v>6교시</v>
      </c>
      <c r="E492" s="68">
        <f>COUNTIF($H$7:$H492,$H492)</f>
        <v>18</v>
      </c>
      <c r="F492" s="67">
        <f>'1.연간시수표'!$AL$33</f>
        <v>5</v>
      </c>
      <c r="G492" s="89">
        <f t="shared" si="23"/>
        <v>1</v>
      </c>
      <c r="H492" s="91" t="str">
        <f>INDEX('0.시간표데이터'!$E$10:$AR$32,QUOTIENT(ROW(A486)-1,40)+1,MOD(ROW(A486)-1,40)+1)</f>
        <v>자율활동</v>
      </c>
      <c r="I492" s="77"/>
      <c r="J492" s="26"/>
      <c r="K492" s="165"/>
      <c r="L492" s="165"/>
      <c r="M492" s="166"/>
      <c r="N492" s="166"/>
      <c r="O492" s="166"/>
      <c r="P492" s="166"/>
      <c r="Q492" s="167"/>
      <c r="R492" s="111"/>
    </row>
    <row r="493" spans="1:18" ht="13.5" hidden="1" customHeight="1">
      <c r="A493" s="30">
        <v>487</v>
      </c>
      <c r="B493" s="24">
        <f>DATE('1.연간시수표'!$U$2,'1.연간시수표'!$X$2,'1.연간시수표'!$Z$2)+QUOTIENT(ROW(A487)-1,8)+(QUOTIENT(ROW(A487)-1,40)*2)</f>
        <v>44704</v>
      </c>
      <c r="C493" s="24" t="str">
        <f t="shared" si="21"/>
        <v>월</v>
      </c>
      <c r="D493" s="91" t="str">
        <f t="shared" si="22"/>
        <v>7교시</v>
      </c>
      <c r="E493" s="68">
        <f>COUNTIF($H$7:$H493,$H493)</f>
        <v>163</v>
      </c>
      <c r="F493" s="67">
        <f>'1.연간시수표'!$AL$33</f>
        <v>5</v>
      </c>
      <c r="G493" s="89">
        <f t="shared" si="23"/>
        <v>1</v>
      </c>
      <c r="H493" s="91" t="str">
        <f>INDEX('0.시간표데이터'!$E$10:$AR$32,QUOTIENT(ROW(A487)-1,40)+1,MOD(ROW(A487)-1,40)+1)</f>
        <v>_</v>
      </c>
      <c r="I493" s="76"/>
      <c r="J493" s="26"/>
      <c r="K493" s="165"/>
      <c r="L493" s="165"/>
      <c r="M493" s="166"/>
      <c r="N493" s="166"/>
      <c r="O493" s="166"/>
      <c r="P493" s="166"/>
      <c r="Q493" s="167"/>
      <c r="R493" s="111"/>
    </row>
    <row r="494" spans="1:18" ht="13.5" hidden="1" customHeight="1">
      <c r="A494" s="30">
        <v>488</v>
      </c>
      <c r="B494" s="24">
        <f>DATE('1.연간시수표'!$U$2,'1.연간시수표'!$X$2,'1.연간시수표'!$Z$2)+QUOTIENT(ROW(A488)-1,8)+(QUOTIENT(ROW(A488)-1,40)*2)</f>
        <v>44704</v>
      </c>
      <c r="C494" s="24" t="str">
        <f t="shared" si="21"/>
        <v>월</v>
      </c>
      <c r="D494" s="91" t="str">
        <f t="shared" si="22"/>
        <v>8교시</v>
      </c>
      <c r="E494" s="68">
        <f>COUNTIF($H$7:$H494,$H494)</f>
        <v>164</v>
      </c>
      <c r="F494" s="67">
        <f>'1.연간시수표'!$AL$33</f>
        <v>5</v>
      </c>
      <c r="G494" s="89">
        <f t="shared" si="23"/>
        <v>1</v>
      </c>
      <c r="H494" s="91" t="str">
        <f>INDEX('0.시간표데이터'!$E$10:$AR$32,QUOTIENT(ROW(A488)-1,40)+1,MOD(ROW(A488)-1,40)+1)</f>
        <v>_</v>
      </c>
      <c r="I494" s="76"/>
      <c r="J494" s="26"/>
      <c r="K494" s="165"/>
      <c r="L494" s="165"/>
      <c r="M494" s="166"/>
      <c r="N494" s="166"/>
      <c r="O494" s="166"/>
      <c r="P494" s="166"/>
      <c r="Q494" s="167"/>
      <c r="R494" s="111"/>
    </row>
    <row r="495" spans="1:18" ht="13.5" hidden="1" customHeight="1">
      <c r="A495" s="30">
        <v>489</v>
      </c>
      <c r="B495" s="24">
        <f>DATE('1.연간시수표'!$U$2,'1.연간시수표'!$X$2,'1.연간시수표'!$Z$2)+QUOTIENT(ROW(A489)-1,8)+(QUOTIENT(ROW(A489)-1,40)*2)</f>
        <v>44705</v>
      </c>
      <c r="C495" s="24" t="str">
        <f t="shared" si="21"/>
        <v>화</v>
      </c>
      <c r="D495" s="91" t="str">
        <f t="shared" si="22"/>
        <v>1교시</v>
      </c>
      <c r="E495" s="68">
        <f>COUNTIF($H$7:$H495,$H495)</f>
        <v>66</v>
      </c>
      <c r="F495" s="67">
        <f>'1.연간시수표'!$AL$33</f>
        <v>5</v>
      </c>
      <c r="G495" s="89">
        <f t="shared" si="23"/>
        <v>1</v>
      </c>
      <c r="H495" s="91" t="str">
        <f>INDEX('0.시간표데이터'!$E$10:$AR$32,QUOTIENT(ROW(A489)-1,40)+1,MOD(ROW(A489)-1,40)+1)</f>
        <v>국어</v>
      </c>
      <c r="I495" s="77"/>
      <c r="J495" s="26"/>
      <c r="K495" s="165"/>
      <c r="L495" s="165"/>
      <c r="M495" s="166"/>
      <c r="N495" s="166"/>
      <c r="O495" s="166"/>
      <c r="P495" s="166"/>
      <c r="Q495" s="167"/>
      <c r="R495" s="111"/>
    </row>
    <row r="496" spans="1:18" ht="13.5" hidden="1" customHeight="1">
      <c r="A496" s="30">
        <v>490</v>
      </c>
      <c r="B496" s="24">
        <f>DATE('1.연간시수표'!$U$2,'1.연간시수표'!$X$2,'1.연간시수표'!$Z$2)+QUOTIENT(ROW(A490)-1,8)+(QUOTIENT(ROW(A490)-1,40)*2)</f>
        <v>44705</v>
      </c>
      <c r="C496" s="24" t="str">
        <f t="shared" si="21"/>
        <v>화</v>
      </c>
      <c r="D496" s="91" t="str">
        <f t="shared" si="22"/>
        <v>2교시</v>
      </c>
      <c r="E496" s="68">
        <f>COUNTIF($H$7:$H496,$H496)</f>
        <v>67</v>
      </c>
      <c r="F496" s="67">
        <f>'1.연간시수표'!$AL$33</f>
        <v>5</v>
      </c>
      <c r="G496" s="89">
        <f t="shared" si="23"/>
        <v>1</v>
      </c>
      <c r="H496" s="91" t="str">
        <f>INDEX('0.시간표데이터'!$E$10:$AR$32,QUOTIENT(ROW(A490)-1,40)+1,MOD(ROW(A490)-1,40)+1)</f>
        <v>국어</v>
      </c>
      <c r="I496" s="161"/>
      <c r="J496" s="26"/>
      <c r="K496" s="165"/>
      <c r="L496" s="165"/>
      <c r="M496" s="166"/>
      <c r="N496" s="166"/>
      <c r="O496" s="166"/>
      <c r="P496" s="166"/>
      <c r="Q496" s="167"/>
      <c r="R496" s="111"/>
    </row>
    <row r="497" spans="1:18" ht="13.5" hidden="1" customHeight="1">
      <c r="A497" s="30">
        <v>491</v>
      </c>
      <c r="B497" s="24">
        <f>DATE('1.연간시수표'!$U$2,'1.연간시수표'!$X$2,'1.연간시수표'!$Z$2)+QUOTIENT(ROW(A491)-1,8)+(QUOTIENT(ROW(A491)-1,40)*2)</f>
        <v>44705</v>
      </c>
      <c r="C497" s="24" t="str">
        <f t="shared" si="21"/>
        <v>화</v>
      </c>
      <c r="D497" s="91" t="str">
        <f t="shared" si="22"/>
        <v>3교시</v>
      </c>
      <c r="E497" s="68">
        <f>COUNTIF($H$7:$H497,$H497)</f>
        <v>32</v>
      </c>
      <c r="F497" s="67">
        <f>'1.연간시수표'!$AL$33</f>
        <v>5</v>
      </c>
      <c r="G497" s="89">
        <f t="shared" si="23"/>
        <v>1</v>
      </c>
      <c r="H497" s="91" t="str">
        <f>INDEX('0.시간표데이터'!$E$10:$AR$32,QUOTIENT(ROW(A491)-1,40)+1,MOD(ROW(A491)-1,40)+1)</f>
        <v>사회</v>
      </c>
      <c r="I497" s="77"/>
      <c r="J497" s="26"/>
      <c r="K497" s="162"/>
      <c r="L497" s="162"/>
      <c r="M497" s="170"/>
      <c r="N497" s="98"/>
      <c r="O497" s="98"/>
      <c r="P497" s="98"/>
      <c r="Q497" s="167"/>
      <c r="R497" s="111"/>
    </row>
    <row r="498" spans="1:18" ht="13.5" hidden="1" customHeight="1">
      <c r="A498" s="30">
        <v>492</v>
      </c>
      <c r="B498" s="24">
        <f>DATE('1.연간시수표'!$U$2,'1.연간시수표'!$X$2,'1.연간시수표'!$Z$2)+QUOTIENT(ROW(A492)-1,8)+(QUOTIENT(ROW(A492)-1,40)*2)</f>
        <v>44705</v>
      </c>
      <c r="C498" s="24" t="str">
        <f t="shared" si="21"/>
        <v>화</v>
      </c>
      <c r="D498" s="91" t="str">
        <f t="shared" si="22"/>
        <v>4교시</v>
      </c>
      <c r="E498" s="68">
        <f>COUNTIF($H$7:$H498,$H498)</f>
        <v>44</v>
      </c>
      <c r="F498" s="67">
        <f>'1.연간시수표'!$AL$33</f>
        <v>5</v>
      </c>
      <c r="G498" s="89">
        <f t="shared" si="23"/>
        <v>1</v>
      </c>
      <c r="H498" s="91" t="str">
        <f>INDEX('0.시간표데이터'!$E$10:$AR$32,QUOTIENT(ROW(A492)-1,40)+1,MOD(ROW(A492)-1,40)+1)</f>
        <v>수학</v>
      </c>
      <c r="I498" s="77"/>
      <c r="J498" s="26"/>
      <c r="K498" s="162"/>
      <c r="L498" s="162"/>
      <c r="M498" s="168"/>
      <c r="N498" s="98"/>
      <c r="O498" s="99"/>
      <c r="P498" s="99"/>
      <c r="Q498" s="167"/>
      <c r="R498" s="111"/>
    </row>
    <row r="499" spans="1:18" ht="13.5" hidden="1" customHeight="1">
      <c r="A499" s="30">
        <v>493</v>
      </c>
      <c r="B499" s="24">
        <f>DATE('1.연간시수표'!$U$2,'1.연간시수표'!$X$2,'1.연간시수표'!$Z$2)+QUOTIENT(ROW(A493)-1,8)+(QUOTIENT(ROW(A493)-1,40)*2)</f>
        <v>44705</v>
      </c>
      <c r="C499" s="24" t="str">
        <f t="shared" si="21"/>
        <v>화</v>
      </c>
      <c r="D499" s="91" t="str">
        <f t="shared" si="22"/>
        <v>5교시</v>
      </c>
      <c r="E499" s="68">
        <f>COUNTIF($H$7:$H499,$H499)</f>
        <v>30</v>
      </c>
      <c r="F499" s="67">
        <f>'1.연간시수표'!$AL$33</f>
        <v>5</v>
      </c>
      <c r="G499" s="89">
        <f t="shared" si="23"/>
        <v>1</v>
      </c>
      <c r="H499" s="91" t="str">
        <f>INDEX('0.시간표데이터'!$E$10:$AR$32,QUOTIENT(ROW(A493)-1,40)+1,MOD(ROW(A493)-1,40)+1)</f>
        <v>과학</v>
      </c>
      <c r="I499" s="77"/>
      <c r="J499" s="26"/>
      <c r="K499" s="137"/>
      <c r="L499" s="137"/>
      <c r="M499" s="114"/>
      <c r="N499" s="114"/>
      <c r="O499" s="114"/>
      <c r="P499" s="114"/>
      <c r="Q499" s="164"/>
      <c r="R499" s="110"/>
    </row>
    <row r="500" spans="1:18" ht="13.5" hidden="1" customHeight="1">
      <c r="A500" s="30">
        <v>494</v>
      </c>
      <c r="B500" s="24">
        <f>DATE('1.연간시수표'!$U$2,'1.연간시수표'!$X$2,'1.연간시수표'!$Z$2)+QUOTIENT(ROW(A494)-1,8)+(QUOTIENT(ROW(A494)-1,40)*2)</f>
        <v>44705</v>
      </c>
      <c r="C500" s="24" t="str">
        <f t="shared" si="21"/>
        <v>화</v>
      </c>
      <c r="D500" s="91" t="str">
        <f t="shared" si="22"/>
        <v>6교시</v>
      </c>
      <c r="E500" s="68">
        <f>COUNTIF($H$7:$H500,$H500)</f>
        <v>22</v>
      </c>
      <c r="F500" s="67">
        <f>'1.연간시수표'!$AL$33</f>
        <v>5</v>
      </c>
      <c r="G500" s="89">
        <f t="shared" si="23"/>
        <v>1</v>
      </c>
      <c r="H500" s="91" t="str">
        <f>INDEX('0.시간표데이터'!$E$10:$AR$32,QUOTIENT(ROW(A494)-1,40)+1,MOD(ROW(A494)-1,40)+1)</f>
        <v>실과</v>
      </c>
      <c r="I500" s="77"/>
      <c r="J500" s="26"/>
      <c r="K500" s="165"/>
      <c r="L500" s="165"/>
      <c r="M500" s="166"/>
      <c r="N500" s="166"/>
      <c r="O500" s="166"/>
      <c r="P500" s="166"/>
      <c r="Q500" s="167"/>
      <c r="R500" s="111"/>
    </row>
    <row r="501" spans="1:18" ht="13.5" hidden="1" customHeight="1">
      <c r="A501" s="30">
        <v>495</v>
      </c>
      <c r="B501" s="24">
        <f>DATE('1.연간시수표'!$U$2,'1.연간시수표'!$X$2,'1.연간시수표'!$Z$2)+QUOTIENT(ROW(A495)-1,8)+(QUOTIENT(ROW(A495)-1,40)*2)</f>
        <v>44705</v>
      </c>
      <c r="C501" s="24" t="str">
        <f t="shared" si="21"/>
        <v>화</v>
      </c>
      <c r="D501" s="91" t="str">
        <f t="shared" si="22"/>
        <v>7교시</v>
      </c>
      <c r="E501" s="68">
        <f>COUNTIF($H$7:$H501,$H501)</f>
        <v>165</v>
      </c>
      <c r="F501" s="67">
        <f>'1.연간시수표'!$AL$33</f>
        <v>5</v>
      </c>
      <c r="G501" s="89">
        <f t="shared" si="23"/>
        <v>1</v>
      </c>
      <c r="H501" s="91" t="str">
        <f>INDEX('0.시간표데이터'!$E$10:$AR$32,QUOTIENT(ROW(A495)-1,40)+1,MOD(ROW(A495)-1,40)+1)</f>
        <v>_</v>
      </c>
      <c r="I501" s="76"/>
      <c r="J501" s="26"/>
      <c r="K501" s="165"/>
      <c r="L501" s="165"/>
      <c r="M501" s="166"/>
      <c r="N501" s="166"/>
      <c r="O501" s="166"/>
      <c r="P501" s="166"/>
      <c r="Q501" s="167"/>
      <c r="R501" s="111"/>
    </row>
    <row r="502" spans="1:18" ht="13.5" hidden="1" customHeight="1">
      <c r="A502" s="30">
        <v>496</v>
      </c>
      <c r="B502" s="24">
        <f>DATE('1.연간시수표'!$U$2,'1.연간시수표'!$X$2,'1.연간시수표'!$Z$2)+QUOTIENT(ROW(A496)-1,8)+(QUOTIENT(ROW(A496)-1,40)*2)</f>
        <v>44705</v>
      </c>
      <c r="C502" s="24" t="str">
        <f t="shared" si="21"/>
        <v>화</v>
      </c>
      <c r="D502" s="91" t="str">
        <f t="shared" si="22"/>
        <v>8교시</v>
      </c>
      <c r="E502" s="68">
        <f>COUNTIF($H$7:$H502,$H502)</f>
        <v>166</v>
      </c>
      <c r="F502" s="67">
        <f>'1.연간시수표'!$AL$33</f>
        <v>5</v>
      </c>
      <c r="G502" s="89">
        <f t="shared" si="23"/>
        <v>1</v>
      </c>
      <c r="H502" s="91" t="str">
        <f>INDEX('0.시간표데이터'!$E$10:$AR$32,QUOTIENT(ROW(A496)-1,40)+1,MOD(ROW(A496)-1,40)+1)</f>
        <v>_</v>
      </c>
      <c r="I502" s="76"/>
      <c r="J502" s="26"/>
      <c r="K502" s="165"/>
      <c r="L502" s="165"/>
      <c r="M502" s="166"/>
      <c r="N502" s="166"/>
      <c r="O502" s="166"/>
      <c r="P502" s="166"/>
      <c r="Q502" s="167"/>
      <c r="R502" s="111"/>
    </row>
    <row r="503" spans="1:18" ht="13.5" hidden="1" customHeight="1">
      <c r="A503" s="30">
        <v>497</v>
      </c>
      <c r="B503" s="24">
        <f>DATE('1.연간시수표'!$U$2,'1.연간시수표'!$X$2,'1.연간시수표'!$Z$2)+QUOTIENT(ROW(A497)-1,8)+(QUOTIENT(ROW(A497)-1,40)*2)</f>
        <v>44706</v>
      </c>
      <c r="C503" s="24" t="str">
        <f t="shared" si="21"/>
        <v>수</v>
      </c>
      <c r="D503" s="91" t="str">
        <f t="shared" si="22"/>
        <v>1교시</v>
      </c>
      <c r="E503" s="68">
        <f>COUNTIF($H$7:$H503,$H503)</f>
        <v>33</v>
      </c>
      <c r="F503" s="67">
        <f>'1.연간시수표'!$AL$33</f>
        <v>5</v>
      </c>
      <c r="G503" s="89">
        <f t="shared" si="23"/>
        <v>1</v>
      </c>
      <c r="H503" s="91" t="str">
        <f>INDEX('0.시간표데이터'!$E$10:$AR$32,QUOTIENT(ROW(A497)-1,40)+1,MOD(ROW(A497)-1,40)+1)</f>
        <v>영어</v>
      </c>
      <c r="I503" s="77"/>
      <c r="J503" s="26"/>
      <c r="K503" s="162"/>
      <c r="L503" s="162"/>
      <c r="M503" s="168"/>
      <c r="N503" s="98"/>
      <c r="O503" s="99"/>
      <c r="P503" s="99"/>
      <c r="Q503" s="167"/>
      <c r="R503" s="111"/>
    </row>
    <row r="504" spans="1:18" ht="13.5" hidden="1" customHeight="1">
      <c r="A504" s="30">
        <v>498</v>
      </c>
      <c r="B504" s="24">
        <f>DATE('1.연간시수표'!$U$2,'1.연간시수표'!$X$2,'1.연간시수표'!$Z$2)+QUOTIENT(ROW(A498)-1,8)+(QUOTIENT(ROW(A498)-1,40)*2)</f>
        <v>44706</v>
      </c>
      <c r="C504" s="24" t="str">
        <f t="shared" si="21"/>
        <v>수</v>
      </c>
      <c r="D504" s="91" t="str">
        <f t="shared" si="22"/>
        <v>2교시</v>
      </c>
      <c r="E504" s="68">
        <f>COUNTIF($H$7:$H504,$H504)</f>
        <v>31</v>
      </c>
      <c r="F504" s="67">
        <f>'1.연간시수표'!$AL$33</f>
        <v>5</v>
      </c>
      <c r="G504" s="89">
        <f t="shared" si="23"/>
        <v>1</v>
      </c>
      <c r="H504" s="91" t="str">
        <f>INDEX('0.시간표데이터'!$E$10:$AR$32,QUOTIENT(ROW(A498)-1,40)+1,MOD(ROW(A498)-1,40)+1)</f>
        <v>과학</v>
      </c>
      <c r="I504" s="77"/>
      <c r="J504" s="26"/>
      <c r="K504" s="137"/>
      <c r="L504" s="137"/>
      <c r="M504" s="114"/>
      <c r="N504" s="114"/>
      <c r="O504" s="114"/>
      <c r="P504" s="114"/>
      <c r="Q504" s="164"/>
      <c r="R504" s="110"/>
    </row>
    <row r="505" spans="1:18" ht="13.5" hidden="1" customHeight="1">
      <c r="A505" s="30">
        <v>499</v>
      </c>
      <c r="B505" s="24">
        <f>DATE('1.연간시수표'!$U$2,'1.연간시수표'!$X$2,'1.연간시수표'!$Z$2)+QUOTIENT(ROW(A499)-1,8)+(QUOTIENT(ROW(A499)-1,40)*2)</f>
        <v>44706</v>
      </c>
      <c r="C505" s="24" t="str">
        <f t="shared" si="21"/>
        <v>수</v>
      </c>
      <c r="D505" s="91" t="str">
        <f t="shared" si="22"/>
        <v>3교시</v>
      </c>
      <c r="E505" s="68">
        <f>COUNTIF($H$7:$H505,$H505)</f>
        <v>21</v>
      </c>
      <c r="F505" s="67">
        <f>'1.연간시수표'!$AL$33</f>
        <v>5</v>
      </c>
      <c r="G505" s="89">
        <f t="shared" si="23"/>
        <v>1</v>
      </c>
      <c r="H505" s="91" t="str">
        <f>INDEX('0.시간표데이터'!$E$10:$AR$32,QUOTIENT(ROW(A499)-1,40)+1,MOD(ROW(A499)-1,40)+1)</f>
        <v>체육</v>
      </c>
      <c r="I505" s="77"/>
      <c r="J505" s="26"/>
      <c r="K505" s="162"/>
      <c r="L505" s="162"/>
      <c r="M505" s="169"/>
      <c r="N505" s="101"/>
      <c r="O505" s="99"/>
      <c r="P505" s="99"/>
      <c r="Q505" s="167"/>
      <c r="R505" s="111"/>
    </row>
    <row r="506" spans="1:18" ht="13.5" customHeight="1">
      <c r="A506" s="30">
        <v>500</v>
      </c>
      <c r="B506" s="24">
        <f>DATE('1.연간시수표'!$U$2,'1.연간시수표'!$X$2,'1.연간시수표'!$Z$2)+QUOTIENT(ROW(A500)-1,8)+(QUOTIENT(ROW(A500)-1,40)*2)</f>
        <v>44706</v>
      </c>
      <c r="C506" s="24" t="str">
        <f t="shared" si="21"/>
        <v>수</v>
      </c>
      <c r="D506" s="91" t="str">
        <f t="shared" si="22"/>
        <v>4교시</v>
      </c>
      <c r="E506" s="68">
        <f>COUNTIF($H$7:$H506,$H506)</f>
        <v>23</v>
      </c>
      <c r="F506" s="67">
        <f>'1.연간시수표'!$AL$33</f>
        <v>5</v>
      </c>
      <c r="G506" s="89">
        <f t="shared" si="23"/>
        <v>1</v>
      </c>
      <c r="H506" s="91" t="str">
        <f>INDEX('0.시간표데이터'!$E$10:$AR$32,QUOTIENT(ROW(A500)-1,40)+1,MOD(ROW(A500)-1,40)+1)</f>
        <v>음악</v>
      </c>
      <c r="I506" s="77"/>
      <c r="J506" s="26"/>
      <c r="K506" s="173"/>
      <c r="L506" s="173"/>
      <c r="M506" s="10"/>
      <c r="N506" s="10"/>
      <c r="O506" s="10"/>
      <c r="P506" s="10"/>
      <c r="Q506" s="164"/>
      <c r="R506" s="109"/>
    </row>
    <row r="507" spans="1:18" ht="13.5" customHeight="1">
      <c r="A507" s="30">
        <v>501</v>
      </c>
      <c r="B507" s="24">
        <f>DATE('1.연간시수표'!$U$2,'1.연간시수표'!$X$2,'1.연간시수표'!$Z$2)+QUOTIENT(ROW(A501)-1,8)+(QUOTIENT(ROW(A501)-1,40)*2)</f>
        <v>44706</v>
      </c>
      <c r="C507" s="24" t="str">
        <f t="shared" si="21"/>
        <v>수</v>
      </c>
      <c r="D507" s="91" t="str">
        <f t="shared" si="22"/>
        <v>5교시</v>
      </c>
      <c r="E507" s="68">
        <f>COUNTIF($H$7:$H507,$H507)</f>
        <v>12</v>
      </c>
      <c r="F507" s="67">
        <f>'1.연간시수표'!$AL$33</f>
        <v>5</v>
      </c>
      <c r="G507" s="89">
        <f t="shared" si="23"/>
        <v>1</v>
      </c>
      <c r="H507" s="91" t="str">
        <f>INDEX('0.시간표데이터'!$E$10:$AR$32,QUOTIENT(ROW(A501)-1,40)+1,MOD(ROW(A501)-1,40)+1)</f>
        <v>도덕</v>
      </c>
      <c r="I507" s="77"/>
      <c r="J507" s="26"/>
      <c r="K507" s="173"/>
      <c r="L507" s="173"/>
      <c r="M507" s="10"/>
      <c r="N507" s="10"/>
      <c r="O507" s="10"/>
      <c r="P507" s="10"/>
      <c r="Q507" s="164"/>
      <c r="R507" s="109"/>
    </row>
    <row r="508" spans="1:18" ht="13.5" hidden="1" customHeight="1">
      <c r="A508" s="30">
        <v>502</v>
      </c>
      <c r="B508" s="24">
        <f>DATE('1.연간시수표'!$U$2,'1.연간시수표'!$X$2,'1.연간시수표'!$Z$2)+QUOTIENT(ROW(A502)-1,8)+(QUOTIENT(ROW(A502)-1,40)*2)</f>
        <v>44706</v>
      </c>
      <c r="C508" s="24" t="str">
        <f t="shared" si="21"/>
        <v>수</v>
      </c>
      <c r="D508" s="91" t="str">
        <f t="shared" si="22"/>
        <v>6교시</v>
      </c>
      <c r="E508" s="68">
        <f>COUNTIF($H$7:$H508,$H508)</f>
        <v>167</v>
      </c>
      <c r="F508" s="67">
        <f>'1.연간시수표'!$AL$33</f>
        <v>5</v>
      </c>
      <c r="G508" s="89">
        <f t="shared" si="23"/>
        <v>1</v>
      </c>
      <c r="H508" s="91" t="str">
        <f>INDEX('0.시간표데이터'!$E$10:$AR$32,QUOTIENT(ROW(A502)-1,40)+1,MOD(ROW(A502)-1,40)+1)</f>
        <v>_</v>
      </c>
      <c r="I508" s="77"/>
      <c r="J508" s="26"/>
      <c r="K508" s="165"/>
      <c r="L508" s="165"/>
      <c r="M508" s="166"/>
      <c r="N508" s="166"/>
      <c r="O508" s="166"/>
      <c r="P508" s="166"/>
      <c r="Q508" s="167"/>
      <c r="R508" s="111"/>
    </row>
    <row r="509" spans="1:18" ht="13.5" hidden="1" customHeight="1">
      <c r="A509" s="30">
        <v>503</v>
      </c>
      <c r="B509" s="24">
        <f>DATE('1.연간시수표'!$U$2,'1.연간시수표'!$X$2,'1.연간시수표'!$Z$2)+QUOTIENT(ROW(A503)-1,8)+(QUOTIENT(ROW(A503)-1,40)*2)</f>
        <v>44706</v>
      </c>
      <c r="C509" s="24" t="str">
        <f t="shared" si="21"/>
        <v>수</v>
      </c>
      <c r="D509" s="91" t="str">
        <f t="shared" si="22"/>
        <v>7교시</v>
      </c>
      <c r="E509" s="68">
        <f>COUNTIF($H$7:$H509,$H509)</f>
        <v>168</v>
      </c>
      <c r="F509" s="67">
        <f>'1.연간시수표'!$AL$33</f>
        <v>5</v>
      </c>
      <c r="G509" s="89">
        <f t="shared" si="23"/>
        <v>1</v>
      </c>
      <c r="H509" s="91" t="str">
        <f>INDEX('0.시간표데이터'!$E$10:$AR$32,QUOTIENT(ROW(A503)-1,40)+1,MOD(ROW(A503)-1,40)+1)</f>
        <v>_</v>
      </c>
      <c r="I509" s="76"/>
      <c r="J509" s="26"/>
      <c r="K509" s="165"/>
      <c r="L509" s="165"/>
      <c r="M509" s="166"/>
      <c r="N509" s="166"/>
      <c r="O509" s="166"/>
      <c r="P509" s="166"/>
      <c r="Q509" s="167"/>
      <c r="R509" s="111"/>
    </row>
    <row r="510" spans="1:18" ht="13.5" hidden="1" customHeight="1">
      <c r="A510" s="30">
        <v>504</v>
      </c>
      <c r="B510" s="24">
        <f>DATE('1.연간시수표'!$U$2,'1.연간시수표'!$X$2,'1.연간시수표'!$Z$2)+QUOTIENT(ROW(A504)-1,8)+(QUOTIENT(ROW(A504)-1,40)*2)</f>
        <v>44706</v>
      </c>
      <c r="C510" s="24" t="str">
        <f t="shared" si="21"/>
        <v>수</v>
      </c>
      <c r="D510" s="91" t="str">
        <f t="shared" si="22"/>
        <v>8교시</v>
      </c>
      <c r="E510" s="68">
        <f>COUNTIF($H$7:$H510,$H510)</f>
        <v>169</v>
      </c>
      <c r="F510" s="67">
        <f>'1.연간시수표'!$AL$33</f>
        <v>5</v>
      </c>
      <c r="G510" s="89">
        <f t="shared" si="23"/>
        <v>1</v>
      </c>
      <c r="H510" s="91" t="str">
        <f>INDEX('0.시간표데이터'!$E$10:$AR$32,QUOTIENT(ROW(A504)-1,40)+1,MOD(ROW(A504)-1,40)+1)</f>
        <v>_</v>
      </c>
      <c r="I510" s="76"/>
      <c r="J510" s="26"/>
      <c r="K510" s="165"/>
      <c r="L510" s="165"/>
      <c r="M510" s="166"/>
      <c r="N510" s="166"/>
      <c r="O510" s="166"/>
      <c r="P510" s="166"/>
      <c r="Q510" s="167"/>
      <c r="R510" s="111"/>
    </row>
    <row r="511" spans="1:18" ht="13.5" hidden="1" customHeight="1">
      <c r="A511" s="30">
        <v>505</v>
      </c>
      <c r="B511" s="24">
        <f>DATE('1.연간시수표'!$U$2,'1.연간시수표'!$X$2,'1.연간시수표'!$Z$2)+QUOTIENT(ROW(A505)-1,8)+(QUOTIENT(ROW(A505)-1,40)*2)</f>
        <v>44707</v>
      </c>
      <c r="C511" s="24" t="str">
        <f t="shared" si="21"/>
        <v>목</v>
      </c>
      <c r="D511" s="91" t="str">
        <f t="shared" si="22"/>
        <v>1교시</v>
      </c>
      <c r="E511" s="68">
        <f>COUNTIF($H$7:$H511,$H511)</f>
        <v>68</v>
      </c>
      <c r="F511" s="67">
        <f>'1.연간시수표'!$AL$33</f>
        <v>5</v>
      </c>
      <c r="G511" s="89">
        <f t="shared" si="23"/>
        <v>1</v>
      </c>
      <c r="H511" s="91" t="str">
        <f>INDEX('0.시간표데이터'!$E$10:$AR$32,QUOTIENT(ROW(A505)-1,40)+1,MOD(ROW(A505)-1,40)+1)</f>
        <v>국어</v>
      </c>
      <c r="I511" s="77"/>
      <c r="J511" s="26"/>
      <c r="K511" s="162"/>
      <c r="L511" s="162"/>
      <c r="M511" s="168"/>
      <c r="N511" s="98"/>
      <c r="O511" s="99"/>
      <c r="P511" s="99"/>
      <c r="Q511" s="167"/>
      <c r="R511" s="111"/>
    </row>
    <row r="512" spans="1:18" ht="13.5" hidden="1" customHeight="1">
      <c r="A512" s="30">
        <v>506</v>
      </c>
      <c r="B512" s="24">
        <f>DATE('1.연간시수표'!$U$2,'1.연간시수표'!$X$2,'1.연간시수표'!$Z$2)+QUOTIENT(ROW(A506)-1,8)+(QUOTIENT(ROW(A506)-1,40)*2)</f>
        <v>44707</v>
      </c>
      <c r="C512" s="24" t="str">
        <f t="shared" si="21"/>
        <v>목</v>
      </c>
      <c r="D512" s="91" t="str">
        <f t="shared" si="22"/>
        <v>2교시</v>
      </c>
      <c r="E512" s="68">
        <f>COUNTIF($H$7:$H512,$H512)</f>
        <v>45</v>
      </c>
      <c r="F512" s="67">
        <f>'1.연간시수표'!$AL$33</f>
        <v>5</v>
      </c>
      <c r="G512" s="89">
        <f t="shared" si="23"/>
        <v>1</v>
      </c>
      <c r="H512" s="91" t="str">
        <f>INDEX('0.시간표데이터'!$E$10:$AR$32,QUOTIENT(ROW(A506)-1,40)+1,MOD(ROW(A506)-1,40)+1)</f>
        <v>수학</v>
      </c>
      <c r="I512" s="161"/>
      <c r="J512" s="26"/>
      <c r="K512" s="165"/>
      <c r="L512" s="165"/>
      <c r="M512" s="166"/>
      <c r="N512" s="166"/>
      <c r="O512" s="166"/>
      <c r="P512" s="166"/>
      <c r="Q512" s="167"/>
      <c r="R512" s="111"/>
    </row>
    <row r="513" spans="1:18" ht="13.5" customHeight="1">
      <c r="A513" s="30">
        <v>507</v>
      </c>
      <c r="B513" s="24">
        <f>DATE('1.연간시수표'!$U$2,'1.연간시수표'!$X$2,'1.연간시수표'!$Z$2)+QUOTIENT(ROW(A507)-1,8)+(QUOTIENT(ROW(A507)-1,40)*2)</f>
        <v>44707</v>
      </c>
      <c r="C513" s="24" t="str">
        <f t="shared" si="21"/>
        <v>목</v>
      </c>
      <c r="D513" s="91" t="str">
        <f t="shared" si="22"/>
        <v>3교시</v>
      </c>
      <c r="E513" s="68">
        <f>COUNTIF($H$7:$H513,$H513)</f>
        <v>33</v>
      </c>
      <c r="F513" s="67">
        <f>'1.연간시수표'!$AL$33</f>
        <v>5</v>
      </c>
      <c r="G513" s="89">
        <f t="shared" si="23"/>
        <v>1</v>
      </c>
      <c r="H513" s="91" t="str">
        <f>INDEX('0.시간표데이터'!$E$10:$AR$32,QUOTIENT(ROW(A507)-1,40)+1,MOD(ROW(A507)-1,40)+1)</f>
        <v>사회</v>
      </c>
      <c r="I513" s="77"/>
      <c r="J513" s="26"/>
      <c r="K513" s="173"/>
      <c r="L513" s="173"/>
      <c r="M513" s="10"/>
      <c r="N513" s="10"/>
      <c r="O513" s="10"/>
      <c r="P513" s="10"/>
      <c r="Q513" s="164"/>
      <c r="R513" s="109"/>
    </row>
    <row r="514" spans="1:18" ht="13.5" customHeight="1">
      <c r="A514" s="30">
        <v>508</v>
      </c>
      <c r="B514" s="24">
        <f>DATE('1.연간시수표'!$U$2,'1.연간시수표'!$X$2,'1.연간시수표'!$Z$2)+QUOTIENT(ROW(A508)-1,8)+(QUOTIENT(ROW(A508)-1,40)*2)</f>
        <v>44707</v>
      </c>
      <c r="C514" s="24" t="str">
        <f t="shared" si="21"/>
        <v>목</v>
      </c>
      <c r="D514" s="91" t="str">
        <f t="shared" si="22"/>
        <v>4교시</v>
      </c>
      <c r="E514" s="68">
        <f>COUNTIF($H$7:$H514,$H514)</f>
        <v>34</v>
      </c>
      <c r="F514" s="67">
        <f>'1.연간시수표'!$AL$33</f>
        <v>5</v>
      </c>
      <c r="G514" s="89">
        <f t="shared" si="23"/>
        <v>1</v>
      </c>
      <c r="H514" s="91" t="str">
        <f>INDEX('0.시간표데이터'!$E$10:$AR$32,QUOTIENT(ROW(A508)-1,40)+1,MOD(ROW(A508)-1,40)+1)</f>
        <v>영어</v>
      </c>
      <c r="I514" s="77"/>
      <c r="J514" s="26"/>
      <c r="K514" s="173"/>
      <c r="L514" s="173"/>
      <c r="M514" s="10"/>
      <c r="N514" s="10"/>
      <c r="O514" s="10"/>
      <c r="P514" s="10"/>
      <c r="Q514" s="164"/>
      <c r="R514" s="109"/>
    </row>
    <row r="515" spans="1:18" ht="13.5" hidden="1" customHeight="1">
      <c r="A515" s="30">
        <v>509</v>
      </c>
      <c r="B515" s="24">
        <f>DATE('1.연간시수표'!$U$2,'1.연간시수표'!$X$2,'1.연간시수표'!$Z$2)+QUOTIENT(ROW(A509)-1,8)+(QUOTIENT(ROW(A509)-1,40)*2)</f>
        <v>44707</v>
      </c>
      <c r="C515" s="24" t="str">
        <f t="shared" si="21"/>
        <v>목</v>
      </c>
      <c r="D515" s="91" t="str">
        <f t="shared" si="22"/>
        <v>5교시</v>
      </c>
      <c r="E515" s="68">
        <f>COUNTIF($H$7:$H515,$H515)</f>
        <v>32</v>
      </c>
      <c r="F515" s="67">
        <f>'1.연간시수표'!$AL$33</f>
        <v>5</v>
      </c>
      <c r="G515" s="89">
        <f t="shared" si="23"/>
        <v>1</v>
      </c>
      <c r="H515" s="91" t="str">
        <f>INDEX('0.시간표데이터'!$E$10:$AR$32,QUOTIENT(ROW(A509)-1,40)+1,MOD(ROW(A509)-1,40)+1)</f>
        <v>과학</v>
      </c>
      <c r="I515" s="77"/>
      <c r="J515" s="26"/>
      <c r="K515" s="162"/>
      <c r="L515" s="162"/>
      <c r="M515" s="170"/>
      <c r="N515" s="98"/>
      <c r="O515" s="98"/>
      <c r="P515" s="98"/>
      <c r="Q515" s="167"/>
      <c r="R515" s="111"/>
    </row>
    <row r="516" spans="1:18" ht="13.5" hidden="1" customHeight="1">
      <c r="A516" s="30">
        <v>510</v>
      </c>
      <c r="B516" s="24">
        <f>DATE('1.연간시수표'!$U$2,'1.연간시수표'!$X$2,'1.연간시수표'!$Z$2)+QUOTIENT(ROW(A510)-1,8)+(QUOTIENT(ROW(A510)-1,40)*2)</f>
        <v>44707</v>
      </c>
      <c r="C516" s="24" t="str">
        <f t="shared" si="21"/>
        <v>목</v>
      </c>
      <c r="D516" s="91" t="str">
        <f t="shared" si="22"/>
        <v>6교시</v>
      </c>
      <c r="E516" s="68">
        <f>COUNTIF($H$7:$H516,$H516)</f>
        <v>24</v>
      </c>
      <c r="F516" s="67">
        <f>'1.연간시수표'!$AL$33</f>
        <v>5</v>
      </c>
      <c r="G516" s="89">
        <f t="shared" si="23"/>
        <v>1</v>
      </c>
      <c r="H516" s="91" t="str">
        <f>INDEX('0.시간표데이터'!$E$10:$AR$32,QUOTIENT(ROW(A510)-1,40)+1,MOD(ROW(A510)-1,40)+1)</f>
        <v>음악</v>
      </c>
      <c r="I516" s="161"/>
      <c r="J516" s="26"/>
      <c r="K516" s="162"/>
      <c r="L516" s="162"/>
      <c r="M516" s="170"/>
      <c r="N516" s="98"/>
      <c r="O516" s="98"/>
      <c r="P516" s="98"/>
      <c r="Q516" s="167"/>
      <c r="R516" s="111"/>
    </row>
    <row r="517" spans="1:18" hidden="1">
      <c r="A517" s="30">
        <v>511</v>
      </c>
      <c r="B517" s="24">
        <f>DATE('1.연간시수표'!$U$2,'1.연간시수표'!$X$2,'1.연간시수표'!$Z$2)+QUOTIENT(ROW(A511)-1,8)+(QUOTIENT(ROW(A511)-1,40)*2)</f>
        <v>44707</v>
      </c>
      <c r="C517" s="24" t="str">
        <f t="shared" si="21"/>
        <v>목</v>
      </c>
      <c r="D517" s="91" t="str">
        <f t="shared" si="22"/>
        <v>7교시</v>
      </c>
      <c r="E517" s="68">
        <f>COUNTIF($H$7:$H517,$H517)</f>
        <v>170</v>
      </c>
      <c r="F517" s="67">
        <f>'1.연간시수표'!$AL$33</f>
        <v>5</v>
      </c>
      <c r="G517" s="89">
        <f t="shared" si="23"/>
        <v>1</v>
      </c>
      <c r="H517" s="91" t="str">
        <f>INDEX('0.시간표데이터'!$E$10:$AR$32,QUOTIENT(ROW(A511)-1,40)+1,MOD(ROW(A511)-1,40)+1)</f>
        <v>_</v>
      </c>
      <c r="I517" s="76"/>
      <c r="J517" s="26"/>
      <c r="K517" s="165"/>
      <c r="L517" s="165"/>
      <c r="M517" s="166"/>
      <c r="N517" s="166"/>
      <c r="O517" s="166"/>
      <c r="P517" s="166"/>
      <c r="Q517" s="167"/>
      <c r="R517" s="111"/>
    </row>
    <row r="518" spans="1:18" hidden="1">
      <c r="A518" s="30">
        <v>512</v>
      </c>
      <c r="B518" s="24">
        <f>DATE('1.연간시수표'!$U$2,'1.연간시수표'!$X$2,'1.연간시수표'!$Z$2)+QUOTIENT(ROW(A512)-1,8)+(QUOTIENT(ROW(A512)-1,40)*2)</f>
        <v>44707</v>
      </c>
      <c r="C518" s="24" t="str">
        <f t="shared" si="21"/>
        <v>목</v>
      </c>
      <c r="D518" s="91" t="str">
        <f t="shared" si="22"/>
        <v>8교시</v>
      </c>
      <c r="E518" s="68">
        <f>COUNTIF($H$7:$H518,$H518)</f>
        <v>171</v>
      </c>
      <c r="F518" s="67">
        <f>'1.연간시수표'!$AL$33</f>
        <v>5</v>
      </c>
      <c r="G518" s="89">
        <f t="shared" si="23"/>
        <v>1</v>
      </c>
      <c r="H518" s="91" t="str">
        <f>INDEX('0.시간표데이터'!$E$10:$AR$32,QUOTIENT(ROW(A512)-1,40)+1,MOD(ROW(A512)-1,40)+1)</f>
        <v>_</v>
      </c>
      <c r="I518" s="76"/>
      <c r="J518" s="26"/>
      <c r="K518" s="165"/>
      <c r="L518" s="165"/>
      <c r="M518" s="166"/>
      <c r="N518" s="166"/>
      <c r="O518" s="166"/>
      <c r="P518" s="166"/>
      <c r="Q518" s="167"/>
      <c r="R518" s="111"/>
    </row>
    <row r="519" spans="1:18" ht="13.5" hidden="1" customHeight="1">
      <c r="A519" s="30">
        <v>513</v>
      </c>
      <c r="B519" s="24">
        <f>DATE('1.연간시수표'!$U$2,'1.연간시수표'!$X$2,'1.연간시수표'!$Z$2)+QUOTIENT(ROW(A513)-1,8)+(QUOTIENT(ROW(A513)-1,40)*2)</f>
        <v>44708</v>
      </c>
      <c r="C519" s="24" t="str">
        <f t="shared" ref="C519:C582" si="24">IF(WEEKDAY(B519,2)=1,"월",IF(WEEKDAY(B519,2)=2,"화",IF(WEEKDAY(B519,2)=3,"수",IF(WEEKDAY(B519,2)=4,"목",IF(WEEKDAY(B519,2)=5,"금")))))</f>
        <v>금</v>
      </c>
      <c r="D519" s="91" t="str">
        <f t="shared" ref="D519:D582" si="25">TEXT(MOD(ROW(A513)-1,8)+1,"#교시")</f>
        <v>1교시</v>
      </c>
      <c r="E519" s="68">
        <f>COUNTIF($H$7:$H519,$H519)</f>
        <v>19</v>
      </c>
      <c r="F519" s="67">
        <f>'1.연간시수표'!$AL$33</f>
        <v>5</v>
      </c>
      <c r="G519" s="89">
        <f t="shared" ref="G519:G582" si="26">$A$2</f>
        <v>1</v>
      </c>
      <c r="H519" s="91" t="str">
        <f>INDEX('0.시간표데이터'!$E$10:$AR$32,QUOTIENT(ROW(A513)-1,40)+1,MOD(ROW(A513)-1,40)+1)</f>
        <v>자율활동</v>
      </c>
      <c r="I519" s="77"/>
      <c r="J519" s="26"/>
      <c r="K519" s="162"/>
      <c r="L519" s="162"/>
      <c r="M519" s="168"/>
      <c r="N519" s="98"/>
      <c r="O519" s="99"/>
      <c r="P519" s="99"/>
      <c r="Q519" s="167"/>
      <c r="R519" s="111"/>
    </row>
    <row r="520" spans="1:18" ht="13.5" hidden="1" customHeight="1">
      <c r="A520" s="30">
        <v>514</v>
      </c>
      <c r="B520" s="24">
        <f>DATE('1.연간시수표'!$U$2,'1.연간시수표'!$X$2,'1.연간시수표'!$Z$2)+QUOTIENT(ROW(A514)-1,8)+(QUOTIENT(ROW(A514)-1,40)*2)</f>
        <v>44708</v>
      </c>
      <c r="C520" s="24" t="str">
        <f t="shared" si="24"/>
        <v>금</v>
      </c>
      <c r="D520" s="91" t="str">
        <f t="shared" si="25"/>
        <v>2교시</v>
      </c>
      <c r="E520" s="68">
        <f>COUNTIF($H$7:$H520,$H520)</f>
        <v>22</v>
      </c>
      <c r="F520" s="67">
        <f>'1.연간시수표'!$AL$33</f>
        <v>5</v>
      </c>
      <c r="G520" s="89">
        <f t="shared" si="26"/>
        <v>1</v>
      </c>
      <c r="H520" s="91" t="str">
        <f>INDEX('0.시간표데이터'!$E$10:$AR$32,QUOTIENT(ROW(A514)-1,40)+1,MOD(ROW(A514)-1,40)+1)</f>
        <v>체육</v>
      </c>
      <c r="I520" s="77"/>
      <c r="J520" s="26"/>
      <c r="K520" s="162"/>
      <c r="L520" s="162"/>
      <c r="M520" s="168"/>
      <c r="N520" s="98"/>
      <c r="O520" s="99"/>
      <c r="P520" s="99"/>
      <c r="Q520" s="167"/>
      <c r="R520" s="111"/>
    </row>
    <row r="521" spans="1:18" ht="13.5" hidden="1" customHeight="1">
      <c r="A521" s="30">
        <v>515</v>
      </c>
      <c r="B521" s="24">
        <f>DATE('1.연간시수표'!$U$2,'1.연간시수표'!$X$2,'1.연간시수표'!$Z$2)+QUOTIENT(ROW(A515)-1,8)+(QUOTIENT(ROW(A515)-1,40)*2)</f>
        <v>44708</v>
      </c>
      <c r="C521" s="24" t="str">
        <f t="shared" si="24"/>
        <v>금</v>
      </c>
      <c r="D521" s="91" t="str">
        <f t="shared" si="25"/>
        <v>3교시</v>
      </c>
      <c r="E521" s="68">
        <f>COUNTIF($H$7:$H521,$H521)</f>
        <v>46</v>
      </c>
      <c r="F521" s="67">
        <f>'1.연간시수표'!$AL$33</f>
        <v>5</v>
      </c>
      <c r="G521" s="89">
        <f t="shared" si="26"/>
        <v>1</v>
      </c>
      <c r="H521" s="91" t="str">
        <f>INDEX('0.시간표데이터'!$E$10:$AR$32,QUOTIENT(ROW(A515)-1,40)+1,MOD(ROW(A515)-1,40)+1)</f>
        <v>수학</v>
      </c>
      <c r="I521" s="77"/>
      <c r="J521" s="26"/>
      <c r="K521" s="165"/>
      <c r="L521" s="165"/>
      <c r="M521" s="166"/>
      <c r="N521" s="166"/>
      <c r="O521" s="166"/>
      <c r="P521" s="166"/>
      <c r="Q521" s="167"/>
      <c r="R521" s="111"/>
    </row>
    <row r="522" spans="1:18" ht="13.5" hidden="1" customHeight="1">
      <c r="A522" s="30">
        <v>516</v>
      </c>
      <c r="B522" s="24">
        <f>DATE('1.연간시수표'!$U$2,'1.연간시수표'!$X$2,'1.연간시수표'!$Z$2)+QUOTIENT(ROW(A516)-1,8)+(QUOTIENT(ROW(A516)-1,40)*2)</f>
        <v>44708</v>
      </c>
      <c r="C522" s="24" t="str">
        <f t="shared" si="24"/>
        <v>금</v>
      </c>
      <c r="D522" s="91" t="str">
        <f t="shared" si="25"/>
        <v>4교시</v>
      </c>
      <c r="E522" s="68">
        <f>COUNTIF($H$7:$H522,$H522)</f>
        <v>69</v>
      </c>
      <c r="F522" s="67">
        <f>'1.연간시수표'!$AL$33</f>
        <v>5</v>
      </c>
      <c r="G522" s="89">
        <f t="shared" si="26"/>
        <v>1</v>
      </c>
      <c r="H522" s="91" t="str">
        <f>INDEX('0.시간표데이터'!$E$10:$AR$32,QUOTIENT(ROW(A516)-1,40)+1,MOD(ROW(A516)-1,40)+1)</f>
        <v>국어</v>
      </c>
      <c r="I522" s="77"/>
      <c r="J522" s="26"/>
      <c r="K522" s="162"/>
      <c r="L522" s="162"/>
      <c r="M522" s="169"/>
      <c r="N522" s="101"/>
      <c r="O522" s="99"/>
      <c r="P522" s="99"/>
      <c r="Q522" s="167"/>
      <c r="R522" s="111"/>
    </row>
    <row r="523" spans="1:18" ht="13.5" customHeight="1">
      <c r="A523" s="30">
        <v>517</v>
      </c>
      <c r="B523" s="24">
        <f>DATE('1.연간시수표'!$U$2,'1.연간시수표'!$X$2,'1.연간시수표'!$Z$2)+QUOTIENT(ROW(A517)-1,8)+(QUOTIENT(ROW(A517)-1,40)*2)</f>
        <v>44708</v>
      </c>
      <c r="C523" s="24" t="str">
        <f t="shared" si="24"/>
        <v>금</v>
      </c>
      <c r="D523" s="91" t="str">
        <f t="shared" si="25"/>
        <v>5교시</v>
      </c>
      <c r="E523" s="68">
        <f>COUNTIF($H$7:$H523,$H523)</f>
        <v>34</v>
      </c>
      <c r="F523" s="67">
        <f>'1.연간시수표'!$AL$33</f>
        <v>5</v>
      </c>
      <c r="G523" s="89">
        <f t="shared" si="26"/>
        <v>1</v>
      </c>
      <c r="H523" s="91" t="str">
        <f>INDEX('0.시간표데이터'!$E$10:$AR$32,QUOTIENT(ROW(A517)-1,40)+1,MOD(ROW(A517)-1,40)+1)</f>
        <v>사회</v>
      </c>
      <c r="I523" s="77"/>
      <c r="J523" s="26"/>
      <c r="K523" s="173"/>
      <c r="L523" s="173"/>
      <c r="M523" s="179"/>
      <c r="N523" s="112"/>
      <c r="O523" s="112"/>
      <c r="P523" s="112"/>
      <c r="Q523" s="164"/>
      <c r="R523" s="110"/>
    </row>
    <row r="524" spans="1:18" ht="13.5" hidden="1" customHeight="1">
      <c r="A524" s="30">
        <v>518</v>
      </c>
      <c r="B524" s="24">
        <f>DATE('1.연간시수표'!$U$2,'1.연간시수표'!$X$2,'1.연간시수표'!$Z$2)+QUOTIENT(ROW(A518)-1,8)+(QUOTIENT(ROW(A518)-1,40)*2)</f>
        <v>44708</v>
      </c>
      <c r="C524" s="24" t="str">
        <f t="shared" si="24"/>
        <v>금</v>
      </c>
      <c r="D524" s="91" t="str">
        <f t="shared" si="25"/>
        <v>6교시</v>
      </c>
      <c r="E524" s="68">
        <f>COUNTIF($H$7:$H524,$H524)</f>
        <v>23</v>
      </c>
      <c r="F524" s="67">
        <f>'1.연간시수표'!$AL$33</f>
        <v>5</v>
      </c>
      <c r="G524" s="89">
        <f t="shared" si="26"/>
        <v>1</v>
      </c>
      <c r="H524" s="91" t="str">
        <f>INDEX('0.시간표데이터'!$E$10:$AR$32,QUOTIENT(ROW(A518)-1,40)+1,MOD(ROW(A518)-1,40)+1)</f>
        <v>실과</v>
      </c>
      <c r="I524" s="77"/>
      <c r="J524" s="26"/>
      <c r="K524" s="165"/>
      <c r="L524" s="165"/>
      <c r="M524" s="166"/>
      <c r="N524" s="166"/>
      <c r="O524" s="166"/>
      <c r="P524" s="166"/>
      <c r="Q524" s="167"/>
      <c r="R524" s="111"/>
    </row>
    <row r="525" spans="1:18" ht="13.5" hidden="1" customHeight="1">
      <c r="A525" s="30">
        <v>519</v>
      </c>
      <c r="B525" s="24">
        <f>DATE('1.연간시수표'!$U$2,'1.연간시수표'!$X$2,'1.연간시수표'!$Z$2)+QUOTIENT(ROW(A519)-1,8)+(QUOTIENT(ROW(A519)-1,40)*2)</f>
        <v>44708</v>
      </c>
      <c r="C525" s="24" t="str">
        <f t="shared" si="24"/>
        <v>금</v>
      </c>
      <c r="D525" s="91" t="str">
        <f t="shared" si="25"/>
        <v>7교시</v>
      </c>
      <c r="E525" s="68">
        <f>COUNTIF($H$7:$H525,$H525)</f>
        <v>172</v>
      </c>
      <c r="F525" s="67">
        <f>'1.연간시수표'!$AL$33</f>
        <v>5</v>
      </c>
      <c r="G525" s="89">
        <f t="shared" si="26"/>
        <v>1</v>
      </c>
      <c r="H525" s="91" t="str">
        <f>INDEX('0.시간표데이터'!$E$10:$AR$32,QUOTIENT(ROW(A519)-1,40)+1,MOD(ROW(A519)-1,40)+1)</f>
        <v>_</v>
      </c>
      <c r="I525" s="76"/>
      <c r="J525" s="26"/>
      <c r="K525" s="165"/>
      <c r="L525" s="165"/>
      <c r="M525" s="166"/>
      <c r="N525" s="166"/>
      <c r="O525" s="166"/>
      <c r="P525" s="166"/>
      <c r="Q525" s="167"/>
      <c r="R525" s="111"/>
    </row>
    <row r="526" spans="1:18" ht="13.5" hidden="1" customHeight="1">
      <c r="A526" s="30">
        <v>520</v>
      </c>
      <c r="B526" s="24">
        <f>DATE('1.연간시수표'!$U$2,'1.연간시수표'!$X$2,'1.연간시수표'!$Z$2)+QUOTIENT(ROW(A520)-1,8)+(QUOTIENT(ROW(A520)-1,40)*2)</f>
        <v>44708</v>
      </c>
      <c r="C526" s="24" t="str">
        <f t="shared" si="24"/>
        <v>금</v>
      </c>
      <c r="D526" s="91" t="str">
        <f t="shared" si="25"/>
        <v>8교시</v>
      </c>
      <c r="E526" s="68">
        <f>COUNTIF($H$7:$H526,$H526)</f>
        <v>173</v>
      </c>
      <c r="F526" s="67">
        <f>'1.연간시수표'!$AL$33</f>
        <v>5</v>
      </c>
      <c r="G526" s="89">
        <f t="shared" si="26"/>
        <v>1</v>
      </c>
      <c r="H526" s="91" t="str">
        <f>INDEX('0.시간표데이터'!$E$10:$AR$32,QUOTIENT(ROW(A520)-1,40)+1,MOD(ROW(A520)-1,40)+1)</f>
        <v>_</v>
      </c>
      <c r="I526" s="76"/>
      <c r="J526" s="26"/>
      <c r="K526" s="165"/>
      <c r="L526" s="165"/>
      <c r="M526" s="166"/>
      <c r="N526" s="166"/>
      <c r="O526" s="166"/>
      <c r="P526" s="166"/>
      <c r="Q526" s="167"/>
      <c r="R526" s="111"/>
    </row>
    <row r="527" spans="1:18" ht="13.5" hidden="1" customHeight="1">
      <c r="A527" s="30">
        <v>521</v>
      </c>
      <c r="B527" s="24">
        <f>DATE('1.연간시수표'!$U$2,'1.연간시수표'!$X$2,'1.연간시수표'!$Z$2)+QUOTIENT(ROW(A521)-1,8)+(QUOTIENT(ROW(A521)-1,40)*2)</f>
        <v>44711</v>
      </c>
      <c r="C527" s="24" t="str">
        <f t="shared" si="24"/>
        <v>월</v>
      </c>
      <c r="D527" s="91" t="str">
        <f t="shared" si="25"/>
        <v>1교시</v>
      </c>
      <c r="E527" s="68">
        <f>COUNTIF($H$7:$H527,$H527)</f>
        <v>70</v>
      </c>
      <c r="F527" s="67">
        <f>'1.연간시수표'!$AL$33</f>
        <v>5</v>
      </c>
      <c r="G527" s="89">
        <f t="shared" si="26"/>
        <v>1</v>
      </c>
      <c r="H527" s="91" t="str">
        <f>INDEX('0.시간표데이터'!$E$10:$AR$32,QUOTIENT(ROW(A521)-1,40)+1,MOD(ROW(A521)-1,40)+1)</f>
        <v>국어</v>
      </c>
      <c r="I527" s="77"/>
      <c r="J527" s="26"/>
      <c r="K527" s="162"/>
      <c r="L527" s="162"/>
      <c r="M527" s="168"/>
      <c r="N527" s="99"/>
      <c r="O527" s="99"/>
      <c r="P527" s="99"/>
      <c r="Q527" s="167"/>
      <c r="R527" s="111"/>
    </row>
    <row r="528" spans="1:18" ht="13.5" hidden="1" customHeight="1">
      <c r="A528" s="30">
        <v>522</v>
      </c>
      <c r="B528" s="24">
        <f>DATE('1.연간시수표'!$U$2,'1.연간시수표'!$X$2,'1.연간시수표'!$Z$2)+QUOTIENT(ROW(A522)-1,8)+(QUOTIENT(ROW(A522)-1,40)*2)</f>
        <v>44711</v>
      </c>
      <c r="C528" s="24" t="str">
        <f t="shared" si="24"/>
        <v>월</v>
      </c>
      <c r="D528" s="91" t="str">
        <f t="shared" si="25"/>
        <v>2교시</v>
      </c>
      <c r="E528" s="68">
        <f>COUNTIF($H$7:$H528,$H528)</f>
        <v>25</v>
      </c>
      <c r="F528" s="67">
        <f>'1.연간시수표'!$AL$33</f>
        <v>5</v>
      </c>
      <c r="G528" s="89">
        <f t="shared" si="26"/>
        <v>1</v>
      </c>
      <c r="H528" s="91" t="str">
        <f>INDEX('0.시간표데이터'!$E$10:$AR$32,QUOTIENT(ROW(A522)-1,40)+1,MOD(ROW(A522)-1,40)+1)</f>
        <v>미술</v>
      </c>
      <c r="I528" s="161"/>
      <c r="J528" s="26"/>
      <c r="K528" s="165"/>
      <c r="L528" s="165"/>
      <c r="M528" s="166"/>
      <c r="N528" s="166"/>
      <c r="O528" s="166"/>
      <c r="P528" s="166"/>
      <c r="Q528" s="167"/>
      <c r="R528" s="111"/>
    </row>
    <row r="529" spans="1:18" ht="13.5" hidden="1" customHeight="1">
      <c r="A529" s="30">
        <v>523</v>
      </c>
      <c r="B529" s="24">
        <f>DATE('1.연간시수표'!$U$2,'1.연간시수표'!$X$2,'1.연간시수표'!$Z$2)+QUOTIENT(ROW(A523)-1,8)+(QUOTIENT(ROW(A523)-1,40)*2)</f>
        <v>44711</v>
      </c>
      <c r="C529" s="24" t="str">
        <f t="shared" si="24"/>
        <v>월</v>
      </c>
      <c r="D529" s="91" t="str">
        <f t="shared" si="25"/>
        <v>3교시</v>
      </c>
      <c r="E529" s="68">
        <f>COUNTIF($H$7:$H529,$H529)</f>
        <v>26</v>
      </c>
      <c r="F529" s="67">
        <f>'1.연간시수표'!$AL$33</f>
        <v>5</v>
      </c>
      <c r="G529" s="89">
        <f t="shared" si="26"/>
        <v>1</v>
      </c>
      <c r="H529" s="91" t="str">
        <f>INDEX('0.시간표데이터'!$E$10:$AR$32,QUOTIENT(ROW(A523)-1,40)+1,MOD(ROW(A523)-1,40)+1)</f>
        <v>미술</v>
      </c>
      <c r="I529" s="77"/>
      <c r="J529" s="26"/>
      <c r="K529" s="162"/>
      <c r="L529" s="162"/>
      <c r="M529" s="169"/>
      <c r="N529" s="101"/>
      <c r="O529" s="99"/>
      <c r="P529" s="99"/>
      <c r="Q529" s="167"/>
      <c r="R529" s="111"/>
    </row>
    <row r="530" spans="1:18" ht="13.5" hidden="1" customHeight="1">
      <c r="A530" s="30">
        <v>524</v>
      </c>
      <c r="B530" s="24">
        <f>DATE('1.연간시수표'!$U$2,'1.연간시수표'!$X$2,'1.연간시수표'!$Z$2)+QUOTIENT(ROW(A524)-1,8)+(QUOTIENT(ROW(A524)-1,40)*2)</f>
        <v>44711</v>
      </c>
      <c r="C530" s="24" t="str">
        <f t="shared" si="24"/>
        <v>월</v>
      </c>
      <c r="D530" s="91" t="str">
        <f t="shared" si="25"/>
        <v>4교시</v>
      </c>
      <c r="E530" s="68">
        <f>COUNTIF($H$7:$H530,$H530)</f>
        <v>35</v>
      </c>
      <c r="F530" s="67">
        <f>'1.연간시수표'!$AL$33</f>
        <v>5</v>
      </c>
      <c r="G530" s="89">
        <f t="shared" si="26"/>
        <v>1</v>
      </c>
      <c r="H530" s="91" t="str">
        <f>INDEX('0.시간표데이터'!$E$10:$AR$32,QUOTIENT(ROW(A524)-1,40)+1,MOD(ROW(A524)-1,40)+1)</f>
        <v>영어</v>
      </c>
      <c r="I530" s="77"/>
      <c r="J530" s="26"/>
      <c r="K530" s="162"/>
      <c r="L530" s="162"/>
      <c r="M530" s="169"/>
      <c r="N530" s="101"/>
      <c r="O530" s="99"/>
      <c r="P530" s="99"/>
      <c r="Q530" s="167"/>
      <c r="R530" s="111"/>
    </row>
    <row r="531" spans="1:18" ht="13.5" hidden="1" customHeight="1">
      <c r="A531" s="30">
        <v>525</v>
      </c>
      <c r="B531" s="24">
        <f>DATE('1.연간시수표'!$U$2,'1.연간시수표'!$X$2,'1.연간시수표'!$Z$2)+QUOTIENT(ROW(A525)-1,8)+(QUOTIENT(ROW(A525)-1,40)*2)</f>
        <v>44711</v>
      </c>
      <c r="C531" s="24" t="str">
        <f t="shared" si="24"/>
        <v>월</v>
      </c>
      <c r="D531" s="91" t="str">
        <f t="shared" si="25"/>
        <v>5교시</v>
      </c>
      <c r="E531" s="68">
        <f>COUNTIF($H$7:$H531,$H531)</f>
        <v>47</v>
      </c>
      <c r="F531" s="67">
        <f>'1.연간시수표'!$AL$33</f>
        <v>5</v>
      </c>
      <c r="G531" s="89">
        <f t="shared" si="26"/>
        <v>1</v>
      </c>
      <c r="H531" s="91" t="str">
        <f>INDEX('0.시간표데이터'!$E$10:$AR$32,QUOTIENT(ROW(A525)-1,40)+1,MOD(ROW(A525)-1,40)+1)</f>
        <v>수학</v>
      </c>
      <c r="I531" s="77"/>
      <c r="J531" s="26"/>
      <c r="K531" s="162"/>
      <c r="L531" s="162"/>
      <c r="M531" s="168"/>
      <c r="N531" s="98"/>
      <c r="O531" s="99"/>
      <c r="P531" s="99"/>
      <c r="Q531" s="167"/>
      <c r="R531" s="111"/>
    </row>
    <row r="532" spans="1:18" ht="13.5" hidden="1" customHeight="1">
      <c r="A532" s="30">
        <v>526</v>
      </c>
      <c r="B532" s="24">
        <f>DATE('1.연간시수표'!$U$2,'1.연간시수표'!$X$2,'1.연간시수표'!$Z$2)+QUOTIENT(ROW(A526)-1,8)+(QUOTIENT(ROW(A526)-1,40)*2)</f>
        <v>44711</v>
      </c>
      <c r="C532" s="24" t="str">
        <f t="shared" si="24"/>
        <v>월</v>
      </c>
      <c r="D532" s="91" t="str">
        <f t="shared" si="25"/>
        <v>6교시</v>
      </c>
      <c r="E532" s="68">
        <f>COUNTIF($H$7:$H532,$H532)</f>
        <v>20</v>
      </c>
      <c r="F532" s="67">
        <f>'1.연간시수표'!$AL$33</f>
        <v>5</v>
      </c>
      <c r="G532" s="89">
        <f t="shared" si="26"/>
        <v>1</v>
      </c>
      <c r="H532" s="91" t="str">
        <f>INDEX('0.시간표데이터'!$E$10:$AR$32,QUOTIENT(ROW(A526)-1,40)+1,MOD(ROW(A526)-1,40)+1)</f>
        <v>자율활동</v>
      </c>
      <c r="I532" s="77"/>
      <c r="J532" s="26"/>
      <c r="K532" s="165"/>
      <c r="L532" s="165"/>
      <c r="M532" s="166"/>
      <c r="N532" s="166"/>
      <c r="O532" s="166"/>
      <c r="P532" s="166"/>
      <c r="Q532" s="167"/>
      <c r="R532" s="111"/>
    </row>
    <row r="533" spans="1:18" ht="13.5" hidden="1" customHeight="1">
      <c r="A533" s="30">
        <v>527</v>
      </c>
      <c r="B533" s="24">
        <f>DATE('1.연간시수표'!$U$2,'1.연간시수표'!$X$2,'1.연간시수표'!$Z$2)+QUOTIENT(ROW(A527)-1,8)+(QUOTIENT(ROW(A527)-1,40)*2)</f>
        <v>44711</v>
      </c>
      <c r="C533" s="24" t="str">
        <f t="shared" si="24"/>
        <v>월</v>
      </c>
      <c r="D533" s="91" t="str">
        <f t="shared" si="25"/>
        <v>7교시</v>
      </c>
      <c r="E533" s="68">
        <f>COUNTIF($H$7:$H533,$H533)</f>
        <v>174</v>
      </c>
      <c r="F533" s="67">
        <f>'1.연간시수표'!$AL$33</f>
        <v>5</v>
      </c>
      <c r="G533" s="89">
        <f t="shared" si="26"/>
        <v>1</v>
      </c>
      <c r="H533" s="91" t="str">
        <f>INDEX('0.시간표데이터'!$E$10:$AR$32,QUOTIENT(ROW(A527)-1,40)+1,MOD(ROW(A527)-1,40)+1)</f>
        <v>_</v>
      </c>
      <c r="I533" s="76"/>
      <c r="J533" s="26"/>
      <c r="K533" s="165"/>
      <c r="L533" s="165"/>
      <c r="M533" s="166"/>
      <c r="N533" s="166"/>
      <c r="O533" s="166"/>
      <c r="P533" s="166"/>
      <c r="Q533" s="167"/>
      <c r="R533" s="111"/>
    </row>
    <row r="534" spans="1:18" ht="13.5" hidden="1" customHeight="1">
      <c r="A534" s="30">
        <v>528</v>
      </c>
      <c r="B534" s="24">
        <f>DATE('1.연간시수표'!$U$2,'1.연간시수표'!$X$2,'1.연간시수표'!$Z$2)+QUOTIENT(ROW(A528)-1,8)+(QUOTIENT(ROW(A528)-1,40)*2)</f>
        <v>44711</v>
      </c>
      <c r="C534" s="24" t="str">
        <f t="shared" si="24"/>
        <v>월</v>
      </c>
      <c r="D534" s="91" t="str">
        <f t="shared" si="25"/>
        <v>8교시</v>
      </c>
      <c r="E534" s="68">
        <f>COUNTIF($H$7:$H534,$H534)</f>
        <v>175</v>
      </c>
      <c r="F534" s="67">
        <f>'1.연간시수표'!$AL$33</f>
        <v>5</v>
      </c>
      <c r="G534" s="89">
        <f t="shared" si="26"/>
        <v>1</v>
      </c>
      <c r="H534" s="91" t="str">
        <f>INDEX('0.시간표데이터'!$E$10:$AR$32,QUOTIENT(ROW(A528)-1,40)+1,MOD(ROW(A528)-1,40)+1)</f>
        <v>_</v>
      </c>
      <c r="I534" s="76"/>
      <c r="J534" s="26"/>
      <c r="K534" s="165"/>
      <c r="L534" s="165"/>
      <c r="M534" s="166"/>
      <c r="N534" s="166"/>
      <c r="O534" s="166"/>
      <c r="P534" s="166"/>
      <c r="Q534" s="167"/>
      <c r="R534" s="111"/>
    </row>
    <row r="535" spans="1:18" ht="13.5" customHeight="1">
      <c r="A535" s="30">
        <v>529</v>
      </c>
      <c r="B535" s="24">
        <f>DATE('1.연간시수표'!$U$2,'1.연간시수표'!$X$2,'1.연간시수표'!$Z$2)+QUOTIENT(ROW(A529)-1,8)+(QUOTIENT(ROW(A529)-1,40)*2)</f>
        <v>44712</v>
      </c>
      <c r="C535" s="24" t="str">
        <f t="shared" si="24"/>
        <v>화</v>
      </c>
      <c r="D535" s="91" t="str">
        <f t="shared" si="25"/>
        <v>1교시</v>
      </c>
      <c r="E535" s="68">
        <f>COUNTIF($H$7:$H535,$H535)</f>
        <v>71</v>
      </c>
      <c r="F535" s="67">
        <f>'1.연간시수표'!$AL$33</f>
        <v>5</v>
      </c>
      <c r="G535" s="89">
        <f t="shared" si="26"/>
        <v>1</v>
      </c>
      <c r="H535" s="91" t="str">
        <f>INDEX('0.시간표데이터'!$E$10:$AR$32,QUOTIENT(ROW(A529)-1,40)+1,MOD(ROW(A529)-1,40)+1)</f>
        <v>국어</v>
      </c>
      <c r="I535" s="77"/>
      <c r="J535" s="26"/>
      <c r="K535" s="173"/>
      <c r="L535" s="173"/>
      <c r="M535" s="10"/>
      <c r="N535" s="10"/>
      <c r="O535" s="10"/>
      <c r="P535" s="10"/>
      <c r="Q535" s="164"/>
      <c r="R535" s="109"/>
    </row>
    <row r="536" spans="1:18" ht="13.5" customHeight="1">
      <c r="A536" s="30">
        <v>530</v>
      </c>
      <c r="B536" s="24">
        <f>DATE('1.연간시수표'!$U$2,'1.연간시수표'!$X$2,'1.연간시수표'!$Z$2)+QUOTIENT(ROW(A530)-1,8)+(QUOTIENT(ROW(A530)-1,40)*2)</f>
        <v>44712</v>
      </c>
      <c r="C536" s="24" t="str">
        <f t="shared" si="24"/>
        <v>화</v>
      </c>
      <c r="D536" s="91" t="str">
        <f t="shared" si="25"/>
        <v>2교시</v>
      </c>
      <c r="E536" s="68">
        <f>COUNTIF($H$7:$H536,$H536)</f>
        <v>72</v>
      </c>
      <c r="F536" s="67">
        <f>'1.연간시수표'!$AL$33</f>
        <v>5</v>
      </c>
      <c r="G536" s="89">
        <f t="shared" si="26"/>
        <v>1</v>
      </c>
      <c r="H536" s="91" t="str">
        <f>INDEX('0.시간표데이터'!$E$10:$AR$32,QUOTIENT(ROW(A530)-1,40)+1,MOD(ROW(A530)-1,40)+1)</f>
        <v>국어</v>
      </c>
      <c r="I536" s="161"/>
      <c r="J536" s="26"/>
      <c r="K536" s="173"/>
      <c r="L536" s="173"/>
      <c r="M536" s="10"/>
      <c r="N536" s="10"/>
      <c r="O536" s="10"/>
      <c r="P536" s="10"/>
      <c r="Q536" s="164"/>
      <c r="R536" s="109"/>
    </row>
    <row r="537" spans="1:18" ht="13.5" customHeight="1">
      <c r="A537" s="30">
        <v>531</v>
      </c>
      <c r="B537" s="24">
        <f>DATE('1.연간시수표'!$U$2,'1.연간시수표'!$X$2,'1.연간시수표'!$Z$2)+QUOTIENT(ROW(A531)-1,8)+(QUOTIENT(ROW(A531)-1,40)*2)</f>
        <v>44712</v>
      </c>
      <c r="C537" s="24" t="str">
        <f t="shared" si="24"/>
        <v>화</v>
      </c>
      <c r="D537" s="91" t="str">
        <f t="shared" si="25"/>
        <v>3교시</v>
      </c>
      <c r="E537" s="68">
        <f>COUNTIF($H$7:$H537,$H537)</f>
        <v>35</v>
      </c>
      <c r="F537" s="67">
        <f>'1.연간시수표'!$AL$33</f>
        <v>5</v>
      </c>
      <c r="G537" s="89">
        <f t="shared" si="26"/>
        <v>1</v>
      </c>
      <c r="H537" s="91" t="str">
        <f>INDEX('0.시간표데이터'!$E$10:$AR$32,QUOTIENT(ROW(A531)-1,40)+1,MOD(ROW(A531)-1,40)+1)</f>
        <v>사회</v>
      </c>
      <c r="I537" s="77"/>
      <c r="J537" s="26"/>
      <c r="K537" s="173"/>
      <c r="L537" s="173"/>
      <c r="M537" s="10"/>
      <c r="N537" s="10"/>
      <c r="O537" s="10"/>
      <c r="P537" s="10"/>
      <c r="Q537" s="164"/>
      <c r="R537" s="109"/>
    </row>
    <row r="538" spans="1:18" ht="13.5" customHeight="1">
      <c r="A538" s="30">
        <v>532</v>
      </c>
      <c r="B538" s="24">
        <f>DATE('1.연간시수표'!$U$2,'1.연간시수표'!$X$2,'1.연간시수표'!$Z$2)+QUOTIENT(ROW(A532)-1,8)+(QUOTIENT(ROW(A532)-1,40)*2)</f>
        <v>44712</v>
      </c>
      <c r="C538" s="24" t="str">
        <f t="shared" si="24"/>
        <v>화</v>
      </c>
      <c r="D538" s="91" t="str">
        <f t="shared" si="25"/>
        <v>4교시</v>
      </c>
      <c r="E538" s="68">
        <f>COUNTIF($H$7:$H538,$H538)</f>
        <v>48</v>
      </c>
      <c r="F538" s="67">
        <f>'1.연간시수표'!$AL$33</f>
        <v>5</v>
      </c>
      <c r="G538" s="89">
        <f t="shared" si="26"/>
        <v>1</v>
      </c>
      <c r="H538" s="91" t="str">
        <f>INDEX('0.시간표데이터'!$E$10:$AR$32,QUOTIENT(ROW(A532)-1,40)+1,MOD(ROW(A532)-1,40)+1)</f>
        <v>수학</v>
      </c>
      <c r="I538" s="77"/>
      <c r="J538" s="26"/>
      <c r="K538" s="173"/>
      <c r="L538" s="173"/>
      <c r="M538" s="10"/>
      <c r="N538" s="10"/>
      <c r="O538" s="10"/>
      <c r="P538" s="10"/>
      <c r="Q538" s="164"/>
      <c r="R538" s="109"/>
    </row>
    <row r="539" spans="1:18" ht="13.5" customHeight="1">
      <c r="A539" s="30">
        <v>533</v>
      </c>
      <c r="B539" s="24">
        <f>DATE('1.연간시수표'!$U$2,'1.연간시수표'!$X$2,'1.연간시수표'!$Z$2)+QUOTIENT(ROW(A533)-1,8)+(QUOTIENT(ROW(A533)-1,40)*2)</f>
        <v>44712</v>
      </c>
      <c r="C539" s="24" t="str">
        <f t="shared" si="24"/>
        <v>화</v>
      </c>
      <c r="D539" s="91" t="str">
        <f t="shared" si="25"/>
        <v>5교시</v>
      </c>
      <c r="E539" s="68">
        <f>COUNTIF($H$7:$H539,$H539)</f>
        <v>33</v>
      </c>
      <c r="F539" s="67">
        <f>'1.연간시수표'!$AL$33</f>
        <v>5</v>
      </c>
      <c r="G539" s="89">
        <f t="shared" si="26"/>
        <v>1</v>
      </c>
      <c r="H539" s="91" t="str">
        <f>INDEX('0.시간표데이터'!$E$10:$AR$32,QUOTIENT(ROW(A533)-1,40)+1,MOD(ROW(A533)-1,40)+1)</f>
        <v>과학</v>
      </c>
      <c r="I539" s="77"/>
      <c r="J539" s="26"/>
      <c r="K539" s="173"/>
      <c r="L539" s="173"/>
      <c r="M539" s="10"/>
      <c r="N539" s="10"/>
      <c r="O539" s="10"/>
      <c r="P539" s="10"/>
      <c r="Q539" s="164"/>
      <c r="R539" s="109"/>
    </row>
    <row r="540" spans="1:18" ht="13.5" customHeight="1">
      <c r="A540" s="30">
        <v>534</v>
      </c>
      <c r="B540" s="24">
        <f>DATE('1.연간시수표'!$U$2,'1.연간시수표'!$X$2,'1.연간시수표'!$Z$2)+QUOTIENT(ROW(A534)-1,8)+(QUOTIENT(ROW(A534)-1,40)*2)</f>
        <v>44712</v>
      </c>
      <c r="C540" s="24" t="str">
        <f t="shared" si="24"/>
        <v>화</v>
      </c>
      <c r="D540" s="91" t="str">
        <f t="shared" si="25"/>
        <v>6교시</v>
      </c>
      <c r="E540" s="68">
        <f>COUNTIF($H$7:$H540,$H540)</f>
        <v>24</v>
      </c>
      <c r="F540" s="67">
        <f>'1.연간시수표'!$AL$33</f>
        <v>5</v>
      </c>
      <c r="G540" s="89">
        <f t="shared" si="26"/>
        <v>1</v>
      </c>
      <c r="H540" s="91" t="str">
        <f>INDEX('0.시간표데이터'!$E$10:$AR$32,QUOTIENT(ROW(A534)-1,40)+1,MOD(ROW(A534)-1,40)+1)</f>
        <v>실과</v>
      </c>
      <c r="I540" s="77"/>
      <c r="J540" s="26"/>
      <c r="K540" s="173"/>
      <c r="L540" s="173"/>
      <c r="M540" s="10"/>
      <c r="N540" s="10"/>
      <c r="O540" s="10"/>
      <c r="P540" s="10"/>
      <c r="Q540" s="164"/>
      <c r="R540" s="109"/>
    </row>
    <row r="541" spans="1:18" ht="13.5" hidden="1" customHeight="1">
      <c r="A541" s="30">
        <v>535</v>
      </c>
      <c r="B541" s="24">
        <f>DATE('1.연간시수표'!$U$2,'1.연간시수표'!$X$2,'1.연간시수표'!$Z$2)+QUOTIENT(ROW(A535)-1,8)+(QUOTIENT(ROW(A535)-1,40)*2)</f>
        <v>44712</v>
      </c>
      <c r="C541" s="24" t="str">
        <f t="shared" si="24"/>
        <v>화</v>
      </c>
      <c r="D541" s="91" t="str">
        <f t="shared" si="25"/>
        <v>7교시</v>
      </c>
      <c r="E541" s="68">
        <f>COUNTIF($H$7:$H541,$H541)</f>
        <v>176</v>
      </c>
      <c r="F541" s="67">
        <f>'1.연간시수표'!$AL$33</f>
        <v>5</v>
      </c>
      <c r="G541" s="89">
        <f t="shared" si="26"/>
        <v>1</v>
      </c>
      <c r="H541" s="91" t="str">
        <f>INDEX('0.시간표데이터'!$E$10:$AR$32,QUOTIENT(ROW(A535)-1,40)+1,MOD(ROW(A535)-1,40)+1)</f>
        <v>_</v>
      </c>
      <c r="I541" s="76"/>
      <c r="J541" s="26"/>
      <c r="K541" s="165"/>
      <c r="L541" s="165"/>
      <c r="M541" s="166"/>
      <c r="N541" s="166"/>
      <c r="O541" s="166"/>
      <c r="P541" s="166"/>
      <c r="Q541" s="167"/>
      <c r="R541" s="111"/>
    </row>
    <row r="542" spans="1:18" ht="13.5" hidden="1" customHeight="1">
      <c r="A542" s="30">
        <v>536</v>
      </c>
      <c r="B542" s="24">
        <f>DATE('1.연간시수표'!$U$2,'1.연간시수표'!$X$2,'1.연간시수표'!$Z$2)+QUOTIENT(ROW(A536)-1,8)+(QUOTIENT(ROW(A536)-1,40)*2)</f>
        <v>44712</v>
      </c>
      <c r="C542" s="24" t="str">
        <f t="shared" si="24"/>
        <v>화</v>
      </c>
      <c r="D542" s="91" t="str">
        <f t="shared" si="25"/>
        <v>8교시</v>
      </c>
      <c r="E542" s="68">
        <f>COUNTIF($H$7:$H542,$H542)</f>
        <v>177</v>
      </c>
      <c r="F542" s="67">
        <f>'1.연간시수표'!$AL$33</f>
        <v>5</v>
      </c>
      <c r="G542" s="89">
        <f t="shared" si="26"/>
        <v>1</v>
      </c>
      <c r="H542" s="91" t="str">
        <f>INDEX('0.시간표데이터'!$E$10:$AR$32,QUOTIENT(ROW(A536)-1,40)+1,MOD(ROW(A536)-1,40)+1)</f>
        <v>_</v>
      </c>
      <c r="I542" s="76"/>
      <c r="J542" s="26"/>
      <c r="K542" s="165"/>
      <c r="L542" s="165"/>
      <c r="M542" s="166"/>
      <c r="N542" s="166"/>
      <c r="O542" s="166"/>
      <c r="P542" s="166"/>
      <c r="Q542" s="167"/>
      <c r="R542" s="111"/>
    </row>
    <row r="543" spans="1:18" ht="13.5" customHeight="1">
      <c r="A543" s="30">
        <v>537</v>
      </c>
      <c r="B543" s="24">
        <f>DATE('1.연간시수표'!$U$2,'1.연간시수표'!$X$2,'1.연간시수표'!$Z$2)+QUOTIENT(ROW(A537)-1,8)+(QUOTIENT(ROW(A537)-1,40)*2)</f>
        <v>44713</v>
      </c>
      <c r="C543" s="24" t="str">
        <f t="shared" si="24"/>
        <v>수</v>
      </c>
      <c r="D543" s="91" t="str">
        <f t="shared" si="25"/>
        <v>1교시</v>
      </c>
      <c r="E543" s="68">
        <f>COUNTIF($H$7:$H543,$H543)</f>
        <v>178</v>
      </c>
      <c r="F543" s="67">
        <f>'1.연간시수표'!$AL$33</f>
        <v>5</v>
      </c>
      <c r="G543" s="89">
        <f t="shared" si="26"/>
        <v>1</v>
      </c>
      <c r="H543" s="91" t="str">
        <f>INDEX('0.시간표데이터'!$E$10:$AR$32,QUOTIENT(ROW(A537)-1,40)+1,MOD(ROW(A537)-1,40)+1)</f>
        <v>_</v>
      </c>
      <c r="I543" s="77"/>
      <c r="J543" s="26"/>
      <c r="K543" s="173"/>
      <c r="L543" s="173"/>
      <c r="M543" s="10"/>
      <c r="N543" s="10"/>
      <c r="O543" s="10"/>
      <c r="P543" s="10"/>
      <c r="Q543" s="164"/>
      <c r="R543" s="109"/>
    </row>
    <row r="544" spans="1:18" ht="13.5" customHeight="1">
      <c r="A544" s="30">
        <v>538</v>
      </c>
      <c r="B544" s="24">
        <f>DATE('1.연간시수표'!$U$2,'1.연간시수표'!$X$2,'1.연간시수표'!$Z$2)+QUOTIENT(ROW(A538)-1,8)+(QUOTIENT(ROW(A538)-1,40)*2)</f>
        <v>44713</v>
      </c>
      <c r="C544" s="24" t="str">
        <f t="shared" si="24"/>
        <v>수</v>
      </c>
      <c r="D544" s="91" t="str">
        <f t="shared" si="25"/>
        <v>2교시</v>
      </c>
      <c r="E544" s="68">
        <f>COUNTIF($H$7:$H544,$H544)</f>
        <v>179</v>
      </c>
      <c r="F544" s="67">
        <f>'1.연간시수표'!$AL$33</f>
        <v>5</v>
      </c>
      <c r="G544" s="89">
        <f t="shared" si="26"/>
        <v>1</v>
      </c>
      <c r="H544" s="91" t="str">
        <f>INDEX('0.시간표데이터'!$E$10:$AR$32,QUOTIENT(ROW(A538)-1,40)+1,MOD(ROW(A538)-1,40)+1)</f>
        <v>_</v>
      </c>
      <c r="I544" s="77"/>
      <c r="J544" s="26"/>
      <c r="K544" s="173"/>
      <c r="L544" s="173"/>
      <c r="M544" s="10"/>
      <c r="N544" s="10"/>
      <c r="O544" s="10"/>
      <c r="P544" s="10"/>
      <c r="Q544" s="164"/>
      <c r="R544" s="109"/>
    </row>
    <row r="545" spans="1:18" ht="13.5" customHeight="1">
      <c r="A545" s="30">
        <v>539</v>
      </c>
      <c r="B545" s="24">
        <f>DATE('1.연간시수표'!$U$2,'1.연간시수표'!$X$2,'1.연간시수표'!$Z$2)+QUOTIENT(ROW(A539)-1,8)+(QUOTIENT(ROW(A539)-1,40)*2)</f>
        <v>44713</v>
      </c>
      <c r="C545" s="24" t="str">
        <f t="shared" si="24"/>
        <v>수</v>
      </c>
      <c r="D545" s="91" t="str">
        <f t="shared" si="25"/>
        <v>3교시</v>
      </c>
      <c r="E545" s="68">
        <f>COUNTIF($H$7:$H545,$H545)</f>
        <v>180</v>
      </c>
      <c r="F545" s="67">
        <f>'1.연간시수표'!$AL$33</f>
        <v>5</v>
      </c>
      <c r="G545" s="89">
        <f t="shared" si="26"/>
        <v>1</v>
      </c>
      <c r="H545" s="91" t="str">
        <f>INDEX('0.시간표데이터'!$E$10:$AR$32,QUOTIENT(ROW(A539)-1,40)+1,MOD(ROW(A539)-1,40)+1)</f>
        <v>_</v>
      </c>
      <c r="I545" s="77"/>
      <c r="J545" s="26"/>
      <c r="K545" s="173"/>
      <c r="L545" s="173"/>
      <c r="M545" s="10"/>
      <c r="N545" s="10"/>
      <c r="O545" s="10"/>
      <c r="P545" s="10"/>
      <c r="Q545" s="164"/>
      <c r="R545" s="109"/>
    </row>
    <row r="546" spans="1:18" ht="13.5" customHeight="1">
      <c r="A546" s="30">
        <v>540</v>
      </c>
      <c r="B546" s="24">
        <f>DATE('1.연간시수표'!$U$2,'1.연간시수표'!$X$2,'1.연간시수표'!$Z$2)+QUOTIENT(ROW(A540)-1,8)+(QUOTIENT(ROW(A540)-1,40)*2)</f>
        <v>44713</v>
      </c>
      <c r="C546" s="24" t="str">
        <f t="shared" si="24"/>
        <v>수</v>
      </c>
      <c r="D546" s="91" t="str">
        <f t="shared" si="25"/>
        <v>4교시</v>
      </c>
      <c r="E546" s="68">
        <f>COUNTIF($H$7:$H546,$H546)</f>
        <v>181</v>
      </c>
      <c r="F546" s="67">
        <f>'1.연간시수표'!$AL$33</f>
        <v>5</v>
      </c>
      <c r="G546" s="89">
        <f t="shared" si="26"/>
        <v>1</v>
      </c>
      <c r="H546" s="91" t="str">
        <f>INDEX('0.시간표데이터'!$E$10:$AR$32,QUOTIENT(ROW(A540)-1,40)+1,MOD(ROW(A540)-1,40)+1)</f>
        <v>_</v>
      </c>
      <c r="I546" s="77"/>
      <c r="J546" s="26"/>
      <c r="K546" s="173"/>
      <c r="L546" s="173"/>
      <c r="M546" s="10"/>
      <c r="N546" s="10"/>
      <c r="O546" s="10"/>
      <c r="P546" s="10"/>
      <c r="Q546" s="164"/>
      <c r="R546" s="109"/>
    </row>
    <row r="547" spans="1:18">
      <c r="A547" s="30">
        <v>541</v>
      </c>
      <c r="B547" s="24">
        <f>DATE('1.연간시수표'!$U$2,'1.연간시수표'!$X$2,'1.연간시수표'!$Z$2)+QUOTIENT(ROW(A541)-1,8)+(QUOTIENT(ROW(A541)-1,40)*2)</f>
        <v>44713</v>
      </c>
      <c r="C547" s="24" t="str">
        <f t="shared" si="24"/>
        <v>수</v>
      </c>
      <c r="D547" s="91" t="str">
        <f t="shared" si="25"/>
        <v>5교시</v>
      </c>
      <c r="E547" s="68">
        <f>COUNTIF($H$7:$H547,$H547)</f>
        <v>182</v>
      </c>
      <c r="F547" s="67">
        <f>'1.연간시수표'!$AL$33</f>
        <v>5</v>
      </c>
      <c r="G547" s="89">
        <f t="shared" si="26"/>
        <v>1</v>
      </c>
      <c r="H547" s="91" t="str">
        <f>INDEX('0.시간표데이터'!$E$10:$AR$32,QUOTIENT(ROW(A541)-1,40)+1,MOD(ROW(A541)-1,40)+1)</f>
        <v>_</v>
      </c>
      <c r="I547" s="77"/>
      <c r="J547" s="26"/>
      <c r="K547" s="173"/>
      <c r="L547" s="173"/>
      <c r="M547" s="10"/>
      <c r="N547" s="10"/>
      <c r="O547" s="10"/>
      <c r="P547" s="10"/>
      <c r="Q547" s="164"/>
      <c r="R547" s="109"/>
    </row>
    <row r="548" spans="1:18">
      <c r="A548" s="30">
        <v>542</v>
      </c>
      <c r="B548" s="24">
        <f>DATE('1.연간시수표'!$U$2,'1.연간시수표'!$X$2,'1.연간시수표'!$Z$2)+QUOTIENT(ROW(A542)-1,8)+(QUOTIENT(ROW(A542)-1,40)*2)</f>
        <v>44713</v>
      </c>
      <c r="C548" s="24" t="str">
        <f t="shared" si="24"/>
        <v>수</v>
      </c>
      <c r="D548" s="91" t="str">
        <f t="shared" si="25"/>
        <v>6교시</v>
      </c>
      <c r="E548" s="68">
        <f>COUNTIF($H$7:$H548,$H548)</f>
        <v>183</v>
      </c>
      <c r="F548" s="67">
        <f>'1.연간시수표'!$AL$33</f>
        <v>5</v>
      </c>
      <c r="G548" s="89">
        <f t="shared" si="26"/>
        <v>1</v>
      </c>
      <c r="H548" s="91" t="str">
        <f>INDEX('0.시간표데이터'!$E$10:$AR$32,QUOTIENT(ROW(A542)-1,40)+1,MOD(ROW(A542)-1,40)+1)</f>
        <v>_</v>
      </c>
      <c r="I548" s="77"/>
      <c r="J548" s="26"/>
      <c r="K548" s="173"/>
      <c r="L548" s="173"/>
      <c r="M548" s="10"/>
      <c r="N548" s="10"/>
      <c r="O548" s="10"/>
      <c r="P548" s="10"/>
      <c r="Q548" s="164"/>
      <c r="R548" s="109"/>
    </row>
    <row r="549" spans="1:18" ht="13.5" hidden="1" customHeight="1">
      <c r="A549" s="30">
        <v>543</v>
      </c>
      <c r="B549" s="24">
        <f>DATE('1.연간시수표'!$U$2,'1.연간시수표'!$X$2,'1.연간시수표'!$Z$2)+QUOTIENT(ROW(A543)-1,8)+(QUOTIENT(ROW(A543)-1,40)*2)</f>
        <v>44713</v>
      </c>
      <c r="C549" s="24" t="str">
        <f t="shared" si="24"/>
        <v>수</v>
      </c>
      <c r="D549" s="91" t="str">
        <f t="shared" si="25"/>
        <v>7교시</v>
      </c>
      <c r="E549" s="68">
        <f>COUNTIF($H$7:$H549,$H549)</f>
        <v>184</v>
      </c>
      <c r="F549" s="67">
        <f>'1.연간시수표'!$AL$33</f>
        <v>5</v>
      </c>
      <c r="G549" s="89">
        <f t="shared" si="26"/>
        <v>1</v>
      </c>
      <c r="H549" s="91" t="str">
        <f>INDEX('0.시간표데이터'!$E$10:$AR$32,QUOTIENT(ROW(A543)-1,40)+1,MOD(ROW(A543)-1,40)+1)</f>
        <v>_</v>
      </c>
      <c r="I549" s="76"/>
      <c r="J549" s="26"/>
      <c r="K549" s="165"/>
      <c r="L549" s="165"/>
      <c r="M549" s="166"/>
      <c r="N549" s="166"/>
      <c r="O549" s="166"/>
      <c r="P549" s="166"/>
      <c r="Q549" s="167"/>
      <c r="R549" s="111"/>
    </row>
    <row r="550" spans="1:18" ht="13.5" hidden="1" customHeight="1">
      <c r="A550" s="30">
        <v>544</v>
      </c>
      <c r="B550" s="24">
        <f>DATE('1.연간시수표'!$U$2,'1.연간시수표'!$X$2,'1.연간시수표'!$Z$2)+QUOTIENT(ROW(A544)-1,8)+(QUOTIENT(ROW(A544)-1,40)*2)</f>
        <v>44713</v>
      </c>
      <c r="C550" s="24" t="str">
        <f t="shared" si="24"/>
        <v>수</v>
      </c>
      <c r="D550" s="91" t="str">
        <f t="shared" si="25"/>
        <v>8교시</v>
      </c>
      <c r="E550" s="68">
        <f>COUNTIF($H$7:$H550,$H550)</f>
        <v>185</v>
      </c>
      <c r="F550" s="67">
        <f>'1.연간시수표'!$AL$33</f>
        <v>5</v>
      </c>
      <c r="G550" s="89">
        <f t="shared" si="26"/>
        <v>1</v>
      </c>
      <c r="H550" s="91" t="str">
        <f>INDEX('0.시간표데이터'!$E$10:$AR$32,QUOTIENT(ROW(A544)-1,40)+1,MOD(ROW(A544)-1,40)+1)</f>
        <v>_</v>
      </c>
      <c r="I550" s="76"/>
      <c r="J550" s="26"/>
      <c r="K550" s="165"/>
      <c r="L550" s="165"/>
      <c r="M550" s="166"/>
      <c r="N550" s="166"/>
      <c r="O550" s="166"/>
      <c r="P550" s="166"/>
      <c r="Q550" s="167"/>
      <c r="R550" s="111"/>
    </row>
    <row r="551" spans="1:18" ht="13.5" hidden="1" customHeight="1">
      <c r="A551" s="30">
        <v>545</v>
      </c>
      <c r="B551" s="24">
        <f>DATE('1.연간시수표'!$U$2,'1.연간시수표'!$X$2,'1.연간시수표'!$Z$2)+QUOTIENT(ROW(A545)-1,8)+(QUOTIENT(ROW(A545)-1,40)*2)</f>
        <v>44714</v>
      </c>
      <c r="C551" s="24" t="str">
        <f t="shared" si="24"/>
        <v>목</v>
      </c>
      <c r="D551" s="91" t="str">
        <f t="shared" si="25"/>
        <v>1교시</v>
      </c>
      <c r="E551" s="68">
        <f>COUNTIF($H$7:$H551,$H551)</f>
        <v>73</v>
      </c>
      <c r="F551" s="67">
        <f>'1.연간시수표'!$AL$33</f>
        <v>5</v>
      </c>
      <c r="G551" s="89">
        <f t="shared" si="26"/>
        <v>1</v>
      </c>
      <c r="H551" s="91" t="str">
        <f>INDEX('0.시간표데이터'!$E$10:$AR$32,QUOTIENT(ROW(A545)-1,40)+1,MOD(ROW(A545)-1,40)+1)</f>
        <v>국어</v>
      </c>
      <c r="I551" s="77"/>
      <c r="J551" s="26"/>
      <c r="K551" s="165"/>
      <c r="L551" s="165"/>
      <c r="M551" s="166"/>
      <c r="N551" s="166"/>
      <c r="O551" s="166"/>
      <c r="P551" s="166"/>
      <c r="Q551" s="167"/>
      <c r="R551" s="111"/>
    </row>
    <row r="552" spans="1:18" ht="13.5" hidden="1" customHeight="1">
      <c r="A552" s="30">
        <v>546</v>
      </c>
      <c r="B552" s="24">
        <f>DATE('1.연간시수표'!$U$2,'1.연간시수표'!$X$2,'1.연간시수표'!$Z$2)+QUOTIENT(ROW(A546)-1,8)+(QUOTIENT(ROW(A546)-1,40)*2)</f>
        <v>44714</v>
      </c>
      <c r="C552" s="24" t="str">
        <f t="shared" si="24"/>
        <v>목</v>
      </c>
      <c r="D552" s="91" t="str">
        <f t="shared" si="25"/>
        <v>2교시</v>
      </c>
      <c r="E552" s="68">
        <f>COUNTIF($H$7:$H552,$H552)</f>
        <v>49</v>
      </c>
      <c r="F552" s="67">
        <f>'1.연간시수표'!$AL$33</f>
        <v>5</v>
      </c>
      <c r="G552" s="89">
        <f t="shared" si="26"/>
        <v>1</v>
      </c>
      <c r="H552" s="91" t="str">
        <f>INDEX('0.시간표데이터'!$E$10:$AR$32,QUOTIENT(ROW(A546)-1,40)+1,MOD(ROW(A546)-1,40)+1)</f>
        <v>수학</v>
      </c>
      <c r="I552" s="161"/>
      <c r="J552" s="26"/>
      <c r="K552" s="165"/>
      <c r="L552" s="165"/>
      <c r="M552" s="166"/>
      <c r="N552" s="166"/>
      <c r="O552" s="166"/>
      <c r="P552" s="166"/>
      <c r="Q552" s="167"/>
      <c r="R552" s="111"/>
    </row>
    <row r="553" spans="1:18" ht="13.5" hidden="1" customHeight="1">
      <c r="A553" s="30">
        <v>547</v>
      </c>
      <c r="B553" s="24">
        <f>DATE('1.연간시수표'!$U$2,'1.연간시수표'!$X$2,'1.연간시수표'!$Z$2)+QUOTIENT(ROW(A547)-1,8)+(QUOTIENT(ROW(A547)-1,40)*2)</f>
        <v>44714</v>
      </c>
      <c r="C553" s="24" t="str">
        <f t="shared" si="24"/>
        <v>목</v>
      </c>
      <c r="D553" s="91" t="str">
        <f t="shared" si="25"/>
        <v>3교시</v>
      </c>
      <c r="E553" s="68">
        <f>COUNTIF($H$7:$H553,$H553)</f>
        <v>36</v>
      </c>
      <c r="F553" s="67">
        <f>'1.연간시수표'!$AL$33</f>
        <v>5</v>
      </c>
      <c r="G553" s="89">
        <f t="shared" si="26"/>
        <v>1</v>
      </c>
      <c r="H553" s="91" t="str">
        <f>INDEX('0.시간표데이터'!$E$10:$AR$32,QUOTIENT(ROW(A547)-1,40)+1,MOD(ROW(A547)-1,40)+1)</f>
        <v>사회</v>
      </c>
      <c r="I553" s="77"/>
      <c r="J553" s="26"/>
      <c r="K553" s="165"/>
      <c r="L553" s="165"/>
      <c r="M553" s="166"/>
      <c r="N553" s="166"/>
      <c r="O553" s="166"/>
      <c r="P553" s="166"/>
      <c r="Q553" s="167"/>
      <c r="R553" s="111"/>
    </row>
    <row r="554" spans="1:18" ht="13.5" hidden="1" customHeight="1">
      <c r="A554" s="30">
        <v>548</v>
      </c>
      <c r="B554" s="24">
        <f>DATE('1.연간시수표'!$U$2,'1.연간시수표'!$X$2,'1.연간시수표'!$Z$2)+QUOTIENT(ROW(A548)-1,8)+(QUOTIENT(ROW(A548)-1,40)*2)</f>
        <v>44714</v>
      </c>
      <c r="C554" s="24" t="str">
        <f t="shared" si="24"/>
        <v>목</v>
      </c>
      <c r="D554" s="91" t="str">
        <f t="shared" si="25"/>
        <v>4교시</v>
      </c>
      <c r="E554" s="68">
        <f>COUNTIF($H$7:$H554,$H554)</f>
        <v>36</v>
      </c>
      <c r="F554" s="67">
        <f>'1.연간시수표'!$AL$33</f>
        <v>5</v>
      </c>
      <c r="G554" s="89">
        <f t="shared" si="26"/>
        <v>1</v>
      </c>
      <c r="H554" s="91" t="str">
        <f>INDEX('0.시간표데이터'!$E$10:$AR$32,QUOTIENT(ROW(A548)-1,40)+1,MOD(ROW(A548)-1,40)+1)</f>
        <v>영어</v>
      </c>
      <c r="I554" s="77"/>
      <c r="J554" s="26"/>
      <c r="K554" s="165"/>
      <c r="L554" s="165"/>
      <c r="M554" s="166"/>
      <c r="N554" s="166"/>
      <c r="O554" s="166"/>
      <c r="P554" s="166"/>
      <c r="Q554" s="167"/>
      <c r="R554" s="111"/>
    </row>
    <row r="555" spans="1:18" ht="13.5" hidden="1" customHeight="1">
      <c r="A555" s="30">
        <v>549</v>
      </c>
      <c r="B555" s="24">
        <f>DATE('1.연간시수표'!$U$2,'1.연간시수표'!$X$2,'1.연간시수표'!$Z$2)+QUOTIENT(ROW(A549)-1,8)+(QUOTIENT(ROW(A549)-1,40)*2)</f>
        <v>44714</v>
      </c>
      <c r="C555" s="24" t="str">
        <f t="shared" si="24"/>
        <v>목</v>
      </c>
      <c r="D555" s="91" t="str">
        <f t="shared" si="25"/>
        <v>5교시</v>
      </c>
      <c r="E555" s="68">
        <f>COUNTIF($H$7:$H555,$H555)</f>
        <v>34</v>
      </c>
      <c r="F555" s="67">
        <f>'1.연간시수표'!$AL$33</f>
        <v>5</v>
      </c>
      <c r="G555" s="89">
        <f t="shared" si="26"/>
        <v>1</v>
      </c>
      <c r="H555" s="91" t="str">
        <f>INDEX('0.시간표데이터'!$E$10:$AR$32,QUOTIENT(ROW(A549)-1,40)+1,MOD(ROW(A549)-1,40)+1)</f>
        <v>과학</v>
      </c>
      <c r="I555" s="77"/>
      <c r="J555" s="26"/>
      <c r="K555" s="165"/>
      <c r="L555" s="165"/>
      <c r="M555" s="166"/>
      <c r="N555" s="166"/>
      <c r="O555" s="166"/>
      <c r="P555" s="166"/>
      <c r="Q555" s="167"/>
      <c r="R555" s="111"/>
    </row>
    <row r="556" spans="1:18" ht="13.5" hidden="1" customHeight="1">
      <c r="A556" s="30">
        <v>550</v>
      </c>
      <c r="B556" s="24">
        <f>DATE('1.연간시수표'!$U$2,'1.연간시수표'!$X$2,'1.연간시수표'!$Z$2)+QUOTIENT(ROW(A550)-1,8)+(QUOTIENT(ROW(A550)-1,40)*2)</f>
        <v>44714</v>
      </c>
      <c r="C556" s="24" t="str">
        <f t="shared" si="24"/>
        <v>목</v>
      </c>
      <c r="D556" s="91" t="str">
        <f t="shared" si="25"/>
        <v>6교시</v>
      </c>
      <c r="E556" s="68">
        <f>COUNTIF($H$7:$H556,$H556)</f>
        <v>25</v>
      </c>
      <c r="F556" s="67">
        <f>'1.연간시수표'!$AL$33</f>
        <v>5</v>
      </c>
      <c r="G556" s="89">
        <f t="shared" si="26"/>
        <v>1</v>
      </c>
      <c r="H556" s="91" t="str">
        <f>INDEX('0.시간표데이터'!$E$10:$AR$32,QUOTIENT(ROW(A550)-1,40)+1,MOD(ROW(A550)-1,40)+1)</f>
        <v>음악</v>
      </c>
      <c r="I556" s="161"/>
      <c r="J556" s="26"/>
      <c r="K556" s="165"/>
      <c r="L556" s="165"/>
      <c r="M556" s="166"/>
      <c r="N556" s="166"/>
      <c r="O556" s="166"/>
      <c r="P556" s="166"/>
      <c r="Q556" s="167"/>
      <c r="R556" s="111"/>
    </row>
    <row r="557" spans="1:18" ht="13.5" hidden="1" customHeight="1">
      <c r="A557" s="30">
        <v>551</v>
      </c>
      <c r="B557" s="24">
        <f>DATE('1.연간시수표'!$U$2,'1.연간시수표'!$X$2,'1.연간시수표'!$Z$2)+QUOTIENT(ROW(A551)-1,8)+(QUOTIENT(ROW(A551)-1,40)*2)</f>
        <v>44714</v>
      </c>
      <c r="C557" s="24" t="str">
        <f t="shared" si="24"/>
        <v>목</v>
      </c>
      <c r="D557" s="91" t="str">
        <f t="shared" si="25"/>
        <v>7교시</v>
      </c>
      <c r="E557" s="68">
        <f>COUNTIF($H$7:$H557,$H557)</f>
        <v>186</v>
      </c>
      <c r="F557" s="67">
        <f>'1.연간시수표'!$AL$33</f>
        <v>5</v>
      </c>
      <c r="G557" s="89">
        <f t="shared" si="26"/>
        <v>1</v>
      </c>
      <c r="H557" s="91" t="str">
        <f>INDEX('0.시간표데이터'!$E$10:$AR$32,QUOTIENT(ROW(A551)-1,40)+1,MOD(ROW(A551)-1,40)+1)</f>
        <v>_</v>
      </c>
      <c r="I557" s="76"/>
      <c r="J557" s="26"/>
      <c r="K557" s="165"/>
      <c r="L557" s="165"/>
      <c r="M557" s="166"/>
      <c r="N557" s="166"/>
      <c r="O557" s="166"/>
      <c r="P557" s="166"/>
      <c r="Q557" s="167"/>
      <c r="R557" s="111"/>
    </row>
    <row r="558" spans="1:18" ht="13.5" hidden="1" customHeight="1">
      <c r="A558" s="30">
        <v>552</v>
      </c>
      <c r="B558" s="24">
        <f>DATE('1.연간시수표'!$U$2,'1.연간시수표'!$X$2,'1.연간시수표'!$Z$2)+QUOTIENT(ROW(A552)-1,8)+(QUOTIENT(ROW(A552)-1,40)*2)</f>
        <v>44714</v>
      </c>
      <c r="C558" s="24" t="str">
        <f t="shared" si="24"/>
        <v>목</v>
      </c>
      <c r="D558" s="91" t="str">
        <f t="shared" si="25"/>
        <v>8교시</v>
      </c>
      <c r="E558" s="68">
        <f>COUNTIF($H$7:$H558,$H558)</f>
        <v>187</v>
      </c>
      <c r="F558" s="67">
        <f>'1.연간시수표'!$AL$33</f>
        <v>5</v>
      </c>
      <c r="G558" s="89">
        <f t="shared" si="26"/>
        <v>1</v>
      </c>
      <c r="H558" s="91" t="str">
        <f>INDEX('0.시간표데이터'!$E$10:$AR$32,QUOTIENT(ROW(A552)-1,40)+1,MOD(ROW(A552)-1,40)+1)</f>
        <v>_</v>
      </c>
      <c r="I558" s="76"/>
      <c r="J558" s="26"/>
      <c r="K558" s="165"/>
      <c r="L558" s="165"/>
      <c r="M558" s="166"/>
      <c r="N558" s="166"/>
      <c r="O558" s="166"/>
      <c r="P558" s="166"/>
      <c r="Q558" s="167"/>
      <c r="R558" s="111"/>
    </row>
    <row r="559" spans="1:18" ht="13.5" hidden="1" customHeight="1">
      <c r="A559" s="30">
        <v>553</v>
      </c>
      <c r="B559" s="24">
        <f>DATE('1.연간시수표'!$U$2,'1.연간시수표'!$X$2,'1.연간시수표'!$Z$2)+QUOTIENT(ROW(A553)-1,8)+(QUOTIENT(ROW(A553)-1,40)*2)</f>
        <v>44715</v>
      </c>
      <c r="C559" s="24" t="str">
        <f t="shared" si="24"/>
        <v>금</v>
      </c>
      <c r="D559" s="91" t="str">
        <f t="shared" si="25"/>
        <v>1교시</v>
      </c>
      <c r="E559" s="68">
        <f>COUNTIF($H$7:$H559,$H559)</f>
        <v>21</v>
      </c>
      <c r="F559" s="67">
        <f>'1.연간시수표'!$AL$33</f>
        <v>5</v>
      </c>
      <c r="G559" s="89">
        <f t="shared" si="26"/>
        <v>1</v>
      </c>
      <c r="H559" s="91" t="str">
        <f>INDEX('0.시간표데이터'!$E$10:$AR$32,QUOTIENT(ROW(A553)-1,40)+1,MOD(ROW(A553)-1,40)+1)</f>
        <v>자율활동</v>
      </c>
      <c r="I559" s="77"/>
      <c r="J559" s="26"/>
      <c r="K559" s="165"/>
      <c r="L559" s="165"/>
      <c r="M559" s="166"/>
      <c r="N559" s="166"/>
      <c r="O559" s="166"/>
      <c r="P559" s="166"/>
      <c r="Q559" s="167"/>
      <c r="R559" s="111"/>
    </row>
    <row r="560" spans="1:18" ht="13.5" hidden="1" customHeight="1">
      <c r="A560" s="30">
        <v>554</v>
      </c>
      <c r="B560" s="24">
        <f>DATE('1.연간시수표'!$U$2,'1.연간시수표'!$X$2,'1.연간시수표'!$Z$2)+QUOTIENT(ROW(A554)-1,8)+(QUOTIENT(ROW(A554)-1,40)*2)</f>
        <v>44715</v>
      </c>
      <c r="C560" s="24" t="str">
        <f t="shared" si="24"/>
        <v>금</v>
      </c>
      <c r="D560" s="91" t="str">
        <f t="shared" si="25"/>
        <v>2교시</v>
      </c>
      <c r="E560" s="68">
        <f>COUNTIF($H$7:$H560,$H560)</f>
        <v>23</v>
      </c>
      <c r="F560" s="67">
        <f>'1.연간시수표'!$AL$33</f>
        <v>5</v>
      </c>
      <c r="G560" s="89">
        <f t="shared" si="26"/>
        <v>1</v>
      </c>
      <c r="H560" s="91" t="str">
        <f>INDEX('0.시간표데이터'!$E$10:$AR$32,QUOTIENT(ROW(A554)-1,40)+1,MOD(ROW(A554)-1,40)+1)</f>
        <v>체육</v>
      </c>
      <c r="I560" s="77"/>
      <c r="J560" s="26"/>
      <c r="K560" s="165"/>
      <c r="L560" s="165"/>
      <c r="M560" s="166"/>
      <c r="N560" s="166"/>
      <c r="O560" s="166"/>
      <c r="P560" s="166"/>
      <c r="Q560" s="167"/>
      <c r="R560" s="111"/>
    </row>
    <row r="561" spans="1:18" ht="13.5" hidden="1" customHeight="1">
      <c r="A561" s="30">
        <v>555</v>
      </c>
      <c r="B561" s="24">
        <f>DATE('1.연간시수표'!$U$2,'1.연간시수표'!$X$2,'1.연간시수표'!$Z$2)+QUOTIENT(ROW(A555)-1,8)+(QUOTIENT(ROW(A555)-1,40)*2)</f>
        <v>44715</v>
      </c>
      <c r="C561" s="24" t="str">
        <f t="shared" si="24"/>
        <v>금</v>
      </c>
      <c r="D561" s="91" t="str">
        <f t="shared" si="25"/>
        <v>3교시</v>
      </c>
      <c r="E561" s="68">
        <f>COUNTIF($H$7:$H561,$H561)</f>
        <v>50</v>
      </c>
      <c r="F561" s="67">
        <f>'1.연간시수표'!$AL$33</f>
        <v>5</v>
      </c>
      <c r="G561" s="89">
        <f t="shared" si="26"/>
        <v>1</v>
      </c>
      <c r="H561" s="91" t="str">
        <f>INDEX('0.시간표데이터'!$E$10:$AR$32,QUOTIENT(ROW(A555)-1,40)+1,MOD(ROW(A555)-1,40)+1)</f>
        <v>수학</v>
      </c>
      <c r="I561" s="77"/>
      <c r="J561" s="26"/>
      <c r="K561" s="165"/>
      <c r="L561" s="165"/>
      <c r="M561" s="166"/>
      <c r="N561" s="166"/>
      <c r="O561" s="166"/>
      <c r="P561" s="166"/>
      <c r="Q561" s="167"/>
      <c r="R561" s="111"/>
    </row>
    <row r="562" spans="1:18" ht="13.5" hidden="1" customHeight="1">
      <c r="A562" s="30">
        <v>556</v>
      </c>
      <c r="B562" s="24">
        <f>DATE('1.연간시수표'!$U$2,'1.연간시수표'!$X$2,'1.연간시수표'!$Z$2)+QUOTIENT(ROW(A556)-1,8)+(QUOTIENT(ROW(A556)-1,40)*2)</f>
        <v>44715</v>
      </c>
      <c r="C562" s="24" t="str">
        <f t="shared" si="24"/>
        <v>금</v>
      </c>
      <c r="D562" s="91" t="str">
        <f t="shared" si="25"/>
        <v>4교시</v>
      </c>
      <c r="E562" s="68">
        <f>COUNTIF($H$7:$H562,$H562)</f>
        <v>74</v>
      </c>
      <c r="F562" s="67">
        <f>'1.연간시수표'!$AL$33</f>
        <v>5</v>
      </c>
      <c r="G562" s="89">
        <f t="shared" si="26"/>
        <v>1</v>
      </c>
      <c r="H562" s="91" t="str">
        <f>INDEX('0.시간표데이터'!$E$10:$AR$32,QUOTIENT(ROW(A556)-1,40)+1,MOD(ROW(A556)-1,40)+1)</f>
        <v>국어</v>
      </c>
      <c r="I562" s="77"/>
      <c r="J562" s="26"/>
      <c r="K562" s="165"/>
      <c r="L562" s="165"/>
      <c r="M562" s="166"/>
      <c r="N562" s="166"/>
      <c r="O562" s="166"/>
      <c r="P562" s="166"/>
      <c r="Q562" s="167"/>
      <c r="R562" s="111"/>
    </row>
    <row r="563" spans="1:18" ht="13.5" hidden="1" customHeight="1">
      <c r="A563" s="30">
        <v>557</v>
      </c>
      <c r="B563" s="24">
        <f>DATE('1.연간시수표'!$U$2,'1.연간시수표'!$X$2,'1.연간시수표'!$Z$2)+QUOTIENT(ROW(A557)-1,8)+(QUOTIENT(ROW(A557)-1,40)*2)</f>
        <v>44715</v>
      </c>
      <c r="C563" s="24" t="str">
        <f t="shared" si="24"/>
        <v>금</v>
      </c>
      <c r="D563" s="91" t="str">
        <f t="shared" si="25"/>
        <v>5교시</v>
      </c>
      <c r="E563" s="68">
        <f>COUNTIF($H$7:$H563,$H563)</f>
        <v>37</v>
      </c>
      <c r="F563" s="67">
        <f>'1.연간시수표'!$AL$33</f>
        <v>5</v>
      </c>
      <c r="G563" s="89">
        <f t="shared" si="26"/>
        <v>1</v>
      </c>
      <c r="H563" s="91" t="str">
        <f>INDEX('0.시간표데이터'!$E$10:$AR$32,QUOTIENT(ROW(A557)-1,40)+1,MOD(ROW(A557)-1,40)+1)</f>
        <v>사회</v>
      </c>
      <c r="I563" s="77"/>
      <c r="J563" s="26"/>
      <c r="K563" s="165"/>
      <c r="L563" s="165"/>
      <c r="M563" s="166"/>
      <c r="N563" s="166"/>
      <c r="O563" s="166"/>
      <c r="P563" s="166"/>
      <c r="Q563" s="167"/>
      <c r="R563" s="111"/>
    </row>
    <row r="564" spans="1:18" ht="13.5" hidden="1" customHeight="1">
      <c r="A564" s="30">
        <v>558</v>
      </c>
      <c r="B564" s="24">
        <f>DATE('1.연간시수표'!$U$2,'1.연간시수표'!$X$2,'1.연간시수표'!$Z$2)+QUOTIENT(ROW(A558)-1,8)+(QUOTIENT(ROW(A558)-1,40)*2)</f>
        <v>44715</v>
      </c>
      <c r="C564" s="24" t="str">
        <f t="shared" si="24"/>
        <v>금</v>
      </c>
      <c r="D564" s="91" t="str">
        <f t="shared" si="25"/>
        <v>6교시</v>
      </c>
      <c r="E564" s="68">
        <f>COUNTIF($H$7:$H564,$H564)</f>
        <v>25</v>
      </c>
      <c r="F564" s="67">
        <f>'1.연간시수표'!$AL$33</f>
        <v>5</v>
      </c>
      <c r="G564" s="89">
        <f t="shared" si="26"/>
        <v>1</v>
      </c>
      <c r="H564" s="91" t="str">
        <f>INDEX('0.시간표데이터'!$E$10:$AR$32,QUOTIENT(ROW(A558)-1,40)+1,MOD(ROW(A558)-1,40)+1)</f>
        <v>실과</v>
      </c>
      <c r="I564" s="77"/>
      <c r="J564" s="26"/>
      <c r="K564" s="165"/>
      <c r="L564" s="165"/>
      <c r="M564" s="166"/>
      <c r="N564" s="166"/>
      <c r="O564" s="166"/>
      <c r="P564" s="166"/>
      <c r="Q564" s="167"/>
      <c r="R564" s="111"/>
    </row>
    <row r="565" spans="1:18" ht="13.5" hidden="1" customHeight="1">
      <c r="A565" s="30">
        <v>559</v>
      </c>
      <c r="B565" s="24">
        <f>DATE('1.연간시수표'!$U$2,'1.연간시수표'!$X$2,'1.연간시수표'!$Z$2)+QUOTIENT(ROW(A559)-1,8)+(QUOTIENT(ROW(A559)-1,40)*2)</f>
        <v>44715</v>
      </c>
      <c r="C565" s="24" t="str">
        <f t="shared" si="24"/>
        <v>금</v>
      </c>
      <c r="D565" s="91" t="str">
        <f t="shared" si="25"/>
        <v>7교시</v>
      </c>
      <c r="E565" s="68">
        <f>COUNTIF($H$7:$H565,$H565)</f>
        <v>188</v>
      </c>
      <c r="F565" s="67">
        <f>'1.연간시수표'!$AL$33</f>
        <v>5</v>
      </c>
      <c r="G565" s="89">
        <f t="shared" si="26"/>
        <v>1</v>
      </c>
      <c r="H565" s="91" t="str">
        <f>INDEX('0.시간표데이터'!$E$10:$AR$32,QUOTIENT(ROW(A559)-1,40)+1,MOD(ROW(A559)-1,40)+1)</f>
        <v>_</v>
      </c>
      <c r="I565" s="76"/>
      <c r="J565" s="26"/>
      <c r="K565" s="165"/>
      <c r="L565" s="165"/>
      <c r="M565" s="166"/>
      <c r="N565" s="166"/>
      <c r="O565" s="166"/>
      <c r="P565" s="166"/>
      <c r="Q565" s="167"/>
      <c r="R565" s="111"/>
    </row>
    <row r="566" spans="1:18" ht="13.5" hidden="1" customHeight="1">
      <c r="A566" s="30">
        <v>560</v>
      </c>
      <c r="B566" s="24">
        <f>DATE('1.연간시수표'!$U$2,'1.연간시수표'!$X$2,'1.연간시수표'!$Z$2)+QUOTIENT(ROW(A560)-1,8)+(QUOTIENT(ROW(A560)-1,40)*2)</f>
        <v>44715</v>
      </c>
      <c r="C566" s="24" t="str">
        <f t="shared" si="24"/>
        <v>금</v>
      </c>
      <c r="D566" s="91" t="str">
        <f t="shared" si="25"/>
        <v>8교시</v>
      </c>
      <c r="E566" s="68">
        <f>COUNTIF($H$7:$H566,$H566)</f>
        <v>189</v>
      </c>
      <c r="F566" s="67">
        <f>'1.연간시수표'!$AL$33</f>
        <v>5</v>
      </c>
      <c r="G566" s="89">
        <f t="shared" si="26"/>
        <v>1</v>
      </c>
      <c r="H566" s="91" t="str">
        <f>INDEX('0.시간표데이터'!$E$10:$AR$32,QUOTIENT(ROW(A560)-1,40)+1,MOD(ROW(A560)-1,40)+1)</f>
        <v>_</v>
      </c>
      <c r="I566" s="76"/>
      <c r="J566" s="26"/>
      <c r="K566" s="165"/>
      <c r="L566" s="165"/>
      <c r="M566" s="166"/>
      <c r="N566" s="166"/>
      <c r="O566" s="166"/>
      <c r="P566" s="166"/>
      <c r="Q566" s="167"/>
      <c r="R566" s="111"/>
    </row>
    <row r="567" spans="1:18" ht="13.5" hidden="1" customHeight="1">
      <c r="A567" s="30">
        <v>561</v>
      </c>
      <c r="B567" s="24">
        <f>DATE('1.연간시수표'!$U$2,'1.연간시수표'!$X$2,'1.연간시수표'!$Z$2)+QUOTIENT(ROW(A561)-1,8)+(QUOTIENT(ROW(A561)-1,40)*2)</f>
        <v>44718</v>
      </c>
      <c r="C567" s="24" t="str">
        <f t="shared" si="24"/>
        <v>월</v>
      </c>
      <c r="D567" s="91" t="str">
        <f t="shared" si="25"/>
        <v>1교시</v>
      </c>
      <c r="E567" s="68">
        <f>COUNTIF($H$7:$H567,$H567)</f>
        <v>190</v>
      </c>
      <c r="F567" s="67">
        <f>'1.연간시수표'!$AL$33</f>
        <v>5</v>
      </c>
      <c r="G567" s="89">
        <f t="shared" si="26"/>
        <v>1</v>
      </c>
      <c r="H567" s="91" t="str">
        <f>INDEX('0.시간표데이터'!$E$10:$AR$32,QUOTIENT(ROW(A561)-1,40)+1,MOD(ROW(A561)-1,40)+1)</f>
        <v>_</v>
      </c>
      <c r="I567" s="77"/>
      <c r="J567" s="26"/>
      <c r="K567" s="162"/>
      <c r="L567" s="162"/>
      <c r="M567" s="168"/>
      <c r="N567" s="99"/>
      <c r="O567" s="99"/>
      <c r="P567" s="99"/>
      <c r="Q567" s="167"/>
      <c r="R567" s="111"/>
    </row>
    <row r="568" spans="1:18" ht="13.5" hidden="1" customHeight="1">
      <c r="A568" s="30">
        <v>562</v>
      </c>
      <c r="B568" s="24">
        <f>DATE('1.연간시수표'!$U$2,'1.연간시수표'!$X$2,'1.연간시수표'!$Z$2)+QUOTIENT(ROW(A562)-1,8)+(QUOTIENT(ROW(A562)-1,40)*2)</f>
        <v>44718</v>
      </c>
      <c r="C568" s="24" t="str">
        <f t="shared" si="24"/>
        <v>월</v>
      </c>
      <c r="D568" s="91" t="str">
        <f t="shared" si="25"/>
        <v>2교시</v>
      </c>
      <c r="E568" s="68">
        <f>COUNTIF($H$7:$H568,$H568)</f>
        <v>191</v>
      </c>
      <c r="F568" s="67">
        <f>'1.연간시수표'!$AL$33</f>
        <v>5</v>
      </c>
      <c r="G568" s="89">
        <f t="shared" si="26"/>
        <v>1</v>
      </c>
      <c r="H568" s="91" t="str">
        <f>INDEX('0.시간표데이터'!$E$10:$AR$32,QUOTIENT(ROW(A562)-1,40)+1,MOD(ROW(A562)-1,40)+1)</f>
        <v>_</v>
      </c>
      <c r="I568" s="161"/>
      <c r="J568" s="26"/>
      <c r="K568" s="165"/>
      <c r="L568" s="165"/>
      <c r="M568" s="166"/>
      <c r="N568" s="166"/>
      <c r="O568" s="166"/>
      <c r="P568" s="166"/>
      <c r="Q568" s="167"/>
      <c r="R568" s="111"/>
    </row>
    <row r="569" spans="1:18" ht="13.5" hidden="1" customHeight="1">
      <c r="A569" s="30">
        <v>563</v>
      </c>
      <c r="B569" s="24">
        <f>DATE('1.연간시수표'!$U$2,'1.연간시수표'!$X$2,'1.연간시수표'!$Z$2)+QUOTIENT(ROW(A563)-1,8)+(QUOTIENT(ROW(A563)-1,40)*2)</f>
        <v>44718</v>
      </c>
      <c r="C569" s="24" t="str">
        <f t="shared" si="24"/>
        <v>월</v>
      </c>
      <c r="D569" s="91" t="str">
        <f t="shared" si="25"/>
        <v>3교시</v>
      </c>
      <c r="E569" s="68">
        <f>COUNTIF($H$7:$H569,$H569)</f>
        <v>192</v>
      </c>
      <c r="F569" s="67">
        <f>'1.연간시수표'!$AL$33</f>
        <v>5</v>
      </c>
      <c r="G569" s="89">
        <f t="shared" si="26"/>
        <v>1</v>
      </c>
      <c r="H569" s="91" t="str">
        <f>INDEX('0.시간표데이터'!$E$10:$AR$32,QUOTIENT(ROW(A563)-1,40)+1,MOD(ROW(A563)-1,40)+1)</f>
        <v>_</v>
      </c>
      <c r="I569" s="77"/>
      <c r="J569" s="26"/>
      <c r="K569" s="162"/>
      <c r="L569" s="162"/>
      <c r="M569" s="169"/>
      <c r="N569" s="101"/>
      <c r="O569" s="99"/>
      <c r="P569" s="99"/>
      <c r="Q569" s="167"/>
      <c r="R569" s="111"/>
    </row>
    <row r="570" spans="1:18" ht="13.5" hidden="1" customHeight="1">
      <c r="A570" s="30">
        <v>564</v>
      </c>
      <c r="B570" s="24">
        <f>DATE('1.연간시수표'!$U$2,'1.연간시수표'!$X$2,'1.연간시수표'!$Z$2)+QUOTIENT(ROW(A564)-1,8)+(QUOTIENT(ROW(A564)-1,40)*2)</f>
        <v>44718</v>
      </c>
      <c r="C570" s="24" t="str">
        <f t="shared" si="24"/>
        <v>월</v>
      </c>
      <c r="D570" s="91" t="str">
        <f t="shared" si="25"/>
        <v>4교시</v>
      </c>
      <c r="E570" s="68">
        <f>COUNTIF($H$7:$H570,$H570)</f>
        <v>193</v>
      </c>
      <c r="F570" s="67">
        <f>'1.연간시수표'!$AL$33</f>
        <v>5</v>
      </c>
      <c r="G570" s="89">
        <f t="shared" si="26"/>
        <v>1</v>
      </c>
      <c r="H570" s="91" t="str">
        <f>INDEX('0.시간표데이터'!$E$10:$AR$32,QUOTIENT(ROW(A564)-1,40)+1,MOD(ROW(A564)-1,40)+1)</f>
        <v>_</v>
      </c>
      <c r="I570" s="77"/>
      <c r="J570" s="26"/>
      <c r="K570" s="162"/>
      <c r="L570" s="162"/>
      <c r="M570" s="169"/>
      <c r="N570" s="101"/>
      <c r="O570" s="99"/>
      <c r="P570" s="99"/>
      <c r="Q570" s="167"/>
      <c r="R570" s="111"/>
    </row>
    <row r="571" spans="1:18" ht="13.5" hidden="1" customHeight="1">
      <c r="A571" s="30">
        <v>565</v>
      </c>
      <c r="B571" s="24">
        <f>DATE('1.연간시수표'!$U$2,'1.연간시수표'!$X$2,'1.연간시수표'!$Z$2)+QUOTIENT(ROW(A565)-1,8)+(QUOTIENT(ROW(A565)-1,40)*2)</f>
        <v>44718</v>
      </c>
      <c r="C571" s="24" t="str">
        <f t="shared" si="24"/>
        <v>월</v>
      </c>
      <c r="D571" s="91" t="str">
        <f t="shared" si="25"/>
        <v>5교시</v>
      </c>
      <c r="E571" s="68">
        <f>COUNTIF($H$7:$H571,$H571)</f>
        <v>194</v>
      </c>
      <c r="F571" s="67">
        <f>'1.연간시수표'!$AL$33</f>
        <v>5</v>
      </c>
      <c r="G571" s="89">
        <f t="shared" si="26"/>
        <v>1</v>
      </c>
      <c r="H571" s="91" t="str">
        <f>INDEX('0.시간표데이터'!$E$10:$AR$32,QUOTIENT(ROW(A565)-1,40)+1,MOD(ROW(A565)-1,40)+1)</f>
        <v>_</v>
      </c>
      <c r="I571" s="77"/>
      <c r="J571" s="26"/>
      <c r="K571" s="162"/>
      <c r="L571" s="162"/>
      <c r="M571" s="168"/>
      <c r="N571" s="98"/>
      <c r="O571" s="99"/>
      <c r="P571" s="99"/>
      <c r="Q571" s="167"/>
      <c r="R571" s="111"/>
    </row>
    <row r="572" spans="1:18" ht="13.5" hidden="1" customHeight="1">
      <c r="A572" s="30">
        <v>566</v>
      </c>
      <c r="B572" s="24">
        <f>DATE('1.연간시수표'!$U$2,'1.연간시수표'!$X$2,'1.연간시수표'!$Z$2)+QUOTIENT(ROW(A566)-1,8)+(QUOTIENT(ROW(A566)-1,40)*2)</f>
        <v>44718</v>
      </c>
      <c r="C572" s="24" t="str">
        <f t="shared" si="24"/>
        <v>월</v>
      </c>
      <c r="D572" s="91" t="str">
        <f t="shared" si="25"/>
        <v>6교시</v>
      </c>
      <c r="E572" s="68">
        <f>COUNTIF($H$7:$H572,$H572)</f>
        <v>195</v>
      </c>
      <c r="F572" s="67">
        <f>'1.연간시수표'!$AL$33</f>
        <v>5</v>
      </c>
      <c r="G572" s="89">
        <f t="shared" si="26"/>
        <v>1</v>
      </c>
      <c r="H572" s="91" t="str">
        <f>INDEX('0.시간표데이터'!$E$10:$AR$32,QUOTIENT(ROW(A566)-1,40)+1,MOD(ROW(A566)-1,40)+1)</f>
        <v>_</v>
      </c>
      <c r="I572" s="77"/>
      <c r="J572" s="26"/>
      <c r="K572" s="165"/>
      <c r="L572" s="165"/>
      <c r="M572" s="166"/>
      <c r="N572" s="166"/>
      <c r="O572" s="166"/>
      <c r="P572" s="166"/>
      <c r="Q572" s="167"/>
      <c r="R572" s="111"/>
    </row>
    <row r="573" spans="1:18" ht="13.5" hidden="1" customHeight="1">
      <c r="A573" s="30">
        <v>567</v>
      </c>
      <c r="B573" s="24">
        <f>DATE('1.연간시수표'!$U$2,'1.연간시수표'!$X$2,'1.연간시수표'!$Z$2)+QUOTIENT(ROW(A567)-1,8)+(QUOTIENT(ROW(A567)-1,40)*2)</f>
        <v>44718</v>
      </c>
      <c r="C573" s="24" t="str">
        <f t="shared" si="24"/>
        <v>월</v>
      </c>
      <c r="D573" s="91" t="str">
        <f t="shared" si="25"/>
        <v>7교시</v>
      </c>
      <c r="E573" s="68">
        <f>COUNTIF($H$7:$H573,$H573)</f>
        <v>196</v>
      </c>
      <c r="F573" s="67">
        <f>'1.연간시수표'!$AL$33</f>
        <v>5</v>
      </c>
      <c r="G573" s="89">
        <f t="shared" si="26"/>
        <v>1</v>
      </c>
      <c r="H573" s="91" t="str">
        <f>INDEX('0.시간표데이터'!$E$10:$AR$32,QUOTIENT(ROW(A567)-1,40)+1,MOD(ROW(A567)-1,40)+1)</f>
        <v>_</v>
      </c>
      <c r="I573" s="76"/>
      <c r="J573" s="26"/>
      <c r="K573" s="165"/>
      <c r="L573" s="165"/>
      <c r="M573" s="166"/>
      <c r="N573" s="166"/>
      <c r="O573" s="166"/>
      <c r="P573" s="166"/>
      <c r="Q573" s="167"/>
      <c r="R573" s="111"/>
    </row>
    <row r="574" spans="1:18" ht="13.5" hidden="1" customHeight="1">
      <c r="A574" s="30">
        <v>568</v>
      </c>
      <c r="B574" s="24">
        <f>DATE('1.연간시수표'!$U$2,'1.연간시수표'!$X$2,'1.연간시수표'!$Z$2)+QUOTIENT(ROW(A568)-1,8)+(QUOTIENT(ROW(A568)-1,40)*2)</f>
        <v>44718</v>
      </c>
      <c r="C574" s="24" t="str">
        <f t="shared" si="24"/>
        <v>월</v>
      </c>
      <c r="D574" s="91" t="str">
        <f t="shared" si="25"/>
        <v>8교시</v>
      </c>
      <c r="E574" s="68">
        <f>COUNTIF($H$7:$H574,$H574)</f>
        <v>197</v>
      </c>
      <c r="F574" s="67">
        <f>'1.연간시수표'!$AL$33</f>
        <v>5</v>
      </c>
      <c r="G574" s="89">
        <f t="shared" si="26"/>
        <v>1</v>
      </c>
      <c r="H574" s="91" t="str">
        <f>INDEX('0.시간표데이터'!$E$10:$AR$32,QUOTIENT(ROW(A568)-1,40)+1,MOD(ROW(A568)-1,40)+1)</f>
        <v>_</v>
      </c>
      <c r="I574" s="76"/>
      <c r="J574" s="26"/>
      <c r="K574" s="165"/>
      <c r="L574" s="165"/>
      <c r="M574" s="166"/>
      <c r="N574" s="166"/>
      <c r="O574" s="166"/>
      <c r="P574" s="166"/>
      <c r="Q574" s="167"/>
      <c r="R574" s="111"/>
    </row>
    <row r="575" spans="1:18" ht="13.5" hidden="1" customHeight="1">
      <c r="A575" s="30">
        <v>569</v>
      </c>
      <c r="B575" s="24">
        <f>DATE('1.연간시수표'!$U$2,'1.연간시수표'!$X$2,'1.연간시수표'!$Z$2)+QUOTIENT(ROW(A569)-1,8)+(QUOTIENT(ROW(A569)-1,40)*2)</f>
        <v>44719</v>
      </c>
      <c r="C575" s="24" t="str">
        <f t="shared" si="24"/>
        <v>화</v>
      </c>
      <c r="D575" s="91" t="str">
        <f t="shared" si="25"/>
        <v>1교시</v>
      </c>
      <c r="E575" s="68">
        <f>COUNTIF($H$7:$H575,$H575)</f>
        <v>75</v>
      </c>
      <c r="F575" s="67">
        <f>'1.연간시수표'!$AL$33</f>
        <v>5</v>
      </c>
      <c r="G575" s="89">
        <f t="shared" si="26"/>
        <v>1</v>
      </c>
      <c r="H575" s="91" t="str">
        <f>INDEX('0.시간표데이터'!$E$10:$AR$32,QUOTIENT(ROW(A569)-1,40)+1,MOD(ROW(A569)-1,40)+1)</f>
        <v>국어</v>
      </c>
      <c r="I575" s="77"/>
      <c r="J575" s="26"/>
      <c r="K575" s="162"/>
      <c r="L575" s="162"/>
      <c r="M575" s="168"/>
      <c r="N575" s="99"/>
      <c r="O575" s="99"/>
      <c r="P575" s="99"/>
      <c r="Q575" s="167"/>
      <c r="R575" s="111"/>
    </row>
    <row r="576" spans="1:18" ht="13.5" hidden="1" customHeight="1">
      <c r="A576" s="30">
        <v>570</v>
      </c>
      <c r="B576" s="24">
        <f>DATE('1.연간시수표'!$U$2,'1.연간시수표'!$X$2,'1.연간시수표'!$Z$2)+QUOTIENT(ROW(A570)-1,8)+(QUOTIENT(ROW(A570)-1,40)*2)</f>
        <v>44719</v>
      </c>
      <c r="C576" s="24" t="str">
        <f t="shared" si="24"/>
        <v>화</v>
      </c>
      <c r="D576" s="91" t="str">
        <f t="shared" si="25"/>
        <v>2교시</v>
      </c>
      <c r="E576" s="68">
        <f>COUNTIF($H$7:$H576,$H576)</f>
        <v>76</v>
      </c>
      <c r="F576" s="67">
        <f>'1.연간시수표'!$AL$33</f>
        <v>5</v>
      </c>
      <c r="G576" s="89">
        <f t="shared" si="26"/>
        <v>1</v>
      </c>
      <c r="H576" s="91" t="str">
        <f>INDEX('0.시간표데이터'!$E$10:$AR$32,QUOTIENT(ROW(A570)-1,40)+1,MOD(ROW(A570)-1,40)+1)</f>
        <v>국어</v>
      </c>
      <c r="I576" s="161"/>
      <c r="J576" s="26"/>
      <c r="K576" s="165"/>
      <c r="L576" s="165"/>
      <c r="M576" s="166"/>
      <c r="N576" s="166"/>
      <c r="O576" s="166"/>
      <c r="P576" s="166"/>
      <c r="Q576" s="167"/>
      <c r="R576" s="111"/>
    </row>
    <row r="577" spans="1:18" hidden="1">
      <c r="A577" s="30">
        <v>571</v>
      </c>
      <c r="B577" s="24">
        <f>DATE('1.연간시수표'!$U$2,'1.연간시수표'!$X$2,'1.연간시수표'!$Z$2)+QUOTIENT(ROW(A571)-1,8)+(QUOTIENT(ROW(A571)-1,40)*2)</f>
        <v>44719</v>
      </c>
      <c r="C577" s="24" t="str">
        <f t="shared" si="24"/>
        <v>화</v>
      </c>
      <c r="D577" s="91" t="str">
        <f t="shared" si="25"/>
        <v>3교시</v>
      </c>
      <c r="E577" s="68">
        <f>COUNTIF($H$7:$H577,$H577)</f>
        <v>38</v>
      </c>
      <c r="F577" s="67">
        <f>'1.연간시수표'!$AL$33</f>
        <v>5</v>
      </c>
      <c r="G577" s="89">
        <f t="shared" si="26"/>
        <v>1</v>
      </c>
      <c r="H577" s="91" t="str">
        <f>INDEX('0.시간표데이터'!$E$10:$AR$32,QUOTIENT(ROW(A571)-1,40)+1,MOD(ROW(A571)-1,40)+1)</f>
        <v>사회</v>
      </c>
      <c r="I577" s="77"/>
      <c r="J577" s="26"/>
      <c r="K577" s="162"/>
      <c r="L577" s="162"/>
      <c r="M577" s="170"/>
      <c r="N577" s="98"/>
      <c r="O577" s="98"/>
      <c r="P577" s="98"/>
      <c r="Q577" s="167"/>
      <c r="R577" s="111"/>
    </row>
    <row r="578" spans="1:18" hidden="1">
      <c r="A578" s="30">
        <v>572</v>
      </c>
      <c r="B578" s="24">
        <f>DATE('1.연간시수표'!$U$2,'1.연간시수표'!$X$2,'1.연간시수표'!$Z$2)+QUOTIENT(ROW(A572)-1,8)+(QUOTIENT(ROW(A572)-1,40)*2)</f>
        <v>44719</v>
      </c>
      <c r="C578" s="24" t="str">
        <f t="shared" si="24"/>
        <v>화</v>
      </c>
      <c r="D578" s="91" t="str">
        <f t="shared" si="25"/>
        <v>4교시</v>
      </c>
      <c r="E578" s="68">
        <f>COUNTIF($H$7:$H578,$H578)</f>
        <v>51</v>
      </c>
      <c r="F578" s="67">
        <f>'1.연간시수표'!$AL$33</f>
        <v>5</v>
      </c>
      <c r="G578" s="89">
        <f t="shared" si="26"/>
        <v>1</v>
      </c>
      <c r="H578" s="91" t="str">
        <f>INDEX('0.시간표데이터'!$E$10:$AR$32,QUOTIENT(ROW(A572)-1,40)+1,MOD(ROW(A572)-1,40)+1)</f>
        <v>수학</v>
      </c>
      <c r="I578" s="77"/>
      <c r="J578" s="26"/>
      <c r="K578" s="162"/>
      <c r="L578" s="162"/>
      <c r="M578" s="168"/>
      <c r="N578" s="98"/>
      <c r="O578" s="99"/>
      <c r="P578" s="99"/>
      <c r="Q578" s="167"/>
      <c r="R578" s="111"/>
    </row>
    <row r="579" spans="1:18" ht="13.5" hidden="1" customHeight="1">
      <c r="A579" s="30">
        <v>573</v>
      </c>
      <c r="B579" s="24">
        <f>DATE('1.연간시수표'!$U$2,'1.연간시수표'!$X$2,'1.연간시수표'!$Z$2)+QUOTIENT(ROW(A573)-1,8)+(QUOTIENT(ROW(A573)-1,40)*2)</f>
        <v>44719</v>
      </c>
      <c r="C579" s="24" t="str">
        <f t="shared" si="24"/>
        <v>화</v>
      </c>
      <c r="D579" s="91" t="str">
        <f t="shared" si="25"/>
        <v>5교시</v>
      </c>
      <c r="E579" s="68">
        <f>COUNTIF($H$7:$H579,$H579)</f>
        <v>35</v>
      </c>
      <c r="F579" s="67">
        <f>'1.연간시수표'!$AL$33</f>
        <v>5</v>
      </c>
      <c r="G579" s="89">
        <f t="shared" si="26"/>
        <v>1</v>
      </c>
      <c r="H579" s="91" t="str">
        <f>INDEX('0.시간표데이터'!$E$10:$AR$32,QUOTIENT(ROW(A573)-1,40)+1,MOD(ROW(A573)-1,40)+1)</f>
        <v>과학</v>
      </c>
      <c r="I579" s="77"/>
      <c r="J579" s="26"/>
      <c r="K579" s="137"/>
      <c r="L579" s="137"/>
      <c r="M579" s="114"/>
      <c r="N579" s="114"/>
      <c r="O579" s="114"/>
      <c r="P579" s="114"/>
      <c r="Q579" s="164"/>
      <c r="R579" s="110"/>
    </row>
    <row r="580" spans="1:18" ht="13.5" hidden="1" customHeight="1">
      <c r="A580" s="30">
        <v>574</v>
      </c>
      <c r="B580" s="24">
        <f>DATE('1.연간시수표'!$U$2,'1.연간시수표'!$X$2,'1.연간시수표'!$Z$2)+QUOTIENT(ROW(A574)-1,8)+(QUOTIENT(ROW(A574)-1,40)*2)</f>
        <v>44719</v>
      </c>
      <c r="C580" s="24" t="str">
        <f t="shared" si="24"/>
        <v>화</v>
      </c>
      <c r="D580" s="91" t="str">
        <f t="shared" si="25"/>
        <v>6교시</v>
      </c>
      <c r="E580" s="68">
        <f>COUNTIF($H$7:$H580,$H580)</f>
        <v>26</v>
      </c>
      <c r="F580" s="67">
        <f>'1.연간시수표'!$AL$33</f>
        <v>5</v>
      </c>
      <c r="G580" s="89">
        <f t="shared" si="26"/>
        <v>1</v>
      </c>
      <c r="H580" s="91" t="str">
        <f>INDEX('0.시간표데이터'!$E$10:$AR$32,QUOTIENT(ROW(A574)-1,40)+1,MOD(ROW(A574)-1,40)+1)</f>
        <v>실과</v>
      </c>
      <c r="I580" s="77"/>
      <c r="J580" s="26"/>
      <c r="K580" s="165"/>
      <c r="L580" s="165"/>
      <c r="M580" s="166"/>
      <c r="N580" s="166"/>
      <c r="O580" s="166"/>
      <c r="P580" s="166"/>
      <c r="Q580" s="167"/>
      <c r="R580" s="111"/>
    </row>
    <row r="581" spans="1:18" ht="13.5" hidden="1" customHeight="1">
      <c r="A581" s="30">
        <v>575</v>
      </c>
      <c r="B581" s="24">
        <f>DATE('1.연간시수표'!$U$2,'1.연간시수표'!$X$2,'1.연간시수표'!$Z$2)+QUOTIENT(ROW(A575)-1,8)+(QUOTIENT(ROW(A575)-1,40)*2)</f>
        <v>44719</v>
      </c>
      <c r="C581" s="24" t="str">
        <f t="shared" si="24"/>
        <v>화</v>
      </c>
      <c r="D581" s="91" t="str">
        <f t="shared" si="25"/>
        <v>7교시</v>
      </c>
      <c r="E581" s="68">
        <f>COUNTIF($H$7:$H581,$H581)</f>
        <v>198</v>
      </c>
      <c r="F581" s="67">
        <f>'1.연간시수표'!$AL$33</f>
        <v>5</v>
      </c>
      <c r="G581" s="89">
        <f t="shared" si="26"/>
        <v>1</v>
      </c>
      <c r="H581" s="91" t="str">
        <f>INDEX('0.시간표데이터'!$E$10:$AR$32,QUOTIENT(ROW(A575)-1,40)+1,MOD(ROW(A575)-1,40)+1)</f>
        <v>_</v>
      </c>
      <c r="I581" s="76"/>
      <c r="J581" s="26"/>
      <c r="K581" s="165"/>
      <c r="L581" s="165"/>
      <c r="M581" s="166"/>
      <c r="N581" s="166"/>
      <c r="O581" s="166"/>
      <c r="P581" s="166"/>
      <c r="Q581" s="167"/>
      <c r="R581" s="111"/>
    </row>
    <row r="582" spans="1:18" ht="13.5" hidden="1" customHeight="1">
      <c r="A582" s="30">
        <v>576</v>
      </c>
      <c r="B582" s="24">
        <f>DATE('1.연간시수표'!$U$2,'1.연간시수표'!$X$2,'1.연간시수표'!$Z$2)+QUOTIENT(ROW(A576)-1,8)+(QUOTIENT(ROW(A576)-1,40)*2)</f>
        <v>44719</v>
      </c>
      <c r="C582" s="24" t="str">
        <f t="shared" si="24"/>
        <v>화</v>
      </c>
      <c r="D582" s="91" t="str">
        <f t="shared" si="25"/>
        <v>8교시</v>
      </c>
      <c r="E582" s="68">
        <f>COUNTIF($H$7:$H582,$H582)</f>
        <v>199</v>
      </c>
      <c r="F582" s="67">
        <f>'1.연간시수표'!$AL$33</f>
        <v>5</v>
      </c>
      <c r="G582" s="89">
        <f t="shared" si="26"/>
        <v>1</v>
      </c>
      <c r="H582" s="91" t="str">
        <f>INDEX('0.시간표데이터'!$E$10:$AR$32,QUOTIENT(ROW(A576)-1,40)+1,MOD(ROW(A576)-1,40)+1)</f>
        <v>_</v>
      </c>
      <c r="I582" s="76"/>
      <c r="J582" s="26"/>
      <c r="K582" s="165"/>
      <c r="L582" s="165"/>
      <c r="M582" s="166"/>
      <c r="N582" s="166"/>
      <c r="O582" s="166"/>
      <c r="P582" s="166"/>
      <c r="Q582" s="167"/>
      <c r="R582" s="111"/>
    </row>
    <row r="583" spans="1:18" ht="13.5" hidden="1" customHeight="1">
      <c r="A583" s="30">
        <v>577</v>
      </c>
      <c r="B583" s="24">
        <f>DATE('1.연간시수표'!$U$2,'1.연간시수표'!$X$2,'1.연간시수표'!$Z$2)+QUOTIENT(ROW(A577)-1,8)+(QUOTIENT(ROW(A577)-1,40)*2)</f>
        <v>44720</v>
      </c>
      <c r="C583" s="24" t="str">
        <f t="shared" ref="C583:C646" si="27">IF(WEEKDAY(B583,2)=1,"월",IF(WEEKDAY(B583,2)=2,"화",IF(WEEKDAY(B583,2)=3,"수",IF(WEEKDAY(B583,2)=4,"목",IF(WEEKDAY(B583,2)=5,"금")))))</f>
        <v>수</v>
      </c>
      <c r="D583" s="91" t="str">
        <f t="shared" ref="D583:D646" si="28">TEXT(MOD(ROW(A577)-1,8)+1,"#교시")</f>
        <v>1교시</v>
      </c>
      <c r="E583" s="68">
        <f>COUNTIF($H$7:$H583,$H583)</f>
        <v>37</v>
      </c>
      <c r="F583" s="67">
        <f>'1.연간시수표'!$AL$33</f>
        <v>5</v>
      </c>
      <c r="G583" s="89">
        <f t="shared" ref="G583:G646" si="29">$A$2</f>
        <v>1</v>
      </c>
      <c r="H583" s="91" t="str">
        <f>INDEX('0.시간표데이터'!$E$10:$AR$32,QUOTIENT(ROW(A577)-1,40)+1,MOD(ROW(A577)-1,40)+1)</f>
        <v>영어</v>
      </c>
      <c r="I583" s="77"/>
      <c r="J583" s="26"/>
      <c r="K583" s="162"/>
      <c r="L583" s="162"/>
      <c r="M583" s="170"/>
      <c r="N583" s="98"/>
      <c r="O583" s="98"/>
      <c r="P583" s="98"/>
      <c r="Q583" s="167"/>
      <c r="R583" s="111"/>
    </row>
    <row r="584" spans="1:18" ht="13.5" hidden="1" customHeight="1">
      <c r="A584" s="30">
        <v>578</v>
      </c>
      <c r="B584" s="24">
        <f>DATE('1.연간시수표'!$U$2,'1.연간시수표'!$X$2,'1.연간시수표'!$Z$2)+QUOTIENT(ROW(A578)-1,8)+(QUOTIENT(ROW(A578)-1,40)*2)</f>
        <v>44720</v>
      </c>
      <c r="C584" s="24" t="str">
        <f t="shared" si="27"/>
        <v>수</v>
      </c>
      <c r="D584" s="91" t="str">
        <f t="shared" si="28"/>
        <v>2교시</v>
      </c>
      <c r="E584" s="68">
        <f>COUNTIF($H$7:$H584,$H584)</f>
        <v>36</v>
      </c>
      <c r="F584" s="67">
        <f>'1.연간시수표'!$AL$33</f>
        <v>5</v>
      </c>
      <c r="G584" s="89">
        <f t="shared" si="29"/>
        <v>1</v>
      </c>
      <c r="H584" s="91" t="str">
        <f>INDEX('0.시간표데이터'!$E$10:$AR$32,QUOTIENT(ROW(A578)-1,40)+1,MOD(ROW(A578)-1,40)+1)</f>
        <v>과학</v>
      </c>
      <c r="I584" s="77"/>
      <c r="J584" s="26"/>
      <c r="K584" s="137"/>
      <c r="L584" s="137"/>
      <c r="M584" s="114"/>
      <c r="N584" s="114"/>
      <c r="O584" s="114"/>
      <c r="P584" s="114"/>
      <c r="Q584" s="164"/>
      <c r="R584" s="110"/>
    </row>
    <row r="585" spans="1:18" ht="13.5" hidden="1" customHeight="1">
      <c r="A585" s="30">
        <v>579</v>
      </c>
      <c r="B585" s="24">
        <f>DATE('1.연간시수표'!$U$2,'1.연간시수표'!$X$2,'1.연간시수표'!$Z$2)+QUOTIENT(ROW(A579)-1,8)+(QUOTIENT(ROW(A579)-1,40)*2)</f>
        <v>44720</v>
      </c>
      <c r="C585" s="24" t="str">
        <f t="shared" si="27"/>
        <v>수</v>
      </c>
      <c r="D585" s="91" t="str">
        <f t="shared" si="28"/>
        <v>3교시</v>
      </c>
      <c r="E585" s="68">
        <f>COUNTIF($H$7:$H585,$H585)</f>
        <v>24</v>
      </c>
      <c r="F585" s="67">
        <f>'1.연간시수표'!$AL$33</f>
        <v>5</v>
      </c>
      <c r="G585" s="89">
        <f t="shared" si="29"/>
        <v>1</v>
      </c>
      <c r="H585" s="91" t="str">
        <f>INDEX('0.시간표데이터'!$E$10:$AR$32,QUOTIENT(ROW(A579)-1,40)+1,MOD(ROW(A579)-1,40)+1)</f>
        <v>체육</v>
      </c>
      <c r="I585" s="77"/>
      <c r="J585" s="26"/>
      <c r="K585" s="162"/>
      <c r="L585" s="162"/>
      <c r="M585" s="172"/>
      <c r="N585" s="101"/>
      <c r="O585" s="99"/>
      <c r="P585" s="99"/>
      <c r="Q585" s="167"/>
      <c r="R585" s="111"/>
    </row>
    <row r="586" spans="1:18" ht="13.5" hidden="1" customHeight="1">
      <c r="A586" s="30">
        <v>580</v>
      </c>
      <c r="B586" s="24">
        <f>DATE('1.연간시수표'!$U$2,'1.연간시수표'!$X$2,'1.연간시수표'!$Z$2)+QUOTIENT(ROW(A580)-1,8)+(QUOTIENT(ROW(A580)-1,40)*2)</f>
        <v>44720</v>
      </c>
      <c r="C586" s="24" t="str">
        <f t="shared" si="27"/>
        <v>수</v>
      </c>
      <c r="D586" s="91" t="str">
        <f t="shared" si="28"/>
        <v>4교시</v>
      </c>
      <c r="E586" s="68">
        <f>COUNTIF($H$7:$H586,$H586)</f>
        <v>26</v>
      </c>
      <c r="F586" s="67">
        <f>'1.연간시수표'!$AL$33</f>
        <v>5</v>
      </c>
      <c r="G586" s="89">
        <f t="shared" si="29"/>
        <v>1</v>
      </c>
      <c r="H586" s="91" t="str">
        <f>INDEX('0.시간표데이터'!$E$10:$AR$32,QUOTIENT(ROW(A580)-1,40)+1,MOD(ROW(A580)-1,40)+1)</f>
        <v>음악</v>
      </c>
      <c r="I586" s="77"/>
      <c r="J586" s="26"/>
      <c r="K586" s="162"/>
      <c r="L586" s="162"/>
      <c r="M586" s="168"/>
      <c r="N586" s="99"/>
      <c r="O586" s="99"/>
      <c r="P586" s="99"/>
      <c r="Q586" s="167"/>
      <c r="R586" s="111"/>
    </row>
    <row r="587" spans="1:18" ht="13.5" customHeight="1">
      <c r="A587" s="30">
        <v>581</v>
      </c>
      <c r="B587" s="24">
        <f>DATE('1.연간시수표'!$U$2,'1.연간시수표'!$X$2,'1.연간시수표'!$Z$2)+QUOTIENT(ROW(A581)-1,8)+(QUOTIENT(ROW(A581)-1,40)*2)</f>
        <v>44720</v>
      </c>
      <c r="C587" s="24" t="str">
        <f t="shared" si="27"/>
        <v>수</v>
      </c>
      <c r="D587" s="91" t="str">
        <f t="shared" si="28"/>
        <v>5교시</v>
      </c>
      <c r="E587" s="68">
        <f>COUNTIF($H$7:$H587,$H587)</f>
        <v>13</v>
      </c>
      <c r="F587" s="67">
        <f>'1.연간시수표'!$AL$33</f>
        <v>5</v>
      </c>
      <c r="G587" s="89">
        <f t="shared" si="29"/>
        <v>1</v>
      </c>
      <c r="H587" s="91" t="str">
        <f>INDEX('0.시간표데이터'!$E$10:$AR$32,QUOTIENT(ROW(A581)-1,40)+1,MOD(ROW(A581)-1,40)+1)</f>
        <v>도덕</v>
      </c>
      <c r="I587" s="77"/>
      <c r="J587" s="26"/>
      <c r="K587" s="173"/>
      <c r="L587" s="178"/>
      <c r="M587" s="10"/>
      <c r="N587" s="10"/>
      <c r="O587" s="10"/>
      <c r="P587" s="10"/>
      <c r="Q587" s="164"/>
      <c r="R587" s="109"/>
    </row>
    <row r="588" spans="1:18" ht="13.5" hidden="1" customHeight="1">
      <c r="A588" s="30">
        <v>582</v>
      </c>
      <c r="B588" s="24">
        <f>DATE('1.연간시수표'!$U$2,'1.연간시수표'!$X$2,'1.연간시수표'!$Z$2)+QUOTIENT(ROW(A582)-1,8)+(QUOTIENT(ROW(A582)-1,40)*2)</f>
        <v>44720</v>
      </c>
      <c r="C588" s="24" t="str">
        <f t="shared" si="27"/>
        <v>수</v>
      </c>
      <c r="D588" s="91" t="str">
        <f t="shared" si="28"/>
        <v>6교시</v>
      </c>
      <c r="E588" s="68">
        <f>COUNTIF($H$7:$H588,$H588)</f>
        <v>200</v>
      </c>
      <c r="F588" s="67">
        <f>'1.연간시수표'!$AL$33</f>
        <v>5</v>
      </c>
      <c r="G588" s="89">
        <f t="shared" si="29"/>
        <v>1</v>
      </c>
      <c r="H588" s="91" t="str">
        <f>INDEX('0.시간표데이터'!$E$10:$AR$32,QUOTIENT(ROW(A582)-1,40)+1,MOD(ROW(A582)-1,40)+1)</f>
        <v>_</v>
      </c>
      <c r="I588" s="77"/>
      <c r="J588" s="26"/>
      <c r="K588" s="165"/>
      <c r="L588" s="165"/>
      <c r="M588" s="166"/>
      <c r="N588" s="166"/>
      <c r="O588" s="166"/>
      <c r="P588" s="166"/>
      <c r="Q588" s="167"/>
      <c r="R588" s="111"/>
    </row>
    <row r="589" spans="1:18" ht="13.5" hidden="1" customHeight="1">
      <c r="A589" s="30">
        <v>583</v>
      </c>
      <c r="B589" s="24">
        <f>DATE('1.연간시수표'!$U$2,'1.연간시수표'!$X$2,'1.연간시수표'!$Z$2)+QUOTIENT(ROW(A583)-1,8)+(QUOTIENT(ROW(A583)-1,40)*2)</f>
        <v>44720</v>
      </c>
      <c r="C589" s="24" t="str">
        <f t="shared" si="27"/>
        <v>수</v>
      </c>
      <c r="D589" s="91" t="str">
        <f t="shared" si="28"/>
        <v>7교시</v>
      </c>
      <c r="E589" s="68">
        <f>COUNTIF($H$7:$H589,$H589)</f>
        <v>201</v>
      </c>
      <c r="F589" s="67">
        <f>'1.연간시수표'!$AL$33</f>
        <v>5</v>
      </c>
      <c r="G589" s="89">
        <f t="shared" si="29"/>
        <v>1</v>
      </c>
      <c r="H589" s="91" t="str">
        <f>INDEX('0.시간표데이터'!$E$10:$AR$32,QUOTIENT(ROW(A583)-1,40)+1,MOD(ROW(A583)-1,40)+1)</f>
        <v>_</v>
      </c>
      <c r="I589" s="76"/>
      <c r="J589" s="26"/>
      <c r="K589" s="165"/>
      <c r="L589" s="165"/>
      <c r="M589" s="166"/>
      <c r="N589" s="166"/>
      <c r="O589" s="166"/>
      <c r="P589" s="166"/>
      <c r="Q589" s="167"/>
      <c r="R589" s="111"/>
    </row>
    <row r="590" spans="1:18" ht="13.5" hidden="1" customHeight="1">
      <c r="A590" s="30">
        <v>584</v>
      </c>
      <c r="B590" s="24">
        <f>DATE('1.연간시수표'!$U$2,'1.연간시수표'!$X$2,'1.연간시수표'!$Z$2)+QUOTIENT(ROW(A584)-1,8)+(QUOTIENT(ROW(A584)-1,40)*2)</f>
        <v>44720</v>
      </c>
      <c r="C590" s="24" t="str">
        <f t="shared" si="27"/>
        <v>수</v>
      </c>
      <c r="D590" s="91" t="str">
        <f t="shared" si="28"/>
        <v>8교시</v>
      </c>
      <c r="E590" s="68">
        <f>COUNTIF($H$7:$H590,$H590)</f>
        <v>202</v>
      </c>
      <c r="F590" s="67">
        <f>'1.연간시수표'!$AL$33</f>
        <v>5</v>
      </c>
      <c r="G590" s="89">
        <f t="shared" si="29"/>
        <v>1</v>
      </c>
      <c r="H590" s="91" t="str">
        <f>INDEX('0.시간표데이터'!$E$10:$AR$32,QUOTIENT(ROW(A584)-1,40)+1,MOD(ROW(A584)-1,40)+1)</f>
        <v>_</v>
      </c>
      <c r="I590" s="76"/>
      <c r="J590" s="26"/>
      <c r="K590" s="165"/>
      <c r="L590" s="165"/>
      <c r="M590" s="166"/>
      <c r="N590" s="166"/>
      <c r="O590" s="166"/>
      <c r="P590" s="166"/>
      <c r="Q590" s="167"/>
      <c r="R590" s="111"/>
    </row>
    <row r="591" spans="1:18" ht="13.5" hidden="1" customHeight="1">
      <c r="A591" s="30">
        <v>585</v>
      </c>
      <c r="B591" s="24">
        <f>DATE('1.연간시수표'!$U$2,'1.연간시수표'!$X$2,'1.연간시수표'!$Z$2)+QUOTIENT(ROW(A585)-1,8)+(QUOTIENT(ROW(A585)-1,40)*2)</f>
        <v>44721</v>
      </c>
      <c r="C591" s="24" t="str">
        <f t="shared" si="27"/>
        <v>목</v>
      </c>
      <c r="D591" s="91" t="str">
        <f t="shared" si="28"/>
        <v>1교시</v>
      </c>
      <c r="E591" s="68">
        <f>COUNTIF($H$7:$H591,$H591)</f>
        <v>77</v>
      </c>
      <c r="F591" s="67">
        <f>'1.연간시수표'!$AL$33</f>
        <v>5</v>
      </c>
      <c r="G591" s="89">
        <f t="shared" si="29"/>
        <v>1</v>
      </c>
      <c r="H591" s="91" t="str">
        <f>INDEX('0.시간표데이터'!$E$10:$AR$32,QUOTIENT(ROW(A585)-1,40)+1,MOD(ROW(A585)-1,40)+1)</f>
        <v>국어</v>
      </c>
      <c r="I591" s="77"/>
      <c r="J591" s="26"/>
      <c r="K591" s="162"/>
      <c r="L591" s="162"/>
      <c r="M591" s="168"/>
      <c r="N591" s="168"/>
      <c r="O591" s="99"/>
      <c r="P591" s="99"/>
      <c r="Q591" s="167"/>
      <c r="R591" s="111"/>
    </row>
    <row r="592" spans="1:18" ht="13.5" hidden="1" customHeight="1">
      <c r="A592" s="30">
        <v>586</v>
      </c>
      <c r="B592" s="24">
        <f>DATE('1.연간시수표'!$U$2,'1.연간시수표'!$X$2,'1.연간시수표'!$Z$2)+QUOTIENT(ROW(A586)-1,8)+(QUOTIENT(ROW(A586)-1,40)*2)</f>
        <v>44721</v>
      </c>
      <c r="C592" s="24" t="str">
        <f t="shared" si="27"/>
        <v>목</v>
      </c>
      <c r="D592" s="91" t="str">
        <f t="shared" si="28"/>
        <v>2교시</v>
      </c>
      <c r="E592" s="68">
        <f>COUNTIF($H$7:$H592,$H592)</f>
        <v>52</v>
      </c>
      <c r="F592" s="67">
        <f>'1.연간시수표'!$AL$33</f>
        <v>5</v>
      </c>
      <c r="G592" s="89">
        <f t="shared" si="29"/>
        <v>1</v>
      </c>
      <c r="H592" s="91" t="str">
        <f>INDEX('0.시간표데이터'!$E$10:$AR$32,QUOTIENT(ROW(A586)-1,40)+1,MOD(ROW(A586)-1,40)+1)</f>
        <v>수학</v>
      </c>
      <c r="I592" s="161"/>
      <c r="J592" s="26"/>
      <c r="K592" s="165"/>
      <c r="L592" s="165"/>
      <c r="M592" s="166"/>
      <c r="N592" s="166"/>
      <c r="O592" s="166"/>
      <c r="P592" s="166"/>
      <c r="Q592" s="167"/>
      <c r="R592" s="111"/>
    </row>
    <row r="593" spans="1:18" ht="13.5" hidden="1" customHeight="1">
      <c r="A593" s="30">
        <v>587</v>
      </c>
      <c r="B593" s="24">
        <f>DATE('1.연간시수표'!$U$2,'1.연간시수표'!$X$2,'1.연간시수표'!$Z$2)+QUOTIENT(ROW(A587)-1,8)+(QUOTIENT(ROW(A587)-1,40)*2)</f>
        <v>44721</v>
      </c>
      <c r="C593" s="24" t="str">
        <f t="shared" si="27"/>
        <v>목</v>
      </c>
      <c r="D593" s="91" t="str">
        <f t="shared" si="28"/>
        <v>3교시</v>
      </c>
      <c r="E593" s="68">
        <f>COUNTIF($H$7:$H593,$H593)</f>
        <v>39</v>
      </c>
      <c r="F593" s="67">
        <f>'1.연간시수표'!$AL$33</f>
        <v>5</v>
      </c>
      <c r="G593" s="89">
        <f t="shared" si="29"/>
        <v>1</v>
      </c>
      <c r="H593" s="91" t="str">
        <f>INDEX('0.시간표데이터'!$E$10:$AR$32,QUOTIENT(ROW(A587)-1,40)+1,MOD(ROW(A587)-1,40)+1)</f>
        <v>사회</v>
      </c>
      <c r="I593" s="77"/>
      <c r="J593" s="26"/>
      <c r="K593" s="162"/>
      <c r="L593" s="162"/>
      <c r="M593" s="168"/>
      <c r="N593" s="99"/>
      <c r="O593" s="99"/>
      <c r="P593" s="99"/>
      <c r="Q593" s="167"/>
      <c r="R593" s="111"/>
    </row>
    <row r="594" spans="1:18" ht="13.5" hidden="1" customHeight="1">
      <c r="A594" s="30">
        <v>588</v>
      </c>
      <c r="B594" s="24">
        <f>DATE('1.연간시수표'!$U$2,'1.연간시수표'!$X$2,'1.연간시수표'!$Z$2)+QUOTIENT(ROW(A588)-1,8)+(QUOTIENT(ROW(A588)-1,40)*2)</f>
        <v>44721</v>
      </c>
      <c r="C594" s="24" t="str">
        <f t="shared" si="27"/>
        <v>목</v>
      </c>
      <c r="D594" s="91" t="str">
        <f t="shared" si="28"/>
        <v>4교시</v>
      </c>
      <c r="E594" s="68">
        <f>COUNTIF($H$7:$H594,$H594)</f>
        <v>38</v>
      </c>
      <c r="F594" s="67">
        <f>'1.연간시수표'!$AL$33</f>
        <v>5</v>
      </c>
      <c r="G594" s="89">
        <f t="shared" si="29"/>
        <v>1</v>
      </c>
      <c r="H594" s="91" t="str">
        <f>INDEX('0.시간표데이터'!$E$10:$AR$32,QUOTIENT(ROW(A588)-1,40)+1,MOD(ROW(A588)-1,40)+1)</f>
        <v>영어</v>
      </c>
      <c r="I594" s="77"/>
      <c r="J594" s="26"/>
      <c r="K594" s="162"/>
      <c r="L594" s="162"/>
      <c r="M594" s="170"/>
      <c r="N594" s="98"/>
      <c r="O594" s="98"/>
      <c r="P594" s="98"/>
      <c r="Q594" s="167"/>
      <c r="R594" s="111"/>
    </row>
    <row r="595" spans="1:18" ht="13.5" hidden="1" customHeight="1">
      <c r="A595" s="30">
        <v>589</v>
      </c>
      <c r="B595" s="24">
        <f>DATE('1.연간시수표'!$U$2,'1.연간시수표'!$X$2,'1.연간시수표'!$Z$2)+QUOTIENT(ROW(A589)-1,8)+(QUOTIENT(ROW(A589)-1,40)*2)</f>
        <v>44721</v>
      </c>
      <c r="C595" s="24" t="str">
        <f t="shared" si="27"/>
        <v>목</v>
      </c>
      <c r="D595" s="91" t="str">
        <f t="shared" si="28"/>
        <v>5교시</v>
      </c>
      <c r="E595" s="68">
        <f>COUNTIF($H$7:$H595,$H595)</f>
        <v>37</v>
      </c>
      <c r="F595" s="67">
        <f>'1.연간시수표'!$AL$33</f>
        <v>5</v>
      </c>
      <c r="G595" s="89">
        <f t="shared" si="29"/>
        <v>1</v>
      </c>
      <c r="H595" s="91" t="str">
        <f>INDEX('0.시간표데이터'!$E$10:$AR$32,QUOTIENT(ROW(A589)-1,40)+1,MOD(ROW(A589)-1,40)+1)</f>
        <v>과학</v>
      </c>
      <c r="I595" s="77"/>
      <c r="J595" s="26"/>
      <c r="K595" s="165"/>
      <c r="L595" s="165"/>
      <c r="M595" s="166"/>
      <c r="N595" s="166"/>
      <c r="O595" s="166"/>
      <c r="P595" s="166"/>
      <c r="Q595" s="167"/>
      <c r="R595" s="111"/>
    </row>
    <row r="596" spans="1:18" ht="13.5" hidden="1" customHeight="1">
      <c r="A596" s="30">
        <v>590</v>
      </c>
      <c r="B596" s="24">
        <f>DATE('1.연간시수표'!$U$2,'1.연간시수표'!$X$2,'1.연간시수표'!$Z$2)+QUOTIENT(ROW(A590)-1,8)+(QUOTIENT(ROW(A590)-1,40)*2)</f>
        <v>44721</v>
      </c>
      <c r="C596" s="24" t="str">
        <f t="shared" si="27"/>
        <v>목</v>
      </c>
      <c r="D596" s="91" t="str">
        <f t="shared" si="28"/>
        <v>6교시</v>
      </c>
      <c r="E596" s="68">
        <f>COUNTIF($H$7:$H596,$H596)</f>
        <v>27</v>
      </c>
      <c r="F596" s="67">
        <f>'1.연간시수표'!$AL$33</f>
        <v>5</v>
      </c>
      <c r="G596" s="89">
        <f t="shared" si="29"/>
        <v>1</v>
      </c>
      <c r="H596" s="91" t="str">
        <f>INDEX('0.시간표데이터'!$E$10:$AR$32,QUOTIENT(ROW(A590)-1,40)+1,MOD(ROW(A590)-1,40)+1)</f>
        <v>음악</v>
      </c>
      <c r="I596" s="161"/>
      <c r="J596" s="26"/>
      <c r="K596" s="165"/>
      <c r="L596" s="165"/>
      <c r="M596" s="166"/>
      <c r="N596" s="166"/>
      <c r="O596" s="166"/>
      <c r="P596" s="166"/>
      <c r="Q596" s="167"/>
      <c r="R596" s="111"/>
    </row>
    <row r="597" spans="1:18" ht="13.5" hidden="1" customHeight="1">
      <c r="A597" s="30">
        <v>591</v>
      </c>
      <c r="B597" s="24">
        <f>DATE('1.연간시수표'!$U$2,'1.연간시수표'!$X$2,'1.연간시수표'!$Z$2)+QUOTIENT(ROW(A591)-1,8)+(QUOTIENT(ROW(A591)-1,40)*2)</f>
        <v>44721</v>
      </c>
      <c r="C597" s="24" t="str">
        <f t="shared" si="27"/>
        <v>목</v>
      </c>
      <c r="D597" s="91" t="str">
        <f t="shared" si="28"/>
        <v>7교시</v>
      </c>
      <c r="E597" s="68">
        <f>COUNTIF($H$7:$H597,$H597)</f>
        <v>203</v>
      </c>
      <c r="F597" s="67">
        <f>'1.연간시수표'!$AL$33</f>
        <v>5</v>
      </c>
      <c r="G597" s="89">
        <f t="shared" si="29"/>
        <v>1</v>
      </c>
      <c r="H597" s="91" t="str">
        <f>INDEX('0.시간표데이터'!$E$10:$AR$32,QUOTIENT(ROW(A591)-1,40)+1,MOD(ROW(A591)-1,40)+1)</f>
        <v>_</v>
      </c>
      <c r="I597" s="76"/>
      <c r="J597" s="26"/>
      <c r="K597" s="165"/>
      <c r="L597" s="165"/>
      <c r="M597" s="166"/>
      <c r="N597" s="166"/>
      <c r="O597" s="166"/>
      <c r="P597" s="166"/>
      <c r="Q597" s="167"/>
      <c r="R597" s="111"/>
    </row>
    <row r="598" spans="1:18" ht="13.5" hidden="1" customHeight="1">
      <c r="A598" s="30">
        <v>592</v>
      </c>
      <c r="B598" s="24">
        <f>DATE('1.연간시수표'!$U$2,'1.연간시수표'!$X$2,'1.연간시수표'!$Z$2)+QUOTIENT(ROW(A592)-1,8)+(QUOTIENT(ROW(A592)-1,40)*2)</f>
        <v>44721</v>
      </c>
      <c r="C598" s="24" t="str">
        <f t="shared" si="27"/>
        <v>목</v>
      </c>
      <c r="D598" s="91" t="str">
        <f t="shared" si="28"/>
        <v>8교시</v>
      </c>
      <c r="E598" s="68">
        <f>COUNTIF($H$7:$H598,$H598)</f>
        <v>204</v>
      </c>
      <c r="F598" s="67">
        <f>'1.연간시수표'!$AL$33</f>
        <v>5</v>
      </c>
      <c r="G598" s="89">
        <f t="shared" si="29"/>
        <v>1</v>
      </c>
      <c r="H598" s="91" t="str">
        <f>INDEX('0.시간표데이터'!$E$10:$AR$32,QUOTIENT(ROW(A592)-1,40)+1,MOD(ROW(A592)-1,40)+1)</f>
        <v>_</v>
      </c>
      <c r="I598" s="76"/>
      <c r="J598" s="26"/>
      <c r="K598" s="165"/>
      <c r="L598" s="165"/>
      <c r="M598" s="166"/>
      <c r="N598" s="166"/>
      <c r="O598" s="166"/>
      <c r="P598" s="166"/>
      <c r="Q598" s="167"/>
      <c r="R598" s="111"/>
    </row>
    <row r="599" spans="1:18" ht="13.5" hidden="1" customHeight="1">
      <c r="A599" s="30">
        <v>593</v>
      </c>
      <c r="B599" s="24">
        <f>DATE('1.연간시수표'!$U$2,'1.연간시수표'!$X$2,'1.연간시수표'!$Z$2)+QUOTIENT(ROW(A593)-1,8)+(QUOTIENT(ROW(A593)-1,40)*2)</f>
        <v>44722</v>
      </c>
      <c r="C599" s="24" t="str">
        <f t="shared" si="27"/>
        <v>금</v>
      </c>
      <c r="D599" s="91" t="str">
        <f t="shared" si="28"/>
        <v>1교시</v>
      </c>
      <c r="E599" s="68">
        <f>COUNTIF($H$7:$H599,$H599)</f>
        <v>22</v>
      </c>
      <c r="F599" s="67">
        <f>'1.연간시수표'!$AL$33</f>
        <v>5</v>
      </c>
      <c r="G599" s="89">
        <f t="shared" si="29"/>
        <v>1</v>
      </c>
      <c r="H599" s="91" t="str">
        <f>INDEX('0.시간표데이터'!$E$10:$AR$32,QUOTIENT(ROW(A593)-1,40)+1,MOD(ROW(A593)-1,40)+1)</f>
        <v>자율활동</v>
      </c>
      <c r="I599" s="77"/>
      <c r="J599" s="26"/>
      <c r="K599" s="162"/>
      <c r="L599" s="162"/>
      <c r="M599" s="168"/>
      <c r="N599" s="98"/>
      <c r="O599" s="99"/>
      <c r="P599" s="99"/>
      <c r="Q599" s="167"/>
      <c r="R599" s="111"/>
    </row>
    <row r="600" spans="1:18" ht="13.5" hidden="1" customHeight="1">
      <c r="A600" s="30">
        <v>594</v>
      </c>
      <c r="B600" s="24">
        <f>DATE('1.연간시수표'!$U$2,'1.연간시수표'!$X$2,'1.연간시수표'!$Z$2)+QUOTIENT(ROW(A594)-1,8)+(QUOTIENT(ROW(A594)-1,40)*2)</f>
        <v>44722</v>
      </c>
      <c r="C600" s="24" t="str">
        <f t="shared" si="27"/>
        <v>금</v>
      </c>
      <c r="D600" s="91" t="str">
        <f t="shared" si="28"/>
        <v>2교시</v>
      </c>
      <c r="E600" s="68">
        <f>COUNTIF($H$7:$H600,$H600)</f>
        <v>25</v>
      </c>
      <c r="F600" s="67">
        <f>'1.연간시수표'!$AL$33</f>
        <v>5</v>
      </c>
      <c r="G600" s="89">
        <f t="shared" si="29"/>
        <v>1</v>
      </c>
      <c r="H600" s="91" t="str">
        <f>INDEX('0.시간표데이터'!$E$10:$AR$32,QUOTIENT(ROW(A594)-1,40)+1,MOD(ROW(A594)-1,40)+1)</f>
        <v>체육</v>
      </c>
      <c r="I600" s="77"/>
      <c r="J600" s="26"/>
      <c r="K600" s="162"/>
      <c r="L600" s="162"/>
      <c r="M600" s="168"/>
      <c r="N600" s="168"/>
      <c r="O600" s="99"/>
      <c r="P600" s="99"/>
      <c r="Q600" s="167"/>
      <c r="R600" s="111"/>
    </row>
    <row r="601" spans="1:18" ht="13.5" hidden="1" customHeight="1">
      <c r="A601" s="30">
        <v>595</v>
      </c>
      <c r="B601" s="24">
        <f>DATE('1.연간시수표'!$U$2,'1.연간시수표'!$X$2,'1.연간시수표'!$Z$2)+QUOTIENT(ROW(A595)-1,8)+(QUOTIENT(ROW(A595)-1,40)*2)</f>
        <v>44722</v>
      </c>
      <c r="C601" s="24" t="str">
        <f t="shared" si="27"/>
        <v>금</v>
      </c>
      <c r="D601" s="91" t="str">
        <f t="shared" si="28"/>
        <v>3교시</v>
      </c>
      <c r="E601" s="68">
        <f>COUNTIF($H$7:$H601,$H601)</f>
        <v>53</v>
      </c>
      <c r="F601" s="67">
        <f>'1.연간시수표'!$AL$33</f>
        <v>5</v>
      </c>
      <c r="G601" s="89">
        <f t="shared" si="29"/>
        <v>1</v>
      </c>
      <c r="H601" s="91" t="str">
        <f>INDEX('0.시간표데이터'!$E$10:$AR$32,QUOTIENT(ROW(A595)-1,40)+1,MOD(ROW(A595)-1,40)+1)</f>
        <v>수학</v>
      </c>
      <c r="I601" s="77"/>
      <c r="J601" s="26"/>
      <c r="K601" s="165"/>
      <c r="L601" s="165"/>
      <c r="M601" s="166"/>
      <c r="N601" s="166"/>
      <c r="O601" s="166"/>
      <c r="P601" s="166"/>
      <c r="Q601" s="167"/>
      <c r="R601" s="111"/>
    </row>
    <row r="602" spans="1:18" ht="13.5" hidden="1" customHeight="1">
      <c r="A602" s="30">
        <v>596</v>
      </c>
      <c r="B602" s="24">
        <f>DATE('1.연간시수표'!$U$2,'1.연간시수표'!$X$2,'1.연간시수표'!$Z$2)+QUOTIENT(ROW(A596)-1,8)+(QUOTIENT(ROW(A596)-1,40)*2)</f>
        <v>44722</v>
      </c>
      <c r="C602" s="24" t="str">
        <f t="shared" si="27"/>
        <v>금</v>
      </c>
      <c r="D602" s="91" t="str">
        <f t="shared" si="28"/>
        <v>4교시</v>
      </c>
      <c r="E602" s="68">
        <f>COUNTIF($H$7:$H602,$H602)</f>
        <v>78</v>
      </c>
      <c r="F602" s="67">
        <f>'1.연간시수표'!$AL$33</f>
        <v>5</v>
      </c>
      <c r="G602" s="89">
        <f t="shared" si="29"/>
        <v>1</v>
      </c>
      <c r="H602" s="91" t="str">
        <f>INDEX('0.시간표데이터'!$E$10:$AR$32,QUOTIENT(ROW(A596)-1,40)+1,MOD(ROW(A596)-1,40)+1)</f>
        <v>국어</v>
      </c>
      <c r="I602" s="77"/>
      <c r="J602" s="26"/>
      <c r="K602" s="162"/>
      <c r="L602" s="162"/>
      <c r="M602" s="172"/>
      <c r="N602" s="101"/>
      <c r="O602" s="99"/>
      <c r="P602" s="99"/>
      <c r="Q602" s="167"/>
      <c r="R602" s="111"/>
    </row>
    <row r="603" spans="1:18" ht="13.5" hidden="1" customHeight="1">
      <c r="A603" s="30">
        <v>597</v>
      </c>
      <c r="B603" s="24">
        <f>DATE('1.연간시수표'!$U$2,'1.연간시수표'!$X$2,'1.연간시수표'!$Z$2)+QUOTIENT(ROW(A597)-1,8)+(QUOTIENT(ROW(A597)-1,40)*2)</f>
        <v>44722</v>
      </c>
      <c r="C603" s="24" t="str">
        <f t="shared" si="27"/>
        <v>금</v>
      </c>
      <c r="D603" s="91" t="str">
        <f t="shared" si="28"/>
        <v>5교시</v>
      </c>
      <c r="E603" s="68">
        <f>COUNTIF($H$7:$H603,$H603)</f>
        <v>40</v>
      </c>
      <c r="F603" s="67">
        <f>'1.연간시수표'!$AL$33</f>
        <v>5</v>
      </c>
      <c r="G603" s="89">
        <f t="shared" si="29"/>
        <v>1</v>
      </c>
      <c r="H603" s="91" t="str">
        <f>INDEX('0.시간표데이터'!$E$10:$AR$32,QUOTIENT(ROW(A597)-1,40)+1,MOD(ROW(A597)-1,40)+1)</f>
        <v>사회</v>
      </c>
      <c r="I603" s="77"/>
      <c r="J603" s="26"/>
      <c r="K603" s="162"/>
      <c r="L603" s="162"/>
      <c r="M603" s="170"/>
      <c r="N603" s="98"/>
      <c r="O603" s="98"/>
      <c r="P603" s="98"/>
      <c r="Q603" s="167"/>
      <c r="R603" s="111"/>
    </row>
    <row r="604" spans="1:18" ht="13.5" hidden="1" customHeight="1">
      <c r="A604" s="30">
        <v>598</v>
      </c>
      <c r="B604" s="24">
        <f>DATE('1.연간시수표'!$U$2,'1.연간시수표'!$X$2,'1.연간시수표'!$Z$2)+QUOTIENT(ROW(A598)-1,8)+(QUOTIENT(ROW(A598)-1,40)*2)</f>
        <v>44722</v>
      </c>
      <c r="C604" s="24" t="str">
        <f t="shared" si="27"/>
        <v>금</v>
      </c>
      <c r="D604" s="91" t="str">
        <f t="shared" si="28"/>
        <v>6교시</v>
      </c>
      <c r="E604" s="68">
        <f>COUNTIF($H$7:$H604,$H604)</f>
        <v>27</v>
      </c>
      <c r="F604" s="67">
        <f>'1.연간시수표'!$AL$33</f>
        <v>5</v>
      </c>
      <c r="G604" s="89">
        <f t="shared" si="29"/>
        <v>1</v>
      </c>
      <c r="H604" s="91" t="str">
        <f>INDEX('0.시간표데이터'!$E$10:$AR$32,QUOTIENT(ROW(A598)-1,40)+1,MOD(ROW(A598)-1,40)+1)</f>
        <v>실과</v>
      </c>
      <c r="I604" s="77"/>
      <c r="J604" s="26"/>
      <c r="K604" s="165"/>
      <c r="L604" s="165"/>
      <c r="M604" s="166"/>
      <c r="N604" s="166"/>
      <c r="O604" s="166"/>
      <c r="P604" s="166"/>
      <c r="Q604" s="167"/>
      <c r="R604" s="111"/>
    </row>
    <row r="605" spans="1:18" ht="13.5" hidden="1" customHeight="1">
      <c r="A605" s="30">
        <v>599</v>
      </c>
      <c r="B605" s="24">
        <f>DATE('1.연간시수표'!$U$2,'1.연간시수표'!$X$2,'1.연간시수표'!$Z$2)+QUOTIENT(ROW(A599)-1,8)+(QUOTIENT(ROW(A599)-1,40)*2)</f>
        <v>44722</v>
      </c>
      <c r="C605" s="24" t="str">
        <f t="shared" si="27"/>
        <v>금</v>
      </c>
      <c r="D605" s="91" t="str">
        <f t="shared" si="28"/>
        <v>7교시</v>
      </c>
      <c r="E605" s="68">
        <f>COUNTIF($H$7:$H605,$H605)</f>
        <v>205</v>
      </c>
      <c r="F605" s="67">
        <f>'1.연간시수표'!$AL$33</f>
        <v>5</v>
      </c>
      <c r="G605" s="89">
        <f t="shared" si="29"/>
        <v>1</v>
      </c>
      <c r="H605" s="91" t="str">
        <f>INDEX('0.시간표데이터'!$E$10:$AR$32,QUOTIENT(ROW(A599)-1,40)+1,MOD(ROW(A599)-1,40)+1)</f>
        <v>_</v>
      </c>
      <c r="I605" s="76"/>
      <c r="J605" s="26"/>
      <c r="K605" s="165"/>
      <c r="L605" s="165"/>
      <c r="M605" s="166"/>
      <c r="N605" s="166"/>
      <c r="O605" s="166"/>
      <c r="P605" s="166"/>
      <c r="Q605" s="167"/>
      <c r="R605" s="111"/>
    </row>
    <row r="606" spans="1:18" ht="13.5" hidden="1" customHeight="1">
      <c r="A606" s="30">
        <v>600</v>
      </c>
      <c r="B606" s="24">
        <f>DATE('1.연간시수표'!$U$2,'1.연간시수표'!$X$2,'1.연간시수표'!$Z$2)+QUOTIENT(ROW(A600)-1,8)+(QUOTIENT(ROW(A600)-1,40)*2)</f>
        <v>44722</v>
      </c>
      <c r="C606" s="24" t="str">
        <f t="shared" si="27"/>
        <v>금</v>
      </c>
      <c r="D606" s="91" t="str">
        <f t="shared" si="28"/>
        <v>8교시</v>
      </c>
      <c r="E606" s="68">
        <f>COUNTIF($H$7:$H606,$H606)</f>
        <v>206</v>
      </c>
      <c r="F606" s="67">
        <f>'1.연간시수표'!$AL$33</f>
        <v>5</v>
      </c>
      <c r="G606" s="89">
        <f t="shared" si="29"/>
        <v>1</v>
      </c>
      <c r="H606" s="91" t="str">
        <f>INDEX('0.시간표데이터'!$E$10:$AR$32,QUOTIENT(ROW(A600)-1,40)+1,MOD(ROW(A600)-1,40)+1)</f>
        <v>_</v>
      </c>
      <c r="I606" s="76"/>
      <c r="J606" s="26"/>
      <c r="K606" s="165"/>
      <c r="L606" s="165"/>
      <c r="M606" s="166"/>
      <c r="N606" s="166"/>
      <c r="O606" s="166"/>
      <c r="P606" s="166"/>
      <c r="Q606" s="167"/>
      <c r="R606" s="111"/>
    </row>
    <row r="607" spans="1:18" hidden="1">
      <c r="A607" s="30">
        <v>601</v>
      </c>
      <c r="B607" s="24">
        <f>DATE('1.연간시수표'!$U$2,'1.연간시수표'!$X$2,'1.연간시수표'!$Z$2)+QUOTIENT(ROW(A601)-1,8)+(QUOTIENT(ROW(A601)-1,40)*2)</f>
        <v>44725</v>
      </c>
      <c r="C607" s="24" t="str">
        <f t="shared" si="27"/>
        <v>월</v>
      </c>
      <c r="D607" s="91" t="str">
        <f t="shared" si="28"/>
        <v>1교시</v>
      </c>
      <c r="E607" s="68">
        <f>COUNTIF($H$7:$H607,$H607)</f>
        <v>79</v>
      </c>
      <c r="F607" s="67">
        <f>'1.연간시수표'!$AL$33</f>
        <v>5</v>
      </c>
      <c r="G607" s="89">
        <f t="shared" si="29"/>
        <v>1</v>
      </c>
      <c r="H607" s="91" t="str">
        <f>INDEX('0.시간표데이터'!$E$10:$AR$32,QUOTIENT(ROW(A601)-1,40)+1,MOD(ROW(A601)-1,40)+1)</f>
        <v>국어</v>
      </c>
      <c r="I607" s="77"/>
      <c r="J607" s="26"/>
      <c r="K607" s="162"/>
      <c r="L607" s="162"/>
      <c r="M607" s="168"/>
      <c r="N607" s="99"/>
      <c r="O607" s="99"/>
      <c r="P607" s="99"/>
      <c r="Q607" s="167"/>
      <c r="R607" s="111"/>
    </row>
    <row r="608" spans="1:18" hidden="1">
      <c r="A608" s="30">
        <v>602</v>
      </c>
      <c r="B608" s="24">
        <f>DATE('1.연간시수표'!$U$2,'1.연간시수표'!$X$2,'1.연간시수표'!$Z$2)+QUOTIENT(ROW(A602)-1,8)+(QUOTIENT(ROW(A602)-1,40)*2)</f>
        <v>44725</v>
      </c>
      <c r="C608" s="24" t="str">
        <f t="shared" si="27"/>
        <v>월</v>
      </c>
      <c r="D608" s="91" t="str">
        <f t="shared" si="28"/>
        <v>2교시</v>
      </c>
      <c r="E608" s="68">
        <f>COUNTIF($H$7:$H608,$H608)</f>
        <v>27</v>
      </c>
      <c r="F608" s="67">
        <f>'1.연간시수표'!$AL$33</f>
        <v>5</v>
      </c>
      <c r="G608" s="89">
        <f t="shared" si="29"/>
        <v>1</v>
      </c>
      <c r="H608" s="91" t="str">
        <f>INDEX('0.시간표데이터'!$E$10:$AR$32,QUOTIENT(ROW(A602)-1,40)+1,MOD(ROW(A602)-1,40)+1)</f>
        <v>미술</v>
      </c>
      <c r="I608" s="161"/>
      <c r="J608" s="26"/>
      <c r="K608" s="165"/>
      <c r="L608" s="165"/>
      <c r="M608" s="166"/>
      <c r="N608" s="166"/>
      <c r="O608" s="166"/>
      <c r="P608" s="166"/>
      <c r="Q608" s="167"/>
      <c r="R608" s="111"/>
    </row>
    <row r="609" spans="1:18" ht="13.5" hidden="1" customHeight="1">
      <c r="A609" s="30">
        <v>603</v>
      </c>
      <c r="B609" s="24">
        <f>DATE('1.연간시수표'!$U$2,'1.연간시수표'!$X$2,'1.연간시수표'!$Z$2)+QUOTIENT(ROW(A603)-1,8)+(QUOTIENT(ROW(A603)-1,40)*2)</f>
        <v>44725</v>
      </c>
      <c r="C609" s="24" t="str">
        <f t="shared" si="27"/>
        <v>월</v>
      </c>
      <c r="D609" s="91" t="str">
        <f t="shared" si="28"/>
        <v>3교시</v>
      </c>
      <c r="E609" s="68">
        <f>COUNTIF($H$7:$H609,$H609)</f>
        <v>28</v>
      </c>
      <c r="F609" s="67">
        <f>'1.연간시수표'!$AL$33</f>
        <v>5</v>
      </c>
      <c r="G609" s="89">
        <f t="shared" si="29"/>
        <v>1</v>
      </c>
      <c r="H609" s="91" t="str">
        <f>INDEX('0.시간표데이터'!$E$10:$AR$32,QUOTIENT(ROW(A603)-1,40)+1,MOD(ROW(A603)-1,40)+1)</f>
        <v>미술</v>
      </c>
      <c r="I609" s="77"/>
      <c r="J609" s="26"/>
      <c r="K609" s="162"/>
      <c r="L609" s="162"/>
      <c r="M609" s="172"/>
      <c r="N609" s="101"/>
      <c r="O609" s="99"/>
      <c r="P609" s="99"/>
      <c r="Q609" s="167"/>
      <c r="R609" s="111"/>
    </row>
    <row r="610" spans="1:18" ht="13.5" hidden="1" customHeight="1">
      <c r="A610" s="30">
        <v>604</v>
      </c>
      <c r="B610" s="24">
        <f>DATE('1.연간시수표'!$U$2,'1.연간시수표'!$X$2,'1.연간시수표'!$Z$2)+QUOTIENT(ROW(A604)-1,8)+(QUOTIENT(ROW(A604)-1,40)*2)</f>
        <v>44725</v>
      </c>
      <c r="C610" s="24" t="str">
        <f t="shared" si="27"/>
        <v>월</v>
      </c>
      <c r="D610" s="91" t="str">
        <f t="shared" si="28"/>
        <v>4교시</v>
      </c>
      <c r="E610" s="68">
        <f>COUNTIF($H$7:$H610,$H610)</f>
        <v>39</v>
      </c>
      <c r="F610" s="67">
        <f>'1.연간시수표'!$AL$33</f>
        <v>5</v>
      </c>
      <c r="G610" s="89">
        <f t="shared" si="29"/>
        <v>1</v>
      </c>
      <c r="H610" s="91" t="str">
        <f>INDEX('0.시간표데이터'!$E$10:$AR$32,QUOTIENT(ROW(A604)-1,40)+1,MOD(ROW(A604)-1,40)+1)</f>
        <v>영어</v>
      </c>
      <c r="I610" s="77"/>
      <c r="J610" s="26"/>
      <c r="K610" s="162"/>
      <c r="L610" s="162"/>
      <c r="M610" s="169"/>
      <c r="N610" s="101"/>
      <c r="O610" s="99"/>
      <c r="P610" s="99"/>
      <c r="Q610" s="167"/>
      <c r="R610" s="111"/>
    </row>
    <row r="611" spans="1:18" ht="13.5" hidden="1" customHeight="1">
      <c r="A611" s="30">
        <v>605</v>
      </c>
      <c r="B611" s="24">
        <f>DATE('1.연간시수표'!$U$2,'1.연간시수표'!$X$2,'1.연간시수표'!$Z$2)+QUOTIENT(ROW(A605)-1,8)+(QUOTIENT(ROW(A605)-1,40)*2)</f>
        <v>44725</v>
      </c>
      <c r="C611" s="24" t="str">
        <f t="shared" si="27"/>
        <v>월</v>
      </c>
      <c r="D611" s="91" t="str">
        <f t="shared" si="28"/>
        <v>5교시</v>
      </c>
      <c r="E611" s="68">
        <f>COUNTIF($H$7:$H611,$H611)</f>
        <v>54</v>
      </c>
      <c r="F611" s="67">
        <f>'1.연간시수표'!$AL$33</f>
        <v>5</v>
      </c>
      <c r="G611" s="89">
        <f t="shared" si="29"/>
        <v>1</v>
      </c>
      <c r="H611" s="91" t="str">
        <f>INDEX('0.시간표데이터'!$E$10:$AR$32,QUOTIENT(ROW(A605)-1,40)+1,MOD(ROW(A605)-1,40)+1)</f>
        <v>수학</v>
      </c>
      <c r="I611" s="77"/>
      <c r="J611" s="26"/>
      <c r="K611" s="162"/>
      <c r="L611" s="162"/>
      <c r="M611" s="168"/>
      <c r="N611" s="168"/>
      <c r="O611" s="99"/>
      <c r="P611" s="99"/>
      <c r="Q611" s="167"/>
      <c r="R611" s="111"/>
    </row>
    <row r="612" spans="1:18" ht="13.5" hidden="1" customHeight="1">
      <c r="A612" s="30">
        <v>606</v>
      </c>
      <c r="B612" s="24">
        <f>DATE('1.연간시수표'!$U$2,'1.연간시수표'!$X$2,'1.연간시수표'!$Z$2)+QUOTIENT(ROW(A606)-1,8)+(QUOTIENT(ROW(A606)-1,40)*2)</f>
        <v>44725</v>
      </c>
      <c r="C612" s="24" t="str">
        <f t="shared" si="27"/>
        <v>월</v>
      </c>
      <c r="D612" s="91" t="str">
        <f t="shared" si="28"/>
        <v>6교시</v>
      </c>
      <c r="E612" s="68">
        <f>COUNTIF($H$7:$H612,$H612)</f>
        <v>23</v>
      </c>
      <c r="F612" s="67">
        <f>'1.연간시수표'!$AL$33</f>
        <v>5</v>
      </c>
      <c r="G612" s="89">
        <f t="shared" si="29"/>
        <v>1</v>
      </c>
      <c r="H612" s="91" t="str">
        <f>INDEX('0.시간표데이터'!$E$10:$AR$32,QUOTIENT(ROW(A606)-1,40)+1,MOD(ROW(A606)-1,40)+1)</f>
        <v>자율활동</v>
      </c>
      <c r="I612" s="77"/>
      <c r="J612" s="26"/>
      <c r="K612" s="165"/>
      <c r="L612" s="165"/>
      <c r="M612" s="166"/>
      <c r="N612" s="166"/>
      <c r="O612" s="166"/>
      <c r="P612" s="166"/>
      <c r="Q612" s="167"/>
      <c r="R612" s="111"/>
    </row>
    <row r="613" spans="1:18" ht="13.5" hidden="1" customHeight="1">
      <c r="A613" s="30">
        <v>607</v>
      </c>
      <c r="B613" s="24">
        <f>DATE('1.연간시수표'!$U$2,'1.연간시수표'!$X$2,'1.연간시수표'!$Z$2)+QUOTIENT(ROW(A607)-1,8)+(QUOTIENT(ROW(A607)-1,40)*2)</f>
        <v>44725</v>
      </c>
      <c r="C613" s="24" t="str">
        <f t="shared" si="27"/>
        <v>월</v>
      </c>
      <c r="D613" s="91" t="str">
        <f t="shared" si="28"/>
        <v>7교시</v>
      </c>
      <c r="E613" s="68">
        <f>COUNTIF($H$7:$H613,$H613)</f>
        <v>207</v>
      </c>
      <c r="F613" s="67">
        <f>'1.연간시수표'!$AL$33</f>
        <v>5</v>
      </c>
      <c r="G613" s="89">
        <f t="shared" si="29"/>
        <v>1</v>
      </c>
      <c r="H613" s="91" t="str">
        <f>INDEX('0.시간표데이터'!$E$10:$AR$32,QUOTIENT(ROW(A607)-1,40)+1,MOD(ROW(A607)-1,40)+1)</f>
        <v>_</v>
      </c>
      <c r="I613" s="76"/>
      <c r="J613" s="26"/>
      <c r="K613" s="165"/>
      <c r="L613" s="165"/>
      <c r="M613" s="166"/>
      <c r="N613" s="166"/>
      <c r="O613" s="166"/>
      <c r="P613" s="166"/>
      <c r="Q613" s="167"/>
      <c r="R613" s="111"/>
    </row>
    <row r="614" spans="1:18" ht="13.5" hidden="1" customHeight="1">
      <c r="A614" s="30">
        <v>608</v>
      </c>
      <c r="B614" s="24">
        <f>DATE('1.연간시수표'!$U$2,'1.연간시수표'!$X$2,'1.연간시수표'!$Z$2)+QUOTIENT(ROW(A608)-1,8)+(QUOTIENT(ROW(A608)-1,40)*2)</f>
        <v>44725</v>
      </c>
      <c r="C614" s="24" t="str">
        <f t="shared" si="27"/>
        <v>월</v>
      </c>
      <c r="D614" s="91" t="str">
        <f t="shared" si="28"/>
        <v>8교시</v>
      </c>
      <c r="E614" s="68">
        <f>COUNTIF($H$7:$H614,$H614)</f>
        <v>208</v>
      </c>
      <c r="F614" s="67">
        <f>'1.연간시수표'!$AL$33</f>
        <v>5</v>
      </c>
      <c r="G614" s="89">
        <f t="shared" si="29"/>
        <v>1</v>
      </c>
      <c r="H614" s="91" t="str">
        <f>INDEX('0.시간표데이터'!$E$10:$AR$32,QUOTIENT(ROW(A608)-1,40)+1,MOD(ROW(A608)-1,40)+1)</f>
        <v>_</v>
      </c>
      <c r="I614" s="76"/>
      <c r="J614" s="26"/>
      <c r="K614" s="165"/>
      <c r="L614" s="165"/>
      <c r="M614" s="166"/>
      <c r="N614" s="166"/>
      <c r="O614" s="166"/>
      <c r="P614" s="166"/>
      <c r="Q614" s="167"/>
      <c r="R614" s="111"/>
    </row>
    <row r="615" spans="1:18" ht="13.5" hidden="1" customHeight="1">
      <c r="A615" s="30">
        <v>609</v>
      </c>
      <c r="B615" s="24">
        <f>DATE('1.연간시수표'!$U$2,'1.연간시수표'!$X$2,'1.연간시수표'!$Z$2)+QUOTIENT(ROW(A609)-1,8)+(QUOTIENT(ROW(A609)-1,40)*2)</f>
        <v>44726</v>
      </c>
      <c r="C615" s="24" t="str">
        <f t="shared" si="27"/>
        <v>화</v>
      </c>
      <c r="D615" s="91" t="str">
        <f t="shared" si="28"/>
        <v>1교시</v>
      </c>
      <c r="E615" s="68">
        <f>COUNTIF($H$7:$H615,$H615)</f>
        <v>80</v>
      </c>
      <c r="F615" s="67">
        <f>'1.연간시수표'!$AL$33</f>
        <v>5</v>
      </c>
      <c r="G615" s="89">
        <f t="shared" si="29"/>
        <v>1</v>
      </c>
      <c r="H615" s="91" t="str">
        <f>INDEX('0.시간표데이터'!$E$10:$AR$32,QUOTIENT(ROW(A609)-1,40)+1,MOD(ROW(A609)-1,40)+1)</f>
        <v>국어</v>
      </c>
      <c r="I615" s="77"/>
      <c r="J615" s="26"/>
      <c r="K615" s="162"/>
      <c r="L615" s="162"/>
      <c r="M615" s="168"/>
      <c r="N615" s="99"/>
      <c r="O615" s="99"/>
      <c r="P615" s="99"/>
      <c r="Q615" s="167"/>
      <c r="R615" s="111"/>
    </row>
    <row r="616" spans="1:18" ht="13.5" hidden="1" customHeight="1">
      <c r="A616" s="30">
        <v>610</v>
      </c>
      <c r="B616" s="24">
        <f>DATE('1.연간시수표'!$U$2,'1.연간시수표'!$X$2,'1.연간시수표'!$Z$2)+QUOTIENT(ROW(A610)-1,8)+(QUOTIENT(ROW(A610)-1,40)*2)</f>
        <v>44726</v>
      </c>
      <c r="C616" s="24" t="str">
        <f t="shared" si="27"/>
        <v>화</v>
      </c>
      <c r="D616" s="91" t="str">
        <f t="shared" si="28"/>
        <v>2교시</v>
      </c>
      <c r="E616" s="68">
        <f>COUNTIF($H$7:$H616,$H616)</f>
        <v>81</v>
      </c>
      <c r="F616" s="67">
        <f>'1.연간시수표'!$AL$33</f>
        <v>5</v>
      </c>
      <c r="G616" s="89">
        <f t="shared" si="29"/>
        <v>1</v>
      </c>
      <c r="H616" s="91" t="str">
        <f>INDEX('0.시간표데이터'!$E$10:$AR$32,QUOTIENT(ROW(A610)-1,40)+1,MOD(ROW(A610)-1,40)+1)</f>
        <v>국어</v>
      </c>
      <c r="I616" s="161"/>
      <c r="J616" s="26"/>
      <c r="K616" s="165"/>
      <c r="L616" s="165"/>
      <c r="M616" s="166"/>
      <c r="N616" s="166"/>
      <c r="O616" s="166"/>
      <c r="P616" s="166"/>
      <c r="Q616" s="167"/>
      <c r="R616" s="111"/>
    </row>
    <row r="617" spans="1:18" ht="13.5" hidden="1" customHeight="1">
      <c r="A617" s="30">
        <v>611</v>
      </c>
      <c r="B617" s="24">
        <f>DATE('1.연간시수표'!$U$2,'1.연간시수표'!$X$2,'1.연간시수표'!$Z$2)+QUOTIENT(ROW(A611)-1,8)+(QUOTIENT(ROW(A611)-1,40)*2)</f>
        <v>44726</v>
      </c>
      <c r="C617" s="24" t="str">
        <f t="shared" si="27"/>
        <v>화</v>
      </c>
      <c r="D617" s="91" t="str">
        <f t="shared" si="28"/>
        <v>3교시</v>
      </c>
      <c r="E617" s="68">
        <f>COUNTIF($H$7:$H617,$H617)</f>
        <v>41</v>
      </c>
      <c r="F617" s="67">
        <f>'1.연간시수표'!$AL$33</f>
        <v>5</v>
      </c>
      <c r="G617" s="89">
        <f t="shared" si="29"/>
        <v>1</v>
      </c>
      <c r="H617" s="91" t="str">
        <f>INDEX('0.시간표데이터'!$E$10:$AR$32,QUOTIENT(ROW(A611)-1,40)+1,MOD(ROW(A611)-1,40)+1)</f>
        <v>사회</v>
      </c>
      <c r="I617" s="77"/>
      <c r="J617" s="26"/>
      <c r="K617" s="162"/>
      <c r="L617" s="162"/>
      <c r="M617" s="170"/>
      <c r="N617" s="98"/>
      <c r="O617" s="98"/>
      <c r="P617" s="98"/>
      <c r="Q617" s="167"/>
      <c r="R617" s="111"/>
    </row>
    <row r="618" spans="1:18" ht="13.5" hidden="1" customHeight="1">
      <c r="A618" s="30">
        <v>612</v>
      </c>
      <c r="B618" s="24">
        <f>DATE('1.연간시수표'!$U$2,'1.연간시수표'!$X$2,'1.연간시수표'!$Z$2)+QUOTIENT(ROW(A612)-1,8)+(QUOTIENT(ROW(A612)-1,40)*2)</f>
        <v>44726</v>
      </c>
      <c r="C618" s="24" t="str">
        <f t="shared" si="27"/>
        <v>화</v>
      </c>
      <c r="D618" s="91" t="str">
        <f t="shared" si="28"/>
        <v>4교시</v>
      </c>
      <c r="E618" s="68">
        <f>COUNTIF($H$7:$H618,$H618)</f>
        <v>55</v>
      </c>
      <c r="F618" s="67">
        <f>'1.연간시수표'!$AL$33</f>
        <v>5</v>
      </c>
      <c r="G618" s="89">
        <f t="shared" si="29"/>
        <v>1</v>
      </c>
      <c r="H618" s="91" t="str">
        <f>INDEX('0.시간표데이터'!$E$10:$AR$32,QUOTIENT(ROW(A612)-1,40)+1,MOD(ROW(A612)-1,40)+1)</f>
        <v>수학</v>
      </c>
      <c r="I618" s="77"/>
      <c r="J618" s="26"/>
      <c r="K618" s="162"/>
      <c r="L618" s="162"/>
      <c r="M618" s="168"/>
      <c r="N618" s="98"/>
      <c r="O618" s="99"/>
      <c r="P618" s="99"/>
      <c r="Q618" s="167"/>
      <c r="R618" s="111"/>
    </row>
    <row r="619" spans="1:18" ht="13.5" hidden="1" customHeight="1">
      <c r="A619" s="30">
        <v>613</v>
      </c>
      <c r="B619" s="24">
        <f>DATE('1.연간시수표'!$U$2,'1.연간시수표'!$X$2,'1.연간시수표'!$Z$2)+QUOTIENT(ROW(A613)-1,8)+(QUOTIENT(ROW(A613)-1,40)*2)</f>
        <v>44726</v>
      </c>
      <c r="C619" s="24" t="str">
        <f t="shared" si="27"/>
        <v>화</v>
      </c>
      <c r="D619" s="91" t="str">
        <f t="shared" si="28"/>
        <v>5교시</v>
      </c>
      <c r="E619" s="68">
        <f>COUNTIF($H$7:$H619,$H619)</f>
        <v>38</v>
      </c>
      <c r="F619" s="67">
        <f>'1.연간시수표'!$AL$33</f>
        <v>5</v>
      </c>
      <c r="G619" s="89">
        <f t="shared" si="29"/>
        <v>1</v>
      </c>
      <c r="H619" s="91" t="str">
        <f>INDEX('0.시간표데이터'!$E$10:$AR$32,QUOTIENT(ROW(A613)-1,40)+1,MOD(ROW(A613)-1,40)+1)</f>
        <v>과학</v>
      </c>
      <c r="I619" s="77"/>
      <c r="J619" s="26"/>
      <c r="K619" s="137"/>
      <c r="L619" s="137"/>
      <c r="M619" s="114"/>
      <c r="N619" s="114"/>
      <c r="O619" s="114"/>
      <c r="P619" s="114"/>
      <c r="Q619" s="164"/>
      <c r="R619" s="110"/>
    </row>
    <row r="620" spans="1:18" ht="13.5" hidden="1" customHeight="1">
      <c r="A620" s="30">
        <v>614</v>
      </c>
      <c r="B620" s="24">
        <f>DATE('1.연간시수표'!$U$2,'1.연간시수표'!$X$2,'1.연간시수표'!$Z$2)+QUOTIENT(ROW(A614)-1,8)+(QUOTIENT(ROW(A614)-1,40)*2)</f>
        <v>44726</v>
      </c>
      <c r="C620" s="24" t="str">
        <f t="shared" si="27"/>
        <v>화</v>
      </c>
      <c r="D620" s="91" t="str">
        <f t="shared" si="28"/>
        <v>6교시</v>
      </c>
      <c r="E620" s="68">
        <f>COUNTIF($H$7:$H620,$H620)</f>
        <v>28</v>
      </c>
      <c r="F620" s="67">
        <f>'1.연간시수표'!$AL$33</f>
        <v>5</v>
      </c>
      <c r="G620" s="89">
        <f t="shared" si="29"/>
        <v>1</v>
      </c>
      <c r="H620" s="91" t="str">
        <f>INDEX('0.시간표데이터'!$E$10:$AR$32,QUOTIENT(ROW(A614)-1,40)+1,MOD(ROW(A614)-1,40)+1)</f>
        <v>실과</v>
      </c>
      <c r="I620" s="77"/>
      <c r="J620" s="26"/>
      <c r="K620" s="165"/>
      <c r="L620" s="165"/>
      <c r="M620" s="166"/>
      <c r="N620" s="166"/>
      <c r="O620" s="166"/>
      <c r="P620" s="166"/>
      <c r="Q620" s="167"/>
      <c r="R620" s="111"/>
    </row>
    <row r="621" spans="1:18" ht="13.5" hidden="1" customHeight="1">
      <c r="A621" s="30">
        <v>615</v>
      </c>
      <c r="B621" s="24">
        <f>DATE('1.연간시수표'!$U$2,'1.연간시수표'!$X$2,'1.연간시수표'!$Z$2)+QUOTIENT(ROW(A615)-1,8)+(QUOTIENT(ROW(A615)-1,40)*2)</f>
        <v>44726</v>
      </c>
      <c r="C621" s="24" t="str">
        <f t="shared" si="27"/>
        <v>화</v>
      </c>
      <c r="D621" s="91" t="str">
        <f t="shared" si="28"/>
        <v>7교시</v>
      </c>
      <c r="E621" s="68">
        <f>COUNTIF($H$7:$H621,$H621)</f>
        <v>209</v>
      </c>
      <c r="F621" s="67">
        <f>'1.연간시수표'!$AL$33</f>
        <v>5</v>
      </c>
      <c r="G621" s="89">
        <f t="shared" si="29"/>
        <v>1</v>
      </c>
      <c r="H621" s="91" t="str">
        <f>INDEX('0.시간표데이터'!$E$10:$AR$32,QUOTIENT(ROW(A615)-1,40)+1,MOD(ROW(A615)-1,40)+1)</f>
        <v>_</v>
      </c>
      <c r="I621" s="76"/>
      <c r="J621" s="26"/>
      <c r="K621" s="165"/>
      <c r="L621" s="165"/>
      <c r="M621" s="166"/>
      <c r="N621" s="166"/>
      <c r="O621" s="166"/>
      <c r="P621" s="166"/>
      <c r="Q621" s="167"/>
      <c r="R621" s="111"/>
    </row>
    <row r="622" spans="1:18" ht="13.5" hidden="1" customHeight="1">
      <c r="A622" s="30">
        <v>616</v>
      </c>
      <c r="B622" s="24">
        <f>DATE('1.연간시수표'!$U$2,'1.연간시수표'!$X$2,'1.연간시수표'!$Z$2)+QUOTIENT(ROW(A616)-1,8)+(QUOTIENT(ROW(A616)-1,40)*2)</f>
        <v>44726</v>
      </c>
      <c r="C622" s="24" t="str">
        <f t="shared" si="27"/>
        <v>화</v>
      </c>
      <c r="D622" s="91" t="str">
        <f t="shared" si="28"/>
        <v>8교시</v>
      </c>
      <c r="E622" s="68">
        <f>COUNTIF($H$7:$H622,$H622)</f>
        <v>210</v>
      </c>
      <c r="F622" s="67">
        <f>'1.연간시수표'!$AL$33</f>
        <v>5</v>
      </c>
      <c r="G622" s="89">
        <f t="shared" si="29"/>
        <v>1</v>
      </c>
      <c r="H622" s="91" t="str">
        <f>INDEX('0.시간표데이터'!$E$10:$AR$32,QUOTIENT(ROW(A616)-1,40)+1,MOD(ROW(A616)-1,40)+1)</f>
        <v>_</v>
      </c>
      <c r="I622" s="76"/>
      <c r="J622" s="26"/>
      <c r="K622" s="165"/>
      <c r="L622" s="165"/>
      <c r="M622" s="166"/>
      <c r="N622" s="166"/>
      <c r="O622" s="166"/>
      <c r="P622" s="166"/>
      <c r="Q622" s="167"/>
      <c r="R622" s="111"/>
    </row>
    <row r="623" spans="1:18" ht="13.5" hidden="1" customHeight="1">
      <c r="A623" s="30">
        <v>617</v>
      </c>
      <c r="B623" s="24">
        <f>DATE('1.연간시수표'!$U$2,'1.연간시수표'!$X$2,'1.연간시수표'!$Z$2)+QUOTIENT(ROW(A617)-1,8)+(QUOTIENT(ROW(A617)-1,40)*2)</f>
        <v>44727</v>
      </c>
      <c r="C623" s="24" t="str">
        <f t="shared" si="27"/>
        <v>수</v>
      </c>
      <c r="D623" s="91" t="str">
        <f t="shared" si="28"/>
        <v>1교시</v>
      </c>
      <c r="E623" s="68">
        <f>COUNTIF($H$7:$H623,$H623)</f>
        <v>40</v>
      </c>
      <c r="F623" s="67">
        <f>'1.연간시수표'!$AL$33</f>
        <v>5</v>
      </c>
      <c r="G623" s="89">
        <f t="shared" si="29"/>
        <v>1</v>
      </c>
      <c r="H623" s="91" t="str">
        <f>INDEX('0.시간표데이터'!$E$10:$AR$32,QUOTIENT(ROW(A617)-1,40)+1,MOD(ROW(A617)-1,40)+1)</f>
        <v>영어</v>
      </c>
      <c r="I623" s="77"/>
      <c r="J623" s="26"/>
      <c r="K623" s="162"/>
      <c r="L623" s="162"/>
      <c r="M623" s="168"/>
      <c r="N623" s="99"/>
      <c r="O623" s="168"/>
      <c r="P623" s="168"/>
      <c r="Q623" s="167"/>
      <c r="R623" s="111"/>
    </row>
    <row r="624" spans="1:18" ht="13.5" hidden="1" customHeight="1">
      <c r="A624" s="30">
        <v>618</v>
      </c>
      <c r="B624" s="24">
        <f>DATE('1.연간시수표'!$U$2,'1.연간시수표'!$X$2,'1.연간시수표'!$Z$2)+QUOTIENT(ROW(A618)-1,8)+(QUOTIENT(ROW(A618)-1,40)*2)</f>
        <v>44727</v>
      </c>
      <c r="C624" s="24" t="str">
        <f t="shared" si="27"/>
        <v>수</v>
      </c>
      <c r="D624" s="91" t="str">
        <f t="shared" si="28"/>
        <v>2교시</v>
      </c>
      <c r="E624" s="68">
        <f>COUNTIF($H$7:$H624,$H624)</f>
        <v>39</v>
      </c>
      <c r="F624" s="67">
        <f>'1.연간시수표'!$AL$33</f>
        <v>5</v>
      </c>
      <c r="G624" s="89">
        <f t="shared" si="29"/>
        <v>1</v>
      </c>
      <c r="H624" s="91" t="str">
        <f>INDEX('0.시간표데이터'!$E$10:$AR$32,QUOTIENT(ROW(A618)-1,40)+1,MOD(ROW(A618)-1,40)+1)</f>
        <v>과학</v>
      </c>
      <c r="I624" s="77"/>
      <c r="J624" s="26"/>
      <c r="K624" s="137"/>
      <c r="L624" s="137"/>
      <c r="M624" s="114"/>
      <c r="N624" s="114"/>
      <c r="O624" s="114"/>
      <c r="P624" s="114"/>
      <c r="Q624" s="164"/>
      <c r="R624" s="110"/>
    </row>
    <row r="625" spans="1:18" ht="13.5" hidden="1" customHeight="1">
      <c r="A625" s="30">
        <v>619</v>
      </c>
      <c r="B625" s="24">
        <f>DATE('1.연간시수표'!$U$2,'1.연간시수표'!$X$2,'1.연간시수표'!$Z$2)+QUOTIENT(ROW(A619)-1,8)+(QUOTIENT(ROW(A619)-1,40)*2)</f>
        <v>44727</v>
      </c>
      <c r="C625" s="24" t="str">
        <f t="shared" si="27"/>
        <v>수</v>
      </c>
      <c r="D625" s="91" t="str">
        <f t="shared" si="28"/>
        <v>3교시</v>
      </c>
      <c r="E625" s="68">
        <f>COUNTIF($H$7:$H625,$H625)</f>
        <v>26</v>
      </c>
      <c r="F625" s="67">
        <f>'1.연간시수표'!$AL$33</f>
        <v>5</v>
      </c>
      <c r="G625" s="89">
        <f t="shared" si="29"/>
        <v>1</v>
      </c>
      <c r="H625" s="91" t="str">
        <f>INDEX('0.시간표데이터'!$E$10:$AR$32,QUOTIENT(ROW(A619)-1,40)+1,MOD(ROW(A619)-1,40)+1)</f>
        <v>체육</v>
      </c>
      <c r="I625" s="77"/>
      <c r="J625" s="26"/>
      <c r="K625" s="162"/>
      <c r="L625" s="162"/>
      <c r="M625" s="169"/>
      <c r="N625" s="101"/>
      <c r="O625" s="99"/>
      <c r="P625" s="99"/>
      <c r="Q625" s="167"/>
      <c r="R625" s="111"/>
    </row>
    <row r="626" spans="1:18" ht="13.5" customHeight="1">
      <c r="A626" s="30">
        <v>620</v>
      </c>
      <c r="B626" s="24">
        <f>DATE('1.연간시수표'!$U$2,'1.연간시수표'!$X$2,'1.연간시수표'!$Z$2)+QUOTIENT(ROW(A620)-1,8)+(QUOTIENT(ROW(A620)-1,40)*2)</f>
        <v>44727</v>
      </c>
      <c r="C626" s="24" t="str">
        <f t="shared" si="27"/>
        <v>수</v>
      </c>
      <c r="D626" s="91" t="str">
        <f t="shared" si="28"/>
        <v>4교시</v>
      </c>
      <c r="E626" s="68">
        <f>COUNTIF($H$7:$H626,$H626)</f>
        <v>28</v>
      </c>
      <c r="F626" s="67">
        <f>'1.연간시수표'!$AL$33</f>
        <v>5</v>
      </c>
      <c r="G626" s="89">
        <f t="shared" si="29"/>
        <v>1</v>
      </c>
      <c r="H626" s="91" t="str">
        <f>INDEX('0.시간표데이터'!$E$10:$AR$32,QUOTIENT(ROW(A620)-1,40)+1,MOD(ROW(A620)-1,40)+1)</f>
        <v>음악</v>
      </c>
      <c r="I626" s="77"/>
      <c r="J626" s="26"/>
      <c r="K626" s="173"/>
      <c r="L626" s="173"/>
      <c r="M626" s="10"/>
      <c r="N626" s="10"/>
      <c r="O626" s="10"/>
      <c r="P626" s="10"/>
      <c r="Q626" s="164"/>
      <c r="R626" s="109"/>
    </row>
    <row r="627" spans="1:18" ht="13.5" customHeight="1">
      <c r="A627" s="30">
        <v>621</v>
      </c>
      <c r="B627" s="24">
        <f>DATE('1.연간시수표'!$U$2,'1.연간시수표'!$X$2,'1.연간시수표'!$Z$2)+QUOTIENT(ROW(A621)-1,8)+(QUOTIENT(ROW(A621)-1,40)*2)</f>
        <v>44727</v>
      </c>
      <c r="C627" s="24" t="str">
        <f t="shared" si="27"/>
        <v>수</v>
      </c>
      <c r="D627" s="91" t="str">
        <f t="shared" si="28"/>
        <v>5교시</v>
      </c>
      <c r="E627" s="68">
        <f>COUNTIF($H$7:$H627,$H627)</f>
        <v>14</v>
      </c>
      <c r="F627" s="67">
        <f>'1.연간시수표'!$AL$33</f>
        <v>5</v>
      </c>
      <c r="G627" s="89">
        <f t="shared" si="29"/>
        <v>1</v>
      </c>
      <c r="H627" s="91" t="str">
        <f>INDEX('0.시간표데이터'!$E$10:$AR$32,QUOTIENT(ROW(A621)-1,40)+1,MOD(ROW(A621)-1,40)+1)</f>
        <v>도덕</v>
      </c>
      <c r="I627" s="77"/>
      <c r="J627" s="26"/>
      <c r="K627" s="173"/>
      <c r="L627" s="173"/>
      <c r="M627" s="10"/>
      <c r="N627" s="10"/>
      <c r="O627" s="10"/>
      <c r="P627" s="10"/>
      <c r="Q627" s="164"/>
      <c r="R627" s="109"/>
    </row>
    <row r="628" spans="1:18" ht="13.5" hidden="1" customHeight="1">
      <c r="A628" s="30">
        <v>622</v>
      </c>
      <c r="B628" s="24">
        <f>DATE('1.연간시수표'!$U$2,'1.연간시수표'!$X$2,'1.연간시수표'!$Z$2)+QUOTIENT(ROW(A622)-1,8)+(QUOTIENT(ROW(A622)-1,40)*2)</f>
        <v>44727</v>
      </c>
      <c r="C628" s="24" t="str">
        <f t="shared" si="27"/>
        <v>수</v>
      </c>
      <c r="D628" s="91" t="str">
        <f t="shared" si="28"/>
        <v>6교시</v>
      </c>
      <c r="E628" s="68">
        <f>COUNTIF($H$7:$H628,$H628)</f>
        <v>211</v>
      </c>
      <c r="F628" s="67">
        <f>'1.연간시수표'!$AL$33</f>
        <v>5</v>
      </c>
      <c r="G628" s="89">
        <f t="shared" si="29"/>
        <v>1</v>
      </c>
      <c r="H628" s="91" t="str">
        <f>INDEX('0.시간표데이터'!$E$10:$AR$32,QUOTIENT(ROW(A622)-1,40)+1,MOD(ROW(A622)-1,40)+1)</f>
        <v>_</v>
      </c>
      <c r="I628" s="77"/>
      <c r="J628" s="26"/>
      <c r="K628" s="165"/>
      <c r="L628" s="165"/>
      <c r="M628" s="166"/>
      <c r="N628" s="166"/>
      <c r="O628" s="166"/>
      <c r="P628" s="166"/>
      <c r="Q628" s="167"/>
      <c r="R628" s="111"/>
    </row>
    <row r="629" spans="1:18" ht="13.5" hidden="1" customHeight="1">
      <c r="A629" s="30">
        <v>623</v>
      </c>
      <c r="B629" s="24">
        <f>DATE('1.연간시수표'!$U$2,'1.연간시수표'!$X$2,'1.연간시수표'!$Z$2)+QUOTIENT(ROW(A623)-1,8)+(QUOTIENT(ROW(A623)-1,40)*2)</f>
        <v>44727</v>
      </c>
      <c r="C629" s="24" t="str">
        <f t="shared" si="27"/>
        <v>수</v>
      </c>
      <c r="D629" s="91" t="str">
        <f t="shared" si="28"/>
        <v>7교시</v>
      </c>
      <c r="E629" s="68">
        <f>COUNTIF($H$7:$H629,$H629)</f>
        <v>212</v>
      </c>
      <c r="F629" s="67">
        <f>'1.연간시수표'!$AL$33</f>
        <v>5</v>
      </c>
      <c r="G629" s="89">
        <f t="shared" si="29"/>
        <v>1</v>
      </c>
      <c r="H629" s="91" t="str">
        <f>INDEX('0.시간표데이터'!$E$10:$AR$32,QUOTIENT(ROW(A623)-1,40)+1,MOD(ROW(A623)-1,40)+1)</f>
        <v>_</v>
      </c>
      <c r="I629" s="76"/>
      <c r="J629" s="26"/>
      <c r="K629" s="165"/>
      <c r="L629" s="165"/>
      <c r="M629" s="166"/>
      <c r="N629" s="166"/>
      <c r="O629" s="166"/>
      <c r="P629" s="166"/>
      <c r="Q629" s="167"/>
      <c r="R629" s="111"/>
    </row>
    <row r="630" spans="1:18" ht="13.5" hidden="1" customHeight="1">
      <c r="A630" s="30">
        <v>624</v>
      </c>
      <c r="B630" s="24">
        <f>DATE('1.연간시수표'!$U$2,'1.연간시수표'!$X$2,'1.연간시수표'!$Z$2)+QUOTIENT(ROW(A624)-1,8)+(QUOTIENT(ROW(A624)-1,40)*2)</f>
        <v>44727</v>
      </c>
      <c r="C630" s="24" t="str">
        <f t="shared" si="27"/>
        <v>수</v>
      </c>
      <c r="D630" s="91" t="str">
        <f t="shared" si="28"/>
        <v>8교시</v>
      </c>
      <c r="E630" s="68">
        <f>COUNTIF($H$7:$H630,$H630)</f>
        <v>213</v>
      </c>
      <c r="F630" s="67">
        <f>'1.연간시수표'!$AL$33</f>
        <v>5</v>
      </c>
      <c r="G630" s="89">
        <f t="shared" si="29"/>
        <v>1</v>
      </c>
      <c r="H630" s="91" t="str">
        <f>INDEX('0.시간표데이터'!$E$10:$AR$32,QUOTIENT(ROW(A624)-1,40)+1,MOD(ROW(A624)-1,40)+1)</f>
        <v>_</v>
      </c>
      <c r="I630" s="76"/>
      <c r="J630" s="26"/>
      <c r="K630" s="165"/>
      <c r="L630" s="165"/>
      <c r="M630" s="166"/>
      <c r="N630" s="166"/>
      <c r="O630" s="166"/>
      <c r="P630" s="166"/>
      <c r="Q630" s="167"/>
      <c r="R630" s="111"/>
    </row>
    <row r="631" spans="1:18" ht="13.5" hidden="1" customHeight="1">
      <c r="A631" s="30">
        <v>625</v>
      </c>
      <c r="B631" s="24">
        <f>DATE('1.연간시수표'!$U$2,'1.연간시수표'!$X$2,'1.연간시수표'!$Z$2)+QUOTIENT(ROW(A625)-1,8)+(QUOTIENT(ROW(A625)-1,40)*2)</f>
        <v>44728</v>
      </c>
      <c r="C631" s="24" t="str">
        <f t="shared" si="27"/>
        <v>목</v>
      </c>
      <c r="D631" s="91" t="str">
        <f t="shared" si="28"/>
        <v>1교시</v>
      </c>
      <c r="E631" s="68">
        <f>COUNTIF($H$7:$H631,$H631)</f>
        <v>82</v>
      </c>
      <c r="F631" s="67">
        <f>'1.연간시수표'!$AL$33</f>
        <v>5</v>
      </c>
      <c r="G631" s="89">
        <f t="shared" si="29"/>
        <v>1</v>
      </c>
      <c r="H631" s="91" t="str">
        <f>INDEX('0.시간표데이터'!$E$10:$AR$32,QUOTIENT(ROW(A625)-1,40)+1,MOD(ROW(A625)-1,40)+1)</f>
        <v>국어</v>
      </c>
      <c r="I631" s="77"/>
      <c r="J631" s="26"/>
      <c r="K631" s="162"/>
      <c r="L631" s="162"/>
      <c r="M631" s="168"/>
      <c r="N631" s="98"/>
      <c r="O631" s="99"/>
      <c r="P631" s="99"/>
      <c r="Q631" s="167"/>
      <c r="R631" s="111"/>
    </row>
    <row r="632" spans="1:18" ht="13.5" hidden="1" customHeight="1">
      <c r="A632" s="30">
        <v>626</v>
      </c>
      <c r="B632" s="24">
        <f>DATE('1.연간시수표'!$U$2,'1.연간시수표'!$X$2,'1.연간시수표'!$Z$2)+QUOTIENT(ROW(A626)-1,8)+(QUOTIENT(ROW(A626)-1,40)*2)</f>
        <v>44728</v>
      </c>
      <c r="C632" s="24" t="str">
        <f t="shared" si="27"/>
        <v>목</v>
      </c>
      <c r="D632" s="91" t="str">
        <f t="shared" si="28"/>
        <v>2교시</v>
      </c>
      <c r="E632" s="68">
        <f>COUNTIF($H$7:$H632,$H632)</f>
        <v>56</v>
      </c>
      <c r="F632" s="67">
        <f>'1.연간시수표'!$AL$33</f>
        <v>5</v>
      </c>
      <c r="G632" s="89">
        <f t="shared" si="29"/>
        <v>1</v>
      </c>
      <c r="H632" s="91" t="str">
        <f>INDEX('0.시간표데이터'!$E$10:$AR$32,QUOTIENT(ROW(A626)-1,40)+1,MOD(ROW(A626)-1,40)+1)</f>
        <v>수학</v>
      </c>
      <c r="I632" s="161"/>
      <c r="J632" s="26"/>
      <c r="K632" s="165"/>
      <c r="L632" s="165"/>
      <c r="M632" s="166"/>
      <c r="N632" s="166"/>
      <c r="O632" s="166"/>
      <c r="P632" s="166"/>
      <c r="Q632" s="167"/>
      <c r="R632" s="111"/>
    </row>
    <row r="633" spans="1:18" ht="13.5" customHeight="1">
      <c r="A633" s="30">
        <v>627</v>
      </c>
      <c r="B633" s="24">
        <f>DATE('1.연간시수표'!$U$2,'1.연간시수표'!$X$2,'1.연간시수표'!$Z$2)+QUOTIENT(ROW(A627)-1,8)+(QUOTIENT(ROW(A627)-1,40)*2)</f>
        <v>44728</v>
      </c>
      <c r="C633" s="24" t="str">
        <f t="shared" si="27"/>
        <v>목</v>
      </c>
      <c r="D633" s="91" t="str">
        <f t="shared" si="28"/>
        <v>3교시</v>
      </c>
      <c r="E633" s="68">
        <f>COUNTIF($H$7:$H633,$H633)</f>
        <v>42</v>
      </c>
      <c r="F633" s="67">
        <f>'1.연간시수표'!$AL$33</f>
        <v>5</v>
      </c>
      <c r="G633" s="89">
        <f t="shared" si="29"/>
        <v>1</v>
      </c>
      <c r="H633" s="91" t="str">
        <f>INDEX('0.시간표데이터'!$E$10:$AR$32,QUOTIENT(ROW(A627)-1,40)+1,MOD(ROW(A627)-1,40)+1)</f>
        <v>사회</v>
      </c>
      <c r="I633" s="77"/>
      <c r="J633" s="26"/>
      <c r="K633" s="173"/>
      <c r="L633" s="173"/>
      <c r="M633" s="10"/>
      <c r="N633" s="10"/>
      <c r="O633" s="10"/>
      <c r="P633" s="10"/>
      <c r="Q633" s="164"/>
      <c r="R633" s="109"/>
    </row>
    <row r="634" spans="1:18" ht="13.5" customHeight="1">
      <c r="A634" s="30">
        <v>628</v>
      </c>
      <c r="B634" s="24">
        <f>DATE('1.연간시수표'!$U$2,'1.연간시수표'!$X$2,'1.연간시수표'!$Z$2)+QUOTIENT(ROW(A628)-1,8)+(QUOTIENT(ROW(A628)-1,40)*2)</f>
        <v>44728</v>
      </c>
      <c r="C634" s="24" t="str">
        <f t="shared" si="27"/>
        <v>목</v>
      </c>
      <c r="D634" s="91" t="str">
        <f t="shared" si="28"/>
        <v>4교시</v>
      </c>
      <c r="E634" s="68">
        <f>COUNTIF($H$7:$H634,$H634)</f>
        <v>41</v>
      </c>
      <c r="F634" s="67">
        <f>'1.연간시수표'!$AL$33</f>
        <v>5</v>
      </c>
      <c r="G634" s="89">
        <f t="shared" si="29"/>
        <v>1</v>
      </c>
      <c r="H634" s="91" t="str">
        <f>INDEX('0.시간표데이터'!$E$10:$AR$32,QUOTIENT(ROW(A628)-1,40)+1,MOD(ROW(A628)-1,40)+1)</f>
        <v>영어</v>
      </c>
      <c r="I634" s="77"/>
      <c r="J634" s="26"/>
      <c r="K634" s="173"/>
      <c r="L634" s="173"/>
      <c r="M634" s="10"/>
      <c r="N634" s="10"/>
      <c r="O634" s="10"/>
      <c r="P634" s="10"/>
      <c r="Q634" s="164"/>
      <c r="R634" s="109"/>
    </row>
    <row r="635" spans="1:18" ht="13.5" hidden="1" customHeight="1">
      <c r="A635" s="30">
        <v>629</v>
      </c>
      <c r="B635" s="24">
        <f>DATE('1.연간시수표'!$U$2,'1.연간시수표'!$X$2,'1.연간시수표'!$Z$2)+QUOTIENT(ROW(A629)-1,8)+(QUOTIENT(ROW(A629)-1,40)*2)</f>
        <v>44728</v>
      </c>
      <c r="C635" s="24" t="str">
        <f t="shared" si="27"/>
        <v>목</v>
      </c>
      <c r="D635" s="91" t="str">
        <f t="shared" si="28"/>
        <v>5교시</v>
      </c>
      <c r="E635" s="68">
        <f>COUNTIF($H$7:$H635,$H635)</f>
        <v>40</v>
      </c>
      <c r="F635" s="67">
        <f>'1.연간시수표'!$AL$33</f>
        <v>5</v>
      </c>
      <c r="G635" s="89">
        <f t="shared" si="29"/>
        <v>1</v>
      </c>
      <c r="H635" s="91" t="str">
        <f>INDEX('0.시간표데이터'!$E$10:$AR$32,QUOTIENT(ROW(A629)-1,40)+1,MOD(ROW(A629)-1,40)+1)</f>
        <v>과학</v>
      </c>
      <c r="I635" s="77"/>
      <c r="J635" s="26"/>
      <c r="K635" s="165"/>
      <c r="L635" s="165"/>
      <c r="M635" s="166"/>
      <c r="N635" s="166"/>
      <c r="O635" s="166"/>
      <c r="P635" s="166"/>
      <c r="Q635" s="167"/>
      <c r="R635" s="111"/>
    </row>
    <row r="636" spans="1:18" ht="13.5" hidden="1" customHeight="1">
      <c r="A636" s="30">
        <v>630</v>
      </c>
      <c r="B636" s="24">
        <f>DATE('1.연간시수표'!$U$2,'1.연간시수표'!$X$2,'1.연간시수표'!$Z$2)+QUOTIENT(ROW(A630)-1,8)+(QUOTIENT(ROW(A630)-1,40)*2)</f>
        <v>44728</v>
      </c>
      <c r="C636" s="24" t="str">
        <f t="shared" si="27"/>
        <v>목</v>
      </c>
      <c r="D636" s="91" t="str">
        <f t="shared" si="28"/>
        <v>6교시</v>
      </c>
      <c r="E636" s="68">
        <f>COUNTIF($H$7:$H636,$H636)</f>
        <v>29</v>
      </c>
      <c r="F636" s="67">
        <f>'1.연간시수표'!$AL$33</f>
        <v>5</v>
      </c>
      <c r="G636" s="89">
        <f t="shared" si="29"/>
        <v>1</v>
      </c>
      <c r="H636" s="91" t="str">
        <f>INDEX('0.시간표데이터'!$E$10:$AR$32,QUOTIENT(ROW(A630)-1,40)+1,MOD(ROW(A630)-1,40)+1)</f>
        <v>음악</v>
      </c>
      <c r="I636" s="161"/>
      <c r="J636" s="26"/>
      <c r="K636" s="165"/>
      <c r="L636" s="165"/>
      <c r="M636" s="166"/>
      <c r="N636" s="166"/>
      <c r="O636" s="166"/>
      <c r="P636" s="166"/>
      <c r="Q636" s="167"/>
      <c r="R636" s="111"/>
    </row>
    <row r="637" spans="1:18" hidden="1">
      <c r="A637" s="30">
        <v>631</v>
      </c>
      <c r="B637" s="24">
        <f>DATE('1.연간시수표'!$U$2,'1.연간시수표'!$X$2,'1.연간시수표'!$Z$2)+QUOTIENT(ROW(A631)-1,8)+(QUOTIENT(ROW(A631)-1,40)*2)</f>
        <v>44728</v>
      </c>
      <c r="C637" s="24" t="str">
        <f t="shared" si="27"/>
        <v>목</v>
      </c>
      <c r="D637" s="91" t="str">
        <f t="shared" si="28"/>
        <v>7교시</v>
      </c>
      <c r="E637" s="68">
        <f>COUNTIF($H$7:$H637,$H637)</f>
        <v>214</v>
      </c>
      <c r="F637" s="67">
        <f>'1.연간시수표'!$AL$33</f>
        <v>5</v>
      </c>
      <c r="G637" s="89">
        <f t="shared" si="29"/>
        <v>1</v>
      </c>
      <c r="H637" s="91" t="str">
        <f>INDEX('0.시간표데이터'!$E$10:$AR$32,QUOTIENT(ROW(A631)-1,40)+1,MOD(ROW(A631)-1,40)+1)</f>
        <v>_</v>
      </c>
      <c r="I637" s="76"/>
      <c r="J637" s="26"/>
      <c r="K637" s="165"/>
      <c r="L637" s="165"/>
      <c r="M637" s="166"/>
      <c r="N637" s="166"/>
      <c r="O637" s="166"/>
      <c r="P637" s="166"/>
      <c r="Q637" s="167"/>
      <c r="R637" s="111"/>
    </row>
    <row r="638" spans="1:18" hidden="1">
      <c r="A638" s="30">
        <v>632</v>
      </c>
      <c r="B638" s="24">
        <f>DATE('1.연간시수표'!$U$2,'1.연간시수표'!$X$2,'1.연간시수표'!$Z$2)+QUOTIENT(ROW(A632)-1,8)+(QUOTIENT(ROW(A632)-1,40)*2)</f>
        <v>44728</v>
      </c>
      <c r="C638" s="24" t="str">
        <f t="shared" si="27"/>
        <v>목</v>
      </c>
      <c r="D638" s="91" t="str">
        <f t="shared" si="28"/>
        <v>8교시</v>
      </c>
      <c r="E638" s="68">
        <f>COUNTIF($H$7:$H638,$H638)</f>
        <v>215</v>
      </c>
      <c r="F638" s="67">
        <f>'1.연간시수표'!$AL$33</f>
        <v>5</v>
      </c>
      <c r="G638" s="89">
        <f t="shared" si="29"/>
        <v>1</v>
      </c>
      <c r="H638" s="91" t="str">
        <f>INDEX('0.시간표데이터'!$E$10:$AR$32,QUOTIENT(ROW(A632)-1,40)+1,MOD(ROW(A632)-1,40)+1)</f>
        <v>_</v>
      </c>
      <c r="I638" s="76"/>
      <c r="J638" s="26"/>
      <c r="K638" s="165"/>
      <c r="L638" s="165"/>
      <c r="M638" s="166"/>
      <c r="N638" s="166"/>
      <c r="O638" s="166"/>
      <c r="P638" s="166"/>
      <c r="Q638" s="167"/>
      <c r="R638" s="111"/>
    </row>
    <row r="639" spans="1:18" ht="13.5" hidden="1" customHeight="1">
      <c r="A639" s="30">
        <v>633</v>
      </c>
      <c r="B639" s="24">
        <f>DATE('1.연간시수표'!$U$2,'1.연간시수표'!$X$2,'1.연간시수표'!$Z$2)+QUOTIENT(ROW(A633)-1,8)+(QUOTIENT(ROW(A633)-1,40)*2)</f>
        <v>44729</v>
      </c>
      <c r="C639" s="24" t="str">
        <f t="shared" si="27"/>
        <v>금</v>
      </c>
      <c r="D639" s="91" t="str">
        <f t="shared" si="28"/>
        <v>1교시</v>
      </c>
      <c r="E639" s="68">
        <f>COUNTIF($H$7:$H639,$H639)</f>
        <v>24</v>
      </c>
      <c r="F639" s="67">
        <f>'1.연간시수표'!$AL$33</f>
        <v>5</v>
      </c>
      <c r="G639" s="89">
        <f t="shared" si="29"/>
        <v>1</v>
      </c>
      <c r="H639" s="91" t="str">
        <f>INDEX('0.시간표데이터'!$E$10:$AR$32,QUOTIENT(ROW(A633)-1,40)+1,MOD(ROW(A633)-1,40)+1)</f>
        <v>자율활동</v>
      </c>
      <c r="I639" s="77"/>
      <c r="J639" s="26"/>
      <c r="K639" s="162"/>
      <c r="L639" s="162"/>
      <c r="M639" s="168"/>
      <c r="N639" s="98"/>
      <c r="O639" s="99"/>
      <c r="P639" s="99"/>
      <c r="Q639" s="167"/>
      <c r="R639" s="111"/>
    </row>
    <row r="640" spans="1:18" ht="13.5" hidden="1" customHeight="1">
      <c r="A640" s="30">
        <v>634</v>
      </c>
      <c r="B640" s="24">
        <f>DATE('1.연간시수표'!$U$2,'1.연간시수표'!$X$2,'1.연간시수표'!$Z$2)+QUOTIENT(ROW(A634)-1,8)+(QUOTIENT(ROW(A634)-1,40)*2)</f>
        <v>44729</v>
      </c>
      <c r="C640" s="24" t="str">
        <f t="shared" si="27"/>
        <v>금</v>
      </c>
      <c r="D640" s="91" t="str">
        <f t="shared" si="28"/>
        <v>2교시</v>
      </c>
      <c r="E640" s="68">
        <f>COUNTIF($H$7:$H640,$H640)</f>
        <v>27</v>
      </c>
      <c r="F640" s="67">
        <f>'1.연간시수표'!$AL$33</f>
        <v>5</v>
      </c>
      <c r="G640" s="89">
        <f t="shared" si="29"/>
        <v>1</v>
      </c>
      <c r="H640" s="91" t="str">
        <f>INDEX('0.시간표데이터'!$E$10:$AR$32,QUOTIENT(ROW(A634)-1,40)+1,MOD(ROW(A634)-1,40)+1)</f>
        <v>체육</v>
      </c>
      <c r="I640" s="77"/>
      <c r="J640" s="26"/>
      <c r="K640" s="162"/>
      <c r="L640" s="162"/>
      <c r="M640" s="168"/>
      <c r="N640" s="98"/>
      <c r="O640" s="99"/>
      <c r="P640" s="99"/>
      <c r="Q640" s="167"/>
      <c r="R640" s="111"/>
    </row>
    <row r="641" spans="1:18" ht="13.5" hidden="1" customHeight="1">
      <c r="A641" s="30">
        <v>635</v>
      </c>
      <c r="B641" s="24">
        <f>DATE('1.연간시수표'!$U$2,'1.연간시수표'!$X$2,'1.연간시수표'!$Z$2)+QUOTIENT(ROW(A635)-1,8)+(QUOTIENT(ROW(A635)-1,40)*2)</f>
        <v>44729</v>
      </c>
      <c r="C641" s="24" t="str">
        <f t="shared" si="27"/>
        <v>금</v>
      </c>
      <c r="D641" s="91" t="str">
        <f t="shared" si="28"/>
        <v>3교시</v>
      </c>
      <c r="E641" s="68">
        <f>COUNTIF($H$7:$H641,$H641)</f>
        <v>57</v>
      </c>
      <c r="F641" s="67">
        <f>'1.연간시수표'!$AL$33</f>
        <v>5</v>
      </c>
      <c r="G641" s="89">
        <f t="shared" si="29"/>
        <v>1</v>
      </c>
      <c r="H641" s="91" t="str">
        <f>INDEX('0.시간표데이터'!$E$10:$AR$32,QUOTIENT(ROW(A635)-1,40)+1,MOD(ROW(A635)-1,40)+1)</f>
        <v>수학</v>
      </c>
      <c r="I641" s="77"/>
      <c r="J641" s="26"/>
      <c r="K641" s="165"/>
      <c r="L641" s="165"/>
      <c r="M641" s="166"/>
      <c r="N641" s="166"/>
      <c r="O641" s="166"/>
      <c r="P641" s="166"/>
      <c r="Q641" s="167"/>
      <c r="R641" s="111"/>
    </row>
    <row r="642" spans="1:18" ht="13.5" hidden="1" customHeight="1">
      <c r="A642" s="30">
        <v>636</v>
      </c>
      <c r="B642" s="24">
        <f>DATE('1.연간시수표'!$U$2,'1.연간시수표'!$X$2,'1.연간시수표'!$Z$2)+QUOTIENT(ROW(A636)-1,8)+(QUOTIENT(ROW(A636)-1,40)*2)</f>
        <v>44729</v>
      </c>
      <c r="C642" s="24" t="str">
        <f t="shared" si="27"/>
        <v>금</v>
      </c>
      <c r="D642" s="91" t="str">
        <f t="shared" si="28"/>
        <v>4교시</v>
      </c>
      <c r="E642" s="68">
        <f>COUNTIF($H$7:$H642,$H642)</f>
        <v>83</v>
      </c>
      <c r="F642" s="67">
        <f>'1.연간시수표'!$AL$33</f>
        <v>5</v>
      </c>
      <c r="G642" s="89">
        <f t="shared" si="29"/>
        <v>1</v>
      </c>
      <c r="H642" s="91" t="str">
        <f>INDEX('0.시간표데이터'!$E$10:$AR$32,QUOTIENT(ROW(A636)-1,40)+1,MOD(ROW(A636)-1,40)+1)</f>
        <v>국어</v>
      </c>
      <c r="I642" s="77"/>
      <c r="J642" s="26"/>
      <c r="K642" s="162"/>
      <c r="L642" s="162"/>
      <c r="M642" s="169"/>
      <c r="N642" s="101"/>
      <c r="O642" s="99"/>
      <c r="P642" s="99"/>
      <c r="Q642" s="167"/>
      <c r="R642" s="111"/>
    </row>
    <row r="643" spans="1:18" ht="13.5" hidden="1" customHeight="1">
      <c r="A643" s="30">
        <v>637</v>
      </c>
      <c r="B643" s="24">
        <f>DATE('1.연간시수표'!$U$2,'1.연간시수표'!$X$2,'1.연간시수표'!$Z$2)+QUOTIENT(ROW(A637)-1,8)+(QUOTIENT(ROW(A637)-1,40)*2)</f>
        <v>44729</v>
      </c>
      <c r="C643" s="24" t="str">
        <f t="shared" si="27"/>
        <v>금</v>
      </c>
      <c r="D643" s="91" t="str">
        <f t="shared" si="28"/>
        <v>5교시</v>
      </c>
      <c r="E643" s="68">
        <f>COUNTIF($H$7:$H643,$H643)</f>
        <v>43</v>
      </c>
      <c r="F643" s="67">
        <f>'1.연간시수표'!$AL$33</f>
        <v>5</v>
      </c>
      <c r="G643" s="89">
        <f t="shared" si="29"/>
        <v>1</v>
      </c>
      <c r="H643" s="91" t="str">
        <f>INDEX('0.시간표데이터'!$E$10:$AR$32,QUOTIENT(ROW(A637)-1,40)+1,MOD(ROW(A637)-1,40)+1)</f>
        <v>사회</v>
      </c>
      <c r="I643" s="77"/>
      <c r="J643" s="26"/>
      <c r="K643" s="162"/>
      <c r="L643" s="162"/>
      <c r="M643" s="170"/>
      <c r="N643" s="98"/>
      <c r="O643" s="168"/>
      <c r="P643" s="168"/>
      <c r="Q643" s="167"/>
      <c r="R643" s="111"/>
    </row>
    <row r="644" spans="1:18" ht="13.5" hidden="1" customHeight="1">
      <c r="A644" s="30">
        <v>638</v>
      </c>
      <c r="B644" s="24">
        <f>DATE('1.연간시수표'!$U$2,'1.연간시수표'!$X$2,'1.연간시수표'!$Z$2)+QUOTIENT(ROW(A638)-1,8)+(QUOTIENT(ROW(A638)-1,40)*2)</f>
        <v>44729</v>
      </c>
      <c r="C644" s="24" t="str">
        <f t="shared" si="27"/>
        <v>금</v>
      </c>
      <c r="D644" s="91" t="str">
        <f t="shared" si="28"/>
        <v>6교시</v>
      </c>
      <c r="E644" s="68">
        <f>COUNTIF($H$7:$H644,$H644)</f>
        <v>29</v>
      </c>
      <c r="F644" s="67">
        <f>'1.연간시수표'!$AL$33</f>
        <v>5</v>
      </c>
      <c r="G644" s="89">
        <f t="shared" si="29"/>
        <v>1</v>
      </c>
      <c r="H644" s="91" t="str">
        <f>INDEX('0.시간표데이터'!$E$10:$AR$32,QUOTIENT(ROW(A638)-1,40)+1,MOD(ROW(A638)-1,40)+1)</f>
        <v>실과</v>
      </c>
      <c r="I644" s="77"/>
      <c r="J644" s="26"/>
      <c r="K644" s="165"/>
      <c r="L644" s="165"/>
      <c r="M644" s="166"/>
      <c r="N644" s="166"/>
      <c r="O644" s="166"/>
      <c r="P644" s="166"/>
      <c r="Q644" s="167"/>
      <c r="R644" s="111"/>
    </row>
    <row r="645" spans="1:18" ht="13.5" hidden="1" customHeight="1">
      <c r="A645" s="30">
        <v>639</v>
      </c>
      <c r="B645" s="24">
        <f>DATE('1.연간시수표'!$U$2,'1.연간시수표'!$X$2,'1.연간시수표'!$Z$2)+QUOTIENT(ROW(A639)-1,8)+(QUOTIENT(ROW(A639)-1,40)*2)</f>
        <v>44729</v>
      </c>
      <c r="C645" s="24" t="str">
        <f t="shared" si="27"/>
        <v>금</v>
      </c>
      <c r="D645" s="91" t="str">
        <f t="shared" si="28"/>
        <v>7교시</v>
      </c>
      <c r="E645" s="68">
        <f>COUNTIF($H$7:$H645,$H645)</f>
        <v>216</v>
      </c>
      <c r="F645" s="67">
        <f>'1.연간시수표'!$AL$33</f>
        <v>5</v>
      </c>
      <c r="G645" s="89">
        <f t="shared" si="29"/>
        <v>1</v>
      </c>
      <c r="H645" s="91" t="str">
        <f>INDEX('0.시간표데이터'!$E$10:$AR$32,QUOTIENT(ROW(A639)-1,40)+1,MOD(ROW(A639)-1,40)+1)</f>
        <v>_</v>
      </c>
      <c r="I645" s="76"/>
      <c r="J645" s="26"/>
      <c r="K645" s="165"/>
      <c r="L645" s="165"/>
      <c r="M645" s="166"/>
      <c r="N645" s="166"/>
      <c r="O645" s="166"/>
      <c r="P645" s="166"/>
      <c r="Q645" s="167"/>
      <c r="R645" s="111"/>
    </row>
    <row r="646" spans="1:18" ht="13.5" hidden="1" customHeight="1">
      <c r="A646" s="30">
        <v>640</v>
      </c>
      <c r="B646" s="24">
        <f>DATE('1.연간시수표'!$U$2,'1.연간시수표'!$X$2,'1.연간시수표'!$Z$2)+QUOTIENT(ROW(A640)-1,8)+(QUOTIENT(ROW(A640)-1,40)*2)</f>
        <v>44729</v>
      </c>
      <c r="C646" s="24" t="str">
        <f t="shared" si="27"/>
        <v>금</v>
      </c>
      <c r="D646" s="91" t="str">
        <f t="shared" si="28"/>
        <v>8교시</v>
      </c>
      <c r="E646" s="68">
        <f>COUNTIF($H$7:$H646,$H646)</f>
        <v>217</v>
      </c>
      <c r="F646" s="67">
        <f>'1.연간시수표'!$AL$33</f>
        <v>5</v>
      </c>
      <c r="G646" s="89">
        <f t="shared" si="29"/>
        <v>1</v>
      </c>
      <c r="H646" s="91" t="str">
        <f>INDEX('0.시간표데이터'!$E$10:$AR$32,QUOTIENT(ROW(A640)-1,40)+1,MOD(ROW(A640)-1,40)+1)</f>
        <v>_</v>
      </c>
      <c r="I646" s="76"/>
      <c r="J646" s="26"/>
      <c r="K646" s="165"/>
      <c r="L646" s="165"/>
      <c r="M646" s="166"/>
      <c r="N646" s="166"/>
      <c r="O646" s="166"/>
      <c r="P646" s="166"/>
      <c r="Q646" s="167"/>
      <c r="R646" s="111"/>
    </row>
    <row r="647" spans="1:18" ht="13.5" hidden="1" customHeight="1">
      <c r="A647" s="30">
        <v>641</v>
      </c>
      <c r="B647" s="24">
        <f>DATE('1.연간시수표'!$U$2,'1.연간시수표'!$X$2,'1.연간시수표'!$Z$2)+QUOTIENT(ROW(A641)-1,8)+(QUOTIENT(ROW(A641)-1,40)*2)</f>
        <v>44732</v>
      </c>
      <c r="C647" s="24" t="str">
        <f t="shared" ref="C647:C710" si="30">IF(WEEKDAY(B647,2)=1,"월",IF(WEEKDAY(B647,2)=2,"화",IF(WEEKDAY(B647,2)=3,"수",IF(WEEKDAY(B647,2)=4,"목",IF(WEEKDAY(B647,2)=5,"금")))))</f>
        <v>월</v>
      </c>
      <c r="D647" s="91" t="str">
        <f t="shared" ref="D647:D710" si="31">TEXT(MOD(ROW(A641)-1,8)+1,"#교시")</f>
        <v>1교시</v>
      </c>
      <c r="E647" s="68">
        <f>COUNTIF($H$7:$H647,$H647)</f>
        <v>84</v>
      </c>
      <c r="F647" s="67">
        <f>'1.연간시수표'!$AL$33</f>
        <v>5</v>
      </c>
      <c r="G647" s="89">
        <f t="shared" ref="G647:G710" si="32">$A$2</f>
        <v>1</v>
      </c>
      <c r="H647" s="91" t="str">
        <f>INDEX('0.시간표데이터'!$E$10:$AR$32,QUOTIENT(ROW(A641)-1,40)+1,MOD(ROW(A641)-1,40)+1)</f>
        <v>국어</v>
      </c>
      <c r="I647" s="77"/>
      <c r="J647" s="26"/>
      <c r="K647" s="162"/>
      <c r="L647" s="162"/>
      <c r="M647" s="168"/>
      <c r="N647" s="99"/>
      <c r="O647" s="99"/>
      <c r="P647" s="99"/>
      <c r="Q647" s="167"/>
      <c r="R647" s="111"/>
    </row>
    <row r="648" spans="1:18" ht="13.5" hidden="1" customHeight="1">
      <c r="A648" s="30">
        <v>642</v>
      </c>
      <c r="B648" s="24">
        <f>DATE('1.연간시수표'!$U$2,'1.연간시수표'!$X$2,'1.연간시수표'!$Z$2)+QUOTIENT(ROW(A642)-1,8)+(QUOTIENT(ROW(A642)-1,40)*2)</f>
        <v>44732</v>
      </c>
      <c r="C648" s="24" t="str">
        <f t="shared" si="30"/>
        <v>월</v>
      </c>
      <c r="D648" s="91" t="str">
        <f t="shared" si="31"/>
        <v>2교시</v>
      </c>
      <c r="E648" s="68">
        <f>COUNTIF($H$7:$H648,$H648)</f>
        <v>29</v>
      </c>
      <c r="F648" s="67">
        <f>'1.연간시수표'!$AL$33</f>
        <v>5</v>
      </c>
      <c r="G648" s="89">
        <f t="shared" si="32"/>
        <v>1</v>
      </c>
      <c r="H648" s="91" t="str">
        <f>INDEX('0.시간표데이터'!$E$10:$AR$32,QUOTIENT(ROW(A642)-1,40)+1,MOD(ROW(A642)-1,40)+1)</f>
        <v>미술</v>
      </c>
      <c r="I648" s="161"/>
      <c r="J648" s="26"/>
      <c r="K648" s="165"/>
      <c r="L648" s="165"/>
      <c r="M648" s="166"/>
      <c r="N648" s="166"/>
      <c r="O648" s="166"/>
      <c r="P648" s="166"/>
      <c r="Q648" s="167"/>
      <c r="R648" s="111"/>
    </row>
    <row r="649" spans="1:18" ht="13.5" hidden="1" customHeight="1">
      <c r="A649" s="30">
        <v>643</v>
      </c>
      <c r="B649" s="24">
        <f>DATE('1.연간시수표'!$U$2,'1.연간시수표'!$X$2,'1.연간시수표'!$Z$2)+QUOTIENT(ROW(A643)-1,8)+(QUOTIENT(ROW(A643)-1,40)*2)</f>
        <v>44732</v>
      </c>
      <c r="C649" s="24" t="str">
        <f t="shared" si="30"/>
        <v>월</v>
      </c>
      <c r="D649" s="91" t="str">
        <f t="shared" si="31"/>
        <v>3교시</v>
      </c>
      <c r="E649" s="68">
        <f>COUNTIF($H$7:$H649,$H649)</f>
        <v>30</v>
      </c>
      <c r="F649" s="67">
        <f>'1.연간시수표'!$AL$33</f>
        <v>5</v>
      </c>
      <c r="G649" s="89">
        <f t="shared" si="32"/>
        <v>1</v>
      </c>
      <c r="H649" s="91" t="str">
        <f>INDEX('0.시간표데이터'!$E$10:$AR$32,QUOTIENT(ROW(A643)-1,40)+1,MOD(ROW(A643)-1,40)+1)</f>
        <v>미술</v>
      </c>
      <c r="I649" s="77"/>
      <c r="J649" s="26"/>
      <c r="K649" s="162"/>
      <c r="L649" s="162"/>
      <c r="M649" s="169"/>
      <c r="N649" s="101"/>
      <c r="O649" s="99"/>
      <c r="P649" s="99"/>
      <c r="Q649" s="167"/>
      <c r="R649" s="111"/>
    </row>
    <row r="650" spans="1:18" ht="13.5" hidden="1" customHeight="1">
      <c r="A650" s="30">
        <v>644</v>
      </c>
      <c r="B650" s="24">
        <f>DATE('1.연간시수표'!$U$2,'1.연간시수표'!$X$2,'1.연간시수표'!$Z$2)+QUOTIENT(ROW(A644)-1,8)+(QUOTIENT(ROW(A644)-1,40)*2)</f>
        <v>44732</v>
      </c>
      <c r="C650" s="24" t="str">
        <f t="shared" si="30"/>
        <v>월</v>
      </c>
      <c r="D650" s="91" t="str">
        <f t="shared" si="31"/>
        <v>4교시</v>
      </c>
      <c r="E650" s="68">
        <f>COUNTIF($H$7:$H650,$H650)</f>
        <v>42</v>
      </c>
      <c r="F650" s="67">
        <f>'1.연간시수표'!$AL$33</f>
        <v>5</v>
      </c>
      <c r="G650" s="89">
        <f t="shared" si="32"/>
        <v>1</v>
      </c>
      <c r="H650" s="91" t="str">
        <f>INDEX('0.시간표데이터'!$E$10:$AR$32,QUOTIENT(ROW(A644)-1,40)+1,MOD(ROW(A644)-1,40)+1)</f>
        <v>영어</v>
      </c>
      <c r="I650" s="77"/>
      <c r="J650" s="26"/>
      <c r="K650" s="162"/>
      <c r="L650" s="162"/>
      <c r="M650" s="169"/>
      <c r="N650" s="101"/>
      <c r="O650" s="99"/>
      <c r="P650" s="99"/>
      <c r="Q650" s="167"/>
      <c r="R650" s="111"/>
    </row>
    <row r="651" spans="1:18" ht="13.5" hidden="1" customHeight="1">
      <c r="A651" s="30">
        <v>645</v>
      </c>
      <c r="B651" s="24">
        <f>DATE('1.연간시수표'!$U$2,'1.연간시수표'!$X$2,'1.연간시수표'!$Z$2)+QUOTIENT(ROW(A645)-1,8)+(QUOTIENT(ROW(A645)-1,40)*2)</f>
        <v>44732</v>
      </c>
      <c r="C651" s="24" t="str">
        <f t="shared" si="30"/>
        <v>월</v>
      </c>
      <c r="D651" s="91" t="str">
        <f t="shared" si="31"/>
        <v>5교시</v>
      </c>
      <c r="E651" s="68">
        <f>COUNTIF($H$7:$H651,$H651)</f>
        <v>58</v>
      </c>
      <c r="F651" s="67">
        <f>'1.연간시수표'!$AL$33</f>
        <v>5</v>
      </c>
      <c r="G651" s="89">
        <f t="shared" si="32"/>
        <v>1</v>
      </c>
      <c r="H651" s="91" t="str">
        <f>INDEX('0.시간표데이터'!$E$10:$AR$32,QUOTIENT(ROW(A645)-1,40)+1,MOD(ROW(A645)-1,40)+1)</f>
        <v>수학</v>
      </c>
      <c r="I651" s="77"/>
      <c r="J651" s="26"/>
      <c r="K651" s="162"/>
      <c r="L651" s="162"/>
      <c r="M651" s="168"/>
      <c r="N651" s="98"/>
      <c r="O651" s="99"/>
      <c r="P651" s="99"/>
      <c r="Q651" s="167"/>
      <c r="R651" s="111"/>
    </row>
    <row r="652" spans="1:18" ht="13.5" hidden="1" customHeight="1">
      <c r="A652" s="30">
        <v>646</v>
      </c>
      <c r="B652" s="24">
        <f>DATE('1.연간시수표'!$U$2,'1.연간시수표'!$X$2,'1.연간시수표'!$Z$2)+QUOTIENT(ROW(A646)-1,8)+(QUOTIENT(ROW(A646)-1,40)*2)</f>
        <v>44732</v>
      </c>
      <c r="C652" s="24" t="str">
        <f t="shared" si="30"/>
        <v>월</v>
      </c>
      <c r="D652" s="91" t="str">
        <f t="shared" si="31"/>
        <v>6교시</v>
      </c>
      <c r="E652" s="68">
        <f>COUNTIF($H$7:$H652,$H652)</f>
        <v>25</v>
      </c>
      <c r="F652" s="67">
        <f>'1.연간시수표'!$AL$33</f>
        <v>5</v>
      </c>
      <c r="G652" s="89">
        <f t="shared" si="32"/>
        <v>1</v>
      </c>
      <c r="H652" s="91" t="str">
        <f>INDEX('0.시간표데이터'!$E$10:$AR$32,QUOTIENT(ROW(A646)-1,40)+1,MOD(ROW(A646)-1,40)+1)</f>
        <v>자율활동</v>
      </c>
      <c r="I652" s="77"/>
      <c r="J652" s="26"/>
      <c r="K652" s="165"/>
      <c r="L652" s="165"/>
      <c r="M652" s="166"/>
      <c r="N652" s="166"/>
      <c r="O652" s="166"/>
      <c r="P652" s="166"/>
      <c r="Q652" s="167"/>
      <c r="R652" s="111"/>
    </row>
    <row r="653" spans="1:18" ht="13.5" hidden="1" customHeight="1">
      <c r="A653" s="30">
        <v>647</v>
      </c>
      <c r="B653" s="24">
        <f>DATE('1.연간시수표'!$U$2,'1.연간시수표'!$X$2,'1.연간시수표'!$Z$2)+QUOTIENT(ROW(A647)-1,8)+(QUOTIENT(ROW(A647)-1,40)*2)</f>
        <v>44732</v>
      </c>
      <c r="C653" s="24" t="str">
        <f t="shared" si="30"/>
        <v>월</v>
      </c>
      <c r="D653" s="91" t="str">
        <f t="shared" si="31"/>
        <v>7교시</v>
      </c>
      <c r="E653" s="68">
        <f>COUNTIF($H$7:$H653,$H653)</f>
        <v>218</v>
      </c>
      <c r="F653" s="67">
        <f>'1.연간시수표'!$AL$33</f>
        <v>5</v>
      </c>
      <c r="G653" s="89">
        <f t="shared" si="32"/>
        <v>1</v>
      </c>
      <c r="H653" s="91" t="str">
        <f>INDEX('0.시간표데이터'!$E$10:$AR$32,QUOTIENT(ROW(A647)-1,40)+1,MOD(ROW(A647)-1,40)+1)</f>
        <v>_</v>
      </c>
      <c r="I653" s="76"/>
      <c r="J653" s="26"/>
      <c r="K653" s="165"/>
      <c r="L653" s="165"/>
      <c r="M653" s="166"/>
      <c r="N653" s="166"/>
      <c r="O653" s="166"/>
      <c r="P653" s="166"/>
      <c r="Q653" s="167"/>
      <c r="R653" s="111"/>
    </row>
    <row r="654" spans="1:18" ht="13.5" hidden="1" customHeight="1">
      <c r="A654" s="30">
        <v>648</v>
      </c>
      <c r="B654" s="24">
        <f>DATE('1.연간시수표'!$U$2,'1.연간시수표'!$X$2,'1.연간시수표'!$Z$2)+QUOTIENT(ROW(A648)-1,8)+(QUOTIENT(ROW(A648)-1,40)*2)</f>
        <v>44732</v>
      </c>
      <c r="C654" s="24" t="str">
        <f t="shared" si="30"/>
        <v>월</v>
      </c>
      <c r="D654" s="91" t="str">
        <f t="shared" si="31"/>
        <v>8교시</v>
      </c>
      <c r="E654" s="68">
        <f>COUNTIF($H$7:$H654,$H654)</f>
        <v>219</v>
      </c>
      <c r="F654" s="67">
        <f>'1.연간시수표'!$AL$33</f>
        <v>5</v>
      </c>
      <c r="G654" s="89">
        <f t="shared" si="32"/>
        <v>1</v>
      </c>
      <c r="H654" s="91" t="str">
        <f>INDEX('0.시간표데이터'!$E$10:$AR$32,QUOTIENT(ROW(A648)-1,40)+1,MOD(ROW(A648)-1,40)+1)</f>
        <v>_</v>
      </c>
      <c r="I654" s="76"/>
      <c r="J654" s="26"/>
      <c r="K654" s="165"/>
      <c r="L654" s="165"/>
      <c r="M654" s="166"/>
      <c r="N654" s="166"/>
      <c r="O654" s="166"/>
      <c r="P654" s="166"/>
      <c r="Q654" s="167"/>
      <c r="R654" s="111"/>
    </row>
    <row r="655" spans="1:18" ht="13.5" hidden="1" customHeight="1">
      <c r="A655" s="30">
        <v>649</v>
      </c>
      <c r="B655" s="24">
        <f>DATE('1.연간시수표'!$U$2,'1.연간시수표'!$X$2,'1.연간시수표'!$Z$2)+QUOTIENT(ROW(A649)-1,8)+(QUOTIENT(ROW(A649)-1,40)*2)</f>
        <v>44733</v>
      </c>
      <c r="C655" s="24" t="str">
        <f t="shared" si="30"/>
        <v>화</v>
      </c>
      <c r="D655" s="91" t="str">
        <f t="shared" si="31"/>
        <v>1교시</v>
      </c>
      <c r="E655" s="68">
        <f>COUNTIF($H$7:$H655,$H655)</f>
        <v>85</v>
      </c>
      <c r="F655" s="67">
        <f>'1.연간시수표'!$AL$33</f>
        <v>5</v>
      </c>
      <c r="G655" s="89">
        <f t="shared" si="32"/>
        <v>1</v>
      </c>
      <c r="H655" s="91" t="str">
        <f>INDEX('0.시간표데이터'!$E$10:$AR$32,QUOTIENT(ROW(A649)-1,40)+1,MOD(ROW(A649)-1,40)+1)</f>
        <v>국어</v>
      </c>
      <c r="I655" s="77"/>
      <c r="J655" s="26"/>
      <c r="K655" s="165"/>
      <c r="L655" s="165"/>
      <c r="M655" s="166"/>
      <c r="N655" s="166"/>
      <c r="O655" s="166"/>
      <c r="P655" s="166"/>
      <c r="Q655" s="167"/>
      <c r="R655" s="111"/>
    </row>
    <row r="656" spans="1:18" ht="13.5" hidden="1" customHeight="1">
      <c r="A656" s="30">
        <v>650</v>
      </c>
      <c r="B656" s="24">
        <f>DATE('1.연간시수표'!$U$2,'1.연간시수표'!$X$2,'1.연간시수표'!$Z$2)+QUOTIENT(ROW(A650)-1,8)+(QUOTIENT(ROW(A650)-1,40)*2)</f>
        <v>44733</v>
      </c>
      <c r="C656" s="24" t="str">
        <f t="shared" si="30"/>
        <v>화</v>
      </c>
      <c r="D656" s="91" t="str">
        <f t="shared" si="31"/>
        <v>2교시</v>
      </c>
      <c r="E656" s="68">
        <f>COUNTIF($H$7:$H656,$H656)</f>
        <v>86</v>
      </c>
      <c r="F656" s="67">
        <f>'1.연간시수표'!$AL$33</f>
        <v>5</v>
      </c>
      <c r="G656" s="89">
        <f t="shared" si="32"/>
        <v>1</v>
      </c>
      <c r="H656" s="91" t="str">
        <f>INDEX('0.시간표데이터'!$E$10:$AR$32,QUOTIENT(ROW(A650)-1,40)+1,MOD(ROW(A650)-1,40)+1)</f>
        <v>국어</v>
      </c>
      <c r="I656" s="161"/>
      <c r="J656" s="26"/>
      <c r="K656" s="165"/>
      <c r="L656" s="165"/>
      <c r="M656" s="166"/>
      <c r="N656" s="166"/>
      <c r="O656" s="166"/>
      <c r="P656" s="166"/>
      <c r="Q656" s="167"/>
      <c r="R656" s="111"/>
    </row>
    <row r="657" spans="1:18" ht="13.5" hidden="1" customHeight="1">
      <c r="A657" s="30">
        <v>651</v>
      </c>
      <c r="B657" s="24">
        <f>DATE('1.연간시수표'!$U$2,'1.연간시수표'!$X$2,'1.연간시수표'!$Z$2)+QUOTIENT(ROW(A651)-1,8)+(QUOTIENT(ROW(A651)-1,40)*2)</f>
        <v>44733</v>
      </c>
      <c r="C657" s="24" t="str">
        <f t="shared" si="30"/>
        <v>화</v>
      </c>
      <c r="D657" s="91" t="str">
        <f t="shared" si="31"/>
        <v>3교시</v>
      </c>
      <c r="E657" s="68">
        <f>COUNTIF($H$7:$H657,$H657)</f>
        <v>44</v>
      </c>
      <c r="F657" s="67">
        <f>'1.연간시수표'!$AL$33</f>
        <v>5</v>
      </c>
      <c r="G657" s="89">
        <f t="shared" si="32"/>
        <v>1</v>
      </c>
      <c r="H657" s="91" t="str">
        <f>INDEX('0.시간표데이터'!$E$10:$AR$32,QUOTIENT(ROW(A651)-1,40)+1,MOD(ROW(A651)-1,40)+1)</f>
        <v>사회</v>
      </c>
      <c r="I657" s="77"/>
      <c r="J657" s="26"/>
      <c r="K657" s="162"/>
      <c r="L657" s="162"/>
      <c r="M657" s="170"/>
      <c r="N657" s="98"/>
      <c r="O657" s="168"/>
      <c r="P657" s="168"/>
      <c r="Q657" s="167"/>
      <c r="R657" s="111"/>
    </row>
    <row r="658" spans="1:18" ht="13.5" hidden="1" customHeight="1">
      <c r="A658" s="30">
        <v>652</v>
      </c>
      <c r="B658" s="24">
        <f>DATE('1.연간시수표'!$U$2,'1.연간시수표'!$X$2,'1.연간시수표'!$Z$2)+QUOTIENT(ROW(A652)-1,8)+(QUOTIENT(ROW(A652)-1,40)*2)</f>
        <v>44733</v>
      </c>
      <c r="C658" s="24" t="str">
        <f t="shared" si="30"/>
        <v>화</v>
      </c>
      <c r="D658" s="91" t="str">
        <f t="shared" si="31"/>
        <v>4교시</v>
      </c>
      <c r="E658" s="68">
        <f>COUNTIF($H$7:$H658,$H658)</f>
        <v>59</v>
      </c>
      <c r="F658" s="67">
        <f>'1.연간시수표'!$AL$33</f>
        <v>5</v>
      </c>
      <c r="G658" s="89">
        <f t="shared" si="32"/>
        <v>1</v>
      </c>
      <c r="H658" s="91" t="str">
        <f>INDEX('0.시간표데이터'!$E$10:$AR$32,QUOTIENT(ROW(A652)-1,40)+1,MOD(ROW(A652)-1,40)+1)</f>
        <v>수학</v>
      </c>
      <c r="I658" s="77"/>
      <c r="J658" s="26"/>
      <c r="K658" s="162"/>
      <c r="L658" s="162"/>
      <c r="M658" s="168"/>
      <c r="N658" s="98"/>
      <c r="O658" s="99"/>
      <c r="P658" s="99"/>
      <c r="Q658" s="167"/>
      <c r="R658" s="111"/>
    </row>
    <row r="659" spans="1:18" ht="13.5" hidden="1" customHeight="1">
      <c r="A659" s="30">
        <v>653</v>
      </c>
      <c r="B659" s="24">
        <f>DATE('1.연간시수표'!$U$2,'1.연간시수표'!$X$2,'1.연간시수표'!$Z$2)+QUOTIENT(ROW(A653)-1,8)+(QUOTIENT(ROW(A653)-1,40)*2)</f>
        <v>44733</v>
      </c>
      <c r="C659" s="24" t="str">
        <f t="shared" si="30"/>
        <v>화</v>
      </c>
      <c r="D659" s="91" t="str">
        <f t="shared" si="31"/>
        <v>5교시</v>
      </c>
      <c r="E659" s="68">
        <f>COUNTIF($H$7:$H659,$H659)</f>
        <v>41</v>
      </c>
      <c r="F659" s="67">
        <f>'1.연간시수표'!$AL$33</f>
        <v>5</v>
      </c>
      <c r="G659" s="89">
        <f t="shared" si="32"/>
        <v>1</v>
      </c>
      <c r="H659" s="91" t="str">
        <f>INDEX('0.시간표데이터'!$E$10:$AR$32,QUOTIENT(ROW(A653)-1,40)+1,MOD(ROW(A653)-1,40)+1)</f>
        <v>과학</v>
      </c>
      <c r="I659" s="77"/>
      <c r="J659" s="26"/>
      <c r="K659" s="137"/>
      <c r="L659" s="137"/>
      <c r="M659" s="114"/>
      <c r="N659" s="114"/>
      <c r="O659" s="114"/>
      <c r="P659" s="114"/>
      <c r="Q659" s="164"/>
      <c r="R659" s="110"/>
    </row>
    <row r="660" spans="1:18" ht="13.5" hidden="1" customHeight="1">
      <c r="A660" s="30">
        <v>654</v>
      </c>
      <c r="B660" s="24">
        <f>DATE('1.연간시수표'!$U$2,'1.연간시수표'!$X$2,'1.연간시수표'!$Z$2)+QUOTIENT(ROW(A654)-1,8)+(QUOTIENT(ROW(A654)-1,40)*2)</f>
        <v>44733</v>
      </c>
      <c r="C660" s="24" t="str">
        <f t="shared" si="30"/>
        <v>화</v>
      </c>
      <c r="D660" s="91" t="str">
        <f t="shared" si="31"/>
        <v>6교시</v>
      </c>
      <c r="E660" s="68">
        <f>COUNTIF($H$7:$H660,$H660)</f>
        <v>30</v>
      </c>
      <c r="F660" s="67">
        <f>'1.연간시수표'!$AL$33</f>
        <v>5</v>
      </c>
      <c r="G660" s="89">
        <f t="shared" si="32"/>
        <v>1</v>
      </c>
      <c r="H660" s="91" t="str">
        <f>INDEX('0.시간표데이터'!$E$10:$AR$32,QUOTIENT(ROW(A654)-1,40)+1,MOD(ROW(A654)-1,40)+1)</f>
        <v>실과</v>
      </c>
      <c r="I660" s="77"/>
      <c r="J660" s="26"/>
      <c r="K660" s="165"/>
      <c r="L660" s="165"/>
      <c r="M660" s="166"/>
      <c r="N660" s="166"/>
      <c r="O660" s="166"/>
      <c r="P660" s="166"/>
      <c r="Q660" s="167"/>
      <c r="R660" s="111"/>
    </row>
    <row r="661" spans="1:18" ht="13.5" hidden="1" customHeight="1">
      <c r="A661" s="30">
        <v>655</v>
      </c>
      <c r="B661" s="24">
        <f>DATE('1.연간시수표'!$U$2,'1.연간시수표'!$X$2,'1.연간시수표'!$Z$2)+QUOTIENT(ROW(A655)-1,8)+(QUOTIENT(ROW(A655)-1,40)*2)</f>
        <v>44733</v>
      </c>
      <c r="C661" s="24" t="str">
        <f t="shared" si="30"/>
        <v>화</v>
      </c>
      <c r="D661" s="91" t="str">
        <f t="shared" si="31"/>
        <v>7교시</v>
      </c>
      <c r="E661" s="68">
        <f>COUNTIF($H$7:$H661,$H661)</f>
        <v>220</v>
      </c>
      <c r="F661" s="67">
        <f>'1.연간시수표'!$AL$33</f>
        <v>5</v>
      </c>
      <c r="G661" s="89">
        <f t="shared" si="32"/>
        <v>1</v>
      </c>
      <c r="H661" s="91" t="str">
        <f>INDEX('0.시간표데이터'!$E$10:$AR$32,QUOTIENT(ROW(A655)-1,40)+1,MOD(ROW(A655)-1,40)+1)</f>
        <v>_</v>
      </c>
      <c r="I661" s="76"/>
      <c r="J661" s="26"/>
      <c r="K661" s="165"/>
      <c r="L661" s="165"/>
      <c r="M661" s="166"/>
      <c r="N661" s="166"/>
      <c r="O661" s="166"/>
      <c r="P661" s="166"/>
      <c r="Q661" s="167"/>
      <c r="R661" s="111"/>
    </row>
    <row r="662" spans="1:18" ht="13.5" hidden="1" customHeight="1">
      <c r="A662" s="30">
        <v>656</v>
      </c>
      <c r="B662" s="24">
        <f>DATE('1.연간시수표'!$U$2,'1.연간시수표'!$X$2,'1.연간시수표'!$Z$2)+QUOTIENT(ROW(A656)-1,8)+(QUOTIENT(ROW(A656)-1,40)*2)</f>
        <v>44733</v>
      </c>
      <c r="C662" s="24" t="str">
        <f t="shared" si="30"/>
        <v>화</v>
      </c>
      <c r="D662" s="91" t="str">
        <f t="shared" si="31"/>
        <v>8교시</v>
      </c>
      <c r="E662" s="68">
        <f>COUNTIF($H$7:$H662,$H662)</f>
        <v>221</v>
      </c>
      <c r="F662" s="67">
        <f>'1.연간시수표'!$AL$33</f>
        <v>5</v>
      </c>
      <c r="G662" s="89">
        <f t="shared" si="32"/>
        <v>1</v>
      </c>
      <c r="H662" s="91" t="str">
        <f>INDEX('0.시간표데이터'!$E$10:$AR$32,QUOTIENT(ROW(A656)-1,40)+1,MOD(ROW(A656)-1,40)+1)</f>
        <v>_</v>
      </c>
      <c r="I662" s="76"/>
      <c r="J662" s="26"/>
      <c r="K662" s="165"/>
      <c r="L662" s="165"/>
      <c r="M662" s="166"/>
      <c r="N662" s="166"/>
      <c r="O662" s="166"/>
      <c r="P662" s="166"/>
      <c r="Q662" s="167"/>
      <c r="R662" s="111"/>
    </row>
    <row r="663" spans="1:18" ht="13.5" hidden="1" customHeight="1">
      <c r="A663" s="30">
        <v>657</v>
      </c>
      <c r="B663" s="24">
        <f>DATE('1.연간시수표'!$U$2,'1.연간시수표'!$X$2,'1.연간시수표'!$Z$2)+QUOTIENT(ROW(A657)-1,8)+(QUOTIENT(ROW(A657)-1,40)*2)</f>
        <v>44734</v>
      </c>
      <c r="C663" s="24" t="str">
        <f t="shared" si="30"/>
        <v>수</v>
      </c>
      <c r="D663" s="91" t="str">
        <f t="shared" si="31"/>
        <v>1교시</v>
      </c>
      <c r="E663" s="68">
        <f>COUNTIF($H$7:$H663,$H663)</f>
        <v>43</v>
      </c>
      <c r="F663" s="67">
        <f>'1.연간시수표'!$AL$33</f>
        <v>5</v>
      </c>
      <c r="G663" s="89">
        <f t="shared" si="32"/>
        <v>1</v>
      </c>
      <c r="H663" s="91" t="str">
        <f>INDEX('0.시간표데이터'!$E$10:$AR$32,QUOTIENT(ROW(A657)-1,40)+1,MOD(ROW(A657)-1,40)+1)</f>
        <v>영어</v>
      </c>
      <c r="I663" s="77"/>
      <c r="J663" s="26"/>
      <c r="K663" s="162"/>
      <c r="L663" s="162"/>
      <c r="M663" s="170"/>
      <c r="N663" s="98"/>
      <c r="O663" s="168"/>
      <c r="P663" s="168"/>
      <c r="Q663" s="167"/>
      <c r="R663" s="111"/>
    </row>
    <row r="664" spans="1:18" ht="13.5" hidden="1" customHeight="1">
      <c r="A664" s="30">
        <v>658</v>
      </c>
      <c r="B664" s="24">
        <f>DATE('1.연간시수표'!$U$2,'1.연간시수표'!$X$2,'1.연간시수표'!$Z$2)+QUOTIENT(ROW(A658)-1,8)+(QUOTIENT(ROW(A658)-1,40)*2)</f>
        <v>44734</v>
      </c>
      <c r="C664" s="24" t="str">
        <f t="shared" si="30"/>
        <v>수</v>
      </c>
      <c r="D664" s="91" t="str">
        <f t="shared" si="31"/>
        <v>2교시</v>
      </c>
      <c r="E664" s="68">
        <f>COUNTIF($H$7:$H664,$H664)</f>
        <v>42</v>
      </c>
      <c r="F664" s="67">
        <f>'1.연간시수표'!$AL$33</f>
        <v>5</v>
      </c>
      <c r="G664" s="89">
        <f t="shared" si="32"/>
        <v>1</v>
      </c>
      <c r="H664" s="91" t="str">
        <f>INDEX('0.시간표데이터'!$E$10:$AR$32,QUOTIENT(ROW(A658)-1,40)+1,MOD(ROW(A658)-1,40)+1)</f>
        <v>과학</v>
      </c>
      <c r="I664" s="77"/>
      <c r="J664" s="26"/>
      <c r="K664" s="137"/>
      <c r="L664" s="137"/>
      <c r="M664" s="114"/>
      <c r="N664" s="114"/>
      <c r="O664" s="114"/>
      <c r="P664" s="114"/>
      <c r="Q664" s="164"/>
      <c r="R664" s="110"/>
    </row>
    <row r="665" spans="1:18" ht="13.5" hidden="1" customHeight="1">
      <c r="A665" s="30">
        <v>659</v>
      </c>
      <c r="B665" s="24">
        <f>DATE('1.연간시수표'!$U$2,'1.연간시수표'!$X$2,'1.연간시수표'!$Z$2)+QUOTIENT(ROW(A659)-1,8)+(QUOTIENT(ROW(A659)-1,40)*2)</f>
        <v>44734</v>
      </c>
      <c r="C665" s="24" t="str">
        <f t="shared" si="30"/>
        <v>수</v>
      </c>
      <c r="D665" s="91" t="str">
        <f t="shared" si="31"/>
        <v>3교시</v>
      </c>
      <c r="E665" s="68">
        <f>COUNTIF($H$7:$H665,$H665)</f>
        <v>28</v>
      </c>
      <c r="F665" s="67">
        <f>'1.연간시수표'!$AL$33</f>
        <v>5</v>
      </c>
      <c r="G665" s="89">
        <f t="shared" si="32"/>
        <v>1</v>
      </c>
      <c r="H665" s="91" t="str">
        <f>INDEX('0.시간표데이터'!$E$10:$AR$32,QUOTIENT(ROW(A659)-1,40)+1,MOD(ROW(A659)-1,40)+1)</f>
        <v>체육</v>
      </c>
      <c r="I665" s="77"/>
      <c r="J665" s="26"/>
      <c r="K665" s="162"/>
      <c r="L665" s="162"/>
      <c r="M665" s="169"/>
      <c r="N665" s="101"/>
      <c r="O665" s="99"/>
      <c r="P665" s="99"/>
      <c r="Q665" s="167"/>
      <c r="R665" s="111"/>
    </row>
    <row r="666" spans="1:18" ht="13.5" hidden="1" customHeight="1">
      <c r="A666" s="30">
        <v>660</v>
      </c>
      <c r="B666" s="24">
        <f>DATE('1.연간시수표'!$U$2,'1.연간시수표'!$X$2,'1.연간시수표'!$Z$2)+QUOTIENT(ROW(A660)-1,8)+(QUOTIENT(ROW(A660)-1,40)*2)</f>
        <v>44734</v>
      </c>
      <c r="C666" s="24" t="str">
        <f t="shared" si="30"/>
        <v>수</v>
      </c>
      <c r="D666" s="91" t="str">
        <f t="shared" si="31"/>
        <v>4교시</v>
      </c>
      <c r="E666" s="68">
        <f>COUNTIF($H$7:$H666,$H666)</f>
        <v>30</v>
      </c>
      <c r="F666" s="67">
        <f>'1.연간시수표'!$AL$33</f>
        <v>5</v>
      </c>
      <c r="G666" s="89">
        <f t="shared" si="32"/>
        <v>1</v>
      </c>
      <c r="H666" s="91" t="str">
        <f>INDEX('0.시간표데이터'!$E$10:$AR$32,QUOTIENT(ROW(A660)-1,40)+1,MOD(ROW(A660)-1,40)+1)</f>
        <v>음악</v>
      </c>
      <c r="I666" s="77"/>
      <c r="J666" s="26"/>
      <c r="K666" s="162"/>
      <c r="L666" s="162"/>
      <c r="M666" s="168"/>
      <c r="N666" s="99"/>
      <c r="O666" s="99"/>
      <c r="P666" s="99"/>
      <c r="Q666" s="167"/>
      <c r="R666" s="111"/>
    </row>
    <row r="667" spans="1:18">
      <c r="A667" s="50">
        <v>661</v>
      </c>
      <c r="B667" s="24">
        <f>DATE('1.연간시수표'!$U$2,'1.연간시수표'!$X$2,'1.연간시수표'!$Z$2)+QUOTIENT(ROW(A661)-1,8)+(QUOTIENT(ROW(A661)-1,40)*2)</f>
        <v>44734</v>
      </c>
      <c r="C667" s="24" t="str">
        <f t="shared" si="30"/>
        <v>수</v>
      </c>
      <c r="D667" s="91" t="str">
        <f t="shared" si="31"/>
        <v>5교시</v>
      </c>
      <c r="E667" s="68">
        <f>COUNTIF($H$7:$H667,$H667)</f>
        <v>15</v>
      </c>
      <c r="F667" s="67">
        <f>'1.연간시수표'!$AL$33</f>
        <v>5</v>
      </c>
      <c r="G667" s="89">
        <f t="shared" si="32"/>
        <v>1</v>
      </c>
      <c r="H667" s="91" t="str">
        <f>INDEX('0.시간표데이터'!$E$10:$AR$32,QUOTIENT(ROW(A661)-1,40)+1,MOD(ROW(A661)-1,40)+1)</f>
        <v>도덕</v>
      </c>
      <c r="I667" s="77"/>
      <c r="J667" s="26"/>
      <c r="K667" s="173"/>
      <c r="L667" s="178"/>
      <c r="M667" s="10"/>
      <c r="N667" s="10"/>
      <c r="O667" s="10"/>
      <c r="P667" s="10"/>
      <c r="Q667" s="164"/>
      <c r="R667" s="109"/>
    </row>
    <row r="668" spans="1:18" hidden="1">
      <c r="A668" s="50">
        <v>662</v>
      </c>
      <c r="B668" s="24">
        <f>DATE('1.연간시수표'!$U$2,'1.연간시수표'!$X$2,'1.연간시수표'!$Z$2)+QUOTIENT(ROW(A662)-1,8)+(QUOTIENT(ROW(A662)-1,40)*2)</f>
        <v>44734</v>
      </c>
      <c r="C668" s="24" t="str">
        <f t="shared" si="30"/>
        <v>수</v>
      </c>
      <c r="D668" s="91" t="str">
        <f t="shared" si="31"/>
        <v>6교시</v>
      </c>
      <c r="E668" s="68">
        <f>COUNTIF($H$7:$H668,$H668)</f>
        <v>222</v>
      </c>
      <c r="F668" s="67">
        <f>'1.연간시수표'!$AL$33</f>
        <v>5</v>
      </c>
      <c r="G668" s="89">
        <f t="shared" si="32"/>
        <v>1</v>
      </c>
      <c r="H668" s="91" t="str">
        <f>INDEX('0.시간표데이터'!$E$10:$AR$32,QUOTIENT(ROW(A662)-1,40)+1,MOD(ROW(A662)-1,40)+1)</f>
        <v>_</v>
      </c>
      <c r="I668" s="77"/>
      <c r="J668" s="26"/>
      <c r="K668" s="165"/>
      <c r="L668" s="165"/>
      <c r="M668" s="166"/>
      <c r="N668" s="166"/>
      <c r="O668" s="166"/>
      <c r="P668" s="166"/>
      <c r="Q668" s="167"/>
      <c r="R668" s="111"/>
    </row>
    <row r="669" spans="1:18" hidden="1">
      <c r="A669" s="50">
        <v>663</v>
      </c>
      <c r="B669" s="24">
        <f>DATE('1.연간시수표'!$U$2,'1.연간시수표'!$X$2,'1.연간시수표'!$Z$2)+QUOTIENT(ROW(A663)-1,8)+(QUOTIENT(ROW(A663)-1,40)*2)</f>
        <v>44734</v>
      </c>
      <c r="C669" s="24" t="str">
        <f t="shared" si="30"/>
        <v>수</v>
      </c>
      <c r="D669" s="91" t="str">
        <f t="shared" si="31"/>
        <v>7교시</v>
      </c>
      <c r="E669" s="68">
        <f>COUNTIF($H$7:$H669,$H669)</f>
        <v>223</v>
      </c>
      <c r="F669" s="67">
        <f>'1.연간시수표'!$AL$33</f>
        <v>5</v>
      </c>
      <c r="G669" s="89">
        <f t="shared" si="32"/>
        <v>1</v>
      </c>
      <c r="H669" s="91" t="str">
        <f>INDEX('0.시간표데이터'!$E$10:$AR$32,QUOTIENT(ROW(A663)-1,40)+1,MOD(ROW(A663)-1,40)+1)</f>
        <v>_</v>
      </c>
      <c r="I669" s="76"/>
      <c r="J669" s="26"/>
      <c r="K669" s="165"/>
      <c r="L669" s="165"/>
      <c r="M669" s="166"/>
      <c r="N669" s="166"/>
      <c r="O669" s="166"/>
      <c r="P669" s="166"/>
      <c r="Q669" s="167"/>
      <c r="R669" s="111"/>
    </row>
    <row r="670" spans="1:18" hidden="1">
      <c r="A670" s="50">
        <v>664</v>
      </c>
      <c r="B670" s="24">
        <f>DATE('1.연간시수표'!$U$2,'1.연간시수표'!$X$2,'1.연간시수표'!$Z$2)+QUOTIENT(ROW(A664)-1,8)+(QUOTIENT(ROW(A664)-1,40)*2)</f>
        <v>44734</v>
      </c>
      <c r="C670" s="24" t="str">
        <f t="shared" si="30"/>
        <v>수</v>
      </c>
      <c r="D670" s="91" t="str">
        <f t="shared" si="31"/>
        <v>8교시</v>
      </c>
      <c r="E670" s="68">
        <f>COUNTIF($H$7:$H670,$H670)</f>
        <v>224</v>
      </c>
      <c r="F670" s="67">
        <f>'1.연간시수표'!$AL$33</f>
        <v>5</v>
      </c>
      <c r="G670" s="89">
        <f t="shared" si="32"/>
        <v>1</v>
      </c>
      <c r="H670" s="91" t="str">
        <f>INDEX('0.시간표데이터'!$E$10:$AR$32,QUOTIENT(ROW(A664)-1,40)+1,MOD(ROW(A664)-1,40)+1)</f>
        <v>_</v>
      </c>
      <c r="I670" s="76"/>
      <c r="J670" s="26"/>
      <c r="K670" s="165"/>
      <c r="L670" s="165"/>
      <c r="M670" s="166"/>
      <c r="N670" s="166"/>
      <c r="O670" s="166"/>
      <c r="P670" s="166"/>
      <c r="Q670" s="167"/>
      <c r="R670" s="111"/>
    </row>
    <row r="671" spans="1:18" hidden="1">
      <c r="A671" s="50">
        <v>665</v>
      </c>
      <c r="B671" s="24">
        <f>DATE('1.연간시수표'!$U$2,'1.연간시수표'!$X$2,'1.연간시수표'!$Z$2)+QUOTIENT(ROW(A665)-1,8)+(QUOTIENT(ROW(A665)-1,40)*2)</f>
        <v>44735</v>
      </c>
      <c r="C671" s="24" t="str">
        <f t="shared" si="30"/>
        <v>목</v>
      </c>
      <c r="D671" s="91" t="str">
        <f t="shared" si="31"/>
        <v>1교시</v>
      </c>
      <c r="E671" s="68">
        <f>COUNTIF($H$7:$H671,$H671)</f>
        <v>87</v>
      </c>
      <c r="F671" s="67">
        <f>'1.연간시수표'!$AL$33</f>
        <v>5</v>
      </c>
      <c r="G671" s="89">
        <f t="shared" si="32"/>
        <v>1</v>
      </c>
      <c r="H671" s="91" t="str">
        <f>INDEX('0.시간표데이터'!$E$10:$AR$32,QUOTIENT(ROW(A665)-1,40)+1,MOD(ROW(A665)-1,40)+1)</f>
        <v>국어</v>
      </c>
      <c r="I671" s="77"/>
      <c r="J671" s="26"/>
      <c r="K671" s="162"/>
      <c r="L671" s="162"/>
      <c r="M671" s="168"/>
      <c r="N671" s="98"/>
      <c r="O671" s="99"/>
      <c r="P671" s="99"/>
      <c r="Q671" s="167"/>
      <c r="R671" s="111"/>
    </row>
    <row r="672" spans="1:18" hidden="1">
      <c r="A672" s="50">
        <v>666</v>
      </c>
      <c r="B672" s="24">
        <f>DATE('1.연간시수표'!$U$2,'1.연간시수표'!$X$2,'1.연간시수표'!$Z$2)+QUOTIENT(ROW(A666)-1,8)+(QUOTIENT(ROW(A666)-1,40)*2)</f>
        <v>44735</v>
      </c>
      <c r="C672" s="24" t="str">
        <f t="shared" si="30"/>
        <v>목</v>
      </c>
      <c r="D672" s="91" t="str">
        <f t="shared" si="31"/>
        <v>2교시</v>
      </c>
      <c r="E672" s="68">
        <f>COUNTIF($H$7:$H672,$H672)</f>
        <v>60</v>
      </c>
      <c r="F672" s="67">
        <f>'1.연간시수표'!$AL$33</f>
        <v>5</v>
      </c>
      <c r="G672" s="89">
        <f t="shared" si="32"/>
        <v>1</v>
      </c>
      <c r="H672" s="91" t="str">
        <f>INDEX('0.시간표데이터'!$E$10:$AR$32,QUOTIENT(ROW(A666)-1,40)+1,MOD(ROW(A666)-1,40)+1)</f>
        <v>수학</v>
      </c>
      <c r="I672" s="161"/>
      <c r="J672" s="26"/>
      <c r="K672" s="165"/>
      <c r="L672" s="165"/>
      <c r="M672" s="166"/>
      <c r="N672" s="166"/>
      <c r="O672" s="166"/>
      <c r="P672" s="166"/>
      <c r="Q672" s="167"/>
      <c r="R672" s="111"/>
    </row>
    <row r="673" spans="1:18">
      <c r="A673" s="50">
        <v>667</v>
      </c>
      <c r="B673" s="24">
        <f>DATE('1.연간시수표'!$U$2,'1.연간시수표'!$X$2,'1.연간시수표'!$Z$2)+QUOTIENT(ROW(A667)-1,8)+(QUOTIENT(ROW(A667)-1,40)*2)</f>
        <v>44735</v>
      </c>
      <c r="C673" s="24" t="str">
        <f t="shared" si="30"/>
        <v>목</v>
      </c>
      <c r="D673" s="91" t="str">
        <f t="shared" si="31"/>
        <v>3교시</v>
      </c>
      <c r="E673" s="68">
        <f>COUNTIF($H$7:$H673,$H673)</f>
        <v>45</v>
      </c>
      <c r="F673" s="67">
        <f>'1.연간시수표'!$AL$33</f>
        <v>5</v>
      </c>
      <c r="G673" s="89">
        <f t="shared" si="32"/>
        <v>1</v>
      </c>
      <c r="H673" s="91" t="str">
        <f>INDEX('0.시간표데이터'!$E$10:$AR$32,QUOTIENT(ROW(A667)-1,40)+1,MOD(ROW(A667)-1,40)+1)</f>
        <v>사회</v>
      </c>
      <c r="I673" s="77"/>
      <c r="J673" s="26"/>
      <c r="K673" s="173"/>
      <c r="L673" s="173"/>
      <c r="M673" s="10"/>
      <c r="N673" s="10"/>
      <c r="O673" s="10"/>
      <c r="P673" s="10"/>
      <c r="Q673" s="164"/>
      <c r="R673" s="109"/>
    </row>
    <row r="674" spans="1:18">
      <c r="A674" s="50">
        <v>668</v>
      </c>
      <c r="B674" s="24">
        <f>DATE('1.연간시수표'!$U$2,'1.연간시수표'!$X$2,'1.연간시수표'!$Z$2)+QUOTIENT(ROW(A668)-1,8)+(QUOTIENT(ROW(A668)-1,40)*2)</f>
        <v>44735</v>
      </c>
      <c r="C674" s="24" t="str">
        <f t="shared" si="30"/>
        <v>목</v>
      </c>
      <c r="D674" s="91" t="str">
        <f t="shared" si="31"/>
        <v>4교시</v>
      </c>
      <c r="E674" s="68">
        <f>COUNTIF($H$7:$H674,$H674)</f>
        <v>44</v>
      </c>
      <c r="F674" s="67">
        <f>'1.연간시수표'!$AL$33</f>
        <v>5</v>
      </c>
      <c r="G674" s="89">
        <f t="shared" si="32"/>
        <v>1</v>
      </c>
      <c r="H674" s="91" t="str">
        <f>INDEX('0.시간표데이터'!$E$10:$AR$32,QUOTIENT(ROW(A668)-1,40)+1,MOD(ROW(A668)-1,40)+1)</f>
        <v>영어</v>
      </c>
      <c r="I674" s="77"/>
      <c r="J674" s="26"/>
      <c r="K674" s="173"/>
      <c r="L674" s="173"/>
      <c r="M674" s="10"/>
      <c r="N674" s="10"/>
      <c r="O674" s="10"/>
      <c r="P674" s="10"/>
      <c r="Q674" s="164"/>
      <c r="R674" s="109"/>
    </row>
    <row r="675" spans="1:18" hidden="1">
      <c r="A675" s="50">
        <v>669</v>
      </c>
      <c r="B675" s="24">
        <f>DATE('1.연간시수표'!$U$2,'1.연간시수표'!$X$2,'1.연간시수표'!$Z$2)+QUOTIENT(ROW(A669)-1,8)+(QUOTIENT(ROW(A669)-1,40)*2)</f>
        <v>44735</v>
      </c>
      <c r="C675" s="24" t="str">
        <f t="shared" si="30"/>
        <v>목</v>
      </c>
      <c r="D675" s="91" t="str">
        <f t="shared" si="31"/>
        <v>5교시</v>
      </c>
      <c r="E675" s="68">
        <f>COUNTIF($H$7:$H675,$H675)</f>
        <v>7</v>
      </c>
      <c r="F675" s="67">
        <f>'1.연간시수표'!$AL$33</f>
        <v>5</v>
      </c>
      <c r="G675" s="89">
        <f t="shared" si="32"/>
        <v>1</v>
      </c>
      <c r="H675" s="91" t="str">
        <f>INDEX('0.시간표데이터'!$E$10:$AR$32,QUOTIENT(ROW(A669)-1,40)+1,MOD(ROW(A669)-1,40)+1)</f>
        <v>동아리활동</v>
      </c>
      <c r="I675" s="77"/>
      <c r="J675" s="26"/>
      <c r="K675" s="165"/>
      <c r="L675" s="165"/>
      <c r="M675" s="166"/>
      <c r="N675" s="166"/>
      <c r="O675" s="166"/>
      <c r="P675" s="166"/>
      <c r="Q675" s="167"/>
      <c r="R675" s="111"/>
    </row>
    <row r="676" spans="1:18" hidden="1">
      <c r="A676" s="50">
        <v>670</v>
      </c>
      <c r="B676" s="24">
        <f>DATE('1.연간시수표'!$U$2,'1.연간시수표'!$X$2,'1.연간시수표'!$Z$2)+QUOTIENT(ROW(A670)-1,8)+(QUOTIENT(ROW(A670)-1,40)*2)</f>
        <v>44735</v>
      </c>
      <c r="C676" s="24" t="str">
        <f t="shared" si="30"/>
        <v>목</v>
      </c>
      <c r="D676" s="91" t="str">
        <f t="shared" si="31"/>
        <v>6교시</v>
      </c>
      <c r="E676" s="68">
        <f>COUNTIF($H$7:$H676,$H676)</f>
        <v>8</v>
      </c>
      <c r="F676" s="67">
        <f>'1.연간시수표'!$AL$33</f>
        <v>5</v>
      </c>
      <c r="G676" s="89">
        <f t="shared" si="32"/>
        <v>1</v>
      </c>
      <c r="H676" s="91" t="str">
        <f>INDEX('0.시간표데이터'!$E$10:$AR$32,QUOTIENT(ROW(A670)-1,40)+1,MOD(ROW(A670)-1,40)+1)</f>
        <v>동아리활동</v>
      </c>
      <c r="I676" s="161"/>
      <c r="J676" s="26"/>
      <c r="K676" s="165"/>
      <c r="L676" s="165"/>
      <c r="M676" s="166"/>
      <c r="N676" s="166"/>
      <c r="O676" s="166"/>
      <c r="P676" s="166"/>
      <c r="Q676" s="167"/>
      <c r="R676" s="111"/>
    </row>
    <row r="677" spans="1:18" hidden="1">
      <c r="A677" s="50">
        <v>671</v>
      </c>
      <c r="B677" s="24">
        <f>DATE('1.연간시수표'!$U$2,'1.연간시수표'!$X$2,'1.연간시수표'!$Z$2)+QUOTIENT(ROW(A671)-1,8)+(QUOTIENT(ROW(A671)-1,40)*2)</f>
        <v>44735</v>
      </c>
      <c r="C677" s="24" t="str">
        <f t="shared" si="30"/>
        <v>목</v>
      </c>
      <c r="D677" s="91" t="str">
        <f t="shared" si="31"/>
        <v>7교시</v>
      </c>
      <c r="E677" s="68">
        <f>COUNTIF($H$7:$H677,$H677)</f>
        <v>225</v>
      </c>
      <c r="F677" s="67">
        <f>'1.연간시수표'!$AL$33</f>
        <v>5</v>
      </c>
      <c r="G677" s="89">
        <f t="shared" si="32"/>
        <v>1</v>
      </c>
      <c r="H677" s="91" t="str">
        <f>INDEX('0.시간표데이터'!$E$10:$AR$32,QUOTIENT(ROW(A671)-1,40)+1,MOD(ROW(A671)-1,40)+1)</f>
        <v>_</v>
      </c>
      <c r="I677" s="76"/>
      <c r="J677" s="26"/>
      <c r="K677" s="165"/>
      <c r="L677" s="165"/>
      <c r="M677" s="166"/>
      <c r="N677" s="166"/>
      <c r="O677" s="166"/>
      <c r="P677" s="166"/>
      <c r="Q677" s="167"/>
      <c r="R677" s="111"/>
    </row>
    <row r="678" spans="1:18" hidden="1">
      <c r="A678" s="50">
        <v>672</v>
      </c>
      <c r="B678" s="24">
        <f>DATE('1.연간시수표'!$U$2,'1.연간시수표'!$X$2,'1.연간시수표'!$Z$2)+QUOTIENT(ROW(A672)-1,8)+(QUOTIENT(ROW(A672)-1,40)*2)</f>
        <v>44735</v>
      </c>
      <c r="C678" s="24" t="str">
        <f t="shared" si="30"/>
        <v>목</v>
      </c>
      <c r="D678" s="91" t="str">
        <f t="shared" si="31"/>
        <v>8교시</v>
      </c>
      <c r="E678" s="68">
        <f>COUNTIF($H$7:$H678,$H678)</f>
        <v>226</v>
      </c>
      <c r="F678" s="67">
        <f>'1.연간시수표'!$AL$33</f>
        <v>5</v>
      </c>
      <c r="G678" s="89">
        <f t="shared" si="32"/>
        <v>1</v>
      </c>
      <c r="H678" s="91" t="str">
        <f>INDEX('0.시간표데이터'!$E$10:$AR$32,QUOTIENT(ROW(A672)-1,40)+1,MOD(ROW(A672)-1,40)+1)</f>
        <v>_</v>
      </c>
      <c r="I678" s="76"/>
      <c r="J678" s="26"/>
      <c r="K678" s="165"/>
      <c r="L678" s="165"/>
      <c r="M678" s="166"/>
      <c r="N678" s="166"/>
      <c r="O678" s="166"/>
      <c r="P678" s="166"/>
      <c r="Q678" s="167"/>
      <c r="R678" s="111"/>
    </row>
    <row r="679" spans="1:18" hidden="1">
      <c r="A679" s="50">
        <v>673</v>
      </c>
      <c r="B679" s="24">
        <f>DATE('1.연간시수표'!$U$2,'1.연간시수표'!$X$2,'1.연간시수표'!$Z$2)+QUOTIENT(ROW(A673)-1,8)+(QUOTIENT(ROW(A673)-1,40)*2)</f>
        <v>44736</v>
      </c>
      <c r="C679" s="24" t="str">
        <f t="shared" si="30"/>
        <v>금</v>
      </c>
      <c r="D679" s="91" t="str">
        <f t="shared" si="31"/>
        <v>1교시</v>
      </c>
      <c r="E679" s="68">
        <f>COUNTIF($H$7:$H679,$H679)</f>
        <v>26</v>
      </c>
      <c r="F679" s="67">
        <f>'1.연간시수표'!$AL$33</f>
        <v>5</v>
      </c>
      <c r="G679" s="89">
        <f t="shared" si="32"/>
        <v>1</v>
      </c>
      <c r="H679" s="91" t="str">
        <f>INDEX('0.시간표데이터'!$E$10:$AR$32,QUOTIENT(ROW(A673)-1,40)+1,MOD(ROW(A673)-1,40)+1)</f>
        <v>자율활동</v>
      </c>
      <c r="I679" s="77"/>
      <c r="J679" s="26"/>
      <c r="K679" s="162"/>
      <c r="L679" s="162"/>
      <c r="M679" s="168"/>
      <c r="N679" s="98"/>
      <c r="O679" s="99"/>
      <c r="P679" s="99"/>
      <c r="Q679" s="167"/>
      <c r="R679" s="111"/>
    </row>
    <row r="680" spans="1:18" hidden="1">
      <c r="A680" s="50">
        <v>674</v>
      </c>
      <c r="B680" s="24">
        <f>DATE('1.연간시수표'!$U$2,'1.연간시수표'!$X$2,'1.연간시수표'!$Z$2)+QUOTIENT(ROW(A674)-1,8)+(QUOTIENT(ROW(A674)-1,40)*2)</f>
        <v>44736</v>
      </c>
      <c r="C680" s="24" t="str">
        <f t="shared" si="30"/>
        <v>금</v>
      </c>
      <c r="D680" s="91" t="str">
        <f t="shared" si="31"/>
        <v>2교시</v>
      </c>
      <c r="E680" s="68">
        <f>COUNTIF($H$7:$H680,$H680)</f>
        <v>29</v>
      </c>
      <c r="F680" s="67">
        <f>'1.연간시수표'!$AL$33</f>
        <v>5</v>
      </c>
      <c r="G680" s="89">
        <f t="shared" si="32"/>
        <v>1</v>
      </c>
      <c r="H680" s="91" t="str">
        <f>INDEX('0.시간표데이터'!$E$10:$AR$32,QUOTIENT(ROW(A674)-1,40)+1,MOD(ROW(A674)-1,40)+1)</f>
        <v>체육</v>
      </c>
      <c r="I680" s="77"/>
      <c r="J680" s="26"/>
      <c r="K680" s="162"/>
      <c r="L680" s="162"/>
      <c r="M680" s="168"/>
      <c r="N680" s="168"/>
      <c r="O680" s="99"/>
      <c r="P680" s="99"/>
      <c r="Q680" s="167"/>
      <c r="R680" s="111"/>
    </row>
    <row r="681" spans="1:18" hidden="1">
      <c r="A681" s="50">
        <v>675</v>
      </c>
      <c r="B681" s="24">
        <f>DATE('1.연간시수표'!$U$2,'1.연간시수표'!$X$2,'1.연간시수표'!$Z$2)+QUOTIENT(ROW(A675)-1,8)+(QUOTIENT(ROW(A675)-1,40)*2)</f>
        <v>44736</v>
      </c>
      <c r="C681" s="24" t="str">
        <f t="shared" si="30"/>
        <v>금</v>
      </c>
      <c r="D681" s="91" t="str">
        <f t="shared" si="31"/>
        <v>3교시</v>
      </c>
      <c r="E681" s="68">
        <f>COUNTIF($H$7:$H681,$H681)</f>
        <v>30</v>
      </c>
      <c r="F681" s="67">
        <f>'1.연간시수표'!$AL$33</f>
        <v>5</v>
      </c>
      <c r="G681" s="89">
        <f t="shared" si="32"/>
        <v>1</v>
      </c>
      <c r="H681" s="91" t="str">
        <f>INDEX('0.시간표데이터'!$E$10:$AR$32,QUOTIENT(ROW(A675)-1,40)+1,MOD(ROW(A675)-1,40)+1)</f>
        <v>체육</v>
      </c>
      <c r="I681" s="77"/>
      <c r="J681" s="26"/>
      <c r="K681" s="165"/>
      <c r="L681" s="165"/>
      <c r="M681" s="166"/>
      <c r="N681" s="166"/>
      <c r="O681" s="166"/>
      <c r="P681" s="166"/>
      <c r="Q681" s="167"/>
      <c r="R681" s="111"/>
    </row>
    <row r="682" spans="1:18" hidden="1">
      <c r="A682" s="50">
        <v>676</v>
      </c>
      <c r="B682" s="24">
        <f>DATE('1.연간시수표'!$U$2,'1.연간시수표'!$X$2,'1.연간시수표'!$Z$2)+QUOTIENT(ROW(A676)-1,8)+(QUOTIENT(ROW(A676)-1,40)*2)</f>
        <v>44736</v>
      </c>
      <c r="C682" s="24" t="str">
        <f t="shared" si="30"/>
        <v>금</v>
      </c>
      <c r="D682" s="91" t="str">
        <f t="shared" si="31"/>
        <v>4교시</v>
      </c>
      <c r="E682" s="68">
        <f>COUNTIF($H$7:$H682,$H682)</f>
        <v>88</v>
      </c>
      <c r="F682" s="67">
        <f>'1.연간시수표'!$AL$33</f>
        <v>5</v>
      </c>
      <c r="G682" s="89">
        <f t="shared" si="32"/>
        <v>1</v>
      </c>
      <c r="H682" s="91" t="str">
        <f>INDEX('0.시간표데이터'!$E$10:$AR$32,QUOTIENT(ROW(A676)-1,40)+1,MOD(ROW(A676)-1,40)+1)</f>
        <v>국어</v>
      </c>
      <c r="I682" s="77"/>
      <c r="J682" s="26"/>
      <c r="K682" s="162"/>
      <c r="L682" s="162"/>
      <c r="M682" s="172"/>
      <c r="N682" s="101"/>
      <c r="O682" s="99"/>
      <c r="P682" s="99"/>
      <c r="Q682" s="167"/>
      <c r="R682" s="111"/>
    </row>
    <row r="683" spans="1:18">
      <c r="A683" s="50">
        <v>677</v>
      </c>
      <c r="B683" s="24">
        <f>DATE('1.연간시수표'!$U$2,'1.연간시수표'!$X$2,'1.연간시수표'!$Z$2)+QUOTIENT(ROW(A677)-1,8)+(QUOTIENT(ROW(A677)-1,40)*2)</f>
        <v>44736</v>
      </c>
      <c r="C683" s="24" t="str">
        <f t="shared" si="30"/>
        <v>금</v>
      </c>
      <c r="D683" s="91" t="str">
        <f t="shared" si="31"/>
        <v>5교시</v>
      </c>
      <c r="E683" s="68">
        <f>COUNTIF($H$7:$H683,$H683)</f>
        <v>46</v>
      </c>
      <c r="F683" s="67">
        <f>'1.연간시수표'!$AL$33</f>
        <v>5</v>
      </c>
      <c r="G683" s="89">
        <f t="shared" si="32"/>
        <v>1</v>
      </c>
      <c r="H683" s="91" t="str">
        <f>INDEX('0.시간표데이터'!$E$10:$AR$32,QUOTIENT(ROW(A677)-1,40)+1,MOD(ROW(A677)-1,40)+1)</f>
        <v>사회</v>
      </c>
      <c r="I683" s="77"/>
      <c r="J683" s="26"/>
      <c r="K683" s="173"/>
      <c r="L683" s="173"/>
      <c r="M683" s="179"/>
      <c r="N683" s="112"/>
      <c r="O683" s="175"/>
      <c r="P683" s="175"/>
      <c r="Q683" s="164"/>
      <c r="R683" s="110"/>
    </row>
    <row r="684" spans="1:18" hidden="1">
      <c r="A684" s="50">
        <v>678</v>
      </c>
      <c r="B684" s="24">
        <f>DATE('1.연간시수표'!$U$2,'1.연간시수표'!$X$2,'1.연간시수표'!$Z$2)+QUOTIENT(ROW(A678)-1,8)+(QUOTIENT(ROW(A678)-1,40)*2)</f>
        <v>44736</v>
      </c>
      <c r="C684" s="24" t="str">
        <f t="shared" si="30"/>
        <v>금</v>
      </c>
      <c r="D684" s="91" t="str">
        <f t="shared" si="31"/>
        <v>6교시</v>
      </c>
      <c r="E684" s="68">
        <f>COUNTIF($H$7:$H684,$H684)</f>
        <v>31</v>
      </c>
      <c r="F684" s="67">
        <f>'1.연간시수표'!$AL$33</f>
        <v>5</v>
      </c>
      <c r="G684" s="89">
        <f t="shared" si="32"/>
        <v>1</v>
      </c>
      <c r="H684" s="91" t="str">
        <f>INDEX('0.시간표데이터'!$E$10:$AR$32,QUOTIENT(ROW(A678)-1,40)+1,MOD(ROW(A678)-1,40)+1)</f>
        <v>실과</v>
      </c>
      <c r="I684" s="77"/>
      <c r="J684" s="26"/>
      <c r="K684" s="165"/>
      <c r="L684" s="165"/>
      <c r="M684" s="166"/>
      <c r="N684" s="166"/>
      <c r="O684" s="166"/>
      <c r="P684" s="166"/>
      <c r="Q684" s="167"/>
      <c r="R684" s="111"/>
    </row>
    <row r="685" spans="1:18" hidden="1">
      <c r="A685" s="50">
        <v>679</v>
      </c>
      <c r="B685" s="24">
        <f>DATE('1.연간시수표'!$U$2,'1.연간시수표'!$X$2,'1.연간시수표'!$Z$2)+QUOTIENT(ROW(A679)-1,8)+(QUOTIENT(ROW(A679)-1,40)*2)</f>
        <v>44736</v>
      </c>
      <c r="C685" s="24" t="str">
        <f t="shared" si="30"/>
        <v>금</v>
      </c>
      <c r="D685" s="91" t="str">
        <f t="shared" si="31"/>
        <v>7교시</v>
      </c>
      <c r="E685" s="68">
        <f>COUNTIF($H$7:$H685,$H685)</f>
        <v>227</v>
      </c>
      <c r="F685" s="67">
        <f>'1.연간시수표'!$AL$33</f>
        <v>5</v>
      </c>
      <c r="G685" s="89">
        <f t="shared" si="32"/>
        <v>1</v>
      </c>
      <c r="H685" s="91" t="str">
        <f>INDEX('0.시간표데이터'!$E$10:$AR$32,QUOTIENT(ROW(A679)-1,40)+1,MOD(ROW(A679)-1,40)+1)</f>
        <v>_</v>
      </c>
      <c r="I685" s="76"/>
      <c r="J685" s="26"/>
      <c r="K685" s="165"/>
      <c r="L685" s="165"/>
      <c r="M685" s="166"/>
      <c r="N685" s="166"/>
      <c r="O685" s="166"/>
      <c r="P685" s="166"/>
      <c r="Q685" s="167"/>
      <c r="R685" s="111"/>
    </row>
    <row r="686" spans="1:18" hidden="1">
      <c r="A686" s="50">
        <v>680</v>
      </c>
      <c r="B686" s="24">
        <f>DATE('1.연간시수표'!$U$2,'1.연간시수표'!$X$2,'1.연간시수표'!$Z$2)+QUOTIENT(ROW(A680)-1,8)+(QUOTIENT(ROW(A680)-1,40)*2)</f>
        <v>44736</v>
      </c>
      <c r="C686" s="24" t="str">
        <f t="shared" si="30"/>
        <v>금</v>
      </c>
      <c r="D686" s="91" t="str">
        <f t="shared" si="31"/>
        <v>8교시</v>
      </c>
      <c r="E686" s="68">
        <f>COUNTIF($H$7:$H686,$H686)</f>
        <v>228</v>
      </c>
      <c r="F686" s="67">
        <f>'1.연간시수표'!$AL$33</f>
        <v>5</v>
      </c>
      <c r="G686" s="89">
        <f t="shared" si="32"/>
        <v>1</v>
      </c>
      <c r="H686" s="91" t="str">
        <f>INDEX('0.시간표데이터'!$E$10:$AR$32,QUOTIENT(ROW(A680)-1,40)+1,MOD(ROW(A680)-1,40)+1)</f>
        <v>_</v>
      </c>
      <c r="I686" s="76"/>
      <c r="J686" s="26"/>
      <c r="K686" s="165"/>
      <c r="L686" s="165"/>
      <c r="M686" s="166"/>
      <c r="N686" s="166"/>
      <c r="O686" s="166"/>
      <c r="P686" s="166"/>
      <c r="Q686" s="167"/>
      <c r="R686" s="111"/>
    </row>
    <row r="687" spans="1:18" hidden="1">
      <c r="A687" s="50">
        <v>681</v>
      </c>
      <c r="B687" s="24">
        <f>DATE('1.연간시수표'!$U$2,'1.연간시수표'!$X$2,'1.연간시수표'!$Z$2)+QUOTIENT(ROW(A681)-1,8)+(QUOTIENT(ROW(A681)-1,40)*2)</f>
        <v>44739</v>
      </c>
      <c r="C687" s="24" t="str">
        <f t="shared" si="30"/>
        <v>월</v>
      </c>
      <c r="D687" s="91" t="str">
        <f t="shared" si="31"/>
        <v>1교시</v>
      </c>
      <c r="E687" s="68">
        <f>COUNTIF($H$7:$H687,$H687)</f>
        <v>89</v>
      </c>
      <c r="F687" s="67">
        <f>'1.연간시수표'!$AL$33</f>
        <v>5</v>
      </c>
      <c r="G687" s="89">
        <f t="shared" si="32"/>
        <v>1</v>
      </c>
      <c r="H687" s="91" t="str">
        <f>INDEX('0.시간표데이터'!$E$10:$AR$32,QUOTIENT(ROW(A681)-1,40)+1,MOD(ROW(A681)-1,40)+1)</f>
        <v>국어</v>
      </c>
      <c r="I687" s="77"/>
      <c r="J687" s="26"/>
      <c r="K687" s="162"/>
      <c r="L687" s="162"/>
      <c r="M687" s="168"/>
      <c r="N687" s="99"/>
      <c r="O687" s="99"/>
      <c r="P687" s="99"/>
      <c r="Q687" s="167"/>
      <c r="R687" s="111"/>
    </row>
    <row r="688" spans="1:18" hidden="1">
      <c r="A688" s="50">
        <v>682</v>
      </c>
      <c r="B688" s="24">
        <f>DATE('1.연간시수표'!$U$2,'1.연간시수표'!$X$2,'1.연간시수표'!$Z$2)+QUOTIENT(ROW(A682)-1,8)+(QUOTIENT(ROW(A682)-1,40)*2)</f>
        <v>44739</v>
      </c>
      <c r="C688" s="24" t="str">
        <f t="shared" si="30"/>
        <v>월</v>
      </c>
      <c r="D688" s="91" t="str">
        <f t="shared" si="31"/>
        <v>2교시</v>
      </c>
      <c r="E688" s="68">
        <f>COUNTIF($H$7:$H688,$H688)</f>
        <v>31</v>
      </c>
      <c r="F688" s="67">
        <f>'1.연간시수표'!$AL$33</f>
        <v>5</v>
      </c>
      <c r="G688" s="89">
        <f t="shared" si="32"/>
        <v>1</v>
      </c>
      <c r="H688" s="91" t="str">
        <f>INDEX('0.시간표데이터'!$E$10:$AR$32,QUOTIENT(ROW(A682)-1,40)+1,MOD(ROW(A682)-1,40)+1)</f>
        <v>미술</v>
      </c>
      <c r="I688" s="161"/>
      <c r="J688" s="26"/>
      <c r="K688" s="165"/>
      <c r="L688" s="165"/>
      <c r="M688" s="166"/>
      <c r="N688" s="166"/>
      <c r="O688" s="166"/>
      <c r="P688" s="166"/>
      <c r="Q688" s="167"/>
      <c r="R688" s="111"/>
    </row>
    <row r="689" spans="1:18" hidden="1">
      <c r="A689" s="50">
        <v>683</v>
      </c>
      <c r="B689" s="24">
        <f>DATE('1.연간시수표'!$U$2,'1.연간시수표'!$X$2,'1.연간시수표'!$Z$2)+QUOTIENT(ROW(A683)-1,8)+(QUOTIENT(ROW(A683)-1,40)*2)</f>
        <v>44739</v>
      </c>
      <c r="C689" s="24" t="str">
        <f t="shared" si="30"/>
        <v>월</v>
      </c>
      <c r="D689" s="91" t="str">
        <f t="shared" si="31"/>
        <v>3교시</v>
      </c>
      <c r="E689" s="68">
        <f>COUNTIF($H$7:$H689,$H689)</f>
        <v>32</v>
      </c>
      <c r="F689" s="67">
        <f>'1.연간시수표'!$AL$33</f>
        <v>5</v>
      </c>
      <c r="G689" s="89">
        <f t="shared" si="32"/>
        <v>1</v>
      </c>
      <c r="H689" s="91" t="str">
        <f>INDEX('0.시간표데이터'!$E$10:$AR$32,QUOTIENT(ROW(A683)-1,40)+1,MOD(ROW(A683)-1,40)+1)</f>
        <v>미술</v>
      </c>
      <c r="I689" s="77"/>
      <c r="J689" s="26"/>
      <c r="K689" s="162"/>
      <c r="L689" s="162"/>
      <c r="M689" s="172"/>
      <c r="N689" s="101"/>
      <c r="O689" s="99"/>
      <c r="P689" s="99"/>
      <c r="Q689" s="167"/>
      <c r="R689" s="111"/>
    </row>
    <row r="690" spans="1:18" hidden="1">
      <c r="A690" s="50">
        <v>684</v>
      </c>
      <c r="B690" s="24">
        <f>DATE('1.연간시수표'!$U$2,'1.연간시수표'!$X$2,'1.연간시수표'!$Z$2)+QUOTIENT(ROW(A684)-1,8)+(QUOTIENT(ROW(A684)-1,40)*2)</f>
        <v>44739</v>
      </c>
      <c r="C690" s="24" t="str">
        <f t="shared" si="30"/>
        <v>월</v>
      </c>
      <c r="D690" s="91" t="str">
        <f t="shared" si="31"/>
        <v>4교시</v>
      </c>
      <c r="E690" s="68">
        <f>COUNTIF($H$7:$H690,$H690)</f>
        <v>45</v>
      </c>
      <c r="F690" s="67">
        <f>'1.연간시수표'!$AL$33</f>
        <v>5</v>
      </c>
      <c r="G690" s="89">
        <f t="shared" si="32"/>
        <v>1</v>
      </c>
      <c r="H690" s="91" t="str">
        <f>INDEX('0.시간표데이터'!$E$10:$AR$32,QUOTIENT(ROW(A684)-1,40)+1,MOD(ROW(A684)-1,40)+1)</f>
        <v>영어</v>
      </c>
      <c r="I690" s="77"/>
      <c r="J690" s="26"/>
      <c r="K690" s="162"/>
      <c r="L690" s="162"/>
      <c r="M690" s="172"/>
      <c r="N690" s="101"/>
      <c r="O690" s="99"/>
      <c r="P690" s="99"/>
      <c r="Q690" s="167"/>
      <c r="R690" s="111"/>
    </row>
    <row r="691" spans="1:18" hidden="1">
      <c r="A691" s="50">
        <v>685</v>
      </c>
      <c r="B691" s="24">
        <f>DATE('1.연간시수표'!$U$2,'1.연간시수표'!$X$2,'1.연간시수표'!$Z$2)+QUOTIENT(ROW(A685)-1,8)+(QUOTIENT(ROW(A685)-1,40)*2)</f>
        <v>44739</v>
      </c>
      <c r="C691" s="24" t="str">
        <f t="shared" si="30"/>
        <v>월</v>
      </c>
      <c r="D691" s="91" t="str">
        <f t="shared" si="31"/>
        <v>5교시</v>
      </c>
      <c r="E691" s="68">
        <f>COUNTIF($H$7:$H691,$H691)</f>
        <v>61</v>
      </c>
      <c r="F691" s="67">
        <f>'1.연간시수표'!$AL$33</f>
        <v>5</v>
      </c>
      <c r="G691" s="89">
        <f t="shared" si="32"/>
        <v>1</v>
      </c>
      <c r="H691" s="91" t="str">
        <f>INDEX('0.시간표데이터'!$E$10:$AR$32,QUOTIENT(ROW(A685)-1,40)+1,MOD(ROW(A685)-1,40)+1)</f>
        <v>수학</v>
      </c>
      <c r="I691" s="77"/>
      <c r="J691" s="26"/>
      <c r="K691" s="162"/>
      <c r="L691" s="162"/>
      <c r="M691" s="168"/>
      <c r="N691" s="168"/>
      <c r="O691" s="99"/>
      <c r="P691" s="99"/>
      <c r="Q691" s="167"/>
      <c r="R691" s="111"/>
    </row>
    <row r="692" spans="1:18" hidden="1">
      <c r="A692" s="50">
        <v>686</v>
      </c>
      <c r="B692" s="24">
        <f>DATE('1.연간시수표'!$U$2,'1.연간시수표'!$X$2,'1.연간시수표'!$Z$2)+QUOTIENT(ROW(A686)-1,8)+(QUOTIENT(ROW(A686)-1,40)*2)</f>
        <v>44739</v>
      </c>
      <c r="C692" s="24" t="str">
        <f t="shared" si="30"/>
        <v>월</v>
      </c>
      <c r="D692" s="91" t="str">
        <f t="shared" si="31"/>
        <v>6교시</v>
      </c>
      <c r="E692" s="68">
        <f>COUNTIF($H$7:$H692,$H692)</f>
        <v>27</v>
      </c>
      <c r="F692" s="67">
        <f>'1.연간시수표'!$AL$33</f>
        <v>5</v>
      </c>
      <c r="G692" s="89">
        <f t="shared" si="32"/>
        <v>1</v>
      </c>
      <c r="H692" s="91" t="str">
        <f>INDEX('0.시간표데이터'!$E$10:$AR$32,QUOTIENT(ROW(A686)-1,40)+1,MOD(ROW(A686)-1,40)+1)</f>
        <v>자율활동</v>
      </c>
      <c r="I692" s="77"/>
      <c r="J692" s="26"/>
      <c r="K692" s="165"/>
      <c r="L692" s="165"/>
      <c r="M692" s="166"/>
      <c r="N692" s="166"/>
      <c r="O692" s="166"/>
      <c r="P692" s="166"/>
      <c r="Q692" s="167"/>
      <c r="R692" s="111"/>
    </row>
    <row r="693" spans="1:18" hidden="1">
      <c r="A693" s="50">
        <v>687</v>
      </c>
      <c r="B693" s="24">
        <f>DATE('1.연간시수표'!$U$2,'1.연간시수표'!$X$2,'1.연간시수표'!$Z$2)+QUOTIENT(ROW(A687)-1,8)+(QUOTIENT(ROW(A687)-1,40)*2)</f>
        <v>44739</v>
      </c>
      <c r="C693" s="24" t="str">
        <f t="shared" si="30"/>
        <v>월</v>
      </c>
      <c r="D693" s="91" t="str">
        <f t="shared" si="31"/>
        <v>7교시</v>
      </c>
      <c r="E693" s="68">
        <f>COUNTIF($H$7:$H693,$H693)</f>
        <v>229</v>
      </c>
      <c r="F693" s="67">
        <f>'1.연간시수표'!$AL$33</f>
        <v>5</v>
      </c>
      <c r="G693" s="89">
        <f t="shared" si="32"/>
        <v>1</v>
      </c>
      <c r="H693" s="91" t="str">
        <f>INDEX('0.시간표데이터'!$E$10:$AR$32,QUOTIENT(ROW(A687)-1,40)+1,MOD(ROW(A687)-1,40)+1)</f>
        <v>_</v>
      </c>
      <c r="I693" s="76"/>
      <c r="J693" s="26"/>
      <c r="K693" s="165"/>
      <c r="L693" s="165"/>
      <c r="M693" s="166"/>
      <c r="N693" s="166"/>
      <c r="O693" s="166"/>
      <c r="P693" s="166"/>
      <c r="Q693" s="167"/>
      <c r="R693" s="111"/>
    </row>
    <row r="694" spans="1:18" hidden="1">
      <c r="A694" s="50">
        <v>688</v>
      </c>
      <c r="B694" s="24">
        <f>DATE('1.연간시수표'!$U$2,'1.연간시수표'!$X$2,'1.연간시수표'!$Z$2)+QUOTIENT(ROW(A688)-1,8)+(QUOTIENT(ROW(A688)-1,40)*2)</f>
        <v>44739</v>
      </c>
      <c r="C694" s="24" t="str">
        <f t="shared" si="30"/>
        <v>월</v>
      </c>
      <c r="D694" s="91" t="str">
        <f t="shared" si="31"/>
        <v>8교시</v>
      </c>
      <c r="E694" s="68">
        <f>COUNTIF($H$7:$H694,$H694)</f>
        <v>230</v>
      </c>
      <c r="F694" s="67">
        <f>'1.연간시수표'!$AL$33</f>
        <v>5</v>
      </c>
      <c r="G694" s="89">
        <f t="shared" si="32"/>
        <v>1</v>
      </c>
      <c r="H694" s="91" t="str">
        <f>INDEX('0.시간표데이터'!$E$10:$AR$32,QUOTIENT(ROW(A688)-1,40)+1,MOD(ROW(A688)-1,40)+1)</f>
        <v>_</v>
      </c>
      <c r="I694" s="76"/>
      <c r="J694" s="26"/>
      <c r="K694" s="165"/>
      <c r="L694" s="165"/>
      <c r="M694" s="166"/>
      <c r="N694" s="166"/>
      <c r="O694" s="166"/>
      <c r="P694" s="166"/>
      <c r="Q694" s="167"/>
      <c r="R694" s="111"/>
    </row>
    <row r="695" spans="1:18" hidden="1">
      <c r="A695" s="50">
        <v>689</v>
      </c>
      <c r="B695" s="24">
        <f>DATE('1.연간시수표'!$U$2,'1.연간시수표'!$X$2,'1.연간시수표'!$Z$2)+QUOTIENT(ROW(A689)-1,8)+(QUOTIENT(ROW(A689)-1,40)*2)</f>
        <v>44740</v>
      </c>
      <c r="C695" s="24" t="str">
        <f t="shared" si="30"/>
        <v>화</v>
      </c>
      <c r="D695" s="91" t="str">
        <f t="shared" si="31"/>
        <v>1교시</v>
      </c>
      <c r="E695" s="68">
        <f>COUNTIF($H$7:$H695,$H695)</f>
        <v>90</v>
      </c>
      <c r="F695" s="67">
        <f>'1.연간시수표'!$AL$33</f>
        <v>5</v>
      </c>
      <c r="G695" s="89">
        <f t="shared" si="32"/>
        <v>1</v>
      </c>
      <c r="H695" s="91" t="str">
        <f>INDEX('0.시간표데이터'!$E$10:$AR$32,QUOTIENT(ROW(A689)-1,40)+1,MOD(ROW(A689)-1,40)+1)</f>
        <v>국어</v>
      </c>
      <c r="I695" s="77"/>
      <c r="J695" s="26"/>
      <c r="K695" s="162"/>
      <c r="L695" s="162"/>
      <c r="M695" s="168"/>
      <c r="N695" s="99"/>
      <c r="O695" s="99"/>
      <c r="P695" s="99"/>
      <c r="Q695" s="167"/>
      <c r="R695" s="111"/>
    </row>
    <row r="696" spans="1:18" hidden="1">
      <c r="A696" s="50">
        <v>690</v>
      </c>
      <c r="B696" s="24">
        <f>DATE('1.연간시수표'!$U$2,'1.연간시수표'!$X$2,'1.연간시수표'!$Z$2)+QUOTIENT(ROW(A690)-1,8)+(QUOTIENT(ROW(A690)-1,40)*2)</f>
        <v>44740</v>
      </c>
      <c r="C696" s="24" t="str">
        <f t="shared" si="30"/>
        <v>화</v>
      </c>
      <c r="D696" s="91" t="str">
        <f t="shared" si="31"/>
        <v>2교시</v>
      </c>
      <c r="E696" s="68">
        <f>COUNTIF($H$7:$H696,$H696)</f>
        <v>91</v>
      </c>
      <c r="F696" s="67">
        <f>'1.연간시수표'!$AL$33</f>
        <v>5</v>
      </c>
      <c r="G696" s="89">
        <f t="shared" si="32"/>
        <v>1</v>
      </c>
      <c r="H696" s="91" t="str">
        <f>INDEX('0.시간표데이터'!$E$10:$AR$32,QUOTIENT(ROW(A690)-1,40)+1,MOD(ROW(A690)-1,40)+1)</f>
        <v>국어</v>
      </c>
      <c r="I696" s="161"/>
      <c r="J696" s="26"/>
      <c r="K696" s="165"/>
      <c r="L696" s="165"/>
      <c r="M696" s="166"/>
      <c r="N696" s="166"/>
      <c r="O696" s="166"/>
      <c r="P696" s="166"/>
      <c r="Q696" s="167"/>
      <c r="R696" s="111"/>
    </row>
    <row r="697" spans="1:18" hidden="1">
      <c r="A697" s="90">
        <v>691</v>
      </c>
      <c r="B697" s="24">
        <f>DATE('1.연간시수표'!$U$2,'1.연간시수표'!$X$2,'1.연간시수표'!$Z$2)+QUOTIENT(ROW(A691)-1,8)+(QUOTIENT(ROW(A691)-1,40)*2)</f>
        <v>44740</v>
      </c>
      <c r="C697" s="24" t="str">
        <f t="shared" si="30"/>
        <v>화</v>
      </c>
      <c r="D697" s="91" t="str">
        <f t="shared" si="31"/>
        <v>3교시</v>
      </c>
      <c r="E697" s="68">
        <f>COUNTIF($H$7:$H697,$H697)</f>
        <v>47</v>
      </c>
      <c r="F697" s="67">
        <f>'1.연간시수표'!$AL$33</f>
        <v>5</v>
      </c>
      <c r="G697" s="89">
        <f t="shared" si="32"/>
        <v>1</v>
      </c>
      <c r="H697" s="91" t="str">
        <f>INDEX('0.시간표데이터'!$E$10:$AR$32,QUOTIENT(ROW(A691)-1,40)+1,MOD(ROW(A691)-1,40)+1)</f>
        <v>사회</v>
      </c>
      <c r="I697" s="77"/>
      <c r="J697" s="26"/>
      <c r="K697" s="162"/>
      <c r="L697" s="162"/>
      <c r="M697" s="170"/>
      <c r="N697" s="98"/>
      <c r="O697" s="168"/>
      <c r="P697" s="168"/>
      <c r="Q697" s="167"/>
      <c r="R697" s="111"/>
    </row>
    <row r="698" spans="1:18" hidden="1">
      <c r="A698" s="90">
        <v>692</v>
      </c>
      <c r="B698" s="24">
        <f>DATE('1.연간시수표'!$U$2,'1.연간시수표'!$X$2,'1.연간시수표'!$Z$2)+QUOTIENT(ROW(A692)-1,8)+(QUOTIENT(ROW(A692)-1,40)*2)</f>
        <v>44740</v>
      </c>
      <c r="C698" s="24" t="str">
        <f t="shared" si="30"/>
        <v>화</v>
      </c>
      <c r="D698" s="91" t="str">
        <f t="shared" si="31"/>
        <v>4교시</v>
      </c>
      <c r="E698" s="68">
        <f>COUNTIF($H$7:$H698,$H698)</f>
        <v>62</v>
      </c>
      <c r="F698" s="67">
        <f>'1.연간시수표'!$AL$33</f>
        <v>5</v>
      </c>
      <c r="G698" s="89">
        <f t="shared" si="32"/>
        <v>1</v>
      </c>
      <c r="H698" s="91" t="str">
        <f>INDEX('0.시간표데이터'!$E$10:$AR$32,QUOTIENT(ROW(A692)-1,40)+1,MOD(ROW(A692)-1,40)+1)</f>
        <v>수학</v>
      </c>
      <c r="I698" s="77"/>
      <c r="J698" s="26"/>
      <c r="K698" s="162"/>
      <c r="L698" s="162"/>
      <c r="M698" s="168"/>
      <c r="N698" s="98"/>
      <c r="O698" s="99"/>
      <c r="P698" s="99"/>
      <c r="Q698" s="167"/>
      <c r="R698" s="111"/>
    </row>
    <row r="699" spans="1:18" hidden="1">
      <c r="A699" s="90">
        <v>693</v>
      </c>
      <c r="B699" s="24">
        <f>DATE('1.연간시수표'!$U$2,'1.연간시수표'!$X$2,'1.연간시수표'!$Z$2)+QUOTIENT(ROW(A693)-1,8)+(QUOTIENT(ROW(A693)-1,40)*2)</f>
        <v>44740</v>
      </c>
      <c r="C699" s="24" t="str">
        <f t="shared" si="30"/>
        <v>화</v>
      </c>
      <c r="D699" s="91" t="str">
        <f t="shared" si="31"/>
        <v>5교시</v>
      </c>
      <c r="E699" s="68">
        <f>COUNTIF($H$7:$H699,$H699)</f>
        <v>43</v>
      </c>
      <c r="F699" s="67">
        <f>'1.연간시수표'!$AL$33</f>
        <v>5</v>
      </c>
      <c r="G699" s="89">
        <f t="shared" si="32"/>
        <v>1</v>
      </c>
      <c r="H699" s="91" t="str">
        <f>INDEX('0.시간표데이터'!$E$10:$AR$32,QUOTIENT(ROW(A693)-1,40)+1,MOD(ROW(A693)-1,40)+1)</f>
        <v>과학</v>
      </c>
      <c r="I699" s="77"/>
      <c r="J699" s="26"/>
      <c r="K699" s="137"/>
      <c r="L699" s="137"/>
      <c r="M699" s="114"/>
      <c r="N699" s="114"/>
      <c r="O699" s="114"/>
      <c r="P699" s="114"/>
      <c r="Q699" s="164"/>
      <c r="R699" s="110"/>
    </row>
    <row r="700" spans="1:18" hidden="1">
      <c r="A700" s="90">
        <v>694</v>
      </c>
      <c r="B700" s="24">
        <f>DATE('1.연간시수표'!$U$2,'1.연간시수표'!$X$2,'1.연간시수표'!$Z$2)+QUOTIENT(ROW(A694)-1,8)+(QUOTIENT(ROW(A694)-1,40)*2)</f>
        <v>44740</v>
      </c>
      <c r="C700" s="24" t="str">
        <f t="shared" si="30"/>
        <v>화</v>
      </c>
      <c r="D700" s="91" t="str">
        <f t="shared" si="31"/>
        <v>6교시</v>
      </c>
      <c r="E700" s="68">
        <f>COUNTIF($H$7:$H700,$H700)</f>
        <v>32</v>
      </c>
      <c r="F700" s="67">
        <f>'1.연간시수표'!$AL$33</f>
        <v>5</v>
      </c>
      <c r="G700" s="89">
        <f t="shared" si="32"/>
        <v>1</v>
      </c>
      <c r="H700" s="91" t="str">
        <f>INDEX('0.시간표데이터'!$E$10:$AR$32,QUOTIENT(ROW(A694)-1,40)+1,MOD(ROW(A694)-1,40)+1)</f>
        <v>실과</v>
      </c>
      <c r="I700" s="77"/>
      <c r="J700" s="26"/>
      <c r="K700" s="165"/>
      <c r="L700" s="165"/>
      <c r="M700" s="166"/>
      <c r="N700" s="166"/>
      <c r="O700" s="166"/>
      <c r="P700" s="166"/>
      <c r="Q700" s="167"/>
      <c r="R700" s="111"/>
    </row>
    <row r="701" spans="1:18" hidden="1">
      <c r="A701" s="90">
        <v>695</v>
      </c>
      <c r="B701" s="24">
        <f>DATE('1.연간시수표'!$U$2,'1.연간시수표'!$X$2,'1.연간시수표'!$Z$2)+QUOTIENT(ROW(A695)-1,8)+(QUOTIENT(ROW(A695)-1,40)*2)</f>
        <v>44740</v>
      </c>
      <c r="C701" s="24" t="str">
        <f t="shared" si="30"/>
        <v>화</v>
      </c>
      <c r="D701" s="91" t="str">
        <f t="shared" si="31"/>
        <v>7교시</v>
      </c>
      <c r="E701" s="68">
        <f>COUNTIF($H$7:$H701,$H701)</f>
        <v>231</v>
      </c>
      <c r="F701" s="67">
        <f>'1.연간시수표'!$AL$33</f>
        <v>5</v>
      </c>
      <c r="G701" s="89">
        <f t="shared" si="32"/>
        <v>1</v>
      </c>
      <c r="H701" s="91" t="str">
        <f>INDEX('0.시간표데이터'!$E$10:$AR$32,QUOTIENT(ROW(A695)-1,40)+1,MOD(ROW(A695)-1,40)+1)</f>
        <v>_</v>
      </c>
      <c r="I701" s="76"/>
      <c r="J701" s="26"/>
      <c r="K701" s="165"/>
      <c r="L701" s="165"/>
      <c r="M701" s="166"/>
      <c r="N701" s="166"/>
      <c r="O701" s="166"/>
      <c r="P701" s="166"/>
      <c r="Q701" s="167"/>
      <c r="R701" s="111"/>
    </row>
    <row r="702" spans="1:18" hidden="1">
      <c r="A702" s="90">
        <v>696</v>
      </c>
      <c r="B702" s="24">
        <f>DATE('1.연간시수표'!$U$2,'1.연간시수표'!$X$2,'1.연간시수표'!$Z$2)+QUOTIENT(ROW(A696)-1,8)+(QUOTIENT(ROW(A696)-1,40)*2)</f>
        <v>44740</v>
      </c>
      <c r="C702" s="24" t="str">
        <f t="shared" si="30"/>
        <v>화</v>
      </c>
      <c r="D702" s="91" t="str">
        <f t="shared" si="31"/>
        <v>8교시</v>
      </c>
      <c r="E702" s="68">
        <f>COUNTIF($H$7:$H702,$H702)</f>
        <v>232</v>
      </c>
      <c r="F702" s="67">
        <f>'1.연간시수표'!$AL$33</f>
        <v>5</v>
      </c>
      <c r="G702" s="89">
        <f t="shared" si="32"/>
        <v>1</v>
      </c>
      <c r="H702" s="91" t="str">
        <f>INDEX('0.시간표데이터'!$E$10:$AR$32,QUOTIENT(ROW(A696)-1,40)+1,MOD(ROW(A696)-1,40)+1)</f>
        <v>_</v>
      </c>
      <c r="I702" s="76"/>
      <c r="J702" s="26"/>
      <c r="K702" s="165"/>
      <c r="L702" s="165"/>
      <c r="M702" s="166"/>
      <c r="N702" s="166"/>
      <c r="O702" s="166"/>
      <c r="P702" s="166"/>
      <c r="Q702" s="167"/>
      <c r="R702" s="111"/>
    </row>
    <row r="703" spans="1:18" hidden="1">
      <c r="A703" s="90">
        <v>697</v>
      </c>
      <c r="B703" s="24">
        <f>DATE('1.연간시수표'!$U$2,'1.연간시수표'!$X$2,'1.연간시수표'!$Z$2)+QUOTIENT(ROW(A697)-1,8)+(QUOTIENT(ROW(A697)-1,40)*2)</f>
        <v>44741</v>
      </c>
      <c r="C703" s="24" t="str">
        <f t="shared" si="30"/>
        <v>수</v>
      </c>
      <c r="D703" s="91" t="str">
        <f t="shared" si="31"/>
        <v>1교시</v>
      </c>
      <c r="E703" s="68">
        <f>COUNTIF($H$7:$H703,$H703)</f>
        <v>46</v>
      </c>
      <c r="F703" s="67">
        <f>'1.연간시수표'!$AL$33</f>
        <v>5</v>
      </c>
      <c r="G703" s="89">
        <f t="shared" si="32"/>
        <v>1</v>
      </c>
      <c r="H703" s="91" t="str">
        <f>INDEX('0.시간표데이터'!$E$10:$AR$32,QUOTIENT(ROW(A697)-1,40)+1,MOD(ROW(A697)-1,40)+1)</f>
        <v>영어</v>
      </c>
      <c r="I703" s="77"/>
      <c r="J703" s="26"/>
      <c r="K703" s="162"/>
      <c r="L703" s="162"/>
      <c r="M703" s="170"/>
      <c r="N703" s="98"/>
      <c r="O703" s="168"/>
      <c r="P703" s="168"/>
      <c r="Q703" s="167"/>
      <c r="R703" s="111"/>
    </row>
    <row r="704" spans="1:18" hidden="1">
      <c r="A704" s="90">
        <v>698</v>
      </c>
      <c r="B704" s="24">
        <f>DATE('1.연간시수표'!$U$2,'1.연간시수표'!$X$2,'1.연간시수표'!$Z$2)+QUOTIENT(ROW(A698)-1,8)+(QUOTIENT(ROW(A698)-1,40)*2)</f>
        <v>44741</v>
      </c>
      <c r="C704" s="24" t="str">
        <f t="shared" si="30"/>
        <v>수</v>
      </c>
      <c r="D704" s="91" t="str">
        <f t="shared" si="31"/>
        <v>2교시</v>
      </c>
      <c r="E704" s="68">
        <f>COUNTIF($H$7:$H704,$H704)</f>
        <v>44</v>
      </c>
      <c r="F704" s="67">
        <f>'1.연간시수표'!$AL$33</f>
        <v>5</v>
      </c>
      <c r="G704" s="89">
        <f t="shared" si="32"/>
        <v>1</v>
      </c>
      <c r="H704" s="91" t="str">
        <f>INDEX('0.시간표데이터'!$E$10:$AR$32,QUOTIENT(ROW(A698)-1,40)+1,MOD(ROW(A698)-1,40)+1)</f>
        <v>과학</v>
      </c>
      <c r="I704" s="77"/>
      <c r="J704" s="26"/>
      <c r="K704" s="137"/>
      <c r="L704" s="137"/>
      <c r="M704" s="114"/>
      <c r="N704" s="114"/>
      <c r="O704" s="114"/>
      <c r="P704" s="114"/>
      <c r="Q704" s="164"/>
      <c r="R704" s="110"/>
    </row>
    <row r="705" spans="1:18" hidden="1">
      <c r="A705" s="90">
        <v>699</v>
      </c>
      <c r="B705" s="24">
        <f>DATE('1.연간시수표'!$U$2,'1.연간시수표'!$X$2,'1.연간시수표'!$Z$2)+QUOTIENT(ROW(A699)-1,8)+(QUOTIENT(ROW(A699)-1,40)*2)</f>
        <v>44741</v>
      </c>
      <c r="C705" s="24" t="str">
        <f t="shared" si="30"/>
        <v>수</v>
      </c>
      <c r="D705" s="91" t="str">
        <f t="shared" si="31"/>
        <v>3교시</v>
      </c>
      <c r="E705" s="68">
        <f>COUNTIF($H$7:$H705,$H705)</f>
        <v>31</v>
      </c>
      <c r="F705" s="67">
        <f>'1.연간시수표'!$AL$33</f>
        <v>5</v>
      </c>
      <c r="G705" s="89">
        <f t="shared" si="32"/>
        <v>1</v>
      </c>
      <c r="H705" s="91" t="str">
        <f>INDEX('0.시간표데이터'!$E$10:$AR$32,QUOTIENT(ROW(A699)-1,40)+1,MOD(ROW(A699)-1,40)+1)</f>
        <v>체육</v>
      </c>
      <c r="I705" s="77"/>
      <c r="J705" s="26"/>
      <c r="K705" s="162"/>
      <c r="L705" s="162"/>
      <c r="M705" s="169"/>
      <c r="N705" s="101"/>
      <c r="O705" s="168"/>
      <c r="P705" s="168"/>
      <c r="Q705" s="167"/>
      <c r="R705" s="111"/>
    </row>
    <row r="706" spans="1:18" hidden="1">
      <c r="A706" s="90">
        <v>700</v>
      </c>
      <c r="B706" s="24">
        <f>DATE('1.연간시수표'!$U$2,'1.연간시수표'!$X$2,'1.연간시수표'!$Z$2)+QUOTIENT(ROW(A700)-1,8)+(QUOTIENT(ROW(A700)-1,40)*2)</f>
        <v>44741</v>
      </c>
      <c r="C706" s="24" t="str">
        <f t="shared" si="30"/>
        <v>수</v>
      </c>
      <c r="D706" s="91" t="str">
        <f t="shared" si="31"/>
        <v>4교시</v>
      </c>
      <c r="E706" s="68">
        <f>COUNTIF($H$7:$H706,$H706)</f>
        <v>32</v>
      </c>
      <c r="F706" s="67">
        <f>'1.연간시수표'!$AL$33</f>
        <v>5</v>
      </c>
      <c r="G706" s="89">
        <f t="shared" si="32"/>
        <v>1</v>
      </c>
      <c r="H706" s="91" t="str">
        <f>INDEX('0.시간표데이터'!$E$10:$AR$32,QUOTIENT(ROW(A700)-1,40)+1,MOD(ROW(A700)-1,40)+1)</f>
        <v>체육</v>
      </c>
      <c r="I706" s="77"/>
      <c r="J706" s="26"/>
      <c r="K706" s="174"/>
      <c r="L706" s="174"/>
      <c r="M706" s="175"/>
      <c r="N706" s="96"/>
      <c r="O706" s="96"/>
      <c r="P706" s="96"/>
      <c r="Q706" s="167"/>
      <c r="R706" s="111"/>
    </row>
    <row r="707" spans="1:18">
      <c r="A707" s="90">
        <v>701</v>
      </c>
      <c r="B707" s="24">
        <f>DATE('1.연간시수표'!$U$2,'1.연간시수표'!$X$2,'1.연간시수표'!$Z$2)+QUOTIENT(ROW(A701)-1,8)+(QUOTIENT(ROW(A701)-1,40)*2)</f>
        <v>44741</v>
      </c>
      <c r="C707" s="24" t="str">
        <f t="shared" si="30"/>
        <v>수</v>
      </c>
      <c r="D707" s="91" t="str">
        <f t="shared" si="31"/>
        <v>5교시</v>
      </c>
      <c r="E707" s="68">
        <f>COUNTIF($H$7:$H707,$H707)</f>
        <v>31</v>
      </c>
      <c r="F707" s="67">
        <f>'1.연간시수표'!$AL$33</f>
        <v>5</v>
      </c>
      <c r="G707" s="89">
        <f t="shared" si="32"/>
        <v>1</v>
      </c>
      <c r="H707" s="91" t="str">
        <f>INDEX('0.시간표데이터'!$E$10:$AR$32,QUOTIENT(ROW(A701)-1,40)+1,MOD(ROW(A701)-1,40)+1)</f>
        <v>음악</v>
      </c>
      <c r="I707" s="77"/>
      <c r="J707" s="26"/>
      <c r="K707" s="173"/>
      <c r="L707" s="173"/>
      <c r="M707" s="10"/>
      <c r="N707" s="10"/>
      <c r="O707" s="10"/>
      <c r="P707" s="10"/>
      <c r="Q707" s="164"/>
      <c r="R707" s="109"/>
    </row>
    <row r="708" spans="1:18" hidden="1">
      <c r="A708" s="90">
        <v>702</v>
      </c>
      <c r="B708" s="24">
        <f>DATE('1.연간시수표'!$U$2,'1.연간시수표'!$X$2,'1.연간시수표'!$Z$2)+QUOTIENT(ROW(A702)-1,8)+(QUOTIENT(ROW(A702)-1,40)*2)</f>
        <v>44741</v>
      </c>
      <c r="C708" s="24" t="str">
        <f t="shared" si="30"/>
        <v>수</v>
      </c>
      <c r="D708" s="91" t="str">
        <f t="shared" si="31"/>
        <v>6교시</v>
      </c>
      <c r="E708" s="68">
        <f>COUNTIF($H$7:$H708,$H708)</f>
        <v>233</v>
      </c>
      <c r="F708" s="67">
        <f>'1.연간시수표'!$AL$33</f>
        <v>5</v>
      </c>
      <c r="G708" s="89">
        <f t="shared" si="32"/>
        <v>1</v>
      </c>
      <c r="H708" s="91" t="str">
        <f>INDEX('0.시간표데이터'!$E$10:$AR$32,QUOTIENT(ROW(A702)-1,40)+1,MOD(ROW(A702)-1,40)+1)</f>
        <v>_</v>
      </c>
      <c r="I708" s="77"/>
      <c r="J708" s="26"/>
      <c r="K708" s="165"/>
      <c r="L708" s="165"/>
      <c r="M708" s="166"/>
      <c r="N708" s="166"/>
      <c r="O708" s="166"/>
      <c r="P708" s="166"/>
      <c r="Q708" s="167"/>
      <c r="R708" s="111"/>
    </row>
    <row r="709" spans="1:18" hidden="1">
      <c r="A709" s="90">
        <v>703</v>
      </c>
      <c r="B709" s="24">
        <f>DATE('1.연간시수표'!$U$2,'1.연간시수표'!$X$2,'1.연간시수표'!$Z$2)+QUOTIENT(ROW(A703)-1,8)+(QUOTIENT(ROW(A703)-1,40)*2)</f>
        <v>44741</v>
      </c>
      <c r="C709" s="24" t="str">
        <f t="shared" si="30"/>
        <v>수</v>
      </c>
      <c r="D709" s="91" t="str">
        <f t="shared" si="31"/>
        <v>7교시</v>
      </c>
      <c r="E709" s="68">
        <f>COUNTIF($H$7:$H709,$H709)</f>
        <v>234</v>
      </c>
      <c r="F709" s="67">
        <f>'1.연간시수표'!$AL$33</f>
        <v>5</v>
      </c>
      <c r="G709" s="89">
        <f t="shared" si="32"/>
        <v>1</v>
      </c>
      <c r="H709" s="91" t="str">
        <f>INDEX('0.시간표데이터'!$E$10:$AR$32,QUOTIENT(ROW(A703)-1,40)+1,MOD(ROW(A703)-1,40)+1)</f>
        <v>_</v>
      </c>
      <c r="I709" s="76"/>
      <c r="J709" s="26"/>
      <c r="K709" s="165"/>
      <c r="L709" s="165"/>
      <c r="M709" s="166"/>
      <c r="N709" s="166"/>
      <c r="O709" s="166"/>
      <c r="P709" s="166"/>
      <c r="Q709" s="167"/>
      <c r="R709" s="111"/>
    </row>
    <row r="710" spans="1:18" hidden="1">
      <c r="A710" s="90">
        <v>704</v>
      </c>
      <c r="B710" s="24">
        <f>DATE('1.연간시수표'!$U$2,'1.연간시수표'!$X$2,'1.연간시수표'!$Z$2)+QUOTIENT(ROW(A704)-1,8)+(QUOTIENT(ROW(A704)-1,40)*2)</f>
        <v>44741</v>
      </c>
      <c r="C710" s="24" t="str">
        <f t="shared" si="30"/>
        <v>수</v>
      </c>
      <c r="D710" s="91" t="str">
        <f t="shared" si="31"/>
        <v>8교시</v>
      </c>
      <c r="E710" s="68">
        <f>COUNTIF($H$7:$H710,$H710)</f>
        <v>235</v>
      </c>
      <c r="F710" s="67">
        <f>'1.연간시수표'!$AL$33</f>
        <v>5</v>
      </c>
      <c r="G710" s="89">
        <f t="shared" si="32"/>
        <v>1</v>
      </c>
      <c r="H710" s="91" t="str">
        <f>INDEX('0.시간표데이터'!$E$10:$AR$32,QUOTIENT(ROW(A704)-1,40)+1,MOD(ROW(A704)-1,40)+1)</f>
        <v>_</v>
      </c>
      <c r="I710" s="76"/>
      <c r="J710" s="26"/>
      <c r="K710" s="165"/>
      <c r="L710" s="165"/>
      <c r="M710" s="166"/>
      <c r="N710" s="166"/>
      <c r="O710" s="166"/>
      <c r="P710" s="166"/>
      <c r="Q710" s="167"/>
      <c r="R710" s="111"/>
    </row>
    <row r="711" spans="1:18" hidden="1">
      <c r="A711" s="90">
        <v>705</v>
      </c>
      <c r="B711" s="24">
        <f>DATE('1.연간시수표'!$U$2,'1.연간시수표'!$X$2,'1.연간시수표'!$Z$2)+QUOTIENT(ROW(A705)-1,8)+(QUOTIENT(ROW(A705)-1,40)*2)</f>
        <v>44742</v>
      </c>
      <c r="C711" s="24" t="str">
        <f t="shared" ref="C711:C774" si="33">IF(WEEKDAY(B711,2)=1,"월",IF(WEEKDAY(B711,2)=2,"화",IF(WEEKDAY(B711,2)=3,"수",IF(WEEKDAY(B711,2)=4,"목",IF(WEEKDAY(B711,2)=5,"금")))))</f>
        <v>목</v>
      </c>
      <c r="D711" s="91" t="str">
        <f t="shared" ref="D711:D774" si="34">TEXT(MOD(ROW(A705)-1,8)+1,"#교시")</f>
        <v>1교시</v>
      </c>
      <c r="E711" s="68">
        <f>COUNTIF($H$7:$H711,$H711)</f>
        <v>92</v>
      </c>
      <c r="F711" s="67">
        <f>'1.연간시수표'!$AL$33</f>
        <v>5</v>
      </c>
      <c r="G711" s="89">
        <f t="shared" ref="G711:G774" si="35">$A$2</f>
        <v>1</v>
      </c>
      <c r="H711" s="91" t="str">
        <f>INDEX('0.시간표데이터'!$E$10:$AR$32,QUOTIENT(ROW(A705)-1,40)+1,MOD(ROW(A705)-1,40)+1)</f>
        <v>국어</v>
      </c>
      <c r="I711" s="77"/>
      <c r="J711" s="26"/>
      <c r="K711" s="162"/>
      <c r="L711" s="162"/>
      <c r="M711" s="168"/>
      <c r="N711" s="98"/>
      <c r="O711" s="99"/>
      <c r="P711" s="99"/>
      <c r="Q711" s="167"/>
      <c r="R711" s="111"/>
    </row>
    <row r="712" spans="1:18" hidden="1">
      <c r="A712" s="90">
        <v>706</v>
      </c>
      <c r="B712" s="24">
        <f>DATE('1.연간시수표'!$U$2,'1.연간시수표'!$X$2,'1.연간시수표'!$Z$2)+QUOTIENT(ROW(A706)-1,8)+(QUOTIENT(ROW(A706)-1,40)*2)</f>
        <v>44742</v>
      </c>
      <c r="C712" s="24" t="str">
        <f t="shared" si="33"/>
        <v>목</v>
      </c>
      <c r="D712" s="91" t="str">
        <f t="shared" si="34"/>
        <v>2교시</v>
      </c>
      <c r="E712" s="68">
        <f>COUNTIF($H$7:$H712,$H712)</f>
        <v>63</v>
      </c>
      <c r="F712" s="67">
        <f>'1.연간시수표'!$AL$33</f>
        <v>5</v>
      </c>
      <c r="G712" s="89">
        <f t="shared" si="35"/>
        <v>1</v>
      </c>
      <c r="H712" s="91" t="str">
        <f>INDEX('0.시간표데이터'!$E$10:$AR$32,QUOTIENT(ROW(A706)-1,40)+1,MOD(ROW(A706)-1,40)+1)</f>
        <v>수학</v>
      </c>
      <c r="I712" s="161"/>
      <c r="J712" s="26"/>
      <c r="K712" s="165"/>
      <c r="L712" s="165"/>
      <c r="M712" s="166"/>
      <c r="N712" s="166"/>
      <c r="O712" s="166"/>
      <c r="P712" s="166"/>
      <c r="Q712" s="167"/>
      <c r="R712" s="111"/>
    </row>
    <row r="713" spans="1:18" hidden="1">
      <c r="A713" s="90">
        <v>707</v>
      </c>
      <c r="B713" s="24">
        <f>DATE('1.연간시수표'!$U$2,'1.연간시수표'!$X$2,'1.연간시수표'!$Z$2)+QUOTIENT(ROW(A707)-1,8)+(QUOTIENT(ROW(A707)-1,40)*2)</f>
        <v>44742</v>
      </c>
      <c r="C713" s="24" t="str">
        <f t="shared" si="33"/>
        <v>목</v>
      </c>
      <c r="D713" s="91" t="str">
        <f t="shared" si="34"/>
        <v>3교시</v>
      </c>
      <c r="E713" s="68">
        <f>COUNTIF($H$7:$H713,$H713)</f>
        <v>33</v>
      </c>
      <c r="F713" s="67">
        <f>'1.연간시수표'!$AL$33</f>
        <v>5</v>
      </c>
      <c r="G713" s="89">
        <f t="shared" si="35"/>
        <v>1</v>
      </c>
      <c r="H713" s="91" t="str">
        <f>INDEX('0.시간표데이터'!$E$10:$AR$32,QUOTIENT(ROW(A707)-1,40)+1,MOD(ROW(A707)-1,40)+1)</f>
        <v>체육</v>
      </c>
      <c r="I713" s="77"/>
      <c r="J713" s="26"/>
      <c r="K713" s="176"/>
      <c r="L713" s="176"/>
      <c r="M713" s="177"/>
      <c r="N713" s="113"/>
      <c r="O713" s="113"/>
      <c r="P713" s="113"/>
      <c r="Q713" s="167"/>
      <c r="R713" s="111"/>
    </row>
    <row r="714" spans="1:18" hidden="1">
      <c r="A714" s="90">
        <v>708</v>
      </c>
      <c r="B714" s="24">
        <f>DATE('1.연간시수표'!$U$2,'1.연간시수표'!$X$2,'1.연간시수표'!$Z$2)+QUOTIENT(ROW(A708)-1,8)+(QUOTIENT(ROW(A708)-1,40)*2)</f>
        <v>44742</v>
      </c>
      <c r="C714" s="24" t="str">
        <f t="shared" si="33"/>
        <v>목</v>
      </c>
      <c r="D714" s="91" t="str">
        <f t="shared" si="34"/>
        <v>4교시</v>
      </c>
      <c r="E714" s="68">
        <f>COUNTIF($H$7:$H714,$H714)</f>
        <v>34</v>
      </c>
      <c r="F714" s="67">
        <f>'1.연간시수표'!$AL$33</f>
        <v>5</v>
      </c>
      <c r="G714" s="89">
        <f t="shared" si="35"/>
        <v>1</v>
      </c>
      <c r="H714" s="91" t="str">
        <f>INDEX('0.시간표데이터'!$E$10:$AR$32,QUOTIENT(ROW(A708)-1,40)+1,MOD(ROW(A708)-1,40)+1)</f>
        <v>체육</v>
      </c>
      <c r="I714" s="77"/>
      <c r="J714" s="26"/>
      <c r="K714" s="162"/>
      <c r="L714" s="162"/>
      <c r="M714" s="170"/>
      <c r="N714" s="98"/>
      <c r="O714" s="168"/>
      <c r="P714" s="168"/>
      <c r="Q714" s="167"/>
      <c r="R714" s="111"/>
    </row>
    <row r="715" spans="1:18" hidden="1">
      <c r="A715" s="90">
        <v>709</v>
      </c>
      <c r="B715" s="24">
        <f>DATE('1.연간시수표'!$U$2,'1.연간시수표'!$X$2,'1.연간시수표'!$Z$2)+QUOTIENT(ROW(A709)-1,8)+(QUOTIENT(ROW(A709)-1,40)*2)</f>
        <v>44742</v>
      </c>
      <c r="C715" s="24" t="str">
        <f t="shared" si="33"/>
        <v>목</v>
      </c>
      <c r="D715" s="91" t="str">
        <f t="shared" si="34"/>
        <v>5교시</v>
      </c>
      <c r="E715" s="68">
        <f>COUNTIF($H$7:$H715,$H715)</f>
        <v>45</v>
      </c>
      <c r="F715" s="67">
        <f>'1.연간시수표'!$AL$33</f>
        <v>5</v>
      </c>
      <c r="G715" s="89">
        <f t="shared" si="35"/>
        <v>1</v>
      </c>
      <c r="H715" s="91" t="str">
        <f>INDEX('0.시간표데이터'!$E$10:$AR$32,QUOTIENT(ROW(A709)-1,40)+1,MOD(ROW(A709)-1,40)+1)</f>
        <v>과학</v>
      </c>
      <c r="I715" s="77"/>
      <c r="J715" s="26"/>
      <c r="K715" s="165"/>
      <c r="L715" s="165"/>
      <c r="M715" s="166"/>
      <c r="N715" s="166"/>
      <c r="O715" s="166"/>
      <c r="P715" s="166"/>
      <c r="Q715" s="167"/>
      <c r="R715" s="111"/>
    </row>
    <row r="716" spans="1:18" hidden="1">
      <c r="A716" s="90">
        <v>710</v>
      </c>
      <c r="B716" s="24">
        <f>DATE('1.연간시수표'!$U$2,'1.연간시수표'!$X$2,'1.연간시수표'!$Z$2)+QUOTIENT(ROW(A710)-1,8)+(QUOTIENT(ROW(A710)-1,40)*2)</f>
        <v>44742</v>
      </c>
      <c r="C716" s="24" t="str">
        <f t="shared" si="33"/>
        <v>목</v>
      </c>
      <c r="D716" s="91" t="str">
        <f t="shared" si="34"/>
        <v>6교시</v>
      </c>
      <c r="E716" s="68">
        <f>COUNTIF($H$7:$H716,$H716)</f>
        <v>32</v>
      </c>
      <c r="F716" s="67">
        <f>'1.연간시수표'!$AL$33</f>
        <v>5</v>
      </c>
      <c r="G716" s="89">
        <f t="shared" si="35"/>
        <v>1</v>
      </c>
      <c r="H716" s="91" t="str">
        <f>INDEX('0.시간표데이터'!$E$10:$AR$32,QUOTIENT(ROW(A710)-1,40)+1,MOD(ROW(A710)-1,40)+1)</f>
        <v>음악</v>
      </c>
      <c r="I716" s="161"/>
      <c r="J716" s="26"/>
      <c r="K716" s="165"/>
      <c r="L716" s="165"/>
      <c r="M716" s="166"/>
      <c r="N716" s="166"/>
      <c r="O716" s="166"/>
      <c r="P716" s="166"/>
      <c r="Q716" s="167"/>
      <c r="R716" s="111"/>
    </row>
    <row r="717" spans="1:18" hidden="1">
      <c r="A717" s="90">
        <v>711</v>
      </c>
      <c r="B717" s="24">
        <f>DATE('1.연간시수표'!$U$2,'1.연간시수표'!$X$2,'1.연간시수표'!$Z$2)+QUOTIENT(ROW(A711)-1,8)+(QUOTIENT(ROW(A711)-1,40)*2)</f>
        <v>44742</v>
      </c>
      <c r="C717" s="24" t="str">
        <f t="shared" si="33"/>
        <v>목</v>
      </c>
      <c r="D717" s="91" t="str">
        <f t="shared" si="34"/>
        <v>7교시</v>
      </c>
      <c r="E717" s="68">
        <f>COUNTIF($H$7:$H717,$H717)</f>
        <v>236</v>
      </c>
      <c r="F717" s="67">
        <f>'1.연간시수표'!$AL$33</f>
        <v>5</v>
      </c>
      <c r="G717" s="89">
        <f t="shared" si="35"/>
        <v>1</v>
      </c>
      <c r="H717" s="91" t="str">
        <f>INDEX('0.시간표데이터'!$E$10:$AR$32,QUOTIENT(ROW(A711)-1,40)+1,MOD(ROW(A711)-1,40)+1)</f>
        <v>_</v>
      </c>
      <c r="I717" s="76"/>
      <c r="J717" s="26"/>
      <c r="K717" s="165"/>
      <c r="L717" s="165"/>
      <c r="M717" s="166"/>
      <c r="N717" s="166"/>
      <c r="O717" s="166"/>
      <c r="P717" s="166"/>
      <c r="Q717" s="167"/>
      <c r="R717" s="111"/>
    </row>
    <row r="718" spans="1:18" hidden="1">
      <c r="A718" s="90">
        <v>712</v>
      </c>
      <c r="B718" s="24">
        <f>DATE('1.연간시수표'!$U$2,'1.연간시수표'!$X$2,'1.연간시수표'!$Z$2)+QUOTIENT(ROW(A712)-1,8)+(QUOTIENT(ROW(A712)-1,40)*2)</f>
        <v>44742</v>
      </c>
      <c r="C718" s="24" t="str">
        <f t="shared" si="33"/>
        <v>목</v>
      </c>
      <c r="D718" s="91" t="str">
        <f t="shared" si="34"/>
        <v>8교시</v>
      </c>
      <c r="E718" s="68">
        <f>COUNTIF($H$7:$H718,$H718)</f>
        <v>237</v>
      </c>
      <c r="F718" s="67">
        <f>'1.연간시수표'!$AL$33</f>
        <v>5</v>
      </c>
      <c r="G718" s="89">
        <f t="shared" si="35"/>
        <v>1</v>
      </c>
      <c r="H718" s="91" t="str">
        <f>INDEX('0.시간표데이터'!$E$10:$AR$32,QUOTIENT(ROW(A712)-1,40)+1,MOD(ROW(A712)-1,40)+1)</f>
        <v>_</v>
      </c>
      <c r="I718" s="76"/>
      <c r="J718" s="26"/>
      <c r="K718" s="165"/>
      <c r="L718" s="165"/>
      <c r="M718" s="166"/>
      <c r="N718" s="166"/>
      <c r="O718" s="166"/>
      <c r="P718" s="166"/>
      <c r="Q718" s="167"/>
      <c r="R718" s="111"/>
    </row>
    <row r="719" spans="1:18" hidden="1">
      <c r="A719" s="90">
        <v>713</v>
      </c>
      <c r="B719" s="24">
        <f>DATE('1.연간시수표'!$U$2,'1.연간시수표'!$X$2,'1.연간시수표'!$Z$2)+QUOTIENT(ROW(A713)-1,8)+(QUOTIENT(ROW(A713)-1,40)*2)</f>
        <v>44743</v>
      </c>
      <c r="C719" s="24" t="str">
        <f t="shared" si="33"/>
        <v>금</v>
      </c>
      <c r="D719" s="91" t="str">
        <f t="shared" si="34"/>
        <v>1교시</v>
      </c>
      <c r="E719" s="68">
        <f>COUNTIF($H$7:$H719,$H719)</f>
        <v>28</v>
      </c>
      <c r="F719" s="67">
        <f>'1.연간시수표'!$AL$33</f>
        <v>5</v>
      </c>
      <c r="G719" s="89">
        <f t="shared" si="35"/>
        <v>1</v>
      </c>
      <c r="H719" s="91" t="str">
        <f>INDEX('0.시간표데이터'!$E$10:$AR$32,QUOTIENT(ROW(A713)-1,40)+1,MOD(ROW(A713)-1,40)+1)</f>
        <v>자율활동</v>
      </c>
      <c r="I719" s="77"/>
      <c r="J719" s="26"/>
      <c r="K719" s="162"/>
      <c r="L719" s="162"/>
      <c r="M719" s="168"/>
      <c r="N719" s="98"/>
      <c r="O719" s="99"/>
      <c r="P719" s="99"/>
      <c r="Q719" s="167"/>
      <c r="R719" s="111"/>
    </row>
    <row r="720" spans="1:18" hidden="1">
      <c r="A720" s="90">
        <v>714</v>
      </c>
      <c r="B720" s="24">
        <f>DATE('1.연간시수표'!$U$2,'1.연간시수표'!$X$2,'1.연간시수표'!$Z$2)+QUOTIENT(ROW(A714)-1,8)+(QUOTIENT(ROW(A714)-1,40)*2)</f>
        <v>44743</v>
      </c>
      <c r="C720" s="24" t="str">
        <f t="shared" si="33"/>
        <v>금</v>
      </c>
      <c r="D720" s="91" t="str">
        <f t="shared" si="34"/>
        <v>2교시</v>
      </c>
      <c r="E720" s="68">
        <f>COUNTIF($H$7:$H720,$H720)</f>
        <v>35</v>
      </c>
      <c r="F720" s="67">
        <f>'1.연간시수표'!$AL$33</f>
        <v>5</v>
      </c>
      <c r="G720" s="89">
        <f t="shared" si="35"/>
        <v>1</v>
      </c>
      <c r="H720" s="91" t="str">
        <f>INDEX('0.시간표데이터'!$E$10:$AR$32,QUOTIENT(ROW(A714)-1,40)+1,MOD(ROW(A714)-1,40)+1)</f>
        <v>체육</v>
      </c>
      <c r="I720" s="77"/>
      <c r="J720" s="26"/>
      <c r="K720" s="162"/>
      <c r="L720" s="162"/>
      <c r="M720" s="168"/>
      <c r="N720" s="98"/>
      <c r="O720" s="99"/>
      <c r="P720" s="99"/>
      <c r="Q720" s="167"/>
      <c r="R720" s="111"/>
    </row>
    <row r="721" spans="1:18" hidden="1">
      <c r="A721" s="90">
        <v>715</v>
      </c>
      <c r="B721" s="24">
        <f>DATE('1.연간시수표'!$U$2,'1.연간시수표'!$X$2,'1.연간시수표'!$Z$2)+QUOTIENT(ROW(A715)-1,8)+(QUOTIENT(ROW(A715)-1,40)*2)</f>
        <v>44743</v>
      </c>
      <c r="C721" s="24" t="str">
        <f t="shared" si="33"/>
        <v>금</v>
      </c>
      <c r="D721" s="91" t="str">
        <f t="shared" si="34"/>
        <v>3교시</v>
      </c>
      <c r="E721" s="68">
        <f>COUNTIF($H$7:$H721,$H721)</f>
        <v>36</v>
      </c>
      <c r="F721" s="67">
        <f>'1.연간시수표'!$AL$33</f>
        <v>5</v>
      </c>
      <c r="G721" s="89">
        <f t="shared" si="35"/>
        <v>1</v>
      </c>
      <c r="H721" s="91" t="str">
        <f>INDEX('0.시간표데이터'!$E$10:$AR$32,QUOTIENT(ROW(A715)-1,40)+1,MOD(ROW(A715)-1,40)+1)</f>
        <v>체육</v>
      </c>
      <c r="I721" s="77"/>
      <c r="J721" s="26"/>
      <c r="K721" s="165"/>
      <c r="L721" s="165"/>
      <c r="M721" s="166"/>
      <c r="N721" s="166"/>
      <c r="O721" s="166"/>
      <c r="P721" s="166"/>
      <c r="Q721" s="167"/>
      <c r="R721" s="111"/>
    </row>
    <row r="722" spans="1:18" hidden="1">
      <c r="A722" s="90">
        <v>716</v>
      </c>
      <c r="B722" s="24">
        <f>DATE('1.연간시수표'!$U$2,'1.연간시수표'!$X$2,'1.연간시수표'!$Z$2)+QUOTIENT(ROW(A716)-1,8)+(QUOTIENT(ROW(A716)-1,40)*2)</f>
        <v>44743</v>
      </c>
      <c r="C722" s="24" t="str">
        <f t="shared" si="33"/>
        <v>금</v>
      </c>
      <c r="D722" s="91" t="str">
        <f t="shared" si="34"/>
        <v>4교시</v>
      </c>
      <c r="E722" s="68">
        <f>COUNTIF($H$7:$H722,$H722)</f>
        <v>93</v>
      </c>
      <c r="F722" s="67">
        <f>'1.연간시수표'!$AL$33</f>
        <v>5</v>
      </c>
      <c r="G722" s="89">
        <f t="shared" si="35"/>
        <v>1</v>
      </c>
      <c r="H722" s="91" t="str">
        <f>INDEX('0.시간표데이터'!$E$10:$AR$32,QUOTIENT(ROW(A716)-1,40)+1,MOD(ROW(A716)-1,40)+1)</f>
        <v>국어</v>
      </c>
      <c r="I722" s="77"/>
      <c r="J722" s="26"/>
      <c r="K722" s="162"/>
      <c r="L722" s="162"/>
      <c r="M722" s="169"/>
      <c r="N722" s="101"/>
      <c r="O722" s="168"/>
      <c r="P722" s="168"/>
      <c r="Q722" s="167"/>
      <c r="R722" s="111"/>
    </row>
    <row r="723" spans="1:18" hidden="1">
      <c r="A723" s="90">
        <v>717</v>
      </c>
      <c r="B723" s="24">
        <f>DATE('1.연간시수표'!$U$2,'1.연간시수표'!$X$2,'1.연간시수표'!$Z$2)+QUOTIENT(ROW(A717)-1,8)+(QUOTIENT(ROW(A717)-1,40)*2)</f>
        <v>44743</v>
      </c>
      <c r="C723" s="24" t="str">
        <f t="shared" si="33"/>
        <v>금</v>
      </c>
      <c r="D723" s="91" t="str">
        <f t="shared" si="34"/>
        <v>5교시</v>
      </c>
      <c r="E723" s="68">
        <f>COUNTIF($H$7:$H723,$H723)</f>
        <v>48</v>
      </c>
      <c r="F723" s="67">
        <f>'1.연간시수표'!$AL$33</f>
        <v>5</v>
      </c>
      <c r="G723" s="89">
        <f t="shared" si="35"/>
        <v>1</v>
      </c>
      <c r="H723" s="91" t="str">
        <f>INDEX('0.시간표데이터'!$E$10:$AR$32,QUOTIENT(ROW(A717)-1,40)+1,MOD(ROW(A717)-1,40)+1)</f>
        <v>사회</v>
      </c>
      <c r="I723" s="77"/>
      <c r="J723" s="26"/>
      <c r="K723" s="162"/>
      <c r="L723" s="162"/>
      <c r="M723" s="170"/>
      <c r="N723" s="98"/>
      <c r="O723" s="168"/>
      <c r="P723" s="168"/>
      <c r="Q723" s="167"/>
      <c r="R723" s="111"/>
    </row>
    <row r="724" spans="1:18" hidden="1">
      <c r="A724" s="90">
        <v>718</v>
      </c>
      <c r="B724" s="24">
        <f>DATE('1.연간시수표'!$U$2,'1.연간시수표'!$X$2,'1.연간시수표'!$Z$2)+QUOTIENT(ROW(A718)-1,8)+(QUOTIENT(ROW(A718)-1,40)*2)</f>
        <v>44743</v>
      </c>
      <c r="C724" s="24" t="str">
        <f t="shared" si="33"/>
        <v>금</v>
      </c>
      <c r="D724" s="91" t="str">
        <f t="shared" si="34"/>
        <v>6교시</v>
      </c>
      <c r="E724" s="68">
        <f>COUNTIF($H$7:$H724,$H724)</f>
        <v>33</v>
      </c>
      <c r="F724" s="67">
        <f>'1.연간시수표'!$AL$33</f>
        <v>5</v>
      </c>
      <c r="G724" s="89">
        <f t="shared" si="35"/>
        <v>1</v>
      </c>
      <c r="H724" s="91" t="str">
        <f>INDEX('0.시간표데이터'!$E$10:$AR$32,QUOTIENT(ROW(A718)-1,40)+1,MOD(ROW(A718)-1,40)+1)</f>
        <v>실과</v>
      </c>
      <c r="I724" s="77"/>
      <c r="J724" s="26"/>
      <c r="K724" s="165"/>
      <c r="L724" s="165"/>
      <c r="M724" s="166"/>
      <c r="N724" s="166"/>
      <c r="O724" s="166"/>
      <c r="P724" s="166"/>
      <c r="Q724" s="167"/>
      <c r="R724" s="111"/>
    </row>
    <row r="725" spans="1:18" hidden="1">
      <c r="A725" s="90">
        <v>719</v>
      </c>
      <c r="B725" s="24">
        <f>DATE('1.연간시수표'!$U$2,'1.연간시수표'!$X$2,'1.연간시수표'!$Z$2)+QUOTIENT(ROW(A719)-1,8)+(QUOTIENT(ROW(A719)-1,40)*2)</f>
        <v>44743</v>
      </c>
      <c r="C725" s="24" t="str">
        <f t="shared" si="33"/>
        <v>금</v>
      </c>
      <c r="D725" s="91" t="str">
        <f t="shared" si="34"/>
        <v>7교시</v>
      </c>
      <c r="E725" s="68">
        <f>COUNTIF($H$7:$H725,$H725)</f>
        <v>238</v>
      </c>
      <c r="F725" s="67">
        <f>'1.연간시수표'!$AL$33</f>
        <v>5</v>
      </c>
      <c r="G725" s="89">
        <f t="shared" si="35"/>
        <v>1</v>
      </c>
      <c r="H725" s="91" t="str">
        <f>INDEX('0.시간표데이터'!$E$10:$AR$32,QUOTIENT(ROW(A719)-1,40)+1,MOD(ROW(A719)-1,40)+1)</f>
        <v>_</v>
      </c>
      <c r="I725" s="76"/>
      <c r="J725" s="26"/>
      <c r="K725" s="165"/>
      <c r="L725" s="165"/>
      <c r="M725" s="166"/>
      <c r="N725" s="166"/>
      <c r="O725" s="166"/>
      <c r="P725" s="166"/>
      <c r="Q725" s="167"/>
      <c r="R725" s="111"/>
    </row>
    <row r="726" spans="1:18" hidden="1">
      <c r="A726" s="90">
        <v>720</v>
      </c>
      <c r="B726" s="24">
        <f>DATE('1.연간시수표'!$U$2,'1.연간시수표'!$X$2,'1.연간시수표'!$Z$2)+QUOTIENT(ROW(A720)-1,8)+(QUOTIENT(ROW(A720)-1,40)*2)</f>
        <v>44743</v>
      </c>
      <c r="C726" s="24" t="str">
        <f t="shared" si="33"/>
        <v>금</v>
      </c>
      <c r="D726" s="91" t="str">
        <f t="shared" si="34"/>
        <v>8교시</v>
      </c>
      <c r="E726" s="68">
        <f>COUNTIF($H$7:$H726,$H726)</f>
        <v>239</v>
      </c>
      <c r="F726" s="67">
        <f>'1.연간시수표'!$AL$33</f>
        <v>5</v>
      </c>
      <c r="G726" s="89">
        <f t="shared" si="35"/>
        <v>1</v>
      </c>
      <c r="H726" s="91" t="str">
        <f>INDEX('0.시간표데이터'!$E$10:$AR$32,QUOTIENT(ROW(A720)-1,40)+1,MOD(ROW(A720)-1,40)+1)</f>
        <v>_</v>
      </c>
      <c r="I726" s="76"/>
      <c r="J726" s="26"/>
      <c r="K726" s="165"/>
      <c r="L726" s="165"/>
      <c r="M726" s="166"/>
      <c r="N726" s="166"/>
      <c r="O726" s="166"/>
      <c r="P726" s="166"/>
      <c r="Q726" s="167"/>
      <c r="R726" s="111"/>
    </row>
    <row r="727" spans="1:18" hidden="1">
      <c r="A727" s="90">
        <v>721</v>
      </c>
      <c r="B727" s="24">
        <f>DATE('1.연간시수표'!$U$2,'1.연간시수표'!$X$2,'1.연간시수표'!$Z$2)+QUOTIENT(ROW(A721)-1,8)+(QUOTIENT(ROW(A721)-1,40)*2)</f>
        <v>44746</v>
      </c>
      <c r="C727" s="24" t="str">
        <f t="shared" si="33"/>
        <v>월</v>
      </c>
      <c r="D727" s="91" t="str">
        <f t="shared" si="34"/>
        <v>1교시</v>
      </c>
      <c r="E727" s="68">
        <f>COUNTIF($H$7:$H727,$H727)</f>
        <v>94</v>
      </c>
      <c r="F727" s="67">
        <f>'1.연간시수표'!$AL$33</f>
        <v>5</v>
      </c>
      <c r="G727" s="89">
        <f t="shared" si="35"/>
        <v>1</v>
      </c>
      <c r="H727" s="91" t="str">
        <f>INDEX('0.시간표데이터'!$E$10:$AR$32,QUOTIENT(ROW(A721)-1,40)+1,MOD(ROW(A721)-1,40)+1)</f>
        <v>국어</v>
      </c>
      <c r="I727" s="77"/>
      <c r="J727" s="26"/>
      <c r="K727" s="174"/>
      <c r="L727" s="174"/>
      <c r="M727" s="175"/>
      <c r="N727" s="96"/>
      <c r="O727" s="96"/>
      <c r="P727" s="96"/>
      <c r="Q727" s="164"/>
      <c r="R727" s="110"/>
    </row>
    <row r="728" spans="1:18" hidden="1">
      <c r="A728" s="90">
        <v>722</v>
      </c>
      <c r="B728" s="24">
        <f>DATE('1.연간시수표'!$U$2,'1.연간시수표'!$X$2,'1.연간시수표'!$Z$2)+QUOTIENT(ROW(A722)-1,8)+(QUOTIENT(ROW(A722)-1,40)*2)</f>
        <v>44746</v>
      </c>
      <c r="C728" s="24" t="str">
        <f t="shared" si="33"/>
        <v>월</v>
      </c>
      <c r="D728" s="91" t="str">
        <f t="shared" si="34"/>
        <v>2교시</v>
      </c>
      <c r="E728" s="68">
        <f>COUNTIF($H$7:$H728,$H728)</f>
        <v>33</v>
      </c>
      <c r="F728" s="67">
        <f>'1.연간시수표'!$AL$33</f>
        <v>5</v>
      </c>
      <c r="G728" s="89">
        <f t="shared" si="35"/>
        <v>1</v>
      </c>
      <c r="H728" s="91" t="str">
        <f>INDEX('0.시간표데이터'!$E$10:$AR$32,QUOTIENT(ROW(A722)-1,40)+1,MOD(ROW(A722)-1,40)+1)</f>
        <v>미술</v>
      </c>
      <c r="I728" s="161"/>
      <c r="J728" s="26"/>
      <c r="K728" s="165"/>
      <c r="L728" s="165"/>
      <c r="M728" s="166"/>
      <c r="N728" s="166"/>
      <c r="O728" s="166"/>
      <c r="P728" s="166"/>
      <c r="Q728" s="167"/>
      <c r="R728" s="111"/>
    </row>
    <row r="729" spans="1:18" hidden="1">
      <c r="A729" s="90">
        <v>723</v>
      </c>
      <c r="B729" s="24">
        <f>DATE('1.연간시수표'!$U$2,'1.연간시수표'!$X$2,'1.연간시수표'!$Z$2)+QUOTIENT(ROW(A723)-1,8)+(QUOTIENT(ROW(A723)-1,40)*2)</f>
        <v>44746</v>
      </c>
      <c r="C729" s="24" t="str">
        <f t="shared" si="33"/>
        <v>월</v>
      </c>
      <c r="D729" s="91" t="str">
        <f t="shared" si="34"/>
        <v>3교시</v>
      </c>
      <c r="E729" s="68">
        <f>COUNTIF($H$7:$H729,$H729)</f>
        <v>34</v>
      </c>
      <c r="F729" s="67">
        <f>'1.연간시수표'!$AL$33</f>
        <v>5</v>
      </c>
      <c r="G729" s="89">
        <f t="shared" si="35"/>
        <v>1</v>
      </c>
      <c r="H729" s="91" t="str">
        <f>INDEX('0.시간표데이터'!$E$10:$AR$32,QUOTIENT(ROW(A723)-1,40)+1,MOD(ROW(A723)-1,40)+1)</f>
        <v>미술</v>
      </c>
      <c r="I729" s="77"/>
      <c r="J729" s="26"/>
      <c r="K729" s="162"/>
      <c r="L729" s="162"/>
      <c r="M729" s="169"/>
      <c r="N729" s="101"/>
      <c r="O729" s="168"/>
      <c r="P729" s="168"/>
      <c r="Q729" s="167"/>
      <c r="R729" s="111"/>
    </row>
    <row r="730" spans="1:18" hidden="1">
      <c r="A730" s="90">
        <v>724</v>
      </c>
      <c r="B730" s="24">
        <f>DATE('1.연간시수표'!$U$2,'1.연간시수표'!$X$2,'1.연간시수표'!$Z$2)+QUOTIENT(ROW(A724)-1,8)+(QUOTIENT(ROW(A724)-1,40)*2)</f>
        <v>44746</v>
      </c>
      <c r="C730" s="24" t="str">
        <f t="shared" si="33"/>
        <v>월</v>
      </c>
      <c r="D730" s="91" t="str">
        <f t="shared" si="34"/>
        <v>4교시</v>
      </c>
      <c r="E730" s="68">
        <f>COUNTIF($H$7:$H730,$H730)</f>
        <v>47</v>
      </c>
      <c r="F730" s="67">
        <f>'1.연간시수표'!$AL$33</f>
        <v>5</v>
      </c>
      <c r="G730" s="89">
        <f t="shared" si="35"/>
        <v>1</v>
      </c>
      <c r="H730" s="91" t="str">
        <f>INDEX('0.시간표데이터'!$E$10:$AR$32,QUOTIENT(ROW(A724)-1,40)+1,MOD(ROW(A724)-1,40)+1)</f>
        <v>영어</v>
      </c>
      <c r="I730" s="77"/>
      <c r="J730" s="26"/>
      <c r="K730" s="162"/>
      <c r="L730" s="162"/>
      <c r="M730" s="169"/>
      <c r="N730" s="101"/>
      <c r="O730" s="168"/>
      <c r="P730" s="168"/>
      <c r="Q730" s="167"/>
      <c r="R730" s="111"/>
    </row>
    <row r="731" spans="1:18">
      <c r="A731" s="90">
        <v>725</v>
      </c>
      <c r="B731" s="24">
        <f>DATE('1.연간시수표'!$U$2,'1.연간시수표'!$X$2,'1.연간시수표'!$Z$2)+QUOTIENT(ROW(A725)-1,8)+(QUOTIENT(ROW(A725)-1,40)*2)</f>
        <v>44746</v>
      </c>
      <c r="C731" s="24" t="str">
        <f t="shared" si="33"/>
        <v>월</v>
      </c>
      <c r="D731" s="91" t="str">
        <f t="shared" si="34"/>
        <v>5교시</v>
      </c>
      <c r="E731" s="68">
        <f>COUNTIF($H$7:$H731,$H731)</f>
        <v>64</v>
      </c>
      <c r="F731" s="67">
        <f>'1.연간시수표'!$AL$33</f>
        <v>5</v>
      </c>
      <c r="G731" s="89">
        <f t="shared" si="35"/>
        <v>1</v>
      </c>
      <c r="H731" s="91" t="str">
        <f>INDEX('0.시간표데이터'!$E$10:$AR$32,QUOTIENT(ROW(A725)-1,40)+1,MOD(ROW(A725)-1,40)+1)</f>
        <v>수학</v>
      </c>
      <c r="I731" s="77"/>
      <c r="J731" s="26"/>
      <c r="K731" s="173"/>
      <c r="L731" s="173"/>
      <c r="M731" s="10"/>
      <c r="N731" s="10"/>
      <c r="O731" s="10"/>
      <c r="P731" s="10"/>
      <c r="Q731" s="164"/>
      <c r="R731" s="109"/>
    </row>
    <row r="732" spans="1:18" hidden="1">
      <c r="A732" s="90">
        <v>726</v>
      </c>
      <c r="B732" s="24">
        <f>DATE('1.연간시수표'!$U$2,'1.연간시수표'!$X$2,'1.연간시수표'!$Z$2)+QUOTIENT(ROW(A726)-1,8)+(QUOTIENT(ROW(A726)-1,40)*2)</f>
        <v>44746</v>
      </c>
      <c r="C732" s="24" t="str">
        <f t="shared" si="33"/>
        <v>월</v>
      </c>
      <c r="D732" s="91" t="str">
        <f t="shared" si="34"/>
        <v>6교시</v>
      </c>
      <c r="E732" s="68">
        <f>COUNTIF($H$7:$H732,$H732)</f>
        <v>29</v>
      </c>
      <c r="F732" s="67">
        <f>'1.연간시수표'!$AL$33</f>
        <v>5</v>
      </c>
      <c r="G732" s="89">
        <f t="shared" si="35"/>
        <v>1</v>
      </c>
      <c r="H732" s="91" t="str">
        <f>INDEX('0.시간표데이터'!$E$10:$AR$32,QUOTIENT(ROW(A726)-1,40)+1,MOD(ROW(A726)-1,40)+1)</f>
        <v>자율활동</v>
      </c>
      <c r="I732" s="77"/>
      <c r="J732" s="26"/>
      <c r="K732" s="165"/>
      <c r="L732" s="165"/>
      <c r="M732" s="166"/>
      <c r="N732" s="166"/>
      <c r="O732" s="166"/>
      <c r="P732" s="166"/>
      <c r="Q732" s="167"/>
      <c r="R732" s="111"/>
    </row>
    <row r="733" spans="1:18" hidden="1">
      <c r="A733" s="90">
        <v>727</v>
      </c>
      <c r="B733" s="24">
        <f>DATE('1.연간시수표'!$U$2,'1.연간시수표'!$X$2,'1.연간시수표'!$Z$2)+QUOTIENT(ROW(A727)-1,8)+(QUOTIENT(ROW(A727)-1,40)*2)</f>
        <v>44746</v>
      </c>
      <c r="C733" s="24" t="str">
        <f t="shared" si="33"/>
        <v>월</v>
      </c>
      <c r="D733" s="91" t="str">
        <f t="shared" si="34"/>
        <v>7교시</v>
      </c>
      <c r="E733" s="68">
        <f>COUNTIF($H$7:$H733,$H733)</f>
        <v>240</v>
      </c>
      <c r="F733" s="67">
        <f>'1.연간시수표'!$AL$33</f>
        <v>5</v>
      </c>
      <c r="G733" s="89">
        <f t="shared" si="35"/>
        <v>1</v>
      </c>
      <c r="H733" s="91" t="str">
        <f>INDEX('0.시간표데이터'!$E$10:$AR$32,QUOTIENT(ROW(A727)-1,40)+1,MOD(ROW(A727)-1,40)+1)</f>
        <v>_</v>
      </c>
      <c r="I733" s="76"/>
      <c r="J733" s="26"/>
      <c r="K733" s="165"/>
      <c r="L733" s="165"/>
      <c r="M733" s="166"/>
      <c r="N733" s="166"/>
      <c r="O733" s="166"/>
      <c r="P733" s="166"/>
      <c r="Q733" s="167"/>
      <c r="R733" s="111"/>
    </row>
    <row r="734" spans="1:18" hidden="1">
      <c r="A734" s="90">
        <v>728</v>
      </c>
      <c r="B734" s="24">
        <f>DATE('1.연간시수표'!$U$2,'1.연간시수표'!$X$2,'1.연간시수표'!$Z$2)+QUOTIENT(ROW(A728)-1,8)+(QUOTIENT(ROW(A728)-1,40)*2)</f>
        <v>44746</v>
      </c>
      <c r="C734" s="24" t="str">
        <f t="shared" si="33"/>
        <v>월</v>
      </c>
      <c r="D734" s="91" t="str">
        <f t="shared" si="34"/>
        <v>8교시</v>
      </c>
      <c r="E734" s="68">
        <f>COUNTIF($H$7:$H734,$H734)</f>
        <v>241</v>
      </c>
      <c r="F734" s="67">
        <f>'1.연간시수표'!$AL$33</f>
        <v>5</v>
      </c>
      <c r="G734" s="89">
        <f t="shared" si="35"/>
        <v>1</v>
      </c>
      <c r="H734" s="91" t="str">
        <f>INDEX('0.시간표데이터'!$E$10:$AR$32,QUOTIENT(ROW(A728)-1,40)+1,MOD(ROW(A728)-1,40)+1)</f>
        <v>_</v>
      </c>
      <c r="I734" s="76"/>
      <c r="J734" s="26"/>
      <c r="K734" s="165"/>
      <c r="L734" s="165"/>
      <c r="M734" s="166"/>
      <c r="N734" s="166"/>
      <c r="O734" s="166"/>
      <c r="P734" s="166"/>
      <c r="Q734" s="167"/>
      <c r="R734" s="111"/>
    </row>
    <row r="735" spans="1:18" hidden="1">
      <c r="A735" s="90">
        <v>729</v>
      </c>
      <c r="B735" s="24">
        <f>DATE('1.연간시수표'!$U$2,'1.연간시수표'!$X$2,'1.연간시수표'!$Z$2)+QUOTIENT(ROW(A729)-1,8)+(QUOTIENT(ROW(A729)-1,40)*2)</f>
        <v>44747</v>
      </c>
      <c r="C735" s="24" t="str">
        <f t="shared" si="33"/>
        <v>화</v>
      </c>
      <c r="D735" s="91" t="str">
        <f t="shared" si="34"/>
        <v>1교시</v>
      </c>
      <c r="E735" s="68">
        <f>COUNTIF($H$7:$H735,$H735)</f>
        <v>95</v>
      </c>
      <c r="F735" s="67">
        <f>'1.연간시수표'!$AL$33</f>
        <v>5</v>
      </c>
      <c r="G735" s="89">
        <f t="shared" si="35"/>
        <v>1</v>
      </c>
      <c r="H735" s="91" t="str">
        <f>INDEX('0.시간표데이터'!$E$10:$AR$32,QUOTIENT(ROW(A729)-1,40)+1,MOD(ROW(A729)-1,40)+1)</f>
        <v>국어</v>
      </c>
      <c r="I735" s="77"/>
      <c r="J735" s="26"/>
      <c r="K735" s="162"/>
      <c r="L735" s="162"/>
      <c r="M735" s="168"/>
      <c r="N735" s="99"/>
      <c r="O735" s="99"/>
      <c r="P735" s="99"/>
      <c r="Q735" s="167"/>
      <c r="R735" s="111"/>
    </row>
    <row r="736" spans="1:18" hidden="1">
      <c r="A736" s="90">
        <v>730</v>
      </c>
      <c r="B736" s="24">
        <f>DATE('1.연간시수표'!$U$2,'1.연간시수표'!$X$2,'1.연간시수표'!$Z$2)+QUOTIENT(ROW(A730)-1,8)+(QUOTIENT(ROW(A730)-1,40)*2)</f>
        <v>44747</v>
      </c>
      <c r="C736" s="24" t="str">
        <f t="shared" si="33"/>
        <v>화</v>
      </c>
      <c r="D736" s="91" t="str">
        <f t="shared" si="34"/>
        <v>2교시</v>
      </c>
      <c r="E736" s="68">
        <f>COUNTIF($H$7:$H736,$H736)</f>
        <v>96</v>
      </c>
      <c r="F736" s="67">
        <f>'1.연간시수표'!$AL$33</f>
        <v>5</v>
      </c>
      <c r="G736" s="89">
        <f t="shared" si="35"/>
        <v>1</v>
      </c>
      <c r="H736" s="91" t="str">
        <f>INDEX('0.시간표데이터'!$E$10:$AR$32,QUOTIENT(ROW(A730)-1,40)+1,MOD(ROW(A730)-1,40)+1)</f>
        <v>국어</v>
      </c>
      <c r="I736" s="161"/>
      <c r="J736" s="26"/>
      <c r="K736" s="165"/>
      <c r="L736" s="165"/>
      <c r="M736" s="166"/>
      <c r="N736" s="166"/>
      <c r="O736" s="166"/>
      <c r="P736" s="166"/>
      <c r="Q736" s="167"/>
      <c r="R736" s="111"/>
    </row>
    <row r="737" spans="1:18" hidden="1">
      <c r="A737" s="90">
        <v>731</v>
      </c>
      <c r="B737" s="24">
        <f>DATE('1.연간시수표'!$U$2,'1.연간시수표'!$X$2,'1.연간시수표'!$Z$2)+QUOTIENT(ROW(A731)-1,8)+(QUOTIENT(ROW(A731)-1,40)*2)</f>
        <v>44747</v>
      </c>
      <c r="C737" s="24" t="str">
        <f t="shared" si="33"/>
        <v>화</v>
      </c>
      <c r="D737" s="91" t="str">
        <f t="shared" si="34"/>
        <v>3교시</v>
      </c>
      <c r="E737" s="68">
        <f>COUNTIF($H$7:$H737,$H737)</f>
        <v>49</v>
      </c>
      <c r="F737" s="67">
        <f>'1.연간시수표'!$AL$33</f>
        <v>5</v>
      </c>
      <c r="G737" s="89">
        <f t="shared" si="35"/>
        <v>1</v>
      </c>
      <c r="H737" s="91" t="str">
        <f>INDEX('0.시간표데이터'!$E$10:$AR$32,QUOTIENT(ROW(A731)-1,40)+1,MOD(ROW(A731)-1,40)+1)</f>
        <v>사회</v>
      </c>
      <c r="I737" s="77"/>
      <c r="J737" s="26"/>
      <c r="K737" s="162"/>
      <c r="L737" s="162"/>
      <c r="M737" s="170"/>
      <c r="N737" s="98"/>
      <c r="O737" s="168"/>
      <c r="P737" s="168"/>
      <c r="Q737" s="167"/>
      <c r="R737" s="111"/>
    </row>
    <row r="738" spans="1:18" hidden="1">
      <c r="A738" s="90">
        <v>732</v>
      </c>
      <c r="B738" s="24">
        <f>DATE('1.연간시수표'!$U$2,'1.연간시수표'!$X$2,'1.연간시수표'!$Z$2)+QUOTIENT(ROW(A732)-1,8)+(QUOTIENT(ROW(A732)-1,40)*2)</f>
        <v>44747</v>
      </c>
      <c r="C738" s="24" t="str">
        <f t="shared" si="33"/>
        <v>화</v>
      </c>
      <c r="D738" s="91" t="str">
        <f t="shared" si="34"/>
        <v>4교시</v>
      </c>
      <c r="E738" s="68">
        <f>COUNTIF($H$7:$H738,$H738)</f>
        <v>65</v>
      </c>
      <c r="F738" s="67">
        <f>'1.연간시수표'!$AL$33</f>
        <v>5</v>
      </c>
      <c r="G738" s="89">
        <f t="shared" si="35"/>
        <v>1</v>
      </c>
      <c r="H738" s="91" t="str">
        <f>INDEX('0.시간표데이터'!$E$10:$AR$32,QUOTIENT(ROW(A732)-1,40)+1,MOD(ROW(A732)-1,40)+1)</f>
        <v>수학</v>
      </c>
      <c r="I738" s="77"/>
      <c r="J738" s="26"/>
      <c r="K738" s="162"/>
      <c r="L738" s="162"/>
      <c r="M738" s="168"/>
      <c r="N738" s="98"/>
      <c r="O738" s="99"/>
      <c r="P738" s="99"/>
      <c r="Q738" s="167"/>
      <c r="R738" s="111"/>
    </row>
    <row r="739" spans="1:18">
      <c r="A739" s="90">
        <v>733</v>
      </c>
      <c r="B739" s="24">
        <f>DATE('1.연간시수표'!$U$2,'1.연간시수표'!$X$2,'1.연간시수표'!$Z$2)+QUOTIENT(ROW(A733)-1,8)+(QUOTIENT(ROW(A733)-1,40)*2)</f>
        <v>44747</v>
      </c>
      <c r="C739" s="24" t="str">
        <f t="shared" si="33"/>
        <v>화</v>
      </c>
      <c r="D739" s="91" t="str">
        <f t="shared" si="34"/>
        <v>5교시</v>
      </c>
      <c r="E739" s="68">
        <f>COUNTIF($H$7:$H739,$H739)</f>
        <v>46</v>
      </c>
      <c r="F739" s="67">
        <f>'1.연간시수표'!$AL$33</f>
        <v>5</v>
      </c>
      <c r="G739" s="89">
        <f t="shared" si="35"/>
        <v>1</v>
      </c>
      <c r="H739" s="91" t="str">
        <f>INDEX('0.시간표데이터'!$E$10:$AR$32,QUOTIENT(ROW(A733)-1,40)+1,MOD(ROW(A733)-1,40)+1)</f>
        <v>과학</v>
      </c>
      <c r="I739" s="77"/>
      <c r="J739" s="26"/>
      <c r="K739" s="173"/>
      <c r="L739" s="173"/>
      <c r="M739" s="10"/>
      <c r="N739" s="10"/>
      <c r="O739" s="10"/>
      <c r="P739" s="10"/>
      <c r="Q739" s="164"/>
      <c r="R739" s="109"/>
    </row>
    <row r="740" spans="1:18">
      <c r="A740" s="90">
        <v>734</v>
      </c>
      <c r="B740" s="24">
        <f>DATE('1.연간시수표'!$U$2,'1.연간시수표'!$X$2,'1.연간시수표'!$Z$2)+QUOTIENT(ROW(A734)-1,8)+(QUOTIENT(ROW(A734)-1,40)*2)</f>
        <v>44747</v>
      </c>
      <c r="C740" s="24" t="str">
        <f t="shared" si="33"/>
        <v>화</v>
      </c>
      <c r="D740" s="91" t="str">
        <f t="shared" si="34"/>
        <v>6교시</v>
      </c>
      <c r="E740" s="68">
        <f>COUNTIF($H$7:$H740,$H740)</f>
        <v>37</v>
      </c>
      <c r="F740" s="67">
        <f>'1.연간시수표'!$AL$33</f>
        <v>5</v>
      </c>
      <c r="G740" s="89">
        <f t="shared" si="35"/>
        <v>1</v>
      </c>
      <c r="H740" s="91" t="str">
        <f>INDEX('0.시간표데이터'!$E$10:$AR$32,QUOTIENT(ROW(A734)-1,40)+1,MOD(ROW(A734)-1,40)+1)</f>
        <v>체육</v>
      </c>
      <c r="I740" s="77"/>
      <c r="J740" s="26"/>
      <c r="K740" s="173"/>
      <c r="L740" s="173"/>
      <c r="M740" s="10"/>
      <c r="N740" s="10"/>
      <c r="O740" s="10"/>
      <c r="P740" s="10"/>
      <c r="Q740" s="164"/>
      <c r="R740" s="109"/>
    </row>
    <row r="741" spans="1:18" hidden="1">
      <c r="A741" s="90">
        <v>735</v>
      </c>
      <c r="B741" s="24">
        <f>DATE('1.연간시수표'!$U$2,'1.연간시수표'!$X$2,'1.연간시수표'!$Z$2)+QUOTIENT(ROW(A735)-1,8)+(QUOTIENT(ROW(A735)-1,40)*2)</f>
        <v>44747</v>
      </c>
      <c r="C741" s="24" t="str">
        <f t="shared" si="33"/>
        <v>화</v>
      </c>
      <c r="D741" s="91" t="str">
        <f t="shared" si="34"/>
        <v>7교시</v>
      </c>
      <c r="E741" s="68">
        <f>COUNTIF($H$7:$H741,$H741)</f>
        <v>242</v>
      </c>
      <c r="F741" s="67">
        <f>'1.연간시수표'!$AL$33</f>
        <v>5</v>
      </c>
      <c r="G741" s="89">
        <f t="shared" si="35"/>
        <v>1</v>
      </c>
      <c r="H741" s="91" t="str">
        <f>INDEX('0.시간표데이터'!$E$10:$AR$32,QUOTIENT(ROW(A735)-1,40)+1,MOD(ROW(A735)-1,40)+1)</f>
        <v>_</v>
      </c>
      <c r="I741" s="76"/>
      <c r="J741" s="26"/>
      <c r="K741" s="165"/>
      <c r="L741" s="165"/>
      <c r="M741" s="166"/>
      <c r="N741" s="166"/>
      <c r="O741" s="166"/>
      <c r="P741" s="166"/>
      <c r="Q741" s="167"/>
      <c r="R741" s="111"/>
    </row>
    <row r="742" spans="1:18" hidden="1">
      <c r="A742" s="90">
        <v>736</v>
      </c>
      <c r="B742" s="24">
        <f>DATE('1.연간시수표'!$U$2,'1.연간시수표'!$X$2,'1.연간시수표'!$Z$2)+QUOTIENT(ROW(A736)-1,8)+(QUOTIENT(ROW(A736)-1,40)*2)</f>
        <v>44747</v>
      </c>
      <c r="C742" s="24" t="str">
        <f t="shared" si="33"/>
        <v>화</v>
      </c>
      <c r="D742" s="91" t="str">
        <f t="shared" si="34"/>
        <v>8교시</v>
      </c>
      <c r="E742" s="68">
        <f>COUNTIF($H$7:$H742,$H742)</f>
        <v>243</v>
      </c>
      <c r="F742" s="67">
        <f>'1.연간시수표'!$AL$33</f>
        <v>5</v>
      </c>
      <c r="G742" s="89">
        <f t="shared" si="35"/>
        <v>1</v>
      </c>
      <c r="H742" s="91" t="str">
        <f>INDEX('0.시간표데이터'!$E$10:$AR$32,QUOTIENT(ROW(A736)-1,40)+1,MOD(ROW(A736)-1,40)+1)</f>
        <v>_</v>
      </c>
      <c r="I742" s="76"/>
      <c r="J742" s="26"/>
      <c r="K742" s="165"/>
      <c r="L742" s="165"/>
      <c r="M742" s="166"/>
      <c r="N742" s="166"/>
      <c r="O742" s="166"/>
      <c r="P742" s="166"/>
      <c r="Q742" s="167"/>
      <c r="R742" s="111"/>
    </row>
    <row r="743" spans="1:18" hidden="1">
      <c r="A743" s="90">
        <v>737</v>
      </c>
      <c r="B743" s="24">
        <f>DATE('1.연간시수표'!$U$2,'1.연간시수표'!$X$2,'1.연간시수표'!$Z$2)+QUOTIENT(ROW(A737)-1,8)+(QUOTIENT(ROW(A737)-1,40)*2)</f>
        <v>44748</v>
      </c>
      <c r="C743" s="24" t="str">
        <f t="shared" si="33"/>
        <v>수</v>
      </c>
      <c r="D743" s="91" t="str">
        <f t="shared" si="34"/>
        <v>1교시</v>
      </c>
      <c r="E743" s="68">
        <f>COUNTIF($H$7:$H743,$H743)</f>
        <v>48</v>
      </c>
      <c r="F743" s="67">
        <f>'1.연간시수표'!$AL$33</f>
        <v>5</v>
      </c>
      <c r="G743" s="89">
        <f t="shared" si="35"/>
        <v>1</v>
      </c>
      <c r="H743" s="91" t="str">
        <f>INDEX('0.시간표데이터'!$E$10:$AR$32,QUOTIENT(ROW(A737)-1,40)+1,MOD(ROW(A737)-1,40)+1)</f>
        <v>영어</v>
      </c>
      <c r="I743" s="77"/>
      <c r="J743" s="26"/>
      <c r="K743" s="162"/>
      <c r="L743" s="162"/>
      <c r="M743" s="170"/>
      <c r="N743" s="98"/>
      <c r="O743" s="168"/>
      <c r="P743" s="168"/>
      <c r="Q743" s="167"/>
      <c r="R743" s="111"/>
    </row>
    <row r="744" spans="1:18" hidden="1">
      <c r="A744" s="90">
        <v>738</v>
      </c>
      <c r="B744" s="24">
        <f>DATE('1.연간시수표'!$U$2,'1.연간시수표'!$X$2,'1.연간시수표'!$Z$2)+QUOTIENT(ROW(A738)-1,8)+(QUOTIENT(ROW(A738)-1,40)*2)</f>
        <v>44748</v>
      </c>
      <c r="C744" s="24" t="str">
        <f t="shared" si="33"/>
        <v>수</v>
      </c>
      <c r="D744" s="91" t="str">
        <f t="shared" si="34"/>
        <v>2교시</v>
      </c>
      <c r="E744" s="68">
        <f>COUNTIF($H$7:$H744,$H744)</f>
        <v>47</v>
      </c>
      <c r="F744" s="67">
        <f>'1.연간시수표'!$AL$33</f>
        <v>5</v>
      </c>
      <c r="G744" s="89">
        <f t="shared" si="35"/>
        <v>1</v>
      </c>
      <c r="H744" s="91" t="str">
        <f>INDEX('0.시간표데이터'!$E$10:$AR$32,QUOTIENT(ROW(A738)-1,40)+1,MOD(ROW(A738)-1,40)+1)</f>
        <v>과학</v>
      </c>
      <c r="I744" s="77"/>
      <c r="J744" s="26"/>
      <c r="K744" s="137"/>
      <c r="L744" s="137"/>
      <c r="M744" s="114"/>
      <c r="N744" s="114"/>
      <c r="O744" s="114"/>
      <c r="P744" s="114"/>
      <c r="Q744" s="164"/>
      <c r="R744" s="110"/>
    </row>
    <row r="745" spans="1:18" hidden="1">
      <c r="A745" s="90">
        <v>739</v>
      </c>
      <c r="B745" s="24">
        <f>DATE('1.연간시수표'!$U$2,'1.연간시수표'!$X$2,'1.연간시수표'!$Z$2)+QUOTIENT(ROW(A739)-1,8)+(QUOTIENT(ROW(A739)-1,40)*2)</f>
        <v>44748</v>
      </c>
      <c r="C745" s="24" t="str">
        <f t="shared" si="33"/>
        <v>수</v>
      </c>
      <c r="D745" s="91" t="str">
        <f t="shared" si="34"/>
        <v>3교시</v>
      </c>
      <c r="E745" s="68">
        <f>COUNTIF($H$7:$H745,$H745)</f>
        <v>38</v>
      </c>
      <c r="F745" s="67">
        <f>'1.연간시수표'!$AL$33</f>
        <v>5</v>
      </c>
      <c r="G745" s="89">
        <f t="shared" si="35"/>
        <v>1</v>
      </c>
      <c r="H745" s="91" t="str">
        <f>INDEX('0.시간표데이터'!$E$10:$AR$32,QUOTIENT(ROW(A739)-1,40)+1,MOD(ROW(A739)-1,40)+1)</f>
        <v>체육</v>
      </c>
      <c r="I745" s="77"/>
      <c r="J745" s="26"/>
      <c r="K745" s="162"/>
      <c r="L745" s="162"/>
      <c r="M745" s="169"/>
      <c r="N745" s="101"/>
      <c r="O745" s="168"/>
      <c r="P745" s="168"/>
      <c r="Q745" s="167"/>
      <c r="R745" s="111"/>
    </row>
    <row r="746" spans="1:18" hidden="1">
      <c r="A746" s="90">
        <v>740</v>
      </c>
      <c r="B746" s="24">
        <f>DATE('1.연간시수표'!$U$2,'1.연간시수표'!$X$2,'1.연간시수표'!$Z$2)+QUOTIENT(ROW(A740)-1,8)+(QUOTIENT(ROW(A740)-1,40)*2)</f>
        <v>44748</v>
      </c>
      <c r="C746" s="24" t="str">
        <f t="shared" si="33"/>
        <v>수</v>
      </c>
      <c r="D746" s="91" t="str">
        <f t="shared" si="34"/>
        <v>4교시</v>
      </c>
      <c r="E746" s="68">
        <f>COUNTIF($H$7:$H746,$H746)</f>
        <v>39</v>
      </c>
      <c r="F746" s="67">
        <f>'1.연간시수표'!$AL$33</f>
        <v>5</v>
      </c>
      <c r="G746" s="89">
        <f t="shared" si="35"/>
        <v>1</v>
      </c>
      <c r="H746" s="91" t="str">
        <f>INDEX('0.시간표데이터'!$E$10:$AR$32,QUOTIENT(ROW(A740)-1,40)+1,MOD(ROW(A740)-1,40)+1)</f>
        <v>체육</v>
      </c>
      <c r="I746" s="77"/>
      <c r="J746" s="26"/>
      <c r="K746" s="162"/>
      <c r="L746" s="162"/>
      <c r="M746" s="168"/>
      <c r="N746" s="99"/>
      <c r="O746" s="99"/>
      <c r="P746" s="99"/>
      <c r="Q746" s="164"/>
      <c r="R746" s="110"/>
    </row>
    <row r="747" spans="1:18">
      <c r="A747" s="90">
        <v>741</v>
      </c>
      <c r="B747" s="24">
        <f>DATE('1.연간시수표'!$U$2,'1.연간시수표'!$X$2,'1.연간시수표'!$Z$2)+QUOTIENT(ROW(A741)-1,8)+(QUOTIENT(ROW(A741)-1,40)*2)</f>
        <v>44748</v>
      </c>
      <c r="C747" s="24" t="str">
        <f t="shared" si="33"/>
        <v>수</v>
      </c>
      <c r="D747" s="91" t="str">
        <f t="shared" si="34"/>
        <v>5교시</v>
      </c>
      <c r="E747" s="68">
        <f>COUNTIF($H$7:$H747,$H747)</f>
        <v>33</v>
      </c>
      <c r="F747" s="67">
        <f>'1.연간시수표'!$AL$33</f>
        <v>5</v>
      </c>
      <c r="G747" s="89">
        <f t="shared" si="35"/>
        <v>1</v>
      </c>
      <c r="H747" s="91" t="str">
        <f>INDEX('0.시간표데이터'!$E$10:$AR$32,QUOTIENT(ROW(A741)-1,40)+1,MOD(ROW(A741)-1,40)+1)</f>
        <v>음악</v>
      </c>
      <c r="I747" s="77"/>
      <c r="J747" s="26"/>
      <c r="K747" s="173"/>
      <c r="L747" s="173"/>
      <c r="M747" s="10"/>
      <c r="N747" s="10"/>
      <c r="O747" s="10"/>
      <c r="P747" s="10"/>
      <c r="Q747" s="164"/>
      <c r="R747" s="109"/>
    </row>
    <row r="748" spans="1:18" hidden="1">
      <c r="A748" s="90">
        <v>742</v>
      </c>
      <c r="B748" s="24">
        <f>DATE('1.연간시수표'!$U$2,'1.연간시수표'!$X$2,'1.연간시수표'!$Z$2)+QUOTIENT(ROW(A742)-1,8)+(QUOTIENT(ROW(A742)-1,40)*2)</f>
        <v>44748</v>
      </c>
      <c r="C748" s="24" t="str">
        <f t="shared" si="33"/>
        <v>수</v>
      </c>
      <c r="D748" s="91" t="str">
        <f t="shared" si="34"/>
        <v>6교시</v>
      </c>
      <c r="E748" s="68">
        <f>COUNTIF($H$7:$H748,$H748)</f>
        <v>244</v>
      </c>
      <c r="F748" s="67">
        <f>'1.연간시수표'!$AL$33</f>
        <v>5</v>
      </c>
      <c r="G748" s="89">
        <f t="shared" si="35"/>
        <v>1</v>
      </c>
      <c r="H748" s="91" t="str">
        <f>INDEX('0.시간표데이터'!$E$10:$AR$32,QUOTIENT(ROW(A742)-1,40)+1,MOD(ROW(A742)-1,40)+1)</f>
        <v>_</v>
      </c>
      <c r="I748" s="77"/>
      <c r="J748" s="26"/>
      <c r="K748" s="165"/>
      <c r="L748" s="165"/>
      <c r="M748" s="166"/>
      <c r="N748" s="166"/>
      <c r="O748" s="166"/>
      <c r="P748" s="166"/>
      <c r="Q748" s="167"/>
      <c r="R748" s="111"/>
    </row>
    <row r="749" spans="1:18" hidden="1">
      <c r="A749" s="90">
        <v>743</v>
      </c>
      <c r="B749" s="24">
        <f>DATE('1.연간시수표'!$U$2,'1.연간시수표'!$X$2,'1.연간시수표'!$Z$2)+QUOTIENT(ROW(A743)-1,8)+(QUOTIENT(ROW(A743)-1,40)*2)</f>
        <v>44748</v>
      </c>
      <c r="C749" s="24" t="str">
        <f t="shared" si="33"/>
        <v>수</v>
      </c>
      <c r="D749" s="91" t="str">
        <f t="shared" si="34"/>
        <v>7교시</v>
      </c>
      <c r="E749" s="68">
        <f>COUNTIF($H$7:$H749,$H749)</f>
        <v>245</v>
      </c>
      <c r="F749" s="67">
        <f>'1.연간시수표'!$AL$33</f>
        <v>5</v>
      </c>
      <c r="G749" s="89">
        <f t="shared" si="35"/>
        <v>1</v>
      </c>
      <c r="H749" s="91" t="str">
        <f>INDEX('0.시간표데이터'!$E$10:$AR$32,QUOTIENT(ROW(A743)-1,40)+1,MOD(ROW(A743)-1,40)+1)</f>
        <v>_</v>
      </c>
      <c r="I749" s="76"/>
      <c r="J749" s="26"/>
      <c r="K749" s="165"/>
      <c r="L749" s="165"/>
      <c r="M749" s="166"/>
      <c r="N749" s="166"/>
      <c r="O749" s="166"/>
      <c r="P749" s="166"/>
      <c r="Q749" s="167"/>
      <c r="R749" s="111"/>
    </row>
    <row r="750" spans="1:18" hidden="1">
      <c r="A750" s="90">
        <v>744</v>
      </c>
      <c r="B750" s="24">
        <f>DATE('1.연간시수표'!$U$2,'1.연간시수표'!$X$2,'1.연간시수표'!$Z$2)+QUOTIENT(ROW(A744)-1,8)+(QUOTIENT(ROW(A744)-1,40)*2)</f>
        <v>44748</v>
      </c>
      <c r="C750" s="24" t="str">
        <f t="shared" si="33"/>
        <v>수</v>
      </c>
      <c r="D750" s="91" t="str">
        <f t="shared" si="34"/>
        <v>8교시</v>
      </c>
      <c r="E750" s="68">
        <f>COUNTIF($H$7:$H750,$H750)</f>
        <v>246</v>
      </c>
      <c r="F750" s="67">
        <f>'1.연간시수표'!$AL$33</f>
        <v>5</v>
      </c>
      <c r="G750" s="89">
        <f t="shared" si="35"/>
        <v>1</v>
      </c>
      <c r="H750" s="91" t="str">
        <f>INDEX('0.시간표데이터'!$E$10:$AR$32,QUOTIENT(ROW(A744)-1,40)+1,MOD(ROW(A744)-1,40)+1)</f>
        <v>_</v>
      </c>
      <c r="I750" s="76"/>
      <c r="J750" s="26"/>
      <c r="K750" s="165"/>
      <c r="L750" s="165"/>
      <c r="M750" s="166"/>
      <c r="N750" s="166"/>
      <c r="O750" s="166"/>
      <c r="P750" s="166"/>
      <c r="Q750" s="167"/>
      <c r="R750" s="111"/>
    </row>
    <row r="751" spans="1:18" hidden="1">
      <c r="A751" s="90">
        <v>745</v>
      </c>
      <c r="B751" s="24">
        <f>DATE('1.연간시수표'!$U$2,'1.연간시수표'!$X$2,'1.연간시수표'!$Z$2)+QUOTIENT(ROW(A745)-1,8)+(QUOTIENT(ROW(A745)-1,40)*2)</f>
        <v>44749</v>
      </c>
      <c r="C751" s="24" t="str">
        <f t="shared" si="33"/>
        <v>목</v>
      </c>
      <c r="D751" s="91" t="str">
        <f t="shared" si="34"/>
        <v>1교시</v>
      </c>
      <c r="E751" s="68">
        <f>COUNTIF($H$7:$H751,$H751)</f>
        <v>97</v>
      </c>
      <c r="F751" s="67">
        <f>'1.연간시수표'!$AL$33</f>
        <v>5</v>
      </c>
      <c r="G751" s="89">
        <f t="shared" si="35"/>
        <v>1</v>
      </c>
      <c r="H751" s="91" t="str">
        <f>INDEX('0.시간표데이터'!$E$10:$AR$32,QUOTIENT(ROW(A745)-1,40)+1,MOD(ROW(A745)-1,40)+1)</f>
        <v>국어</v>
      </c>
      <c r="I751" s="77"/>
      <c r="J751" s="26"/>
      <c r="K751" s="162"/>
      <c r="L751" s="162"/>
      <c r="M751" s="168"/>
      <c r="N751" s="98"/>
      <c r="O751" s="99"/>
      <c r="P751" s="99"/>
      <c r="Q751" s="167"/>
      <c r="R751" s="111"/>
    </row>
    <row r="752" spans="1:18" hidden="1">
      <c r="A752" s="90">
        <v>746</v>
      </c>
      <c r="B752" s="24">
        <f>DATE('1.연간시수표'!$U$2,'1.연간시수표'!$X$2,'1.연간시수표'!$Z$2)+QUOTIENT(ROW(A746)-1,8)+(QUOTIENT(ROW(A746)-1,40)*2)</f>
        <v>44749</v>
      </c>
      <c r="C752" s="24" t="str">
        <f t="shared" si="33"/>
        <v>목</v>
      </c>
      <c r="D752" s="91" t="str">
        <f t="shared" si="34"/>
        <v>2교시</v>
      </c>
      <c r="E752" s="68">
        <f>COUNTIF($H$7:$H752,$H752)</f>
        <v>66</v>
      </c>
      <c r="F752" s="67">
        <f>'1.연간시수표'!$AL$33</f>
        <v>5</v>
      </c>
      <c r="G752" s="89">
        <f t="shared" si="35"/>
        <v>1</v>
      </c>
      <c r="H752" s="91" t="str">
        <f>INDEX('0.시간표데이터'!$E$10:$AR$32,QUOTIENT(ROW(A746)-1,40)+1,MOD(ROW(A746)-1,40)+1)</f>
        <v>수학</v>
      </c>
      <c r="I752" s="161"/>
      <c r="J752" s="26"/>
      <c r="K752" s="173"/>
      <c r="L752" s="173"/>
      <c r="M752" s="10"/>
      <c r="N752" s="10"/>
      <c r="O752" s="10"/>
      <c r="P752" s="10"/>
      <c r="Q752" s="164"/>
      <c r="R752" s="110"/>
    </row>
    <row r="753" spans="1:18">
      <c r="A753" s="90">
        <v>747</v>
      </c>
      <c r="B753" s="24">
        <f>DATE('1.연간시수표'!$U$2,'1.연간시수표'!$X$2,'1.연간시수표'!$Z$2)+QUOTIENT(ROW(A747)-1,8)+(QUOTIENT(ROW(A747)-1,40)*2)</f>
        <v>44749</v>
      </c>
      <c r="C753" s="24" t="str">
        <f t="shared" si="33"/>
        <v>목</v>
      </c>
      <c r="D753" s="91" t="str">
        <f t="shared" si="34"/>
        <v>3교시</v>
      </c>
      <c r="E753" s="68">
        <f>COUNTIF($H$7:$H753,$H753)</f>
        <v>40</v>
      </c>
      <c r="F753" s="67">
        <f>'1.연간시수표'!$AL$33</f>
        <v>5</v>
      </c>
      <c r="G753" s="89">
        <f t="shared" si="35"/>
        <v>1</v>
      </c>
      <c r="H753" s="91" t="str">
        <f>INDEX('0.시간표데이터'!$E$10:$AR$32,QUOTIENT(ROW(A747)-1,40)+1,MOD(ROW(A747)-1,40)+1)</f>
        <v>체육</v>
      </c>
      <c r="I753" s="77"/>
      <c r="J753" s="26"/>
      <c r="K753" s="173"/>
      <c r="L753" s="173"/>
      <c r="M753" s="10"/>
      <c r="N753" s="10"/>
      <c r="O753" s="10"/>
      <c r="P753" s="10"/>
      <c r="Q753" s="164"/>
      <c r="R753" s="109"/>
    </row>
    <row r="754" spans="1:18">
      <c r="A754" s="90">
        <v>748</v>
      </c>
      <c r="B754" s="24">
        <f>DATE('1.연간시수표'!$U$2,'1.연간시수표'!$X$2,'1.연간시수표'!$Z$2)+QUOTIENT(ROW(A748)-1,8)+(QUOTIENT(ROW(A748)-1,40)*2)</f>
        <v>44749</v>
      </c>
      <c r="C754" s="24" t="str">
        <f t="shared" si="33"/>
        <v>목</v>
      </c>
      <c r="D754" s="91" t="str">
        <f t="shared" si="34"/>
        <v>4교시</v>
      </c>
      <c r="E754" s="68">
        <f>COUNTIF($H$7:$H754,$H754)</f>
        <v>41</v>
      </c>
      <c r="F754" s="67">
        <f>'1.연간시수표'!$AL$33</f>
        <v>5</v>
      </c>
      <c r="G754" s="89">
        <f t="shared" si="35"/>
        <v>1</v>
      </c>
      <c r="H754" s="91" t="str">
        <f>INDEX('0.시간표데이터'!$E$10:$AR$32,QUOTIENT(ROW(A748)-1,40)+1,MOD(ROW(A748)-1,40)+1)</f>
        <v>체육</v>
      </c>
      <c r="I754" s="77"/>
      <c r="J754" s="26"/>
      <c r="K754" s="173"/>
      <c r="L754" s="173"/>
      <c r="M754" s="10"/>
      <c r="N754" s="10"/>
      <c r="O754" s="10"/>
      <c r="P754" s="10"/>
      <c r="Q754" s="164"/>
      <c r="R754" s="109"/>
    </row>
    <row r="755" spans="1:18" hidden="1">
      <c r="A755" s="90">
        <v>749</v>
      </c>
      <c r="B755" s="24">
        <f>DATE('1.연간시수표'!$U$2,'1.연간시수표'!$X$2,'1.연간시수표'!$Z$2)+QUOTIENT(ROW(A749)-1,8)+(QUOTIENT(ROW(A749)-1,40)*2)</f>
        <v>44749</v>
      </c>
      <c r="C755" s="24" t="str">
        <f t="shared" si="33"/>
        <v>목</v>
      </c>
      <c r="D755" s="91" t="str">
        <f t="shared" si="34"/>
        <v>5교시</v>
      </c>
      <c r="E755" s="68">
        <f>COUNTIF($H$7:$H755,$H755)</f>
        <v>48</v>
      </c>
      <c r="F755" s="67">
        <f>'1.연간시수표'!$AL$33</f>
        <v>5</v>
      </c>
      <c r="G755" s="89">
        <f t="shared" si="35"/>
        <v>1</v>
      </c>
      <c r="H755" s="91" t="str">
        <f>INDEX('0.시간표데이터'!$E$10:$AR$32,QUOTIENT(ROW(A749)-1,40)+1,MOD(ROW(A749)-1,40)+1)</f>
        <v>과학</v>
      </c>
      <c r="I755" s="77"/>
      <c r="J755" s="26"/>
      <c r="K755" s="165"/>
      <c r="L755" s="165"/>
      <c r="M755" s="166"/>
      <c r="N755" s="166"/>
      <c r="O755" s="166"/>
      <c r="P755" s="166"/>
      <c r="Q755" s="167"/>
      <c r="R755" s="111"/>
    </row>
    <row r="756" spans="1:18" hidden="1">
      <c r="A756" s="90">
        <v>750</v>
      </c>
      <c r="B756" s="24">
        <f>DATE('1.연간시수표'!$U$2,'1.연간시수표'!$X$2,'1.연간시수표'!$Z$2)+QUOTIENT(ROW(A750)-1,8)+(QUOTIENT(ROW(A750)-1,40)*2)</f>
        <v>44749</v>
      </c>
      <c r="C756" s="24" t="str">
        <f t="shared" si="33"/>
        <v>목</v>
      </c>
      <c r="D756" s="91" t="str">
        <f t="shared" si="34"/>
        <v>6교시</v>
      </c>
      <c r="E756" s="68">
        <f>COUNTIF($H$7:$H756,$H756)</f>
        <v>34</v>
      </c>
      <c r="F756" s="67">
        <f>'1.연간시수표'!$AL$33</f>
        <v>5</v>
      </c>
      <c r="G756" s="89">
        <f t="shared" si="35"/>
        <v>1</v>
      </c>
      <c r="H756" s="91" t="str">
        <f>INDEX('0.시간표데이터'!$E$10:$AR$32,QUOTIENT(ROW(A750)-1,40)+1,MOD(ROW(A750)-1,40)+1)</f>
        <v>음악</v>
      </c>
      <c r="I756" s="161"/>
      <c r="J756" s="26"/>
      <c r="K756" s="165"/>
      <c r="L756" s="165"/>
      <c r="M756" s="166"/>
      <c r="N756" s="166"/>
      <c r="O756" s="166"/>
      <c r="P756" s="166"/>
      <c r="Q756" s="167"/>
      <c r="R756" s="111"/>
    </row>
    <row r="757" spans="1:18" hidden="1">
      <c r="A757" s="90">
        <v>751</v>
      </c>
      <c r="B757" s="24">
        <f>DATE('1.연간시수표'!$U$2,'1.연간시수표'!$X$2,'1.연간시수표'!$Z$2)+QUOTIENT(ROW(A751)-1,8)+(QUOTIENT(ROW(A751)-1,40)*2)</f>
        <v>44749</v>
      </c>
      <c r="C757" s="24" t="str">
        <f t="shared" si="33"/>
        <v>목</v>
      </c>
      <c r="D757" s="91" t="str">
        <f t="shared" si="34"/>
        <v>7교시</v>
      </c>
      <c r="E757" s="68">
        <f>COUNTIF($H$7:$H757,$H757)</f>
        <v>247</v>
      </c>
      <c r="F757" s="67">
        <f>'1.연간시수표'!$AL$33</f>
        <v>5</v>
      </c>
      <c r="G757" s="89">
        <f t="shared" si="35"/>
        <v>1</v>
      </c>
      <c r="H757" s="91" t="str">
        <f>INDEX('0.시간표데이터'!$E$10:$AR$32,QUOTIENT(ROW(A751)-1,40)+1,MOD(ROW(A751)-1,40)+1)</f>
        <v>_</v>
      </c>
      <c r="I757" s="76"/>
      <c r="J757" s="26"/>
      <c r="K757" s="165"/>
      <c r="L757" s="165"/>
      <c r="M757" s="166"/>
      <c r="N757" s="166"/>
      <c r="O757" s="166"/>
      <c r="P757" s="166"/>
      <c r="Q757" s="167"/>
      <c r="R757" s="111"/>
    </row>
    <row r="758" spans="1:18" hidden="1">
      <c r="A758" s="90">
        <v>752</v>
      </c>
      <c r="B758" s="24">
        <f>DATE('1.연간시수표'!$U$2,'1.연간시수표'!$X$2,'1.연간시수표'!$Z$2)+QUOTIENT(ROW(A752)-1,8)+(QUOTIENT(ROW(A752)-1,40)*2)</f>
        <v>44749</v>
      </c>
      <c r="C758" s="24" t="str">
        <f t="shared" si="33"/>
        <v>목</v>
      </c>
      <c r="D758" s="91" t="str">
        <f t="shared" si="34"/>
        <v>8교시</v>
      </c>
      <c r="E758" s="68">
        <f>COUNTIF($H$7:$H758,$H758)</f>
        <v>248</v>
      </c>
      <c r="F758" s="67">
        <f>'1.연간시수표'!$AL$33</f>
        <v>5</v>
      </c>
      <c r="G758" s="89">
        <f t="shared" si="35"/>
        <v>1</v>
      </c>
      <c r="H758" s="91" t="str">
        <f>INDEX('0.시간표데이터'!$E$10:$AR$32,QUOTIENT(ROW(A752)-1,40)+1,MOD(ROW(A752)-1,40)+1)</f>
        <v>_</v>
      </c>
      <c r="I758" s="76"/>
      <c r="J758" s="26"/>
      <c r="K758" s="165"/>
      <c r="L758" s="165"/>
      <c r="M758" s="166"/>
      <c r="N758" s="166"/>
      <c r="O758" s="166"/>
      <c r="P758" s="166"/>
      <c r="Q758" s="167"/>
      <c r="R758" s="111"/>
    </row>
    <row r="759" spans="1:18" hidden="1">
      <c r="A759" s="90">
        <v>753</v>
      </c>
      <c r="B759" s="24">
        <f>DATE('1.연간시수표'!$U$2,'1.연간시수표'!$X$2,'1.연간시수표'!$Z$2)+QUOTIENT(ROW(A753)-1,8)+(QUOTIENT(ROW(A753)-1,40)*2)</f>
        <v>44750</v>
      </c>
      <c r="C759" s="24" t="str">
        <f t="shared" si="33"/>
        <v>금</v>
      </c>
      <c r="D759" s="91" t="str">
        <f t="shared" si="34"/>
        <v>1교시</v>
      </c>
      <c r="E759" s="68">
        <f>COUNTIF($H$7:$H759,$H759)</f>
        <v>30</v>
      </c>
      <c r="F759" s="67">
        <f>'1.연간시수표'!$AL$33</f>
        <v>5</v>
      </c>
      <c r="G759" s="89">
        <f t="shared" si="35"/>
        <v>1</v>
      </c>
      <c r="H759" s="91" t="str">
        <f>INDEX('0.시간표데이터'!$E$10:$AR$32,QUOTIENT(ROW(A753)-1,40)+1,MOD(ROW(A753)-1,40)+1)</f>
        <v>자율활동</v>
      </c>
      <c r="I759" s="77"/>
      <c r="J759" s="26"/>
      <c r="K759" s="162"/>
      <c r="L759" s="162"/>
      <c r="M759" s="168"/>
      <c r="N759" s="98"/>
      <c r="O759" s="99"/>
      <c r="P759" s="99"/>
      <c r="Q759" s="167"/>
      <c r="R759" s="111"/>
    </row>
    <row r="760" spans="1:18" hidden="1">
      <c r="A760" s="90">
        <v>754</v>
      </c>
      <c r="B760" s="24">
        <f>DATE('1.연간시수표'!$U$2,'1.연간시수표'!$X$2,'1.연간시수표'!$Z$2)+QUOTIENT(ROW(A754)-1,8)+(QUOTIENT(ROW(A754)-1,40)*2)</f>
        <v>44750</v>
      </c>
      <c r="C760" s="24" t="str">
        <f t="shared" si="33"/>
        <v>금</v>
      </c>
      <c r="D760" s="91" t="str">
        <f t="shared" si="34"/>
        <v>2교시</v>
      </c>
      <c r="E760" s="68">
        <f>COUNTIF($H$7:$H760,$H760)</f>
        <v>42</v>
      </c>
      <c r="F760" s="67">
        <f>'1.연간시수표'!$AL$33</f>
        <v>5</v>
      </c>
      <c r="G760" s="89">
        <f t="shared" si="35"/>
        <v>1</v>
      </c>
      <c r="H760" s="91" t="str">
        <f>INDEX('0.시간표데이터'!$E$10:$AR$32,QUOTIENT(ROW(A754)-1,40)+1,MOD(ROW(A754)-1,40)+1)</f>
        <v>체육</v>
      </c>
      <c r="I760" s="77"/>
      <c r="J760" s="26"/>
      <c r="K760" s="162"/>
      <c r="L760" s="162"/>
      <c r="M760" s="168"/>
      <c r="N760" s="168"/>
      <c r="O760" s="99"/>
      <c r="P760" s="99"/>
      <c r="Q760" s="167"/>
      <c r="R760" s="111"/>
    </row>
    <row r="761" spans="1:18" hidden="1">
      <c r="A761" s="90">
        <v>755</v>
      </c>
      <c r="B761" s="24">
        <f>DATE('1.연간시수표'!$U$2,'1.연간시수표'!$X$2,'1.연간시수표'!$Z$2)+QUOTIENT(ROW(A755)-1,8)+(QUOTIENT(ROW(A755)-1,40)*2)</f>
        <v>44750</v>
      </c>
      <c r="C761" s="24" t="str">
        <f t="shared" si="33"/>
        <v>금</v>
      </c>
      <c r="D761" s="91" t="str">
        <f t="shared" si="34"/>
        <v>3교시</v>
      </c>
      <c r="E761" s="68">
        <f>COUNTIF($H$7:$H761,$H761)</f>
        <v>43</v>
      </c>
      <c r="F761" s="67">
        <f>'1.연간시수표'!$AL$33</f>
        <v>5</v>
      </c>
      <c r="G761" s="89">
        <f t="shared" si="35"/>
        <v>1</v>
      </c>
      <c r="H761" s="91" t="str">
        <f>INDEX('0.시간표데이터'!$E$10:$AR$32,QUOTIENT(ROW(A755)-1,40)+1,MOD(ROW(A755)-1,40)+1)</f>
        <v>체육</v>
      </c>
      <c r="I761" s="77"/>
      <c r="J761" s="26"/>
      <c r="K761" s="165"/>
      <c r="L761" s="165"/>
      <c r="M761" s="166"/>
      <c r="N761" s="166"/>
      <c r="O761" s="166"/>
      <c r="P761" s="166"/>
      <c r="Q761" s="167"/>
      <c r="R761" s="111"/>
    </row>
    <row r="762" spans="1:18" hidden="1">
      <c r="A762" s="90">
        <v>756</v>
      </c>
      <c r="B762" s="24">
        <f>DATE('1.연간시수표'!$U$2,'1.연간시수표'!$X$2,'1.연간시수표'!$Z$2)+QUOTIENT(ROW(A756)-1,8)+(QUOTIENT(ROW(A756)-1,40)*2)</f>
        <v>44750</v>
      </c>
      <c r="C762" s="24" t="str">
        <f t="shared" si="33"/>
        <v>금</v>
      </c>
      <c r="D762" s="91" t="str">
        <f t="shared" si="34"/>
        <v>4교시</v>
      </c>
      <c r="E762" s="68">
        <f>COUNTIF($H$7:$H762,$H762)</f>
        <v>98</v>
      </c>
      <c r="F762" s="67">
        <f>'1.연간시수표'!$AL$33</f>
        <v>5</v>
      </c>
      <c r="G762" s="89">
        <f t="shared" si="35"/>
        <v>1</v>
      </c>
      <c r="H762" s="91" t="str">
        <f>INDEX('0.시간표데이터'!$E$10:$AR$32,QUOTIENT(ROW(A756)-1,40)+1,MOD(ROW(A756)-1,40)+1)</f>
        <v>국어</v>
      </c>
      <c r="I762" s="77"/>
      <c r="J762" s="26"/>
      <c r="K762" s="162"/>
      <c r="L762" s="162"/>
      <c r="M762" s="169"/>
      <c r="N762" s="101"/>
      <c r="O762" s="168"/>
      <c r="P762" s="168"/>
      <c r="Q762" s="167"/>
      <c r="R762" s="111"/>
    </row>
    <row r="763" spans="1:18" hidden="1">
      <c r="A763" s="90">
        <v>757</v>
      </c>
      <c r="B763" s="24">
        <f>DATE('1.연간시수표'!$U$2,'1.연간시수표'!$X$2,'1.연간시수표'!$Z$2)+QUOTIENT(ROW(A757)-1,8)+(QUOTIENT(ROW(A757)-1,40)*2)</f>
        <v>44750</v>
      </c>
      <c r="C763" s="24" t="str">
        <f t="shared" si="33"/>
        <v>금</v>
      </c>
      <c r="D763" s="91" t="str">
        <f t="shared" si="34"/>
        <v>5교시</v>
      </c>
      <c r="E763" s="68">
        <f>COUNTIF($H$7:$H763,$H763)</f>
        <v>50</v>
      </c>
      <c r="F763" s="67">
        <f>'1.연간시수표'!$AL$33</f>
        <v>5</v>
      </c>
      <c r="G763" s="89">
        <f t="shared" si="35"/>
        <v>1</v>
      </c>
      <c r="H763" s="91" t="str">
        <f>INDEX('0.시간표데이터'!$E$10:$AR$32,QUOTIENT(ROW(A757)-1,40)+1,MOD(ROW(A757)-1,40)+1)</f>
        <v>사회</v>
      </c>
      <c r="I763" s="77"/>
      <c r="J763" s="26"/>
      <c r="K763" s="162"/>
      <c r="L763" s="162"/>
      <c r="M763" s="170"/>
      <c r="N763" s="98"/>
      <c r="O763" s="168"/>
      <c r="P763" s="168"/>
      <c r="Q763" s="167"/>
      <c r="R763" s="111"/>
    </row>
    <row r="764" spans="1:18" hidden="1">
      <c r="A764" s="90">
        <v>758</v>
      </c>
      <c r="B764" s="24">
        <f>DATE('1.연간시수표'!$U$2,'1.연간시수표'!$X$2,'1.연간시수표'!$Z$2)+QUOTIENT(ROW(A758)-1,8)+(QUOTIENT(ROW(A758)-1,40)*2)</f>
        <v>44750</v>
      </c>
      <c r="C764" s="24" t="str">
        <f t="shared" si="33"/>
        <v>금</v>
      </c>
      <c r="D764" s="91" t="str">
        <f t="shared" si="34"/>
        <v>6교시</v>
      </c>
      <c r="E764" s="68">
        <f>COUNTIF($H$7:$H764,$H764)</f>
        <v>34</v>
      </c>
      <c r="F764" s="67">
        <f>'1.연간시수표'!$AL$33</f>
        <v>5</v>
      </c>
      <c r="G764" s="89">
        <f t="shared" si="35"/>
        <v>1</v>
      </c>
      <c r="H764" s="91" t="str">
        <f>INDEX('0.시간표데이터'!$E$10:$AR$32,QUOTIENT(ROW(A758)-1,40)+1,MOD(ROW(A758)-1,40)+1)</f>
        <v>실과</v>
      </c>
      <c r="I764" s="77"/>
      <c r="J764" s="26"/>
      <c r="K764" s="165"/>
      <c r="L764" s="165"/>
      <c r="M764" s="166"/>
      <c r="N764" s="166"/>
      <c r="O764" s="166"/>
      <c r="P764" s="166"/>
      <c r="Q764" s="167"/>
      <c r="R764" s="111"/>
    </row>
    <row r="765" spans="1:18" hidden="1">
      <c r="A765" s="90">
        <v>759</v>
      </c>
      <c r="B765" s="24">
        <f>DATE('1.연간시수표'!$U$2,'1.연간시수표'!$X$2,'1.연간시수표'!$Z$2)+QUOTIENT(ROW(A759)-1,8)+(QUOTIENT(ROW(A759)-1,40)*2)</f>
        <v>44750</v>
      </c>
      <c r="C765" s="24" t="str">
        <f t="shared" si="33"/>
        <v>금</v>
      </c>
      <c r="D765" s="91" t="str">
        <f t="shared" si="34"/>
        <v>7교시</v>
      </c>
      <c r="E765" s="68">
        <f>COUNTIF($H$7:$H765,$H765)</f>
        <v>249</v>
      </c>
      <c r="F765" s="67">
        <f>'1.연간시수표'!$AL$33</f>
        <v>5</v>
      </c>
      <c r="G765" s="89">
        <f t="shared" si="35"/>
        <v>1</v>
      </c>
      <c r="H765" s="91" t="str">
        <f>INDEX('0.시간표데이터'!$E$10:$AR$32,QUOTIENT(ROW(A759)-1,40)+1,MOD(ROW(A759)-1,40)+1)</f>
        <v>_</v>
      </c>
      <c r="I765" s="76"/>
      <c r="J765" s="26"/>
      <c r="K765" s="165"/>
      <c r="L765" s="165"/>
      <c r="M765" s="166"/>
      <c r="N765" s="166"/>
      <c r="O765" s="166"/>
      <c r="P765" s="166"/>
      <c r="Q765" s="167"/>
      <c r="R765" s="111"/>
    </row>
    <row r="766" spans="1:18" hidden="1">
      <c r="A766" s="90">
        <v>760</v>
      </c>
      <c r="B766" s="24">
        <f>DATE('1.연간시수표'!$U$2,'1.연간시수표'!$X$2,'1.연간시수표'!$Z$2)+QUOTIENT(ROW(A760)-1,8)+(QUOTIENT(ROW(A760)-1,40)*2)</f>
        <v>44750</v>
      </c>
      <c r="C766" s="24" t="str">
        <f t="shared" si="33"/>
        <v>금</v>
      </c>
      <c r="D766" s="91" t="str">
        <f t="shared" si="34"/>
        <v>8교시</v>
      </c>
      <c r="E766" s="68">
        <f>COUNTIF($H$7:$H766,$H766)</f>
        <v>250</v>
      </c>
      <c r="F766" s="67">
        <f>'1.연간시수표'!$AL$33</f>
        <v>5</v>
      </c>
      <c r="G766" s="89">
        <f t="shared" si="35"/>
        <v>1</v>
      </c>
      <c r="H766" s="91" t="str">
        <f>INDEX('0.시간표데이터'!$E$10:$AR$32,QUOTIENT(ROW(A760)-1,40)+1,MOD(ROW(A760)-1,40)+1)</f>
        <v>_</v>
      </c>
      <c r="I766" s="76"/>
      <c r="J766" s="26"/>
      <c r="K766" s="165"/>
      <c r="L766" s="165"/>
      <c r="M766" s="166"/>
      <c r="N766" s="166"/>
      <c r="O766" s="166"/>
      <c r="P766" s="166"/>
      <c r="Q766" s="167"/>
      <c r="R766" s="111"/>
    </row>
    <row r="767" spans="1:18" hidden="1">
      <c r="A767" s="90">
        <v>761</v>
      </c>
      <c r="B767" s="24">
        <f>DATE('1.연간시수표'!$U$2,'1.연간시수표'!$X$2,'1.연간시수표'!$Z$2)+QUOTIENT(ROW(A761)-1,8)+(QUOTIENT(ROW(A761)-1,40)*2)</f>
        <v>44753</v>
      </c>
      <c r="C767" s="24" t="str">
        <f t="shared" si="33"/>
        <v>월</v>
      </c>
      <c r="D767" s="91" t="str">
        <f t="shared" si="34"/>
        <v>1교시</v>
      </c>
      <c r="E767" s="68">
        <f>COUNTIF($H$7:$H767,$H767)</f>
        <v>99</v>
      </c>
      <c r="F767" s="67">
        <f>'1.연간시수표'!$AL$33</f>
        <v>5</v>
      </c>
      <c r="G767" s="89">
        <f t="shared" si="35"/>
        <v>1</v>
      </c>
      <c r="H767" s="91" t="str">
        <f>INDEX('0.시간표데이터'!$E$10:$AR$32,QUOTIENT(ROW(A761)-1,40)+1,MOD(ROW(A761)-1,40)+1)</f>
        <v>국어</v>
      </c>
      <c r="I767" s="77"/>
      <c r="J767" s="26"/>
      <c r="K767" s="165"/>
      <c r="L767" s="165"/>
      <c r="M767" s="166"/>
      <c r="N767" s="166"/>
      <c r="O767" s="166"/>
      <c r="P767" s="166"/>
      <c r="Q767" s="167"/>
      <c r="R767" s="111"/>
    </row>
    <row r="768" spans="1:18" hidden="1">
      <c r="A768" s="90">
        <v>762</v>
      </c>
      <c r="B768" s="24">
        <f>DATE('1.연간시수표'!$U$2,'1.연간시수표'!$X$2,'1.연간시수표'!$Z$2)+QUOTIENT(ROW(A762)-1,8)+(QUOTIENT(ROW(A762)-1,40)*2)</f>
        <v>44753</v>
      </c>
      <c r="C768" s="24" t="str">
        <f t="shared" si="33"/>
        <v>월</v>
      </c>
      <c r="D768" s="91" t="str">
        <f t="shared" si="34"/>
        <v>2교시</v>
      </c>
      <c r="E768" s="68">
        <f>COUNTIF($H$7:$H768,$H768)</f>
        <v>44</v>
      </c>
      <c r="F768" s="67">
        <f>'1.연간시수표'!$AL$33</f>
        <v>5</v>
      </c>
      <c r="G768" s="89">
        <f t="shared" si="35"/>
        <v>1</v>
      </c>
      <c r="H768" s="91" t="str">
        <f>INDEX('0.시간표데이터'!$E$10:$AR$32,QUOTIENT(ROW(A762)-1,40)+1,MOD(ROW(A762)-1,40)+1)</f>
        <v>체육</v>
      </c>
      <c r="I768" s="161"/>
      <c r="J768" s="26"/>
      <c r="K768" s="165"/>
      <c r="L768" s="165"/>
      <c r="M768" s="166"/>
      <c r="N768" s="166"/>
      <c r="O768" s="166"/>
      <c r="P768" s="166"/>
      <c r="Q768" s="167"/>
      <c r="R768" s="111"/>
    </row>
    <row r="769" spans="1:18" hidden="1">
      <c r="A769" s="90">
        <v>763</v>
      </c>
      <c r="B769" s="24">
        <f>DATE('1.연간시수표'!$U$2,'1.연간시수표'!$X$2,'1.연간시수표'!$Z$2)+QUOTIENT(ROW(A763)-1,8)+(QUOTIENT(ROW(A763)-1,40)*2)</f>
        <v>44753</v>
      </c>
      <c r="C769" s="24" t="str">
        <f t="shared" si="33"/>
        <v>월</v>
      </c>
      <c r="D769" s="91" t="str">
        <f t="shared" si="34"/>
        <v>3교시</v>
      </c>
      <c r="E769" s="68">
        <f>COUNTIF($H$7:$H769,$H769)</f>
        <v>45</v>
      </c>
      <c r="F769" s="67">
        <f>'1.연간시수표'!$AL$33</f>
        <v>5</v>
      </c>
      <c r="G769" s="89">
        <f t="shared" si="35"/>
        <v>1</v>
      </c>
      <c r="H769" s="91" t="str">
        <f>INDEX('0.시간표데이터'!$E$10:$AR$32,QUOTIENT(ROW(A763)-1,40)+1,MOD(ROW(A763)-1,40)+1)</f>
        <v>체육</v>
      </c>
      <c r="I769" s="77"/>
      <c r="J769" s="26"/>
      <c r="K769" s="162"/>
      <c r="L769" s="162"/>
      <c r="M769" s="169"/>
      <c r="N769" s="101"/>
      <c r="O769" s="168"/>
      <c r="P769" s="168"/>
      <c r="Q769" s="167"/>
      <c r="R769" s="111"/>
    </row>
    <row r="770" spans="1:18" hidden="1">
      <c r="A770" s="90">
        <v>764</v>
      </c>
      <c r="B770" s="24">
        <f>DATE('1.연간시수표'!$U$2,'1.연간시수표'!$X$2,'1.연간시수표'!$Z$2)+QUOTIENT(ROW(A764)-1,8)+(QUOTIENT(ROW(A764)-1,40)*2)</f>
        <v>44753</v>
      </c>
      <c r="C770" s="24" t="str">
        <f t="shared" si="33"/>
        <v>월</v>
      </c>
      <c r="D770" s="91" t="str">
        <f t="shared" si="34"/>
        <v>4교시</v>
      </c>
      <c r="E770" s="68">
        <f>COUNTIF($H$7:$H770,$H770)</f>
        <v>49</v>
      </c>
      <c r="F770" s="67">
        <f>'1.연간시수표'!$AL$33</f>
        <v>5</v>
      </c>
      <c r="G770" s="89">
        <f t="shared" si="35"/>
        <v>1</v>
      </c>
      <c r="H770" s="91" t="str">
        <f>INDEX('0.시간표데이터'!$E$10:$AR$32,QUOTIENT(ROW(A764)-1,40)+1,MOD(ROW(A764)-1,40)+1)</f>
        <v>영어</v>
      </c>
      <c r="I770" s="77"/>
      <c r="J770" s="26"/>
      <c r="K770" s="162"/>
      <c r="L770" s="162"/>
      <c r="M770" s="172"/>
      <c r="N770" s="98"/>
      <c r="O770" s="168"/>
      <c r="P770" s="168"/>
      <c r="Q770" s="167"/>
      <c r="R770" s="111"/>
    </row>
    <row r="771" spans="1:18" hidden="1">
      <c r="A771" s="90">
        <v>765</v>
      </c>
      <c r="B771" s="24">
        <f>DATE('1.연간시수표'!$U$2,'1.연간시수표'!$X$2,'1.연간시수표'!$Z$2)+QUOTIENT(ROW(A765)-1,8)+(QUOTIENT(ROW(A765)-1,40)*2)</f>
        <v>44753</v>
      </c>
      <c r="C771" s="24" t="str">
        <f t="shared" si="33"/>
        <v>월</v>
      </c>
      <c r="D771" s="91" t="str">
        <f t="shared" si="34"/>
        <v>5교시</v>
      </c>
      <c r="E771" s="68">
        <f>COUNTIF($H$7:$H771,$H771)</f>
        <v>67</v>
      </c>
      <c r="F771" s="67">
        <f>'1.연간시수표'!$AL$33</f>
        <v>5</v>
      </c>
      <c r="G771" s="89">
        <f t="shared" si="35"/>
        <v>1</v>
      </c>
      <c r="H771" s="91" t="str">
        <f>INDEX('0.시간표데이터'!$E$10:$AR$32,QUOTIENT(ROW(A765)-1,40)+1,MOD(ROW(A765)-1,40)+1)</f>
        <v>수학</v>
      </c>
      <c r="I771" s="77"/>
      <c r="J771" s="26"/>
      <c r="K771" s="162"/>
      <c r="L771" s="162"/>
      <c r="M771" s="168"/>
      <c r="N771" s="168"/>
      <c r="O771" s="99"/>
      <c r="P771" s="99"/>
      <c r="Q771" s="167"/>
      <c r="R771" s="111"/>
    </row>
    <row r="772" spans="1:18" hidden="1">
      <c r="A772" s="90">
        <v>766</v>
      </c>
      <c r="B772" s="24">
        <f>DATE('1.연간시수표'!$U$2,'1.연간시수표'!$X$2,'1.연간시수표'!$Z$2)+QUOTIENT(ROW(A766)-1,8)+(QUOTIENT(ROW(A766)-1,40)*2)</f>
        <v>44753</v>
      </c>
      <c r="C772" s="24" t="str">
        <f t="shared" si="33"/>
        <v>월</v>
      </c>
      <c r="D772" s="91" t="str">
        <f t="shared" si="34"/>
        <v>6교시</v>
      </c>
      <c r="E772" s="68">
        <f>COUNTIF($H$7:$H772,$H772)</f>
        <v>31</v>
      </c>
      <c r="F772" s="67">
        <f>'1.연간시수표'!$AL$33</f>
        <v>5</v>
      </c>
      <c r="G772" s="89">
        <f t="shared" si="35"/>
        <v>1</v>
      </c>
      <c r="H772" s="91" t="str">
        <f>INDEX('0.시간표데이터'!$E$10:$AR$32,QUOTIENT(ROW(A766)-1,40)+1,MOD(ROW(A766)-1,40)+1)</f>
        <v>자율활동</v>
      </c>
      <c r="I772" s="77"/>
      <c r="J772" s="26"/>
      <c r="K772" s="165"/>
      <c r="L772" s="165"/>
      <c r="M772" s="166"/>
      <c r="N772" s="166"/>
      <c r="O772" s="166"/>
      <c r="P772" s="166"/>
      <c r="Q772" s="167"/>
      <c r="R772" s="111"/>
    </row>
    <row r="773" spans="1:18" hidden="1">
      <c r="A773" s="90">
        <v>767</v>
      </c>
      <c r="B773" s="24">
        <f>DATE('1.연간시수표'!$U$2,'1.연간시수표'!$X$2,'1.연간시수표'!$Z$2)+QUOTIENT(ROW(A767)-1,8)+(QUOTIENT(ROW(A767)-1,40)*2)</f>
        <v>44753</v>
      </c>
      <c r="C773" s="24" t="str">
        <f t="shared" si="33"/>
        <v>월</v>
      </c>
      <c r="D773" s="91" t="str">
        <f t="shared" si="34"/>
        <v>7교시</v>
      </c>
      <c r="E773" s="68">
        <f>COUNTIF($H$7:$H773,$H773)</f>
        <v>251</v>
      </c>
      <c r="F773" s="67">
        <f>'1.연간시수표'!$AL$33</f>
        <v>5</v>
      </c>
      <c r="G773" s="89">
        <f t="shared" si="35"/>
        <v>1</v>
      </c>
      <c r="H773" s="91" t="str">
        <f>INDEX('0.시간표데이터'!$E$10:$AR$32,QUOTIENT(ROW(A767)-1,40)+1,MOD(ROW(A767)-1,40)+1)</f>
        <v>_</v>
      </c>
      <c r="I773" s="76"/>
      <c r="J773" s="26"/>
      <c r="K773" s="165"/>
      <c r="L773" s="165"/>
      <c r="M773" s="166"/>
      <c r="N773" s="166"/>
      <c r="O773" s="166"/>
      <c r="P773" s="166"/>
      <c r="Q773" s="167"/>
      <c r="R773" s="111"/>
    </row>
    <row r="774" spans="1:18" hidden="1">
      <c r="A774" s="90">
        <v>768</v>
      </c>
      <c r="B774" s="24">
        <f>DATE('1.연간시수표'!$U$2,'1.연간시수표'!$X$2,'1.연간시수표'!$Z$2)+QUOTIENT(ROW(A768)-1,8)+(QUOTIENT(ROW(A768)-1,40)*2)</f>
        <v>44753</v>
      </c>
      <c r="C774" s="24" t="str">
        <f t="shared" si="33"/>
        <v>월</v>
      </c>
      <c r="D774" s="91" t="str">
        <f t="shared" si="34"/>
        <v>8교시</v>
      </c>
      <c r="E774" s="68">
        <f>COUNTIF($H$7:$H774,$H774)</f>
        <v>252</v>
      </c>
      <c r="F774" s="67">
        <f>'1.연간시수표'!$AL$33</f>
        <v>5</v>
      </c>
      <c r="G774" s="89">
        <f t="shared" si="35"/>
        <v>1</v>
      </c>
      <c r="H774" s="91" t="str">
        <f>INDEX('0.시간표데이터'!$E$10:$AR$32,QUOTIENT(ROW(A768)-1,40)+1,MOD(ROW(A768)-1,40)+1)</f>
        <v>_</v>
      </c>
      <c r="I774" s="76"/>
      <c r="J774" s="26"/>
      <c r="K774" s="165"/>
      <c r="L774" s="165"/>
      <c r="M774" s="166"/>
      <c r="N774" s="166"/>
      <c r="O774" s="166"/>
      <c r="P774" s="166"/>
      <c r="Q774" s="167"/>
      <c r="R774" s="111"/>
    </row>
    <row r="775" spans="1:18" hidden="1">
      <c r="A775" s="90">
        <v>769</v>
      </c>
      <c r="B775" s="24">
        <f>DATE('1.연간시수표'!$U$2,'1.연간시수표'!$X$2,'1.연간시수표'!$Z$2)+QUOTIENT(ROW(A769)-1,8)+(QUOTIENT(ROW(A769)-1,40)*2)</f>
        <v>44754</v>
      </c>
      <c r="C775" s="24" t="str">
        <f t="shared" ref="C775:C838" si="36">IF(WEEKDAY(B775,2)=1,"월",IF(WEEKDAY(B775,2)=2,"화",IF(WEEKDAY(B775,2)=3,"수",IF(WEEKDAY(B775,2)=4,"목",IF(WEEKDAY(B775,2)=5,"금")))))</f>
        <v>화</v>
      </c>
      <c r="D775" s="91" t="str">
        <f t="shared" ref="D775:D838" si="37">TEXT(MOD(ROW(A769)-1,8)+1,"#교시")</f>
        <v>1교시</v>
      </c>
      <c r="E775" s="68">
        <f>COUNTIF($H$7:$H775,$H775)</f>
        <v>100</v>
      </c>
      <c r="F775" s="67">
        <f>'1.연간시수표'!$AL$33</f>
        <v>5</v>
      </c>
      <c r="G775" s="89">
        <f t="shared" ref="G775:G838" si="38">$A$2</f>
        <v>1</v>
      </c>
      <c r="H775" s="91" t="str">
        <f>INDEX('0.시간표데이터'!$E$10:$AR$32,QUOTIENT(ROW(A769)-1,40)+1,MOD(ROW(A769)-1,40)+1)</f>
        <v>국어</v>
      </c>
      <c r="I775" s="77"/>
      <c r="J775" s="26"/>
      <c r="K775" s="165"/>
      <c r="L775" s="165"/>
      <c r="M775" s="166"/>
      <c r="N775" s="166"/>
      <c r="O775" s="166"/>
      <c r="P775" s="166"/>
      <c r="Q775" s="167"/>
      <c r="R775" s="111"/>
    </row>
    <row r="776" spans="1:18" hidden="1">
      <c r="A776" s="90">
        <v>770</v>
      </c>
      <c r="B776" s="24">
        <f>DATE('1.연간시수표'!$U$2,'1.연간시수표'!$X$2,'1.연간시수표'!$Z$2)+QUOTIENT(ROW(A770)-1,8)+(QUOTIENT(ROW(A770)-1,40)*2)</f>
        <v>44754</v>
      </c>
      <c r="C776" s="24" t="str">
        <f t="shared" si="36"/>
        <v>화</v>
      </c>
      <c r="D776" s="91" t="str">
        <f t="shared" si="37"/>
        <v>2교시</v>
      </c>
      <c r="E776" s="68">
        <f>COUNTIF($H$7:$H776,$H776)</f>
        <v>101</v>
      </c>
      <c r="F776" s="67">
        <f>'1.연간시수표'!$AL$33</f>
        <v>5</v>
      </c>
      <c r="G776" s="89">
        <f t="shared" si="38"/>
        <v>1</v>
      </c>
      <c r="H776" s="91" t="str">
        <f>INDEX('0.시간표데이터'!$E$10:$AR$32,QUOTIENT(ROW(A770)-1,40)+1,MOD(ROW(A770)-1,40)+1)</f>
        <v>국어</v>
      </c>
      <c r="I776" s="161"/>
      <c r="J776" s="26"/>
      <c r="K776" s="165"/>
      <c r="L776" s="165"/>
      <c r="M776" s="166"/>
      <c r="N776" s="166"/>
      <c r="O776" s="166"/>
      <c r="P776" s="166"/>
      <c r="Q776" s="167"/>
      <c r="R776" s="111"/>
    </row>
    <row r="777" spans="1:18" hidden="1">
      <c r="A777" s="90">
        <v>771</v>
      </c>
      <c r="B777" s="24">
        <f>DATE('1.연간시수표'!$U$2,'1.연간시수표'!$X$2,'1.연간시수표'!$Z$2)+QUOTIENT(ROW(A771)-1,8)+(QUOTIENT(ROW(A771)-1,40)*2)</f>
        <v>44754</v>
      </c>
      <c r="C777" s="24" t="str">
        <f t="shared" si="36"/>
        <v>화</v>
      </c>
      <c r="D777" s="91" t="str">
        <f t="shared" si="37"/>
        <v>3교시</v>
      </c>
      <c r="E777" s="68">
        <f>COUNTIF($H$7:$H777,$H777)</f>
        <v>51</v>
      </c>
      <c r="F777" s="67">
        <f>'1.연간시수표'!$AL$33</f>
        <v>5</v>
      </c>
      <c r="G777" s="89">
        <f t="shared" si="38"/>
        <v>1</v>
      </c>
      <c r="H777" s="91" t="str">
        <f>INDEX('0.시간표데이터'!$E$10:$AR$32,QUOTIENT(ROW(A771)-1,40)+1,MOD(ROW(A771)-1,40)+1)</f>
        <v>사회</v>
      </c>
      <c r="I777" s="77"/>
      <c r="J777" s="26"/>
      <c r="K777" s="162"/>
      <c r="L777" s="162"/>
      <c r="M777" s="168"/>
      <c r="N777" s="102"/>
      <c r="O777" s="168"/>
      <c r="P777" s="168"/>
      <c r="Q777" s="167"/>
      <c r="R777" s="111"/>
    </row>
    <row r="778" spans="1:18" hidden="1">
      <c r="A778" s="90">
        <v>772</v>
      </c>
      <c r="B778" s="24">
        <f>DATE('1.연간시수표'!$U$2,'1.연간시수표'!$X$2,'1.연간시수표'!$Z$2)+QUOTIENT(ROW(A772)-1,8)+(QUOTIENT(ROW(A772)-1,40)*2)</f>
        <v>44754</v>
      </c>
      <c r="C778" s="24" t="str">
        <f t="shared" si="36"/>
        <v>화</v>
      </c>
      <c r="D778" s="91" t="str">
        <f t="shared" si="37"/>
        <v>4교시</v>
      </c>
      <c r="E778" s="68">
        <f>COUNTIF($H$7:$H778,$H778)</f>
        <v>68</v>
      </c>
      <c r="F778" s="67">
        <f>'1.연간시수표'!$AL$33</f>
        <v>5</v>
      </c>
      <c r="G778" s="89">
        <f t="shared" si="38"/>
        <v>1</v>
      </c>
      <c r="H778" s="91" t="str">
        <f>INDEX('0.시간표데이터'!$E$10:$AR$32,QUOTIENT(ROW(A772)-1,40)+1,MOD(ROW(A772)-1,40)+1)</f>
        <v>수학</v>
      </c>
      <c r="I778" s="77"/>
      <c r="J778" s="26"/>
      <c r="K778" s="162"/>
      <c r="L778" s="162"/>
      <c r="M778" s="168"/>
      <c r="N778" s="98"/>
      <c r="O778" s="99"/>
      <c r="P778" s="99"/>
      <c r="Q778" s="167"/>
      <c r="R778" s="111"/>
    </row>
    <row r="779" spans="1:18" hidden="1">
      <c r="A779" s="90">
        <v>773</v>
      </c>
      <c r="B779" s="24">
        <f>DATE('1.연간시수표'!$U$2,'1.연간시수표'!$X$2,'1.연간시수표'!$Z$2)+QUOTIENT(ROW(A773)-1,8)+(QUOTIENT(ROW(A773)-1,40)*2)</f>
        <v>44754</v>
      </c>
      <c r="C779" s="24" t="str">
        <f t="shared" si="36"/>
        <v>화</v>
      </c>
      <c r="D779" s="91" t="str">
        <f t="shared" si="37"/>
        <v>5교시</v>
      </c>
      <c r="E779" s="68">
        <f>COUNTIF($H$7:$H779,$H779)</f>
        <v>49</v>
      </c>
      <c r="F779" s="67">
        <f>'1.연간시수표'!$AL$33</f>
        <v>5</v>
      </c>
      <c r="G779" s="89">
        <f t="shared" si="38"/>
        <v>1</v>
      </c>
      <c r="H779" s="91" t="str">
        <f>INDEX('0.시간표데이터'!$E$10:$AR$32,QUOTIENT(ROW(A773)-1,40)+1,MOD(ROW(A773)-1,40)+1)</f>
        <v>과학</v>
      </c>
      <c r="I779" s="77"/>
      <c r="J779" s="26"/>
      <c r="K779" s="137"/>
      <c r="L779" s="137"/>
      <c r="M779" s="114"/>
      <c r="N779" s="114"/>
      <c r="O779" s="114"/>
      <c r="P779" s="114"/>
      <c r="Q779" s="164"/>
      <c r="R779" s="110"/>
    </row>
    <row r="780" spans="1:18" hidden="1">
      <c r="A780" s="90">
        <v>774</v>
      </c>
      <c r="B780" s="24">
        <f>DATE('1.연간시수표'!$U$2,'1.연간시수표'!$X$2,'1.연간시수표'!$Z$2)+QUOTIENT(ROW(A774)-1,8)+(QUOTIENT(ROW(A774)-1,40)*2)</f>
        <v>44754</v>
      </c>
      <c r="C780" s="24" t="str">
        <f t="shared" si="36"/>
        <v>화</v>
      </c>
      <c r="D780" s="91" t="str">
        <f t="shared" si="37"/>
        <v>6교시</v>
      </c>
      <c r="E780" s="68">
        <f>COUNTIF($H$7:$H780,$H780)</f>
        <v>46</v>
      </c>
      <c r="F780" s="67">
        <f>'1.연간시수표'!$AL$33</f>
        <v>5</v>
      </c>
      <c r="G780" s="89">
        <f t="shared" si="38"/>
        <v>1</v>
      </c>
      <c r="H780" s="91" t="str">
        <f>INDEX('0.시간표데이터'!$E$10:$AR$32,QUOTIENT(ROW(A774)-1,40)+1,MOD(ROW(A774)-1,40)+1)</f>
        <v>체육</v>
      </c>
      <c r="I780" s="77"/>
      <c r="J780" s="26"/>
      <c r="K780" s="165"/>
      <c r="L780" s="165"/>
      <c r="M780" s="166"/>
      <c r="N780" s="166"/>
      <c r="O780" s="166"/>
      <c r="P780" s="166"/>
      <c r="Q780" s="167"/>
      <c r="R780" s="111"/>
    </row>
    <row r="781" spans="1:18" hidden="1">
      <c r="A781" s="90">
        <v>775</v>
      </c>
      <c r="B781" s="24">
        <f>DATE('1.연간시수표'!$U$2,'1.연간시수표'!$X$2,'1.연간시수표'!$Z$2)+QUOTIENT(ROW(A775)-1,8)+(QUOTIENT(ROW(A775)-1,40)*2)</f>
        <v>44754</v>
      </c>
      <c r="C781" s="24" t="str">
        <f t="shared" si="36"/>
        <v>화</v>
      </c>
      <c r="D781" s="91" t="str">
        <f t="shared" si="37"/>
        <v>7교시</v>
      </c>
      <c r="E781" s="68">
        <f>COUNTIF($H$7:$H781,$H781)</f>
        <v>253</v>
      </c>
      <c r="F781" s="67">
        <f>'1.연간시수표'!$AL$33</f>
        <v>5</v>
      </c>
      <c r="G781" s="89">
        <f t="shared" si="38"/>
        <v>1</v>
      </c>
      <c r="H781" s="91" t="str">
        <f>INDEX('0.시간표데이터'!$E$10:$AR$32,QUOTIENT(ROW(A775)-1,40)+1,MOD(ROW(A775)-1,40)+1)</f>
        <v>_</v>
      </c>
      <c r="I781" s="76"/>
      <c r="J781" s="26"/>
      <c r="K781" s="165"/>
      <c r="L781" s="165"/>
      <c r="M781" s="166"/>
      <c r="N781" s="166"/>
      <c r="O781" s="166"/>
      <c r="P781" s="166"/>
      <c r="Q781" s="167"/>
      <c r="R781" s="111"/>
    </row>
    <row r="782" spans="1:18" hidden="1">
      <c r="A782" s="90">
        <v>776</v>
      </c>
      <c r="B782" s="24">
        <f>DATE('1.연간시수표'!$U$2,'1.연간시수표'!$X$2,'1.연간시수표'!$Z$2)+QUOTIENT(ROW(A776)-1,8)+(QUOTIENT(ROW(A776)-1,40)*2)</f>
        <v>44754</v>
      </c>
      <c r="C782" s="24" t="str">
        <f t="shared" si="36"/>
        <v>화</v>
      </c>
      <c r="D782" s="91" t="str">
        <f t="shared" si="37"/>
        <v>8교시</v>
      </c>
      <c r="E782" s="68">
        <f>COUNTIF($H$7:$H782,$H782)</f>
        <v>254</v>
      </c>
      <c r="F782" s="67">
        <f>'1.연간시수표'!$AL$33</f>
        <v>5</v>
      </c>
      <c r="G782" s="89">
        <f t="shared" si="38"/>
        <v>1</v>
      </c>
      <c r="H782" s="91" t="str">
        <f>INDEX('0.시간표데이터'!$E$10:$AR$32,QUOTIENT(ROW(A776)-1,40)+1,MOD(ROW(A776)-1,40)+1)</f>
        <v>_</v>
      </c>
      <c r="I782" s="76"/>
      <c r="J782" s="26"/>
      <c r="K782" s="165"/>
      <c r="L782" s="165"/>
      <c r="M782" s="166"/>
      <c r="N782" s="166"/>
      <c r="O782" s="166"/>
      <c r="P782" s="166"/>
      <c r="Q782" s="167"/>
      <c r="R782" s="111"/>
    </row>
    <row r="783" spans="1:18" hidden="1">
      <c r="A783" s="90">
        <v>777</v>
      </c>
      <c r="B783" s="24">
        <f>DATE('1.연간시수표'!$U$2,'1.연간시수표'!$X$2,'1.연간시수표'!$Z$2)+QUOTIENT(ROW(A777)-1,8)+(QUOTIENT(ROW(A777)-1,40)*2)</f>
        <v>44755</v>
      </c>
      <c r="C783" s="24" t="str">
        <f t="shared" si="36"/>
        <v>수</v>
      </c>
      <c r="D783" s="91" t="str">
        <f t="shared" si="37"/>
        <v>1교시</v>
      </c>
      <c r="E783" s="68">
        <f>COUNTIF($H$7:$H783,$H783)</f>
        <v>50</v>
      </c>
      <c r="F783" s="67">
        <f>'1.연간시수표'!$AL$33</f>
        <v>5</v>
      </c>
      <c r="G783" s="89">
        <f t="shared" si="38"/>
        <v>1</v>
      </c>
      <c r="H783" s="91" t="str">
        <f>INDEX('0.시간표데이터'!$E$10:$AR$32,QUOTIENT(ROW(A777)-1,40)+1,MOD(ROW(A777)-1,40)+1)</f>
        <v>영어</v>
      </c>
      <c r="I783" s="77"/>
      <c r="J783" s="26"/>
      <c r="K783" s="165"/>
      <c r="L783" s="165"/>
      <c r="M783" s="166"/>
      <c r="N783" s="166"/>
      <c r="O783" s="166"/>
      <c r="P783" s="166"/>
      <c r="Q783" s="167"/>
      <c r="R783" s="111"/>
    </row>
    <row r="784" spans="1:18" hidden="1">
      <c r="A784" s="90">
        <v>778</v>
      </c>
      <c r="B784" s="24">
        <f>DATE('1.연간시수표'!$U$2,'1.연간시수표'!$X$2,'1.연간시수표'!$Z$2)+QUOTIENT(ROW(A778)-1,8)+(QUOTIENT(ROW(A778)-1,40)*2)</f>
        <v>44755</v>
      </c>
      <c r="C784" s="24" t="str">
        <f t="shared" si="36"/>
        <v>수</v>
      </c>
      <c r="D784" s="91" t="str">
        <f t="shared" si="37"/>
        <v>2교시</v>
      </c>
      <c r="E784" s="68">
        <f>COUNTIF($H$7:$H784,$H784)</f>
        <v>50</v>
      </c>
      <c r="F784" s="67">
        <f>'1.연간시수표'!$AL$33</f>
        <v>5</v>
      </c>
      <c r="G784" s="89">
        <f t="shared" si="38"/>
        <v>1</v>
      </c>
      <c r="H784" s="91" t="str">
        <f>INDEX('0.시간표데이터'!$E$10:$AR$32,QUOTIENT(ROW(A778)-1,40)+1,MOD(ROW(A778)-1,40)+1)</f>
        <v>과학</v>
      </c>
      <c r="I784" s="77"/>
      <c r="J784" s="26"/>
      <c r="K784" s="137"/>
      <c r="L784" s="137"/>
      <c r="M784" s="114"/>
      <c r="N784" s="114"/>
      <c r="O784" s="114"/>
      <c r="P784" s="114"/>
      <c r="Q784" s="164"/>
      <c r="R784" s="110"/>
    </row>
    <row r="785" spans="1:18" hidden="1">
      <c r="A785" s="90">
        <v>779</v>
      </c>
      <c r="B785" s="24">
        <f>DATE('1.연간시수표'!$U$2,'1.연간시수표'!$X$2,'1.연간시수표'!$Z$2)+QUOTIENT(ROW(A779)-1,8)+(QUOTIENT(ROW(A779)-1,40)*2)</f>
        <v>44755</v>
      </c>
      <c r="C785" s="24" t="str">
        <f t="shared" si="36"/>
        <v>수</v>
      </c>
      <c r="D785" s="91" t="str">
        <f t="shared" si="37"/>
        <v>3교시</v>
      </c>
      <c r="E785" s="68">
        <f>COUNTIF($H$7:$H785,$H785)</f>
        <v>47</v>
      </c>
      <c r="F785" s="67">
        <f>'1.연간시수표'!$AL$33</f>
        <v>5</v>
      </c>
      <c r="G785" s="89">
        <f t="shared" si="38"/>
        <v>1</v>
      </c>
      <c r="H785" s="91" t="str">
        <f>INDEX('0.시간표데이터'!$E$10:$AR$32,QUOTIENT(ROW(A779)-1,40)+1,MOD(ROW(A779)-1,40)+1)</f>
        <v>체육</v>
      </c>
      <c r="I785" s="77"/>
      <c r="J785" s="26"/>
      <c r="K785" s="162"/>
      <c r="L785" s="162"/>
      <c r="M785" s="172"/>
      <c r="N785" s="98"/>
      <c r="O785" s="168"/>
      <c r="P785" s="168"/>
      <c r="Q785" s="167"/>
      <c r="R785" s="111"/>
    </row>
    <row r="786" spans="1:18">
      <c r="A786" s="90">
        <v>780</v>
      </c>
      <c r="B786" s="24">
        <f>DATE('1.연간시수표'!$U$2,'1.연간시수표'!$X$2,'1.연간시수표'!$Z$2)+QUOTIENT(ROW(A780)-1,8)+(QUOTIENT(ROW(A780)-1,40)*2)</f>
        <v>44755</v>
      </c>
      <c r="C786" s="24" t="str">
        <f t="shared" si="36"/>
        <v>수</v>
      </c>
      <c r="D786" s="91" t="str">
        <f t="shared" si="37"/>
        <v>4교시</v>
      </c>
      <c r="E786" s="68">
        <f>COUNTIF($H$7:$H786,$H786)</f>
        <v>48</v>
      </c>
      <c r="F786" s="67">
        <f>'1.연간시수표'!$AL$33</f>
        <v>5</v>
      </c>
      <c r="G786" s="89">
        <f t="shared" si="38"/>
        <v>1</v>
      </c>
      <c r="H786" s="91" t="str">
        <f>INDEX('0.시간표데이터'!$E$10:$AR$32,QUOTIENT(ROW(A780)-1,40)+1,MOD(ROW(A780)-1,40)+1)</f>
        <v>체육</v>
      </c>
      <c r="I786" s="77"/>
      <c r="J786" s="26"/>
      <c r="K786" s="173"/>
      <c r="L786" s="173"/>
      <c r="M786" s="10"/>
      <c r="N786" s="10"/>
      <c r="O786" s="10"/>
      <c r="P786" s="10"/>
      <c r="Q786" s="164"/>
      <c r="R786" s="109"/>
    </row>
    <row r="787" spans="1:18">
      <c r="A787" s="90">
        <v>781</v>
      </c>
      <c r="B787" s="24">
        <f>DATE('1.연간시수표'!$U$2,'1.연간시수표'!$X$2,'1.연간시수표'!$Z$2)+QUOTIENT(ROW(A781)-1,8)+(QUOTIENT(ROW(A781)-1,40)*2)</f>
        <v>44755</v>
      </c>
      <c r="C787" s="24" t="str">
        <f t="shared" si="36"/>
        <v>수</v>
      </c>
      <c r="D787" s="91" t="str">
        <f t="shared" si="37"/>
        <v>5교시</v>
      </c>
      <c r="E787" s="68">
        <f>COUNTIF($H$7:$H787,$H787)</f>
        <v>16</v>
      </c>
      <c r="F787" s="67">
        <f>'1.연간시수표'!$AL$33</f>
        <v>5</v>
      </c>
      <c r="G787" s="89">
        <f t="shared" si="38"/>
        <v>1</v>
      </c>
      <c r="H787" s="91" t="str">
        <f>INDEX('0.시간표데이터'!$E$10:$AR$32,QUOTIENT(ROW(A781)-1,40)+1,MOD(ROW(A781)-1,40)+1)</f>
        <v>도덕</v>
      </c>
      <c r="I787" s="77"/>
      <c r="J787" s="26"/>
      <c r="K787" s="173"/>
      <c r="L787" s="173"/>
      <c r="M787" s="10"/>
      <c r="N787" s="10"/>
      <c r="O787" s="10"/>
      <c r="P787" s="10"/>
      <c r="Q787" s="164"/>
      <c r="R787" s="109"/>
    </row>
    <row r="788" spans="1:18" hidden="1">
      <c r="A788" s="90">
        <v>782</v>
      </c>
      <c r="B788" s="24">
        <f>DATE('1.연간시수표'!$U$2,'1.연간시수표'!$X$2,'1.연간시수표'!$Z$2)+QUOTIENT(ROW(A782)-1,8)+(QUOTIENT(ROW(A782)-1,40)*2)</f>
        <v>44755</v>
      </c>
      <c r="C788" s="24" t="str">
        <f t="shared" si="36"/>
        <v>수</v>
      </c>
      <c r="D788" s="91" t="str">
        <f t="shared" si="37"/>
        <v>6교시</v>
      </c>
      <c r="E788" s="68">
        <f>COUNTIF($H$7:$H788,$H788)</f>
        <v>255</v>
      </c>
      <c r="F788" s="67">
        <f>'1.연간시수표'!$AL$33</f>
        <v>5</v>
      </c>
      <c r="G788" s="89">
        <f t="shared" si="38"/>
        <v>1</v>
      </c>
      <c r="H788" s="91" t="str">
        <f>INDEX('0.시간표데이터'!$E$10:$AR$32,QUOTIENT(ROW(A782)-1,40)+1,MOD(ROW(A782)-1,40)+1)</f>
        <v>_</v>
      </c>
      <c r="I788" s="77"/>
      <c r="J788" s="26"/>
      <c r="K788" s="165"/>
      <c r="L788" s="165"/>
      <c r="M788" s="166"/>
      <c r="N788" s="166"/>
      <c r="O788" s="166"/>
      <c r="P788" s="166"/>
      <c r="Q788" s="167"/>
      <c r="R788" s="111"/>
    </row>
    <row r="789" spans="1:18" hidden="1">
      <c r="A789" s="90">
        <v>783</v>
      </c>
      <c r="B789" s="24">
        <f>DATE('1.연간시수표'!$U$2,'1.연간시수표'!$X$2,'1.연간시수표'!$Z$2)+QUOTIENT(ROW(A783)-1,8)+(QUOTIENT(ROW(A783)-1,40)*2)</f>
        <v>44755</v>
      </c>
      <c r="C789" s="24" t="str">
        <f t="shared" si="36"/>
        <v>수</v>
      </c>
      <c r="D789" s="91" t="str">
        <f t="shared" si="37"/>
        <v>7교시</v>
      </c>
      <c r="E789" s="68">
        <f>COUNTIF($H$7:$H789,$H789)</f>
        <v>256</v>
      </c>
      <c r="F789" s="67">
        <f>'1.연간시수표'!$AL$33</f>
        <v>5</v>
      </c>
      <c r="G789" s="89">
        <f t="shared" si="38"/>
        <v>1</v>
      </c>
      <c r="H789" s="91" t="str">
        <f>INDEX('0.시간표데이터'!$E$10:$AR$32,QUOTIENT(ROW(A783)-1,40)+1,MOD(ROW(A783)-1,40)+1)</f>
        <v>_</v>
      </c>
      <c r="I789" s="76"/>
      <c r="J789" s="26"/>
      <c r="K789" s="165"/>
      <c r="L789" s="165"/>
      <c r="M789" s="166"/>
      <c r="N789" s="166"/>
      <c r="O789" s="166"/>
      <c r="P789" s="166"/>
      <c r="Q789" s="167"/>
      <c r="R789" s="111"/>
    </row>
    <row r="790" spans="1:18" hidden="1">
      <c r="A790" s="90">
        <v>784</v>
      </c>
      <c r="B790" s="24">
        <f>DATE('1.연간시수표'!$U$2,'1.연간시수표'!$X$2,'1.연간시수표'!$Z$2)+QUOTIENT(ROW(A784)-1,8)+(QUOTIENT(ROW(A784)-1,40)*2)</f>
        <v>44755</v>
      </c>
      <c r="C790" s="24" t="str">
        <f t="shared" si="36"/>
        <v>수</v>
      </c>
      <c r="D790" s="91" t="str">
        <f t="shared" si="37"/>
        <v>8교시</v>
      </c>
      <c r="E790" s="68">
        <f>COUNTIF($H$7:$H790,$H790)</f>
        <v>257</v>
      </c>
      <c r="F790" s="67">
        <f>'1.연간시수표'!$AL$33</f>
        <v>5</v>
      </c>
      <c r="G790" s="89">
        <f t="shared" si="38"/>
        <v>1</v>
      </c>
      <c r="H790" s="91" t="str">
        <f>INDEX('0.시간표데이터'!$E$10:$AR$32,QUOTIENT(ROW(A784)-1,40)+1,MOD(ROW(A784)-1,40)+1)</f>
        <v>_</v>
      </c>
      <c r="I790" s="76"/>
      <c r="J790" s="26"/>
      <c r="K790" s="165"/>
      <c r="L790" s="165"/>
      <c r="M790" s="166"/>
      <c r="N790" s="166"/>
      <c r="O790" s="166"/>
      <c r="P790" s="166"/>
      <c r="Q790" s="167"/>
      <c r="R790" s="111"/>
    </row>
    <row r="791" spans="1:18" hidden="1">
      <c r="A791" s="90">
        <v>785</v>
      </c>
      <c r="B791" s="24">
        <f>DATE('1.연간시수표'!$U$2,'1.연간시수표'!$X$2,'1.연간시수표'!$Z$2)+QUOTIENT(ROW(A785)-1,8)+(QUOTIENT(ROW(A785)-1,40)*2)</f>
        <v>44756</v>
      </c>
      <c r="C791" s="24" t="str">
        <f t="shared" si="36"/>
        <v>목</v>
      </c>
      <c r="D791" s="91" t="str">
        <f t="shared" si="37"/>
        <v>1교시</v>
      </c>
      <c r="E791" s="68">
        <f>COUNTIF($H$7:$H791,$H791)</f>
        <v>102</v>
      </c>
      <c r="F791" s="67">
        <f>'1.연간시수표'!$AL$33</f>
        <v>5</v>
      </c>
      <c r="G791" s="89">
        <f t="shared" si="38"/>
        <v>1</v>
      </c>
      <c r="H791" s="91" t="str">
        <f>INDEX('0.시간표데이터'!$E$10:$AR$32,QUOTIENT(ROW(A785)-1,40)+1,MOD(ROW(A785)-1,40)+1)</f>
        <v>국어</v>
      </c>
      <c r="I791" s="77"/>
      <c r="J791" s="26"/>
      <c r="K791" s="162"/>
      <c r="L791" s="162"/>
      <c r="M791" s="168"/>
      <c r="N791" s="98"/>
      <c r="O791" s="99"/>
      <c r="P791" s="99"/>
      <c r="Q791" s="167"/>
      <c r="R791" s="111"/>
    </row>
    <row r="792" spans="1:18" hidden="1">
      <c r="A792" s="90">
        <v>786</v>
      </c>
      <c r="B792" s="24">
        <f>DATE('1.연간시수표'!$U$2,'1.연간시수표'!$X$2,'1.연간시수표'!$Z$2)+QUOTIENT(ROW(A786)-1,8)+(QUOTIENT(ROW(A786)-1,40)*2)</f>
        <v>44756</v>
      </c>
      <c r="C792" s="24" t="str">
        <f t="shared" si="36"/>
        <v>목</v>
      </c>
      <c r="D792" s="91" t="str">
        <f t="shared" si="37"/>
        <v>2교시</v>
      </c>
      <c r="E792" s="68">
        <f>COUNTIF($H$7:$H792,$H792)</f>
        <v>69</v>
      </c>
      <c r="F792" s="67">
        <f>'1.연간시수표'!$AL$33</f>
        <v>5</v>
      </c>
      <c r="G792" s="89">
        <f t="shared" si="38"/>
        <v>1</v>
      </c>
      <c r="H792" s="91" t="str">
        <f>INDEX('0.시간표데이터'!$E$10:$AR$32,QUOTIENT(ROW(A786)-1,40)+1,MOD(ROW(A786)-1,40)+1)</f>
        <v>수학</v>
      </c>
      <c r="I792" s="161"/>
      <c r="J792" s="26"/>
      <c r="K792" s="165"/>
      <c r="L792" s="165"/>
      <c r="M792" s="166"/>
      <c r="N792" s="166"/>
      <c r="O792" s="166"/>
      <c r="P792" s="166"/>
      <c r="Q792" s="167"/>
      <c r="R792" s="111"/>
    </row>
    <row r="793" spans="1:18">
      <c r="A793" s="90">
        <v>787</v>
      </c>
      <c r="B793" s="24">
        <f>DATE('1.연간시수표'!$U$2,'1.연간시수표'!$X$2,'1.연간시수표'!$Z$2)+QUOTIENT(ROW(A787)-1,8)+(QUOTIENT(ROW(A787)-1,40)*2)</f>
        <v>44756</v>
      </c>
      <c r="C793" s="24" t="str">
        <f t="shared" si="36"/>
        <v>목</v>
      </c>
      <c r="D793" s="91" t="str">
        <f t="shared" si="37"/>
        <v>3교시</v>
      </c>
      <c r="E793" s="68">
        <f>COUNTIF($H$7:$H793,$H793)</f>
        <v>9</v>
      </c>
      <c r="F793" s="67">
        <f>'1.연간시수표'!$AL$33</f>
        <v>5</v>
      </c>
      <c r="G793" s="89">
        <f t="shared" si="38"/>
        <v>1</v>
      </c>
      <c r="H793" s="91" t="str">
        <f>INDEX('0.시간표데이터'!$E$10:$AR$32,QUOTIENT(ROW(A787)-1,40)+1,MOD(ROW(A787)-1,40)+1)</f>
        <v>동아리활동</v>
      </c>
      <c r="I793" s="77"/>
      <c r="J793" s="26"/>
      <c r="K793" s="173"/>
      <c r="L793" s="173"/>
      <c r="M793" s="10"/>
      <c r="N793" s="10"/>
      <c r="O793" s="10"/>
      <c r="P793" s="10"/>
      <c r="Q793" s="164"/>
      <c r="R793" s="109"/>
    </row>
    <row r="794" spans="1:18">
      <c r="A794" s="90">
        <v>788</v>
      </c>
      <c r="B794" s="24">
        <f>DATE('1.연간시수표'!$U$2,'1.연간시수표'!$X$2,'1.연간시수표'!$Z$2)+QUOTIENT(ROW(A788)-1,8)+(QUOTIENT(ROW(A788)-1,40)*2)</f>
        <v>44756</v>
      </c>
      <c r="C794" s="24" t="str">
        <f t="shared" si="36"/>
        <v>목</v>
      </c>
      <c r="D794" s="91" t="str">
        <f t="shared" si="37"/>
        <v>4교시</v>
      </c>
      <c r="E794" s="68">
        <f>COUNTIF($H$7:$H794,$H794)</f>
        <v>10</v>
      </c>
      <c r="F794" s="67">
        <f>'1.연간시수표'!$AL$33</f>
        <v>5</v>
      </c>
      <c r="G794" s="89">
        <f t="shared" si="38"/>
        <v>1</v>
      </c>
      <c r="H794" s="91" t="str">
        <f>INDEX('0.시간표데이터'!$E$10:$AR$32,QUOTIENT(ROW(A788)-1,40)+1,MOD(ROW(A788)-1,40)+1)</f>
        <v>동아리활동</v>
      </c>
      <c r="I794" s="77"/>
      <c r="J794" s="26"/>
      <c r="K794" s="173"/>
      <c r="L794" s="173"/>
      <c r="M794" s="10"/>
      <c r="N794" s="10"/>
      <c r="O794" s="10"/>
      <c r="P794" s="10"/>
      <c r="Q794" s="164"/>
      <c r="R794" s="109"/>
    </row>
    <row r="795" spans="1:18" hidden="1">
      <c r="A795" s="90">
        <v>789</v>
      </c>
      <c r="B795" s="24">
        <f>DATE('1.연간시수표'!$U$2,'1.연간시수표'!$X$2,'1.연간시수표'!$Z$2)+QUOTIENT(ROW(A789)-1,8)+(QUOTIENT(ROW(A789)-1,40)*2)</f>
        <v>44756</v>
      </c>
      <c r="C795" s="24" t="str">
        <f t="shared" si="36"/>
        <v>목</v>
      </c>
      <c r="D795" s="91" t="str">
        <f t="shared" si="37"/>
        <v>5교시</v>
      </c>
      <c r="E795" s="68">
        <f>COUNTIF($H$7:$H795,$H795)</f>
        <v>11</v>
      </c>
      <c r="F795" s="67">
        <f>'1.연간시수표'!$AL$33</f>
        <v>5</v>
      </c>
      <c r="G795" s="89">
        <f t="shared" si="38"/>
        <v>1</v>
      </c>
      <c r="H795" s="91" t="str">
        <f>INDEX('0.시간표데이터'!$E$10:$AR$32,QUOTIENT(ROW(A789)-1,40)+1,MOD(ROW(A789)-1,40)+1)</f>
        <v>동아리활동</v>
      </c>
      <c r="I795" s="77"/>
      <c r="J795" s="26"/>
      <c r="K795" s="165"/>
      <c r="L795" s="165"/>
      <c r="M795" s="166"/>
      <c r="N795" s="166"/>
      <c r="O795" s="166"/>
      <c r="P795" s="166"/>
      <c r="Q795" s="167"/>
      <c r="R795" s="111"/>
    </row>
    <row r="796" spans="1:18" hidden="1">
      <c r="A796" s="90">
        <v>790</v>
      </c>
      <c r="B796" s="24">
        <f>DATE('1.연간시수표'!$U$2,'1.연간시수표'!$X$2,'1.연간시수표'!$Z$2)+QUOTIENT(ROW(A790)-1,8)+(QUOTIENT(ROW(A790)-1,40)*2)</f>
        <v>44756</v>
      </c>
      <c r="C796" s="24" t="str">
        <f t="shared" si="36"/>
        <v>목</v>
      </c>
      <c r="D796" s="91" t="str">
        <f t="shared" si="37"/>
        <v>6교시</v>
      </c>
      <c r="E796" s="68">
        <f>COUNTIF($H$7:$H796,$H796)</f>
        <v>258</v>
      </c>
      <c r="F796" s="67">
        <f>'1.연간시수표'!$AL$33</f>
        <v>5</v>
      </c>
      <c r="G796" s="89">
        <f t="shared" si="38"/>
        <v>1</v>
      </c>
      <c r="H796" s="91" t="str">
        <f>INDEX('0.시간표데이터'!$E$10:$AR$32,QUOTIENT(ROW(A790)-1,40)+1,MOD(ROW(A790)-1,40)+1)</f>
        <v>_</v>
      </c>
      <c r="I796" s="161"/>
      <c r="J796" s="26"/>
      <c r="K796" s="165"/>
      <c r="L796" s="165"/>
      <c r="M796" s="166"/>
      <c r="N796" s="166"/>
      <c r="O796" s="166"/>
      <c r="P796" s="166"/>
      <c r="Q796" s="167"/>
      <c r="R796" s="111"/>
    </row>
    <row r="797" spans="1:18" hidden="1">
      <c r="A797" s="90">
        <v>791</v>
      </c>
      <c r="B797" s="24">
        <f>DATE('1.연간시수표'!$U$2,'1.연간시수표'!$X$2,'1.연간시수표'!$Z$2)+QUOTIENT(ROW(A791)-1,8)+(QUOTIENT(ROW(A791)-1,40)*2)</f>
        <v>44756</v>
      </c>
      <c r="C797" s="24" t="str">
        <f t="shared" si="36"/>
        <v>목</v>
      </c>
      <c r="D797" s="91" t="str">
        <f t="shared" si="37"/>
        <v>7교시</v>
      </c>
      <c r="E797" s="68">
        <f>COUNTIF($H$7:$H797,$H797)</f>
        <v>259</v>
      </c>
      <c r="F797" s="67">
        <f>'1.연간시수표'!$AL$33</f>
        <v>5</v>
      </c>
      <c r="G797" s="89">
        <f t="shared" si="38"/>
        <v>1</v>
      </c>
      <c r="H797" s="91" t="str">
        <f>INDEX('0.시간표데이터'!$E$10:$AR$32,QUOTIENT(ROW(A791)-1,40)+1,MOD(ROW(A791)-1,40)+1)</f>
        <v>_</v>
      </c>
      <c r="I797" s="76"/>
      <c r="J797" s="26"/>
      <c r="K797" s="165"/>
      <c r="L797" s="165"/>
      <c r="M797" s="166"/>
      <c r="N797" s="166"/>
      <c r="O797" s="166"/>
      <c r="P797" s="166"/>
      <c r="Q797" s="167"/>
      <c r="R797" s="111"/>
    </row>
    <row r="798" spans="1:18" hidden="1">
      <c r="A798" s="90">
        <v>792</v>
      </c>
      <c r="B798" s="24">
        <f>DATE('1.연간시수표'!$U$2,'1.연간시수표'!$X$2,'1.연간시수표'!$Z$2)+QUOTIENT(ROW(A792)-1,8)+(QUOTIENT(ROW(A792)-1,40)*2)</f>
        <v>44756</v>
      </c>
      <c r="C798" s="24" t="str">
        <f t="shared" si="36"/>
        <v>목</v>
      </c>
      <c r="D798" s="91" t="str">
        <f t="shared" si="37"/>
        <v>8교시</v>
      </c>
      <c r="E798" s="68">
        <f>COUNTIF($H$7:$H798,$H798)</f>
        <v>260</v>
      </c>
      <c r="F798" s="67">
        <f>'1.연간시수표'!$AL$33</f>
        <v>5</v>
      </c>
      <c r="G798" s="89">
        <f t="shared" si="38"/>
        <v>1</v>
      </c>
      <c r="H798" s="91" t="str">
        <f>INDEX('0.시간표데이터'!$E$10:$AR$32,QUOTIENT(ROW(A792)-1,40)+1,MOD(ROW(A792)-1,40)+1)</f>
        <v>_</v>
      </c>
      <c r="I798" s="76"/>
      <c r="J798" s="26"/>
      <c r="K798" s="165"/>
      <c r="L798" s="165"/>
      <c r="M798" s="166"/>
      <c r="N798" s="166"/>
      <c r="O798" s="166"/>
      <c r="P798" s="166"/>
      <c r="Q798" s="167"/>
      <c r="R798" s="111"/>
    </row>
    <row r="799" spans="1:18" hidden="1">
      <c r="A799" s="90">
        <v>793</v>
      </c>
      <c r="B799" s="24">
        <f>DATE('1.연간시수표'!$U$2,'1.연간시수표'!$X$2,'1.연간시수표'!$Z$2)+QUOTIENT(ROW(A793)-1,8)+(QUOTIENT(ROW(A793)-1,40)*2)</f>
        <v>44757</v>
      </c>
      <c r="C799" s="24" t="str">
        <f t="shared" si="36"/>
        <v>금</v>
      </c>
      <c r="D799" s="91" t="str">
        <f t="shared" si="37"/>
        <v>1교시</v>
      </c>
      <c r="E799" s="68">
        <f>COUNTIF($H$7:$H799,$H799)</f>
        <v>103</v>
      </c>
      <c r="F799" s="67">
        <f>'1.연간시수표'!$AL$33</f>
        <v>5</v>
      </c>
      <c r="G799" s="89">
        <f t="shared" si="38"/>
        <v>1</v>
      </c>
      <c r="H799" s="91" t="str">
        <f>INDEX('0.시간표데이터'!$E$10:$AR$32,QUOTIENT(ROW(A793)-1,40)+1,MOD(ROW(A793)-1,40)+1)</f>
        <v>국어</v>
      </c>
      <c r="I799" s="77"/>
      <c r="J799" s="26"/>
      <c r="K799" s="162"/>
      <c r="L799" s="162"/>
      <c r="M799" s="168"/>
      <c r="N799" s="98"/>
      <c r="O799" s="99"/>
      <c r="P799" s="99"/>
      <c r="Q799" s="167"/>
      <c r="R799" s="111"/>
    </row>
    <row r="800" spans="1:18" hidden="1">
      <c r="A800" s="90">
        <v>794</v>
      </c>
      <c r="B800" s="24">
        <f>DATE('1.연간시수표'!$U$2,'1.연간시수표'!$X$2,'1.연간시수표'!$Z$2)+QUOTIENT(ROW(A794)-1,8)+(QUOTIENT(ROW(A794)-1,40)*2)</f>
        <v>44757</v>
      </c>
      <c r="C800" s="24" t="str">
        <f t="shared" si="36"/>
        <v>금</v>
      </c>
      <c r="D800" s="91" t="str">
        <f t="shared" si="37"/>
        <v>2교시</v>
      </c>
      <c r="E800" s="68">
        <f>COUNTIF($H$7:$H800,$H800)</f>
        <v>49</v>
      </c>
      <c r="F800" s="67">
        <f>'1.연간시수표'!$AL$33</f>
        <v>5</v>
      </c>
      <c r="G800" s="89">
        <f t="shared" si="38"/>
        <v>1</v>
      </c>
      <c r="H800" s="91" t="str">
        <f>INDEX('0.시간표데이터'!$E$10:$AR$32,QUOTIENT(ROW(A794)-1,40)+1,MOD(ROW(A794)-1,40)+1)</f>
        <v>체육</v>
      </c>
      <c r="I800" s="77"/>
      <c r="J800" s="26"/>
      <c r="K800" s="162"/>
      <c r="L800" s="162"/>
      <c r="M800" s="168"/>
      <c r="N800" s="98"/>
      <c r="O800" s="99"/>
      <c r="P800" s="99"/>
      <c r="Q800" s="167"/>
      <c r="R800" s="111"/>
    </row>
    <row r="801" spans="1:18" hidden="1">
      <c r="A801" s="90">
        <v>795</v>
      </c>
      <c r="B801" s="24">
        <f>DATE('1.연간시수표'!$U$2,'1.연간시수표'!$X$2,'1.연간시수표'!$Z$2)+QUOTIENT(ROW(A795)-1,8)+(QUOTIENT(ROW(A795)-1,40)*2)</f>
        <v>44757</v>
      </c>
      <c r="C801" s="24" t="str">
        <f t="shared" si="36"/>
        <v>금</v>
      </c>
      <c r="D801" s="91" t="str">
        <f t="shared" si="37"/>
        <v>3교시</v>
      </c>
      <c r="E801" s="68">
        <f>COUNTIF($H$7:$H801,$H801)</f>
        <v>50</v>
      </c>
      <c r="F801" s="67">
        <f>'1.연간시수표'!$AL$33</f>
        <v>5</v>
      </c>
      <c r="G801" s="89">
        <f t="shared" si="38"/>
        <v>1</v>
      </c>
      <c r="H801" s="91" t="str">
        <f>INDEX('0.시간표데이터'!$E$10:$AR$32,QUOTIENT(ROW(A795)-1,40)+1,MOD(ROW(A795)-1,40)+1)</f>
        <v>체육</v>
      </c>
      <c r="I801" s="77"/>
      <c r="J801" s="26"/>
      <c r="K801" s="165"/>
      <c r="L801" s="165"/>
      <c r="M801" s="166"/>
      <c r="N801" s="166"/>
      <c r="O801" s="166"/>
      <c r="P801" s="166"/>
      <c r="Q801" s="167"/>
      <c r="R801" s="111"/>
    </row>
    <row r="802" spans="1:18" hidden="1">
      <c r="A802" s="90">
        <v>796</v>
      </c>
      <c r="B802" s="24">
        <f>DATE('1.연간시수표'!$U$2,'1.연간시수표'!$X$2,'1.연간시수표'!$Z$2)+QUOTIENT(ROW(A796)-1,8)+(QUOTIENT(ROW(A796)-1,40)*2)</f>
        <v>44757</v>
      </c>
      <c r="C802" s="24" t="str">
        <f t="shared" si="36"/>
        <v>금</v>
      </c>
      <c r="D802" s="91" t="str">
        <f t="shared" si="37"/>
        <v>4교시</v>
      </c>
      <c r="E802" s="68">
        <f>COUNTIF($H$7:$H802,$H802)</f>
        <v>32</v>
      </c>
      <c r="F802" s="67">
        <f>'1.연간시수표'!$AL$33</f>
        <v>5</v>
      </c>
      <c r="G802" s="89">
        <f t="shared" si="38"/>
        <v>1</v>
      </c>
      <c r="H802" s="91" t="str">
        <f>INDEX('0.시간표데이터'!$E$10:$AR$32,QUOTIENT(ROW(A796)-1,40)+1,MOD(ROW(A796)-1,40)+1)</f>
        <v>자율활동</v>
      </c>
      <c r="I802" s="77"/>
      <c r="J802" s="26"/>
      <c r="K802" s="162"/>
      <c r="L802" s="162"/>
      <c r="M802" s="172"/>
      <c r="N802" s="98"/>
      <c r="O802" s="168"/>
      <c r="P802" s="168"/>
      <c r="Q802" s="167"/>
      <c r="R802" s="111"/>
    </row>
    <row r="803" spans="1:18">
      <c r="A803" s="90">
        <v>797</v>
      </c>
      <c r="B803" s="24">
        <f>DATE('1.연간시수표'!$U$2,'1.연간시수표'!$X$2,'1.연간시수표'!$Z$2)+QUOTIENT(ROW(A797)-1,8)+(QUOTIENT(ROW(A797)-1,40)*2)</f>
        <v>44757</v>
      </c>
      <c r="C803" s="24" t="str">
        <f t="shared" si="36"/>
        <v>금</v>
      </c>
      <c r="D803" s="91" t="str">
        <f t="shared" si="37"/>
        <v>5교시</v>
      </c>
      <c r="E803" s="68">
        <f>COUNTIF($H$7:$H803,$H803)</f>
        <v>1</v>
      </c>
      <c r="F803" s="67">
        <f>'1.연간시수표'!$AL$33</f>
        <v>5</v>
      </c>
      <c r="G803" s="89">
        <f t="shared" si="38"/>
        <v>1</v>
      </c>
      <c r="H803" s="91" t="str">
        <f>INDEX('0.시간표데이터'!$E$10:$AR$32,QUOTIENT(ROW(A797)-1,40)+1,MOD(ROW(A797)-1,40)+1)</f>
        <v>봉사활동</v>
      </c>
      <c r="I803" s="77"/>
      <c r="J803" s="26"/>
      <c r="K803" s="173"/>
      <c r="L803" s="173"/>
      <c r="M803" s="10"/>
      <c r="N803" s="10"/>
      <c r="O803" s="10"/>
      <c r="P803" s="10"/>
      <c r="Q803" s="164"/>
      <c r="R803" s="109"/>
    </row>
    <row r="804" spans="1:18" hidden="1">
      <c r="A804" s="90">
        <v>798</v>
      </c>
      <c r="B804" s="24">
        <f>DATE('1.연간시수표'!$U$2,'1.연간시수표'!$X$2,'1.연간시수표'!$Z$2)+QUOTIENT(ROW(A798)-1,8)+(QUOTIENT(ROW(A798)-1,40)*2)</f>
        <v>44757</v>
      </c>
      <c r="C804" s="24" t="str">
        <f t="shared" si="36"/>
        <v>금</v>
      </c>
      <c r="D804" s="91" t="str">
        <f t="shared" si="37"/>
        <v>6교시</v>
      </c>
      <c r="E804" s="68">
        <f>COUNTIF($H$7:$H804,$H804)</f>
        <v>261</v>
      </c>
      <c r="F804" s="67">
        <f>'1.연간시수표'!$AL$33</f>
        <v>5</v>
      </c>
      <c r="G804" s="89">
        <f t="shared" si="38"/>
        <v>1</v>
      </c>
      <c r="H804" s="91" t="str">
        <f>INDEX('0.시간표데이터'!$E$10:$AR$32,QUOTIENT(ROW(A798)-1,40)+1,MOD(ROW(A798)-1,40)+1)</f>
        <v>_</v>
      </c>
      <c r="I804" s="77"/>
      <c r="J804" s="26"/>
      <c r="K804" s="165"/>
      <c r="L804" s="165"/>
      <c r="M804" s="166"/>
      <c r="N804" s="166"/>
      <c r="O804" s="166"/>
      <c r="P804" s="166"/>
      <c r="Q804" s="167"/>
      <c r="R804" s="111"/>
    </row>
    <row r="805" spans="1:18" hidden="1">
      <c r="A805" s="90">
        <v>799</v>
      </c>
      <c r="B805" s="24">
        <f>DATE('1.연간시수표'!$U$2,'1.연간시수표'!$X$2,'1.연간시수표'!$Z$2)+QUOTIENT(ROW(A799)-1,8)+(QUOTIENT(ROW(A799)-1,40)*2)</f>
        <v>44757</v>
      </c>
      <c r="C805" s="24" t="str">
        <f t="shared" si="36"/>
        <v>금</v>
      </c>
      <c r="D805" s="91" t="str">
        <f t="shared" si="37"/>
        <v>7교시</v>
      </c>
      <c r="E805" s="68">
        <f>COUNTIF($H$7:$H805,$H805)</f>
        <v>262</v>
      </c>
      <c r="F805" s="67">
        <f>'1.연간시수표'!$AL$33</f>
        <v>5</v>
      </c>
      <c r="G805" s="89">
        <f t="shared" si="38"/>
        <v>1</v>
      </c>
      <c r="H805" s="91" t="str">
        <f>INDEX('0.시간표데이터'!$E$10:$AR$32,QUOTIENT(ROW(A799)-1,40)+1,MOD(ROW(A799)-1,40)+1)</f>
        <v>_</v>
      </c>
      <c r="I805" s="76"/>
      <c r="J805" s="26"/>
      <c r="K805" s="165"/>
      <c r="L805" s="165"/>
      <c r="M805" s="166"/>
      <c r="N805" s="166"/>
      <c r="O805" s="166"/>
      <c r="P805" s="166"/>
      <c r="Q805" s="167"/>
      <c r="R805" s="111"/>
    </row>
    <row r="806" spans="1:18" hidden="1">
      <c r="A806" s="90">
        <v>800</v>
      </c>
      <c r="B806" s="24">
        <f>DATE('1.연간시수표'!$U$2,'1.연간시수표'!$X$2,'1.연간시수표'!$Z$2)+QUOTIENT(ROW(A800)-1,8)+(QUOTIENT(ROW(A800)-1,40)*2)</f>
        <v>44757</v>
      </c>
      <c r="C806" s="24" t="str">
        <f t="shared" si="36"/>
        <v>금</v>
      </c>
      <c r="D806" s="91" t="str">
        <f t="shared" si="37"/>
        <v>8교시</v>
      </c>
      <c r="E806" s="68">
        <f>COUNTIF($H$7:$H806,$H806)</f>
        <v>263</v>
      </c>
      <c r="F806" s="67">
        <f>'1.연간시수표'!$AL$33</f>
        <v>5</v>
      </c>
      <c r="G806" s="89">
        <f t="shared" si="38"/>
        <v>1</v>
      </c>
      <c r="H806" s="91" t="str">
        <f>INDEX('0.시간표데이터'!$E$10:$AR$32,QUOTIENT(ROW(A800)-1,40)+1,MOD(ROW(A800)-1,40)+1)</f>
        <v>_</v>
      </c>
      <c r="I806" s="76"/>
      <c r="J806" s="26"/>
      <c r="K806" s="165"/>
      <c r="L806" s="165"/>
      <c r="M806" s="166"/>
      <c r="N806" s="166"/>
      <c r="O806" s="166"/>
      <c r="P806" s="166"/>
      <c r="Q806" s="167"/>
      <c r="R806" s="111"/>
    </row>
    <row r="807" spans="1:18" hidden="1">
      <c r="A807" s="90">
        <v>801</v>
      </c>
      <c r="B807" s="24">
        <f>DATE('1.연간시수표'!$U$2,'1.연간시수표'!$X$2,'1.연간시수표'!$Z$2)+QUOTIENT(ROW(A801)-1,8)+(QUOTIENT(ROW(A801)-1,40)*2)</f>
        <v>44760</v>
      </c>
      <c r="C807" s="24" t="str">
        <f t="shared" si="36"/>
        <v>월</v>
      </c>
      <c r="D807" s="91" t="str">
        <f t="shared" si="37"/>
        <v>1교시</v>
      </c>
      <c r="E807" s="68">
        <f>COUNTIF($H$7:$H807,$H807)</f>
        <v>264</v>
      </c>
      <c r="F807" s="67">
        <f>'1.연간시수표'!$AL$33</f>
        <v>5</v>
      </c>
      <c r="G807" s="89">
        <f t="shared" si="38"/>
        <v>1</v>
      </c>
      <c r="H807" s="91" t="str">
        <f>INDEX('0.시간표데이터'!$E$10:$AR$32,QUOTIENT(ROW(A801)-1,40)+1,MOD(ROW(A801)-1,40)+1)</f>
        <v>_</v>
      </c>
      <c r="I807" s="77"/>
      <c r="J807" s="26"/>
      <c r="K807" s="165"/>
      <c r="L807" s="165"/>
      <c r="M807" s="166"/>
      <c r="N807" s="166"/>
      <c r="O807" s="166"/>
      <c r="P807" s="166"/>
      <c r="Q807" s="167"/>
      <c r="R807" s="111"/>
    </row>
    <row r="808" spans="1:18" hidden="1">
      <c r="A808" s="90">
        <v>802</v>
      </c>
      <c r="B808" s="24">
        <f>DATE('1.연간시수표'!$U$2,'1.연간시수표'!$X$2,'1.연간시수표'!$Z$2)+QUOTIENT(ROW(A802)-1,8)+(QUOTIENT(ROW(A802)-1,40)*2)</f>
        <v>44760</v>
      </c>
      <c r="C808" s="24" t="str">
        <f t="shared" si="36"/>
        <v>월</v>
      </c>
      <c r="D808" s="91" t="str">
        <f t="shared" si="37"/>
        <v>2교시</v>
      </c>
      <c r="E808" s="68">
        <f>COUNTIF($H$7:$H808,$H808)</f>
        <v>265</v>
      </c>
      <c r="F808" s="67">
        <f>'1.연간시수표'!$AL$33</f>
        <v>5</v>
      </c>
      <c r="G808" s="89">
        <f t="shared" si="38"/>
        <v>1</v>
      </c>
      <c r="H808" s="91" t="str">
        <f>INDEX('0.시간표데이터'!$E$10:$AR$32,QUOTIENT(ROW(A802)-1,40)+1,MOD(ROW(A802)-1,40)+1)</f>
        <v>_</v>
      </c>
      <c r="I808" s="161"/>
      <c r="J808" s="26"/>
      <c r="K808" s="173"/>
      <c r="L808" s="173"/>
      <c r="M808" s="10"/>
      <c r="N808" s="10"/>
      <c r="O808" s="10"/>
      <c r="P808" s="10"/>
      <c r="Q808" s="164"/>
      <c r="R808" s="110"/>
    </row>
    <row r="809" spans="1:18" hidden="1">
      <c r="A809" s="90">
        <v>803</v>
      </c>
      <c r="B809" s="24">
        <f>DATE('1.연간시수표'!$U$2,'1.연간시수표'!$X$2,'1.연간시수표'!$Z$2)+QUOTIENT(ROW(A803)-1,8)+(QUOTIENT(ROW(A803)-1,40)*2)</f>
        <v>44760</v>
      </c>
      <c r="C809" s="24" t="str">
        <f t="shared" si="36"/>
        <v>월</v>
      </c>
      <c r="D809" s="91" t="str">
        <f t="shared" si="37"/>
        <v>3교시</v>
      </c>
      <c r="E809" s="68">
        <f>COUNTIF($H$7:$H809,$H809)</f>
        <v>266</v>
      </c>
      <c r="F809" s="67">
        <f>'1.연간시수표'!$AL$33</f>
        <v>5</v>
      </c>
      <c r="G809" s="89">
        <f t="shared" si="38"/>
        <v>1</v>
      </c>
      <c r="H809" s="91" t="str">
        <f>INDEX('0.시간표데이터'!$E$10:$AR$32,QUOTIENT(ROW(A803)-1,40)+1,MOD(ROW(A803)-1,40)+1)</f>
        <v>_</v>
      </c>
      <c r="I809" s="77"/>
      <c r="J809" s="26"/>
      <c r="K809" s="162"/>
      <c r="L809" s="162"/>
      <c r="M809" s="172"/>
      <c r="N809" s="98"/>
      <c r="O809" s="98"/>
      <c r="P809" s="98"/>
      <c r="Q809" s="167"/>
      <c r="R809" s="111"/>
    </row>
    <row r="810" spans="1:18" hidden="1">
      <c r="A810" s="90">
        <v>804</v>
      </c>
      <c r="B810" s="24">
        <f>DATE('1.연간시수표'!$U$2,'1.연간시수표'!$X$2,'1.연간시수표'!$Z$2)+QUOTIENT(ROW(A804)-1,8)+(QUOTIENT(ROW(A804)-1,40)*2)</f>
        <v>44760</v>
      </c>
      <c r="C810" s="24" t="str">
        <f t="shared" si="36"/>
        <v>월</v>
      </c>
      <c r="D810" s="91" t="str">
        <f t="shared" si="37"/>
        <v>4교시</v>
      </c>
      <c r="E810" s="68">
        <f>COUNTIF($H$7:$H810,$H810)</f>
        <v>267</v>
      </c>
      <c r="F810" s="67">
        <f>'1.연간시수표'!$AL$33</f>
        <v>5</v>
      </c>
      <c r="G810" s="89">
        <f t="shared" si="38"/>
        <v>1</v>
      </c>
      <c r="H810" s="91" t="str">
        <f>INDEX('0.시간표데이터'!$E$10:$AR$32,QUOTIENT(ROW(A804)-1,40)+1,MOD(ROW(A804)-1,40)+1)</f>
        <v>_</v>
      </c>
      <c r="I810" s="77"/>
      <c r="J810" s="26"/>
      <c r="K810" s="174"/>
      <c r="L810" s="174"/>
      <c r="M810" s="175"/>
      <c r="N810" s="97"/>
      <c r="O810" s="175"/>
      <c r="P810" s="175"/>
      <c r="Q810" s="164"/>
      <c r="R810" s="110"/>
    </row>
    <row r="811" spans="1:18" hidden="1">
      <c r="A811" s="90">
        <v>805</v>
      </c>
      <c r="B811" s="24">
        <f>DATE('1.연간시수표'!$U$2,'1.연간시수표'!$X$2,'1.연간시수표'!$Z$2)+QUOTIENT(ROW(A805)-1,8)+(QUOTIENT(ROW(A805)-1,40)*2)</f>
        <v>44760</v>
      </c>
      <c r="C811" s="24" t="str">
        <f t="shared" si="36"/>
        <v>월</v>
      </c>
      <c r="D811" s="91" t="str">
        <f t="shared" si="37"/>
        <v>5교시</v>
      </c>
      <c r="E811" s="68">
        <f>COUNTIF($H$7:$H811,$H811)</f>
        <v>268</v>
      </c>
      <c r="F811" s="67">
        <f>'1.연간시수표'!$AL$33</f>
        <v>5</v>
      </c>
      <c r="G811" s="89">
        <f t="shared" si="38"/>
        <v>1</v>
      </c>
      <c r="H811" s="91" t="str">
        <f>INDEX('0.시간표데이터'!$E$10:$AR$32,QUOTIENT(ROW(A805)-1,40)+1,MOD(ROW(A805)-1,40)+1)</f>
        <v>_</v>
      </c>
      <c r="I811" s="77"/>
      <c r="J811" s="26"/>
      <c r="K811" s="174"/>
      <c r="L811" s="174"/>
      <c r="M811" s="175"/>
      <c r="N811" s="97"/>
      <c r="O811" s="175"/>
      <c r="P811" s="175"/>
      <c r="Q811" s="164"/>
      <c r="R811" s="110"/>
    </row>
    <row r="812" spans="1:18" hidden="1">
      <c r="A812" s="90">
        <v>806</v>
      </c>
      <c r="B812" s="24">
        <f>DATE('1.연간시수표'!$U$2,'1.연간시수표'!$X$2,'1.연간시수표'!$Z$2)+QUOTIENT(ROW(A806)-1,8)+(QUOTIENT(ROW(A806)-1,40)*2)</f>
        <v>44760</v>
      </c>
      <c r="C812" s="24" t="str">
        <f t="shared" si="36"/>
        <v>월</v>
      </c>
      <c r="D812" s="91" t="str">
        <f t="shared" si="37"/>
        <v>6교시</v>
      </c>
      <c r="E812" s="68">
        <f>COUNTIF($H$7:$H812,$H812)</f>
        <v>269</v>
      </c>
      <c r="F812" s="67">
        <f>'1.연간시수표'!$AL$33</f>
        <v>5</v>
      </c>
      <c r="G812" s="89">
        <f t="shared" si="38"/>
        <v>1</v>
      </c>
      <c r="H812" s="91" t="str">
        <f>INDEX('0.시간표데이터'!$E$10:$AR$32,QUOTIENT(ROW(A806)-1,40)+1,MOD(ROW(A806)-1,40)+1)</f>
        <v>_</v>
      </c>
      <c r="I812" s="77"/>
      <c r="J812" s="26"/>
      <c r="K812" s="165"/>
      <c r="L812" s="165"/>
      <c r="M812" s="166"/>
      <c r="N812" s="166"/>
      <c r="O812" s="166"/>
      <c r="P812" s="166"/>
      <c r="Q812" s="167"/>
      <c r="R812" s="111"/>
    </row>
    <row r="813" spans="1:18" hidden="1">
      <c r="A813" s="90">
        <v>807</v>
      </c>
      <c r="B813" s="24">
        <f>DATE('1.연간시수표'!$U$2,'1.연간시수표'!$X$2,'1.연간시수표'!$Z$2)+QUOTIENT(ROW(A807)-1,8)+(QUOTIENT(ROW(A807)-1,40)*2)</f>
        <v>44760</v>
      </c>
      <c r="C813" s="24" t="str">
        <f t="shared" si="36"/>
        <v>월</v>
      </c>
      <c r="D813" s="91" t="str">
        <f t="shared" si="37"/>
        <v>7교시</v>
      </c>
      <c r="E813" s="68">
        <f>COUNTIF($H$7:$H813,$H813)</f>
        <v>270</v>
      </c>
      <c r="F813" s="67">
        <f>'1.연간시수표'!$AL$33</f>
        <v>5</v>
      </c>
      <c r="G813" s="89">
        <f t="shared" si="38"/>
        <v>1</v>
      </c>
      <c r="H813" s="91" t="str">
        <f>INDEX('0.시간표데이터'!$E$10:$AR$32,QUOTIENT(ROW(A807)-1,40)+1,MOD(ROW(A807)-1,40)+1)</f>
        <v>_</v>
      </c>
      <c r="I813" s="76"/>
      <c r="J813" s="26"/>
      <c r="K813" s="165"/>
      <c r="L813" s="165"/>
      <c r="M813" s="166"/>
      <c r="N813" s="166"/>
      <c r="O813" s="166"/>
      <c r="P813" s="166"/>
      <c r="Q813" s="167"/>
      <c r="R813" s="111"/>
    </row>
    <row r="814" spans="1:18" hidden="1">
      <c r="A814" s="90">
        <v>808</v>
      </c>
      <c r="B814" s="24">
        <f>DATE('1.연간시수표'!$U$2,'1.연간시수표'!$X$2,'1.연간시수표'!$Z$2)+QUOTIENT(ROW(A808)-1,8)+(QUOTIENT(ROW(A808)-1,40)*2)</f>
        <v>44760</v>
      </c>
      <c r="C814" s="24" t="str">
        <f t="shared" si="36"/>
        <v>월</v>
      </c>
      <c r="D814" s="91" t="str">
        <f t="shared" si="37"/>
        <v>8교시</v>
      </c>
      <c r="E814" s="68">
        <f>COUNTIF($H$7:$H814,$H814)</f>
        <v>271</v>
      </c>
      <c r="F814" s="67">
        <f>'1.연간시수표'!$AL$33</f>
        <v>5</v>
      </c>
      <c r="G814" s="89">
        <f t="shared" si="38"/>
        <v>1</v>
      </c>
      <c r="H814" s="91" t="str">
        <f>INDEX('0.시간표데이터'!$E$10:$AR$32,QUOTIENT(ROW(A808)-1,40)+1,MOD(ROW(A808)-1,40)+1)</f>
        <v>_</v>
      </c>
      <c r="I814" s="76"/>
      <c r="J814" s="26"/>
      <c r="K814" s="165"/>
      <c r="L814" s="165"/>
      <c r="M814" s="166"/>
      <c r="N814" s="166"/>
      <c r="O814" s="166"/>
      <c r="P814" s="166"/>
      <c r="Q814" s="167"/>
      <c r="R814" s="111"/>
    </row>
    <row r="815" spans="1:18" hidden="1">
      <c r="A815" s="90">
        <v>809</v>
      </c>
      <c r="B815" s="24">
        <f>DATE('1.연간시수표'!$U$2,'1.연간시수표'!$X$2,'1.연간시수표'!$Z$2)+QUOTIENT(ROW(A809)-1,8)+(QUOTIENT(ROW(A809)-1,40)*2)</f>
        <v>44761</v>
      </c>
      <c r="C815" s="24" t="str">
        <f t="shared" si="36"/>
        <v>화</v>
      </c>
      <c r="D815" s="91" t="str">
        <f t="shared" si="37"/>
        <v>1교시</v>
      </c>
      <c r="E815" s="68">
        <f>COUNTIF($H$7:$H815,$H815)</f>
        <v>272</v>
      </c>
      <c r="F815" s="67">
        <f>'1.연간시수표'!$AL$33</f>
        <v>5</v>
      </c>
      <c r="G815" s="89">
        <f t="shared" si="38"/>
        <v>1</v>
      </c>
      <c r="H815" s="91" t="str">
        <f>INDEX('0.시간표데이터'!$E$10:$AR$32,QUOTIENT(ROW(A809)-1,40)+1,MOD(ROW(A809)-1,40)+1)</f>
        <v>_</v>
      </c>
      <c r="I815" s="77"/>
      <c r="J815" s="26"/>
      <c r="K815" s="165"/>
      <c r="L815" s="165"/>
      <c r="M815" s="166"/>
      <c r="N815" s="166"/>
      <c r="O815" s="166"/>
      <c r="P815" s="166"/>
      <c r="Q815" s="167"/>
      <c r="R815" s="111"/>
    </row>
    <row r="816" spans="1:18" hidden="1">
      <c r="A816" s="90">
        <v>810</v>
      </c>
      <c r="B816" s="24">
        <f>DATE('1.연간시수표'!$U$2,'1.연간시수표'!$X$2,'1.연간시수표'!$Z$2)+QUOTIENT(ROW(A810)-1,8)+(QUOTIENT(ROW(A810)-1,40)*2)</f>
        <v>44761</v>
      </c>
      <c r="C816" s="24" t="str">
        <f t="shared" si="36"/>
        <v>화</v>
      </c>
      <c r="D816" s="91" t="str">
        <f t="shared" si="37"/>
        <v>2교시</v>
      </c>
      <c r="E816" s="68">
        <f>COUNTIF($H$7:$H816,$H816)</f>
        <v>273</v>
      </c>
      <c r="F816" s="67">
        <f>'1.연간시수표'!$AL$33</f>
        <v>5</v>
      </c>
      <c r="G816" s="89">
        <f t="shared" si="38"/>
        <v>1</v>
      </c>
      <c r="H816" s="91" t="str">
        <f>INDEX('0.시간표데이터'!$E$10:$AR$32,QUOTIENT(ROW(A810)-1,40)+1,MOD(ROW(A810)-1,40)+1)</f>
        <v>_</v>
      </c>
      <c r="I816" s="161"/>
      <c r="J816" s="26"/>
      <c r="K816" s="165"/>
      <c r="L816" s="165"/>
      <c r="M816" s="166"/>
      <c r="N816" s="166"/>
      <c r="O816" s="166"/>
      <c r="P816" s="166"/>
      <c r="Q816" s="167"/>
      <c r="R816" s="111"/>
    </row>
    <row r="817" spans="1:18" hidden="1">
      <c r="A817" s="90">
        <v>811</v>
      </c>
      <c r="B817" s="24">
        <f>DATE('1.연간시수표'!$U$2,'1.연간시수표'!$X$2,'1.연간시수표'!$Z$2)+QUOTIENT(ROW(A811)-1,8)+(QUOTIENT(ROW(A811)-1,40)*2)</f>
        <v>44761</v>
      </c>
      <c r="C817" s="24" t="str">
        <f t="shared" si="36"/>
        <v>화</v>
      </c>
      <c r="D817" s="91" t="str">
        <f t="shared" si="37"/>
        <v>3교시</v>
      </c>
      <c r="E817" s="68">
        <f>COUNTIF($H$7:$H817,$H817)</f>
        <v>274</v>
      </c>
      <c r="F817" s="67">
        <f>'1.연간시수표'!$AL$33</f>
        <v>5</v>
      </c>
      <c r="G817" s="89">
        <f t="shared" si="38"/>
        <v>1</v>
      </c>
      <c r="H817" s="91" t="str">
        <f>INDEX('0.시간표데이터'!$E$10:$AR$32,QUOTIENT(ROW(A811)-1,40)+1,MOD(ROW(A811)-1,40)+1)</f>
        <v>_</v>
      </c>
      <c r="I817" s="77"/>
      <c r="J817" s="26"/>
      <c r="K817" s="174"/>
      <c r="L817" s="174"/>
      <c r="M817" s="175"/>
      <c r="N817" s="97"/>
      <c r="O817" s="175"/>
      <c r="P817" s="175"/>
      <c r="Q817" s="164"/>
      <c r="R817" s="110"/>
    </row>
    <row r="818" spans="1:18">
      <c r="A818" s="90">
        <v>812</v>
      </c>
      <c r="B818" s="24">
        <f>DATE('1.연간시수표'!$U$2,'1.연간시수표'!$X$2,'1.연간시수표'!$Z$2)+QUOTIENT(ROW(A812)-1,8)+(QUOTIENT(ROW(A812)-1,40)*2)</f>
        <v>44761</v>
      </c>
      <c r="C818" s="24" t="str">
        <f t="shared" si="36"/>
        <v>화</v>
      </c>
      <c r="D818" s="91" t="str">
        <f t="shared" si="37"/>
        <v>4교시</v>
      </c>
      <c r="E818" s="68">
        <f>COUNTIF($H$7:$H818,$H818)</f>
        <v>275</v>
      </c>
      <c r="F818" s="67">
        <f>'1.연간시수표'!$AL$33</f>
        <v>5</v>
      </c>
      <c r="G818" s="89">
        <f t="shared" si="38"/>
        <v>1</v>
      </c>
      <c r="H818" s="91" t="str">
        <f>INDEX('0.시간표데이터'!$E$10:$AR$32,QUOTIENT(ROW(A812)-1,40)+1,MOD(ROW(A812)-1,40)+1)</f>
        <v>_</v>
      </c>
      <c r="I818" s="77"/>
      <c r="J818" s="26"/>
      <c r="K818" s="173"/>
      <c r="L818" s="173"/>
      <c r="M818" s="10"/>
      <c r="N818" s="10"/>
      <c r="O818" s="10"/>
      <c r="P818" s="10"/>
      <c r="Q818" s="164"/>
      <c r="R818" s="109"/>
    </row>
    <row r="819" spans="1:18" hidden="1">
      <c r="A819" s="90">
        <v>813</v>
      </c>
      <c r="B819" s="24">
        <f>DATE('1.연간시수표'!$U$2,'1.연간시수표'!$X$2,'1.연간시수표'!$Z$2)+QUOTIENT(ROW(A813)-1,8)+(QUOTIENT(ROW(A813)-1,40)*2)</f>
        <v>44761</v>
      </c>
      <c r="C819" s="24" t="str">
        <f t="shared" si="36"/>
        <v>화</v>
      </c>
      <c r="D819" s="91" t="str">
        <f t="shared" si="37"/>
        <v>5교시</v>
      </c>
      <c r="E819" s="68">
        <f>COUNTIF($H$7:$H819,$H819)</f>
        <v>276</v>
      </c>
      <c r="F819" s="67">
        <f>'1.연간시수표'!$AL$33</f>
        <v>5</v>
      </c>
      <c r="G819" s="89">
        <f t="shared" si="38"/>
        <v>1</v>
      </c>
      <c r="H819" s="91" t="str">
        <f>INDEX('0.시간표데이터'!$E$10:$AR$32,QUOTIENT(ROW(A813)-1,40)+1,MOD(ROW(A813)-1,40)+1)</f>
        <v>_</v>
      </c>
      <c r="I819" s="77"/>
      <c r="J819" s="26"/>
      <c r="K819" s="165"/>
      <c r="L819" s="165"/>
      <c r="M819" s="166"/>
      <c r="N819" s="166"/>
      <c r="O819" s="166"/>
      <c r="P819" s="166"/>
      <c r="Q819" s="167"/>
      <c r="R819" s="111"/>
    </row>
    <row r="820" spans="1:18" hidden="1">
      <c r="A820" s="90">
        <v>814</v>
      </c>
      <c r="B820" s="24">
        <f>DATE('1.연간시수표'!$U$2,'1.연간시수표'!$X$2,'1.연간시수표'!$Z$2)+QUOTIENT(ROW(A814)-1,8)+(QUOTIENT(ROW(A814)-1,40)*2)</f>
        <v>44761</v>
      </c>
      <c r="C820" s="24" t="str">
        <f t="shared" si="36"/>
        <v>화</v>
      </c>
      <c r="D820" s="91" t="str">
        <f t="shared" si="37"/>
        <v>6교시</v>
      </c>
      <c r="E820" s="68">
        <f>COUNTIF($H$7:$H820,$H820)</f>
        <v>277</v>
      </c>
      <c r="F820" s="67">
        <f>'1.연간시수표'!$AL$33</f>
        <v>5</v>
      </c>
      <c r="G820" s="89">
        <f t="shared" si="38"/>
        <v>1</v>
      </c>
      <c r="H820" s="91" t="str">
        <f>INDEX('0.시간표데이터'!$E$10:$AR$32,QUOTIENT(ROW(A814)-1,40)+1,MOD(ROW(A814)-1,40)+1)</f>
        <v>_</v>
      </c>
      <c r="I820" s="77"/>
      <c r="J820" s="26"/>
      <c r="K820" s="165"/>
      <c r="L820" s="165"/>
      <c r="M820" s="166"/>
      <c r="N820" s="166"/>
      <c r="O820" s="166"/>
      <c r="P820" s="166"/>
      <c r="Q820" s="167"/>
      <c r="R820" s="111"/>
    </row>
    <row r="821" spans="1:18" hidden="1">
      <c r="A821" s="90">
        <v>815</v>
      </c>
      <c r="B821" s="24">
        <f>DATE('1.연간시수표'!$U$2,'1.연간시수표'!$X$2,'1.연간시수표'!$Z$2)+QUOTIENT(ROW(A815)-1,8)+(QUOTIENT(ROW(A815)-1,40)*2)</f>
        <v>44761</v>
      </c>
      <c r="C821" s="24" t="str">
        <f t="shared" si="36"/>
        <v>화</v>
      </c>
      <c r="D821" s="91" t="str">
        <f t="shared" si="37"/>
        <v>7교시</v>
      </c>
      <c r="E821" s="68">
        <f>COUNTIF($H$7:$H821,$H821)</f>
        <v>278</v>
      </c>
      <c r="F821" s="67">
        <f>'1.연간시수표'!$AL$33</f>
        <v>5</v>
      </c>
      <c r="G821" s="89">
        <f t="shared" si="38"/>
        <v>1</v>
      </c>
      <c r="H821" s="91" t="str">
        <f>INDEX('0.시간표데이터'!$E$10:$AR$32,QUOTIENT(ROW(A815)-1,40)+1,MOD(ROW(A815)-1,40)+1)</f>
        <v>_</v>
      </c>
      <c r="I821" s="76"/>
      <c r="J821" s="26"/>
      <c r="K821" s="165"/>
      <c r="L821" s="165"/>
      <c r="M821" s="166"/>
      <c r="N821" s="166"/>
      <c r="O821" s="166"/>
      <c r="P821" s="166"/>
      <c r="Q821" s="167"/>
      <c r="R821" s="111"/>
    </row>
    <row r="822" spans="1:18" hidden="1">
      <c r="A822" s="90">
        <v>816</v>
      </c>
      <c r="B822" s="24">
        <f>DATE('1.연간시수표'!$U$2,'1.연간시수표'!$X$2,'1.연간시수표'!$Z$2)+QUOTIENT(ROW(A816)-1,8)+(QUOTIENT(ROW(A816)-1,40)*2)</f>
        <v>44761</v>
      </c>
      <c r="C822" s="24" t="str">
        <f t="shared" si="36"/>
        <v>화</v>
      </c>
      <c r="D822" s="91" t="str">
        <f t="shared" si="37"/>
        <v>8교시</v>
      </c>
      <c r="E822" s="68">
        <f>COUNTIF($H$7:$H822,$H822)</f>
        <v>279</v>
      </c>
      <c r="F822" s="67">
        <f>'1.연간시수표'!$AL$33</f>
        <v>5</v>
      </c>
      <c r="G822" s="89">
        <f t="shared" si="38"/>
        <v>1</v>
      </c>
      <c r="H822" s="91" t="str">
        <f>INDEX('0.시간표데이터'!$E$10:$AR$32,QUOTIENT(ROW(A816)-1,40)+1,MOD(ROW(A816)-1,40)+1)</f>
        <v>_</v>
      </c>
      <c r="I822" s="76"/>
      <c r="J822" s="26"/>
      <c r="K822" s="165"/>
      <c r="L822" s="165"/>
      <c r="M822" s="166"/>
      <c r="N822" s="166"/>
      <c r="O822" s="166"/>
      <c r="P822" s="166"/>
      <c r="Q822" s="167"/>
      <c r="R822" s="111"/>
    </row>
    <row r="823" spans="1:18" hidden="1">
      <c r="A823" s="90">
        <v>817</v>
      </c>
      <c r="B823" s="24">
        <f>DATE('1.연간시수표'!$U$2,'1.연간시수표'!$X$2,'1.연간시수표'!$Z$2)+QUOTIENT(ROW(A817)-1,8)+(QUOTIENT(ROW(A817)-1,40)*2)</f>
        <v>44762</v>
      </c>
      <c r="C823" s="24" t="str">
        <f t="shared" si="36"/>
        <v>수</v>
      </c>
      <c r="D823" s="91" t="str">
        <f t="shared" si="37"/>
        <v>1교시</v>
      </c>
      <c r="E823" s="68">
        <f>COUNTIF($H$7:$H823,$H823)</f>
        <v>280</v>
      </c>
      <c r="F823" s="67">
        <f>'1.연간시수표'!$AL$33</f>
        <v>5</v>
      </c>
      <c r="G823" s="89">
        <f t="shared" si="38"/>
        <v>1</v>
      </c>
      <c r="H823" s="91" t="str">
        <f>INDEX('0.시간표데이터'!$E$10:$AR$32,QUOTIENT(ROW(A817)-1,40)+1,MOD(ROW(A817)-1,40)+1)</f>
        <v>_</v>
      </c>
      <c r="I823" s="77"/>
      <c r="J823" s="26"/>
      <c r="K823" s="165"/>
      <c r="L823" s="165"/>
      <c r="M823" s="166"/>
      <c r="N823" s="166"/>
      <c r="O823" s="166"/>
      <c r="P823" s="166"/>
      <c r="Q823" s="167"/>
      <c r="R823" s="111"/>
    </row>
    <row r="824" spans="1:18" hidden="1">
      <c r="A824" s="90">
        <v>818</v>
      </c>
      <c r="B824" s="24">
        <f>DATE('1.연간시수표'!$U$2,'1.연간시수표'!$X$2,'1.연간시수표'!$Z$2)+QUOTIENT(ROW(A818)-1,8)+(QUOTIENT(ROW(A818)-1,40)*2)</f>
        <v>44762</v>
      </c>
      <c r="C824" s="24" t="str">
        <f t="shared" si="36"/>
        <v>수</v>
      </c>
      <c r="D824" s="91" t="str">
        <f t="shared" si="37"/>
        <v>2교시</v>
      </c>
      <c r="E824" s="68">
        <f>COUNTIF($H$7:$H824,$H824)</f>
        <v>281</v>
      </c>
      <c r="F824" s="67">
        <f>'1.연간시수표'!$AL$33</f>
        <v>5</v>
      </c>
      <c r="G824" s="89">
        <f t="shared" si="38"/>
        <v>1</v>
      </c>
      <c r="H824" s="91" t="str">
        <f>INDEX('0.시간표데이터'!$E$10:$AR$32,QUOTIENT(ROW(A818)-1,40)+1,MOD(ROW(A818)-1,40)+1)</f>
        <v>_</v>
      </c>
      <c r="I824" s="77"/>
      <c r="J824" s="26"/>
      <c r="K824" s="165"/>
      <c r="L824" s="165"/>
      <c r="M824" s="166"/>
      <c r="N824" s="166"/>
      <c r="O824" s="166"/>
      <c r="P824" s="166"/>
      <c r="Q824" s="167"/>
      <c r="R824" s="111"/>
    </row>
    <row r="825" spans="1:18" hidden="1">
      <c r="A825" s="90">
        <v>819</v>
      </c>
      <c r="B825" s="24">
        <f>DATE('1.연간시수표'!$U$2,'1.연간시수표'!$X$2,'1.연간시수표'!$Z$2)+QUOTIENT(ROW(A819)-1,8)+(QUOTIENT(ROW(A819)-1,40)*2)</f>
        <v>44762</v>
      </c>
      <c r="C825" s="24" t="str">
        <f t="shared" si="36"/>
        <v>수</v>
      </c>
      <c r="D825" s="91" t="str">
        <f t="shared" si="37"/>
        <v>3교시</v>
      </c>
      <c r="E825" s="68">
        <f>COUNTIF($H$7:$H825,$H825)</f>
        <v>282</v>
      </c>
      <c r="F825" s="67">
        <f>'1.연간시수표'!$AL$33</f>
        <v>5</v>
      </c>
      <c r="G825" s="89">
        <f t="shared" si="38"/>
        <v>1</v>
      </c>
      <c r="H825" s="91" t="str">
        <f>INDEX('0.시간표데이터'!$E$10:$AR$32,QUOTIENT(ROW(A819)-1,40)+1,MOD(ROW(A819)-1,40)+1)</f>
        <v>_</v>
      </c>
      <c r="I825" s="77"/>
      <c r="J825" s="26"/>
      <c r="K825" s="165"/>
      <c r="L825" s="165"/>
      <c r="M825" s="166"/>
      <c r="N825" s="166"/>
      <c r="O825" s="166"/>
      <c r="P825" s="166"/>
      <c r="Q825" s="167"/>
      <c r="R825" s="111"/>
    </row>
    <row r="826" spans="1:18" hidden="1">
      <c r="A826" s="90">
        <v>820</v>
      </c>
      <c r="B826" s="24">
        <f>DATE('1.연간시수표'!$U$2,'1.연간시수표'!$X$2,'1.연간시수표'!$Z$2)+QUOTIENT(ROW(A820)-1,8)+(QUOTIENT(ROW(A820)-1,40)*2)</f>
        <v>44762</v>
      </c>
      <c r="C826" s="24" t="str">
        <f t="shared" si="36"/>
        <v>수</v>
      </c>
      <c r="D826" s="91" t="str">
        <f t="shared" si="37"/>
        <v>4교시</v>
      </c>
      <c r="E826" s="68">
        <f>COUNTIF($H$7:$H826,$H826)</f>
        <v>283</v>
      </c>
      <c r="F826" s="67">
        <f>'1.연간시수표'!$AL$33</f>
        <v>5</v>
      </c>
      <c r="G826" s="89">
        <f t="shared" si="38"/>
        <v>1</v>
      </c>
      <c r="H826" s="91" t="str">
        <f>INDEX('0.시간표데이터'!$E$10:$AR$32,QUOTIENT(ROW(A820)-1,40)+1,MOD(ROW(A820)-1,40)+1)</f>
        <v>_</v>
      </c>
      <c r="I826" s="77"/>
      <c r="J826" s="26"/>
      <c r="K826" s="165"/>
      <c r="L826" s="165"/>
      <c r="M826" s="166"/>
      <c r="N826" s="166"/>
      <c r="O826" s="166"/>
      <c r="P826" s="166"/>
      <c r="Q826" s="167"/>
      <c r="R826" s="111"/>
    </row>
    <row r="827" spans="1:18" hidden="1">
      <c r="A827" s="90">
        <v>821</v>
      </c>
      <c r="B827" s="24">
        <f>DATE('1.연간시수표'!$U$2,'1.연간시수표'!$X$2,'1.연간시수표'!$Z$2)+QUOTIENT(ROW(A821)-1,8)+(QUOTIENT(ROW(A821)-1,40)*2)</f>
        <v>44762</v>
      </c>
      <c r="C827" s="24" t="str">
        <f t="shared" si="36"/>
        <v>수</v>
      </c>
      <c r="D827" s="91" t="str">
        <f t="shared" si="37"/>
        <v>5교시</v>
      </c>
      <c r="E827" s="68">
        <f>COUNTIF($H$7:$H827,$H827)</f>
        <v>284</v>
      </c>
      <c r="F827" s="67">
        <f>'1.연간시수표'!$AL$33</f>
        <v>5</v>
      </c>
      <c r="G827" s="89">
        <f t="shared" si="38"/>
        <v>1</v>
      </c>
      <c r="H827" s="91" t="str">
        <f>INDEX('0.시간표데이터'!$E$10:$AR$32,QUOTIENT(ROW(A821)-1,40)+1,MOD(ROW(A821)-1,40)+1)</f>
        <v>_</v>
      </c>
      <c r="I827" s="77"/>
      <c r="J827" s="26"/>
      <c r="K827" s="165"/>
      <c r="L827" s="165"/>
      <c r="M827" s="166"/>
      <c r="N827" s="166"/>
      <c r="O827" s="166"/>
      <c r="P827" s="166"/>
      <c r="Q827" s="167"/>
      <c r="R827" s="111"/>
    </row>
    <row r="828" spans="1:18" hidden="1">
      <c r="A828" s="90">
        <v>822</v>
      </c>
      <c r="B828" s="24">
        <f>DATE('1.연간시수표'!$U$2,'1.연간시수표'!$X$2,'1.연간시수표'!$Z$2)+QUOTIENT(ROW(A822)-1,8)+(QUOTIENT(ROW(A822)-1,40)*2)</f>
        <v>44762</v>
      </c>
      <c r="C828" s="24" t="str">
        <f t="shared" si="36"/>
        <v>수</v>
      </c>
      <c r="D828" s="91" t="str">
        <f t="shared" si="37"/>
        <v>6교시</v>
      </c>
      <c r="E828" s="68">
        <f>COUNTIF($H$7:$H828,$H828)</f>
        <v>285</v>
      </c>
      <c r="F828" s="67">
        <f>'1.연간시수표'!$AL$33</f>
        <v>5</v>
      </c>
      <c r="G828" s="89">
        <f t="shared" si="38"/>
        <v>1</v>
      </c>
      <c r="H828" s="91" t="str">
        <f>INDEX('0.시간표데이터'!$E$10:$AR$32,QUOTIENT(ROW(A822)-1,40)+1,MOD(ROW(A822)-1,40)+1)</f>
        <v>_</v>
      </c>
      <c r="I828" s="77"/>
      <c r="J828" s="26"/>
      <c r="K828" s="165"/>
      <c r="L828" s="165"/>
      <c r="M828" s="166"/>
      <c r="N828" s="166"/>
      <c r="O828" s="166"/>
      <c r="P828" s="166"/>
      <c r="Q828" s="167"/>
      <c r="R828" s="111"/>
    </row>
    <row r="829" spans="1:18" hidden="1">
      <c r="A829" s="90">
        <v>823</v>
      </c>
      <c r="B829" s="24">
        <f>DATE('1.연간시수표'!$U$2,'1.연간시수표'!$X$2,'1.연간시수표'!$Z$2)+QUOTIENT(ROW(A823)-1,8)+(QUOTIENT(ROW(A823)-1,40)*2)</f>
        <v>44762</v>
      </c>
      <c r="C829" s="24" t="str">
        <f t="shared" si="36"/>
        <v>수</v>
      </c>
      <c r="D829" s="91" t="str">
        <f t="shared" si="37"/>
        <v>7교시</v>
      </c>
      <c r="E829" s="68">
        <f>COUNTIF($H$7:$H829,$H829)</f>
        <v>286</v>
      </c>
      <c r="F829" s="67">
        <f>'1.연간시수표'!$AL$33</f>
        <v>5</v>
      </c>
      <c r="G829" s="89">
        <f t="shared" si="38"/>
        <v>1</v>
      </c>
      <c r="H829" s="91" t="str">
        <f>INDEX('0.시간표데이터'!$E$10:$AR$32,QUOTIENT(ROW(A823)-1,40)+1,MOD(ROW(A823)-1,40)+1)</f>
        <v>_</v>
      </c>
      <c r="I829" s="76"/>
      <c r="J829" s="26"/>
      <c r="K829" s="165"/>
      <c r="L829" s="165"/>
      <c r="M829" s="166"/>
      <c r="N829" s="166"/>
      <c r="O829" s="166"/>
      <c r="P829" s="166"/>
      <c r="Q829" s="167"/>
      <c r="R829" s="111"/>
    </row>
    <row r="830" spans="1:18" hidden="1">
      <c r="A830" s="90">
        <v>824</v>
      </c>
      <c r="B830" s="24">
        <f>DATE('1.연간시수표'!$U$2,'1.연간시수표'!$X$2,'1.연간시수표'!$Z$2)+QUOTIENT(ROW(A824)-1,8)+(QUOTIENT(ROW(A824)-1,40)*2)</f>
        <v>44762</v>
      </c>
      <c r="C830" s="24" t="str">
        <f t="shared" si="36"/>
        <v>수</v>
      </c>
      <c r="D830" s="91" t="str">
        <f t="shared" si="37"/>
        <v>8교시</v>
      </c>
      <c r="E830" s="68">
        <f>COUNTIF($H$7:$H830,$H830)</f>
        <v>287</v>
      </c>
      <c r="F830" s="67">
        <f>'1.연간시수표'!$AL$33</f>
        <v>5</v>
      </c>
      <c r="G830" s="89">
        <f t="shared" si="38"/>
        <v>1</v>
      </c>
      <c r="H830" s="91" t="str">
        <f>INDEX('0.시간표데이터'!$E$10:$AR$32,QUOTIENT(ROW(A824)-1,40)+1,MOD(ROW(A824)-1,40)+1)</f>
        <v>_</v>
      </c>
      <c r="I830" s="76"/>
      <c r="J830" s="26"/>
      <c r="K830" s="165"/>
      <c r="L830" s="165"/>
      <c r="M830" s="166"/>
      <c r="N830" s="166"/>
      <c r="O830" s="166"/>
      <c r="P830" s="166"/>
      <c r="Q830" s="167"/>
      <c r="R830" s="111"/>
    </row>
    <row r="831" spans="1:18" hidden="1">
      <c r="A831" s="90">
        <v>825</v>
      </c>
      <c r="B831" s="24">
        <f>DATE('1.연간시수표'!$U$2,'1.연간시수표'!$X$2,'1.연간시수표'!$Z$2)+QUOTIENT(ROW(A825)-1,8)+(QUOTIENT(ROW(A825)-1,40)*2)</f>
        <v>44763</v>
      </c>
      <c r="C831" s="24" t="str">
        <f t="shared" si="36"/>
        <v>목</v>
      </c>
      <c r="D831" s="91" t="str">
        <f t="shared" si="37"/>
        <v>1교시</v>
      </c>
      <c r="E831" s="68">
        <f>COUNTIF($H$7:$H831,$H831)</f>
        <v>288</v>
      </c>
      <c r="F831" s="67">
        <f>'1.연간시수표'!$AL$33</f>
        <v>5</v>
      </c>
      <c r="G831" s="89">
        <f t="shared" si="38"/>
        <v>1</v>
      </c>
      <c r="H831" s="91" t="str">
        <f>INDEX('0.시간표데이터'!$E$10:$AR$32,QUOTIENT(ROW(A825)-1,40)+1,MOD(ROW(A825)-1,40)+1)</f>
        <v>_</v>
      </c>
      <c r="I831" s="77"/>
      <c r="J831" s="26"/>
      <c r="K831" s="165"/>
      <c r="L831" s="165"/>
      <c r="M831" s="166"/>
      <c r="N831" s="166"/>
      <c r="O831" s="166"/>
      <c r="P831" s="166"/>
      <c r="Q831" s="167"/>
      <c r="R831" s="111"/>
    </row>
    <row r="832" spans="1:18" hidden="1">
      <c r="A832" s="90">
        <v>826</v>
      </c>
      <c r="B832" s="24">
        <f>DATE('1.연간시수표'!$U$2,'1.연간시수표'!$X$2,'1.연간시수표'!$Z$2)+QUOTIENT(ROW(A826)-1,8)+(QUOTIENT(ROW(A826)-1,40)*2)</f>
        <v>44763</v>
      </c>
      <c r="C832" s="24" t="str">
        <f t="shared" si="36"/>
        <v>목</v>
      </c>
      <c r="D832" s="91" t="str">
        <f t="shared" si="37"/>
        <v>2교시</v>
      </c>
      <c r="E832" s="68">
        <f>COUNTIF($H$7:$H832,$H832)</f>
        <v>289</v>
      </c>
      <c r="F832" s="67">
        <f>'1.연간시수표'!$AL$33</f>
        <v>5</v>
      </c>
      <c r="G832" s="89">
        <f t="shared" si="38"/>
        <v>1</v>
      </c>
      <c r="H832" s="91" t="str">
        <f>INDEX('0.시간표데이터'!$E$10:$AR$32,QUOTIENT(ROW(A826)-1,40)+1,MOD(ROW(A826)-1,40)+1)</f>
        <v>_</v>
      </c>
      <c r="I832" s="161"/>
      <c r="J832" s="26"/>
      <c r="K832" s="165"/>
      <c r="L832" s="165"/>
      <c r="M832" s="166"/>
      <c r="N832" s="166"/>
      <c r="O832" s="166"/>
      <c r="P832" s="166"/>
      <c r="Q832" s="167"/>
      <c r="R832" s="111"/>
    </row>
    <row r="833" spans="1:18" hidden="1">
      <c r="A833" s="90">
        <v>827</v>
      </c>
      <c r="B833" s="24">
        <f>DATE('1.연간시수표'!$U$2,'1.연간시수표'!$X$2,'1.연간시수표'!$Z$2)+QUOTIENT(ROW(A827)-1,8)+(QUOTIENT(ROW(A827)-1,40)*2)</f>
        <v>44763</v>
      </c>
      <c r="C833" s="24" t="str">
        <f t="shared" si="36"/>
        <v>목</v>
      </c>
      <c r="D833" s="91" t="str">
        <f t="shared" si="37"/>
        <v>3교시</v>
      </c>
      <c r="E833" s="68">
        <f>COUNTIF($H$7:$H833,$H833)</f>
        <v>290</v>
      </c>
      <c r="F833" s="67">
        <f>'1.연간시수표'!$AL$33</f>
        <v>5</v>
      </c>
      <c r="G833" s="89">
        <f t="shared" si="38"/>
        <v>1</v>
      </c>
      <c r="H833" s="91" t="str">
        <f>INDEX('0.시간표데이터'!$E$10:$AR$32,QUOTIENT(ROW(A827)-1,40)+1,MOD(ROW(A827)-1,40)+1)</f>
        <v>_</v>
      </c>
      <c r="I833" s="77"/>
      <c r="J833" s="26"/>
      <c r="K833" s="165"/>
      <c r="L833" s="165"/>
      <c r="M833" s="166"/>
      <c r="N833" s="166"/>
      <c r="O833" s="166"/>
      <c r="P833" s="166"/>
      <c r="Q833" s="167"/>
      <c r="R833" s="111"/>
    </row>
    <row r="834" spans="1:18" hidden="1">
      <c r="A834" s="90">
        <v>828</v>
      </c>
      <c r="B834" s="24">
        <f>DATE('1.연간시수표'!$U$2,'1.연간시수표'!$X$2,'1.연간시수표'!$Z$2)+QUOTIENT(ROW(A828)-1,8)+(QUOTIENT(ROW(A828)-1,40)*2)</f>
        <v>44763</v>
      </c>
      <c r="C834" s="24" t="str">
        <f t="shared" si="36"/>
        <v>목</v>
      </c>
      <c r="D834" s="91" t="str">
        <f t="shared" si="37"/>
        <v>4교시</v>
      </c>
      <c r="E834" s="68">
        <f>COUNTIF($H$7:$H834,$H834)</f>
        <v>291</v>
      </c>
      <c r="F834" s="67">
        <f>'1.연간시수표'!$AL$33</f>
        <v>5</v>
      </c>
      <c r="G834" s="89">
        <f t="shared" si="38"/>
        <v>1</v>
      </c>
      <c r="H834" s="91" t="str">
        <f>INDEX('0.시간표데이터'!$E$10:$AR$32,QUOTIENT(ROW(A828)-1,40)+1,MOD(ROW(A828)-1,40)+1)</f>
        <v>_</v>
      </c>
      <c r="I834" s="77"/>
      <c r="J834" s="26"/>
      <c r="K834" s="165"/>
      <c r="L834" s="165"/>
      <c r="M834" s="166"/>
      <c r="N834" s="166"/>
      <c r="O834" s="166"/>
      <c r="P834" s="166"/>
      <c r="Q834" s="167"/>
      <c r="R834" s="111"/>
    </row>
    <row r="835" spans="1:18" hidden="1">
      <c r="A835" s="90">
        <v>829</v>
      </c>
      <c r="B835" s="24">
        <f>DATE('1.연간시수표'!$U$2,'1.연간시수표'!$X$2,'1.연간시수표'!$Z$2)+QUOTIENT(ROW(A829)-1,8)+(QUOTIENT(ROW(A829)-1,40)*2)</f>
        <v>44763</v>
      </c>
      <c r="C835" s="24" t="str">
        <f t="shared" si="36"/>
        <v>목</v>
      </c>
      <c r="D835" s="91" t="str">
        <f t="shared" si="37"/>
        <v>5교시</v>
      </c>
      <c r="E835" s="68">
        <f>COUNTIF($H$7:$H835,$H835)</f>
        <v>292</v>
      </c>
      <c r="F835" s="67">
        <f>'1.연간시수표'!$AL$33</f>
        <v>5</v>
      </c>
      <c r="G835" s="89">
        <f t="shared" si="38"/>
        <v>1</v>
      </c>
      <c r="H835" s="91" t="str">
        <f>INDEX('0.시간표데이터'!$E$10:$AR$32,QUOTIENT(ROW(A829)-1,40)+1,MOD(ROW(A829)-1,40)+1)</f>
        <v>_</v>
      </c>
      <c r="I835" s="77"/>
      <c r="J835" s="26"/>
      <c r="K835" s="165"/>
      <c r="L835" s="165"/>
      <c r="M835" s="166"/>
      <c r="N835" s="166"/>
      <c r="O835" s="166"/>
      <c r="P835" s="166"/>
      <c r="Q835" s="167"/>
      <c r="R835" s="111"/>
    </row>
    <row r="836" spans="1:18" hidden="1">
      <c r="A836" s="90">
        <v>830</v>
      </c>
      <c r="B836" s="24">
        <f>DATE('1.연간시수표'!$U$2,'1.연간시수표'!$X$2,'1.연간시수표'!$Z$2)+QUOTIENT(ROW(A830)-1,8)+(QUOTIENT(ROW(A830)-1,40)*2)</f>
        <v>44763</v>
      </c>
      <c r="C836" s="24" t="str">
        <f t="shared" si="36"/>
        <v>목</v>
      </c>
      <c r="D836" s="91" t="str">
        <f t="shared" si="37"/>
        <v>6교시</v>
      </c>
      <c r="E836" s="68">
        <f>COUNTIF($H$7:$H836,$H836)</f>
        <v>293</v>
      </c>
      <c r="F836" s="67">
        <f>'1.연간시수표'!$AL$33</f>
        <v>5</v>
      </c>
      <c r="G836" s="89">
        <f t="shared" si="38"/>
        <v>1</v>
      </c>
      <c r="H836" s="91" t="str">
        <f>INDEX('0.시간표데이터'!$E$10:$AR$32,QUOTIENT(ROW(A830)-1,40)+1,MOD(ROW(A830)-1,40)+1)</f>
        <v>_</v>
      </c>
      <c r="I836" s="161"/>
      <c r="J836" s="26"/>
      <c r="K836" s="165"/>
      <c r="L836" s="165"/>
      <c r="M836" s="166"/>
      <c r="N836" s="166"/>
      <c r="O836" s="166"/>
      <c r="P836" s="166"/>
      <c r="Q836" s="167"/>
      <c r="R836" s="111"/>
    </row>
    <row r="837" spans="1:18" hidden="1">
      <c r="A837" s="90">
        <v>831</v>
      </c>
      <c r="B837" s="24">
        <f>DATE('1.연간시수표'!$U$2,'1.연간시수표'!$X$2,'1.연간시수표'!$Z$2)+QUOTIENT(ROW(A831)-1,8)+(QUOTIENT(ROW(A831)-1,40)*2)</f>
        <v>44763</v>
      </c>
      <c r="C837" s="24" t="str">
        <f t="shared" si="36"/>
        <v>목</v>
      </c>
      <c r="D837" s="91" t="str">
        <f t="shared" si="37"/>
        <v>7교시</v>
      </c>
      <c r="E837" s="68">
        <f>COUNTIF($H$7:$H837,$H837)</f>
        <v>294</v>
      </c>
      <c r="F837" s="67">
        <f>'1.연간시수표'!$AL$33</f>
        <v>5</v>
      </c>
      <c r="G837" s="89">
        <f t="shared" si="38"/>
        <v>1</v>
      </c>
      <c r="H837" s="91" t="str">
        <f>INDEX('0.시간표데이터'!$E$10:$AR$32,QUOTIENT(ROW(A831)-1,40)+1,MOD(ROW(A831)-1,40)+1)</f>
        <v>_</v>
      </c>
      <c r="I837" s="76"/>
      <c r="J837" s="26"/>
      <c r="K837" s="165"/>
      <c r="L837" s="165"/>
      <c r="M837" s="166"/>
      <c r="N837" s="166"/>
      <c r="O837" s="166"/>
      <c r="P837" s="166"/>
      <c r="Q837" s="167"/>
      <c r="R837" s="111"/>
    </row>
    <row r="838" spans="1:18" hidden="1">
      <c r="A838" s="90">
        <v>832</v>
      </c>
      <c r="B838" s="24">
        <f>DATE('1.연간시수표'!$U$2,'1.연간시수표'!$X$2,'1.연간시수표'!$Z$2)+QUOTIENT(ROW(A832)-1,8)+(QUOTIENT(ROW(A832)-1,40)*2)</f>
        <v>44763</v>
      </c>
      <c r="C838" s="24" t="str">
        <f t="shared" si="36"/>
        <v>목</v>
      </c>
      <c r="D838" s="91" t="str">
        <f t="shared" si="37"/>
        <v>8교시</v>
      </c>
      <c r="E838" s="68">
        <f>COUNTIF($H$7:$H838,$H838)</f>
        <v>295</v>
      </c>
      <c r="F838" s="67">
        <f>'1.연간시수표'!$AL$33</f>
        <v>5</v>
      </c>
      <c r="G838" s="89">
        <f t="shared" si="38"/>
        <v>1</v>
      </c>
      <c r="H838" s="91" t="str">
        <f>INDEX('0.시간표데이터'!$E$10:$AR$32,QUOTIENT(ROW(A832)-1,40)+1,MOD(ROW(A832)-1,40)+1)</f>
        <v>_</v>
      </c>
      <c r="I838" s="76"/>
      <c r="J838" s="26"/>
      <c r="K838" s="165"/>
      <c r="L838" s="165"/>
      <c r="M838" s="166"/>
      <c r="N838" s="166"/>
      <c r="O838" s="166"/>
      <c r="P838" s="166"/>
      <c r="Q838" s="167"/>
      <c r="R838" s="111"/>
    </row>
    <row r="839" spans="1:18" hidden="1">
      <c r="A839" s="90">
        <v>833</v>
      </c>
      <c r="B839" s="24">
        <f>DATE('1.연간시수표'!$U$2,'1.연간시수표'!$X$2,'1.연간시수표'!$Z$2)+QUOTIENT(ROW(A833)-1,8)+(QUOTIENT(ROW(A833)-1,40)*2)</f>
        <v>44764</v>
      </c>
      <c r="C839" s="24" t="str">
        <f t="shared" ref="C839:C902" si="39">IF(WEEKDAY(B839,2)=1,"월",IF(WEEKDAY(B839,2)=2,"화",IF(WEEKDAY(B839,2)=3,"수",IF(WEEKDAY(B839,2)=4,"목",IF(WEEKDAY(B839,2)=5,"금")))))</f>
        <v>금</v>
      </c>
      <c r="D839" s="91" t="str">
        <f t="shared" ref="D839:D902" si="40">TEXT(MOD(ROW(A833)-1,8)+1,"#교시")</f>
        <v>1교시</v>
      </c>
      <c r="E839" s="68">
        <f>COUNTIF($H$7:$H839,$H839)</f>
        <v>296</v>
      </c>
      <c r="F839" s="67">
        <f>'1.연간시수표'!$AL$33</f>
        <v>5</v>
      </c>
      <c r="G839" s="89">
        <f t="shared" ref="G839:G902" si="41">$A$2</f>
        <v>1</v>
      </c>
      <c r="H839" s="91" t="str">
        <f>INDEX('0.시간표데이터'!$E$10:$AR$32,QUOTIENT(ROW(A833)-1,40)+1,MOD(ROW(A833)-1,40)+1)</f>
        <v>_</v>
      </c>
      <c r="I839" s="77"/>
      <c r="J839" s="26"/>
      <c r="K839" s="165"/>
      <c r="L839" s="165"/>
      <c r="M839" s="166"/>
      <c r="N839" s="166"/>
      <c r="O839" s="166"/>
      <c r="P839" s="166"/>
      <c r="Q839" s="167"/>
      <c r="R839" s="111"/>
    </row>
    <row r="840" spans="1:18" hidden="1">
      <c r="A840" s="90">
        <v>834</v>
      </c>
      <c r="B840" s="24">
        <f>DATE('1.연간시수표'!$U$2,'1.연간시수표'!$X$2,'1.연간시수표'!$Z$2)+QUOTIENT(ROW(A834)-1,8)+(QUOTIENT(ROW(A834)-1,40)*2)</f>
        <v>44764</v>
      </c>
      <c r="C840" s="24" t="str">
        <f t="shared" si="39"/>
        <v>금</v>
      </c>
      <c r="D840" s="91" t="str">
        <f t="shared" si="40"/>
        <v>2교시</v>
      </c>
      <c r="E840" s="68">
        <f>COUNTIF($H$7:$H840,$H840)</f>
        <v>297</v>
      </c>
      <c r="F840" s="67">
        <f>'1.연간시수표'!$AL$33</f>
        <v>5</v>
      </c>
      <c r="G840" s="89">
        <f t="shared" si="41"/>
        <v>1</v>
      </c>
      <c r="H840" s="91" t="str">
        <f>INDEX('0.시간표데이터'!$E$10:$AR$32,QUOTIENT(ROW(A834)-1,40)+1,MOD(ROW(A834)-1,40)+1)</f>
        <v>_</v>
      </c>
      <c r="I840" s="77"/>
      <c r="J840" s="26"/>
      <c r="K840" s="165"/>
      <c r="L840" s="165"/>
      <c r="M840" s="166"/>
      <c r="N840" s="166"/>
      <c r="O840" s="166"/>
      <c r="P840" s="166"/>
      <c r="Q840" s="167"/>
      <c r="R840" s="111"/>
    </row>
    <row r="841" spans="1:18" hidden="1">
      <c r="A841" s="90">
        <v>835</v>
      </c>
      <c r="B841" s="24">
        <f>DATE('1.연간시수표'!$U$2,'1.연간시수표'!$X$2,'1.연간시수표'!$Z$2)+QUOTIENT(ROW(A835)-1,8)+(QUOTIENT(ROW(A835)-1,40)*2)</f>
        <v>44764</v>
      </c>
      <c r="C841" s="24" t="str">
        <f t="shared" si="39"/>
        <v>금</v>
      </c>
      <c r="D841" s="91" t="str">
        <f t="shared" si="40"/>
        <v>3교시</v>
      </c>
      <c r="E841" s="68">
        <f>COUNTIF($H$7:$H841,$H841)</f>
        <v>298</v>
      </c>
      <c r="F841" s="67">
        <f>'1.연간시수표'!$AL$33</f>
        <v>5</v>
      </c>
      <c r="G841" s="89">
        <f t="shared" si="41"/>
        <v>1</v>
      </c>
      <c r="H841" s="91" t="str">
        <f>INDEX('0.시간표데이터'!$E$10:$AR$32,QUOTIENT(ROW(A835)-1,40)+1,MOD(ROW(A835)-1,40)+1)</f>
        <v>_</v>
      </c>
      <c r="I841" s="77"/>
      <c r="J841" s="26"/>
      <c r="K841" s="165"/>
      <c r="L841" s="165"/>
      <c r="M841" s="166"/>
      <c r="N841" s="166"/>
      <c r="O841" s="166"/>
      <c r="P841" s="166"/>
      <c r="Q841" s="167"/>
      <c r="R841" s="111"/>
    </row>
    <row r="842" spans="1:18" hidden="1">
      <c r="A842" s="90">
        <v>836</v>
      </c>
      <c r="B842" s="24">
        <f>DATE('1.연간시수표'!$U$2,'1.연간시수표'!$X$2,'1.연간시수표'!$Z$2)+QUOTIENT(ROW(A836)-1,8)+(QUOTIENT(ROW(A836)-1,40)*2)</f>
        <v>44764</v>
      </c>
      <c r="C842" s="24" t="str">
        <f t="shared" si="39"/>
        <v>금</v>
      </c>
      <c r="D842" s="91" t="str">
        <f t="shared" si="40"/>
        <v>4교시</v>
      </c>
      <c r="E842" s="68">
        <f>COUNTIF($H$7:$H842,$H842)</f>
        <v>299</v>
      </c>
      <c r="F842" s="67">
        <f>'1.연간시수표'!$AL$33</f>
        <v>5</v>
      </c>
      <c r="G842" s="89">
        <f t="shared" si="41"/>
        <v>1</v>
      </c>
      <c r="H842" s="91" t="str">
        <f>INDEX('0.시간표데이터'!$E$10:$AR$32,QUOTIENT(ROW(A836)-1,40)+1,MOD(ROW(A836)-1,40)+1)</f>
        <v>_</v>
      </c>
      <c r="I842" s="77"/>
      <c r="J842" s="26"/>
      <c r="K842" s="165"/>
      <c r="L842" s="165"/>
      <c r="M842" s="166"/>
      <c r="N842" s="166"/>
      <c r="O842" s="166"/>
      <c r="P842" s="166"/>
      <c r="Q842" s="167"/>
      <c r="R842" s="111"/>
    </row>
    <row r="843" spans="1:18" hidden="1">
      <c r="A843" s="90">
        <v>837</v>
      </c>
      <c r="B843" s="24">
        <f>DATE('1.연간시수표'!$U$2,'1.연간시수표'!$X$2,'1.연간시수표'!$Z$2)+QUOTIENT(ROW(A837)-1,8)+(QUOTIENT(ROW(A837)-1,40)*2)</f>
        <v>44764</v>
      </c>
      <c r="C843" s="24" t="str">
        <f t="shared" si="39"/>
        <v>금</v>
      </c>
      <c r="D843" s="91" t="str">
        <f t="shared" si="40"/>
        <v>5교시</v>
      </c>
      <c r="E843" s="68">
        <f>COUNTIF($H$7:$H843,$H843)</f>
        <v>300</v>
      </c>
      <c r="F843" s="67">
        <f>'1.연간시수표'!$AL$33</f>
        <v>5</v>
      </c>
      <c r="G843" s="89">
        <f t="shared" si="41"/>
        <v>1</v>
      </c>
      <c r="H843" s="91" t="str">
        <f>INDEX('0.시간표데이터'!$E$10:$AR$32,QUOTIENT(ROW(A837)-1,40)+1,MOD(ROW(A837)-1,40)+1)</f>
        <v>_</v>
      </c>
      <c r="I843" s="77"/>
      <c r="J843" s="26"/>
      <c r="K843" s="165"/>
      <c r="L843" s="165"/>
      <c r="M843" s="166"/>
      <c r="N843" s="166"/>
      <c r="O843" s="166"/>
      <c r="P843" s="166"/>
      <c r="Q843" s="167"/>
      <c r="R843" s="111"/>
    </row>
    <row r="844" spans="1:18" hidden="1">
      <c r="A844" s="90">
        <v>838</v>
      </c>
      <c r="B844" s="24">
        <f>DATE('1.연간시수표'!$U$2,'1.연간시수표'!$X$2,'1.연간시수표'!$Z$2)+QUOTIENT(ROW(A838)-1,8)+(QUOTIENT(ROW(A838)-1,40)*2)</f>
        <v>44764</v>
      </c>
      <c r="C844" s="24" t="str">
        <f t="shared" si="39"/>
        <v>금</v>
      </c>
      <c r="D844" s="91" t="str">
        <f t="shared" si="40"/>
        <v>6교시</v>
      </c>
      <c r="E844" s="68">
        <f>COUNTIF($H$7:$H844,$H844)</f>
        <v>301</v>
      </c>
      <c r="F844" s="67">
        <f>'1.연간시수표'!$AL$33</f>
        <v>5</v>
      </c>
      <c r="G844" s="89">
        <f t="shared" si="41"/>
        <v>1</v>
      </c>
      <c r="H844" s="91" t="str">
        <f>INDEX('0.시간표데이터'!$E$10:$AR$32,QUOTIENT(ROW(A838)-1,40)+1,MOD(ROW(A838)-1,40)+1)</f>
        <v>_</v>
      </c>
      <c r="I844" s="77"/>
      <c r="J844" s="26"/>
      <c r="K844" s="165"/>
      <c r="L844" s="165"/>
      <c r="M844" s="166"/>
      <c r="N844" s="166"/>
      <c r="O844" s="166"/>
      <c r="P844" s="166"/>
      <c r="Q844" s="167"/>
      <c r="R844" s="111"/>
    </row>
    <row r="845" spans="1:18" hidden="1">
      <c r="A845" s="90">
        <v>839</v>
      </c>
      <c r="B845" s="24">
        <f>DATE('1.연간시수표'!$U$2,'1.연간시수표'!$X$2,'1.연간시수표'!$Z$2)+QUOTIENT(ROW(A839)-1,8)+(QUOTIENT(ROW(A839)-1,40)*2)</f>
        <v>44764</v>
      </c>
      <c r="C845" s="24" t="str">
        <f t="shared" si="39"/>
        <v>금</v>
      </c>
      <c r="D845" s="91" t="str">
        <f t="shared" si="40"/>
        <v>7교시</v>
      </c>
      <c r="E845" s="68">
        <f>COUNTIF($H$7:$H845,$H845)</f>
        <v>302</v>
      </c>
      <c r="F845" s="67">
        <f>'1.연간시수표'!$AL$33</f>
        <v>5</v>
      </c>
      <c r="G845" s="89">
        <f t="shared" si="41"/>
        <v>1</v>
      </c>
      <c r="H845" s="91" t="str">
        <f>INDEX('0.시간표데이터'!$E$10:$AR$32,QUOTIENT(ROW(A839)-1,40)+1,MOD(ROW(A839)-1,40)+1)</f>
        <v>_</v>
      </c>
      <c r="I845" s="76"/>
      <c r="J845" s="26"/>
      <c r="K845" s="165"/>
      <c r="L845" s="165"/>
      <c r="M845" s="166"/>
      <c r="N845" s="166"/>
      <c r="O845" s="166"/>
      <c r="P845" s="166"/>
      <c r="Q845" s="167"/>
      <c r="R845" s="111"/>
    </row>
    <row r="846" spans="1:18" hidden="1">
      <c r="A846" s="90">
        <v>840</v>
      </c>
      <c r="B846" s="24">
        <f>DATE('1.연간시수표'!$U$2,'1.연간시수표'!$X$2,'1.연간시수표'!$Z$2)+QUOTIENT(ROW(A840)-1,8)+(QUOTIENT(ROW(A840)-1,40)*2)</f>
        <v>44764</v>
      </c>
      <c r="C846" s="24" t="str">
        <f t="shared" si="39"/>
        <v>금</v>
      </c>
      <c r="D846" s="91" t="str">
        <f t="shared" si="40"/>
        <v>8교시</v>
      </c>
      <c r="E846" s="68">
        <f>COUNTIF($H$7:$H846,$H846)</f>
        <v>303</v>
      </c>
      <c r="F846" s="67">
        <f>'1.연간시수표'!$AL$33</f>
        <v>5</v>
      </c>
      <c r="G846" s="89">
        <f t="shared" si="41"/>
        <v>1</v>
      </c>
      <c r="H846" s="91" t="str">
        <f>INDEX('0.시간표데이터'!$E$10:$AR$32,QUOTIENT(ROW(A840)-1,40)+1,MOD(ROW(A840)-1,40)+1)</f>
        <v>_</v>
      </c>
      <c r="I846" s="76"/>
      <c r="J846" s="26"/>
      <c r="K846" s="165"/>
      <c r="L846" s="165"/>
      <c r="M846" s="166"/>
      <c r="N846" s="166"/>
      <c r="O846" s="166"/>
      <c r="P846" s="166"/>
      <c r="Q846" s="167"/>
      <c r="R846" s="111"/>
    </row>
    <row r="847" spans="1:18" hidden="1">
      <c r="A847" s="90">
        <v>841</v>
      </c>
      <c r="B847" s="24">
        <f>DATE('1.연간시수표'!$U$2,'1.연간시수표'!$X$2,'1.연간시수표'!$Z$2)+QUOTIENT(ROW(A841)-1,8)+(QUOTIENT(ROW(A841)-1,40)*2)</f>
        <v>44767</v>
      </c>
      <c r="C847" s="24" t="str">
        <f t="shared" si="39"/>
        <v>월</v>
      </c>
      <c r="D847" s="91" t="str">
        <f t="shared" si="40"/>
        <v>1교시</v>
      </c>
      <c r="E847" s="68">
        <f>COUNTIF($H$7:$H847,$H847)</f>
        <v>304</v>
      </c>
      <c r="F847" s="67">
        <f>'1.연간시수표'!$AL$33</f>
        <v>5</v>
      </c>
      <c r="G847" s="89">
        <f t="shared" si="41"/>
        <v>1</v>
      </c>
      <c r="H847" s="91" t="str">
        <f>INDEX('0.시간표데이터'!$E$10:$AR$32,QUOTIENT(ROW(A841)-1,40)+1,MOD(ROW(A841)-1,40)+1)</f>
        <v>_</v>
      </c>
      <c r="I847" s="77"/>
      <c r="J847" s="26"/>
      <c r="K847" s="165"/>
      <c r="L847" s="165"/>
      <c r="M847" s="166"/>
      <c r="N847" s="166"/>
      <c r="O847" s="166"/>
      <c r="P847" s="166"/>
      <c r="Q847" s="167"/>
      <c r="R847" s="111"/>
    </row>
    <row r="848" spans="1:18" hidden="1">
      <c r="A848" s="90">
        <v>842</v>
      </c>
      <c r="B848" s="24">
        <f>DATE('1.연간시수표'!$U$2,'1.연간시수표'!$X$2,'1.연간시수표'!$Z$2)+QUOTIENT(ROW(A842)-1,8)+(QUOTIENT(ROW(A842)-1,40)*2)</f>
        <v>44767</v>
      </c>
      <c r="C848" s="24" t="str">
        <f t="shared" si="39"/>
        <v>월</v>
      </c>
      <c r="D848" s="91" t="str">
        <f t="shared" si="40"/>
        <v>2교시</v>
      </c>
      <c r="E848" s="68">
        <f>COUNTIF($H$7:$H848,$H848)</f>
        <v>305</v>
      </c>
      <c r="F848" s="67">
        <f>'1.연간시수표'!$AL$33</f>
        <v>5</v>
      </c>
      <c r="G848" s="89">
        <f t="shared" si="41"/>
        <v>1</v>
      </c>
      <c r="H848" s="91" t="str">
        <f>INDEX('0.시간표데이터'!$E$10:$AR$32,QUOTIENT(ROW(A842)-1,40)+1,MOD(ROW(A842)-1,40)+1)</f>
        <v>_</v>
      </c>
      <c r="I848" s="161"/>
      <c r="J848" s="26"/>
      <c r="K848" s="165"/>
      <c r="L848" s="165"/>
      <c r="M848" s="166"/>
      <c r="N848" s="166"/>
      <c r="O848" s="166"/>
      <c r="P848" s="166"/>
      <c r="Q848" s="167"/>
      <c r="R848" s="111"/>
    </row>
    <row r="849" spans="1:18" hidden="1">
      <c r="A849" s="90">
        <v>843</v>
      </c>
      <c r="B849" s="24">
        <f>DATE('1.연간시수표'!$U$2,'1.연간시수표'!$X$2,'1.연간시수표'!$Z$2)+QUOTIENT(ROW(A843)-1,8)+(QUOTIENT(ROW(A843)-1,40)*2)</f>
        <v>44767</v>
      </c>
      <c r="C849" s="24" t="str">
        <f t="shared" si="39"/>
        <v>월</v>
      </c>
      <c r="D849" s="91" t="str">
        <f t="shared" si="40"/>
        <v>3교시</v>
      </c>
      <c r="E849" s="68">
        <f>COUNTIF($H$7:$H849,$H849)</f>
        <v>306</v>
      </c>
      <c r="F849" s="67">
        <f>'1.연간시수표'!$AL$33</f>
        <v>5</v>
      </c>
      <c r="G849" s="89">
        <f t="shared" si="41"/>
        <v>1</v>
      </c>
      <c r="H849" s="91" t="str">
        <f>INDEX('0.시간표데이터'!$E$10:$AR$32,QUOTIENT(ROW(A843)-1,40)+1,MOD(ROW(A843)-1,40)+1)</f>
        <v>_</v>
      </c>
      <c r="I849" s="77"/>
      <c r="J849" s="26"/>
      <c r="K849" s="165"/>
      <c r="L849" s="165"/>
      <c r="M849" s="166"/>
      <c r="N849" s="166"/>
      <c r="O849" s="166"/>
      <c r="P849" s="166"/>
      <c r="Q849" s="167"/>
      <c r="R849" s="111"/>
    </row>
    <row r="850" spans="1:18" hidden="1">
      <c r="A850" s="90">
        <v>844</v>
      </c>
      <c r="B850" s="24">
        <f>DATE('1.연간시수표'!$U$2,'1.연간시수표'!$X$2,'1.연간시수표'!$Z$2)+QUOTIENT(ROW(A844)-1,8)+(QUOTIENT(ROW(A844)-1,40)*2)</f>
        <v>44767</v>
      </c>
      <c r="C850" s="24" t="str">
        <f t="shared" si="39"/>
        <v>월</v>
      </c>
      <c r="D850" s="91" t="str">
        <f t="shared" si="40"/>
        <v>4교시</v>
      </c>
      <c r="E850" s="68">
        <f>COUNTIF($H$7:$H850,$H850)</f>
        <v>307</v>
      </c>
      <c r="F850" s="67">
        <f>'1.연간시수표'!$AL$33</f>
        <v>5</v>
      </c>
      <c r="G850" s="89">
        <f t="shared" si="41"/>
        <v>1</v>
      </c>
      <c r="H850" s="91" t="str">
        <f>INDEX('0.시간표데이터'!$E$10:$AR$32,QUOTIENT(ROW(A844)-1,40)+1,MOD(ROW(A844)-1,40)+1)</f>
        <v>_</v>
      </c>
      <c r="I850" s="77"/>
      <c r="J850" s="26"/>
      <c r="K850" s="165"/>
      <c r="L850" s="165"/>
      <c r="M850" s="166"/>
      <c r="N850" s="166"/>
      <c r="O850" s="166"/>
      <c r="P850" s="166"/>
      <c r="Q850" s="167"/>
      <c r="R850" s="111"/>
    </row>
    <row r="851" spans="1:18" hidden="1">
      <c r="A851" s="90">
        <v>845</v>
      </c>
      <c r="B851" s="24">
        <f>DATE('1.연간시수표'!$U$2,'1.연간시수표'!$X$2,'1.연간시수표'!$Z$2)+QUOTIENT(ROW(A845)-1,8)+(QUOTIENT(ROW(A845)-1,40)*2)</f>
        <v>44767</v>
      </c>
      <c r="C851" s="24" t="str">
        <f t="shared" si="39"/>
        <v>월</v>
      </c>
      <c r="D851" s="91" t="str">
        <f t="shared" si="40"/>
        <v>5교시</v>
      </c>
      <c r="E851" s="68">
        <f>COUNTIF($H$7:$H851,$H851)</f>
        <v>308</v>
      </c>
      <c r="F851" s="67">
        <f>'1.연간시수표'!$AL$33</f>
        <v>5</v>
      </c>
      <c r="G851" s="89">
        <f t="shared" si="41"/>
        <v>1</v>
      </c>
      <c r="H851" s="91" t="str">
        <f>INDEX('0.시간표데이터'!$E$10:$AR$32,QUOTIENT(ROW(A845)-1,40)+1,MOD(ROW(A845)-1,40)+1)</f>
        <v>_</v>
      </c>
      <c r="I851" s="77"/>
      <c r="J851" s="26"/>
      <c r="K851" s="165"/>
      <c r="L851" s="165"/>
      <c r="M851" s="166"/>
      <c r="N851" s="166"/>
      <c r="O851" s="166"/>
      <c r="P851" s="166"/>
      <c r="Q851" s="167"/>
      <c r="R851" s="111"/>
    </row>
    <row r="852" spans="1:18" hidden="1">
      <c r="A852" s="90">
        <v>846</v>
      </c>
      <c r="B852" s="24">
        <f>DATE('1.연간시수표'!$U$2,'1.연간시수표'!$X$2,'1.연간시수표'!$Z$2)+QUOTIENT(ROW(A846)-1,8)+(QUOTIENT(ROW(A846)-1,40)*2)</f>
        <v>44767</v>
      </c>
      <c r="C852" s="24" t="str">
        <f t="shared" si="39"/>
        <v>월</v>
      </c>
      <c r="D852" s="91" t="str">
        <f t="shared" si="40"/>
        <v>6교시</v>
      </c>
      <c r="E852" s="68">
        <f>COUNTIF($H$7:$H852,$H852)</f>
        <v>309</v>
      </c>
      <c r="F852" s="67">
        <f>'1.연간시수표'!$AL$33</f>
        <v>5</v>
      </c>
      <c r="G852" s="89">
        <f t="shared" si="41"/>
        <v>1</v>
      </c>
      <c r="H852" s="91" t="str">
        <f>INDEX('0.시간표데이터'!$E$10:$AR$32,QUOTIENT(ROW(A846)-1,40)+1,MOD(ROW(A846)-1,40)+1)</f>
        <v>_</v>
      </c>
      <c r="I852" s="77"/>
      <c r="J852" s="26"/>
      <c r="K852" s="165"/>
      <c r="L852" s="165"/>
      <c r="M852" s="166"/>
      <c r="N852" s="166"/>
      <c r="O852" s="166"/>
      <c r="P852" s="166"/>
      <c r="Q852" s="167"/>
      <c r="R852" s="111"/>
    </row>
    <row r="853" spans="1:18" hidden="1">
      <c r="A853" s="90">
        <v>847</v>
      </c>
      <c r="B853" s="24">
        <f>DATE('1.연간시수표'!$U$2,'1.연간시수표'!$X$2,'1.연간시수표'!$Z$2)+QUOTIENT(ROW(A847)-1,8)+(QUOTIENT(ROW(A847)-1,40)*2)</f>
        <v>44767</v>
      </c>
      <c r="C853" s="24" t="str">
        <f t="shared" si="39"/>
        <v>월</v>
      </c>
      <c r="D853" s="91" t="str">
        <f t="shared" si="40"/>
        <v>7교시</v>
      </c>
      <c r="E853" s="68">
        <f>COUNTIF($H$7:$H853,$H853)</f>
        <v>310</v>
      </c>
      <c r="F853" s="67">
        <f>'1.연간시수표'!$AL$33</f>
        <v>5</v>
      </c>
      <c r="G853" s="89">
        <f t="shared" si="41"/>
        <v>1</v>
      </c>
      <c r="H853" s="91" t="str">
        <f>INDEX('0.시간표데이터'!$E$10:$AR$32,QUOTIENT(ROW(A847)-1,40)+1,MOD(ROW(A847)-1,40)+1)</f>
        <v>_</v>
      </c>
      <c r="I853" s="82"/>
      <c r="J853" s="26"/>
      <c r="K853" s="165"/>
      <c r="L853" s="165"/>
      <c r="M853" s="166"/>
      <c r="N853" s="166"/>
      <c r="O853" s="166"/>
      <c r="P853" s="166"/>
      <c r="Q853" s="167"/>
      <c r="R853" s="111"/>
    </row>
    <row r="854" spans="1:18" hidden="1">
      <c r="A854" s="90">
        <v>848</v>
      </c>
      <c r="B854" s="24">
        <f>DATE('1.연간시수표'!$U$2,'1.연간시수표'!$X$2,'1.연간시수표'!$Z$2)+QUOTIENT(ROW(A848)-1,8)+(QUOTIENT(ROW(A848)-1,40)*2)</f>
        <v>44767</v>
      </c>
      <c r="C854" s="24" t="str">
        <f t="shared" si="39"/>
        <v>월</v>
      </c>
      <c r="D854" s="91" t="str">
        <f t="shared" si="40"/>
        <v>8교시</v>
      </c>
      <c r="E854" s="68">
        <f>COUNTIF($H$7:$H854,$H854)</f>
        <v>311</v>
      </c>
      <c r="F854" s="67">
        <f>'1.연간시수표'!$AL$33</f>
        <v>5</v>
      </c>
      <c r="G854" s="89">
        <f t="shared" si="41"/>
        <v>1</v>
      </c>
      <c r="H854" s="91" t="str">
        <f>INDEX('0.시간표데이터'!$E$10:$AR$32,QUOTIENT(ROW(A848)-1,40)+1,MOD(ROW(A848)-1,40)+1)</f>
        <v>_</v>
      </c>
      <c r="I854" s="82"/>
      <c r="J854" s="26"/>
      <c r="K854" s="165"/>
      <c r="L854" s="165"/>
      <c r="M854" s="166"/>
      <c r="N854" s="166"/>
      <c r="O854" s="166"/>
      <c r="P854" s="166"/>
      <c r="Q854" s="167"/>
      <c r="R854" s="111"/>
    </row>
    <row r="855" spans="1:18" hidden="1">
      <c r="A855" s="90">
        <v>849</v>
      </c>
      <c r="B855" s="24">
        <f>DATE('1.연간시수표'!$U$2,'1.연간시수표'!$X$2,'1.연간시수표'!$Z$2)+QUOTIENT(ROW(A849)-1,8)+(QUOTIENT(ROW(A849)-1,40)*2)</f>
        <v>44768</v>
      </c>
      <c r="C855" s="24" t="str">
        <f t="shared" si="39"/>
        <v>화</v>
      </c>
      <c r="D855" s="91" t="str">
        <f t="shared" si="40"/>
        <v>1교시</v>
      </c>
      <c r="E855" s="68">
        <f>COUNTIF($H$7:$H855,$H855)</f>
        <v>312</v>
      </c>
      <c r="F855" s="67">
        <f>'1.연간시수표'!$AL$33</f>
        <v>5</v>
      </c>
      <c r="G855" s="89">
        <f t="shared" si="41"/>
        <v>1</v>
      </c>
      <c r="H855" s="91" t="str">
        <f>INDEX('0.시간표데이터'!$E$10:$AR$32,QUOTIENT(ROW(A849)-1,40)+1,MOD(ROW(A849)-1,40)+1)</f>
        <v>_</v>
      </c>
      <c r="I855" s="77"/>
      <c r="J855" s="26"/>
      <c r="K855" s="165"/>
      <c r="L855" s="165"/>
      <c r="M855" s="166"/>
      <c r="N855" s="166"/>
      <c r="O855" s="166"/>
      <c r="P855" s="166"/>
      <c r="Q855" s="167"/>
      <c r="R855" s="111"/>
    </row>
    <row r="856" spans="1:18" hidden="1">
      <c r="A856" s="90">
        <v>850</v>
      </c>
      <c r="B856" s="24">
        <f>DATE('1.연간시수표'!$U$2,'1.연간시수표'!$X$2,'1.연간시수표'!$Z$2)+QUOTIENT(ROW(A850)-1,8)+(QUOTIENT(ROW(A850)-1,40)*2)</f>
        <v>44768</v>
      </c>
      <c r="C856" s="24" t="str">
        <f t="shared" si="39"/>
        <v>화</v>
      </c>
      <c r="D856" s="91" t="str">
        <f t="shared" si="40"/>
        <v>2교시</v>
      </c>
      <c r="E856" s="68">
        <f>COUNTIF($H$7:$H856,$H856)</f>
        <v>313</v>
      </c>
      <c r="F856" s="67">
        <f>'1.연간시수표'!$AL$33</f>
        <v>5</v>
      </c>
      <c r="G856" s="89">
        <f t="shared" si="41"/>
        <v>1</v>
      </c>
      <c r="H856" s="91" t="str">
        <f>INDEX('0.시간표데이터'!$E$10:$AR$32,QUOTIENT(ROW(A850)-1,40)+1,MOD(ROW(A850)-1,40)+1)</f>
        <v>_</v>
      </c>
      <c r="I856" s="161"/>
      <c r="J856" s="26"/>
      <c r="K856" s="165"/>
      <c r="L856" s="165"/>
      <c r="M856" s="166"/>
      <c r="N856" s="166"/>
      <c r="O856" s="166"/>
      <c r="P856" s="166"/>
      <c r="Q856" s="167"/>
      <c r="R856" s="111"/>
    </row>
    <row r="857" spans="1:18" hidden="1">
      <c r="A857" s="90">
        <v>851</v>
      </c>
      <c r="B857" s="24">
        <f>DATE('1.연간시수표'!$U$2,'1.연간시수표'!$X$2,'1.연간시수표'!$Z$2)+QUOTIENT(ROW(A851)-1,8)+(QUOTIENT(ROW(A851)-1,40)*2)</f>
        <v>44768</v>
      </c>
      <c r="C857" s="24" t="str">
        <f t="shared" si="39"/>
        <v>화</v>
      </c>
      <c r="D857" s="91" t="str">
        <f t="shared" si="40"/>
        <v>3교시</v>
      </c>
      <c r="E857" s="68">
        <f>COUNTIF($H$7:$H857,$H857)</f>
        <v>314</v>
      </c>
      <c r="F857" s="67">
        <f>'1.연간시수표'!$AL$33</f>
        <v>5</v>
      </c>
      <c r="G857" s="89">
        <f t="shared" si="41"/>
        <v>1</v>
      </c>
      <c r="H857" s="91" t="str">
        <f>INDEX('0.시간표데이터'!$E$10:$AR$32,QUOTIENT(ROW(A851)-1,40)+1,MOD(ROW(A851)-1,40)+1)</f>
        <v>_</v>
      </c>
      <c r="I857" s="77"/>
      <c r="J857" s="26"/>
      <c r="K857" s="165"/>
      <c r="L857" s="165"/>
      <c r="M857" s="166"/>
      <c r="N857" s="166"/>
      <c r="O857" s="166"/>
      <c r="P857" s="166"/>
      <c r="Q857" s="167"/>
      <c r="R857" s="111"/>
    </row>
    <row r="858" spans="1:18" hidden="1">
      <c r="A858" s="90">
        <v>852</v>
      </c>
      <c r="B858" s="24">
        <f>DATE('1.연간시수표'!$U$2,'1.연간시수표'!$X$2,'1.연간시수표'!$Z$2)+QUOTIENT(ROW(A852)-1,8)+(QUOTIENT(ROW(A852)-1,40)*2)</f>
        <v>44768</v>
      </c>
      <c r="C858" s="24" t="str">
        <f t="shared" si="39"/>
        <v>화</v>
      </c>
      <c r="D858" s="91" t="str">
        <f t="shared" si="40"/>
        <v>4교시</v>
      </c>
      <c r="E858" s="68">
        <f>COUNTIF($H$7:$H858,$H858)</f>
        <v>315</v>
      </c>
      <c r="F858" s="67">
        <f>'1.연간시수표'!$AL$33</f>
        <v>5</v>
      </c>
      <c r="G858" s="89">
        <f t="shared" si="41"/>
        <v>1</v>
      </c>
      <c r="H858" s="91" t="str">
        <f>INDEX('0.시간표데이터'!$E$10:$AR$32,QUOTIENT(ROW(A852)-1,40)+1,MOD(ROW(A852)-1,40)+1)</f>
        <v>_</v>
      </c>
      <c r="I858" s="77"/>
      <c r="J858" s="26"/>
      <c r="K858" s="165"/>
      <c r="L858" s="165"/>
      <c r="M858" s="166"/>
      <c r="N858" s="166"/>
      <c r="O858" s="166"/>
      <c r="P858" s="166"/>
      <c r="Q858" s="167"/>
      <c r="R858" s="111"/>
    </row>
    <row r="859" spans="1:18" hidden="1">
      <c r="A859" s="90">
        <v>853</v>
      </c>
      <c r="B859" s="24">
        <f>DATE('1.연간시수표'!$U$2,'1.연간시수표'!$X$2,'1.연간시수표'!$Z$2)+QUOTIENT(ROW(A853)-1,8)+(QUOTIENT(ROW(A853)-1,40)*2)</f>
        <v>44768</v>
      </c>
      <c r="C859" s="24" t="str">
        <f t="shared" si="39"/>
        <v>화</v>
      </c>
      <c r="D859" s="91" t="str">
        <f t="shared" si="40"/>
        <v>5교시</v>
      </c>
      <c r="E859" s="68">
        <f>COUNTIF($H$7:$H859,$H859)</f>
        <v>316</v>
      </c>
      <c r="F859" s="67">
        <f>'1.연간시수표'!$AL$33</f>
        <v>5</v>
      </c>
      <c r="G859" s="89">
        <f t="shared" si="41"/>
        <v>1</v>
      </c>
      <c r="H859" s="91" t="str">
        <f>INDEX('0.시간표데이터'!$E$10:$AR$32,QUOTIENT(ROW(A853)-1,40)+1,MOD(ROW(A853)-1,40)+1)</f>
        <v>_</v>
      </c>
      <c r="I859" s="77"/>
      <c r="J859" s="26"/>
      <c r="K859" s="165"/>
      <c r="L859" s="165"/>
      <c r="M859" s="166"/>
      <c r="N859" s="166"/>
      <c r="O859" s="166"/>
      <c r="P859" s="166"/>
      <c r="Q859" s="167"/>
      <c r="R859" s="111"/>
    </row>
    <row r="860" spans="1:18" hidden="1">
      <c r="A860" s="90">
        <v>854</v>
      </c>
      <c r="B860" s="24">
        <f>DATE('1.연간시수표'!$U$2,'1.연간시수표'!$X$2,'1.연간시수표'!$Z$2)+QUOTIENT(ROW(A854)-1,8)+(QUOTIENT(ROW(A854)-1,40)*2)</f>
        <v>44768</v>
      </c>
      <c r="C860" s="24" t="str">
        <f t="shared" si="39"/>
        <v>화</v>
      </c>
      <c r="D860" s="91" t="str">
        <f t="shared" si="40"/>
        <v>6교시</v>
      </c>
      <c r="E860" s="68">
        <f>COUNTIF($H$7:$H860,$H860)</f>
        <v>317</v>
      </c>
      <c r="F860" s="67">
        <f>'1.연간시수표'!$AL$33</f>
        <v>5</v>
      </c>
      <c r="G860" s="89">
        <f t="shared" si="41"/>
        <v>1</v>
      </c>
      <c r="H860" s="91" t="str">
        <f>INDEX('0.시간표데이터'!$E$10:$AR$32,QUOTIENT(ROW(A854)-1,40)+1,MOD(ROW(A854)-1,40)+1)</f>
        <v>_</v>
      </c>
      <c r="I860" s="77"/>
      <c r="J860" s="26"/>
      <c r="K860" s="165"/>
      <c r="L860" s="165"/>
      <c r="M860" s="166"/>
      <c r="N860" s="166"/>
      <c r="O860" s="166"/>
      <c r="P860" s="166"/>
      <c r="Q860" s="167"/>
      <c r="R860" s="111"/>
    </row>
    <row r="861" spans="1:18" hidden="1">
      <c r="A861" s="90">
        <v>855</v>
      </c>
      <c r="B861" s="24">
        <f>DATE('1.연간시수표'!$U$2,'1.연간시수표'!$X$2,'1.연간시수표'!$Z$2)+QUOTIENT(ROW(A855)-1,8)+(QUOTIENT(ROW(A855)-1,40)*2)</f>
        <v>44768</v>
      </c>
      <c r="C861" s="24" t="str">
        <f t="shared" si="39"/>
        <v>화</v>
      </c>
      <c r="D861" s="91" t="str">
        <f t="shared" si="40"/>
        <v>7교시</v>
      </c>
      <c r="E861" s="68">
        <f>COUNTIF($H$7:$H861,$H861)</f>
        <v>318</v>
      </c>
      <c r="F861" s="67">
        <f>'1.연간시수표'!$AL$33</f>
        <v>5</v>
      </c>
      <c r="G861" s="89">
        <f t="shared" si="41"/>
        <v>1</v>
      </c>
      <c r="H861" s="91" t="str">
        <f>INDEX('0.시간표데이터'!$E$10:$AR$32,QUOTIENT(ROW(A855)-1,40)+1,MOD(ROW(A855)-1,40)+1)</f>
        <v>_</v>
      </c>
      <c r="I861" s="82"/>
      <c r="J861" s="26"/>
      <c r="K861" s="165"/>
      <c r="L861" s="165"/>
      <c r="M861" s="166"/>
      <c r="N861" s="166"/>
      <c r="O861" s="166"/>
      <c r="P861" s="166"/>
      <c r="Q861" s="167"/>
      <c r="R861" s="111"/>
    </row>
    <row r="862" spans="1:18" hidden="1">
      <c r="A862" s="90">
        <v>856</v>
      </c>
      <c r="B862" s="24">
        <f>DATE('1.연간시수표'!$U$2,'1.연간시수표'!$X$2,'1.연간시수표'!$Z$2)+QUOTIENT(ROW(A856)-1,8)+(QUOTIENT(ROW(A856)-1,40)*2)</f>
        <v>44768</v>
      </c>
      <c r="C862" s="24" t="str">
        <f t="shared" si="39"/>
        <v>화</v>
      </c>
      <c r="D862" s="91" t="str">
        <f t="shared" si="40"/>
        <v>8교시</v>
      </c>
      <c r="E862" s="68">
        <f>COUNTIF($H$7:$H862,$H862)</f>
        <v>319</v>
      </c>
      <c r="F862" s="67">
        <f>'1.연간시수표'!$AL$33</f>
        <v>5</v>
      </c>
      <c r="G862" s="89">
        <f t="shared" si="41"/>
        <v>1</v>
      </c>
      <c r="H862" s="91" t="str">
        <f>INDEX('0.시간표데이터'!$E$10:$AR$32,QUOTIENT(ROW(A856)-1,40)+1,MOD(ROW(A856)-1,40)+1)</f>
        <v>_</v>
      </c>
      <c r="I862" s="82"/>
      <c r="J862" s="26"/>
      <c r="K862" s="165"/>
      <c r="L862" s="165"/>
      <c r="M862" s="166"/>
      <c r="N862" s="166"/>
      <c r="O862" s="166"/>
      <c r="P862" s="166"/>
      <c r="Q862" s="167"/>
      <c r="R862" s="111"/>
    </row>
    <row r="863" spans="1:18" hidden="1">
      <c r="A863" s="90">
        <v>857</v>
      </c>
      <c r="B863" s="24">
        <f>DATE('1.연간시수표'!$U$2,'1.연간시수표'!$X$2,'1.연간시수표'!$Z$2)+QUOTIENT(ROW(A857)-1,8)+(QUOTIENT(ROW(A857)-1,40)*2)</f>
        <v>44769</v>
      </c>
      <c r="C863" s="24" t="str">
        <f t="shared" si="39"/>
        <v>수</v>
      </c>
      <c r="D863" s="91" t="str">
        <f t="shared" si="40"/>
        <v>1교시</v>
      </c>
      <c r="E863" s="68">
        <f>COUNTIF($H$7:$H863,$H863)</f>
        <v>320</v>
      </c>
      <c r="F863" s="67">
        <f>'1.연간시수표'!$AL$33</f>
        <v>5</v>
      </c>
      <c r="G863" s="89">
        <f t="shared" si="41"/>
        <v>1</v>
      </c>
      <c r="H863" s="91" t="str">
        <f>INDEX('0.시간표데이터'!$E$10:$AR$32,QUOTIENT(ROW(A857)-1,40)+1,MOD(ROW(A857)-1,40)+1)</f>
        <v>_</v>
      </c>
      <c r="I863" s="77"/>
      <c r="J863" s="26"/>
      <c r="K863" s="165"/>
      <c r="L863" s="165"/>
      <c r="M863" s="166"/>
      <c r="N863" s="166"/>
      <c r="O863" s="166"/>
      <c r="P863" s="166"/>
      <c r="Q863" s="167"/>
      <c r="R863" s="111"/>
    </row>
    <row r="864" spans="1:18" hidden="1">
      <c r="A864" s="90">
        <v>858</v>
      </c>
      <c r="B864" s="24">
        <f>DATE('1.연간시수표'!$U$2,'1.연간시수표'!$X$2,'1.연간시수표'!$Z$2)+QUOTIENT(ROW(A858)-1,8)+(QUOTIENT(ROW(A858)-1,40)*2)</f>
        <v>44769</v>
      </c>
      <c r="C864" s="24" t="str">
        <f t="shared" si="39"/>
        <v>수</v>
      </c>
      <c r="D864" s="91" t="str">
        <f t="shared" si="40"/>
        <v>2교시</v>
      </c>
      <c r="E864" s="68">
        <f>COUNTIF($H$7:$H864,$H864)</f>
        <v>321</v>
      </c>
      <c r="F864" s="67">
        <f>'1.연간시수표'!$AL$33</f>
        <v>5</v>
      </c>
      <c r="G864" s="89">
        <f t="shared" si="41"/>
        <v>1</v>
      </c>
      <c r="H864" s="91" t="str">
        <f>INDEX('0.시간표데이터'!$E$10:$AR$32,QUOTIENT(ROW(A858)-1,40)+1,MOD(ROW(A858)-1,40)+1)</f>
        <v>_</v>
      </c>
      <c r="I864" s="77"/>
      <c r="J864" s="26"/>
      <c r="K864" s="165"/>
      <c r="L864" s="165"/>
      <c r="M864" s="166"/>
      <c r="N864" s="166"/>
      <c r="O864" s="166"/>
      <c r="P864" s="166"/>
      <c r="Q864" s="167"/>
      <c r="R864" s="111"/>
    </row>
    <row r="865" spans="1:18" hidden="1">
      <c r="A865" s="90">
        <v>859</v>
      </c>
      <c r="B865" s="24">
        <f>DATE('1.연간시수표'!$U$2,'1.연간시수표'!$X$2,'1.연간시수표'!$Z$2)+QUOTIENT(ROW(A859)-1,8)+(QUOTIENT(ROW(A859)-1,40)*2)</f>
        <v>44769</v>
      </c>
      <c r="C865" s="24" t="str">
        <f t="shared" si="39"/>
        <v>수</v>
      </c>
      <c r="D865" s="91" t="str">
        <f t="shared" si="40"/>
        <v>3교시</v>
      </c>
      <c r="E865" s="68">
        <f>COUNTIF($H$7:$H865,$H865)</f>
        <v>322</v>
      </c>
      <c r="F865" s="67">
        <f>'1.연간시수표'!$AL$33</f>
        <v>5</v>
      </c>
      <c r="G865" s="89">
        <f t="shared" si="41"/>
        <v>1</v>
      </c>
      <c r="H865" s="91" t="str">
        <f>INDEX('0.시간표데이터'!$E$10:$AR$32,QUOTIENT(ROW(A859)-1,40)+1,MOD(ROW(A859)-1,40)+1)</f>
        <v>_</v>
      </c>
      <c r="I865" s="77"/>
      <c r="J865" s="26"/>
      <c r="K865" s="165"/>
      <c r="L865" s="165"/>
      <c r="M865" s="166"/>
      <c r="N865" s="166"/>
      <c r="O865" s="166"/>
      <c r="P865" s="166"/>
      <c r="Q865" s="167"/>
      <c r="R865" s="111"/>
    </row>
    <row r="866" spans="1:18" hidden="1">
      <c r="A866" s="90">
        <v>860</v>
      </c>
      <c r="B866" s="24">
        <f>DATE('1.연간시수표'!$U$2,'1.연간시수표'!$X$2,'1.연간시수표'!$Z$2)+QUOTIENT(ROW(A860)-1,8)+(QUOTIENT(ROW(A860)-1,40)*2)</f>
        <v>44769</v>
      </c>
      <c r="C866" s="24" t="str">
        <f t="shared" si="39"/>
        <v>수</v>
      </c>
      <c r="D866" s="91" t="str">
        <f t="shared" si="40"/>
        <v>4교시</v>
      </c>
      <c r="E866" s="68">
        <f>COUNTIF($H$7:$H866,$H866)</f>
        <v>323</v>
      </c>
      <c r="F866" s="67">
        <f>'1.연간시수표'!$AL$33</f>
        <v>5</v>
      </c>
      <c r="G866" s="89">
        <f t="shared" si="41"/>
        <v>1</v>
      </c>
      <c r="H866" s="91" t="str">
        <f>INDEX('0.시간표데이터'!$E$10:$AR$32,QUOTIENT(ROW(A860)-1,40)+1,MOD(ROW(A860)-1,40)+1)</f>
        <v>_</v>
      </c>
      <c r="I866" s="77"/>
      <c r="J866" s="26"/>
      <c r="K866" s="165"/>
      <c r="L866" s="165"/>
      <c r="M866" s="166"/>
      <c r="N866" s="166"/>
      <c r="O866" s="166"/>
      <c r="P866" s="166"/>
      <c r="Q866" s="167"/>
      <c r="R866" s="111"/>
    </row>
    <row r="867" spans="1:18" hidden="1">
      <c r="A867" s="90">
        <v>861</v>
      </c>
      <c r="B867" s="24">
        <f>DATE('1.연간시수표'!$U$2,'1.연간시수표'!$X$2,'1.연간시수표'!$Z$2)+QUOTIENT(ROW(A861)-1,8)+(QUOTIENT(ROW(A861)-1,40)*2)</f>
        <v>44769</v>
      </c>
      <c r="C867" s="24" t="str">
        <f t="shared" si="39"/>
        <v>수</v>
      </c>
      <c r="D867" s="91" t="str">
        <f t="shared" si="40"/>
        <v>5교시</v>
      </c>
      <c r="E867" s="68">
        <f>COUNTIF($H$7:$H867,$H867)</f>
        <v>324</v>
      </c>
      <c r="F867" s="67">
        <f>'1.연간시수표'!$AL$33</f>
        <v>5</v>
      </c>
      <c r="G867" s="89">
        <f t="shared" si="41"/>
        <v>1</v>
      </c>
      <c r="H867" s="91" t="str">
        <f>INDEX('0.시간표데이터'!$E$10:$AR$32,QUOTIENT(ROW(A861)-1,40)+1,MOD(ROW(A861)-1,40)+1)</f>
        <v>_</v>
      </c>
      <c r="I867" s="77"/>
      <c r="J867" s="26"/>
      <c r="K867" s="165"/>
      <c r="L867" s="165"/>
      <c r="M867" s="166"/>
      <c r="N867" s="166"/>
      <c r="O867" s="166"/>
      <c r="P867" s="166"/>
      <c r="Q867" s="167"/>
      <c r="R867" s="111"/>
    </row>
    <row r="868" spans="1:18" hidden="1">
      <c r="A868" s="90">
        <v>862</v>
      </c>
      <c r="B868" s="24">
        <f>DATE('1.연간시수표'!$U$2,'1.연간시수표'!$X$2,'1.연간시수표'!$Z$2)+QUOTIENT(ROW(A862)-1,8)+(QUOTIENT(ROW(A862)-1,40)*2)</f>
        <v>44769</v>
      </c>
      <c r="C868" s="24" t="str">
        <f t="shared" si="39"/>
        <v>수</v>
      </c>
      <c r="D868" s="91" t="str">
        <f t="shared" si="40"/>
        <v>6교시</v>
      </c>
      <c r="E868" s="68">
        <f>COUNTIF($H$7:$H868,$H868)</f>
        <v>325</v>
      </c>
      <c r="F868" s="67">
        <f>'1.연간시수표'!$AL$33</f>
        <v>5</v>
      </c>
      <c r="G868" s="89">
        <f t="shared" si="41"/>
        <v>1</v>
      </c>
      <c r="H868" s="91" t="str">
        <f>INDEX('0.시간표데이터'!$E$10:$AR$32,QUOTIENT(ROW(A862)-1,40)+1,MOD(ROW(A862)-1,40)+1)</f>
        <v>_</v>
      </c>
      <c r="I868" s="77"/>
      <c r="J868" s="26"/>
      <c r="K868" s="165"/>
      <c r="L868" s="165"/>
      <c r="M868" s="166"/>
      <c r="N868" s="166"/>
      <c r="O868" s="166"/>
      <c r="P868" s="166"/>
      <c r="Q868" s="167"/>
      <c r="R868" s="111"/>
    </row>
    <row r="869" spans="1:18" hidden="1">
      <c r="A869" s="90">
        <v>863</v>
      </c>
      <c r="B869" s="24">
        <f>DATE('1.연간시수표'!$U$2,'1.연간시수표'!$X$2,'1.연간시수표'!$Z$2)+QUOTIENT(ROW(A863)-1,8)+(QUOTIENT(ROW(A863)-1,40)*2)</f>
        <v>44769</v>
      </c>
      <c r="C869" s="24" t="str">
        <f t="shared" si="39"/>
        <v>수</v>
      </c>
      <c r="D869" s="91" t="str">
        <f t="shared" si="40"/>
        <v>7교시</v>
      </c>
      <c r="E869" s="68">
        <f>COUNTIF($H$7:$H869,$H869)</f>
        <v>326</v>
      </c>
      <c r="F869" s="67">
        <f>'1.연간시수표'!$AL$33</f>
        <v>5</v>
      </c>
      <c r="G869" s="89">
        <f t="shared" si="41"/>
        <v>1</v>
      </c>
      <c r="H869" s="91" t="str">
        <f>INDEX('0.시간표데이터'!$E$10:$AR$32,QUOTIENT(ROW(A863)-1,40)+1,MOD(ROW(A863)-1,40)+1)</f>
        <v>_</v>
      </c>
      <c r="I869" s="82"/>
      <c r="J869" s="26"/>
      <c r="K869" s="165"/>
      <c r="L869" s="165"/>
      <c r="M869" s="166"/>
      <c r="N869" s="166"/>
      <c r="O869" s="166"/>
      <c r="P869" s="166"/>
      <c r="Q869" s="167"/>
      <c r="R869" s="111"/>
    </row>
    <row r="870" spans="1:18" hidden="1">
      <c r="A870" s="90">
        <v>864</v>
      </c>
      <c r="B870" s="24">
        <f>DATE('1.연간시수표'!$U$2,'1.연간시수표'!$X$2,'1.연간시수표'!$Z$2)+QUOTIENT(ROW(A864)-1,8)+(QUOTIENT(ROW(A864)-1,40)*2)</f>
        <v>44769</v>
      </c>
      <c r="C870" s="24" t="str">
        <f t="shared" si="39"/>
        <v>수</v>
      </c>
      <c r="D870" s="91" t="str">
        <f t="shared" si="40"/>
        <v>8교시</v>
      </c>
      <c r="E870" s="68">
        <f>COUNTIF($H$7:$H870,$H870)</f>
        <v>327</v>
      </c>
      <c r="F870" s="67">
        <f>'1.연간시수표'!$AL$33</f>
        <v>5</v>
      </c>
      <c r="G870" s="89">
        <f t="shared" si="41"/>
        <v>1</v>
      </c>
      <c r="H870" s="91" t="str">
        <f>INDEX('0.시간표데이터'!$E$10:$AR$32,QUOTIENT(ROW(A864)-1,40)+1,MOD(ROW(A864)-1,40)+1)</f>
        <v>_</v>
      </c>
      <c r="I870" s="82"/>
      <c r="J870" s="26"/>
      <c r="K870" s="165"/>
      <c r="L870" s="165"/>
      <c r="M870" s="166"/>
      <c r="N870" s="166"/>
      <c r="O870" s="166"/>
      <c r="P870" s="166"/>
      <c r="Q870" s="167"/>
      <c r="R870" s="111"/>
    </row>
    <row r="871" spans="1:18" hidden="1">
      <c r="A871" s="90">
        <v>865</v>
      </c>
      <c r="B871" s="24">
        <f>DATE('1.연간시수표'!$U$2,'1.연간시수표'!$X$2,'1.연간시수표'!$Z$2)+QUOTIENT(ROW(A865)-1,8)+(QUOTIENT(ROW(A865)-1,40)*2)</f>
        <v>44770</v>
      </c>
      <c r="C871" s="24" t="str">
        <f t="shared" si="39"/>
        <v>목</v>
      </c>
      <c r="D871" s="91" t="str">
        <f t="shared" si="40"/>
        <v>1교시</v>
      </c>
      <c r="E871" s="68">
        <f>COUNTIF($H$7:$H871,$H871)</f>
        <v>328</v>
      </c>
      <c r="F871" s="67">
        <f>'1.연간시수표'!$AL$33</f>
        <v>5</v>
      </c>
      <c r="G871" s="89">
        <f t="shared" si="41"/>
        <v>1</v>
      </c>
      <c r="H871" s="91" t="str">
        <f>INDEX('0.시간표데이터'!$E$10:$AR$32,QUOTIENT(ROW(A865)-1,40)+1,MOD(ROW(A865)-1,40)+1)</f>
        <v>_</v>
      </c>
      <c r="I871" s="77"/>
      <c r="J871" s="26"/>
      <c r="K871" s="165"/>
      <c r="L871" s="165"/>
      <c r="M871" s="166"/>
      <c r="N871" s="166"/>
      <c r="O871" s="166"/>
      <c r="P871" s="166"/>
      <c r="Q871" s="167"/>
      <c r="R871" s="111"/>
    </row>
    <row r="872" spans="1:18" hidden="1">
      <c r="A872" s="90">
        <v>866</v>
      </c>
      <c r="B872" s="24">
        <f>DATE('1.연간시수표'!$U$2,'1.연간시수표'!$X$2,'1.연간시수표'!$Z$2)+QUOTIENT(ROW(A866)-1,8)+(QUOTIENT(ROW(A866)-1,40)*2)</f>
        <v>44770</v>
      </c>
      <c r="C872" s="24" t="str">
        <f t="shared" si="39"/>
        <v>목</v>
      </c>
      <c r="D872" s="91" t="str">
        <f t="shared" si="40"/>
        <v>2교시</v>
      </c>
      <c r="E872" s="68">
        <f>COUNTIF($H$7:$H872,$H872)</f>
        <v>329</v>
      </c>
      <c r="F872" s="67">
        <f>'1.연간시수표'!$AL$33</f>
        <v>5</v>
      </c>
      <c r="G872" s="89">
        <f t="shared" si="41"/>
        <v>1</v>
      </c>
      <c r="H872" s="91" t="str">
        <f>INDEX('0.시간표데이터'!$E$10:$AR$32,QUOTIENT(ROW(A866)-1,40)+1,MOD(ROW(A866)-1,40)+1)</f>
        <v>_</v>
      </c>
      <c r="I872" s="161"/>
      <c r="J872" s="26"/>
      <c r="K872" s="165"/>
      <c r="L872" s="165"/>
      <c r="M872" s="166"/>
      <c r="N872" s="166"/>
      <c r="O872" s="166"/>
      <c r="P872" s="166"/>
      <c r="Q872" s="167"/>
      <c r="R872" s="111"/>
    </row>
    <row r="873" spans="1:18" hidden="1">
      <c r="A873" s="90">
        <v>867</v>
      </c>
      <c r="B873" s="24">
        <f>DATE('1.연간시수표'!$U$2,'1.연간시수표'!$X$2,'1.연간시수표'!$Z$2)+QUOTIENT(ROW(A867)-1,8)+(QUOTIENT(ROW(A867)-1,40)*2)</f>
        <v>44770</v>
      </c>
      <c r="C873" s="24" t="str">
        <f t="shared" si="39"/>
        <v>목</v>
      </c>
      <c r="D873" s="91" t="str">
        <f t="shared" si="40"/>
        <v>3교시</v>
      </c>
      <c r="E873" s="68">
        <f>COUNTIF($H$7:$H873,$H873)</f>
        <v>330</v>
      </c>
      <c r="F873" s="67">
        <f>'1.연간시수표'!$AL$33</f>
        <v>5</v>
      </c>
      <c r="G873" s="89">
        <f t="shared" si="41"/>
        <v>1</v>
      </c>
      <c r="H873" s="91" t="str">
        <f>INDEX('0.시간표데이터'!$E$10:$AR$32,QUOTIENT(ROW(A867)-1,40)+1,MOD(ROW(A867)-1,40)+1)</f>
        <v>_</v>
      </c>
      <c r="I873" s="77"/>
      <c r="J873" s="26"/>
      <c r="K873" s="165"/>
      <c r="L873" s="165"/>
      <c r="M873" s="166"/>
      <c r="N873" s="166"/>
      <c r="O873" s="166"/>
      <c r="P873" s="166"/>
      <c r="Q873" s="167"/>
      <c r="R873" s="111"/>
    </row>
    <row r="874" spans="1:18" hidden="1">
      <c r="A874" s="90">
        <v>868</v>
      </c>
      <c r="B874" s="24">
        <f>DATE('1.연간시수표'!$U$2,'1.연간시수표'!$X$2,'1.연간시수표'!$Z$2)+QUOTIENT(ROW(A868)-1,8)+(QUOTIENT(ROW(A868)-1,40)*2)</f>
        <v>44770</v>
      </c>
      <c r="C874" s="24" t="str">
        <f t="shared" si="39"/>
        <v>목</v>
      </c>
      <c r="D874" s="91" t="str">
        <f t="shared" si="40"/>
        <v>4교시</v>
      </c>
      <c r="E874" s="68">
        <f>COUNTIF($H$7:$H874,$H874)</f>
        <v>331</v>
      </c>
      <c r="F874" s="67">
        <f>'1.연간시수표'!$AL$33</f>
        <v>5</v>
      </c>
      <c r="G874" s="89">
        <f t="shared" si="41"/>
        <v>1</v>
      </c>
      <c r="H874" s="91" t="str">
        <f>INDEX('0.시간표데이터'!$E$10:$AR$32,QUOTIENT(ROW(A868)-1,40)+1,MOD(ROW(A868)-1,40)+1)</f>
        <v>_</v>
      </c>
      <c r="I874" s="77"/>
      <c r="J874" s="26"/>
      <c r="K874" s="165"/>
      <c r="L874" s="165"/>
      <c r="M874" s="166"/>
      <c r="N874" s="166"/>
      <c r="O874" s="166"/>
      <c r="P874" s="166"/>
      <c r="Q874" s="167"/>
      <c r="R874" s="111"/>
    </row>
    <row r="875" spans="1:18" hidden="1">
      <c r="A875" s="90">
        <v>869</v>
      </c>
      <c r="B875" s="24">
        <f>DATE('1.연간시수표'!$U$2,'1.연간시수표'!$X$2,'1.연간시수표'!$Z$2)+QUOTIENT(ROW(A869)-1,8)+(QUOTIENT(ROW(A869)-1,40)*2)</f>
        <v>44770</v>
      </c>
      <c r="C875" s="24" t="str">
        <f t="shared" si="39"/>
        <v>목</v>
      </c>
      <c r="D875" s="91" t="str">
        <f t="shared" si="40"/>
        <v>5교시</v>
      </c>
      <c r="E875" s="68">
        <f>COUNTIF($H$7:$H875,$H875)</f>
        <v>332</v>
      </c>
      <c r="F875" s="67">
        <f>'1.연간시수표'!$AL$33</f>
        <v>5</v>
      </c>
      <c r="G875" s="89">
        <f t="shared" si="41"/>
        <v>1</v>
      </c>
      <c r="H875" s="91" t="str">
        <f>INDEX('0.시간표데이터'!$E$10:$AR$32,QUOTIENT(ROW(A869)-1,40)+1,MOD(ROW(A869)-1,40)+1)</f>
        <v>_</v>
      </c>
      <c r="I875" s="77"/>
      <c r="J875" s="26"/>
      <c r="K875" s="165"/>
      <c r="L875" s="165"/>
      <c r="M875" s="166"/>
      <c r="N875" s="166"/>
      <c r="O875" s="166"/>
      <c r="P875" s="166"/>
      <c r="Q875" s="167"/>
      <c r="R875" s="111"/>
    </row>
    <row r="876" spans="1:18" hidden="1">
      <c r="A876" s="90">
        <v>870</v>
      </c>
      <c r="B876" s="24">
        <f>DATE('1.연간시수표'!$U$2,'1.연간시수표'!$X$2,'1.연간시수표'!$Z$2)+QUOTIENT(ROW(A870)-1,8)+(QUOTIENT(ROW(A870)-1,40)*2)</f>
        <v>44770</v>
      </c>
      <c r="C876" s="24" t="str">
        <f t="shared" si="39"/>
        <v>목</v>
      </c>
      <c r="D876" s="91" t="str">
        <f t="shared" si="40"/>
        <v>6교시</v>
      </c>
      <c r="E876" s="68">
        <f>COUNTIF($H$7:$H876,$H876)</f>
        <v>333</v>
      </c>
      <c r="F876" s="67">
        <f>'1.연간시수표'!$AL$33</f>
        <v>5</v>
      </c>
      <c r="G876" s="89">
        <f t="shared" si="41"/>
        <v>1</v>
      </c>
      <c r="H876" s="91" t="str">
        <f>INDEX('0.시간표데이터'!$E$10:$AR$32,QUOTIENT(ROW(A870)-1,40)+1,MOD(ROW(A870)-1,40)+1)</f>
        <v>_</v>
      </c>
      <c r="I876" s="161"/>
      <c r="J876" s="26"/>
      <c r="K876" s="165"/>
      <c r="L876" s="165"/>
      <c r="M876" s="166"/>
      <c r="N876" s="166"/>
      <c r="O876" s="166"/>
      <c r="P876" s="166"/>
      <c r="Q876" s="167"/>
      <c r="R876" s="111"/>
    </row>
    <row r="877" spans="1:18" hidden="1">
      <c r="A877" s="90">
        <v>871</v>
      </c>
      <c r="B877" s="24">
        <f>DATE('1.연간시수표'!$U$2,'1.연간시수표'!$X$2,'1.연간시수표'!$Z$2)+QUOTIENT(ROW(A871)-1,8)+(QUOTIENT(ROW(A871)-1,40)*2)</f>
        <v>44770</v>
      </c>
      <c r="C877" s="24" t="str">
        <f t="shared" si="39"/>
        <v>목</v>
      </c>
      <c r="D877" s="91" t="str">
        <f t="shared" si="40"/>
        <v>7교시</v>
      </c>
      <c r="E877" s="68">
        <f>COUNTIF($H$7:$H877,$H877)</f>
        <v>334</v>
      </c>
      <c r="F877" s="67">
        <f>'1.연간시수표'!$AL$33</f>
        <v>5</v>
      </c>
      <c r="G877" s="89">
        <f t="shared" si="41"/>
        <v>1</v>
      </c>
      <c r="H877" s="91" t="str">
        <f>INDEX('0.시간표데이터'!$E$10:$AR$32,QUOTIENT(ROW(A871)-1,40)+1,MOD(ROW(A871)-1,40)+1)</f>
        <v>_</v>
      </c>
      <c r="I877" s="82"/>
      <c r="J877" s="26"/>
      <c r="K877" s="165"/>
      <c r="L877" s="165"/>
      <c r="M877" s="166"/>
      <c r="N877" s="166"/>
      <c r="O877" s="166"/>
      <c r="P877" s="166"/>
      <c r="Q877" s="167"/>
      <c r="R877" s="111"/>
    </row>
    <row r="878" spans="1:18" hidden="1">
      <c r="A878" s="90">
        <v>872</v>
      </c>
      <c r="B878" s="24">
        <f>DATE('1.연간시수표'!$U$2,'1.연간시수표'!$X$2,'1.연간시수표'!$Z$2)+QUOTIENT(ROW(A872)-1,8)+(QUOTIENT(ROW(A872)-1,40)*2)</f>
        <v>44770</v>
      </c>
      <c r="C878" s="24" t="str">
        <f t="shared" si="39"/>
        <v>목</v>
      </c>
      <c r="D878" s="91" t="str">
        <f t="shared" si="40"/>
        <v>8교시</v>
      </c>
      <c r="E878" s="68">
        <f>COUNTIF($H$7:$H878,$H878)</f>
        <v>335</v>
      </c>
      <c r="F878" s="67">
        <f>'1.연간시수표'!$AL$33</f>
        <v>5</v>
      </c>
      <c r="G878" s="89">
        <f t="shared" si="41"/>
        <v>1</v>
      </c>
      <c r="H878" s="91" t="str">
        <f>INDEX('0.시간표데이터'!$E$10:$AR$32,QUOTIENT(ROW(A872)-1,40)+1,MOD(ROW(A872)-1,40)+1)</f>
        <v>_</v>
      </c>
      <c r="I878" s="82"/>
      <c r="J878" s="26"/>
      <c r="K878" s="165"/>
      <c r="L878" s="165"/>
      <c r="M878" s="166"/>
      <c r="N878" s="166"/>
      <c r="O878" s="166"/>
      <c r="P878" s="166"/>
      <c r="Q878" s="167"/>
      <c r="R878" s="111"/>
    </row>
    <row r="879" spans="1:18" hidden="1">
      <c r="A879" s="90">
        <v>873</v>
      </c>
      <c r="B879" s="24">
        <f>DATE('1.연간시수표'!$U$2,'1.연간시수표'!$X$2,'1.연간시수표'!$Z$2)+QUOTIENT(ROW(A873)-1,8)+(QUOTIENT(ROW(A873)-1,40)*2)</f>
        <v>44771</v>
      </c>
      <c r="C879" s="24" t="str">
        <f t="shared" si="39"/>
        <v>금</v>
      </c>
      <c r="D879" s="91" t="str">
        <f t="shared" si="40"/>
        <v>1교시</v>
      </c>
      <c r="E879" s="68">
        <f>COUNTIF($H$7:$H879,$H879)</f>
        <v>336</v>
      </c>
      <c r="F879" s="67">
        <f>'1.연간시수표'!$AL$33</f>
        <v>5</v>
      </c>
      <c r="G879" s="89">
        <f t="shared" si="41"/>
        <v>1</v>
      </c>
      <c r="H879" s="91" t="str">
        <f>INDEX('0.시간표데이터'!$E$10:$AR$32,QUOTIENT(ROW(A873)-1,40)+1,MOD(ROW(A873)-1,40)+1)</f>
        <v>_</v>
      </c>
      <c r="I879" s="77"/>
      <c r="J879" s="26"/>
      <c r="K879" s="165"/>
      <c r="L879" s="165"/>
      <c r="M879" s="166"/>
      <c r="N879" s="166"/>
      <c r="O879" s="166"/>
      <c r="P879" s="166"/>
      <c r="Q879" s="167"/>
      <c r="R879" s="111"/>
    </row>
    <row r="880" spans="1:18" hidden="1">
      <c r="A880" s="90">
        <v>874</v>
      </c>
      <c r="B880" s="24">
        <f>DATE('1.연간시수표'!$U$2,'1.연간시수표'!$X$2,'1.연간시수표'!$Z$2)+QUOTIENT(ROW(A874)-1,8)+(QUOTIENT(ROW(A874)-1,40)*2)</f>
        <v>44771</v>
      </c>
      <c r="C880" s="24" t="str">
        <f t="shared" si="39"/>
        <v>금</v>
      </c>
      <c r="D880" s="91" t="str">
        <f t="shared" si="40"/>
        <v>2교시</v>
      </c>
      <c r="E880" s="68">
        <f>COUNTIF($H$7:$H880,$H880)</f>
        <v>337</v>
      </c>
      <c r="F880" s="67">
        <f>'1.연간시수표'!$AL$33</f>
        <v>5</v>
      </c>
      <c r="G880" s="89">
        <f t="shared" si="41"/>
        <v>1</v>
      </c>
      <c r="H880" s="91" t="str">
        <f>INDEX('0.시간표데이터'!$E$10:$AR$32,QUOTIENT(ROW(A874)-1,40)+1,MOD(ROW(A874)-1,40)+1)</f>
        <v>_</v>
      </c>
      <c r="I880" s="77"/>
      <c r="J880" s="26"/>
      <c r="K880" s="165"/>
      <c r="L880" s="165"/>
      <c r="M880" s="166"/>
      <c r="N880" s="166"/>
      <c r="O880" s="166"/>
      <c r="P880" s="166"/>
      <c r="Q880" s="167"/>
      <c r="R880" s="111"/>
    </row>
    <row r="881" spans="1:18" hidden="1">
      <c r="A881" s="90">
        <v>875</v>
      </c>
      <c r="B881" s="24">
        <f>DATE('1.연간시수표'!$U$2,'1.연간시수표'!$X$2,'1.연간시수표'!$Z$2)+QUOTIENT(ROW(A875)-1,8)+(QUOTIENT(ROW(A875)-1,40)*2)</f>
        <v>44771</v>
      </c>
      <c r="C881" s="24" t="str">
        <f t="shared" si="39"/>
        <v>금</v>
      </c>
      <c r="D881" s="91" t="str">
        <f t="shared" si="40"/>
        <v>3교시</v>
      </c>
      <c r="E881" s="68">
        <f>COUNTIF($H$7:$H881,$H881)</f>
        <v>338</v>
      </c>
      <c r="F881" s="67">
        <f>'1.연간시수표'!$AL$33</f>
        <v>5</v>
      </c>
      <c r="G881" s="89">
        <f t="shared" si="41"/>
        <v>1</v>
      </c>
      <c r="H881" s="91" t="str">
        <f>INDEX('0.시간표데이터'!$E$10:$AR$32,QUOTIENT(ROW(A875)-1,40)+1,MOD(ROW(A875)-1,40)+1)</f>
        <v>_</v>
      </c>
      <c r="I881" s="77"/>
      <c r="J881" s="26"/>
      <c r="K881" s="165"/>
      <c r="L881" s="165"/>
      <c r="M881" s="166"/>
      <c r="N881" s="166"/>
      <c r="O881" s="166"/>
      <c r="P881" s="166"/>
      <c r="Q881" s="167"/>
      <c r="R881" s="111"/>
    </row>
    <row r="882" spans="1:18" hidden="1">
      <c r="A882" s="90">
        <v>876</v>
      </c>
      <c r="B882" s="24">
        <f>DATE('1.연간시수표'!$U$2,'1.연간시수표'!$X$2,'1.연간시수표'!$Z$2)+QUOTIENT(ROW(A876)-1,8)+(QUOTIENT(ROW(A876)-1,40)*2)</f>
        <v>44771</v>
      </c>
      <c r="C882" s="24" t="str">
        <f t="shared" si="39"/>
        <v>금</v>
      </c>
      <c r="D882" s="91" t="str">
        <f t="shared" si="40"/>
        <v>4교시</v>
      </c>
      <c r="E882" s="68">
        <f>COUNTIF($H$7:$H882,$H882)</f>
        <v>339</v>
      </c>
      <c r="F882" s="67">
        <f>'1.연간시수표'!$AL$33</f>
        <v>5</v>
      </c>
      <c r="G882" s="89">
        <f t="shared" si="41"/>
        <v>1</v>
      </c>
      <c r="H882" s="91" t="str">
        <f>INDEX('0.시간표데이터'!$E$10:$AR$32,QUOTIENT(ROW(A876)-1,40)+1,MOD(ROW(A876)-1,40)+1)</f>
        <v>_</v>
      </c>
      <c r="I882" s="77"/>
      <c r="J882" s="26"/>
      <c r="K882" s="165"/>
      <c r="L882" s="165"/>
      <c r="M882" s="166"/>
      <c r="N882" s="166"/>
      <c r="O882" s="166"/>
      <c r="P882" s="166"/>
      <c r="Q882" s="167"/>
      <c r="R882" s="111"/>
    </row>
    <row r="883" spans="1:18" hidden="1">
      <c r="A883" s="90">
        <v>877</v>
      </c>
      <c r="B883" s="24">
        <f>DATE('1.연간시수표'!$U$2,'1.연간시수표'!$X$2,'1.연간시수표'!$Z$2)+QUOTIENT(ROW(A877)-1,8)+(QUOTIENT(ROW(A877)-1,40)*2)</f>
        <v>44771</v>
      </c>
      <c r="C883" s="24" t="str">
        <f t="shared" si="39"/>
        <v>금</v>
      </c>
      <c r="D883" s="91" t="str">
        <f t="shared" si="40"/>
        <v>5교시</v>
      </c>
      <c r="E883" s="68">
        <f>COUNTIF($H$7:$H883,$H883)</f>
        <v>340</v>
      </c>
      <c r="F883" s="67">
        <f>'1.연간시수표'!$AL$33</f>
        <v>5</v>
      </c>
      <c r="G883" s="89">
        <f t="shared" si="41"/>
        <v>1</v>
      </c>
      <c r="H883" s="91" t="str">
        <f>INDEX('0.시간표데이터'!$E$10:$AR$32,QUOTIENT(ROW(A877)-1,40)+1,MOD(ROW(A877)-1,40)+1)</f>
        <v>_</v>
      </c>
      <c r="I883" s="77"/>
      <c r="J883" s="26"/>
      <c r="K883" s="165"/>
      <c r="L883" s="165"/>
      <c r="M883" s="166"/>
      <c r="N883" s="166"/>
      <c r="O883" s="166"/>
      <c r="P883" s="166"/>
      <c r="Q883" s="167"/>
      <c r="R883" s="111"/>
    </row>
    <row r="884" spans="1:18" hidden="1">
      <c r="A884" s="90">
        <v>878</v>
      </c>
      <c r="B884" s="24">
        <f>DATE('1.연간시수표'!$U$2,'1.연간시수표'!$X$2,'1.연간시수표'!$Z$2)+QUOTIENT(ROW(A878)-1,8)+(QUOTIENT(ROW(A878)-1,40)*2)</f>
        <v>44771</v>
      </c>
      <c r="C884" s="24" t="str">
        <f t="shared" si="39"/>
        <v>금</v>
      </c>
      <c r="D884" s="91" t="str">
        <f t="shared" si="40"/>
        <v>6교시</v>
      </c>
      <c r="E884" s="68">
        <f>COUNTIF($H$7:$H884,$H884)</f>
        <v>341</v>
      </c>
      <c r="F884" s="67">
        <f>'1.연간시수표'!$AL$33</f>
        <v>5</v>
      </c>
      <c r="G884" s="89">
        <f t="shared" si="41"/>
        <v>1</v>
      </c>
      <c r="H884" s="91" t="str">
        <f>INDEX('0.시간표데이터'!$E$10:$AR$32,QUOTIENT(ROW(A878)-1,40)+1,MOD(ROW(A878)-1,40)+1)</f>
        <v>_</v>
      </c>
      <c r="I884" s="77"/>
      <c r="J884" s="26"/>
      <c r="K884" s="165"/>
      <c r="L884" s="165"/>
      <c r="M884" s="166"/>
      <c r="N884" s="166"/>
      <c r="O884" s="166"/>
      <c r="P884" s="166"/>
      <c r="Q884" s="167"/>
      <c r="R884" s="111"/>
    </row>
    <row r="885" spans="1:18" hidden="1">
      <c r="A885" s="90">
        <v>879</v>
      </c>
      <c r="B885" s="24">
        <f>DATE('1.연간시수표'!$U$2,'1.연간시수표'!$X$2,'1.연간시수표'!$Z$2)+QUOTIENT(ROW(A879)-1,8)+(QUOTIENT(ROW(A879)-1,40)*2)</f>
        <v>44771</v>
      </c>
      <c r="C885" s="24" t="str">
        <f t="shared" si="39"/>
        <v>금</v>
      </c>
      <c r="D885" s="91" t="str">
        <f t="shared" si="40"/>
        <v>7교시</v>
      </c>
      <c r="E885" s="68">
        <f>COUNTIF($H$7:$H885,$H885)</f>
        <v>342</v>
      </c>
      <c r="F885" s="67">
        <f>'1.연간시수표'!$AL$33</f>
        <v>5</v>
      </c>
      <c r="G885" s="89">
        <f t="shared" si="41"/>
        <v>1</v>
      </c>
      <c r="H885" s="91" t="str">
        <f>INDEX('0.시간표데이터'!$E$10:$AR$32,QUOTIENT(ROW(A879)-1,40)+1,MOD(ROW(A879)-1,40)+1)</f>
        <v>_</v>
      </c>
      <c r="I885" s="82"/>
      <c r="J885" s="26"/>
      <c r="K885" s="165"/>
      <c r="L885" s="165"/>
      <c r="M885" s="166"/>
      <c r="N885" s="166"/>
      <c r="O885" s="166"/>
      <c r="P885" s="166"/>
      <c r="Q885" s="167"/>
      <c r="R885" s="111"/>
    </row>
    <row r="886" spans="1:18" hidden="1">
      <c r="A886" s="90">
        <v>880</v>
      </c>
      <c r="B886" s="24">
        <f>DATE('1.연간시수표'!$U$2,'1.연간시수표'!$X$2,'1.연간시수표'!$Z$2)+QUOTIENT(ROW(A880)-1,8)+(QUOTIENT(ROW(A880)-1,40)*2)</f>
        <v>44771</v>
      </c>
      <c r="C886" s="24" t="str">
        <f t="shared" si="39"/>
        <v>금</v>
      </c>
      <c r="D886" s="91" t="str">
        <f t="shared" si="40"/>
        <v>8교시</v>
      </c>
      <c r="E886" s="68">
        <f>COUNTIF($H$7:$H886,$H886)</f>
        <v>343</v>
      </c>
      <c r="F886" s="67">
        <f>'1.연간시수표'!$AL$33</f>
        <v>5</v>
      </c>
      <c r="G886" s="89">
        <f t="shared" si="41"/>
        <v>1</v>
      </c>
      <c r="H886" s="91" t="str">
        <f>INDEX('0.시간표데이터'!$E$10:$AR$32,QUOTIENT(ROW(A880)-1,40)+1,MOD(ROW(A880)-1,40)+1)</f>
        <v>_</v>
      </c>
      <c r="I886" s="82"/>
      <c r="J886" s="26"/>
      <c r="K886" s="165"/>
      <c r="L886" s="165"/>
      <c r="M886" s="166"/>
      <c r="N886" s="166"/>
      <c r="O886" s="166"/>
      <c r="P886" s="166"/>
      <c r="Q886" s="167"/>
      <c r="R886" s="111"/>
    </row>
    <row r="887" spans="1:18" hidden="1">
      <c r="A887" s="90">
        <v>881</v>
      </c>
      <c r="B887" s="24">
        <f>DATE('1.연간시수표'!$U$2,'1.연간시수표'!$X$2,'1.연간시수표'!$Z$2)+QUOTIENT(ROW(A881)-1,8)+(QUOTIENT(ROW(A881)-1,40)*2)</f>
        <v>44774</v>
      </c>
      <c r="C887" s="24" t="str">
        <f t="shared" si="39"/>
        <v>월</v>
      </c>
      <c r="D887" s="91" t="str">
        <f t="shared" si="40"/>
        <v>1교시</v>
      </c>
      <c r="E887" s="68">
        <f>COUNTIF($H$7:$H887,$H887)</f>
        <v>344</v>
      </c>
      <c r="F887" s="67">
        <f>'1.연간시수표'!$AL$33</f>
        <v>5</v>
      </c>
      <c r="G887" s="89">
        <f t="shared" si="41"/>
        <v>1</v>
      </c>
      <c r="H887" s="91" t="str">
        <f>INDEX('0.시간표데이터'!$E$10:$AR$32,QUOTIENT(ROW(A881)-1,40)+1,MOD(ROW(A881)-1,40)+1)</f>
        <v>_</v>
      </c>
      <c r="I887" s="77"/>
      <c r="J887" s="26"/>
      <c r="K887" s="165"/>
      <c r="L887" s="165"/>
      <c r="M887" s="166"/>
      <c r="N887" s="166"/>
      <c r="O887" s="166"/>
      <c r="P887" s="166"/>
      <c r="Q887" s="167"/>
      <c r="R887" s="111"/>
    </row>
    <row r="888" spans="1:18" hidden="1">
      <c r="A888" s="90">
        <v>882</v>
      </c>
      <c r="B888" s="24">
        <f>DATE('1.연간시수표'!$U$2,'1.연간시수표'!$X$2,'1.연간시수표'!$Z$2)+QUOTIENT(ROW(A882)-1,8)+(QUOTIENT(ROW(A882)-1,40)*2)</f>
        <v>44774</v>
      </c>
      <c r="C888" s="24" t="str">
        <f t="shared" si="39"/>
        <v>월</v>
      </c>
      <c r="D888" s="91" t="str">
        <f t="shared" si="40"/>
        <v>2교시</v>
      </c>
      <c r="E888" s="68">
        <f>COUNTIF($H$7:$H888,$H888)</f>
        <v>345</v>
      </c>
      <c r="F888" s="67">
        <f>'1.연간시수표'!$AL$33</f>
        <v>5</v>
      </c>
      <c r="G888" s="89">
        <f t="shared" si="41"/>
        <v>1</v>
      </c>
      <c r="H888" s="91" t="str">
        <f>INDEX('0.시간표데이터'!$E$10:$AR$32,QUOTIENT(ROW(A882)-1,40)+1,MOD(ROW(A882)-1,40)+1)</f>
        <v>_</v>
      </c>
      <c r="I888" s="161"/>
      <c r="J888" s="26"/>
      <c r="K888" s="165"/>
      <c r="L888" s="165"/>
      <c r="M888" s="166"/>
      <c r="N888" s="166"/>
      <c r="O888" s="166"/>
      <c r="P888" s="166"/>
      <c r="Q888" s="167"/>
      <c r="R888" s="111"/>
    </row>
    <row r="889" spans="1:18" hidden="1">
      <c r="A889" s="90">
        <v>883</v>
      </c>
      <c r="B889" s="24">
        <f>DATE('1.연간시수표'!$U$2,'1.연간시수표'!$X$2,'1.연간시수표'!$Z$2)+QUOTIENT(ROW(A883)-1,8)+(QUOTIENT(ROW(A883)-1,40)*2)</f>
        <v>44774</v>
      </c>
      <c r="C889" s="24" t="str">
        <f t="shared" si="39"/>
        <v>월</v>
      </c>
      <c r="D889" s="91" t="str">
        <f t="shared" si="40"/>
        <v>3교시</v>
      </c>
      <c r="E889" s="68">
        <f>COUNTIF($H$7:$H889,$H889)</f>
        <v>346</v>
      </c>
      <c r="F889" s="67">
        <f>'1.연간시수표'!$AL$33</f>
        <v>5</v>
      </c>
      <c r="G889" s="89">
        <f t="shared" si="41"/>
        <v>1</v>
      </c>
      <c r="H889" s="91" t="str">
        <f>INDEX('0.시간표데이터'!$E$10:$AR$32,QUOTIENT(ROW(A883)-1,40)+1,MOD(ROW(A883)-1,40)+1)</f>
        <v>_</v>
      </c>
      <c r="I889" s="77"/>
      <c r="J889" s="26"/>
      <c r="K889" s="165"/>
      <c r="L889" s="165"/>
      <c r="M889" s="166"/>
      <c r="N889" s="166"/>
      <c r="O889" s="166"/>
      <c r="P889" s="166"/>
      <c r="Q889" s="167"/>
      <c r="R889" s="111"/>
    </row>
    <row r="890" spans="1:18" hidden="1">
      <c r="A890" s="90">
        <v>884</v>
      </c>
      <c r="B890" s="24">
        <f>DATE('1.연간시수표'!$U$2,'1.연간시수표'!$X$2,'1.연간시수표'!$Z$2)+QUOTIENT(ROW(A884)-1,8)+(QUOTIENT(ROW(A884)-1,40)*2)</f>
        <v>44774</v>
      </c>
      <c r="C890" s="24" t="str">
        <f t="shared" si="39"/>
        <v>월</v>
      </c>
      <c r="D890" s="91" t="str">
        <f t="shared" si="40"/>
        <v>4교시</v>
      </c>
      <c r="E890" s="68">
        <f>COUNTIF($H$7:$H890,$H890)</f>
        <v>347</v>
      </c>
      <c r="F890" s="67">
        <f>'1.연간시수표'!$AL$33</f>
        <v>5</v>
      </c>
      <c r="G890" s="89">
        <f t="shared" si="41"/>
        <v>1</v>
      </c>
      <c r="H890" s="91" t="str">
        <f>INDEX('0.시간표데이터'!$E$10:$AR$32,QUOTIENT(ROW(A884)-1,40)+1,MOD(ROW(A884)-1,40)+1)</f>
        <v>_</v>
      </c>
      <c r="I890" s="77"/>
      <c r="J890" s="26"/>
      <c r="K890" s="165"/>
      <c r="L890" s="165"/>
      <c r="M890" s="166"/>
      <c r="N890" s="166"/>
      <c r="O890" s="166"/>
      <c r="P890" s="166"/>
      <c r="Q890" s="167"/>
      <c r="R890" s="111"/>
    </row>
    <row r="891" spans="1:18" hidden="1">
      <c r="A891" s="90">
        <v>885</v>
      </c>
      <c r="B891" s="24">
        <f>DATE('1.연간시수표'!$U$2,'1.연간시수표'!$X$2,'1.연간시수표'!$Z$2)+QUOTIENT(ROW(A885)-1,8)+(QUOTIENT(ROW(A885)-1,40)*2)</f>
        <v>44774</v>
      </c>
      <c r="C891" s="24" t="str">
        <f t="shared" si="39"/>
        <v>월</v>
      </c>
      <c r="D891" s="91" t="str">
        <f t="shared" si="40"/>
        <v>5교시</v>
      </c>
      <c r="E891" s="68">
        <f>COUNTIF($H$7:$H891,$H891)</f>
        <v>348</v>
      </c>
      <c r="F891" s="67">
        <f>'1.연간시수표'!$AL$33</f>
        <v>5</v>
      </c>
      <c r="G891" s="89">
        <f t="shared" si="41"/>
        <v>1</v>
      </c>
      <c r="H891" s="91" t="str">
        <f>INDEX('0.시간표데이터'!$E$10:$AR$32,QUOTIENT(ROW(A885)-1,40)+1,MOD(ROW(A885)-1,40)+1)</f>
        <v>_</v>
      </c>
      <c r="I891" s="77"/>
      <c r="J891" s="26"/>
      <c r="K891" s="165"/>
      <c r="L891" s="165"/>
      <c r="M891" s="166"/>
      <c r="N891" s="166"/>
      <c r="O891" s="166"/>
      <c r="P891" s="166"/>
      <c r="Q891" s="167"/>
      <c r="R891" s="111"/>
    </row>
    <row r="892" spans="1:18" hidden="1">
      <c r="A892" s="90">
        <v>886</v>
      </c>
      <c r="B892" s="24">
        <f>DATE('1.연간시수표'!$U$2,'1.연간시수표'!$X$2,'1.연간시수표'!$Z$2)+QUOTIENT(ROW(A886)-1,8)+(QUOTIENT(ROW(A886)-1,40)*2)</f>
        <v>44774</v>
      </c>
      <c r="C892" s="24" t="str">
        <f t="shared" si="39"/>
        <v>월</v>
      </c>
      <c r="D892" s="91" t="str">
        <f t="shared" si="40"/>
        <v>6교시</v>
      </c>
      <c r="E892" s="68">
        <f>COUNTIF($H$7:$H892,$H892)</f>
        <v>349</v>
      </c>
      <c r="F892" s="67">
        <f>'1.연간시수표'!$AL$33</f>
        <v>5</v>
      </c>
      <c r="G892" s="89">
        <f t="shared" si="41"/>
        <v>1</v>
      </c>
      <c r="H892" s="91" t="str">
        <f>INDEX('0.시간표데이터'!$E$10:$AR$32,QUOTIENT(ROW(A886)-1,40)+1,MOD(ROW(A886)-1,40)+1)</f>
        <v>_</v>
      </c>
      <c r="I892" s="77"/>
      <c r="J892" s="26"/>
      <c r="K892" s="165"/>
      <c r="L892" s="165"/>
      <c r="M892" s="166"/>
      <c r="N892" s="166"/>
      <c r="O892" s="166"/>
      <c r="P892" s="166"/>
      <c r="Q892" s="167"/>
      <c r="R892" s="111"/>
    </row>
    <row r="893" spans="1:18" hidden="1">
      <c r="A893" s="90">
        <v>887</v>
      </c>
      <c r="B893" s="24">
        <f>DATE('1.연간시수표'!$U$2,'1.연간시수표'!$X$2,'1.연간시수표'!$Z$2)+QUOTIENT(ROW(A887)-1,8)+(QUOTIENT(ROW(A887)-1,40)*2)</f>
        <v>44774</v>
      </c>
      <c r="C893" s="24" t="str">
        <f t="shared" si="39"/>
        <v>월</v>
      </c>
      <c r="D893" s="91" t="str">
        <f t="shared" si="40"/>
        <v>7교시</v>
      </c>
      <c r="E893" s="68">
        <f>COUNTIF($H$7:$H893,$H893)</f>
        <v>350</v>
      </c>
      <c r="F893" s="67">
        <f>'1.연간시수표'!$AL$33</f>
        <v>5</v>
      </c>
      <c r="G893" s="89">
        <f t="shared" si="41"/>
        <v>1</v>
      </c>
      <c r="H893" s="91" t="str">
        <f>INDEX('0.시간표데이터'!$E$10:$AR$32,QUOTIENT(ROW(A887)-1,40)+1,MOD(ROW(A887)-1,40)+1)</f>
        <v>_</v>
      </c>
      <c r="I893" s="76"/>
      <c r="J893" s="26"/>
      <c r="K893" s="165"/>
      <c r="L893" s="165"/>
      <c r="M893" s="166"/>
      <c r="N893" s="166"/>
      <c r="O893" s="166"/>
      <c r="P893" s="166"/>
      <c r="Q893" s="167"/>
      <c r="R893" s="111"/>
    </row>
    <row r="894" spans="1:18" hidden="1">
      <c r="A894" s="90">
        <v>888</v>
      </c>
      <c r="B894" s="24">
        <f>DATE('1.연간시수표'!$U$2,'1.연간시수표'!$X$2,'1.연간시수표'!$Z$2)+QUOTIENT(ROW(A888)-1,8)+(QUOTIENT(ROW(A888)-1,40)*2)</f>
        <v>44774</v>
      </c>
      <c r="C894" s="24" t="str">
        <f t="shared" si="39"/>
        <v>월</v>
      </c>
      <c r="D894" s="91" t="str">
        <f t="shared" si="40"/>
        <v>8교시</v>
      </c>
      <c r="E894" s="68">
        <f>COUNTIF($H$7:$H894,$H894)</f>
        <v>351</v>
      </c>
      <c r="F894" s="67">
        <f>'1.연간시수표'!$AL$33</f>
        <v>5</v>
      </c>
      <c r="G894" s="89">
        <f t="shared" si="41"/>
        <v>1</v>
      </c>
      <c r="H894" s="91" t="str">
        <f>INDEX('0.시간표데이터'!$E$10:$AR$32,QUOTIENT(ROW(A888)-1,40)+1,MOD(ROW(A888)-1,40)+1)</f>
        <v>_</v>
      </c>
      <c r="I894" s="76"/>
      <c r="J894" s="26"/>
      <c r="K894" s="165"/>
      <c r="L894" s="165"/>
      <c r="M894" s="166"/>
      <c r="N894" s="166"/>
      <c r="O894" s="166"/>
      <c r="P894" s="166"/>
      <c r="Q894" s="167"/>
      <c r="R894" s="111"/>
    </row>
    <row r="895" spans="1:18" hidden="1">
      <c r="A895" s="90">
        <v>889</v>
      </c>
      <c r="B895" s="24">
        <f>DATE('1.연간시수표'!$U$2,'1.연간시수표'!$X$2,'1.연간시수표'!$Z$2)+QUOTIENT(ROW(A889)-1,8)+(QUOTIENT(ROW(A889)-1,40)*2)</f>
        <v>44775</v>
      </c>
      <c r="C895" s="24" t="str">
        <f t="shared" si="39"/>
        <v>화</v>
      </c>
      <c r="D895" s="91" t="str">
        <f t="shared" si="40"/>
        <v>1교시</v>
      </c>
      <c r="E895" s="68">
        <f>COUNTIF($H$7:$H895,$H895)</f>
        <v>352</v>
      </c>
      <c r="F895" s="67">
        <f>'1.연간시수표'!$AL$33</f>
        <v>5</v>
      </c>
      <c r="G895" s="89">
        <f t="shared" si="41"/>
        <v>1</v>
      </c>
      <c r="H895" s="91" t="str">
        <f>INDEX('0.시간표데이터'!$E$10:$AR$32,QUOTIENT(ROW(A889)-1,40)+1,MOD(ROW(A889)-1,40)+1)</f>
        <v>_</v>
      </c>
      <c r="I895" s="77"/>
      <c r="J895" s="26"/>
      <c r="K895" s="165"/>
      <c r="L895" s="165"/>
      <c r="M895" s="166"/>
      <c r="N895" s="166"/>
      <c r="O895" s="166"/>
      <c r="P895" s="166"/>
      <c r="Q895" s="167"/>
      <c r="R895" s="111"/>
    </row>
    <row r="896" spans="1:18" hidden="1">
      <c r="A896" s="90">
        <v>890</v>
      </c>
      <c r="B896" s="24">
        <f>DATE('1.연간시수표'!$U$2,'1.연간시수표'!$X$2,'1.연간시수표'!$Z$2)+QUOTIENT(ROW(A890)-1,8)+(QUOTIENT(ROW(A890)-1,40)*2)</f>
        <v>44775</v>
      </c>
      <c r="C896" s="24" t="str">
        <f t="shared" si="39"/>
        <v>화</v>
      </c>
      <c r="D896" s="91" t="str">
        <f t="shared" si="40"/>
        <v>2교시</v>
      </c>
      <c r="E896" s="68">
        <f>COUNTIF($H$7:$H896,$H896)</f>
        <v>353</v>
      </c>
      <c r="F896" s="67">
        <f>'1.연간시수표'!$AL$33</f>
        <v>5</v>
      </c>
      <c r="G896" s="89">
        <f t="shared" si="41"/>
        <v>1</v>
      </c>
      <c r="H896" s="91" t="str">
        <f>INDEX('0.시간표데이터'!$E$10:$AR$32,QUOTIENT(ROW(A890)-1,40)+1,MOD(ROW(A890)-1,40)+1)</f>
        <v>_</v>
      </c>
      <c r="I896" s="161"/>
      <c r="J896" s="26"/>
      <c r="K896" s="165"/>
      <c r="L896" s="165"/>
      <c r="M896" s="166"/>
      <c r="N896" s="166"/>
      <c r="O896" s="166"/>
      <c r="P896" s="166"/>
      <c r="Q896" s="167"/>
      <c r="R896" s="111"/>
    </row>
    <row r="897" spans="1:18" hidden="1">
      <c r="A897" s="90">
        <v>891</v>
      </c>
      <c r="B897" s="24">
        <f>DATE('1.연간시수표'!$U$2,'1.연간시수표'!$X$2,'1.연간시수표'!$Z$2)+QUOTIENT(ROW(A891)-1,8)+(QUOTIENT(ROW(A891)-1,40)*2)</f>
        <v>44775</v>
      </c>
      <c r="C897" s="24" t="str">
        <f t="shared" si="39"/>
        <v>화</v>
      </c>
      <c r="D897" s="91" t="str">
        <f t="shared" si="40"/>
        <v>3교시</v>
      </c>
      <c r="E897" s="68">
        <f>COUNTIF($H$7:$H897,$H897)</f>
        <v>354</v>
      </c>
      <c r="F897" s="67">
        <f>'1.연간시수표'!$AL$33</f>
        <v>5</v>
      </c>
      <c r="G897" s="89">
        <f t="shared" si="41"/>
        <v>1</v>
      </c>
      <c r="H897" s="91" t="str">
        <f>INDEX('0.시간표데이터'!$E$10:$AR$32,QUOTIENT(ROW(A891)-1,40)+1,MOD(ROW(A891)-1,40)+1)</f>
        <v>_</v>
      </c>
      <c r="I897" s="77"/>
      <c r="J897" s="26"/>
      <c r="K897" s="165"/>
      <c r="L897" s="165"/>
      <c r="M897" s="166"/>
      <c r="N897" s="166"/>
      <c r="O897" s="166"/>
      <c r="P897" s="166"/>
      <c r="Q897" s="167"/>
      <c r="R897" s="111"/>
    </row>
    <row r="898" spans="1:18" hidden="1">
      <c r="A898" s="90">
        <v>892</v>
      </c>
      <c r="B898" s="24">
        <f>DATE('1.연간시수표'!$U$2,'1.연간시수표'!$X$2,'1.연간시수표'!$Z$2)+QUOTIENT(ROW(A892)-1,8)+(QUOTIENT(ROW(A892)-1,40)*2)</f>
        <v>44775</v>
      </c>
      <c r="C898" s="24" t="str">
        <f t="shared" si="39"/>
        <v>화</v>
      </c>
      <c r="D898" s="91" t="str">
        <f t="shared" si="40"/>
        <v>4교시</v>
      </c>
      <c r="E898" s="68">
        <f>COUNTIF($H$7:$H898,$H898)</f>
        <v>355</v>
      </c>
      <c r="F898" s="67">
        <f>'1.연간시수표'!$AL$33</f>
        <v>5</v>
      </c>
      <c r="G898" s="89">
        <f t="shared" si="41"/>
        <v>1</v>
      </c>
      <c r="H898" s="91" t="str">
        <f>INDEX('0.시간표데이터'!$E$10:$AR$32,QUOTIENT(ROW(A892)-1,40)+1,MOD(ROW(A892)-1,40)+1)</f>
        <v>_</v>
      </c>
      <c r="I898" s="77"/>
      <c r="J898" s="26"/>
      <c r="K898" s="165"/>
      <c r="L898" s="165"/>
      <c r="M898" s="166"/>
      <c r="N898" s="166"/>
      <c r="O898" s="166"/>
      <c r="P898" s="166"/>
      <c r="Q898" s="167"/>
      <c r="R898" s="111"/>
    </row>
    <row r="899" spans="1:18" hidden="1">
      <c r="A899" s="90">
        <v>893</v>
      </c>
      <c r="B899" s="24">
        <f>DATE('1.연간시수표'!$U$2,'1.연간시수표'!$X$2,'1.연간시수표'!$Z$2)+QUOTIENT(ROW(A893)-1,8)+(QUOTIENT(ROW(A893)-1,40)*2)</f>
        <v>44775</v>
      </c>
      <c r="C899" s="24" t="str">
        <f t="shared" si="39"/>
        <v>화</v>
      </c>
      <c r="D899" s="91" t="str">
        <f t="shared" si="40"/>
        <v>5교시</v>
      </c>
      <c r="E899" s="68">
        <f>COUNTIF($H$7:$H899,$H899)</f>
        <v>356</v>
      </c>
      <c r="F899" s="67">
        <f>'1.연간시수표'!$AL$33</f>
        <v>5</v>
      </c>
      <c r="G899" s="89">
        <f t="shared" si="41"/>
        <v>1</v>
      </c>
      <c r="H899" s="91" t="str">
        <f>INDEX('0.시간표데이터'!$E$10:$AR$32,QUOTIENT(ROW(A893)-1,40)+1,MOD(ROW(A893)-1,40)+1)</f>
        <v>_</v>
      </c>
      <c r="I899" s="77"/>
      <c r="J899" s="26"/>
      <c r="K899" s="165"/>
      <c r="L899" s="165"/>
      <c r="M899" s="166"/>
      <c r="N899" s="166"/>
      <c r="O899" s="166"/>
      <c r="P899" s="166"/>
      <c r="Q899" s="167"/>
      <c r="R899" s="111"/>
    </row>
    <row r="900" spans="1:18" hidden="1">
      <c r="A900" s="90">
        <v>894</v>
      </c>
      <c r="B900" s="24">
        <f>DATE('1.연간시수표'!$U$2,'1.연간시수표'!$X$2,'1.연간시수표'!$Z$2)+QUOTIENT(ROW(A894)-1,8)+(QUOTIENT(ROW(A894)-1,40)*2)</f>
        <v>44775</v>
      </c>
      <c r="C900" s="24" t="str">
        <f t="shared" si="39"/>
        <v>화</v>
      </c>
      <c r="D900" s="91" t="str">
        <f t="shared" si="40"/>
        <v>6교시</v>
      </c>
      <c r="E900" s="68">
        <f>COUNTIF($H$7:$H900,$H900)</f>
        <v>357</v>
      </c>
      <c r="F900" s="67">
        <f>'1.연간시수표'!$AL$33</f>
        <v>5</v>
      </c>
      <c r="G900" s="89">
        <f t="shared" si="41"/>
        <v>1</v>
      </c>
      <c r="H900" s="91" t="str">
        <f>INDEX('0.시간표데이터'!$E$10:$AR$32,QUOTIENT(ROW(A894)-1,40)+1,MOD(ROW(A894)-1,40)+1)</f>
        <v>_</v>
      </c>
      <c r="I900" s="77"/>
      <c r="J900" s="26"/>
      <c r="K900" s="165"/>
      <c r="L900" s="165"/>
      <c r="M900" s="166"/>
      <c r="N900" s="166"/>
      <c r="O900" s="166"/>
      <c r="P900" s="166"/>
      <c r="Q900" s="167"/>
      <c r="R900" s="111"/>
    </row>
    <row r="901" spans="1:18" hidden="1">
      <c r="A901" s="90">
        <v>895</v>
      </c>
      <c r="B901" s="24">
        <f>DATE('1.연간시수표'!$U$2,'1.연간시수표'!$X$2,'1.연간시수표'!$Z$2)+QUOTIENT(ROW(A895)-1,8)+(QUOTIENT(ROW(A895)-1,40)*2)</f>
        <v>44775</v>
      </c>
      <c r="C901" s="24" t="str">
        <f t="shared" si="39"/>
        <v>화</v>
      </c>
      <c r="D901" s="91" t="str">
        <f t="shared" si="40"/>
        <v>7교시</v>
      </c>
      <c r="E901" s="68">
        <f>COUNTIF($H$7:$H901,$H901)</f>
        <v>358</v>
      </c>
      <c r="F901" s="67">
        <f>'1.연간시수표'!$AL$33</f>
        <v>5</v>
      </c>
      <c r="G901" s="89">
        <f t="shared" si="41"/>
        <v>1</v>
      </c>
      <c r="H901" s="91" t="str">
        <f>INDEX('0.시간표데이터'!$E$10:$AR$32,QUOTIENT(ROW(A895)-1,40)+1,MOD(ROW(A895)-1,40)+1)</f>
        <v>_</v>
      </c>
      <c r="I901" s="76"/>
      <c r="J901" s="26"/>
      <c r="K901" s="165"/>
      <c r="L901" s="165"/>
      <c r="M901" s="166"/>
      <c r="N901" s="166"/>
      <c r="O901" s="166"/>
      <c r="P901" s="166"/>
      <c r="Q901" s="167"/>
      <c r="R901" s="111"/>
    </row>
    <row r="902" spans="1:18" hidden="1">
      <c r="A902" s="90">
        <v>896</v>
      </c>
      <c r="B902" s="24">
        <f>DATE('1.연간시수표'!$U$2,'1.연간시수표'!$X$2,'1.연간시수표'!$Z$2)+QUOTIENT(ROW(A896)-1,8)+(QUOTIENT(ROW(A896)-1,40)*2)</f>
        <v>44775</v>
      </c>
      <c r="C902" s="24" t="str">
        <f t="shared" si="39"/>
        <v>화</v>
      </c>
      <c r="D902" s="91" t="str">
        <f t="shared" si="40"/>
        <v>8교시</v>
      </c>
      <c r="E902" s="68">
        <f>COUNTIF($H$7:$H902,$H902)</f>
        <v>359</v>
      </c>
      <c r="F902" s="67">
        <f>'1.연간시수표'!$AL$33</f>
        <v>5</v>
      </c>
      <c r="G902" s="89">
        <f t="shared" si="41"/>
        <v>1</v>
      </c>
      <c r="H902" s="91" t="str">
        <f>INDEX('0.시간표데이터'!$E$10:$AR$32,QUOTIENT(ROW(A896)-1,40)+1,MOD(ROW(A896)-1,40)+1)</f>
        <v>_</v>
      </c>
      <c r="I902" s="76"/>
      <c r="J902" s="26"/>
      <c r="K902" s="165"/>
      <c r="L902" s="165"/>
      <c r="M902" s="166"/>
      <c r="N902" s="166"/>
      <c r="O902" s="166"/>
      <c r="P902" s="166"/>
      <c r="Q902" s="167"/>
      <c r="R902" s="111"/>
    </row>
    <row r="903" spans="1:18" hidden="1">
      <c r="A903" s="90">
        <v>897</v>
      </c>
      <c r="B903" s="24">
        <f>DATE('1.연간시수표'!$U$2,'1.연간시수표'!$X$2,'1.연간시수표'!$Z$2)+QUOTIENT(ROW(A897)-1,8)+(QUOTIENT(ROW(A897)-1,40)*2)</f>
        <v>44776</v>
      </c>
      <c r="C903" s="24" t="str">
        <f t="shared" ref="C903:C926" si="42">IF(WEEKDAY(B903,2)=1,"월",IF(WEEKDAY(B903,2)=2,"화",IF(WEEKDAY(B903,2)=3,"수",IF(WEEKDAY(B903,2)=4,"목",IF(WEEKDAY(B903,2)=5,"금")))))</f>
        <v>수</v>
      </c>
      <c r="D903" s="91" t="str">
        <f t="shared" ref="D903:D926" si="43">TEXT(MOD(ROW(A897)-1,8)+1,"#교시")</f>
        <v>1교시</v>
      </c>
      <c r="E903" s="68">
        <f>COUNTIF($H$7:$H903,$H903)</f>
        <v>360</v>
      </c>
      <c r="F903" s="67">
        <f>'1.연간시수표'!$AL$33</f>
        <v>5</v>
      </c>
      <c r="G903" s="89">
        <f t="shared" ref="G903:G926" si="44">$A$2</f>
        <v>1</v>
      </c>
      <c r="H903" s="91" t="str">
        <f>INDEX('0.시간표데이터'!$E$10:$AR$32,QUOTIENT(ROW(A897)-1,40)+1,MOD(ROW(A897)-1,40)+1)</f>
        <v>_</v>
      </c>
      <c r="I903" s="77"/>
      <c r="J903" s="26"/>
      <c r="K903" s="165"/>
      <c r="L903" s="165"/>
      <c r="M903" s="166"/>
      <c r="N903" s="166"/>
      <c r="O903" s="166"/>
      <c r="P903" s="166"/>
      <c r="Q903" s="167"/>
      <c r="R903" s="111"/>
    </row>
    <row r="904" spans="1:18" hidden="1">
      <c r="A904" s="90">
        <v>898</v>
      </c>
      <c r="B904" s="24">
        <f>DATE('1.연간시수표'!$U$2,'1.연간시수표'!$X$2,'1.연간시수표'!$Z$2)+QUOTIENT(ROW(A898)-1,8)+(QUOTIENT(ROW(A898)-1,40)*2)</f>
        <v>44776</v>
      </c>
      <c r="C904" s="24" t="str">
        <f t="shared" si="42"/>
        <v>수</v>
      </c>
      <c r="D904" s="91" t="str">
        <f t="shared" si="43"/>
        <v>2교시</v>
      </c>
      <c r="E904" s="68">
        <f>COUNTIF($H$7:$H904,$H904)</f>
        <v>361</v>
      </c>
      <c r="F904" s="67">
        <f>'1.연간시수표'!$AL$33</f>
        <v>5</v>
      </c>
      <c r="G904" s="89">
        <f t="shared" si="44"/>
        <v>1</v>
      </c>
      <c r="H904" s="91" t="str">
        <f>INDEX('0.시간표데이터'!$E$10:$AR$32,QUOTIENT(ROW(A898)-1,40)+1,MOD(ROW(A898)-1,40)+1)</f>
        <v>_</v>
      </c>
      <c r="I904" s="77"/>
      <c r="J904" s="26"/>
      <c r="K904" s="165"/>
      <c r="L904" s="165"/>
      <c r="M904" s="166"/>
      <c r="N904" s="166"/>
      <c r="O904" s="166"/>
      <c r="P904" s="166"/>
      <c r="Q904" s="167"/>
      <c r="R904" s="111"/>
    </row>
    <row r="905" spans="1:18" hidden="1">
      <c r="A905" s="90">
        <v>899</v>
      </c>
      <c r="B905" s="24">
        <f>DATE('1.연간시수표'!$U$2,'1.연간시수표'!$X$2,'1.연간시수표'!$Z$2)+QUOTIENT(ROW(A899)-1,8)+(QUOTIENT(ROW(A899)-1,40)*2)</f>
        <v>44776</v>
      </c>
      <c r="C905" s="24" t="str">
        <f t="shared" si="42"/>
        <v>수</v>
      </c>
      <c r="D905" s="91" t="str">
        <f t="shared" si="43"/>
        <v>3교시</v>
      </c>
      <c r="E905" s="68">
        <f>COUNTIF($H$7:$H905,$H905)</f>
        <v>362</v>
      </c>
      <c r="F905" s="67">
        <f>'1.연간시수표'!$AL$33</f>
        <v>5</v>
      </c>
      <c r="G905" s="89">
        <f t="shared" si="44"/>
        <v>1</v>
      </c>
      <c r="H905" s="91" t="str">
        <f>INDEX('0.시간표데이터'!$E$10:$AR$32,QUOTIENT(ROW(A899)-1,40)+1,MOD(ROW(A899)-1,40)+1)</f>
        <v>_</v>
      </c>
      <c r="I905" s="77"/>
      <c r="J905" s="26"/>
      <c r="K905" s="165"/>
      <c r="L905" s="165"/>
      <c r="M905" s="166"/>
      <c r="N905" s="166"/>
      <c r="O905" s="166"/>
      <c r="P905" s="166"/>
      <c r="Q905" s="167"/>
      <c r="R905" s="111"/>
    </row>
    <row r="906" spans="1:18" hidden="1">
      <c r="A906" s="90">
        <v>900</v>
      </c>
      <c r="B906" s="24">
        <f>DATE('1.연간시수표'!$U$2,'1.연간시수표'!$X$2,'1.연간시수표'!$Z$2)+QUOTIENT(ROW(A900)-1,8)+(QUOTIENT(ROW(A900)-1,40)*2)</f>
        <v>44776</v>
      </c>
      <c r="C906" s="24" t="str">
        <f t="shared" si="42"/>
        <v>수</v>
      </c>
      <c r="D906" s="91" t="str">
        <f t="shared" si="43"/>
        <v>4교시</v>
      </c>
      <c r="E906" s="68">
        <f>COUNTIF($H$7:$H906,$H906)</f>
        <v>363</v>
      </c>
      <c r="F906" s="67">
        <f>'1.연간시수표'!$AL$33</f>
        <v>5</v>
      </c>
      <c r="G906" s="89">
        <f t="shared" si="44"/>
        <v>1</v>
      </c>
      <c r="H906" s="91" t="str">
        <f>INDEX('0.시간표데이터'!$E$10:$AR$32,QUOTIENT(ROW(A900)-1,40)+1,MOD(ROW(A900)-1,40)+1)</f>
        <v>_</v>
      </c>
      <c r="I906" s="77"/>
      <c r="J906" s="26"/>
      <c r="K906" s="165"/>
      <c r="L906" s="165"/>
      <c r="M906" s="166"/>
      <c r="N906" s="166"/>
      <c r="O906" s="166"/>
      <c r="P906" s="166"/>
      <c r="Q906" s="167"/>
      <c r="R906" s="111"/>
    </row>
    <row r="907" spans="1:18" hidden="1">
      <c r="A907" s="90">
        <v>901</v>
      </c>
      <c r="B907" s="24">
        <f>DATE('1.연간시수표'!$U$2,'1.연간시수표'!$X$2,'1.연간시수표'!$Z$2)+QUOTIENT(ROW(A901)-1,8)+(QUOTIENT(ROW(A901)-1,40)*2)</f>
        <v>44776</v>
      </c>
      <c r="C907" s="24" t="str">
        <f t="shared" si="42"/>
        <v>수</v>
      </c>
      <c r="D907" s="91" t="str">
        <f t="shared" si="43"/>
        <v>5교시</v>
      </c>
      <c r="E907" s="68">
        <f>COUNTIF($H$7:$H907,$H907)</f>
        <v>364</v>
      </c>
      <c r="F907" s="67">
        <f>'1.연간시수표'!$AL$33</f>
        <v>5</v>
      </c>
      <c r="G907" s="89">
        <f t="shared" si="44"/>
        <v>1</v>
      </c>
      <c r="H907" s="91" t="str">
        <f>INDEX('0.시간표데이터'!$E$10:$AR$32,QUOTIENT(ROW(A901)-1,40)+1,MOD(ROW(A901)-1,40)+1)</f>
        <v>_</v>
      </c>
      <c r="I907" s="77"/>
      <c r="J907" s="26"/>
      <c r="K907" s="165"/>
      <c r="L907" s="165"/>
      <c r="M907" s="166"/>
      <c r="N907" s="166"/>
      <c r="O907" s="166"/>
      <c r="P907" s="166"/>
      <c r="Q907" s="167"/>
      <c r="R907" s="111"/>
    </row>
    <row r="908" spans="1:18" hidden="1">
      <c r="A908" s="90">
        <v>902</v>
      </c>
      <c r="B908" s="24">
        <f>DATE('1.연간시수표'!$U$2,'1.연간시수표'!$X$2,'1.연간시수표'!$Z$2)+QUOTIENT(ROW(A902)-1,8)+(QUOTIENT(ROW(A902)-1,40)*2)</f>
        <v>44776</v>
      </c>
      <c r="C908" s="24" t="str">
        <f t="shared" si="42"/>
        <v>수</v>
      </c>
      <c r="D908" s="91" t="str">
        <f t="shared" si="43"/>
        <v>6교시</v>
      </c>
      <c r="E908" s="68">
        <f>COUNTIF($H$7:$H908,$H908)</f>
        <v>365</v>
      </c>
      <c r="F908" s="67">
        <f>'1.연간시수표'!$AL$33</f>
        <v>5</v>
      </c>
      <c r="G908" s="89">
        <f t="shared" si="44"/>
        <v>1</v>
      </c>
      <c r="H908" s="91" t="str">
        <f>INDEX('0.시간표데이터'!$E$10:$AR$32,QUOTIENT(ROW(A902)-1,40)+1,MOD(ROW(A902)-1,40)+1)</f>
        <v>_</v>
      </c>
      <c r="I908" s="77"/>
      <c r="J908" s="26"/>
      <c r="K908" s="165"/>
      <c r="L908" s="165"/>
      <c r="M908" s="166"/>
      <c r="N908" s="166"/>
      <c r="O908" s="166"/>
      <c r="P908" s="166"/>
      <c r="Q908" s="167"/>
      <c r="R908" s="111"/>
    </row>
    <row r="909" spans="1:18" hidden="1">
      <c r="A909" s="90">
        <v>903</v>
      </c>
      <c r="B909" s="24">
        <f>DATE('1.연간시수표'!$U$2,'1.연간시수표'!$X$2,'1.연간시수표'!$Z$2)+QUOTIENT(ROW(A903)-1,8)+(QUOTIENT(ROW(A903)-1,40)*2)</f>
        <v>44776</v>
      </c>
      <c r="C909" s="24" t="str">
        <f t="shared" si="42"/>
        <v>수</v>
      </c>
      <c r="D909" s="91" t="str">
        <f t="shared" si="43"/>
        <v>7교시</v>
      </c>
      <c r="E909" s="68">
        <f>COUNTIF($H$7:$H909,$H909)</f>
        <v>366</v>
      </c>
      <c r="F909" s="67">
        <f>'1.연간시수표'!$AL$33</f>
        <v>5</v>
      </c>
      <c r="G909" s="89">
        <f t="shared" si="44"/>
        <v>1</v>
      </c>
      <c r="H909" s="91" t="str">
        <f>INDEX('0.시간표데이터'!$E$10:$AR$32,QUOTIENT(ROW(A903)-1,40)+1,MOD(ROW(A903)-1,40)+1)</f>
        <v>_</v>
      </c>
      <c r="I909" s="76"/>
      <c r="J909" s="26"/>
      <c r="K909" s="165"/>
      <c r="L909" s="165"/>
      <c r="M909" s="166"/>
      <c r="N909" s="166"/>
      <c r="O909" s="166"/>
      <c r="P909" s="166"/>
      <c r="Q909" s="167"/>
      <c r="R909" s="111"/>
    </row>
    <row r="910" spans="1:18" hidden="1">
      <c r="A910" s="90">
        <v>904</v>
      </c>
      <c r="B910" s="24">
        <f>DATE('1.연간시수표'!$U$2,'1.연간시수표'!$X$2,'1.연간시수표'!$Z$2)+QUOTIENT(ROW(A904)-1,8)+(QUOTIENT(ROW(A904)-1,40)*2)</f>
        <v>44776</v>
      </c>
      <c r="C910" s="24" t="str">
        <f t="shared" si="42"/>
        <v>수</v>
      </c>
      <c r="D910" s="91" t="str">
        <f t="shared" si="43"/>
        <v>8교시</v>
      </c>
      <c r="E910" s="68">
        <f>COUNTIF($H$7:$H910,$H910)</f>
        <v>367</v>
      </c>
      <c r="F910" s="67">
        <f>'1.연간시수표'!$AL$33</f>
        <v>5</v>
      </c>
      <c r="G910" s="89">
        <f t="shared" si="44"/>
        <v>1</v>
      </c>
      <c r="H910" s="91" t="str">
        <f>INDEX('0.시간표데이터'!$E$10:$AR$32,QUOTIENT(ROW(A904)-1,40)+1,MOD(ROW(A904)-1,40)+1)</f>
        <v>_</v>
      </c>
      <c r="I910" s="76"/>
      <c r="J910" s="26"/>
      <c r="K910" s="165"/>
      <c r="L910" s="165"/>
      <c r="M910" s="166"/>
      <c r="N910" s="166"/>
      <c r="O910" s="166"/>
      <c r="P910" s="166"/>
      <c r="Q910" s="167"/>
      <c r="R910" s="111"/>
    </row>
    <row r="911" spans="1:18" hidden="1">
      <c r="A911" s="90">
        <v>905</v>
      </c>
      <c r="B911" s="24">
        <f>DATE('1.연간시수표'!$U$2,'1.연간시수표'!$X$2,'1.연간시수표'!$Z$2)+QUOTIENT(ROW(A905)-1,8)+(QUOTIENT(ROW(A905)-1,40)*2)</f>
        <v>44777</v>
      </c>
      <c r="C911" s="24" t="str">
        <f t="shared" si="42"/>
        <v>목</v>
      </c>
      <c r="D911" s="91" t="str">
        <f t="shared" si="43"/>
        <v>1교시</v>
      </c>
      <c r="E911" s="68">
        <f>COUNTIF($H$7:$H911,$H911)</f>
        <v>368</v>
      </c>
      <c r="F911" s="67">
        <f>'1.연간시수표'!$AL$33</f>
        <v>5</v>
      </c>
      <c r="G911" s="89">
        <f t="shared" si="44"/>
        <v>1</v>
      </c>
      <c r="H911" s="91" t="str">
        <f>INDEX('0.시간표데이터'!$E$10:$AR$32,QUOTIENT(ROW(A905)-1,40)+1,MOD(ROW(A905)-1,40)+1)</f>
        <v>_</v>
      </c>
      <c r="I911" s="77"/>
      <c r="J911" s="26"/>
      <c r="K911" s="165"/>
      <c r="L911" s="165"/>
      <c r="M911" s="166"/>
      <c r="N911" s="166"/>
      <c r="O911" s="166"/>
      <c r="P911" s="166"/>
      <c r="Q911" s="167"/>
      <c r="R911" s="111"/>
    </row>
    <row r="912" spans="1:18" hidden="1">
      <c r="A912" s="90">
        <v>906</v>
      </c>
      <c r="B912" s="24">
        <f>DATE('1.연간시수표'!$U$2,'1.연간시수표'!$X$2,'1.연간시수표'!$Z$2)+QUOTIENT(ROW(A906)-1,8)+(QUOTIENT(ROW(A906)-1,40)*2)</f>
        <v>44777</v>
      </c>
      <c r="C912" s="24" t="str">
        <f t="shared" si="42"/>
        <v>목</v>
      </c>
      <c r="D912" s="91" t="str">
        <f t="shared" si="43"/>
        <v>2교시</v>
      </c>
      <c r="E912" s="68">
        <f>COUNTIF($H$7:$H912,$H912)</f>
        <v>369</v>
      </c>
      <c r="F912" s="67">
        <f>'1.연간시수표'!$AL$33</f>
        <v>5</v>
      </c>
      <c r="G912" s="89">
        <f t="shared" si="44"/>
        <v>1</v>
      </c>
      <c r="H912" s="91" t="str">
        <f>INDEX('0.시간표데이터'!$E$10:$AR$32,QUOTIENT(ROW(A906)-1,40)+1,MOD(ROW(A906)-1,40)+1)</f>
        <v>_</v>
      </c>
      <c r="I912" s="161"/>
      <c r="J912" s="26"/>
      <c r="K912" s="165"/>
      <c r="L912" s="165"/>
      <c r="M912" s="166"/>
      <c r="N912" s="166"/>
      <c r="O912" s="166"/>
      <c r="P912" s="166"/>
      <c r="Q912" s="167"/>
      <c r="R912" s="111"/>
    </row>
    <row r="913" spans="1:18" hidden="1">
      <c r="A913" s="90">
        <v>907</v>
      </c>
      <c r="B913" s="24">
        <f>DATE('1.연간시수표'!$U$2,'1.연간시수표'!$X$2,'1.연간시수표'!$Z$2)+QUOTIENT(ROW(A907)-1,8)+(QUOTIENT(ROW(A907)-1,40)*2)</f>
        <v>44777</v>
      </c>
      <c r="C913" s="24" t="str">
        <f t="shared" si="42"/>
        <v>목</v>
      </c>
      <c r="D913" s="91" t="str">
        <f t="shared" si="43"/>
        <v>3교시</v>
      </c>
      <c r="E913" s="68">
        <f>COUNTIF($H$7:$H913,$H913)</f>
        <v>370</v>
      </c>
      <c r="F913" s="67">
        <f>'1.연간시수표'!$AL$33</f>
        <v>5</v>
      </c>
      <c r="G913" s="89">
        <f t="shared" si="44"/>
        <v>1</v>
      </c>
      <c r="H913" s="91" t="str">
        <f>INDEX('0.시간표데이터'!$E$10:$AR$32,QUOTIENT(ROW(A907)-1,40)+1,MOD(ROW(A907)-1,40)+1)</f>
        <v>_</v>
      </c>
      <c r="I913" s="77"/>
      <c r="J913" s="26"/>
      <c r="K913" s="165"/>
      <c r="L913" s="165"/>
      <c r="M913" s="166"/>
      <c r="N913" s="166"/>
      <c r="O913" s="166"/>
      <c r="P913" s="166"/>
      <c r="Q913" s="167"/>
      <c r="R913" s="111"/>
    </row>
    <row r="914" spans="1:18" hidden="1">
      <c r="A914" s="90">
        <v>908</v>
      </c>
      <c r="B914" s="24">
        <f>DATE('1.연간시수표'!$U$2,'1.연간시수표'!$X$2,'1.연간시수표'!$Z$2)+QUOTIENT(ROW(A908)-1,8)+(QUOTIENT(ROW(A908)-1,40)*2)</f>
        <v>44777</v>
      </c>
      <c r="C914" s="24" t="str">
        <f t="shared" si="42"/>
        <v>목</v>
      </c>
      <c r="D914" s="91" t="str">
        <f t="shared" si="43"/>
        <v>4교시</v>
      </c>
      <c r="E914" s="68">
        <f>COUNTIF($H$7:$H914,$H914)</f>
        <v>371</v>
      </c>
      <c r="F914" s="67">
        <f>'1.연간시수표'!$AL$33</f>
        <v>5</v>
      </c>
      <c r="G914" s="89">
        <f t="shared" si="44"/>
        <v>1</v>
      </c>
      <c r="H914" s="91" t="str">
        <f>INDEX('0.시간표데이터'!$E$10:$AR$32,QUOTIENT(ROW(A908)-1,40)+1,MOD(ROW(A908)-1,40)+1)</f>
        <v>_</v>
      </c>
      <c r="I914" s="77"/>
      <c r="J914" s="26"/>
      <c r="K914" s="165"/>
      <c r="L914" s="165"/>
      <c r="M914" s="166"/>
      <c r="N914" s="166"/>
      <c r="O914" s="166"/>
      <c r="P914" s="166"/>
      <c r="Q914" s="167"/>
      <c r="R914" s="111"/>
    </row>
    <row r="915" spans="1:18" hidden="1">
      <c r="A915" s="90">
        <v>909</v>
      </c>
      <c r="B915" s="24">
        <f>DATE('1.연간시수표'!$U$2,'1.연간시수표'!$X$2,'1.연간시수표'!$Z$2)+QUOTIENT(ROW(A909)-1,8)+(QUOTIENT(ROW(A909)-1,40)*2)</f>
        <v>44777</v>
      </c>
      <c r="C915" s="24" t="str">
        <f t="shared" si="42"/>
        <v>목</v>
      </c>
      <c r="D915" s="91" t="str">
        <f t="shared" si="43"/>
        <v>5교시</v>
      </c>
      <c r="E915" s="68">
        <f>COUNTIF($H$7:$H915,$H915)</f>
        <v>372</v>
      </c>
      <c r="F915" s="67">
        <f>'1.연간시수표'!$AL$33</f>
        <v>5</v>
      </c>
      <c r="G915" s="89">
        <f t="shared" si="44"/>
        <v>1</v>
      </c>
      <c r="H915" s="91" t="str">
        <f>INDEX('0.시간표데이터'!$E$10:$AR$32,QUOTIENT(ROW(A909)-1,40)+1,MOD(ROW(A909)-1,40)+1)</f>
        <v>_</v>
      </c>
      <c r="I915" s="77"/>
      <c r="J915" s="26"/>
      <c r="K915" s="165"/>
      <c r="L915" s="165"/>
      <c r="M915" s="166"/>
      <c r="N915" s="166"/>
      <c r="O915" s="166"/>
      <c r="P915" s="166"/>
      <c r="Q915" s="167"/>
      <c r="R915" s="111"/>
    </row>
    <row r="916" spans="1:18" hidden="1">
      <c r="A916" s="90">
        <v>910</v>
      </c>
      <c r="B916" s="24">
        <f>DATE('1.연간시수표'!$U$2,'1.연간시수표'!$X$2,'1.연간시수표'!$Z$2)+QUOTIENT(ROW(A910)-1,8)+(QUOTIENT(ROW(A910)-1,40)*2)</f>
        <v>44777</v>
      </c>
      <c r="C916" s="24" t="str">
        <f t="shared" si="42"/>
        <v>목</v>
      </c>
      <c r="D916" s="91" t="str">
        <f t="shared" si="43"/>
        <v>6교시</v>
      </c>
      <c r="E916" s="68">
        <f>COUNTIF($H$7:$H916,$H916)</f>
        <v>373</v>
      </c>
      <c r="F916" s="67">
        <f>'1.연간시수표'!$AL$33</f>
        <v>5</v>
      </c>
      <c r="G916" s="89">
        <f t="shared" si="44"/>
        <v>1</v>
      </c>
      <c r="H916" s="91" t="str">
        <f>INDEX('0.시간표데이터'!$E$10:$AR$32,QUOTIENT(ROW(A910)-1,40)+1,MOD(ROW(A910)-1,40)+1)</f>
        <v>_</v>
      </c>
      <c r="I916" s="161"/>
      <c r="J916" s="26"/>
      <c r="K916" s="165"/>
      <c r="L916" s="165"/>
      <c r="M916" s="166"/>
      <c r="N916" s="166"/>
      <c r="O916" s="166"/>
      <c r="P916" s="166"/>
      <c r="Q916" s="167"/>
      <c r="R916" s="111"/>
    </row>
    <row r="917" spans="1:18" hidden="1">
      <c r="A917" s="90">
        <v>911</v>
      </c>
      <c r="B917" s="24">
        <f>DATE('1.연간시수표'!$U$2,'1.연간시수표'!$X$2,'1.연간시수표'!$Z$2)+QUOTIENT(ROW(A911)-1,8)+(QUOTIENT(ROW(A911)-1,40)*2)</f>
        <v>44777</v>
      </c>
      <c r="C917" s="24" t="str">
        <f t="shared" si="42"/>
        <v>목</v>
      </c>
      <c r="D917" s="91" t="str">
        <f t="shared" si="43"/>
        <v>7교시</v>
      </c>
      <c r="E917" s="68">
        <f>COUNTIF($H$7:$H917,$H917)</f>
        <v>374</v>
      </c>
      <c r="F917" s="67">
        <f>'1.연간시수표'!$AL$33</f>
        <v>5</v>
      </c>
      <c r="G917" s="89">
        <f t="shared" si="44"/>
        <v>1</v>
      </c>
      <c r="H917" s="91" t="str">
        <f>INDEX('0.시간표데이터'!$E$10:$AR$32,QUOTIENT(ROW(A911)-1,40)+1,MOD(ROW(A911)-1,40)+1)</f>
        <v>_</v>
      </c>
      <c r="I917" s="76"/>
      <c r="J917" s="26"/>
      <c r="K917" s="165"/>
      <c r="L917" s="165"/>
      <c r="M917" s="166"/>
      <c r="N917" s="166"/>
      <c r="O917" s="166"/>
      <c r="P917" s="166"/>
      <c r="Q917" s="167"/>
      <c r="R917" s="111"/>
    </row>
    <row r="918" spans="1:18" hidden="1">
      <c r="A918" s="90">
        <v>912</v>
      </c>
      <c r="B918" s="24">
        <f>DATE('1.연간시수표'!$U$2,'1.연간시수표'!$X$2,'1.연간시수표'!$Z$2)+QUOTIENT(ROW(A912)-1,8)+(QUOTIENT(ROW(A912)-1,40)*2)</f>
        <v>44777</v>
      </c>
      <c r="C918" s="24" t="str">
        <f t="shared" si="42"/>
        <v>목</v>
      </c>
      <c r="D918" s="91" t="str">
        <f t="shared" si="43"/>
        <v>8교시</v>
      </c>
      <c r="E918" s="68">
        <f>COUNTIF($H$7:$H918,$H918)</f>
        <v>375</v>
      </c>
      <c r="F918" s="67">
        <f>'1.연간시수표'!$AL$33</f>
        <v>5</v>
      </c>
      <c r="G918" s="89">
        <f t="shared" si="44"/>
        <v>1</v>
      </c>
      <c r="H918" s="91" t="str">
        <f>INDEX('0.시간표데이터'!$E$10:$AR$32,QUOTIENT(ROW(A912)-1,40)+1,MOD(ROW(A912)-1,40)+1)</f>
        <v>_</v>
      </c>
      <c r="I918" s="76"/>
      <c r="J918" s="26"/>
      <c r="K918" s="165"/>
      <c r="L918" s="165"/>
      <c r="M918" s="166"/>
      <c r="N918" s="166"/>
      <c r="O918" s="166"/>
      <c r="P918" s="166"/>
      <c r="Q918" s="167"/>
      <c r="R918" s="111"/>
    </row>
    <row r="919" spans="1:18" hidden="1">
      <c r="A919" s="90">
        <v>913</v>
      </c>
      <c r="B919" s="24">
        <f>DATE('1.연간시수표'!$U$2,'1.연간시수표'!$X$2,'1.연간시수표'!$Z$2)+QUOTIENT(ROW(A913)-1,8)+(QUOTIENT(ROW(A913)-1,40)*2)</f>
        <v>44778</v>
      </c>
      <c r="C919" s="24" t="str">
        <f t="shared" si="42"/>
        <v>금</v>
      </c>
      <c r="D919" s="91" t="str">
        <f t="shared" si="43"/>
        <v>1교시</v>
      </c>
      <c r="E919" s="68">
        <f>COUNTIF($H$7:$H919,$H919)</f>
        <v>376</v>
      </c>
      <c r="F919" s="67">
        <f>'1.연간시수표'!$AL$33</f>
        <v>5</v>
      </c>
      <c r="G919" s="89">
        <f t="shared" si="44"/>
        <v>1</v>
      </c>
      <c r="H919" s="91" t="str">
        <f>INDEX('0.시간표데이터'!$E$10:$AR$32,QUOTIENT(ROW(A913)-1,40)+1,MOD(ROW(A913)-1,40)+1)</f>
        <v>_</v>
      </c>
      <c r="I919" s="77"/>
      <c r="J919" s="26"/>
      <c r="K919" s="165"/>
      <c r="L919" s="165"/>
      <c r="M919" s="166"/>
      <c r="N919" s="166"/>
      <c r="O919" s="166"/>
      <c r="P919" s="166"/>
      <c r="Q919" s="167"/>
      <c r="R919" s="111"/>
    </row>
    <row r="920" spans="1:18" hidden="1">
      <c r="A920" s="90">
        <v>914</v>
      </c>
      <c r="B920" s="24">
        <f>DATE('1.연간시수표'!$U$2,'1.연간시수표'!$X$2,'1.연간시수표'!$Z$2)+QUOTIENT(ROW(A914)-1,8)+(QUOTIENT(ROW(A914)-1,40)*2)</f>
        <v>44778</v>
      </c>
      <c r="C920" s="24" t="str">
        <f t="shared" si="42"/>
        <v>금</v>
      </c>
      <c r="D920" s="91" t="str">
        <f t="shared" si="43"/>
        <v>2교시</v>
      </c>
      <c r="E920" s="68">
        <f>COUNTIF($H$7:$H920,$H920)</f>
        <v>377</v>
      </c>
      <c r="F920" s="67">
        <f>'1.연간시수표'!$AL$33</f>
        <v>5</v>
      </c>
      <c r="G920" s="89">
        <f t="shared" si="44"/>
        <v>1</v>
      </c>
      <c r="H920" s="91" t="str">
        <f>INDEX('0.시간표데이터'!$E$10:$AR$32,QUOTIENT(ROW(A914)-1,40)+1,MOD(ROW(A914)-1,40)+1)</f>
        <v>_</v>
      </c>
      <c r="I920" s="77"/>
      <c r="J920" s="26"/>
      <c r="K920" s="165"/>
      <c r="L920" s="165"/>
      <c r="M920" s="166"/>
      <c r="N920" s="166"/>
      <c r="O920" s="166"/>
      <c r="P920" s="166"/>
      <c r="Q920" s="167"/>
      <c r="R920" s="111"/>
    </row>
    <row r="921" spans="1:18" hidden="1">
      <c r="A921" s="90">
        <v>915</v>
      </c>
      <c r="B921" s="24">
        <f>DATE('1.연간시수표'!$U$2,'1.연간시수표'!$X$2,'1.연간시수표'!$Z$2)+QUOTIENT(ROW(A915)-1,8)+(QUOTIENT(ROW(A915)-1,40)*2)</f>
        <v>44778</v>
      </c>
      <c r="C921" s="24" t="str">
        <f t="shared" si="42"/>
        <v>금</v>
      </c>
      <c r="D921" s="91" t="str">
        <f t="shared" si="43"/>
        <v>3교시</v>
      </c>
      <c r="E921" s="68">
        <f>COUNTIF($H$7:$H921,$H921)</f>
        <v>378</v>
      </c>
      <c r="F921" s="67">
        <f>'1.연간시수표'!$AL$33</f>
        <v>5</v>
      </c>
      <c r="G921" s="89">
        <f t="shared" si="44"/>
        <v>1</v>
      </c>
      <c r="H921" s="91" t="str">
        <f>INDEX('0.시간표데이터'!$E$10:$AR$32,QUOTIENT(ROW(A915)-1,40)+1,MOD(ROW(A915)-1,40)+1)</f>
        <v>_</v>
      </c>
      <c r="I921" s="77"/>
      <c r="J921" s="26"/>
      <c r="K921" s="165"/>
      <c r="L921" s="165"/>
      <c r="M921" s="166"/>
      <c r="N921" s="166"/>
      <c r="O921" s="166"/>
      <c r="P921" s="166"/>
      <c r="Q921" s="167"/>
      <c r="R921" s="111"/>
    </row>
    <row r="922" spans="1:18" hidden="1">
      <c r="A922" s="90">
        <v>916</v>
      </c>
      <c r="B922" s="24">
        <f>DATE('1.연간시수표'!$U$2,'1.연간시수표'!$X$2,'1.연간시수표'!$Z$2)+QUOTIENT(ROW(A916)-1,8)+(QUOTIENT(ROW(A916)-1,40)*2)</f>
        <v>44778</v>
      </c>
      <c r="C922" s="24" t="str">
        <f t="shared" si="42"/>
        <v>금</v>
      </c>
      <c r="D922" s="91" t="str">
        <f t="shared" si="43"/>
        <v>4교시</v>
      </c>
      <c r="E922" s="68">
        <f>COUNTIF($H$7:$H922,$H922)</f>
        <v>379</v>
      </c>
      <c r="F922" s="67">
        <f>'1.연간시수표'!$AL$33</f>
        <v>5</v>
      </c>
      <c r="G922" s="89">
        <f t="shared" si="44"/>
        <v>1</v>
      </c>
      <c r="H922" s="91" t="str">
        <f>INDEX('0.시간표데이터'!$E$10:$AR$32,QUOTIENT(ROW(A916)-1,40)+1,MOD(ROW(A916)-1,40)+1)</f>
        <v>_</v>
      </c>
      <c r="I922" s="77"/>
      <c r="J922" s="26"/>
      <c r="K922" s="165"/>
      <c r="L922" s="165"/>
      <c r="M922" s="166"/>
      <c r="N922" s="166"/>
      <c r="O922" s="166"/>
      <c r="P922" s="166"/>
      <c r="Q922" s="167"/>
      <c r="R922" s="111"/>
    </row>
    <row r="923" spans="1:18" hidden="1">
      <c r="A923" s="90">
        <v>917</v>
      </c>
      <c r="B923" s="24">
        <f>DATE('1.연간시수표'!$U$2,'1.연간시수표'!$X$2,'1.연간시수표'!$Z$2)+QUOTIENT(ROW(A917)-1,8)+(QUOTIENT(ROW(A917)-1,40)*2)</f>
        <v>44778</v>
      </c>
      <c r="C923" s="24" t="str">
        <f t="shared" si="42"/>
        <v>금</v>
      </c>
      <c r="D923" s="91" t="str">
        <f t="shared" si="43"/>
        <v>5교시</v>
      </c>
      <c r="E923" s="68">
        <f>COUNTIF($H$7:$H923,$H923)</f>
        <v>380</v>
      </c>
      <c r="F923" s="67">
        <f>'1.연간시수표'!$AL$33</f>
        <v>5</v>
      </c>
      <c r="G923" s="89">
        <f t="shared" si="44"/>
        <v>1</v>
      </c>
      <c r="H923" s="91" t="str">
        <f>INDEX('0.시간표데이터'!$E$10:$AR$32,QUOTIENT(ROW(A917)-1,40)+1,MOD(ROW(A917)-1,40)+1)</f>
        <v>_</v>
      </c>
      <c r="I923" s="77"/>
      <c r="J923" s="26"/>
      <c r="K923" s="165"/>
      <c r="L923" s="165"/>
      <c r="M923" s="166"/>
      <c r="N923" s="166"/>
      <c r="O923" s="166"/>
      <c r="P923" s="166"/>
      <c r="Q923" s="167"/>
      <c r="R923" s="111"/>
    </row>
    <row r="924" spans="1:18" hidden="1">
      <c r="A924" s="90">
        <v>918</v>
      </c>
      <c r="B924" s="24">
        <f>DATE('1.연간시수표'!$U$2,'1.연간시수표'!$X$2,'1.연간시수표'!$Z$2)+QUOTIENT(ROW(A918)-1,8)+(QUOTIENT(ROW(A918)-1,40)*2)</f>
        <v>44778</v>
      </c>
      <c r="C924" s="24" t="str">
        <f t="shared" si="42"/>
        <v>금</v>
      </c>
      <c r="D924" s="91" t="str">
        <f t="shared" si="43"/>
        <v>6교시</v>
      </c>
      <c r="E924" s="68">
        <f>COUNTIF($H$7:$H924,$H924)</f>
        <v>381</v>
      </c>
      <c r="F924" s="67">
        <f>'1.연간시수표'!$AL$33</f>
        <v>5</v>
      </c>
      <c r="G924" s="89">
        <f t="shared" si="44"/>
        <v>1</v>
      </c>
      <c r="H924" s="91" t="str">
        <f>INDEX('0.시간표데이터'!$E$10:$AR$32,QUOTIENT(ROW(A918)-1,40)+1,MOD(ROW(A918)-1,40)+1)</f>
        <v>_</v>
      </c>
      <c r="I924" s="77"/>
      <c r="J924" s="26"/>
      <c r="K924" s="165"/>
      <c r="L924" s="165"/>
      <c r="M924" s="166"/>
      <c r="N924" s="166"/>
      <c r="O924" s="166"/>
      <c r="P924" s="166"/>
      <c r="Q924" s="167"/>
      <c r="R924" s="111"/>
    </row>
    <row r="925" spans="1:18" hidden="1">
      <c r="A925" s="90">
        <v>919</v>
      </c>
      <c r="B925" s="24">
        <f>DATE('1.연간시수표'!$U$2,'1.연간시수표'!$X$2,'1.연간시수표'!$Z$2)+QUOTIENT(ROW(A919)-1,8)+(QUOTIENT(ROW(A919)-1,40)*2)</f>
        <v>44778</v>
      </c>
      <c r="C925" s="24" t="str">
        <f t="shared" si="42"/>
        <v>금</v>
      </c>
      <c r="D925" s="91" t="str">
        <f t="shared" si="43"/>
        <v>7교시</v>
      </c>
      <c r="E925" s="68">
        <f>COUNTIF($H$7:$H925,$H925)</f>
        <v>382</v>
      </c>
      <c r="F925" s="67">
        <f>'1.연간시수표'!$AL$33</f>
        <v>5</v>
      </c>
      <c r="G925" s="89">
        <f t="shared" si="44"/>
        <v>1</v>
      </c>
      <c r="H925" s="91" t="str">
        <f>INDEX('0.시간표데이터'!$E$10:$AR$32,QUOTIENT(ROW(A919)-1,40)+1,MOD(ROW(A919)-1,40)+1)</f>
        <v>_</v>
      </c>
      <c r="I925" s="82"/>
      <c r="J925" s="26"/>
      <c r="K925" s="165"/>
      <c r="L925" s="165"/>
      <c r="M925" s="166"/>
      <c r="N925" s="166"/>
      <c r="O925" s="166"/>
      <c r="P925" s="166"/>
      <c r="Q925" s="167"/>
      <c r="R925" s="111"/>
    </row>
    <row r="926" spans="1:18" hidden="1">
      <c r="A926" s="90">
        <v>920</v>
      </c>
      <c r="B926" s="24">
        <f>DATE('1.연간시수표'!$U$2,'1.연간시수표'!$X$2,'1.연간시수표'!$Z$2)+QUOTIENT(ROW(A920)-1,8)+(QUOTIENT(ROW(A920)-1,40)*2)</f>
        <v>44778</v>
      </c>
      <c r="C926" s="24" t="str">
        <f t="shared" si="42"/>
        <v>금</v>
      </c>
      <c r="D926" s="91" t="str">
        <f t="shared" si="43"/>
        <v>8교시</v>
      </c>
      <c r="E926" s="68">
        <f>COUNTIF($H$7:$H926,$H926)</f>
        <v>383</v>
      </c>
      <c r="F926" s="67">
        <f>'1.연간시수표'!$AL$33</f>
        <v>5</v>
      </c>
      <c r="G926" s="89">
        <f t="shared" si="44"/>
        <v>1</v>
      </c>
      <c r="H926" s="91" t="str">
        <f>INDEX('0.시간표데이터'!$E$10:$AR$32,QUOTIENT(ROW(A920)-1,40)+1,MOD(ROW(A920)-1,40)+1)</f>
        <v>_</v>
      </c>
      <c r="I926" s="82"/>
      <c r="J926" s="26"/>
      <c r="K926" s="173"/>
      <c r="L926" s="173"/>
      <c r="M926" s="10"/>
      <c r="N926" s="10"/>
      <c r="O926" s="10"/>
      <c r="P926" s="10"/>
      <c r="Q926" s="164"/>
      <c r="R926" s="110"/>
    </row>
  </sheetData>
  <autoFilter ref="A6:R926">
    <filterColumn colId="9">
      <customFilters>
        <customFilter operator="notEqual" val=" "/>
      </customFilters>
    </filterColumn>
  </autoFilter>
  <phoneticPr fontId="5" type="noConversion"/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111" r:id="rId4" name="Button 87">
              <controlPr defaultSize="0" autoFill="0" autoPict="0" macro="[0]!선택영역_한칸올리기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295275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12" r:id="rId5" name="Button 88">
              <controlPr defaultSize="0" autoFill="0" autoPict="0" macro="[0]!선택영역_한칸내리기">
                <anchor moveWithCells="1" sizeWithCells="1">
                  <from>
                    <xdr:col>13</xdr:col>
                    <xdr:colOff>0</xdr:colOff>
                    <xdr:row>3</xdr:row>
                    <xdr:rowOff>171450</xdr:rowOff>
                  </from>
                  <to>
                    <xdr:col>14</xdr:col>
                    <xdr:colOff>285750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99" r:id="rId6" name="Button 175">
              <controlPr defaultSize="0" autoFill="0" autoPict="0" macro="[0]!선택영역_한칸올리기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295275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200" r:id="rId7" name="Button 176">
              <controlPr defaultSize="0" autoFill="0" autoPict="0" macro="[0]!선택영역_한칸내리기">
                <anchor moveWithCells="1" sizeWithCells="1">
                  <from>
                    <xdr:col>13</xdr:col>
                    <xdr:colOff>0</xdr:colOff>
                    <xdr:row>3</xdr:row>
                    <xdr:rowOff>171450</xdr:rowOff>
                  </from>
                  <to>
                    <xdr:col>14</xdr:col>
                    <xdr:colOff>285750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43" r:id="rId8" name="dropdown">
              <controlPr defaultSize="0" autoLine="0" autoPict="0" macro="[0]!과목보기선택">
                <anchor moveWithCells="1">
                  <from>
                    <xdr:col>10</xdr:col>
                    <xdr:colOff>866775</xdr:colOff>
                    <xdr:row>3</xdr:row>
                    <xdr:rowOff>57150</xdr:rowOff>
                  </from>
                  <to>
                    <xdr:col>11</xdr:col>
                    <xdr:colOff>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44" r:id="rId9" name="Option Button 120">
              <controlPr defaultSize="0" autoFill="0" autoLine="0" autoPict="0" macro="[0]!프로젝트행사_모아보기" altText="전체보기">
                <anchor moveWithCells="1">
                  <from>
                    <xdr:col>11</xdr:col>
                    <xdr:colOff>2419350</xdr:colOff>
                    <xdr:row>3</xdr:row>
                    <xdr:rowOff>47625</xdr:rowOff>
                  </from>
                  <to>
                    <xdr:col>11</xdr:col>
                    <xdr:colOff>3076575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45" r:id="rId10" name="Option Button 121">
              <controlPr defaultSize="0" autoFill="0" autoLine="0" autoPict="0" macro="[0]!프로젝트행사_제외보기">
                <anchor moveWithCells="1">
                  <from>
                    <xdr:col>11</xdr:col>
                    <xdr:colOff>3171825</xdr:colOff>
                    <xdr:row>3</xdr:row>
                    <xdr:rowOff>47625</xdr:rowOff>
                  </from>
                  <to>
                    <xdr:col>11</xdr:col>
                    <xdr:colOff>3867150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46" r:id="rId11" name="Option Button 122">
              <controlPr defaultSize="0" autoFill="0" autoLine="0" autoPict="0" macro="[0]!프로젝트행사_기본보기">
                <anchor moveWithCells="1">
                  <from>
                    <xdr:col>11</xdr:col>
                    <xdr:colOff>1647825</xdr:colOff>
                    <xdr:row>3</xdr:row>
                    <xdr:rowOff>28575</xdr:rowOff>
                  </from>
                  <to>
                    <xdr:col>11</xdr:col>
                    <xdr:colOff>2324100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'0.시간표데이터'!$BU$5:$BU$8</xm:f>
          </x14:formula1>
          <xm:sqref>J7:J926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33CCCC"/>
  </sheetPr>
  <dimension ref="A1:R1086"/>
  <sheetViews>
    <sheetView zoomScaleNormal="100" workbookViewId="0">
      <pane ySplit="6" topLeftCell="A7" activePane="bottomLeft" state="frozen"/>
      <selection pane="bottomLeft" activeCell="I6" sqref="I6:I7"/>
    </sheetView>
  </sheetViews>
  <sheetFormatPr defaultColWidth="8.88671875" defaultRowHeight="13.5"/>
  <cols>
    <col min="1" max="1" width="4.77734375" style="117" customWidth="1"/>
    <col min="2" max="2" width="9" style="22" customWidth="1"/>
    <col min="3" max="3" width="3.44140625" style="22" customWidth="1"/>
    <col min="4" max="4" width="5.44140625" style="23" customWidth="1"/>
    <col min="5" max="5" width="4.88671875" style="23" customWidth="1"/>
    <col min="6" max="6" width="4.109375" style="23" customWidth="1"/>
    <col min="7" max="7" width="4.44140625" style="117" customWidth="1"/>
    <col min="8" max="8" width="8.77734375" style="23" customWidth="1"/>
    <col min="9" max="9" width="6.77734375" style="37" customWidth="1"/>
    <col min="10" max="10" width="7.109375" style="117" customWidth="1"/>
    <col min="11" max="11" width="24" style="83" bestFit="1" customWidth="1"/>
    <col min="12" max="12" width="46.21875" style="83" customWidth="1"/>
    <col min="13" max="14" width="8" style="118" customWidth="1"/>
    <col min="15" max="16" width="6.88671875" style="118" customWidth="1"/>
    <col min="17" max="17" width="19.77734375" style="83" customWidth="1"/>
    <col min="18" max="18" width="17.88671875" style="104" customWidth="1"/>
    <col min="19" max="16384" width="8.88671875" style="1"/>
  </cols>
  <sheetData>
    <row r="1" spans="1:18" ht="14.25" thickBot="1"/>
    <row r="2" spans="1:18" ht="27" customHeight="1" thickBot="1">
      <c r="A2" s="38">
        <v>2</v>
      </c>
      <c r="B2" s="39" t="s">
        <v>76</v>
      </c>
      <c r="C2" s="40"/>
      <c r="D2" s="40" t="s">
        <v>77</v>
      </c>
      <c r="E2" s="40"/>
      <c r="F2" s="40"/>
      <c r="G2" s="40"/>
      <c r="H2" s="40"/>
      <c r="I2" s="71"/>
      <c r="J2" s="36"/>
      <c r="K2" s="84"/>
      <c r="L2" s="84"/>
      <c r="M2" s="84"/>
      <c r="N2" s="84"/>
      <c r="O2" s="84"/>
      <c r="P2" s="84"/>
      <c r="Q2" s="84"/>
      <c r="R2" s="105"/>
    </row>
    <row r="3" spans="1:18" s="58" customFormat="1" ht="27" customHeight="1">
      <c r="A3" s="52"/>
      <c r="B3" s="52"/>
      <c r="C3" s="53"/>
      <c r="D3" s="53"/>
      <c r="E3" s="53"/>
      <c r="F3" s="53"/>
      <c r="G3" s="53"/>
      <c r="H3" s="54"/>
      <c r="I3" s="53"/>
      <c r="J3" s="56"/>
      <c r="K3" s="141"/>
      <c r="L3" s="141"/>
      <c r="M3" s="85"/>
      <c r="N3" s="85"/>
      <c r="O3" s="85"/>
      <c r="P3" s="93"/>
      <c r="Q3" s="86"/>
      <c r="R3" s="106"/>
    </row>
    <row r="4" spans="1:18" s="58" customFormat="1" ht="27" customHeight="1">
      <c r="A4" s="69"/>
      <c r="B4" s="69"/>
      <c r="C4" s="69"/>
      <c r="D4" s="69"/>
      <c r="E4" s="69"/>
      <c r="F4" s="69"/>
      <c r="G4" s="69"/>
      <c r="H4" s="69"/>
      <c r="I4" s="69"/>
      <c r="J4" s="69"/>
      <c r="K4" s="139" t="s">
        <v>106</v>
      </c>
      <c r="L4" s="140" t="s">
        <v>107</v>
      </c>
      <c r="N4" s="85"/>
      <c r="O4" s="85"/>
      <c r="P4" s="85"/>
      <c r="Q4" s="85"/>
      <c r="R4" s="107"/>
    </row>
    <row r="5" spans="1:18" s="58" customFormat="1">
      <c r="A5" s="56"/>
      <c r="B5" s="59"/>
      <c r="C5" s="59"/>
      <c r="D5" s="60"/>
      <c r="E5" s="60"/>
      <c r="F5" s="60"/>
      <c r="G5" s="56"/>
      <c r="H5" s="60"/>
      <c r="I5" s="57"/>
      <c r="J5" s="56"/>
      <c r="K5" s="86"/>
      <c r="L5" s="86"/>
      <c r="M5" s="93"/>
      <c r="N5" s="93"/>
      <c r="O5" s="93"/>
      <c r="P5" s="93"/>
      <c r="Q5" s="86"/>
      <c r="R5" s="106"/>
    </row>
    <row r="6" spans="1:18" s="58" customFormat="1" ht="30.75" customHeight="1">
      <c r="A6" s="61" t="s">
        <v>73</v>
      </c>
      <c r="B6" s="61" t="s">
        <v>59</v>
      </c>
      <c r="C6" s="61" t="s">
        <v>66</v>
      </c>
      <c r="D6" s="62" t="s">
        <v>65</v>
      </c>
      <c r="E6" s="63" t="s">
        <v>86</v>
      </c>
      <c r="F6" s="62" t="s">
        <v>85</v>
      </c>
      <c r="G6" s="63" t="s">
        <v>50</v>
      </c>
      <c r="H6" s="62" t="s">
        <v>53</v>
      </c>
      <c r="I6" s="64" t="s">
        <v>67</v>
      </c>
      <c r="J6" s="63" t="s">
        <v>89</v>
      </c>
      <c r="K6" s="87" t="s">
        <v>54</v>
      </c>
      <c r="L6" s="87" t="s">
        <v>55</v>
      </c>
      <c r="M6" s="94" t="s">
        <v>56</v>
      </c>
      <c r="N6" s="94" t="s">
        <v>51</v>
      </c>
      <c r="O6" s="94" t="s">
        <v>57</v>
      </c>
      <c r="P6" s="94" t="s">
        <v>58</v>
      </c>
      <c r="Q6" s="95" t="s">
        <v>52</v>
      </c>
      <c r="R6" s="108" t="s">
        <v>69</v>
      </c>
    </row>
    <row r="7" spans="1:18">
      <c r="A7" s="90">
        <v>1</v>
      </c>
      <c r="B7" s="24">
        <f>DATE('1.연간시수표'!$U$44,'1.연간시수표'!$X$44,'1.연간시수표'!$Z$44)+QUOTIENT(ROW(A1)-1,8)+(QUOTIENT(ROW(A1)-1,40)*2)</f>
        <v>44799</v>
      </c>
      <c r="C7" s="24" t="str">
        <f t="shared" ref="C7:C70" si="0">IF(WEEKDAY(B7,2)=1,"월",IF(WEEKDAY(B7,2)=2,"화",IF(WEEKDAY(B7,2)=3,"수",IF(WEEKDAY(B7,2)=4,"목",IF(WEEKDAY(B7,2)=5,"금")))))</f>
        <v>금</v>
      </c>
      <c r="D7" s="116" t="str">
        <f t="shared" ref="D7:D70" si="1">TEXT(MOD(ROW(A1)-1,8)+1,"#교시")</f>
        <v>1교시</v>
      </c>
      <c r="E7" s="68">
        <f>COUNTIF($H$7:$H7,$H7)</f>
        <v>1</v>
      </c>
      <c r="F7" s="67">
        <f>'1.연간시수표'!$AL$33</f>
        <v>5</v>
      </c>
      <c r="G7" s="115">
        <f t="shared" ref="G7:G70" si="2">$A$2</f>
        <v>2</v>
      </c>
      <c r="H7" s="41" t="str">
        <f>INDEX('0.시간표데이터'!$E$52:$AR$78,QUOTIENT(ROW(A1)-1,40)+1,MOD(ROW(A1)-1,40)+1)</f>
        <v>_</v>
      </c>
      <c r="I7" s="31"/>
      <c r="J7" s="26"/>
      <c r="K7" s="180"/>
      <c r="L7" s="180"/>
      <c r="M7" s="10"/>
      <c r="N7" s="10"/>
      <c r="O7" s="10"/>
      <c r="P7" s="10"/>
      <c r="Q7" s="164"/>
      <c r="R7" s="110"/>
    </row>
    <row r="8" spans="1:18">
      <c r="A8" s="90">
        <v>2</v>
      </c>
      <c r="B8" s="24">
        <f>DATE('1.연간시수표'!$U$44,'1.연간시수표'!$X$44,'1.연간시수표'!$Z$44)+QUOTIENT(ROW(A2)-1,8)+(QUOTIENT(ROW(A2)-1,40)*2)</f>
        <v>44799</v>
      </c>
      <c r="C8" s="24" t="str">
        <f t="shared" si="0"/>
        <v>금</v>
      </c>
      <c r="D8" s="116" t="str">
        <f t="shared" si="1"/>
        <v>2교시</v>
      </c>
      <c r="E8" s="68">
        <f>COUNTIF($H$7:$H8,$H8)</f>
        <v>2</v>
      </c>
      <c r="F8" s="67">
        <f>'1.연간시수표'!$AL$33</f>
        <v>5</v>
      </c>
      <c r="G8" s="115">
        <f t="shared" si="2"/>
        <v>2</v>
      </c>
      <c r="H8" s="41" t="str">
        <f>INDEX('0.시간표데이터'!$E$52:$AR$78,QUOTIENT(ROW(A2)-1,40)+1,MOD(ROW(A2)-1,40)+1)</f>
        <v>_</v>
      </c>
      <c r="I8" s="161"/>
      <c r="J8" s="26"/>
      <c r="K8" s="180"/>
      <c r="L8" s="180"/>
      <c r="M8" s="10"/>
      <c r="N8" s="10"/>
      <c r="O8" s="10"/>
      <c r="P8" s="10"/>
      <c r="Q8" s="164"/>
      <c r="R8" s="110"/>
    </row>
    <row r="9" spans="1:18" ht="13.5" customHeight="1">
      <c r="A9" s="90">
        <v>3</v>
      </c>
      <c r="B9" s="24">
        <f>DATE('1.연간시수표'!$U$44,'1.연간시수표'!$X$44,'1.연간시수표'!$Z$44)+QUOTIENT(ROW(A3)-1,8)+(QUOTIENT(ROW(A3)-1,40)*2)</f>
        <v>44799</v>
      </c>
      <c r="C9" s="24" t="str">
        <f t="shared" si="0"/>
        <v>금</v>
      </c>
      <c r="D9" s="116" t="str">
        <f t="shared" si="1"/>
        <v>3교시</v>
      </c>
      <c r="E9" s="68">
        <f>COUNTIF($H$7:$H9,$H9)</f>
        <v>3</v>
      </c>
      <c r="F9" s="67">
        <f>'1.연간시수표'!$AL$33</f>
        <v>5</v>
      </c>
      <c r="G9" s="115">
        <f t="shared" si="2"/>
        <v>2</v>
      </c>
      <c r="H9" s="41" t="str">
        <f>INDEX('0.시간표데이터'!$E$52:$AR$78,QUOTIENT(ROW(A3)-1,40)+1,MOD(ROW(A3)-1,40)+1)</f>
        <v>_</v>
      </c>
      <c r="I9" s="77"/>
      <c r="J9" s="26"/>
      <c r="K9" s="180"/>
      <c r="L9" s="180"/>
      <c r="M9" s="10"/>
      <c r="N9" s="10"/>
      <c r="O9" s="10"/>
      <c r="P9" s="10"/>
      <c r="Q9" s="164"/>
      <c r="R9" s="110"/>
    </row>
    <row r="10" spans="1:18" ht="13.5" customHeight="1">
      <c r="A10" s="90">
        <v>4</v>
      </c>
      <c r="B10" s="24">
        <f>DATE('1.연간시수표'!$U$44,'1.연간시수표'!$X$44,'1.연간시수표'!$Z$44)+QUOTIENT(ROW(A4)-1,8)+(QUOTIENT(ROW(A4)-1,40)*2)</f>
        <v>44799</v>
      </c>
      <c r="C10" s="24" t="str">
        <f t="shared" si="0"/>
        <v>금</v>
      </c>
      <c r="D10" s="116" t="str">
        <f t="shared" si="1"/>
        <v>4교시</v>
      </c>
      <c r="E10" s="68">
        <f>COUNTIF($H$7:$H10,$H10)</f>
        <v>4</v>
      </c>
      <c r="F10" s="67">
        <f>'1.연간시수표'!$AL$33</f>
        <v>5</v>
      </c>
      <c r="G10" s="115">
        <f t="shared" si="2"/>
        <v>2</v>
      </c>
      <c r="H10" s="41" t="str">
        <f>INDEX('0.시간표데이터'!$E$52:$AR$78,QUOTIENT(ROW(A4)-1,40)+1,MOD(ROW(A4)-1,40)+1)</f>
        <v>_</v>
      </c>
      <c r="I10" s="77"/>
      <c r="J10" s="26"/>
      <c r="K10" s="180"/>
      <c r="L10" s="180"/>
      <c r="M10" s="10"/>
      <c r="N10" s="10"/>
      <c r="O10" s="10"/>
      <c r="P10" s="10"/>
      <c r="Q10" s="164"/>
      <c r="R10" s="110"/>
    </row>
    <row r="11" spans="1:18" ht="13.5" customHeight="1">
      <c r="A11" s="90">
        <v>5</v>
      </c>
      <c r="B11" s="24">
        <f>DATE('1.연간시수표'!$U$44,'1.연간시수표'!$X$44,'1.연간시수표'!$Z$44)+QUOTIENT(ROW(A5)-1,8)+(QUOTIENT(ROW(A5)-1,40)*2)</f>
        <v>44799</v>
      </c>
      <c r="C11" s="24" t="str">
        <f t="shared" si="0"/>
        <v>금</v>
      </c>
      <c r="D11" s="116" t="str">
        <f t="shared" si="1"/>
        <v>5교시</v>
      </c>
      <c r="E11" s="68">
        <f>COUNTIF($H$7:$H11,$H11)</f>
        <v>5</v>
      </c>
      <c r="F11" s="67">
        <f>'1.연간시수표'!$AL$33</f>
        <v>5</v>
      </c>
      <c r="G11" s="115">
        <f t="shared" si="2"/>
        <v>2</v>
      </c>
      <c r="H11" s="41" t="str">
        <f>INDEX('0.시간표데이터'!$E$52:$AR$78,QUOTIENT(ROW(A5)-1,40)+1,MOD(ROW(A5)-1,40)+1)</f>
        <v>_</v>
      </c>
      <c r="I11" s="77"/>
      <c r="J11" s="26"/>
      <c r="K11" s="180"/>
      <c r="L11" s="180"/>
      <c r="M11" s="10"/>
      <c r="N11" s="10"/>
      <c r="O11" s="10"/>
      <c r="P11" s="10"/>
      <c r="Q11" s="164"/>
      <c r="R11" s="110"/>
    </row>
    <row r="12" spans="1:18" ht="13.5" customHeight="1">
      <c r="A12" s="90">
        <v>6</v>
      </c>
      <c r="B12" s="24">
        <f>DATE('1.연간시수표'!$U$44,'1.연간시수표'!$X$44,'1.연간시수표'!$Z$44)+QUOTIENT(ROW(A6)-1,8)+(QUOTIENT(ROW(A6)-1,40)*2)</f>
        <v>44799</v>
      </c>
      <c r="C12" s="24" t="str">
        <f t="shared" si="0"/>
        <v>금</v>
      </c>
      <c r="D12" s="116" t="str">
        <f t="shared" si="1"/>
        <v>6교시</v>
      </c>
      <c r="E12" s="68">
        <f>COUNTIF($H$7:$H12,$H12)</f>
        <v>6</v>
      </c>
      <c r="F12" s="67">
        <f>'1.연간시수표'!$AL$33</f>
        <v>5</v>
      </c>
      <c r="G12" s="115">
        <f t="shared" si="2"/>
        <v>2</v>
      </c>
      <c r="H12" s="41" t="str">
        <f>INDEX('0.시간표데이터'!$E$52:$AR$78,QUOTIENT(ROW(A6)-1,40)+1,MOD(ROW(A6)-1,40)+1)</f>
        <v>_</v>
      </c>
      <c r="I12" s="77"/>
      <c r="J12" s="26"/>
      <c r="K12" s="167"/>
      <c r="L12" s="167"/>
      <c r="M12" s="166"/>
      <c r="N12" s="166"/>
      <c r="O12" s="166"/>
      <c r="P12" s="166"/>
      <c r="Q12" s="167"/>
      <c r="R12" s="111"/>
    </row>
    <row r="13" spans="1:18" ht="13.5" customHeight="1">
      <c r="A13" s="90">
        <v>7</v>
      </c>
      <c r="B13" s="24">
        <f>DATE('1.연간시수표'!$U$44,'1.연간시수표'!$X$44,'1.연간시수표'!$Z$44)+QUOTIENT(ROW(A7)-1,8)+(QUOTIENT(ROW(A7)-1,40)*2)</f>
        <v>44799</v>
      </c>
      <c r="C13" s="24" t="str">
        <f t="shared" si="0"/>
        <v>금</v>
      </c>
      <c r="D13" s="116" t="str">
        <f t="shared" si="1"/>
        <v>7교시</v>
      </c>
      <c r="E13" s="68">
        <f>COUNTIF($H$7:$H13,$H13)</f>
        <v>7</v>
      </c>
      <c r="F13" s="67">
        <f>'1.연간시수표'!$AL$33</f>
        <v>5</v>
      </c>
      <c r="G13" s="115">
        <f t="shared" si="2"/>
        <v>2</v>
      </c>
      <c r="H13" s="41" t="str">
        <f>INDEX('0.시간표데이터'!$E$52:$AR$78,QUOTIENT(ROW(A7)-1,40)+1,MOD(ROW(A7)-1,40)+1)</f>
        <v>_</v>
      </c>
      <c r="I13" s="76"/>
      <c r="J13" s="26"/>
      <c r="K13" s="167"/>
      <c r="L13" s="167"/>
      <c r="M13" s="166"/>
      <c r="N13" s="166"/>
      <c r="O13" s="166"/>
      <c r="P13" s="166"/>
      <c r="Q13" s="167"/>
      <c r="R13" s="111"/>
    </row>
    <row r="14" spans="1:18" ht="13.5" customHeight="1">
      <c r="A14" s="90">
        <v>8</v>
      </c>
      <c r="B14" s="24">
        <f>DATE('1.연간시수표'!$U$44,'1.연간시수표'!$X$44,'1.연간시수표'!$Z$44)+QUOTIENT(ROW(A8)-1,8)+(QUOTIENT(ROW(A8)-1,40)*2)</f>
        <v>44799</v>
      </c>
      <c r="C14" s="24" t="str">
        <f t="shared" si="0"/>
        <v>금</v>
      </c>
      <c r="D14" s="116" t="str">
        <f t="shared" si="1"/>
        <v>8교시</v>
      </c>
      <c r="E14" s="68">
        <f>COUNTIF($H$7:$H14,$H14)</f>
        <v>8</v>
      </c>
      <c r="F14" s="67">
        <f>'1.연간시수표'!$AL$33</f>
        <v>5</v>
      </c>
      <c r="G14" s="115">
        <f t="shared" si="2"/>
        <v>2</v>
      </c>
      <c r="H14" s="41" t="str">
        <f>INDEX('0.시간표데이터'!$E$52:$AR$78,QUOTIENT(ROW(A8)-1,40)+1,MOD(ROW(A8)-1,40)+1)</f>
        <v>_</v>
      </c>
      <c r="I14" s="76"/>
      <c r="J14" s="26"/>
      <c r="K14" s="167"/>
      <c r="L14" s="167"/>
      <c r="M14" s="166"/>
      <c r="N14" s="166"/>
      <c r="O14" s="166"/>
      <c r="P14" s="166"/>
      <c r="Q14" s="167"/>
      <c r="R14" s="111"/>
    </row>
    <row r="15" spans="1:18" ht="13.5" customHeight="1">
      <c r="A15" s="90">
        <v>9</v>
      </c>
      <c r="B15" s="24">
        <f>DATE('1.연간시수표'!$U$44,'1.연간시수표'!$X$44,'1.연간시수표'!$Z$44)+QUOTIENT(ROW(A9)-1,8)+(QUOTIENT(ROW(A9)-1,40)*2)</f>
        <v>44800</v>
      </c>
      <c r="C15" s="24" t="b">
        <f t="shared" si="0"/>
        <v>0</v>
      </c>
      <c r="D15" s="116" t="str">
        <f t="shared" si="1"/>
        <v>1교시</v>
      </c>
      <c r="E15" s="68">
        <f>COUNTIF($H$7:$H15,$H15)</f>
        <v>9</v>
      </c>
      <c r="F15" s="67">
        <f>'1.연간시수표'!$AL$33</f>
        <v>5</v>
      </c>
      <c r="G15" s="115">
        <f t="shared" si="2"/>
        <v>2</v>
      </c>
      <c r="H15" s="41" t="str">
        <f>INDEX('0.시간표데이터'!$E$52:$AR$78,QUOTIENT(ROW(A9)-1,40)+1,MOD(ROW(A9)-1,40)+1)</f>
        <v>_</v>
      </c>
      <c r="I15" s="77"/>
      <c r="J15" s="26"/>
      <c r="K15" s="180"/>
      <c r="L15" s="180"/>
      <c r="M15" s="10"/>
      <c r="N15" s="10"/>
      <c r="O15" s="10"/>
      <c r="P15" s="10"/>
      <c r="Q15" s="164"/>
      <c r="R15" s="110"/>
    </row>
    <row r="16" spans="1:18" ht="13.5" customHeight="1">
      <c r="A16" s="90">
        <v>10</v>
      </c>
      <c r="B16" s="24">
        <f>DATE('1.연간시수표'!$U$44,'1.연간시수표'!$X$44,'1.연간시수표'!$Z$44)+QUOTIENT(ROW(A10)-1,8)+(QUOTIENT(ROW(A10)-1,40)*2)</f>
        <v>44800</v>
      </c>
      <c r="C16" s="24" t="b">
        <f t="shared" si="0"/>
        <v>0</v>
      </c>
      <c r="D16" s="116" t="str">
        <f t="shared" si="1"/>
        <v>2교시</v>
      </c>
      <c r="E16" s="68">
        <f>COUNTIF($H$7:$H16,$H16)</f>
        <v>10</v>
      </c>
      <c r="F16" s="67">
        <f>'1.연간시수표'!$AL$33</f>
        <v>5</v>
      </c>
      <c r="G16" s="115">
        <f t="shared" si="2"/>
        <v>2</v>
      </c>
      <c r="H16" s="41" t="str">
        <f>INDEX('0.시간표데이터'!$E$52:$AR$78,QUOTIENT(ROW(A10)-1,40)+1,MOD(ROW(A10)-1,40)+1)</f>
        <v>_</v>
      </c>
      <c r="I16" s="161"/>
      <c r="J16" s="26"/>
      <c r="K16" s="180"/>
      <c r="L16" s="180"/>
      <c r="M16" s="10"/>
      <c r="N16" s="10"/>
      <c r="O16" s="10"/>
      <c r="P16" s="10"/>
      <c r="Q16" s="164"/>
      <c r="R16" s="110"/>
    </row>
    <row r="17" spans="1:18" ht="13.5" customHeight="1">
      <c r="A17" s="90">
        <v>11</v>
      </c>
      <c r="B17" s="24">
        <f>DATE('1.연간시수표'!$U$44,'1.연간시수표'!$X$44,'1.연간시수표'!$Z$44)+QUOTIENT(ROW(A11)-1,8)+(QUOTIENT(ROW(A11)-1,40)*2)</f>
        <v>44800</v>
      </c>
      <c r="C17" s="24" t="b">
        <f t="shared" si="0"/>
        <v>0</v>
      </c>
      <c r="D17" s="116" t="str">
        <f t="shared" si="1"/>
        <v>3교시</v>
      </c>
      <c r="E17" s="68">
        <f>COUNTIF($H$7:$H17,$H17)</f>
        <v>11</v>
      </c>
      <c r="F17" s="67">
        <f>'1.연간시수표'!$AL$33</f>
        <v>5</v>
      </c>
      <c r="G17" s="115">
        <f t="shared" si="2"/>
        <v>2</v>
      </c>
      <c r="H17" s="41" t="str">
        <f>INDEX('0.시간표데이터'!$E$52:$AR$78,QUOTIENT(ROW(A11)-1,40)+1,MOD(ROW(A11)-1,40)+1)</f>
        <v>_</v>
      </c>
      <c r="I17" s="77"/>
      <c r="J17" s="26"/>
      <c r="K17" s="180"/>
      <c r="L17" s="180"/>
      <c r="M17" s="10"/>
      <c r="N17" s="10"/>
      <c r="O17" s="10"/>
      <c r="P17" s="10"/>
      <c r="Q17" s="164"/>
      <c r="R17" s="110"/>
    </row>
    <row r="18" spans="1:18" ht="13.5" customHeight="1">
      <c r="A18" s="90">
        <v>12</v>
      </c>
      <c r="B18" s="24">
        <f>DATE('1.연간시수표'!$U$44,'1.연간시수표'!$X$44,'1.연간시수표'!$Z$44)+QUOTIENT(ROW(A12)-1,8)+(QUOTIENT(ROW(A12)-1,40)*2)</f>
        <v>44800</v>
      </c>
      <c r="C18" s="24" t="b">
        <f t="shared" si="0"/>
        <v>0</v>
      </c>
      <c r="D18" s="116" t="str">
        <f t="shared" si="1"/>
        <v>4교시</v>
      </c>
      <c r="E18" s="68">
        <f>COUNTIF($H$7:$H18,$H18)</f>
        <v>12</v>
      </c>
      <c r="F18" s="67">
        <f>'1.연간시수표'!$AL$33</f>
        <v>5</v>
      </c>
      <c r="G18" s="115">
        <f t="shared" si="2"/>
        <v>2</v>
      </c>
      <c r="H18" s="41" t="str">
        <f>INDEX('0.시간표데이터'!$E$52:$AR$78,QUOTIENT(ROW(A12)-1,40)+1,MOD(ROW(A12)-1,40)+1)</f>
        <v>_</v>
      </c>
      <c r="I18" s="77"/>
      <c r="J18" s="26"/>
      <c r="K18" s="180"/>
      <c r="L18" s="180"/>
      <c r="M18" s="10"/>
      <c r="N18" s="10"/>
      <c r="O18" s="10"/>
      <c r="P18" s="10"/>
      <c r="Q18" s="164"/>
      <c r="R18" s="110"/>
    </row>
    <row r="19" spans="1:18" ht="13.5" customHeight="1">
      <c r="A19" s="90">
        <v>13</v>
      </c>
      <c r="B19" s="24">
        <f>DATE('1.연간시수표'!$U$44,'1.연간시수표'!$X$44,'1.연간시수표'!$Z$44)+QUOTIENT(ROW(A13)-1,8)+(QUOTIENT(ROW(A13)-1,40)*2)</f>
        <v>44800</v>
      </c>
      <c r="C19" s="24" t="b">
        <f t="shared" si="0"/>
        <v>0</v>
      </c>
      <c r="D19" s="116" t="str">
        <f t="shared" si="1"/>
        <v>5교시</v>
      </c>
      <c r="E19" s="68">
        <f>COUNTIF($H$7:$H19,$H19)</f>
        <v>13</v>
      </c>
      <c r="F19" s="67">
        <f>'1.연간시수표'!$AL$33</f>
        <v>5</v>
      </c>
      <c r="G19" s="115">
        <f t="shared" si="2"/>
        <v>2</v>
      </c>
      <c r="H19" s="41" t="str">
        <f>INDEX('0.시간표데이터'!$E$52:$AR$78,QUOTIENT(ROW(A13)-1,40)+1,MOD(ROW(A13)-1,40)+1)</f>
        <v>_</v>
      </c>
      <c r="I19" s="77"/>
      <c r="J19" s="26"/>
      <c r="K19" s="180"/>
      <c r="L19" s="180"/>
      <c r="M19" s="10"/>
      <c r="N19" s="10"/>
      <c r="O19" s="10"/>
      <c r="P19" s="10"/>
      <c r="Q19" s="164"/>
      <c r="R19" s="110"/>
    </row>
    <row r="20" spans="1:18" ht="13.5" customHeight="1">
      <c r="A20" s="90">
        <v>14</v>
      </c>
      <c r="B20" s="24">
        <f>DATE('1.연간시수표'!$U$44,'1.연간시수표'!$X$44,'1.연간시수표'!$Z$44)+QUOTIENT(ROW(A14)-1,8)+(QUOTIENT(ROW(A14)-1,40)*2)</f>
        <v>44800</v>
      </c>
      <c r="C20" s="24" t="b">
        <f t="shared" si="0"/>
        <v>0</v>
      </c>
      <c r="D20" s="116" t="str">
        <f t="shared" si="1"/>
        <v>6교시</v>
      </c>
      <c r="E20" s="68">
        <f>COUNTIF($H$7:$H20,$H20)</f>
        <v>14</v>
      </c>
      <c r="F20" s="67">
        <f>'1.연간시수표'!$AL$33</f>
        <v>5</v>
      </c>
      <c r="G20" s="115">
        <f t="shared" si="2"/>
        <v>2</v>
      </c>
      <c r="H20" s="41" t="str">
        <f>INDEX('0.시간표데이터'!$E$52:$AR$78,QUOTIENT(ROW(A14)-1,40)+1,MOD(ROW(A14)-1,40)+1)</f>
        <v>_</v>
      </c>
      <c r="I20" s="77"/>
      <c r="J20" s="26"/>
      <c r="K20" s="167"/>
      <c r="L20" s="167"/>
      <c r="M20" s="166"/>
      <c r="N20" s="166"/>
      <c r="O20" s="166"/>
      <c r="P20" s="166"/>
      <c r="Q20" s="167"/>
      <c r="R20" s="111"/>
    </row>
    <row r="21" spans="1:18" ht="13.5" customHeight="1">
      <c r="A21" s="90">
        <v>15</v>
      </c>
      <c r="B21" s="24">
        <f>DATE('1.연간시수표'!$U$44,'1.연간시수표'!$X$44,'1.연간시수표'!$Z$44)+QUOTIENT(ROW(A15)-1,8)+(QUOTIENT(ROW(A15)-1,40)*2)</f>
        <v>44800</v>
      </c>
      <c r="C21" s="24" t="b">
        <f t="shared" si="0"/>
        <v>0</v>
      </c>
      <c r="D21" s="116" t="str">
        <f t="shared" si="1"/>
        <v>7교시</v>
      </c>
      <c r="E21" s="68">
        <f>COUNTIF($H$7:$H21,$H21)</f>
        <v>15</v>
      </c>
      <c r="F21" s="67">
        <f>'1.연간시수표'!$AL$33</f>
        <v>5</v>
      </c>
      <c r="G21" s="115">
        <f t="shared" si="2"/>
        <v>2</v>
      </c>
      <c r="H21" s="41" t="str">
        <f>INDEX('0.시간표데이터'!$E$52:$AR$78,QUOTIENT(ROW(A15)-1,40)+1,MOD(ROW(A15)-1,40)+1)</f>
        <v>_</v>
      </c>
      <c r="I21" s="76"/>
      <c r="J21" s="26"/>
      <c r="K21" s="167"/>
      <c r="L21" s="167"/>
      <c r="M21" s="166"/>
      <c r="N21" s="166"/>
      <c r="O21" s="166"/>
      <c r="P21" s="166"/>
      <c r="Q21" s="167"/>
      <c r="R21" s="111"/>
    </row>
    <row r="22" spans="1:18" ht="13.5" customHeight="1">
      <c r="A22" s="90">
        <v>16</v>
      </c>
      <c r="B22" s="24">
        <f>DATE('1.연간시수표'!$U$44,'1.연간시수표'!$X$44,'1.연간시수표'!$Z$44)+QUOTIENT(ROW(A16)-1,8)+(QUOTIENT(ROW(A16)-1,40)*2)</f>
        <v>44800</v>
      </c>
      <c r="C22" s="24" t="b">
        <f t="shared" si="0"/>
        <v>0</v>
      </c>
      <c r="D22" s="116" t="str">
        <f t="shared" si="1"/>
        <v>8교시</v>
      </c>
      <c r="E22" s="68">
        <f>COUNTIF($H$7:$H22,$H22)</f>
        <v>16</v>
      </c>
      <c r="F22" s="67">
        <f>'1.연간시수표'!$AL$33</f>
        <v>5</v>
      </c>
      <c r="G22" s="115">
        <f t="shared" si="2"/>
        <v>2</v>
      </c>
      <c r="H22" s="41" t="str">
        <f>INDEX('0.시간표데이터'!$E$52:$AR$78,QUOTIENT(ROW(A16)-1,40)+1,MOD(ROW(A16)-1,40)+1)</f>
        <v>_</v>
      </c>
      <c r="I22" s="76"/>
      <c r="J22" s="26"/>
      <c r="K22" s="167"/>
      <c r="L22" s="167"/>
      <c r="M22" s="166"/>
      <c r="N22" s="166"/>
      <c r="O22" s="166"/>
      <c r="P22" s="166"/>
      <c r="Q22" s="167"/>
      <c r="R22" s="111"/>
    </row>
    <row r="23" spans="1:18" ht="13.5" customHeight="1">
      <c r="A23" s="90">
        <v>17</v>
      </c>
      <c r="B23" s="24">
        <f>DATE('1.연간시수표'!$U$44,'1.연간시수표'!$X$44,'1.연간시수표'!$Z$44)+QUOTIENT(ROW(A17)-1,8)+(QUOTIENT(ROW(A17)-1,40)*2)</f>
        <v>44801</v>
      </c>
      <c r="C23" s="24" t="b">
        <f t="shared" si="0"/>
        <v>0</v>
      </c>
      <c r="D23" s="116" t="str">
        <f t="shared" si="1"/>
        <v>1교시</v>
      </c>
      <c r="E23" s="68">
        <f>COUNTIF($H$7:$H23,$H23)</f>
        <v>17</v>
      </c>
      <c r="F23" s="67">
        <f>'1.연간시수표'!$AL$33</f>
        <v>5</v>
      </c>
      <c r="G23" s="115">
        <f t="shared" si="2"/>
        <v>2</v>
      </c>
      <c r="H23" s="41" t="str">
        <f>INDEX('0.시간표데이터'!$E$52:$AR$78,QUOTIENT(ROW(A17)-1,40)+1,MOD(ROW(A17)-1,40)+1)</f>
        <v>_</v>
      </c>
      <c r="I23" s="77"/>
      <c r="J23" s="26"/>
      <c r="K23" s="180"/>
      <c r="L23" s="180"/>
      <c r="M23" s="10"/>
      <c r="N23" s="10"/>
      <c r="O23" s="10"/>
      <c r="P23" s="10"/>
      <c r="Q23" s="164"/>
      <c r="R23" s="110"/>
    </row>
    <row r="24" spans="1:18" ht="13.5" customHeight="1">
      <c r="A24" s="90">
        <v>18</v>
      </c>
      <c r="B24" s="24">
        <f>DATE('1.연간시수표'!$U$44,'1.연간시수표'!$X$44,'1.연간시수표'!$Z$44)+QUOTIENT(ROW(A18)-1,8)+(QUOTIENT(ROW(A18)-1,40)*2)</f>
        <v>44801</v>
      </c>
      <c r="C24" s="24" t="b">
        <f t="shared" si="0"/>
        <v>0</v>
      </c>
      <c r="D24" s="116" t="str">
        <f t="shared" si="1"/>
        <v>2교시</v>
      </c>
      <c r="E24" s="68">
        <f>COUNTIF($H$7:$H24,$H24)</f>
        <v>18</v>
      </c>
      <c r="F24" s="67">
        <f>'1.연간시수표'!$AL$33</f>
        <v>5</v>
      </c>
      <c r="G24" s="115">
        <f t="shared" si="2"/>
        <v>2</v>
      </c>
      <c r="H24" s="41" t="str">
        <f>INDEX('0.시간표데이터'!$E$52:$AR$78,QUOTIENT(ROW(A18)-1,40)+1,MOD(ROW(A18)-1,40)+1)</f>
        <v>_</v>
      </c>
      <c r="I24" s="77"/>
      <c r="J24" s="26"/>
      <c r="K24" s="180"/>
      <c r="L24" s="180"/>
      <c r="M24" s="10"/>
      <c r="N24" s="10"/>
      <c r="O24" s="10"/>
      <c r="P24" s="10"/>
      <c r="Q24" s="164"/>
      <c r="R24" s="110"/>
    </row>
    <row r="25" spans="1:18" ht="13.5" customHeight="1">
      <c r="A25" s="90">
        <v>19</v>
      </c>
      <c r="B25" s="24">
        <f>DATE('1.연간시수표'!$U$44,'1.연간시수표'!$X$44,'1.연간시수표'!$Z$44)+QUOTIENT(ROW(A19)-1,8)+(QUOTIENT(ROW(A19)-1,40)*2)</f>
        <v>44801</v>
      </c>
      <c r="C25" s="24" t="b">
        <f t="shared" si="0"/>
        <v>0</v>
      </c>
      <c r="D25" s="116" t="str">
        <f t="shared" si="1"/>
        <v>3교시</v>
      </c>
      <c r="E25" s="68">
        <f>COUNTIF($H$7:$H25,$H25)</f>
        <v>19</v>
      </c>
      <c r="F25" s="67">
        <f>'1.연간시수표'!$AL$33</f>
        <v>5</v>
      </c>
      <c r="G25" s="115">
        <f t="shared" si="2"/>
        <v>2</v>
      </c>
      <c r="H25" s="41" t="str">
        <f>INDEX('0.시간표데이터'!$E$52:$AR$78,QUOTIENT(ROW(A19)-1,40)+1,MOD(ROW(A19)-1,40)+1)</f>
        <v>_</v>
      </c>
      <c r="I25" s="77"/>
      <c r="J25" s="26"/>
      <c r="K25" s="180"/>
      <c r="L25" s="180"/>
      <c r="M25" s="10"/>
      <c r="N25" s="10"/>
      <c r="O25" s="10"/>
      <c r="P25" s="10"/>
      <c r="Q25" s="164"/>
      <c r="R25" s="110"/>
    </row>
    <row r="26" spans="1:18" ht="13.5" customHeight="1">
      <c r="A26" s="90">
        <v>20</v>
      </c>
      <c r="B26" s="24">
        <f>DATE('1.연간시수표'!$U$44,'1.연간시수표'!$X$44,'1.연간시수표'!$Z$44)+QUOTIENT(ROW(A20)-1,8)+(QUOTIENT(ROW(A20)-1,40)*2)</f>
        <v>44801</v>
      </c>
      <c r="C26" s="24" t="b">
        <f t="shared" si="0"/>
        <v>0</v>
      </c>
      <c r="D26" s="116" t="str">
        <f t="shared" si="1"/>
        <v>4교시</v>
      </c>
      <c r="E26" s="68">
        <f>COUNTIF($H$7:$H26,$H26)</f>
        <v>20</v>
      </c>
      <c r="F26" s="67">
        <f>'1.연간시수표'!$AL$33</f>
        <v>5</v>
      </c>
      <c r="G26" s="115">
        <f t="shared" si="2"/>
        <v>2</v>
      </c>
      <c r="H26" s="41" t="str">
        <f>INDEX('0.시간표데이터'!$E$52:$AR$78,QUOTIENT(ROW(A20)-1,40)+1,MOD(ROW(A20)-1,40)+1)</f>
        <v>_</v>
      </c>
      <c r="I26" s="77"/>
      <c r="J26" s="26"/>
      <c r="K26" s="180"/>
      <c r="L26" s="180"/>
      <c r="M26" s="10"/>
      <c r="N26" s="10"/>
      <c r="O26" s="10"/>
      <c r="P26" s="10"/>
      <c r="Q26" s="164"/>
      <c r="R26" s="110"/>
    </row>
    <row r="27" spans="1:18" ht="13.5" customHeight="1">
      <c r="A27" s="90">
        <v>21</v>
      </c>
      <c r="B27" s="24">
        <f>DATE('1.연간시수표'!$U$44,'1.연간시수표'!$X$44,'1.연간시수표'!$Z$44)+QUOTIENT(ROW(A21)-1,8)+(QUOTIENT(ROW(A21)-1,40)*2)</f>
        <v>44801</v>
      </c>
      <c r="C27" s="24" t="b">
        <f t="shared" si="0"/>
        <v>0</v>
      </c>
      <c r="D27" s="116" t="str">
        <f t="shared" si="1"/>
        <v>5교시</v>
      </c>
      <c r="E27" s="68">
        <f>COUNTIF($H$7:$H27,$H27)</f>
        <v>21</v>
      </c>
      <c r="F27" s="67">
        <f>'1.연간시수표'!$AL$33</f>
        <v>5</v>
      </c>
      <c r="G27" s="115">
        <f t="shared" si="2"/>
        <v>2</v>
      </c>
      <c r="H27" s="41" t="str">
        <f>INDEX('0.시간표데이터'!$E$52:$AR$78,QUOTIENT(ROW(A21)-1,40)+1,MOD(ROW(A21)-1,40)+1)</f>
        <v>_</v>
      </c>
      <c r="I27" s="77"/>
      <c r="J27" s="26"/>
      <c r="K27" s="164"/>
      <c r="L27" s="164"/>
      <c r="M27" s="10"/>
      <c r="N27" s="10"/>
      <c r="O27" s="10"/>
      <c r="P27" s="10"/>
      <c r="Q27" s="164"/>
      <c r="R27" s="110"/>
    </row>
    <row r="28" spans="1:18" ht="13.5" customHeight="1">
      <c r="A28" s="90">
        <v>22</v>
      </c>
      <c r="B28" s="24">
        <f>DATE('1.연간시수표'!$U$44,'1.연간시수표'!$X$44,'1.연간시수표'!$Z$44)+QUOTIENT(ROW(A22)-1,8)+(QUOTIENT(ROW(A22)-1,40)*2)</f>
        <v>44801</v>
      </c>
      <c r="C28" s="24" t="b">
        <f t="shared" si="0"/>
        <v>0</v>
      </c>
      <c r="D28" s="116" t="str">
        <f t="shared" si="1"/>
        <v>6교시</v>
      </c>
      <c r="E28" s="68">
        <f>COUNTIF($H$7:$H28,$H28)</f>
        <v>22</v>
      </c>
      <c r="F28" s="67">
        <f>'1.연간시수표'!$AL$33</f>
        <v>5</v>
      </c>
      <c r="G28" s="115">
        <f t="shared" si="2"/>
        <v>2</v>
      </c>
      <c r="H28" s="41" t="str">
        <f>INDEX('0.시간표데이터'!$E$52:$AR$78,QUOTIENT(ROW(A22)-1,40)+1,MOD(ROW(A22)-1,40)+1)</f>
        <v>_</v>
      </c>
      <c r="I28" s="77"/>
      <c r="J28" s="26"/>
      <c r="K28" s="167"/>
      <c r="L28" s="167"/>
      <c r="M28" s="166"/>
      <c r="N28" s="166"/>
      <c r="O28" s="166"/>
      <c r="P28" s="166"/>
      <c r="Q28" s="167"/>
      <c r="R28" s="111"/>
    </row>
    <row r="29" spans="1:18" ht="13.5" customHeight="1">
      <c r="A29" s="90">
        <v>23</v>
      </c>
      <c r="B29" s="24">
        <f>DATE('1.연간시수표'!$U$44,'1.연간시수표'!$X$44,'1.연간시수표'!$Z$44)+QUOTIENT(ROW(A23)-1,8)+(QUOTIENT(ROW(A23)-1,40)*2)</f>
        <v>44801</v>
      </c>
      <c r="C29" s="24" t="b">
        <f t="shared" si="0"/>
        <v>0</v>
      </c>
      <c r="D29" s="116" t="str">
        <f t="shared" si="1"/>
        <v>7교시</v>
      </c>
      <c r="E29" s="68">
        <f>COUNTIF($H$7:$H29,$H29)</f>
        <v>23</v>
      </c>
      <c r="F29" s="67">
        <f>'1.연간시수표'!$AL$33</f>
        <v>5</v>
      </c>
      <c r="G29" s="115">
        <f t="shared" si="2"/>
        <v>2</v>
      </c>
      <c r="H29" s="41" t="str">
        <f>INDEX('0.시간표데이터'!$E$52:$AR$78,QUOTIENT(ROW(A23)-1,40)+1,MOD(ROW(A23)-1,40)+1)</f>
        <v>_</v>
      </c>
      <c r="I29" s="76"/>
      <c r="J29" s="26"/>
      <c r="K29" s="167"/>
      <c r="L29" s="167"/>
      <c r="M29" s="166"/>
      <c r="N29" s="166"/>
      <c r="O29" s="166"/>
      <c r="P29" s="166"/>
      <c r="Q29" s="167"/>
      <c r="R29" s="111"/>
    </row>
    <row r="30" spans="1:18" ht="13.5" customHeight="1">
      <c r="A30" s="90">
        <v>24</v>
      </c>
      <c r="B30" s="24">
        <f>DATE('1.연간시수표'!$U$44,'1.연간시수표'!$X$44,'1.연간시수표'!$Z$44)+QUOTIENT(ROW(A24)-1,8)+(QUOTIENT(ROW(A24)-1,40)*2)</f>
        <v>44801</v>
      </c>
      <c r="C30" s="24" t="b">
        <f t="shared" si="0"/>
        <v>0</v>
      </c>
      <c r="D30" s="116" t="str">
        <f t="shared" si="1"/>
        <v>8교시</v>
      </c>
      <c r="E30" s="68">
        <f>COUNTIF($H$7:$H30,$H30)</f>
        <v>24</v>
      </c>
      <c r="F30" s="67">
        <f>'1.연간시수표'!$AL$33</f>
        <v>5</v>
      </c>
      <c r="G30" s="115">
        <f t="shared" si="2"/>
        <v>2</v>
      </c>
      <c r="H30" s="41" t="str">
        <f>INDEX('0.시간표데이터'!$E$52:$AR$78,QUOTIENT(ROW(A24)-1,40)+1,MOD(ROW(A24)-1,40)+1)</f>
        <v>_</v>
      </c>
      <c r="I30" s="76"/>
      <c r="J30" s="26"/>
      <c r="K30" s="167"/>
      <c r="L30" s="167"/>
      <c r="M30" s="166"/>
      <c r="N30" s="166"/>
      <c r="O30" s="166"/>
      <c r="P30" s="166"/>
      <c r="Q30" s="167"/>
      <c r="R30" s="111"/>
    </row>
    <row r="31" spans="1:18" ht="13.5" customHeight="1">
      <c r="A31" s="90">
        <v>25</v>
      </c>
      <c r="B31" s="24">
        <f>DATE('1.연간시수표'!$U$44,'1.연간시수표'!$X$44,'1.연간시수표'!$Z$44)+QUOTIENT(ROW(A25)-1,8)+(QUOTIENT(ROW(A25)-1,40)*2)</f>
        <v>44802</v>
      </c>
      <c r="C31" s="24" t="str">
        <f t="shared" si="0"/>
        <v>월</v>
      </c>
      <c r="D31" s="116" t="str">
        <f t="shared" si="1"/>
        <v>1교시</v>
      </c>
      <c r="E31" s="68">
        <f>COUNTIF($H$7:$H31,$H31)</f>
        <v>1</v>
      </c>
      <c r="F31" s="67">
        <f>'1.연간시수표'!$AL$33</f>
        <v>5</v>
      </c>
      <c r="G31" s="115">
        <f t="shared" si="2"/>
        <v>2</v>
      </c>
      <c r="H31" s="41" t="str">
        <f>INDEX('0.시간표데이터'!$E$52:$AR$78,QUOTIENT(ROW(A25)-1,40)+1,MOD(ROW(A25)-1,40)+1)</f>
        <v>자율활동</v>
      </c>
      <c r="I31" s="77"/>
      <c r="J31" s="26"/>
      <c r="K31" s="180"/>
      <c r="L31" s="180"/>
      <c r="M31" s="10"/>
      <c r="N31" s="10"/>
      <c r="O31" s="10"/>
      <c r="P31" s="10"/>
      <c r="Q31" s="164"/>
      <c r="R31" s="110"/>
    </row>
    <row r="32" spans="1:18" ht="13.5" customHeight="1">
      <c r="A32" s="90">
        <v>26</v>
      </c>
      <c r="B32" s="24">
        <f>DATE('1.연간시수표'!$U$44,'1.연간시수표'!$X$44,'1.연간시수표'!$Z$44)+QUOTIENT(ROW(A26)-1,8)+(QUOTIENT(ROW(A26)-1,40)*2)</f>
        <v>44802</v>
      </c>
      <c r="C32" s="24" t="str">
        <f t="shared" si="0"/>
        <v>월</v>
      </c>
      <c r="D32" s="116" t="str">
        <f t="shared" si="1"/>
        <v>2교시</v>
      </c>
      <c r="E32" s="68">
        <f>COUNTIF($H$7:$H32,$H32)</f>
        <v>2</v>
      </c>
      <c r="F32" s="67">
        <f>'1.연간시수표'!$AL$33</f>
        <v>5</v>
      </c>
      <c r="G32" s="115">
        <f t="shared" si="2"/>
        <v>2</v>
      </c>
      <c r="H32" s="41" t="str">
        <f>INDEX('0.시간표데이터'!$E$52:$AR$78,QUOTIENT(ROW(A26)-1,40)+1,MOD(ROW(A26)-1,40)+1)</f>
        <v>자율활동</v>
      </c>
      <c r="I32" s="161"/>
      <c r="J32" s="26"/>
      <c r="K32" s="180"/>
      <c r="L32" s="180"/>
      <c r="M32" s="10"/>
      <c r="N32" s="10"/>
      <c r="O32" s="10"/>
      <c r="P32" s="10"/>
      <c r="Q32" s="164"/>
      <c r="R32" s="110"/>
    </row>
    <row r="33" spans="1:18" ht="13.5" customHeight="1">
      <c r="A33" s="90">
        <v>27</v>
      </c>
      <c r="B33" s="24">
        <f>DATE('1.연간시수표'!$U$44,'1.연간시수표'!$X$44,'1.연간시수표'!$Z$44)+QUOTIENT(ROW(A27)-1,8)+(QUOTIENT(ROW(A27)-1,40)*2)</f>
        <v>44802</v>
      </c>
      <c r="C33" s="24" t="str">
        <f t="shared" si="0"/>
        <v>월</v>
      </c>
      <c r="D33" s="116" t="str">
        <f t="shared" si="1"/>
        <v>3교시</v>
      </c>
      <c r="E33" s="68">
        <f>COUNTIF($H$7:$H33,$H33)</f>
        <v>1</v>
      </c>
      <c r="F33" s="67">
        <f>'1.연간시수표'!$AL$33</f>
        <v>5</v>
      </c>
      <c r="G33" s="115">
        <f t="shared" si="2"/>
        <v>2</v>
      </c>
      <c r="H33" s="41" t="str">
        <f>INDEX('0.시간표데이터'!$E$52:$AR$78,QUOTIENT(ROW(A27)-1,40)+1,MOD(ROW(A27)-1,40)+1)</f>
        <v>봉사활동</v>
      </c>
      <c r="I33" s="77"/>
      <c r="J33" s="26"/>
      <c r="K33" s="180"/>
      <c r="L33" s="180"/>
      <c r="M33" s="10"/>
      <c r="N33" s="10"/>
      <c r="O33" s="10"/>
      <c r="P33" s="10"/>
      <c r="Q33" s="164"/>
      <c r="R33" s="110"/>
    </row>
    <row r="34" spans="1:18" ht="13.5" customHeight="1">
      <c r="A34" s="90">
        <v>28</v>
      </c>
      <c r="B34" s="24">
        <f>DATE('1.연간시수표'!$U$44,'1.연간시수표'!$X$44,'1.연간시수표'!$Z$44)+QUOTIENT(ROW(A28)-1,8)+(QUOTIENT(ROW(A28)-1,40)*2)</f>
        <v>44802</v>
      </c>
      <c r="C34" s="24" t="str">
        <f t="shared" si="0"/>
        <v>월</v>
      </c>
      <c r="D34" s="116" t="str">
        <f t="shared" si="1"/>
        <v>4교시</v>
      </c>
      <c r="E34" s="68">
        <f>COUNTIF($H$7:$H34,$H34)</f>
        <v>1</v>
      </c>
      <c r="F34" s="67">
        <f>'1.연간시수표'!$AL$33</f>
        <v>5</v>
      </c>
      <c r="G34" s="115">
        <f t="shared" si="2"/>
        <v>2</v>
      </c>
      <c r="H34" s="41" t="str">
        <f>INDEX('0.시간표데이터'!$E$52:$AR$78,QUOTIENT(ROW(A28)-1,40)+1,MOD(ROW(A28)-1,40)+1)</f>
        <v>영어</v>
      </c>
      <c r="I34" s="77"/>
      <c r="J34" s="26"/>
      <c r="K34" s="164"/>
      <c r="L34" s="164"/>
      <c r="M34" s="10"/>
      <c r="N34" s="10"/>
      <c r="O34" s="10"/>
      <c r="P34" s="10"/>
      <c r="Q34" s="164"/>
      <c r="R34" s="110"/>
    </row>
    <row r="35" spans="1:18" ht="13.5" customHeight="1">
      <c r="A35" s="90">
        <v>29</v>
      </c>
      <c r="B35" s="24">
        <f>DATE('1.연간시수표'!$U$44,'1.연간시수표'!$X$44,'1.연간시수표'!$Z$44)+QUOTIENT(ROW(A29)-1,8)+(QUOTIENT(ROW(A29)-1,40)*2)</f>
        <v>44802</v>
      </c>
      <c r="C35" s="24" t="str">
        <f t="shared" si="0"/>
        <v>월</v>
      </c>
      <c r="D35" s="116" t="str">
        <f t="shared" si="1"/>
        <v>5교시</v>
      </c>
      <c r="E35" s="68">
        <f>COUNTIF($H$7:$H35,$H35)</f>
        <v>1</v>
      </c>
      <c r="F35" s="67">
        <f>'1.연간시수표'!$AL$33</f>
        <v>5</v>
      </c>
      <c r="G35" s="115">
        <f t="shared" si="2"/>
        <v>2</v>
      </c>
      <c r="H35" s="41" t="str">
        <f>INDEX('0.시간표데이터'!$E$52:$AR$78,QUOTIENT(ROW(A29)-1,40)+1,MOD(ROW(A29)-1,40)+1)</f>
        <v>과학</v>
      </c>
      <c r="I35" s="77"/>
      <c r="J35" s="26"/>
      <c r="K35" s="180"/>
      <c r="L35" s="180"/>
      <c r="M35" s="10"/>
      <c r="N35" s="10"/>
      <c r="O35" s="10"/>
      <c r="P35" s="10"/>
      <c r="Q35" s="164"/>
      <c r="R35" s="110"/>
    </row>
    <row r="36" spans="1:18" ht="13.5" customHeight="1">
      <c r="A36" s="90">
        <v>30</v>
      </c>
      <c r="B36" s="24">
        <f>DATE('1.연간시수표'!$U$44,'1.연간시수표'!$X$44,'1.연간시수표'!$Z$44)+QUOTIENT(ROW(A30)-1,8)+(QUOTIENT(ROW(A30)-1,40)*2)</f>
        <v>44802</v>
      </c>
      <c r="C36" s="24" t="str">
        <f t="shared" si="0"/>
        <v>월</v>
      </c>
      <c r="D36" s="116" t="str">
        <f t="shared" si="1"/>
        <v>6교시</v>
      </c>
      <c r="E36" s="68">
        <f>COUNTIF($H$7:$H36,$H36)</f>
        <v>1</v>
      </c>
      <c r="F36" s="67">
        <f>'1.연간시수표'!$AL$33</f>
        <v>5</v>
      </c>
      <c r="G36" s="115">
        <f t="shared" si="2"/>
        <v>2</v>
      </c>
      <c r="H36" s="41" t="str">
        <f>INDEX('0.시간표데이터'!$E$52:$AR$78,QUOTIENT(ROW(A30)-1,40)+1,MOD(ROW(A30)-1,40)+1)</f>
        <v>음악</v>
      </c>
      <c r="I36" s="161"/>
      <c r="J36" s="26"/>
      <c r="K36" s="180"/>
      <c r="L36" s="180"/>
      <c r="M36" s="10"/>
      <c r="N36" s="10"/>
      <c r="O36" s="10"/>
      <c r="P36" s="10"/>
      <c r="Q36" s="164"/>
      <c r="R36" s="110"/>
    </row>
    <row r="37" spans="1:18">
      <c r="A37" s="90">
        <v>31</v>
      </c>
      <c r="B37" s="24">
        <f>DATE('1.연간시수표'!$U$44,'1.연간시수표'!$X$44,'1.연간시수표'!$Z$44)+QUOTIENT(ROW(A31)-1,8)+(QUOTIENT(ROW(A31)-1,40)*2)</f>
        <v>44802</v>
      </c>
      <c r="C37" s="24" t="str">
        <f t="shared" si="0"/>
        <v>월</v>
      </c>
      <c r="D37" s="116" t="str">
        <f t="shared" si="1"/>
        <v>7교시</v>
      </c>
      <c r="E37" s="68">
        <f>COUNTIF($H$7:$H37,$H37)</f>
        <v>25</v>
      </c>
      <c r="F37" s="67">
        <f>'1.연간시수표'!$AL$33</f>
        <v>5</v>
      </c>
      <c r="G37" s="115">
        <f t="shared" si="2"/>
        <v>2</v>
      </c>
      <c r="H37" s="41" t="str">
        <f>INDEX('0.시간표데이터'!$E$52:$AR$78,QUOTIENT(ROW(A31)-1,40)+1,MOD(ROW(A31)-1,40)+1)</f>
        <v>_</v>
      </c>
      <c r="I37" s="76"/>
      <c r="J37" s="26"/>
      <c r="K37" s="167"/>
      <c r="L37" s="167"/>
      <c r="M37" s="166"/>
      <c r="N37" s="166"/>
      <c r="O37" s="166"/>
      <c r="P37" s="166"/>
      <c r="Q37" s="167"/>
      <c r="R37" s="111"/>
    </row>
    <row r="38" spans="1:18">
      <c r="A38" s="90">
        <v>32</v>
      </c>
      <c r="B38" s="24">
        <f>DATE('1.연간시수표'!$U$44,'1.연간시수표'!$X$44,'1.연간시수표'!$Z$44)+QUOTIENT(ROW(A32)-1,8)+(QUOTIENT(ROW(A32)-1,40)*2)</f>
        <v>44802</v>
      </c>
      <c r="C38" s="24" t="str">
        <f t="shared" si="0"/>
        <v>월</v>
      </c>
      <c r="D38" s="116" t="str">
        <f t="shared" si="1"/>
        <v>8교시</v>
      </c>
      <c r="E38" s="68">
        <f>COUNTIF($H$7:$H38,$H38)</f>
        <v>26</v>
      </c>
      <c r="F38" s="67">
        <f>'1.연간시수표'!$AL$33</f>
        <v>5</v>
      </c>
      <c r="G38" s="115">
        <f t="shared" si="2"/>
        <v>2</v>
      </c>
      <c r="H38" s="41" t="str">
        <f>INDEX('0.시간표데이터'!$E$52:$AR$78,QUOTIENT(ROW(A32)-1,40)+1,MOD(ROW(A32)-1,40)+1)</f>
        <v>_</v>
      </c>
      <c r="I38" s="76"/>
      <c r="J38" s="26"/>
      <c r="K38" s="167"/>
      <c r="L38" s="167"/>
      <c r="M38" s="166"/>
      <c r="N38" s="166"/>
      <c r="O38" s="166"/>
      <c r="P38" s="166"/>
      <c r="Q38" s="167"/>
      <c r="R38" s="111"/>
    </row>
    <row r="39" spans="1:18" ht="13.5" customHeight="1">
      <c r="A39" s="90">
        <v>33</v>
      </c>
      <c r="B39" s="24">
        <f>DATE('1.연간시수표'!$U$44,'1.연간시수표'!$X$44,'1.연간시수표'!$Z$44)+QUOTIENT(ROW(A33)-1,8)+(QUOTIENT(ROW(A33)-1,40)*2)</f>
        <v>44803</v>
      </c>
      <c r="C39" s="24" t="str">
        <f t="shared" si="0"/>
        <v>화</v>
      </c>
      <c r="D39" s="116" t="str">
        <f t="shared" si="1"/>
        <v>1교시</v>
      </c>
      <c r="E39" s="68">
        <f>COUNTIF($H$7:$H39,$H39)</f>
        <v>1</v>
      </c>
      <c r="F39" s="67">
        <f>'1.연간시수표'!$AL$33</f>
        <v>5</v>
      </c>
      <c r="G39" s="115">
        <f t="shared" si="2"/>
        <v>2</v>
      </c>
      <c r="H39" s="41" t="str">
        <f>INDEX('0.시간표데이터'!$E$52:$AR$78,QUOTIENT(ROW(A33)-1,40)+1,MOD(ROW(A33)-1,40)+1)</f>
        <v>국어</v>
      </c>
      <c r="I39" s="77"/>
      <c r="J39" s="26"/>
      <c r="K39" s="180"/>
      <c r="L39" s="180"/>
      <c r="M39" s="10"/>
      <c r="N39" s="10"/>
      <c r="O39" s="10"/>
      <c r="P39" s="10"/>
      <c r="Q39" s="164"/>
      <c r="R39" s="110"/>
    </row>
    <row r="40" spans="1:18" ht="13.5" customHeight="1">
      <c r="A40" s="90">
        <v>34</v>
      </c>
      <c r="B40" s="24">
        <f>DATE('1.연간시수표'!$U$44,'1.연간시수표'!$X$44,'1.연간시수표'!$Z$44)+QUOTIENT(ROW(A34)-1,8)+(QUOTIENT(ROW(A34)-1,40)*2)</f>
        <v>44803</v>
      </c>
      <c r="C40" s="24" t="str">
        <f t="shared" si="0"/>
        <v>화</v>
      </c>
      <c r="D40" s="116" t="str">
        <f t="shared" si="1"/>
        <v>2교시</v>
      </c>
      <c r="E40" s="68">
        <f>COUNTIF($H$7:$H40,$H40)</f>
        <v>1</v>
      </c>
      <c r="F40" s="67">
        <f>'1.연간시수표'!$AL$33</f>
        <v>5</v>
      </c>
      <c r="G40" s="115">
        <f t="shared" si="2"/>
        <v>2</v>
      </c>
      <c r="H40" s="41" t="str">
        <f>INDEX('0.시간표데이터'!$E$52:$AR$78,QUOTIENT(ROW(A34)-1,40)+1,MOD(ROW(A34)-1,40)+1)</f>
        <v>체육</v>
      </c>
      <c r="I40" s="77"/>
      <c r="J40" s="26"/>
      <c r="K40" s="180"/>
      <c r="L40" s="180"/>
      <c r="M40" s="10"/>
      <c r="N40" s="10"/>
      <c r="O40" s="10"/>
      <c r="P40" s="10"/>
      <c r="Q40" s="164"/>
      <c r="R40" s="110"/>
    </row>
    <row r="41" spans="1:18" ht="13.5" customHeight="1">
      <c r="A41" s="90">
        <v>35</v>
      </c>
      <c r="B41" s="24">
        <f>DATE('1.연간시수표'!$U$44,'1.연간시수표'!$X$44,'1.연간시수표'!$Z$44)+QUOTIENT(ROW(A35)-1,8)+(QUOTIENT(ROW(A35)-1,40)*2)</f>
        <v>44803</v>
      </c>
      <c r="C41" s="24" t="str">
        <f t="shared" si="0"/>
        <v>화</v>
      </c>
      <c r="D41" s="116" t="str">
        <f t="shared" si="1"/>
        <v>3교시</v>
      </c>
      <c r="E41" s="68">
        <f>COUNTIF($H$7:$H41,$H41)</f>
        <v>1</v>
      </c>
      <c r="F41" s="67">
        <f>'1.연간시수표'!$AL$33</f>
        <v>5</v>
      </c>
      <c r="G41" s="115">
        <f t="shared" si="2"/>
        <v>2</v>
      </c>
      <c r="H41" s="41" t="str">
        <f>INDEX('0.시간표데이터'!$E$52:$AR$78,QUOTIENT(ROW(A35)-1,40)+1,MOD(ROW(A35)-1,40)+1)</f>
        <v>수학</v>
      </c>
      <c r="I41" s="77"/>
      <c r="J41" s="26"/>
      <c r="K41" s="180"/>
      <c r="L41" s="180"/>
      <c r="M41" s="10"/>
      <c r="N41" s="10"/>
      <c r="O41" s="10"/>
      <c r="P41" s="10"/>
      <c r="Q41" s="164"/>
      <c r="R41" s="110"/>
    </row>
    <row r="42" spans="1:18" ht="13.5" customHeight="1">
      <c r="A42" s="90">
        <v>36</v>
      </c>
      <c r="B42" s="24">
        <f>DATE('1.연간시수표'!$U$44,'1.연간시수표'!$X$44,'1.연간시수표'!$Z$44)+QUOTIENT(ROW(A36)-1,8)+(QUOTIENT(ROW(A36)-1,40)*2)</f>
        <v>44803</v>
      </c>
      <c r="C42" s="24" t="str">
        <f t="shared" si="0"/>
        <v>화</v>
      </c>
      <c r="D42" s="116" t="str">
        <f t="shared" si="1"/>
        <v>4교시</v>
      </c>
      <c r="E42" s="68">
        <f>COUNTIF($H$7:$H42,$H42)</f>
        <v>2</v>
      </c>
      <c r="F42" s="67">
        <f>'1.연간시수표'!$AL$33</f>
        <v>5</v>
      </c>
      <c r="G42" s="115">
        <f t="shared" si="2"/>
        <v>2</v>
      </c>
      <c r="H42" s="41" t="str">
        <f>INDEX('0.시간표데이터'!$E$52:$AR$78,QUOTIENT(ROW(A36)-1,40)+1,MOD(ROW(A36)-1,40)+1)</f>
        <v>국어</v>
      </c>
      <c r="I42" s="77"/>
      <c r="J42" s="26"/>
      <c r="K42" s="180"/>
      <c r="L42" s="180"/>
      <c r="M42" s="10"/>
      <c r="N42" s="10"/>
      <c r="O42" s="10"/>
      <c r="P42" s="10"/>
      <c r="Q42" s="164"/>
      <c r="R42" s="110"/>
    </row>
    <row r="43" spans="1:18" ht="13.5" customHeight="1">
      <c r="A43" s="90">
        <v>37</v>
      </c>
      <c r="B43" s="24">
        <f>DATE('1.연간시수표'!$U$44,'1.연간시수표'!$X$44,'1.연간시수표'!$Z$44)+QUOTIENT(ROW(A37)-1,8)+(QUOTIENT(ROW(A37)-1,40)*2)</f>
        <v>44803</v>
      </c>
      <c r="C43" s="24" t="str">
        <f t="shared" si="0"/>
        <v>화</v>
      </c>
      <c r="D43" s="116" t="str">
        <f t="shared" si="1"/>
        <v>5교시</v>
      </c>
      <c r="E43" s="68">
        <f>COUNTIF($H$7:$H43,$H43)</f>
        <v>1</v>
      </c>
      <c r="F43" s="67">
        <f>'1.연간시수표'!$AL$33</f>
        <v>5</v>
      </c>
      <c r="G43" s="115">
        <f t="shared" si="2"/>
        <v>2</v>
      </c>
      <c r="H43" s="41" t="str">
        <f>INDEX('0.시간표데이터'!$E$52:$AR$78,QUOTIENT(ROW(A37)-1,40)+1,MOD(ROW(A37)-1,40)+1)</f>
        <v>사회</v>
      </c>
      <c r="I43" s="77"/>
      <c r="J43" s="26"/>
      <c r="K43" s="180"/>
      <c r="L43" s="180"/>
      <c r="M43" s="10"/>
      <c r="N43" s="10"/>
      <c r="O43" s="10"/>
      <c r="P43" s="10"/>
      <c r="Q43" s="164"/>
      <c r="R43" s="110"/>
    </row>
    <row r="44" spans="1:18" ht="13.5" customHeight="1">
      <c r="A44" s="90">
        <v>38</v>
      </c>
      <c r="B44" s="24">
        <f>DATE('1.연간시수표'!$U$44,'1.연간시수표'!$X$44,'1.연간시수표'!$Z$44)+QUOTIENT(ROW(A38)-1,8)+(QUOTIENT(ROW(A38)-1,40)*2)</f>
        <v>44803</v>
      </c>
      <c r="C44" s="24" t="str">
        <f t="shared" si="0"/>
        <v>화</v>
      </c>
      <c r="D44" s="116" t="str">
        <f t="shared" si="1"/>
        <v>6교시</v>
      </c>
      <c r="E44" s="68">
        <f>COUNTIF($H$7:$H44,$H44)</f>
        <v>1</v>
      </c>
      <c r="F44" s="67">
        <f>'1.연간시수표'!$AL$33</f>
        <v>5</v>
      </c>
      <c r="G44" s="115">
        <f t="shared" si="2"/>
        <v>2</v>
      </c>
      <c r="H44" s="41" t="str">
        <f>INDEX('0.시간표데이터'!$E$52:$AR$78,QUOTIENT(ROW(A38)-1,40)+1,MOD(ROW(A38)-1,40)+1)</f>
        <v>실과</v>
      </c>
      <c r="I44" s="77"/>
      <c r="J44" s="26"/>
      <c r="K44" s="167"/>
      <c r="L44" s="167"/>
      <c r="M44" s="166"/>
      <c r="N44" s="166"/>
      <c r="O44" s="166"/>
      <c r="P44" s="166"/>
      <c r="Q44" s="167"/>
      <c r="R44" s="111"/>
    </row>
    <row r="45" spans="1:18" ht="13.5" customHeight="1">
      <c r="A45" s="90">
        <v>39</v>
      </c>
      <c r="B45" s="24">
        <f>DATE('1.연간시수표'!$U$44,'1.연간시수표'!$X$44,'1.연간시수표'!$Z$44)+QUOTIENT(ROW(A39)-1,8)+(QUOTIENT(ROW(A39)-1,40)*2)</f>
        <v>44803</v>
      </c>
      <c r="C45" s="24" t="str">
        <f t="shared" si="0"/>
        <v>화</v>
      </c>
      <c r="D45" s="116" t="str">
        <f t="shared" si="1"/>
        <v>7교시</v>
      </c>
      <c r="E45" s="68">
        <f>COUNTIF($H$7:$H45,$H45)</f>
        <v>27</v>
      </c>
      <c r="F45" s="67">
        <f>'1.연간시수표'!$AL$33</f>
        <v>5</v>
      </c>
      <c r="G45" s="115">
        <f t="shared" si="2"/>
        <v>2</v>
      </c>
      <c r="H45" s="41" t="str">
        <f>INDEX('0.시간표데이터'!$E$52:$AR$78,QUOTIENT(ROW(A39)-1,40)+1,MOD(ROW(A39)-1,40)+1)</f>
        <v>_</v>
      </c>
      <c r="I45" s="76"/>
      <c r="J45" s="26"/>
      <c r="K45" s="167"/>
      <c r="L45" s="167"/>
      <c r="M45" s="166"/>
      <c r="N45" s="166"/>
      <c r="O45" s="166"/>
      <c r="P45" s="166"/>
      <c r="Q45" s="167"/>
      <c r="R45" s="111"/>
    </row>
    <row r="46" spans="1:18" ht="13.5" customHeight="1">
      <c r="A46" s="90">
        <v>40</v>
      </c>
      <c r="B46" s="24">
        <f>DATE('1.연간시수표'!$U$44,'1.연간시수표'!$X$44,'1.연간시수표'!$Z$44)+QUOTIENT(ROW(A40)-1,8)+(QUOTIENT(ROW(A40)-1,40)*2)</f>
        <v>44803</v>
      </c>
      <c r="C46" s="24" t="str">
        <f t="shared" si="0"/>
        <v>화</v>
      </c>
      <c r="D46" s="116" t="str">
        <f t="shared" si="1"/>
        <v>8교시</v>
      </c>
      <c r="E46" s="68">
        <f>COUNTIF($H$7:$H46,$H46)</f>
        <v>28</v>
      </c>
      <c r="F46" s="67">
        <f>'1.연간시수표'!$AL$33</f>
        <v>5</v>
      </c>
      <c r="G46" s="115">
        <f t="shared" si="2"/>
        <v>2</v>
      </c>
      <c r="H46" s="41" t="str">
        <f>INDEX('0.시간표데이터'!$E$52:$AR$78,QUOTIENT(ROW(A40)-1,40)+1,MOD(ROW(A40)-1,40)+1)</f>
        <v>_</v>
      </c>
      <c r="I46" s="76"/>
      <c r="J46" s="26"/>
      <c r="K46" s="167"/>
      <c r="L46" s="167"/>
      <c r="M46" s="166"/>
      <c r="N46" s="166"/>
      <c r="O46" s="166"/>
      <c r="P46" s="166"/>
      <c r="Q46" s="167"/>
      <c r="R46" s="111"/>
    </row>
    <row r="47" spans="1:18" ht="13.5" customHeight="1">
      <c r="A47" s="90">
        <v>41</v>
      </c>
      <c r="B47" s="24">
        <f>DATE('1.연간시수표'!$U$44,'1.연간시수표'!$X$44,'1.연간시수표'!$Z$44)+QUOTIENT(ROW(A41)-1,8)+(QUOTIENT(ROW(A41)-1,40)*2)</f>
        <v>44806</v>
      </c>
      <c r="C47" s="24" t="str">
        <f t="shared" si="0"/>
        <v>금</v>
      </c>
      <c r="D47" s="116" t="str">
        <f t="shared" si="1"/>
        <v>1교시</v>
      </c>
      <c r="E47" s="68">
        <f>COUNTIF($H$7:$H47,$H47)</f>
        <v>3</v>
      </c>
      <c r="F47" s="67">
        <f>'1.연간시수표'!$AL$33</f>
        <v>5</v>
      </c>
      <c r="G47" s="115">
        <f t="shared" si="2"/>
        <v>2</v>
      </c>
      <c r="H47" s="41" t="str">
        <f>INDEX('0.시간표데이터'!$E$52:$AR$78,QUOTIENT(ROW(A41)-1,40)+1,MOD(ROW(A41)-1,40)+1)</f>
        <v>국어</v>
      </c>
      <c r="I47" s="77"/>
      <c r="J47" s="26"/>
      <c r="K47" s="164"/>
      <c r="L47" s="164"/>
      <c r="M47" s="10"/>
      <c r="N47" s="10"/>
      <c r="O47" s="10"/>
      <c r="P47" s="10"/>
      <c r="Q47" s="164"/>
      <c r="R47" s="110"/>
    </row>
    <row r="48" spans="1:18" ht="13.5" customHeight="1">
      <c r="A48" s="90">
        <v>42</v>
      </c>
      <c r="B48" s="24">
        <f>DATE('1.연간시수표'!$U$44,'1.연간시수표'!$X$44,'1.연간시수표'!$Z$44)+QUOTIENT(ROW(A42)-1,8)+(QUOTIENT(ROW(A42)-1,40)*2)</f>
        <v>44806</v>
      </c>
      <c r="C48" s="24" t="str">
        <f t="shared" si="0"/>
        <v>금</v>
      </c>
      <c r="D48" s="116" t="str">
        <f t="shared" si="1"/>
        <v>2교시</v>
      </c>
      <c r="E48" s="68">
        <f>COUNTIF($H$7:$H48,$H48)</f>
        <v>1</v>
      </c>
      <c r="F48" s="67">
        <f>'1.연간시수표'!$AL$33</f>
        <v>5</v>
      </c>
      <c r="G48" s="115">
        <f t="shared" si="2"/>
        <v>2</v>
      </c>
      <c r="H48" s="41" t="str">
        <f>INDEX('0.시간표데이터'!$E$52:$AR$78,QUOTIENT(ROW(A42)-1,40)+1,MOD(ROW(A42)-1,40)+1)</f>
        <v>미술</v>
      </c>
      <c r="I48" s="161"/>
      <c r="J48" s="26"/>
      <c r="K48" s="180"/>
      <c r="L48" s="180"/>
      <c r="M48" s="10"/>
      <c r="N48" s="10"/>
      <c r="O48" s="10"/>
      <c r="P48" s="10"/>
      <c r="Q48" s="164"/>
      <c r="R48" s="110"/>
    </row>
    <row r="49" spans="1:18" ht="13.5" customHeight="1">
      <c r="A49" s="90">
        <v>43</v>
      </c>
      <c r="B49" s="24">
        <f>DATE('1.연간시수표'!$U$44,'1.연간시수표'!$X$44,'1.연간시수표'!$Z$44)+QUOTIENT(ROW(A43)-1,8)+(QUOTIENT(ROW(A43)-1,40)*2)</f>
        <v>44806</v>
      </c>
      <c r="C49" s="24" t="str">
        <f t="shared" si="0"/>
        <v>금</v>
      </c>
      <c r="D49" s="116" t="str">
        <f t="shared" si="1"/>
        <v>3교시</v>
      </c>
      <c r="E49" s="68">
        <f>COUNTIF($H$7:$H49,$H49)</f>
        <v>2</v>
      </c>
      <c r="F49" s="67">
        <f>'1.연간시수표'!$AL$33</f>
        <v>5</v>
      </c>
      <c r="G49" s="115">
        <f t="shared" si="2"/>
        <v>2</v>
      </c>
      <c r="H49" s="41" t="str">
        <f>INDEX('0.시간표데이터'!$E$52:$AR$78,QUOTIENT(ROW(A43)-1,40)+1,MOD(ROW(A43)-1,40)+1)</f>
        <v>미술</v>
      </c>
      <c r="I49" s="77"/>
      <c r="J49" s="26"/>
      <c r="K49" s="180"/>
      <c r="L49" s="180"/>
      <c r="M49" s="10"/>
      <c r="N49" s="10"/>
      <c r="O49" s="10"/>
      <c r="P49" s="10"/>
      <c r="Q49" s="164"/>
      <c r="R49" s="110"/>
    </row>
    <row r="50" spans="1:18" ht="13.5" customHeight="1">
      <c r="A50" s="90">
        <v>44</v>
      </c>
      <c r="B50" s="24">
        <f>DATE('1.연간시수표'!$U$44,'1.연간시수표'!$X$44,'1.연간시수표'!$Z$44)+QUOTIENT(ROW(A44)-1,8)+(QUOTIENT(ROW(A44)-1,40)*2)</f>
        <v>44806</v>
      </c>
      <c r="C50" s="24" t="str">
        <f t="shared" si="0"/>
        <v>금</v>
      </c>
      <c r="D50" s="116" t="str">
        <f t="shared" si="1"/>
        <v>4교시</v>
      </c>
      <c r="E50" s="68">
        <f>COUNTIF($H$7:$H50,$H50)</f>
        <v>2</v>
      </c>
      <c r="F50" s="67">
        <f>'1.연간시수표'!$AL$33</f>
        <v>5</v>
      </c>
      <c r="G50" s="115">
        <f t="shared" si="2"/>
        <v>2</v>
      </c>
      <c r="H50" s="41" t="str">
        <f>INDEX('0.시간표데이터'!$E$52:$AR$78,QUOTIENT(ROW(A44)-1,40)+1,MOD(ROW(A44)-1,40)+1)</f>
        <v>영어</v>
      </c>
      <c r="I50" s="77"/>
      <c r="J50" s="26"/>
      <c r="K50" s="180"/>
      <c r="L50" s="180"/>
      <c r="M50" s="10"/>
      <c r="N50" s="10"/>
      <c r="O50" s="10"/>
      <c r="P50" s="10"/>
      <c r="Q50" s="164"/>
      <c r="R50" s="110"/>
    </row>
    <row r="51" spans="1:18" ht="13.5" customHeight="1">
      <c r="A51" s="90">
        <v>45</v>
      </c>
      <c r="B51" s="24">
        <f>DATE('1.연간시수표'!$U$44,'1.연간시수표'!$X$44,'1.연간시수표'!$Z$44)+QUOTIENT(ROW(A45)-1,8)+(QUOTIENT(ROW(A45)-1,40)*2)</f>
        <v>44806</v>
      </c>
      <c r="C51" s="24" t="str">
        <f t="shared" si="0"/>
        <v>금</v>
      </c>
      <c r="D51" s="116" t="str">
        <f t="shared" si="1"/>
        <v>5교시</v>
      </c>
      <c r="E51" s="68">
        <f>COUNTIF($H$7:$H51,$H51)</f>
        <v>2</v>
      </c>
      <c r="F51" s="67">
        <f>'1.연간시수표'!$AL$33</f>
        <v>5</v>
      </c>
      <c r="G51" s="115">
        <f t="shared" si="2"/>
        <v>2</v>
      </c>
      <c r="H51" s="41" t="str">
        <f>INDEX('0.시간표데이터'!$E$52:$AR$78,QUOTIENT(ROW(A45)-1,40)+1,MOD(ROW(A45)-1,40)+1)</f>
        <v>수학</v>
      </c>
      <c r="I51" s="77"/>
      <c r="J51" s="26"/>
      <c r="K51" s="180"/>
      <c r="L51" s="180"/>
      <c r="M51" s="10"/>
      <c r="N51" s="10"/>
      <c r="O51" s="10"/>
      <c r="P51" s="10"/>
      <c r="Q51" s="164"/>
      <c r="R51" s="110"/>
    </row>
    <row r="52" spans="1:18" ht="13.5" customHeight="1">
      <c r="A52" s="90">
        <v>46</v>
      </c>
      <c r="B52" s="24">
        <f>DATE('1.연간시수표'!$U$44,'1.연간시수표'!$X$44,'1.연간시수표'!$Z$44)+QUOTIENT(ROW(A46)-1,8)+(QUOTIENT(ROW(A46)-1,40)*2)</f>
        <v>44806</v>
      </c>
      <c r="C52" s="24" t="str">
        <f t="shared" si="0"/>
        <v>금</v>
      </c>
      <c r="D52" s="116" t="str">
        <f t="shared" si="1"/>
        <v>6교시</v>
      </c>
      <c r="E52" s="68">
        <f>COUNTIF($H$7:$H52,$H52)</f>
        <v>3</v>
      </c>
      <c r="F52" s="67">
        <f>'1.연간시수표'!$AL$33</f>
        <v>5</v>
      </c>
      <c r="G52" s="115">
        <f t="shared" si="2"/>
        <v>2</v>
      </c>
      <c r="H52" s="41" t="str">
        <f>INDEX('0.시간표데이터'!$E$52:$AR$78,QUOTIENT(ROW(A46)-1,40)+1,MOD(ROW(A46)-1,40)+1)</f>
        <v>자율활동</v>
      </c>
      <c r="I52" s="77"/>
      <c r="J52" s="26"/>
      <c r="K52" s="167"/>
      <c r="L52" s="167"/>
      <c r="M52" s="166"/>
      <c r="N52" s="166"/>
      <c r="O52" s="166"/>
      <c r="P52" s="166"/>
      <c r="Q52" s="167"/>
      <c r="R52" s="111"/>
    </row>
    <row r="53" spans="1:18" ht="13.5" customHeight="1">
      <c r="A53" s="90">
        <v>47</v>
      </c>
      <c r="B53" s="24">
        <f>DATE('1.연간시수표'!$U$44,'1.연간시수표'!$X$44,'1.연간시수표'!$Z$44)+QUOTIENT(ROW(A47)-1,8)+(QUOTIENT(ROW(A47)-1,40)*2)</f>
        <v>44806</v>
      </c>
      <c r="C53" s="24" t="str">
        <f t="shared" si="0"/>
        <v>금</v>
      </c>
      <c r="D53" s="116" t="str">
        <f t="shared" si="1"/>
        <v>7교시</v>
      </c>
      <c r="E53" s="68">
        <f>COUNTIF($H$7:$H53,$H53)</f>
        <v>29</v>
      </c>
      <c r="F53" s="67">
        <f>'1.연간시수표'!$AL$33</f>
        <v>5</v>
      </c>
      <c r="G53" s="115">
        <f t="shared" si="2"/>
        <v>2</v>
      </c>
      <c r="H53" s="41" t="str">
        <f>INDEX('0.시간표데이터'!$E$52:$AR$78,QUOTIENT(ROW(A47)-1,40)+1,MOD(ROW(A47)-1,40)+1)</f>
        <v>_</v>
      </c>
      <c r="I53" s="76"/>
      <c r="J53" s="26"/>
      <c r="K53" s="167"/>
      <c r="L53" s="167"/>
      <c r="M53" s="166"/>
      <c r="N53" s="166"/>
      <c r="O53" s="166"/>
      <c r="P53" s="166"/>
      <c r="Q53" s="167"/>
      <c r="R53" s="111"/>
    </row>
    <row r="54" spans="1:18" ht="13.5" customHeight="1">
      <c r="A54" s="90">
        <v>48</v>
      </c>
      <c r="B54" s="24">
        <f>DATE('1.연간시수표'!$U$44,'1.연간시수표'!$X$44,'1.연간시수표'!$Z$44)+QUOTIENT(ROW(A48)-1,8)+(QUOTIENT(ROW(A48)-1,40)*2)</f>
        <v>44806</v>
      </c>
      <c r="C54" s="24" t="str">
        <f t="shared" si="0"/>
        <v>금</v>
      </c>
      <c r="D54" s="116" t="str">
        <f t="shared" si="1"/>
        <v>8교시</v>
      </c>
      <c r="E54" s="68">
        <f>COUNTIF($H$7:$H54,$H54)</f>
        <v>30</v>
      </c>
      <c r="F54" s="67">
        <f>'1.연간시수표'!$AL$33</f>
        <v>5</v>
      </c>
      <c r="G54" s="115">
        <f t="shared" si="2"/>
        <v>2</v>
      </c>
      <c r="H54" s="41" t="str">
        <f>INDEX('0.시간표데이터'!$E$52:$AR$78,QUOTIENT(ROW(A48)-1,40)+1,MOD(ROW(A48)-1,40)+1)</f>
        <v>_</v>
      </c>
      <c r="I54" s="76"/>
      <c r="J54" s="26"/>
      <c r="K54" s="167"/>
      <c r="L54" s="167"/>
      <c r="M54" s="166"/>
      <c r="N54" s="166"/>
      <c r="O54" s="166"/>
      <c r="P54" s="166"/>
      <c r="Q54" s="167"/>
      <c r="R54" s="111"/>
    </row>
    <row r="55" spans="1:18" ht="13.5" customHeight="1">
      <c r="A55" s="90">
        <v>49</v>
      </c>
      <c r="B55" s="24">
        <f>DATE('1.연간시수표'!$U$44,'1.연간시수표'!$X$44,'1.연간시수표'!$Z$44)+QUOTIENT(ROW(A49)-1,8)+(QUOTIENT(ROW(A49)-1,40)*2)</f>
        <v>44807</v>
      </c>
      <c r="C55" s="24" t="b">
        <f t="shared" si="0"/>
        <v>0</v>
      </c>
      <c r="D55" s="116" t="str">
        <f t="shared" si="1"/>
        <v>1교시</v>
      </c>
      <c r="E55" s="68">
        <f>COUNTIF($H$7:$H55,$H55)</f>
        <v>4</v>
      </c>
      <c r="F55" s="67">
        <f>'1.연간시수표'!$AL$33</f>
        <v>5</v>
      </c>
      <c r="G55" s="115">
        <f t="shared" si="2"/>
        <v>2</v>
      </c>
      <c r="H55" s="41" t="str">
        <f>INDEX('0.시간표데이터'!$E$52:$AR$78,QUOTIENT(ROW(A49)-1,40)+1,MOD(ROW(A49)-1,40)+1)</f>
        <v>국어</v>
      </c>
      <c r="I55" s="77"/>
      <c r="J55" s="26"/>
      <c r="K55" s="180"/>
      <c r="L55" s="180"/>
      <c r="M55" s="10"/>
      <c r="N55" s="10"/>
      <c r="O55" s="10"/>
      <c r="P55" s="10"/>
      <c r="Q55" s="164"/>
      <c r="R55" s="110"/>
    </row>
    <row r="56" spans="1:18" ht="13.5" customHeight="1">
      <c r="A56" s="90">
        <v>50</v>
      </c>
      <c r="B56" s="24">
        <f>DATE('1.연간시수표'!$U$44,'1.연간시수표'!$X$44,'1.연간시수표'!$Z$44)+QUOTIENT(ROW(A50)-1,8)+(QUOTIENT(ROW(A50)-1,40)*2)</f>
        <v>44807</v>
      </c>
      <c r="C56" s="24" t="b">
        <f t="shared" si="0"/>
        <v>0</v>
      </c>
      <c r="D56" s="116" t="str">
        <f t="shared" si="1"/>
        <v>2교시</v>
      </c>
      <c r="E56" s="68">
        <f>COUNTIF($H$7:$H56,$H56)</f>
        <v>5</v>
      </c>
      <c r="F56" s="67">
        <f>'1.연간시수표'!$AL$33</f>
        <v>5</v>
      </c>
      <c r="G56" s="115">
        <f t="shared" si="2"/>
        <v>2</v>
      </c>
      <c r="H56" s="41" t="str">
        <f>INDEX('0.시간표데이터'!$E$52:$AR$78,QUOTIENT(ROW(A50)-1,40)+1,MOD(ROW(A50)-1,40)+1)</f>
        <v>국어</v>
      </c>
      <c r="I56" s="161"/>
      <c r="J56" s="26"/>
      <c r="K56" s="180"/>
      <c r="L56" s="180"/>
      <c r="M56" s="10"/>
      <c r="N56" s="10"/>
      <c r="O56" s="10"/>
      <c r="P56" s="10"/>
      <c r="Q56" s="164"/>
      <c r="R56" s="110"/>
    </row>
    <row r="57" spans="1:18" ht="13.5" customHeight="1">
      <c r="A57" s="90">
        <v>51</v>
      </c>
      <c r="B57" s="24">
        <f>DATE('1.연간시수표'!$U$44,'1.연간시수표'!$X$44,'1.연간시수표'!$Z$44)+QUOTIENT(ROW(A51)-1,8)+(QUOTIENT(ROW(A51)-1,40)*2)</f>
        <v>44807</v>
      </c>
      <c r="C57" s="24" t="b">
        <f t="shared" si="0"/>
        <v>0</v>
      </c>
      <c r="D57" s="116" t="str">
        <f t="shared" si="1"/>
        <v>3교시</v>
      </c>
      <c r="E57" s="68">
        <f>COUNTIF($H$7:$H57,$H57)</f>
        <v>2</v>
      </c>
      <c r="F57" s="67">
        <f>'1.연간시수표'!$AL$33</f>
        <v>5</v>
      </c>
      <c r="G57" s="115">
        <f t="shared" si="2"/>
        <v>2</v>
      </c>
      <c r="H57" s="41" t="str">
        <f>INDEX('0.시간표데이터'!$E$52:$AR$78,QUOTIENT(ROW(A51)-1,40)+1,MOD(ROW(A51)-1,40)+1)</f>
        <v>사회</v>
      </c>
      <c r="I57" s="77"/>
      <c r="J57" s="26"/>
      <c r="K57" s="164"/>
      <c r="L57" s="164"/>
      <c r="M57" s="10"/>
      <c r="N57" s="10"/>
      <c r="O57" s="10"/>
      <c r="P57" s="10"/>
      <c r="Q57" s="164"/>
      <c r="R57" s="110"/>
    </row>
    <row r="58" spans="1:18" ht="13.5" customHeight="1">
      <c r="A58" s="90">
        <v>52</v>
      </c>
      <c r="B58" s="24">
        <f>DATE('1.연간시수표'!$U$44,'1.연간시수표'!$X$44,'1.연간시수표'!$Z$44)+QUOTIENT(ROW(A52)-1,8)+(QUOTIENT(ROW(A52)-1,40)*2)</f>
        <v>44807</v>
      </c>
      <c r="C58" s="24" t="b">
        <f t="shared" si="0"/>
        <v>0</v>
      </c>
      <c r="D58" s="116" t="str">
        <f t="shared" si="1"/>
        <v>4교시</v>
      </c>
      <c r="E58" s="68">
        <f>COUNTIF($H$7:$H58,$H58)</f>
        <v>3</v>
      </c>
      <c r="F58" s="67">
        <f>'1.연간시수표'!$AL$33</f>
        <v>5</v>
      </c>
      <c r="G58" s="115">
        <f t="shared" si="2"/>
        <v>2</v>
      </c>
      <c r="H58" s="41" t="str">
        <f>INDEX('0.시간표데이터'!$E$52:$AR$78,QUOTIENT(ROW(A52)-1,40)+1,MOD(ROW(A52)-1,40)+1)</f>
        <v>수학</v>
      </c>
      <c r="I58" s="77"/>
      <c r="J58" s="26"/>
      <c r="K58" s="180"/>
      <c r="L58" s="180"/>
      <c r="M58" s="10"/>
      <c r="N58" s="10"/>
      <c r="O58" s="10"/>
      <c r="P58" s="10"/>
      <c r="Q58" s="164"/>
      <c r="R58" s="110"/>
    </row>
    <row r="59" spans="1:18" ht="13.5" customHeight="1">
      <c r="A59" s="90">
        <v>53</v>
      </c>
      <c r="B59" s="24">
        <f>DATE('1.연간시수표'!$U$44,'1.연간시수표'!$X$44,'1.연간시수표'!$Z$44)+QUOTIENT(ROW(A53)-1,8)+(QUOTIENT(ROW(A53)-1,40)*2)</f>
        <v>44807</v>
      </c>
      <c r="C59" s="24" t="b">
        <f t="shared" si="0"/>
        <v>0</v>
      </c>
      <c r="D59" s="116" t="str">
        <f t="shared" si="1"/>
        <v>5교시</v>
      </c>
      <c r="E59" s="68">
        <f>COUNTIF($H$7:$H59,$H59)</f>
        <v>2</v>
      </c>
      <c r="F59" s="67">
        <f>'1.연간시수표'!$AL$33</f>
        <v>5</v>
      </c>
      <c r="G59" s="115">
        <f t="shared" si="2"/>
        <v>2</v>
      </c>
      <c r="H59" s="41" t="str">
        <f>INDEX('0.시간표데이터'!$E$52:$AR$78,QUOTIENT(ROW(A53)-1,40)+1,MOD(ROW(A53)-1,40)+1)</f>
        <v>과학</v>
      </c>
      <c r="I59" s="77"/>
      <c r="J59" s="26"/>
      <c r="K59" s="180"/>
      <c r="L59" s="180"/>
      <c r="M59" s="10"/>
      <c r="N59" s="10"/>
      <c r="O59" s="10"/>
      <c r="P59" s="10"/>
      <c r="Q59" s="164"/>
      <c r="R59" s="110"/>
    </row>
    <row r="60" spans="1:18" ht="13.5" customHeight="1">
      <c r="A60" s="90">
        <v>54</v>
      </c>
      <c r="B60" s="24">
        <f>DATE('1.연간시수표'!$U$44,'1.연간시수표'!$X$44,'1.연간시수표'!$Z$44)+QUOTIENT(ROW(A54)-1,8)+(QUOTIENT(ROW(A54)-1,40)*2)</f>
        <v>44807</v>
      </c>
      <c r="C60" s="24" t="b">
        <f t="shared" si="0"/>
        <v>0</v>
      </c>
      <c r="D60" s="116" t="str">
        <f t="shared" si="1"/>
        <v>6교시</v>
      </c>
      <c r="E60" s="68">
        <f>COUNTIF($H$7:$H60,$H60)</f>
        <v>2</v>
      </c>
      <c r="F60" s="67">
        <f>'1.연간시수표'!$AL$33</f>
        <v>5</v>
      </c>
      <c r="G60" s="115">
        <f t="shared" si="2"/>
        <v>2</v>
      </c>
      <c r="H60" s="41" t="str">
        <f>INDEX('0.시간표데이터'!$E$52:$AR$78,QUOTIENT(ROW(A54)-1,40)+1,MOD(ROW(A54)-1,40)+1)</f>
        <v>실과</v>
      </c>
      <c r="I60" s="77"/>
      <c r="J60" s="26"/>
      <c r="K60" s="167"/>
      <c r="L60" s="167"/>
      <c r="M60" s="166"/>
      <c r="N60" s="166"/>
      <c r="O60" s="166"/>
      <c r="P60" s="166"/>
      <c r="Q60" s="167"/>
      <c r="R60" s="111"/>
    </row>
    <row r="61" spans="1:18" ht="13.5" customHeight="1">
      <c r="A61" s="90">
        <v>55</v>
      </c>
      <c r="B61" s="24">
        <f>DATE('1.연간시수표'!$U$44,'1.연간시수표'!$X$44,'1.연간시수표'!$Z$44)+QUOTIENT(ROW(A55)-1,8)+(QUOTIENT(ROW(A55)-1,40)*2)</f>
        <v>44807</v>
      </c>
      <c r="C61" s="24" t="b">
        <f t="shared" si="0"/>
        <v>0</v>
      </c>
      <c r="D61" s="116" t="str">
        <f t="shared" si="1"/>
        <v>7교시</v>
      </c>
      <c r="E61" s="68">
        <f>COUNTIF($H$7:$H61,$H61)</f>
        <v>31</v>
      </c>
      <c r="F61" s="67">
        <f>'1.연간시수표'!$AL$33</f>
        <v>5</v>
      </c>
      <c r="G61" s="115">
        <f t="shared" si="2"/>
        <v>2</v>
      </c>
      <c r="H61" s="41" t="str">
        <f>INDEX('0.시간표데이터'!$E$52:$AR$78,QUOTIENT(ROW(A55)-1,40)+1,MOD(ROW(A55)-1,40)+1)</f>
        <v>_</v>
      </c>
      <c r="I61" s="76"/>
      <c r="J61" s="26"/>
      <c r="K61" s="167"/>
      <c r="L61" s="167"/>
      <c r="M61" s="166"/>
      <c r="N61" s="166"/>
      <c r="O61" s="166"/>
      <c r="P61" s="166"/>
      <c r="Q61" s="167"/>
      <c r="R61" s="111"/>
    </row>
    <row r="62" spans="1:18" ht="13.5" customHeight="1">
      <c r="A62" s="90">
        <v>56</v>
      </c>
      <c r="B62" s="24">
        <f>DATE('1.연간시수표'!$U$44,'1.연간시수표'!$X$44,'1.연간시수표'!$Z$44)+QUOTIENT(ROW(A56)-1,8)+(QUOTIENT(ROW(A56)-1,40)*2)</f>
        <v>44807</v>
      </c>
      <c r="C62" s="24" t="b">
        <f t="shared" si="0"/>
        <v>0</v>
      </c>
      <c r="D62" s="116" t="str">
        <f t="shared" si="1"/>
        <v>8교시</v>
      </c>
      <c r="E62" s="68">
        <f>COUNTIF($H$7:$H62,$H62)</f>
        <v>32</v>
      </c>
      <c r="F62" s="67">
        <f>'1.연간시수표'!$AL$33</f>
        <v>5</v>
      </c>
      <c r="G62" s="115">
        <f t="shared" si="2"/>
        <v>2</v>
      </c>
      <c r="H62" s="41" t="str">
        <f>INDEX('0.시간표데이터'!$E$52:$AR$78,QUOTIENT(ROW(A56)-1,40)+1,MOD(ROW(A56)-1,40)+1)</f>
        <v>_</v>
      </c>
      <c r="I62" s="76"/>
      <c r="J62" s="26"/>
      <c r="K62" s="167"/>
      <c r="L62" s="167"/>
      <c r="M62" s="166"/>
      <c r="N62" s="166"/>
      <c r="O62" s="166"/>
      <c r="P62" s="166"/>
      <c r="Q62" s="167"/>
      <c r="R62" s="111"/>
    </row>
    <row r="63" spans="1:18" ht="13.5" customHeight="1">
      <c r="A63" s="90">
        <v>57</v>
      </c>
      <c r="B63" s="24">
        <f>DATE('1.연간시수표'!$U$44,'1.연간시수표'!$X$44,'1.연간시수표'!$Z$44)+QUOTIENT(ROW(A57)-1,8)+(QUOTIENT(ROW(A57)-1,40)*2)</f>
        <v>44808</v>
      </c>
      <c r="C63" s="24" t="b">
        <f t="shared" si="0"/>
        <v>0</v>
      </c>
      <c r="D63" s="116" t="str">
        <f t="shared" si="1"/>
        <v>1교시</v>
      </c>
      <c r="E63" s="68">
        <f>COUNTIF($H$7:$H63,$H63)</f>
        <v>3</v>
      </c>
      <c r="F63" s="67">
        <f>'1.연간시수표'!$AL$33</f>
        <v>5</v>
      </c>
      <c r="G63" s="115">
        <f t="shared" si="2"/>
        <v>2</v>
      </c>
      <c r="H63" s="41" t="str">
        <f>INDEX('0.시간표데이터'!$E$52:$AR$78,QUOTIENT(ROW(A57)-1,40)+1,MOD(ROW(A57)-1,40)+1)</f>
        <v>영어</v>
      </c>
      <c r="I63" s="77"/>
      <c r="J63" s="26"/>
      <c r="K63" s="180"/>
      <c r="L63" s="180"/>
      <c r="M63" s="10"/>
      <c r="N63" s="10"/>
      <c r="O63" s="10"/>
      <c r="P63" s="10"/>
      <c r="Q63" s="164"/>
      <c r="R63" s="110"/>
    </row>
    <row r="64" spans="1:18" ht="13.5" customHeight="1">
      <c r="A64" s="90">
        <v>58</v>
      </c>
      <c r="B64" s="24">
        <f>DATE('1.연간시수표'!$U$44,'1.연간시수표'!$X$44,'1.연간시수표'!$Z$44)+QUOTIENT(ROW(A58)-1,8)+(QUOTIENT(ROW(A58)-1,40)*2)</f>
        <v>44808</v>
      </c>
      <c r="C64" s="24" t="b">
        <f t="shared" si="0"/>
        <v>0</v>
      </c>
      <c r="D64" s="116" t="str">
        <f t="shared" si="1"/>
        <v>2교시</v>
      </c>
      <c r="E64" s="68">
        <f>COUNTIF($H$7:$H64,$H64)</f>
        <v>3</v>
      </c>
      <c r="F64" s="67">
        <f>'1.연간시수표'!$AL$33</f>
        <v>5</v>
      </c>
      <c r="G64" s="115">
        <f t="shared" si="2"/>
        <v>2</v>
      </c>
      <c r="H64" s="41" t="str">
        <f>INDEX('0.시간표데이터'!$E$52:$AR$78,QUOTIENT(ROW(A58)-1,40)+1,MOD(ROW(A58)-1,40)+1)</f>
        <v>과학</v>
      </c>
      <c r="I64" s="77"/>
      <c r="J64" s="26"/>
      <c r="K64" s="180"/>
      <c r="L64" s="180"/>
      <c r="M64" s="10"/>
      <c r="N64" s="10"/>
      <c r="O64" s="10"/>
      <c r="P64" s="10"/>
      <c r="Q64" s="164"/>
      <c r="R64" s="110"/>
    </row>
    <row r="65" spans="1:18" ht="13.5" customHeight="1">
      <c r="A65" s="90">
        <v>59</v>
      </c>
      <c r="B65" s="24">
        <f>DATE('1.연간시수표'!$U$44,'1.연간시수표'!$X$44,'1.연간시수표'!$Z$44)+QUOTIENT(ROW(A59)-1,8)+(QUOTIENT(ROW(A59)-1,40)*2)</f>
        <v>44808</v>
      </c>
      <c r="C65" s="24" t="b">
        <f t="shared" si="0"/>
        <v>0</v>
      </c>
      <c r="D65" s="116" t="str">
        <f t="shared" si="1"/>
        <v>3교시</v>
      </c>
      <c r="E65" s="68">
        <f>COUNTIF($H$7:$H65,$H65)</f>
        <v>2</v>
      </c>
      <c r="F65" s="67">
        <f>'1.연간시수표'!$AL$33</f>
        <v>5</v>
      </c>
      <c r="G65" s="115">
        <f t="shared" si="2"/>
        <v>2</v>
      </c>
      <c r="H65" s="41" t="str">
        <f>INDEX('0.시간표데이터'!$E$52:$AR$78,QUOTIENT(ROW(A59)-1,40)+1,MOD(ROW(A59)-1,40)+1)</f>
        <v>체육</v>
      </c>
      <c r="I65" s="77"/>
      <c r="J65" s="26"/>
      <c r="K65" s="180"/>
      <c r="L65" s="180"/>
      <c r="M65" s="10"/>
      <c r="N65" s="10"/>
      <c r="O65" s="10"/>
      <c r="P65" s="10"/>
      <c r="Q65" s="164"/>
      <c r="R65" s="110"/>
    </row>
    <row r="66" spans="1:18" ht="13.5" customHeight="1">
      <c r="A66" s="90">
        <v>60</v>
      </c>
      <c r="B66" s="24">
        <f>DATE('1.연간시수표'!$U$44,'1.연간시수표'!$X$44,'1.연간시수표'!$Z$44)+QUOTIENT(ROW(A60)-1,8)+(QUOTIENT(ROW(A60)-1,40)*2)</f>
        <v>44808</v>
      </c>
      <c r="C66" s="24" t="b">
        <f t="shared" si="0"/>
        <v>0</v>
      </c>
      <c r="D66" s="116" t="str">
        <f t="shared" si="1"/>
        <v>4교시</v>
      </c>
      <c r="E66" s="68">
        <f>COUNTIF($H$7:$H66,$H66)</f>
        <v>2</v>
      </c>
      <c r="F66" s="67">
        <f>'1.연간시수표'!$AL$33</f>
        <v>5</v>
      </c>
      <c r="G66" s="115">
        <f t="shared" si="2"/>
        <v>2</v>
      </c>
      <c r="H66" s="41" t="str">
        <f>INDEX('0.시간표데이터'!$E$52:$AR$78,QUOTIENT(ROW(A60)-1,40)+1,MOD(ROW(A60)-1,40)+1)</f>
        <v>음악</v>
      </c>
      <c r="I66" s="77"/>
      <c r="J66" s="26"/>
      <c r="K66" s="180"/>
      <c r="L66" s="180"/>
      <c r="M66" s="10"/>
      <c r="N66" s="10"/>
      <c r="O66" s="10"/>
      <c r="P66" s="10"/>
      <c r="Q66" s="164"/>
      <c r="R66" s="110"/>
    </row>
    <row r="67" spans="1:18">
      <c r="A67" s="90">
        <v>61</v>
      </c>
      <c r="B67" s="24">
        <f>DATE('1.연간시수표'!$U$44,'1.연간시수표'!$X$44,'1.연간시수표'!$Z$44)+QUOTIENT(ROW(A61)-1,8)+(QUOTIENT(ROW(A61)-1,40)*2)</f>
        <v>44808</v>
      </c>
      <c r="C67" s="24" t="b">
        <f t="shared" si="0"/>
        <v>0</v>
      </c>
      <c r="D67" s="116" t="str">
        <f t="shared" si="1"/>
        <v>5교시</v>
      </c>
      <c r="E67" s="68">
        <f>COUNTIF($H$7:$H67,$H67)</f>
        <v>1</v>
      </c>
      <c r="F67" s="67">
        <f>'1.연간시수표'!$AL$33</f>
        <v>5</v>
      </c>
      <c r="G67" s="115">
        <f t="shared" si="2"/>
        <v>2</v>
      </c>
      <c r="H67" s="41" t="str">
        <f>INDEX('0.시간표데이터'!$E$52:$AR$78,QUOTIENT(ROW(A61)-1,40)+1,MOD(ROW(A61)-1,40)+1)</f>
        <v>도덕</v>
      </c>
      <c r="I67" s="77"/>
      <c r="J67" s="26"/>
      <c r="K67" s="164"/>
      <c r="L67" s="164"/>
      <c r="M67" s="10"/>
      <c r="N67" s="10"/>
      <c r="O67" s="10"/>
      <c r="P67" s="10"/>
      <c r="Q67" s="164"/>
      <c r="R67" s="110"/>
    </row>
    <row r="68" spans="1:18">
      <c r="A68" s="90">
        <v>62</v>
      </c>
      <c r="B68" s="24">
        <f>DATE('1.연간시수표'!$U$44,'1.연간시수표'!$X$44,'1.연간시수표'!$Z$44)+QUOTIENT(ROW(A62)-1,8)+(QUOTIENT(ROW(A62)-1,40)*2)</f>
        <v>44808</v>
      </c>
      <c r="C68" s="24" t="b">
        <f t="shared" si="0"/>
        <v>0</v>
      </c>
      <c r="D68" s="116" t="str">
        <f t="shared" si="1"/>
        <v>6교시</v>
      </c>
      <c r="E68" s="68">
        <f>COUNTIF($H$7:$H68,$H68)</f>
        <v>33</v>
      </c>
      <c r="F68" s="67">
        <f>'1.연간시수표'!$AL$33</f>
        <v>5</v>
      </c>
      <c r="G68" s="115">
        <f t="shared" si="2"/>
        <v>2</v>
      </c>
      <c r="H68" s="41" t="str">
        <f>INDEX('0.시간표데이터'!$E$52:$AR$78,QUOTIENT(ROW(A62)-1,40)+1,MOD(ROW(A62)-1,40)+1)</f>
        <v>_</v>
      </c>
      <c r="I68" s="77"/>
      <c r="J68" s="26"/>
      <c r="K68" s="167"/>
      <c r="L68" s="167"/>
      <c r="M68" s="166"/>
      <c r="N68" s="166"/>
      <c r="O68" s="166"/>
      <c r="P68" s="166"/>
      <c r="Q68" s="167"/>
      <c r="R68" s="111"/>
    </row>
    <row r="69" spans="1:18" ht="13.5" customHeight="1">
      <c r="A69" s="90">
        <v>63</v>
      </c>
      <c r="B69" s="24">
        <f>DATE('1.연간시수표'!$U$44,'1.연간시수표'!$X$44,'1.연간시수표'!$Z$44)+QUOTIENT(ROW(A63)-1,8)+(QUOTIENT(ROW(A63)-1,40)*2)</f>
        <v>44808</v>
      </c>
      <c r="C69" s="24" t="b">
        <f t="shared" si="0"/>
        <v>0</v>
      </c>
      <c r="D69" s="116" t="str">
        <f t="shared" si="1"/>
        <v>7교시</v>
      </c>
      <c r="E69" s="68">
        <f>COUNTIF($H$7:$H69,$H69)</f>
        <v>34</v>
      </c>
      <c r="F69" s="67">
        <f>'1.연간시수표'!$AL$33</f>
        <v>5</v>
      </c>
      <c r="G69" s="115">
        <f t="shared" si="2"/>
        <v>2</v>
      </c>
      <c r="H69" s="41" t="str">
        <f>INDEX('0.시간표데이터'!$E$52:$AR$78,QUOTIENT(ROW(A63)-1,40)+1,MOD(ROW(A63)-1,40)+1)</f>
        <v>_</v>
      </c>
      <c r="I69" s="76"/>
      <c r="J69" s="26"/>
      <c r="K69" s="167"/>
      <c r="L69" s="167"/>
      <c r="M69" s="166"/>
      <c r="N69" s="166"/>
      <c r="O69" s="166"/>
      <c r="P69" s="166"/>
      <c r="Q69" s="167"/>
      <c r="R69" s="111"/>
    </row>
    <row r="70" spans="1:18" ht="13.5" customHeight="1">
      <c r="A70" s="90">
        <v>64</v>
      </c>
      <c r="B70" s="24">
        <f>DATE('1.연간시수표'!$U$44,'1.연간시수표'!$X$44,'1.연간시수표'!$Z$44)+QUOTIENT(ROW(A64)-1,8)+(QUOTIENT(ROW(A64)-1,40)*2)</f>
        <v>44808</v>
      </c>
      <c r="C70" s="24" t="b">
        <f t="shared" si="0"/>
        <v>0</v>
      </c>
      <c r="D70" s="116" t="str">
        <f t="shared" si="1"/>
        <v>8교시</v>
      </c>
      <c r="E70" s="68">
        <f>COUNTIF($H$7:$H70,$H70)</f>
        <v>35</v>
      </c>
      <c r="F70" s="67">
        <f>'1.연간시수표'!$AL$33</f>
        <v>5</v>
      </c>
      <c r="G70" s="115">
        <f t="shared" si="2"/>
        <v>2</v>
      </c>
      <c r="H70" s="41" t="str">
        <f>INDEX('0.시간표데이터'!$E$52:$AR$78,QUOTIENT(ROW(A64)-1,40)+1,MOD(ROW(A64)-1,40)+1)</f>
        <v>_</v>
      </c>
      <c r="I70" s="76"/>
      <c r="J70" s="26"/>
      <c r="K70" s="167"/>
      <c r="L70" s="167"/>
      <c r="M70" s="166"/>
      <c r="N70" s="166"/>
      <c r="O70" s="166"/>
      <c r="P70" s="166"/>
      <c r="Q70" s="167"/>
      <c r="R70" s="111"/>
    </row>
    <row r="71" spans="1:18" ht="13.5" customHeight="1">
      <c r="A71" s="90">
        <v>65</v>
      </c>
      <c r="B71" s="24">
        <f>DATE('1.연간시수표'!$U$44,'1.연간시수표'!$X$44,'1.연간시수표'!$Z$44)+QUOTIENT(ROW(A65)-1,8)+(QUOTIENT(ROW(A65)-1,40)*2)</f>
        <v>44809</v>
      </c>
      <c r="C71" s="24" t="str">
        <f t="shared" ref="C71:C134" si="3">IF(WEEKDAY(B71,2)=1,"월",IF(WEEKDAY(B71,2)=2,"화",IF(WEEKDAY(B71,2)=3,"수",IF(WEEKDAY(B71,2)=4,"목",IF(WEEKDAY(B71,2)=5,"금")))))</f>
        <v>월</v>
      </c>
      <c r="D71" s="116" t="str">
        <f t="shared" ref="D71:D134" si="4">TEXT(MOD(ROW(A65)-1,8)+1,"#교시")</f>
        <v>1교시</v>
      </c>
      <c r="E71" s="68">
        <f>COUNTIF($H$7:$H71,$H71)</f>
        <v>6</v>
      </c>
      <c r="F71" s="67">
        <f>'1.연간시수표'!$AL$33</f>
        <v>5</v>
      </c>
      <c r="G71" s="115">
        <f t="shared" ref="G71:G134" si="5">$A$2</f>
        <v>2</v>
      </c>
      <c r="H71" s="41" t="str">
        <f>INDEX('0.시간표데이터'!$E$52:$AR$78,QUOTIENT(ROW(A65)-1,40)+1,MOD(ROW(A65)-1,40)+1)</f>
        <v>국어</v>
      </c>
      <c r="I71" s="77"/>
      <c r="J71" s="26"/>
      <c r="K71" s="180"/>
      <c r="L71" s="180"/>
      <c r="M71" s="10"/>
      <c r="N71" s="10"/>
      <c r="O71" s="10"/>
      <c r="P71" s="10"/>
      <c r="Q71" s="164"/>
      <c r="R71" s="110"/>
    </row>
    <row r="72" spans="1:18" ht="13.5" customHeight="1">
      <c r="A72" s="90">
        <v>66</v>
      </c>
      <c r="B72" s="24">
        <f>DATE('1.연간시수표'!$U$44,'1.연간시수표'!$X$44,'1.연간시수표'!$Z$44)+QUOTIENT(ROW(A66)-1,8)+(QUOTIENT(ROW(A66)-1,40)*2)</f>
        <v>44809</v>
      </c>
      <c r="C72" s="24" t="str">
        <f t="shared" si="3"/>
        <v>월</v>
      </c>
      <c r="D72" s="116" t="str">
        <f t="shared" si="4"/>
        <v>2교시</v>
      </c>
      <c r="E72" s="68">
        <f>COUNTIF($H$7:$H72,$H72)</f>
        <v>4</v>
      </c>
      <c r="F72" s="67">
        <f>'1.연간시수표'!$AL$33</f>
        <v>5</v>
      </c>
      <c r="G72" s="115">
        <f t="shared" si="5"/>
        <v>2</v>
      </c>
      <c r="H72" s="41" t="str">
        <f>INDEX('0.시간표데이터'!$E$52:$AR$78,QUOTIENT(ROW(A66)-1,40)+1,MOD(ROW(A66)-1,40)+1)</f>
        <v>수학</v>
      </c>
      <c r="I72" s="161"/>
      <c r="J72" s="26"/>
      <c r="K72" s="180"/>
      <c r="L72" s="180"/>
      <c r="M72" s="10"/>
      <c r="N72" s="10"/>
      <c r="O72" s="10"/>
      <c r="P72" s="10"/>
      <c r="Q72" s="164"/>
      <c r="R72" s="110"/>
    </row>
    <row r="73" spans="1:18" ht="13.5" customHeight="1">
      <c r="A73" s="90">
        <v>67</v>
      </c>
      <c r="B73" s="24">
        <f>DATE('1.연간시수표'!$U$44,'1.연간시수표'!$X$44,'1.연간시수표'!$Z$44)+QUOTIENT(ROW(A67)-1,8)+(QUOTIENT(ROW(A67)-1,40)*2)</f>
        <v>44809</v>
      </c>
      <c r="C73" s="24" t="str">
        <f t="shared" si="3"/>
        <v>월</v>
      </c>
      <c r="D73" s="116" t="str">
        <f t="shared" si="4"/>
        <v>3교시</v>
      </c>
      <c r="E73" s="68">
        <f>COUNTIF($H$7:$H73,$H73)</f>
        <v>3</v>
      </c>
      <c r="F73" s="67">
        <f>'1.연간시수표'!$AL$33</f>
        <v>5</v>
      </c>
      <c r="G73" s="115">
        <f t="shared" si="5"/>
        <v>2</v>
      </c>
      <c r="H73" s="41" t="str">
        <f>INDEX('0.시간표데이터'!$E$52:$AR$78,QUOTIENT(ROW(A67)-1,40)+1,MOD(ROW(A67)-1,40)+1)</f>
        <v>사회</v>
      </c>
      <c r="I73" s="77"/>
      <c r="J73" s="26"/>
      <c r="K73" s="167"/>
      <c r="L73" s="167"/>
      <c r="M73" s="10"/>
      <c r="N73" s="10"/>
      <c r="O73" s="10"/>
      <c r="P73" s="10"/>
      <c r="Q73" s="164"/>
      <c r="R73" s="110"/>
    </row>
    <row r="74" spans="1:18" ht="13.5" customHeight="1">
      <c r="A74" s="90">
        <v>68</v>
      </c>
      <c r="B74" s="24">
        <f>DATE('1.연간시수표'!$U$44,'1.연간시수표'!$X$44,'1.연간시수표'!$Z$44)+QUOTIENT(ROW(A68)-1,8)+(QUOTIENT(ROW(A68)-1,40)*2)</f>
        <v>44809</v>
      </c>
      <c r="C74" s="24" t="str">
        <f t="shared" si="3"/>
        <v>월</v>
      </c>
      <c r="D74" s="116" t="str">
        <f t="shared" si="4"/>
        <v>4교시</v>
      </c>
      <c r="E74" s="68">
        <f>COUNTIF($H$7:$H74,$H74)</f>
        <v>4</v>
      </c>
      <c r="F74" s="67">
        <f>'1.연간시수표'!$AL$33</f>
        <v>5</v>
      </c>
      <c r="G74" s="115">
        <f t="shared" si="5"/>
        <v>2</v>
      </c>
      <c r="H74" s="41" t="str">
        <f>INDEX('0.시간표데이터'!$E$52:$AR$78,QUOTIENT(ROW(A68)-1,40)+1,MOD(ROW(A68)-1,40)+1)</f>
        <v>영어</v>
      </c>
      <c r="I74" s="77"/>
      <c r="J74" s="26"/>
      <c r="K74" s="167"/>
      <c r="L74" s="167"/>
      <c r="M74" s="10"/>
      <c r="N74" s="10"/>
      <c r="O74" s="10"/>
      <c r="P74" s="10"/>
      <c r="Q74" s="164"/>
      <c r="R74" s="110"/>
    </row>
    <row r="75" spans="1:18" ht="13.5" customHeight="1">
      <c r="A75" s="90">
        <v>69</v>
      </c>
      <c r="B75" s="24">
        <f>DATE('1.연간시수표'!$U$44,'1.연간시수표'!$X$44,'1.연간시수표'!$Z$44)+QUOTIENT(ROW(A69)-1,8)+(QUOTIENT(ROW(A69)-1,40)*2)</f>
        <v>44809</v>
      </c>
      <c r="C75" s="24" t="str">
        <f t="shared" si="3"/>
        <v>월</v>
      </c>
      <c r="D75" s="116" t="str">
        <f t="shared" si="4"/>
        <v>5교시</v>
      </c>
      <c r="E75" s="68">
        <f>COUNTIF($H$7:$H75,$H75)</f>
        <v>4</v>
      </c>
      <c r="F75" s="67">
        <f>'1.연간시수표'!$AL$33</f>
        <v>5</v>
      </c>
      <c r="G75" s="115">
        <f t="shared" si="5"/>
        <v>2</v>
      </c>
      <c r="H75" s="41" t="str">
        <f>INDEX('0.시간표데이터'!$E$52:$AR$78,QUOTIENT(ROW(A69)-1,40)+1,MOD(ROW(A69)-1,40)+1)</f>
        <v>과학</v>
      </c>
      <c r="I75" s="77"/>
      <c r="J75" s="26"/>
      <c r="K75" s="180"/>
      <c r="L75" s="180"/>
      <c r="M75" s="10"/>
      <c r="N75" s="10"/>
      <c r="O75" s="10"/>
      <c r="P75" s="10"/>
      <c r="Q75" s="164"/>
      <c r="R75" s="110"/>
    </row>
    <row r="76" spans="1:18" ht="13.5" customHeight="1">
      <c r="A76" s="90">
        <v>70</v>
      </c>
      <c r="B76" s="24">
        <f>DATE('1.연간시수표'!$U$44,'1.연간시수표'!$X$44,'1.연간시수표'!$Z$44)+QUOTIENT(ROW(A70)-1,8)+(QUOTIENT(ROW(A70)-1,40)*2)</f>
        <v>44809</v>
      </c>
      <c r="C76" s="24" t="str">
        <f t="shared" si="3"/>
        <v>월</v>
      </c>
      <c r="D76" s="116" t="str">
        <f t="shared" si="4"/>
        <v>6교시</v>
      </c>
      <c r="E76" s="68">
        <f>COUNTIF($H$7:$H76,$H76)</f>
        <v>3</v>
      </c>
      <c r="F76" s="67">
        <f>'1.연간시수표'!$AL$33</f>
        <v>5</v>
      </c>
      <c r="G76" s="115">
        <f t="shared" si="5"/>
        <v>2</v>
      </c>
      <c r="H76" s="41" t="str">
        <f>INDEX('0.시간표데이터'!$E$52:$AR$78,QUOTIENT(ROW(A70)-1,40)+1,MOD(ROW(A70)-1,40)+1)</f>
        <v>음악</v>
      </c>
      <c r="I76" s="161"/>
      <c r="J76" s="26"/>
      <c r="K76" s="180"/>
      <c r="L76" s="180"/>
      <c r="M76" s="10"/>
      <c r="N76" s="10"/>
      <c r="O76" s="10"/>
      <c r="P76" s="10"/>
      <c r="Q76" s="164"/>
      <c r="R76" s="110"/>
    </row>
    <row r="77" spans="1:18" ht="13.5" customHeight="1">
      <c r="A77" s="90">
        <v>71</v>
      </c>
      <c r="B77" s="24">
        <f>DATE('1.연간시수표'!$U$44,'1.연간시수표'!$X$44,'1.연간시수표'!$Z$44)+QUOTIENT(ROW(A71)-1,8)+(QUOTIENT(ROW(A71)-1,40)*2)</f>
        <v>44809</v>
      </c>
      <c r="C77" s="24" t="str">
        <f t="shared" si="3"/>
        <v>월</v>
      </c>
      <c r="D77" s="116" t="str">
        <f t="shared" si="4"/>
        <v>7교시</v>
      </c>
      <c r="E77" s="68">
        <f>COUNTIF($H$7:$H77,$H77)</f>
        <v>36</v>
      </c>
      <c r="F77" s="67">
        <f>'1.연간시수표'!$AL$33</f>
        <v>5</v>
      </c>
      <c r="G77" s="115">
        <f t="shared" si="5"/>
        <v>2</v>
      </c>
      <c r="H77" s="41" t="str">
        <f>INDEX('0.시간표데이터'!$E$52:$AR$78,QUOTIENT(ROW(A71)-1,40)+1,MOD(ROW(A71)-1,40)+1)</f>
        <v>_</v>
      </c>
      <c r="I77" s="76"/>
      <c r="J77" s="26"/>
      <c r="K77" s="167"/>
      <c r="L77" s="167"/>
      <c r="M77" s="166"/>
      <c r="N77" s="166"/>
      <c r="O77" s="166"/>
      <c r="P77" s="166"/>
      <c r="Q77" s="167"/>
      <c r="R77" s="111"/>
    </row>
    <row r="78" spans="1:18" ht="13.5" customHeight="1">
      <c r="A78" s="90">
        <v>72</v>
      </c>
      <c r="B78" s="24">
        <f>DATE('1.연간시수표'!$U$44,'1.연간시수표'!$X$44,'1.연간시수표'!$Z$44)+QUOTIENT(ROW(A72)-1,8)+(QUOTIENT(ROW(A72)-1,40)*2)</f>
        <v>44809</v>
      </c>
      <c r="C78" s="24" t="str">
        <f t="shared" si="3"/>
        <v>월</v>
      </c>
      <c r="D78" s="116" t="str">
        <f t="shared" si="4"/>
        <v>8교시</v>
      </c>
      <c r="E78" s="68">
        <f>COUNTIF($H$7:$H78,$H78)</f>
        <v>37</v>
      </c>
      <c r="F78" s="67">
        <f>'1.연간시수표'!$AL$33</f>
        <v>5</v>
      </c>
      <c r="G78" s="115">
        <f t="shared" si="5"/>
        <v>2</v>
      </c>
      <c r="H78" s="41" t="str">
        <f>INDEX('0.시간표데이터'!$E$52:$AR$78,QUOTIENT(ROW(A72)-1,40)+1,MOD(ROW(A72)-1,40)+1)</f>
        <v>_</v>
      </c>
      <c r="I78" s="76"/>
      <c r="J78" s="26"/>
      <c r="K78" s="167"/>
      <c r="L78" s="167"/>
      <c r="M78" s="166"/>
      <c r="N78" s="166"/>
      <c r="O78" s="166"/>
      <c r="P78" s="166"/>
      <c r="Q78" s="167"/>
      <c r="R78" s="111"/>
    </row>
    <row r="79" spans="1:18" ht="13.5" customHeight="1">
      <c r="A79" s="90">
        <v>73</v>
      </c>
      <c r="B79" s="24">
        <f>DATE('1.연간시수표'!$U$44,'1.연간시수표'!$X$44,'1.연간시수표'!$Z$44)+QUOTIENT(ROW(A73)-1,8)+(QUOTIENT(ROW(A73)-1,40)*2)</f>
        <v>44810</v>
      </c>
      <c r="C79" s="24" t="str">
        <f t="shared" si="3"/>
        <v>화</v>
      </c>
      <c r="D79" s="116" t="str">
        <f t="shared" si="4"/>
        <v>1교시</v>
      </c>
      <c r="E79" s="68">
        <f>COUNTIF($H$7:$H79,$H79)</f>
        <v>38</v>
      </c>
      <c r="F79" s="67">
        <f>'1.연간시수표'!$AL$33</f>
        <v>5</v>
      </c>
      <c r="G79" s="115">
        <f t="shared" si="5"/>
        <v>2</v>
      </c>
      <c r="H79" s="41" t="str">
        <f>INDEX('0.시간표데이터'!$E$52:$AR$78,QUOTIENT(ROW(A73)-1,40)+1,MOD(ROW(A73)-1,40)+1)</f>
        <v>_</v>
      </c>
      <c r="I79" s="77"/>
      <c r="J79" s="26"/>
      <c r="K79" s="180"/>
      <c r="L79" s="180"/>
      <c r="M79" s="10"/>
      <c r="N79" s="10"/>
      <c r="O79" s="10"/>
      <c r="P79" s="10"/>
      <c r="Q79" s="164"/>
      <c r="R79" s="110"/>
    </row>
    <row r="80" spans="1:18" ht="13.5" customHeight="1">
      <c r="A80" s="90">
        <v>74</v>
      </c>
      <c r="B80" s="24">
        <f>DATE('1.연간시수표'!$U$44,'1.연간시수표'!$X$44,'1.연간시수표'!$Z$44)+QUOTIENT(ROW(A74)-1,8)+(QUOTIENT(ROW(A74)-1,40)*2)</f>
        <v>44810</v>
      </c>
      <c r="C80" s="24" t="str">
        <f t="shared" si="3"/>
        <v>화</v>
      </c>
      <c r="D80" s="116" t="str">
        <f t="shared" si="4"/>
        <v>2교시</v>
      </c>
      <c r="E80" s="68">
        <f>COUNTIF($H$7:$H80,$H80)</f>
        <v>39</v>
      </c>
      <c r="F80" s="67">
        <f>'1.연간시수표'!$AL$33</f>
        <v>5</v>
      </c>
      <c r="G80" s="115">
        <f t="shared" si="5"/>
        <v>2</v>
      </c>
      <c r="H80" s="41" t="str">
        <f>INDEX('0.시간표데이터'!$E$52:$AR$78,QUOTIENT(ROW(A74)-1,40)+1,MOD(ROW(A74)-1,40)+1)</f>
        <v>_</v>
      </c>
      <c r="I80" s="77"/>
      <c r="J80" s="26"/>
      <c r="K80" s="180"/>
      <c r="L80" s="180"/>
      <c r="M80" s="10"/>
      <c r="N80" s="10"/>
      <c r="O80" s="10"/>
      <c r="P80" s="10"/>
      <c r="Q80" s="164"/>
      <c r="R80" s="110"/>
    </row>
    <row r="81" spans="1:18" ht="13.5" customHeight="1">
      <c r="A81" s="90">
        <v>75</v>
      </c>
      <c r="B81" s="24">
        <f>DATE('1.연간시수표'!$U$44,'1.연간시수표'!$X$44,'1.연간시수표'!$Z$44)+QUOTIENT(ROW(A75)-1,8)+(QUOTIENT(ROW(A75)-1,40)*2)</f>
        <v>44810</v>
      </c>
      <c r="C81" s="24" t="str">
        <f t="shared" si="3"/>
        <v>화</v>
      </c>
      <c r="D81" s="116" t="str">
        <f t="shared" si="4"/>
        <v>3교시</v>
      </c>
      <c r="E81" s="68">
        <f>COUNTIF($H$7:$H81,$H81)</f>
        <v>40</v>
      </c>
      <c r="F81" s="67">
        <f>'1.연간시수표'!$AL$33</f>
        <v>5</v>
      </c>
      <c r="G81" s="115">
        <f t="shared" si="5"/>
        <v>2</v>
      </c>
      <c r="H81" s="41" t="str">
        <f>INDEX('0.시간표데이터'!$E$52:$AR$78,QUOTIENT(ROW(A75)-1,40)+1,MOD(ROW(A75)-1,40)+1)</f>
        <v>_</v>
      </c>
      <c r="I81" s="77"/>
      <c r="J81" s="26"/>
      <c r="K81" s="180"/>
      <c r="L81" s="180"/>
      <c r="M81" s="10"/>
      <c r="N81" s="10"/>
      <c r="O81" s="10"/>
      <c r="P81" s="10"/>
      <c r="Q81" s="164"/>
      <c r="R81" s="110"/>
    </row>
    <row r="82" spans="1:18" ht="13.5" customHeight="1">
      <c r="A82" s="90">
        <v>76</v>
      </c>
      <c r="B82" s="24">
        <f>DATE('1.연간시수표'!$U$44,'1.연간시수표'!$X$44,'1.연간시수표'!$Z$44)+QUOTIENT(ROW(A76)-1,8)+(QUOTIENT(ROW(A76)-1,40)*2)</f>
        <v>44810</v>
      </c>
      <c r="C82" s="24" t="str">
        <f t="shared" si="3"/>
        <v>화</v>
      </c>
      <c r="D82" s="116" t="str">
        <f t="shared" si="4"/>
        <v>4교시</v>
      </c>
      <c r="E82" s="68">
        <f>COUNTIF($H$7:$H82,$H82)</f>
        <v>41</v>
      </c>
      <c r="F82" s="67">
        <f>'1.연간시수표'!$AL$33</f>
        <v>5</v>
      </c>
      <c r="G82" s="115">
        <f t="shared" si="5"/>
        <v>2</v>
      </c>
      <c r="H82" s="41" t="str">
        <f>INDEX('0.시간표데이터'!$E$52:$AR$78,QUOTIENT(ROW(A76)-1,40)+1,MOD(ROW(A76)-1,40)+1)</f>
        <v>_</v>
      </c>
      <c r="I82" s="77"/>
      <c r="J82" s="26"/>
      <c r="K82" s="180"/>
      <c r="L82" s="180"/>
      <c r="M82" s="10"/>
      <c r="N82" s="10"/>
      <c r="O82" s="10"/>
      <c r="P82" s="10"/>
      <c r="Q82" s="164"/>
      <c r="R82" s="110"/>
    </row>
    <row r="83" spans="1:18" ht="13.5" customHeight="1">
      <c r="A83" s="90">
        <v>77</v>
      </c>
      <c r="B83" s="24">
        <f>DATE('1.연간시수표'!$U$44,'1.연간시수표'!$X$44,'1.연간시수표'!$Z$44)+QUOTIENT(ROW(A77)-1,8)+(QUOTIENT(ROW(A77)-1,40)*2)</f>
        <v>44810</v>
      </c>
      <c r="C83" s="24" t="str">
        <f t="shared" si="3"/>
        <v>화</v>
      </c>
      <c r="D83" s="116" t="str">
        <f t="shared" si="4"/>
        <v>5교시</v>
      </c>
      <c r="E83" s="68">
        <f>COUNTIF($H$7:$H83,$H83)</f>
        <v>42</v>
      </c>
      <c r="F83" s="67">
        <f>'1.연간시수표'!$AL$33</f>
        <v>5</v>
      </c>
      <c r="G83" s="115">
        <f t="shared" si="5"/>
        <v>2</v>
      </c>
      <c r="H83" s="41" t="str">
        <f>INDEX('0.시간표데이터'!$E$52:$AR$78,QUOTIENT(ROW(A77)-1,40)+1,MOD(ROW(A77)-1,40)+1)</f>
        <v>_</v>
      </c>
      <c r="I83" s="77"/>
      <c r="J83" s="26"/>
      <c r="K83" s="164"/>
      <c r="L83" s="164"/>
      <c r="M83" s="10"/>
      <c r="N83" s="10"/>
      <c r="O83" s="10"/>
      <c r="P83" s="10"/>
      <c r="Q83" s="164"/>
      <c r="R83" s="110"/>
    </row>
    <row r="84" spans="1:18" ht="13.5" customHeight="1">
      <c r="A84" s="90">
        <v>78</v>
      </c>
      <c r="B84" s="24">
        <f>DATE('1.연간시수표'!$U$44,'1.연간시수표'!$X$44,'1.연간시수표'!$Z$44)+QUOTIENT(ROW(A78)-1,8)+(QUOTIENT(ROW(A78)-1,40)*2)</f>
        <v>44810</v>
      </c>
      <c r="C84" s="24" t="str">
        <f t="shared" si="3"/>
        <v>화</v>
      </c>
      <c r="D84" s="116" t="str">
        <f t="shared" si="4"/>
        <v>6교시</v>
      </c>
      <c r="E84" s="68">
        <f>COUNTIF($H$7:$H84,$H84)</f>
        <v>43</v>
      </c>
      <c r="F84" s="67">
        <f>'1.연간시수표'!$AL$33</f>
        <v>5</v>
      </c>
      <c r="G84" s="115">
        <f t="shared" si="5"/>
        <v>2</v>
      </c>
      <c r="H84" s="41" t="str">
        <f>INDEX('0.시간표데이터'!$E$52:$AR$78,QUOTIENT(ROW(A78)-1,40)+1,MOD(ROW(A78)-1,40)+1)</f>
        <v>_</v>
      </c>
      <c r="I84" s="77"/>
      <c r="J84" s="26"/>
      <c r="K84" s="167"/>
      <c r="L84" s="167"/>
      <c r="M84" s="166"/>
      <c r="N84" s="166"/>
      <c r="O84" s="166"/>
      <c r="P84" s="166"/>
      <c r="Q84" s="167"/>
      <c r="R84" s="111"/>
    </row>
    <row r="85" spans="1:18" ht="13.5" customHeight="1">
      <c r="A85" s="90">
        <v>79</v>
      </c>
      <c r="B85" s="24">
        <f>DATE('1.연간시수표'!$U$44,'1.연간시수표'!$X$44,'1.연간시수표'!$Z$44)+QUOTIENT(ROW(A79)-1,8)+(QUOTIENT(ROW(A79)-1,40)*2)</f>
        <v>44810</v>
      </c>
      <c r="C85" s="24" t="str">
        <f t="shared" si="3"/>
        <v>화</v>
      </c>
      <c r="D85" s="116" t="str">
        <f t="shared" si="4"/>
        <v>7교시</v>
      </c>
      <c r="E85" s="68">
        <f>COUNTIF($H$7:$H85,$H85)</f>
        <v>44</v>
      </c>
      <c r="F85" s="67">
        <f>'1.연간시수표'!$AL$33</f>
        <v>5</v>
      </c>
      <c r="G85" s="115">
        <f t="shared" si="5"/>
        <v>2</v>
      </c>
      <c r="H85" s="41" t="str">
        <f>INDEX('0.시간표데이터'!$E$52:$AR$78,QUOTIENT(ROW(A79)-1,40)+1,MOD(ROW(A79)-1,40)+1)</f>
        <v>_</v>
      </c>
      <c r="I85" s="76"/>
      <c r="J85" s="26"/>
      <c r="K85" s="167"/>
      <c r="L85" s="167"/>
      <c r="M85" s="166"/>
      <c r="N85" s="166"/>
      <c r="O85" s="166"/>
      <c r="P85" s="166"/>
      <c r="Q85" s="167"/>
      <c r="R85" s="111"/>
    </row>
    <row r="86" spans="1:18" ht="13.5" customHeight="1">
      <c r="A86" s="90">
        <v>80</v>
      </c>
      <c r="B86" s="24">
        <f>DATE('1.연간시수표'!$U$44,'1.연간시수표'!$X$44,'1.연간시수표'!$Z$44)+QUOTIENT(ROW(A80)-1,8)+(QUOTIENT(ROW(A80)-1,40)*2)</f>
        <v>44810</v>
      </c>
      <c r="C86" s="24" t="str">
        <f t="shared" si="3"/>
        <v>화</v>
      </c>
      <c r="D86" s="116" t="str">
        <f t="shared" si="4"/>
        <v>8교시</v>
      </c>
      <c r="E86" s="68">
        <f>COUNTIF($H$7:$H86,$H86)</f>
        <v>45</v>
      </c>
      <c r="F86" s="67">
        <f>'1.연간시수표'!$AL$33</f>
        <v>5</v>
      </c>
      <c r="G86" s="115">
        <f t="shared" si="5"/>
        <v>2</v>
      </c>
      <c r="H86" s="41" t="str">
        <f>INDEX('0.시간표데이터'!$E$52:$AR$78,QUOTIENT(ROW(A80)-1,40)+1,MOD(ROW(A80)-1,40)+1)</f>
        <v>_</v>
      </c>
      <c r="I86" s="76"/>
      <c r="J86" s="26"/>
      <c r="K86" s="167"/>
      <c r="L86" s="167"/>
      <c r="M86" s="166"/>
      <c r="N86" s="166"/>
      <c r="O86" s="166"/>
      <c r="P86" s="166"/>
      <c r="Q86" s="167"/>
      <c r="R86" s="111"/>
    </row>
    <row r="87" spans="1:18" ht="13.5" customHeight="1">
      <c r="A87" s="90">
        <v>81</v>
      </c>
      <c r="B87" s="24">
        <f>DATE('1.연간시수표'!$U$44,'1.연간시수표'!$X$44,'1.연간시수표'!$Z$44)+QUOTIENT(ROW(A81)-1,8)+(QUOTIENT(ROW(A81)-1,40)*2)</f>
        <v>44813</v>
      </c>
      <c r="C87" s="24" t="str">
        <f t="shared" si="3"/>
        <v>금</v>
      </c>
      <c r="D87" s="116" t="str">
        <f t="shared" si="4"/>
        <v>1교시</v>
      </c>
      <c r="E87" s="68">
        <f>COUNTIF($H$7:$H87,$H87)</f>
        <v>46</v>
      </c>
      <c r="F87" s="67">
        <f>'1.연간시수표'!$AL$33</f>
        <v>5</v>
      </c>
      <c r="G87" s="115">
        <f t="shared" si="5"/>
        <v>2</v>
      </c>
      <c r="H87" s="41" t="str">
        <f>INDEX('0.시간표데이터'!$E$52:$AR$78,QUOTIENT(ROW(A81)-1,40)+1,MOD(ROW(A81)-1,40)+1)</f>
        <v>_</v>
      </c>
      <c r="I87" s="77"/>
      <c r="J87" s="26"/>
      <c r="K87" s="164"/>
      <c r="L87" s="164"/>
      <c r="M87" s="10"/>
      <c r="N87" s="10"/>
      <c r="O87" s="10"/>
      <c r="P87" s="10"/>
      <c r="Q87" s="164"/>
      <c r="R87" s="110"/>
    </row>
    <row r="88" spans="1:18" ht="13.5" customHeight="1">
      <c r="A88" s="90">
        <v>82</v>
      </c>
      <c r="B88" s="24">
        <f>DATE('1.연간시수표'!$U$44,'1.연간시수표'!$X$44,'1.연간시수표'!$Z$44)+QUOTIENT(ROW(A82)-1,8)+(QUOTIENT(ROW(A82)-1,40)*2)</f>
        <v>44813</v>
      </c>
      <c r="C88" s="24" t="str">
        <f t="shared" si="3"/>
        <v>금</v>
      </c>
      <c r="D88" s="116" t="str">
        <f t="shared" si="4"/>
        <v>2교시</v>
      </c>
      <c r="E88" s="68">
        <f>COUNTIF($H$7:$H88,$H88)</f>
        <v>47</v>
      </c>
      <c r="F88" s="67">
        <f>'1.연간시수표'!$AL$33</f>
        <v>5</v>
      </c>
      <c r="G88" s="115">
        <f t="shared" si="5"/>
        <v>2</v>
      </c>
      <c r="H88" s="41" t="str">
        <f>INDEX('0.시간표데이터'!$E$52:$AR$78,QUOTIENT(ROW(A82)-1,40)+1,MOD(ROW(A82)-1,40)+1)</f>
        <v>_</v>
      </c>
      <c r="I88" s="161"/>
      <c r="J88" s="26"/>
      <c r="K88" s="180"/>
      <c r="L88" s="180"/>
      <c r="M88" s="10"/>
      <c r="N88" s="10"/>
      <c r="O88" s="10"/>
      <c r="P88" s="10"/>
      <c r="Q88" s="164"/>
      <c r="R88" s="110"/>
    </row>
    <row r="89" spans="1:18" ht="13.5" customHeight="1">
      <c r="A89" s="90">
        <v>83</v>
      </c>
      <c r="B89" s="24">
        <f>DATE('1.연간시수표'!$U$44,'1.연간시수표'!$X$44,'1.연간시수표'!$Z$44)+QUOTIENT(ROW(A83)-1,8)+(QUOTIENT(ROW(A83)-1,40)*2)</f>
        <v>44813</v>
      </c>
      <c r="C89" s="24" t="str">
        <f t="shared" si="3"/>
        <v>금</v>
      </c>
      <c r="D89" s="116" t="str">
        <f t="shared" si="4"/>
        <v>3교시</v>
      </c>
      <c r="E89" s="68">
        <f>COUNTIF($H$7:$H89,$H89)</f>
        <v>48</v>
      </c>
      <c r="F89" s="67">
        <f>'1.연간시수표'!$AL$33</f>
        <v>5</v>
      </c>
      <c r="G89" s="115">
        <f t="shared" si="5"/>
        <v>2</v>
      </c>
      <c r="H89" s="41" t="str">
        <f>INDEX('0.시간표데이터'!$E$52:$AR$78,QUOTIENT(ROW(A83)-1,40)+1,MOD(ROW(A83)-1,40)+1)</f>
        <v>_</v>
      </c>
      <c r="I89" s="77"/>
      <c r="J89" s="26"/>
      <c r="K89" s="180"/>
      <c r="L89" s="180"/>
      <c r="M89" s="10"/>
      <c r="N89" s="10"/>
      <c r="O89" s="10"/>
      <c r="P89" s="10"/>
      <c r="Q89" s="164"/>
      <c r="R89" s="110"/>
    </row>
    <row r="90" spans="1:18" ht="13.5" customHeight="1">
      <c r="A90" s="90">
        <v>84</v>
      </c>
      <c r="B90" s="24">
        <f>DATE('1.연간시수표'!$U$44,'1.연간시수표'!$X$44,'1.연간시수표'!$Z$44)+QUOTIENT(ROW(A84)-1,8)+(QUOTIENT(ROW(A84)-1,40)*2)</f>
        <v>44813</v>
      </c>
      <c r="C90" s="24" t="str">
        <f t="shared" si="3"/>
        <v>금</v>
      </c>
      <c r="D90" s="116" t="str">
        <f t="shared" si="4"/>
        <v>4교시</v>
      </c>
      <c r="E90" s="68">
        <f>COUNTIF($H$7:$H90,$H90)</f>
        <v>49</v>
      </c>
      <c r="F90" s="67">
        <f>'1.연간시수표'!$AL$33</f>
        <v>5</v>
      </c>
      <c r="G90" s="115">
        <f t="shared" si="5"/>
        <v>2</v>
      </c>
      <c r="H90" s="41" t="str">
        <f>INDEX('0.시간표데이터'!$E$52:$AR$78,QUOTIENT(ROW(A84)-1,40)+1,MOD(ROW(A84)-1,40)+1)</f>
        <v>_</v>
      </c>
      <c r="I90" s="77"/>
      <c r="J90" s="26"/>
      <c r="K90" s="180"/>
      <c r="L90" s="180"/>
      <c r="M90" s="10"/>
      <c r="N90" s="10"/>
      <c r="O90" s="10"/>
      <c r="P90" s="10"/>
      <c r="Q90" s="164"/>
      <c r="R90" s="110"/>
    </row>
    <row r="91" spans="1:18" ht="13.5" customHeight="1">
      <c r="A91" s="90">
        <v>85</v>
      </c>
      <c r="B91" s="24">
        <f>DATE('1.연간시수표'!$U$44,'1.연간시수표'!$X$44,'1.연간시수표'!$Z$44)+QUOTIENT(ROW(A85)-1,8)+(QUOTIENT(ROW(A85)-1,40)*2)</f>
        <v>44813</v>
      </c>
      <c r="C91" s="24" t="str">
        <f t="shared" si="3"/>
        <v>금</v>
      </c>
      <c r="D91" s="116" t="str">
        <f t="shared" si="4"/>
        <v>5교시</v>
      </c>
      <c r="E91" s="68">
        <f>COUNTIF($H$7:$H91,$H91)</f>
        <v>50</v>
      </c>
      <c r="F91" s="67">
        <f>'1.연간시수표'!$AL$33</f>
        <v>5</v>
      </c>
      <c r="G91" s="115">
        <f t="shared" si="5"/>
        <v>2</v>
      </c>
      <c r="H91" s="41" t="str">
        <f>INDEX('0.시간표데이터'!$E$52:$AR$78,QUOTIENT(ROW(A85)-1,40)+1,MOD(ROW(A85)-1,40)+1)</f>
        <v>_</v>
      </c>
      <c r="I91" s="77"/>
      <c r="J91" s="26"/>
      <c r="K91" s="180"/>
      <c r="L91" s="180"/>
      <c r="M91" s="10"/>
      <c r="N91" s="10"/>
      <c r="O91" s="10"/>
      <c r="P91" s="10"/>
      <c r="Q91" s="164"/>
      <c r="R91" s="110"/>
    </row>
    <row r="92" spans="1:18" ht="13.5" customHeight="1">
      <c r="A92" s="90">
        <v>86</v>
      </c>
      <c r="B92" s="24">
        <f>DATE('1.연간시수표'!$U$44,'1.연간시수표'!$X$44,'1.연간시수표'!$Z$44)+QUOTIENT(ROW(A86)-1,8)+(QUOTIENT(ROW(A86)-1,40)*2)</f>
        <v>44813</v>
      </c>
      <c r="C92" s="24" t="str">
        <f t="shared" si="3"/>
        <v>금</v>
      </c>
      <c r="D92" s="116" t="str">
        <f t="shared" si="4"/>
        <v>6교시</v>
      </c>
      <c r="E92" s="68">
        <f>COUNTIF($H$7:$H92,$H92)</f>
        <v>51</v>
      </c>
      <c r="F92" s="67">
        <f>'1.연간시수표'!$AL$33</f>
        <v>5</v>
      </c>
      <c r="G92" s="115">
        <f t="shared" si="5"/>
        <v>2</v>
      </c>
      <c r="H92" s="41" t="str">
        <f>INDEX('0.시간표데이터'!$E$52:$AR$78,QUOTIENT(ROW(A86)-1,40)+1,MOD(ROW(A86)-1,40)+1)</f>
        <v>_</v>
      </c>
      <c r="I92" s="77"/>
      <c r="J92" s="26"/>
      <c r="K92" s="167"/>
      <c r="L92" s="167"/>
      <c r="M92" s="166"/>
      <c r="N92" s="166"/>
      <c r="O92" s="166"/>
      <c r="P92" s="166"/>
      <c r="Q92" s="167"/>
      <c r="R92" s="111"/>
    </row>
    <row r="93" spans="1:18" ht="13.5" customHeight="1">
      <c r="A93" s="90">
        <v>87</v>
      </c>
      <c r="B93" s="24">
        <f>DATE('1.연간시수표'!$U$44,'1.연간시수표'!$X$44,'1.연간시수표'!$Z$44)+QUOTIENT(ROW(A87)-1,8)+(QUOTIENT(ROW(A87)-1,40)*2)</f>
        <v>44813</v>
      </c>
      <c r="C93" s="24" t="str">
        <f t="shared" si="3"/>
        <v>금</v>
      </c>
      <c r="D93" s="116" t="str">
        <f t="shared" si="4"/>
        <v>7교시</v>
      </c>
      <c r="E93" s="68">
        <f>COUNTIF($H$7:$H93,$H93)</f>
        <v>52</v>
      </c>
      <c r="F93" s="67">
        <f>'1.연간시수표'!$AL$33</f>
        <v>5</v>
      </c>
      <c r="G93" s="115">
        <f t="shared" si="5"/>
        <v>2</v>
      </c>
      <c r="H93" s="41" t="str">
        <f>INDEX('0.시간표데이터'!$E$52:$AR$78,QUOTIENT(ROW(A87)-1,40)+1,MOD(ROW(A87)-1,40)+1)</f>
        <v>_</v>
      </c>
      <c r="I93" s="76"/>
      <c r="J93" s="26"/>
      <c r="K93" s="167"/>
      <c r="L93" s="167"/>
      <c r="M93" s="166"/>
      <c r="N93" s="166"/>
      <c r="O93" s="166"/>
      <c r="P93" s="166"/>
      <c r="Q93" s="167"/>
      <c r="R93" s="111"/>
    </row>
    <row r="94" spans="1:18" ht="13.5" customHeight="1">
      <c r="A94" s="90">
        <v>88</v>
      </c>
      <c r="B94" s="24">
        <f>DATE('1.연간시수표'!$U$44,'1.연간시수표'!$X$44,'1.연간시수표'!$Z$44)+QUOTIENT(ROW(A88)-1,8)+(QUOTIENT(ROW(A88)-1,40)*2)</f>
        <v>44813</v>
      </c>
      <c r="C94" s="24" t="str">
        <f t="shared" si="3"/>
        <v>금</v>
      </c>
      <c r="D94" s="116" t="str">
        <f t="shared" si="4"/>
        <v>8교시</v>
      </c>
      <c r="E94" s="68">
        <f>COUNTIF($H$7:$H94,$H94)</f>
        <v>53</v>
      </c>
      <c r="F94" s="67">
        <f>'1.연간시수표'!$AL$33</f>
        <v>5</v>
      </c>
      <c r="G94" s="115">
        <f t="shared" si="5"/>
        <v>2</v>
      </c>
      <c r="H94" s="41" t="str">
        <f>INDEX('0.시간표데이터'!$E$52:$AR$78,QUOTIENT(ROW(A88)-1,40)+1,MOD(ROW(A88)-1,40)+1)</f>
        <v>_</v>
      </c>
      <c r="I94" s="76"/>
      <c r="J94" s="26"/>
      <c r="K94" s="167"/>
      <c r="L94" s="167"/>
      <c r="M94" s="166"/>
      <c r="N94" s="166"/>
      <c r="O94" s="166"/>
      <c r="P94" s="166"/>
      <c r="Q94" s="167"/>
      <c r="R94" s="111"/>
    </row>
    <row r="95" spans="1:18" ht="13.5" customHeight="1">
      <c r="A95" s="90">
        <v>89</v>
      </c>
      <c r="B95" s="24">
        <f>DATE('1.연간시수표'!$U$44,'1.연간시수표'!$X$44,'1.연간시수표'!$Z$44)+QUOTIENT(ROW(A89)-1,8)+(QUOTIENT(ROW(A89)-1,40)*2)</f>
        <v>44814</v>
      </c>
      <c r="C95" s="24" t="b">
        <f t="shared" si="3"/>
        <v>0</v>
      </c>
      <c r="D95" s="116" t="str">
        <f t="shared" si="4"/>
        <v>1교시</v>
      </c>
      <c r="E95" s="68">
        <f>COUNTIF($H$7:$H95,$H95)</f>
        <v>7</v>
      </c>
      <c r="F95" s="67">
        <f>'1.연간시수표'!$AL$33</f>
        <v>5</v>
      </c>
      <c r="G95" s="115">
        <f t="shared" si="5"/>
        <v>2</v>
      </c>
      <c r="H95" s="41" t="str">
        <f>INDEX('0.시간표데이터'!$E$52:$AR$78,QUOTIENT(ROW(A89)-1,40)+1,MOD(ROW(A89)-1,40)+1)</f>
        <v>국어</v>
      </c>
      <c r="I95" s="77"/>
      <c r="J95" s="26"/>
      <c r="K95" s="180"/>
      <c r="L95" s="180"/>
      <c r="M95" s="10"/>
      <c r="N95" s="10"/>
      <c r="O95" s="10"/>
      <c r="P95" s="10"/>
      <c r="Q95" s="164"/>
      <c r="R95" s="110"/>
    </row>
    <row r="96" spans="1:18" ht="13.5" customHeight="1">
      <c r="A96" s="90">
        <v>90</v>
      </c>
      <c r="B96" s="24">
        <f>DATE('1.연간시수표'!$U$44,'1.연간시수표'!$X$44,'1.연간시수표'!$Z$44)+QUOTIENT(ROW(A90)-1,8)+(QUOTIENT(ROW(A90)-1,40)*2)</f>
        <v>44814</v>
      </c>
      <c r="C96" s="24" t="b">
        <f t="shared" si="3"/>
        <v>0</v>
      </c>
      <c r="D96" s="116" t="str">
        <f t="shared" si="4"/>
        <v>2교시</v>
      </c>
      <c r="E96" s="68">
        <f>COUNTIF($H$7:$H96,$H96)</f>
        <v>8</v>
      </c>
      <c r="F96" s="67">
        <f>'1.연간시수표'!$AL$33</f>
        <v>5</v>
      </c>
      <c r="G96" s="115">
        <f t="shared" si="5"/>
        <v>2</v>
      </c>
      <c r="H96" s="41" t="str">
        <f>INDEX('0.시간표데이터'!$E$52:$AR$78,QUOTIENT(ROW(A90)-1,40)+1,MOD(ROW(A90)-1,40)+1)</f>
        <v>국어</v>
      </c>
      <c r="I96" s="161"/>
      <c r="J96" s="26"/>
      <c r="K96" s="180"/>
      <c r="L96" s="180"/>
      <c r="M96" s="10"/>
      <c r="N96" s="10"/>
      <c r="O96" s="10"/>
      <c r="P96" s="10"/>
      <c r="Q96" s="164"/>
      <c r="R96" s="110"/>
    </row>
    <row r="97" spans="1:18">
      <c r="A97" s="90">
        <v>91</v>
      </c>
      <c r="B97" s="24">
        <f>DATE('1.연간시수표'!$U$44,'1.연간시수표'!$X$44,'1.연간시수표'!$Z$44)+QUOTIENT(ROW(A91)-1,8)+(QUOTIENT(ROW(A91)-1,40)*2)</f>
        <v>44814</v>
      </c>
      <c r="C97" s="24" t="b">
        <f t="shared" si="3"/>
        <v>0</v>
      </c>
      <c r="D97" s="116" t="str">
        <f t="shared" si="4"/>
        <v>3교시</v>
      </c>
      <c r="E97" s="68">
        <f>COUNTIF($H$7:$H97,$H97)</f>
        <v>4</v>
      </c>
      <c r="F97" s="67">
        <f>'1.연간시수표'!$AL$33</f>
        <v>5</v>
      </c>
      <c r="G97" s="115">
        <f t="shared" si="5"/>
        <v>2</v>
      </c>
      <c r="H97" s="41" t="str">
        <f>INDEX('0.시간표데이터'!$E$52:$AR$78,QUOTIENT(ROW(A91)-1,40)+1,MOD(ROW(A91)-1,40)+1)</f>
        <v>사회</v>
      </c>
      <c r="I97" s="77"/>
      <c r="J97" s="26"/>
      <c r="K97" s="164"/>
      <c r="L97" s="164"/>
      <c r="M97" s="10"/>
      <c r="N97" s="10"/>
      <c r="O97" s="10"/>
      <c r="P97" s="10"/>
      <c r="Q97" s="164"/>
      <c r="R97" s="110"/>
    </row>
    <row r="98" spans="1:18">
      <c r="A98" s="90">
        <v>92</v>
      </c>
      <c r="B98" s="24">
        <f>DATE('1.연간시수표'!$U$44,'1.연간시수표'!$X$44,'1.연간시수표'!$Z$44)+QUOTIENT(ROW(A92)-1,8)+(QUOTIENT(ROW(A92)-1,40)*2)</f>
        <v>44814</v>
      </c>
      <c r="C98" s="24" t="b">
        <f t="shared" si="3"/>
        <v>0</v>
      </c>
      <c r="D98" s="116" t="str">
        <f t="shared" si="4"/>
        <v>4교시</v>
      </c>
      <c r="E98" s="68">
        <f>COUNTIF($H$7:$H98,$H98)</f>
        <v>5</v>
      </c>
      <c r="F98" s="67">
        <f>'1.연간시수표'!$AL$33</f>
        <v>5</v>
      </c>
      <c r="G98" s="115">
        <f t="shared" si="5"/>
        <v>2</v>
      </c>
      <c r="H98" s="41" t="str">
        <f>INDEX('0.시간표데이터'!$E$52:$AR$78,QUOTIENT(ROW(A92)-1,40)+1,MOD(ROW(A92)-1,40)+1)</f>
        <v>수학</v>
      </c>
      <c r="I98" s="77"/>
      <c r="J98" s="26"/>
      <c r="K98" s="180"/>
      <c r="L98" s="180"/>
      <c r="M98" s="10"/>
      <c r="N98" s="10"/>
      <c r="O98" s="10"/>
      <c r="P98" s="10"/>
      <c r="Q98" s="164"/>
      <c r="R98" s="110"/>
    </row>
    <row r="99" spans="1:18" ht="13.5" customHeight="1">
      <c r="A99" s="90">
        <v>93</v>
      </c>
      <c r="B99" s="24">
        <f>DATE('1.연간시수표'!$U$44,'1.연간시수표'!$X$44,'1.연간시수표'!$Z$44)+QUOTIENT(ROW(A93)-1,8)+(QUOTIENT(ROW(A93)-1,40)*2)</f>
        <v>44814</v>
      </c>
      <c r="C99" s="24" t="b">
        <f t="shared" si="3"/>
        <v>0</v>
      </c>
      <c r="D99" s="116" t="str">
        <f t="shared" si="4"/>
        <v>5교시</v>
      </c>
      <c r="E99" s="68">
        <f>COUNTIF($H$7:$H99,$H99)</f>
        <v>5</v>
      </c>
      <c r="F99" s="67">
        <f>'1.연간시수표'!$AL$33</f>
        <v>5</v>
      </c>
      <c r="G99" s="115">
        <f t="shared" si="5"/>
        <v>2</v>
      </c>
      <c r="H99" s="41" t="str">
        <f>INDEX('0.시간표데이터'!$E$52:$AR$78,QUOTIENT(ROW(A93)-1,40)+1,MOD(ROW(A93)-1,40)+1)</f>
        <v>과학</v>
      </c>
      <c r="I99" s="77"/>
      <c r="J99" s="26"/>
      <c r="K99" s="180"/>
      <c r="L99" s="180"/>
      <c r="M99" s="10"/>
      <c r="N99" s="10"/>
      <c r="O99" s="10"/>
      <c r="P99" s="10"/>
      <c r="Q99" s="164"/>
      <c r="R99" s="110"/>
    </row>
    <row r="100" spans="1:18" ht="13.5" customHeight="1">
      <c r="A100" s="90">
        <v>94</v>
      </c>
      <c r="B100" s="24">
        <f>DATE('1.연간시수표'!$U$44,'1.연간시수표'!$X$44,'1.연간시수표'!$Z$44)+QUOTIENT(ROW(A94)-1,8)+(QUOTIENT(ROW(A94)-1,40)*2)</f>
        <v>44814</v>
      </c>
      <c r="C100" s="24" t="b">
        <f t="shared" si="3"/>
        <v>0</v>
      </c>
      <c r="D100" s="116" t="str">
        <f t="shared" si="4"/>
        <v>6교시</v>
      </c>
      <c r="E100" s="68">
        <f>COUNTIF($H$7:$H100,$H100)</f>
        <v>3</v>
      </c>
      <c r="F100" s="67">
        <f>'1.연간시수표'!$AL$33</f>
        <v>5</v>
      </c>
      <c r="G100" s="115">
        <f t="shared" si="5"/>
        <v>2</v>
      </c>
      <c r="H100" s="41" t="str">
        <f>INDEX('0.시간표데이터'!$E$52:$AR$78,QUOTIENT(ROW(A94)-1,40)+1,MOD(ROW(A94)-1,40)+1)</f>
        <v>실과</v>
      </c>
      <c r="I100" s="77"/>
      <c r="J100" s="26"/>
      <c r="K100" s="167"/>
      <c r="L100" s="167"/>
      <c r="M100" s="166"/>
      <c r="N100" s="166"/>
      <c r="O100" s="166"/>
      <c r="P100" s="166"/>
      <c r="Q100" s="167"/>
      <c r="R100" s="111"/>
    </row>
    <row r="101" spans="1:18" ht="13.5" customHeight="1">
      <c r="A101" s="90">
        <v>95</v>
      </c>
      <c r="B101" s="24">
        <f>DATE('1.연간시수표'!$U$44,'1.연간시수표'!$X$44,'1.연간시수표'!$Z$44)+QUOTIENT(ROW(A95)-1,8)+(QUOTIENT(ROW(A95)-1,40)*2)</f>
        <v>44814</v>
      </c>
      <c r="C101" s="24" t="b">
        <f t="shared" si="3"/>
        <v>0</v>
      </c>
      <c r="D101" s="116" t="str">
        <f t="shared" si="4"/>
        <v>7교시</v>
      </c>
      <c r="E101" s="68">
        <f>COUNTIF($H$7:$H101,$H101)</f>
        <v>54</v>
      </c>
      <c r="F101" s="67">
        <f>'1.연간시수표'!$AL$33</f>
        <v>5</v>
      </c>
      <c r="G101" s="115">
        <f t="shared" si="5"/>
        <v>2</v>
      </c>
      <c r="H101" s="41" t="str">
        <f>INDEX('0.시간표데이터'!$E$52:$AR$78,QUOTIENT(ROW(A95)-1,40)+1,MOD(ROW(A95)-1,40)+1)</f>
        <v>_</v>
      </c>
      <c r="I101" s="76"/>
      <c r="J101" s="26"/>
      <c r="K101" s="167"/>
      <c r="L101" s="167"/>
      <c r="M101" s="166"/>
      <c r="N101" s="166"/>
      <c r="O101" s="166"/>
      <c r="P101" s="166"/>
      <c r="Q101" s="167"/>
      <c r="R101" s="111"/>
    </row>
    <row r="102" spans="1:18" ht="13.5" customHeight="1">
      <c r="A102" s="90">
        <v>96</v>
      </c>
      <c r="B102" s="24">
        <f>DATE('1.연간시수표'!$U$44,'1.연간시수표'!$X$44,'1.연간시수표'!$Z$44)+QUOTIENT(ROW(A96)-1,8)+(QUOTIENT(ROW(A96)-1,40)*2)</f>
        <v>44814</v>
      </c>
      <c r="C102" s="24" t="b">
        <f t="shared" si="3"/>
        <v>0</v>
      </c>
      <c r="D102" s="116" t="str">
        <f t="shared" si="4"/>
        <v>8교시</v>
      </c>
      <c r="E102" s="68">
        <f>COUNTIF($H$7:$H102,$H102)</f>
        <v>55</v>
      </c>
      <c r="F102" s="67">
        <f>'1.연간시수표'!$AL$33</f>
        <v>5</v>
      </c>
      <c r="G102" s="115">
        <f t="shared" si="5"/>
        <v>2</v>
      </c>
      <c r="H102" s="41" t="str">
        <f>INDEX('0.시간표데이터'!$E$52:$AR$78,QUOTIENT(ROW(A96)-1,40)+1,MOD(ROW(A96)-1,40)+1)</f>
        <v>_</v>
      </c>
      <c r="I102" s="76"/>
      <c r="J102" s="26"/>
      <c r="K102" s="167"/>
      <c r="L102" s="167"/>
      <c r="M102" s="166"/>
      <c r="N102" s="166"/>
      <c r="O102" s="166"/>
      <c r="P102" s="166"/>
      <c r="Q102" s="167"/>
      <c r="R102" s="111"/>
    </row>
    <row r="103" spans="1:18" ht="13.5" customHeight="1">
      <c r="A103" s="90">
        <v>97</v>
      </c>
      <c r="B103" s="24">
        <f>DATE('1.연간시수표'!$U$44,'1.연간시수표'!$X$44,'1.연간시수표'!$Z$44)+QUOTIENT(ROW(A97)-1,8)+(QUOTIENT(ROW(A97)-1,40)*2)</f>
        <v>44815</v>
      </c>
      <c r="C103" s="24" t="b">
        <f t="shared" si="3"/>
        <v>0</v>
      </c>
      <c r="D103" s="116" t="str">
        <f t="shared" si="4"/>
        <v>1교시</v>
      </c>
      <c r="E103" s="68">
        <f>COUNTIF($H$7:$H103,$H103)</f>
        <v>5</v>
      </c>
      <c r="F103" s="67">
        <f>'1.연간시수표'!$AL$33</f>
        <v>5</v>
      </c>
      <c r="G103" s="115">
        <f t="shared" si="5"/>
        <v>2</v>
      </c>
      <c r="H103" s="41" t="str">
        <f>INDEX('0.시간표데이터'!$E$52:$AR$78,QUOTIENT(ROW(A97)-1,40)+1,MOD(ROW(A97)-1,40)+1)</f>
        <v>영어</v>
      </c>
      <c r="I103" s="77"/>
      <c r="J103" s="26"/>
      <c r="K103" s="180"/>
      <c r="L103" s="180"/>
      <c r="M103" s="10"/>
      <c r="N103" s="10"/>
      <c r="O103" s="10"/>
      <c r="P103" s="10"/>
      <c r="Q103" s="164"/>
      <c r="R103" s="110"/>
    </row>
    <row r="104" spans="1:18" ht="13.5" customHeight="1">
      <c r="A104" s="90">
        <v>98</v>
      </c>
      <c r="B104" s="24">
        <f>DATE('1.연간시수표'!$U$44,'1.연간시수표'!$X$44,'1.연간시수표'!$Z$44)+QUOTIENT(ROW(A98)-1,8)+(QUOTIENT(ROW(A98)-1,40)*2)</f>
        <v>44815</v>
      </c>
      <c r="C104" s="24" t="b">
        <f t="shared" si="3"/>
        <v>0</v>
      </c>
      <c r="D104" s="116" t="str">
        <f t="shared" si="4"/>
        <v>2교시</v>
      </c>
      <c r="E104" s="68">
        <f>COUNTIF($H$7:$H104,$H104)</f>
        <v>6</v>
      </c>
      <c r="F104" s="67">
        <f>'1.연간시수표'!$AL$33</f>
        <v>5</v>
      </c>
      <c r="G104" s="115">
        <f t="shared" si="5"/>
        <v>2</v>
      </c>
      <c r="H104" s="41" t="str">
        <f>INDEX('0.시간표데이터'!$E$52:$AR$78,QUOTIENT(ROW(A98)-1,40)+1,MOD(ROW(A98)-1,40)+1)</f>
        <v>과학</v>
      </c>
      <c r="I104" s="77"/>
      <c r="J104" s="26"/>
      <c r="K104" s="180"/>
      <c r="L104" s="180"/>
      <c r="M104" s="10"/>
      <c r="N104" s="10"/>
      <c r="O104" s="10"/>
      <c r="P104" s="10"/>
      <c r="Q104" s="164"/>
      <c r="R104" s="110"/>
    </row>
    <row r="105" spans="1:18" ht="13.5" customHeight="1">
      <c r="A105" s="90">
        <v>99</v>
      </c>
      <c r="B105" s="24">
        <f>DATE('1.연간시수표'!$U$44,'1.연간시수표'!$X$44,'1.연간시수표'!$Z$44)+QUOTIENT(ROW(A99)-1,8)+(QUOTIENT(ROW(A99)-1,40)*2)</f>
        <v>44815</v>
      </c>
      <c r="C105" s="24" t="b">
        <f t="shared" si="3"/>
        <v>0</v>
      </c>
      <c r="D105" s="116" t="str">
        <f t="shared" si="4"/>
        <v>3교시</v>
      </c>
      <c r="E105" s="68">
        <f>COUNTIF($H$7:$H105,$H105)</f>
        <v>3</v>
      </c>
      <c r="F105" s="67">
        <f>'1.연간시수표'!$AL$33</f>
        <v>5</v>
      </c>
      <c r="G105" s="115">
        <f t="shared" si="5"/>
        <v>2</v>
      </c>
      <c r="H105" s="41" t="str">
        <f>INDEX('0.시간표데이터'!$E$52:$AR$78,QUOTIENT(ROW(A99)-1,40)+1,MOD(ROW(A99)-1,40)+1)</f>
        <v>체육</v>
      </c>
      <c r="I105" s="77"/>
      <c r="J105" s="26"/>
      <c r="K105" s="180"/>
      <c r="L105" s="180"/>
      <c r="M105" s="10"/>
      <c r="N105" s="10"/>
      <c r="O105" s="10"/>
      <c r="P105" s="10"/>
      <c r="Q105" s="164"/>
      <c r="R105" s="110"/>
    </row>
    <row r="106" spans="1:18" ht="13.5" customHeight="1">
      <c r="A106" s="90">
        <v>100</v>
      </c>
      <c r="B106" s="24">
        <f>DATE('1.연간시수표'!$U$44,'1.연간시수표'!$X$44,'1.연간시수표'!$Z$44)+QUOTIENT(ROW(A100)-1,8)+(QUOTIENT(ROW(A100)-1,40)*2)</f>
        <v>44815</v>
      </c>
      <c r="C106" s="24" t="b">
        <f t="shared" si="3"/>
        <v>0</v>
      </c>
      <c r="D106" s="116" t="str">
        <f t="shared" si="4"/>
        <v>4교시</v>
      </c>
      <c r="E106" s="68">
        <f>COUNTIF($H$7:$H106,$H106)</f>
        <v>4</v>
      </c>
      <c r="F106" s="67">
        <f>'1.연간시수표'!$AL$33</f>
        <v>5</v>
      </c>
      <c r="G106" s="115">
        <f t="shared" si="5"/>
        <v>2</v>
      </c>
      <c r="H106" s="41" t="str">
        <f>INDEX('0.시간표데이터'!$E$52:$AR$78,QUOTIENT(ROW(A100)-1,40)+1,MOD(ROW(A100)-1,40)+1)</f>
        <v>음악</v>
      </c>
      <c r="I106" s="77"/>
      <c r="J106" s="26"/>
      <c r="K106" s="180"/>
      <c r="L106" s="180"/>
      <c r="M106" s="10"/>
      <c r="N106" s="10"/>
      <c r="O106" s="10"/>
      <c r="P106" s="10"/>
      <c r="Q106" s="164"/>
      <c r="R106" s="110"/>
    </row>
    <row r="107" spans="1:18" ht="13.5" customHeight="1">
      <c r="A107" s="90">
        <v>101</v>
      </c>
      <c r="B107" s="24">
        <f>DATE('1.연간시수표'!$U$44,'1.연간시수표'!$X$44,'1.연간시수표'!$Z$44)+QUOTIENT(ROW(A101)-1,8)+(QUOTIENT(ROW(A101)-1,40)*2)</f>
        <v>44815</v>
      </c>
      <c r="C107" s="24" t="b">
        <f t="shared" si="3"/>
        <v>0</v>
      </c>
      <c r="D107" s="116" t="str">
        <f t="shared" si="4"/>
        <v>5교시</v>
      </c>
      <c r="E107" s="68">
        <f>COUNTIF($H$7:$H107,$H107)</f>
        <v>2</v>
      </c>
      <c r="F107" s="67">
        <f>'1.연간시수표'!$AL$33</f>
        <v>5</v>
      </c>
      <c r="G107" s="115">
        <f t="shared" si="5"/>
        <v>2</v>
      </c>
      <c r="H107" s="41" t="str">
        <f>INDEX('0.시간표데이터'!$E$52:$AR$78,QUOTIENT(ROW(A101)-1,40)+1,MOD(ROW(A101)-1,40)+1)</f>
        <v>도덕</v>
      </c>
      <c r="I107" s="77"/>
      <c r="J107" s="26"/>
      <c r="K107" s="164"/>
      <c r="L107" s="164"/>
      <c r="M107" s="10"/>
      <c r="N107" s="10"/>
      <c r="O107" s="10"/>
      <c r="P107" s="10"/>
      <c r="Q107" s="164"/>
      <c r="R107" s="110"/>
    </row>
    <row r="108" spans="1:18" ht="13.5" customHeight="1">
      <c r="A108" s="90">
        <v>102</v>
      </c>
      <c r="B108" s="24">
        <f>DATE('1.연간시수표'!$U$44,'1.연간시수표'!$X$44,'1.연간시수표'!$Z$44)+QUOTIENT(ROW(A102)-1,8)+(QUOTIENT(ROW(A102)-1,40)*2)</f>
        <v>44815</v>
      </c>
      <c r="C108" s="24" t="b">
        <f t="shared" si="3"/>
        <v>0</v>
      </c>
      <c r="D108" s="116" t="str">
        <f t="shared" si="4"/>
        <v>6교시</v>
      </c>
      <c r="E108" s="68">
        <f>COUNTIF($H$7:$H108,$H108)</f>
        <v>56</v>
      </c>
      <c r="F108" s="67">
        <f>'1.연간시수표'!$AL$33</f>
        <v>5</v>
      </c>
      <c r="G108" s="115">
        <f t="shared" si="5"/>
        <v>2</v>
      </c>
      <c r="H108" s="41" t="str">
        <f>INDEX('0.시간표데이터'!$E$52:$AR$78,QUOTIENT(ROW(A102)-1,40)+1,MOD(ROW(A102)-1,40)+1)</f>
        <v>_</v>
      </c>
      <c r="I108" s="77"/>
      <c r="J108" s="26"/>
      <c r="K108" s="167"/>
      <c r="L108" s="167"/>
      <c r="M108" s="166"/>
      <c r="N108" s="166"/>
      <c r="O108" s="166"/>
      <c r="P108" s="166"/>
      <c r="Q108" s="167"/>
      <c r="R108" s="111"/>
    </row>
    <row r="109" spans="1:18" ht="13.5" customHeight="1">
      <c r="A109" s="90">
        <v>103</v>
      </c>
      <c r="B109" s="24">
        <f>DATE('1.연간시수표'!$U$44,'1.연간시수표'!$X$44,'1.연간시수표'!$Z$44)+QUOTIENT(ROW(A103)-1,8)+(QUOTIENT(ROW(A103)-1,40)*2)</f>
        <v>44815</v>
      </c>
      <c r="C109" s="24" t="b">
        <f t="shared" si="3"/>
        <v>0</v>
      </c>
      <c r="D109" s="116" t="str">
        <f t="shared" si="4"/>
        <v>7교시</v>
      </c>
      <c r="E109" s="68">
        <f>COUNTIF($H$7:$H109,$H109)</f>
        <v>57</v>
      </c>
      <c r="F109" s="67">
        <f>'1.연간시수표'!$AL$33</f>
        <v>5</v>
      </c>
      <c r="G109" s="115">
        <f t="shared" si="5"/>
        <v>2</v>
      </c>
      <c r="H109" s="41" t="str">
        <f>INDEX('0.시간표데이터'!$E$52:$AR$78,QUOTIENT(ROW(A103)-1,40)+1,MOD(ROW(A103)-1,40)+1)</f>
        <v>_</v>
      </c>
      <c r="I109" s="76"/>
      <c r="J109" s="26"/>
      <c r="K109" s="167"/>
      <c r="L109" s="167"/>
      <c r="M109" s="166"/>
      <c r="N109" s="166"/>
      <c r="O109" s="166"/>
      <c r="P109" s="166"/>
      <c r="Q109" s="167"/>
      <c r="R109" s="111"/>
    </row>
    <row r="110" spans="1:18" ht="13.5" customHeight="1">
      <c r="A110" s="90">
        <v>104</v>
      </c>
      <c r="B110" s="24">
        <f>DATE('1.연간시수표'!$U$44,'1.연간시수표'!$X$44,'1.연간시수표'!$Z$44)+QUOTIENT(ROW(A104)-1,8)+(QUOTIENT(ROW(A104)-1,40)*2)</f>
        <v>44815</v>
      </c>
      <c r="C110" s="24" t="b">
        <f t="shared" si="3"/>
        <v>0</v>
      </c>
      <c r="D110" s="116" t="str">
        <f t="shared" si="4"/>
        <v>8교시</v>
      </c>
      <c r="E110" s="68">
        <f>COUNTIF($H$7:$H110,$H110)</f>
        <v>58</v>
      </c>
      <c r="F110" s="67">
        <f>'1.연간시수표'!$AL$33</f>
        <v>5</v>
      </c>
      <c r="G110" s="115">
        <f t="shared" si="5"/>
        <v>2</v>
      </c>
      <c r="H110" s="41" t="str">
        <f>INDEX('0.시간표데이터'!$E$52:$AR$78,QUOTIENT(ROW(A104)-1,40)+1,MOD(ROW(A104)-1,40)+1)</f>
        <v>_</v>
      </c>
      <c r="I110" s="76"/>
      <c r="J110" s="26"/>
      <c r="K110" s="167"/>
      <c r="L110" s="167"/>
      <c r="M110" s="166"/>
      <c r="N110" s="166"/>
      <c r="O110" s="166"/>
      <c r="P110" s="166"/>
      <c r="Q110" s="167"/>
      <c r="R110" s="111"/>
    </row>
    <row r="111" spans="1:18" ht="13.5" customHeight="1">
      <c r="A111" s="90">
        <v>105</v>
      </c>
      <c r="B111" s="24">
        <f>DATE('1.연간시수표'!$U$44,'1.연간시수표'!$X$44,'1.연간시수표'!$Z$44)+QUOTIENT(ROW(A105)-1,8)+(QUOTIENT(ROW(A105)-1,40)*2)</f>
        <v>44816</v>
      </c>
      <c r="C111" s="24" t="str">
        <f t="shared" si="3"/>
        <v>월</v>
      </c>
      <c r="D111" s="116" t="str">
        <f t="shared" si="4"/>
        <v>1교시</v>
      </c>
      <c r="E111" s="68">
        <f>COUNTIF($H$7:$H111,$H111)</f>
        <v>9</v>
      </c>
      <c r="F111" s="67">
        <f>'1.연간시수표'!$AL$33</f>
        <v>5</v>
      </c>
      <c r="G111" s="115">
        <f t="shared" si="5"/>
        <v>2</v>
      </c>
      <c r="H111" s="41" t="str">
        <f>INDEX('0.시간표데이터'!$E$52:$AR$78,QUOTIENT(ROW(A105)-1,40)+1,MOD(ROW(A105)-1,40)+1)</f>
        <v>국어</v>
      </c>
      <c r="I111" s="77"/>
      <c r="J111" s="26"/>
      <c r="K111" s="180"/>
      <c r="L111" s="180"/>
      <c r="M111" s="10"/>
      <c r="N111" s="10"/>
      <c r="O111" s="10"/>
      <c r="P111" s="10"/>
      <c r="Q111" s="164"/>
      <c r="R111" s="110"/>
    </row>
    <row r="112" spans="1:18" ht="13.5" customHeight="1">
      <c r="A112" s="90">
        <v>106</v>
      </c>
      <c r="B112" s="24">
        <f>DATE('1.연간시수표'!$U$44,'1.연간시수표'!$X$44,'1.연간시수표'!$Z$44)+QUOTIENT(ROW(A106)-1,8)+(QUOTIENT(ROW(A106)-1,40)*2)</f>
        <v>44816</v>
      </c>
      <c r="C112" s="24" t="str">
        <f t="shared" si="3"/>
        <v>월</v>
      </c>
      <c r="D112" s="116" t="str">
        <f t="shared" si="4"/>
        <v>2교시</v>
      </c>
      <c r="E112" s="68">
        <f>COUNTIF($H$7:$H112,$H112)</f>
        <v>6</v>
      </c>
      <c r="F112" s="67">
        <f>'1.연간시수표'!$AL$33</f>
        <v>5</v>
      </c>
      <c r="G112" s="115">
        <f t="shared" si="5"/>
        <v>2</v>
      </c>
      <c r="H112" s="41" t="str">
        <f>INDEX('0.시간표데이터'!$E$52:$AR$78,QUOTIENT(ROW(A106)-1,40)+1,MOD(ROW(A106)-1,40)+1)</f>
        <v>수학</v>
      </c>
      <c r="I112" s="161"/>
      <c r="J112" s="26"/>
      <c r="K112" s="180"/>
      <c r="L112" s="180"/>
      <c r="M112" s="10"/>
      <c r="N112" s="10"/>
      <c r="O112" s="10"/>
      <c r="P112" s="10"/>
      <c r="Q112" s="164"/>
      <c r="R112" s="110"/>
    </row>
    <row r="113" spans="1:18" ht="13.5" customHeight="1">
      <c r="A113" s="90">
        <v>107</v>
      </c>
      <c r="B113" s="24">
        <f>DATE('1.연간시수표'!$U$44,'1.연간시수표'!$X$44,'1.연간시수표'!$Z$44)+QUOTIENT(ROW(A107)-1,8)+(QUOTIENT(ROW(A107)-1,40)*2)</f>
        <v>44816</v>
      </c>
      <c r="C113" s="24" t="str">
        <f t="shared" si="3"/>
        <v>월</v>
      </c>
      <c r="D113" s="116" t="str">
        <f t="shared" si="4"/>
        <v>3교시</v>
      </c>
      <c r="E113" s="68">
        <f>COUNTIF($H$7:$H113,$H113)</f>
        <v>5</v>
      </c>
      <c r="F113" s="67">
        <f>'1.연간시수표'!$AL$33</f>
        <v>5</v>
      </c>
      <c r="G113" s="115">
        <f t="shared" si="5"/>
        <v>2</v>
      </c>
      <c r="H113" s="41" t="str">
        <f>INDEX('0.시간표데이터'!$E$52:$AR$78,QUOTIENT(ROW(A107)-1,40)+1,MOD(ROW(A107)-1,40)+1)</f>
        <v>사회</v>
      </c>
      <c r="I113" s="77"/>
      <c r="J113" s="26"/>
      <c r="K113" s="180"/>
      <c r="L113" s="180"/>
      <c r="M113" s="10"/>
      <c r="N113" s="10"/>
      <c r="O113" s="10"/>
      <c r="P113" s="10"/>
      <c r="Q113" s="164"/>
      <c r="R113" s="110"/>
    </row>
    <row r="114" spans="1:18" ht="13.5" customHeight="1">
      <c r="A114" s="90">
        <v>108</v>
      </c>
      <c r="B114" s="24">
        <f>DATE('1.연간시수표'!$U$44,'1.연간시수표'!$X$44,'1.연간시수표'!$Z$44)+QUOTIENT(ROW(A108)-1,8)+(QUOTIENT(ROW(A108)-1,40)*2)</f>
        <v>44816</v>
      </c>
      <c r="C114" s="24" t="str">
        <f t="shared" si="3"/>
        <v>월</v>
      </c>
      <c r="D114" s="116" t="str">
        <f t="shared" si="4"/>
        <v>4교시</v>
      </c>
      <c r="E114" s="68">
        <f>COUNTIF($H$7:$H114,$H114)</f>
        <v>6</v>
      </c>
      <c r="F114" s="67">
        <f>'1.연간시수표'!$AL$33</f>
        <v>5</v>
      </c>
      <c r="G114" s="115">
        <f t="shared" si="5"/>
        <v>2</v>
      </c>
      <c r="H114" s="41" t="str">
        <f>INDEX('0.시간표데이터'!$E$52:$AR$78,QUOTIENT(ROW(A108)-1,40)+1,MOD(ROW(A108)-1,40)+1)</f>
        <v>영어</v>
      </c>
      <c r="I114" s="77"/>
      <c r="J114" s="26"/>
      <c r="K114" s="180"/>
      <c r="L114" s="180"/>
      <c r="M114" s="10"/>
      <c r="N114" s="10"/>
      <c r="O114" s="10"/>
      <c r="P114" s="10"/>
      <c r="Q114" s="164"/>
      <c r="R114" s="110"/>
    </row>
    <row r="115" spans="1:18" ht="13.5" customHeight="1">
      <c r="A115" s="90">
        <v>109</v>
      </c>
      <c r="B115" s="24">
        <f>DATE('1.연간시수표'!$U$44,'1.연간시수표'!$X$44,'1.연간시수표'!$Z$44)+QUOTIENT(ROW(A109)-1,8)+(QUOTIENT(ROW(A109)-1,40)*2)</f>
        <v>44816</v>
      </c>
      <c r="C115" s="24" t="str">
        <f t="shared" si="3"/>
        <v>월</v>
      </c>
      <c r="D115" s="116" t="str">
        <f t="shared" si="4"/>
        <v>5교시</v>
      </c>
      <c r="E115" s="68">
        <f>COUNTIF($H$7:$H115,$H115)</f>
        <v>7</v>
      </c>
      <c r="F115" s="67">
        <f>'1.연간시수표'!$AL$33</f>
        <v>5</v>
      </c>
      <c r="G115" s="115">
        <f t="shared" si="5"/>
        <v>2</v>
      </c>
      <c r="H115" s="41" t="str">
        <f>INDEX('0.시간표데이터'!$E$52:$AR$78,QUOTIENT(ROW(A109)-1,40)+1,MOD(ROW(A109)-1,40)+1)</f>
        <v>과학</v>
      </c>
      <c r="I115" s="77"/>
      <c r="J115" s="26"/>
      <c r="K115" s="180"/>
      <c r="L115" s="180"/>
      <c r="M115" s="10"/>
      <c r="N115" s="10"/>
      <c r="O115" s="10"/>
      <c r="P115" s="10"/>
      <c r="Q115" s="164"/>
      <c r="R115" s="110"/>
    </row>
    <row r="116" spans="1:18" ht="13.5" customHeight="1">
      <c r="A116" s="90">
        <v>110</v>
      </c>
      <c r="B116" s="24">
        <f>DATE('1.연간시수표'!$U$44,'1.연간시수표'!$X$44,'1.연간시수표'!$Z$44)+QUOTIENT(ROW(A110)-1,8)+(QUOTIENT(ROW(A110)-1,40)*2)</f>
        <v>44816</v>
      </c>
      <c r="C116" s="24" t="str">
        <f t="shared" si="3"/>
        <v>월</v>
      </c>
      <c r="D116" s="116" t="str">
        <f t="shared" si="4"/>
        <v>6교시</v>
      </c>
      <c r="E116" s="68">
        <f>COUNTIF($H$7:$H116,$H116)</f>
        <v>5</v>
      </c>
      <c r="F116" s="67">
        <f>'1.연간시수표'!$AL$33</f>
        <v>5</v>
      </c>
      <c r="G116" s="115">
        <f t="shared" si="5"/>
        <v>2</v>
      </c>
      <c r="H116" s="41" t="str">
        <f>INDEX('0.시간표데이터'!$E$52:$AR$78,QUOTIENT(ROW(A110)-1,40)+1,MOD(ROW(A110)-1,40)+1)</f>
        <v>음악</v>
      </c>
      <c r="I116" s="161"/>
      <c r="J116" s="26"/>
      <c r="K116" s="180"/>
      <c r="L116" s="180"/>
      <c r="M116" s="10"/>
      <c r="N116" s="10"/>
      <c r="O116" s="10"/>
      <c r="P116" s="10"/>
      <c r="Q116" s="164"/>
      <c r="R116" s="110"/>
    </row>
    <row r="117" spans="1:18" ht="13.5" customHeight="1">
      <c r="A117" s="90">
        <v>111</v>
      </c>
      <c r="B117" s="24">
        <f>DATE('1.연간시수표'!$U$44,'1.연간시수표'!$X$44,'1.연간시수표'!$Z$44)+QUOTIENT(ROW(A111)-1,8)+(QUOTIENT(ROW(A111)-1,40)*2)</f>
        <v>44816</v>
      </c>
      <c r="C117" s="24" t="str">
        <f t="shared" si="3"/>
        <v>월</v>
      </c>
      <c r="D117" s="116" t="str">
        <f t="shared" si="4"/>
        <v>7교시</v>
      </c>
      <c r="E117" s="68">
        <f>COUNTIF($H$7:$H117,$H117)</f>
        <v>59</v>
      </c>
      <c r="F117" s="67">
        <f>'1.연간시수표'!$AL$33</f>
        <v>5</v>
      </c>
      <c r="G117" s="115">
        <f t="shared" si="5"/>
        <v>2</v>
      </c>
      <c r="H117" s="41" t="str">
        <f>INDEX('0.시간표데이터'!$E$52:$AR$78,QUOTIENT(ROW(A111)-1,40)+1,MOD(ROW(A111)-1,40)+1)</f>
        <v>_</v>
      </c>
      <c r="I117" s="76"/>
      <c r="J117" s="26"/>
      <c r="K117" s="167"/>
      <c r="L117" s="167"/>
      <c r="M117" s="166"/>
      <c r="N117" s="166"/>
      <c r="O117" s="166"/>
      <c r="P117" s="166"/>
      <c r="Q117" s="167"/>
      <c r="R117" s="111"/>
    </row>
    <row r="118" spans="1:18" ht="13.5" customHeight="1">
      <c r="A118" s="90">
        <v>112</v>
      </c>
      <c r="B118" s="24">
        <f>DATE('1.연간시수표'!$U$44,'1.연간시수표'!$X$44,'1.연간시수표'!$Z$44)+QUOTIENT(ROW(A112)-1,8)+(QUOTIENT(ROW(A112)-1,40)*2)</f>
        <v>44816</v>
      </c>
      <c r="C118" s="24" t="str">
        <f t="shared" si="3"/>
        <v>월</v>
      </c>
      <c r="D118" s="116" t="str">
        <f t="shared" si="4"/>
        <v>8교시</v>
      </c>
      <c r="E118" s="68">
        <f>COUNTIF($H$7:$H118,$H118)</f>
        <v>60</v>
      </c>
      <c r="F118" s="67">
        <f>'1.연간시수표'!$AL$33</f>
        <v>5</v>
      </c>
      <c r="G118" s="115">
        <f t="shared" si="5"/>
        <v>2</v>
      </c>
      <c r="H118" s="41" t="str">
        <f>INDEX('0.시간표데이터'!$E$52:$AR$78,QUOTIENT(ROW(A112)-1,40)+1,MOD(ROW(A112)-1,40)+1)</f>
        <v>_</v>
      </c>
      <c r="I118" s="76"/>
      <c r="J118" s="26"/>
      <c r="K118" s="167"/>
      <c r="L118" s="167"/>
      <c r="M118" s="166"/>
      <c r="N118" s="166"/>
      <c r="O118" s="166"/>
      <c r="P118" s="166"/>
      <c r="Q118" s="167"/>
      <c r="R118" s="111"/>
    </row>
    <row r="119" spans="1:18" ht="13.5" customHeight="1">
      <c r="A119" s="90">
        <v>113</v>
      </c>
      <c r="B119" s="24">
        <f>DATE('1.연간시수표'!$U$44,'1.연간시수표'!$X$44,'1.연간시수표'!$Z$44)+QUOTIENT(ROW(A113)-1,8)+(QUOTIENT(ROW(A113)-1,40)*2)</f>
        <v>44817</v>
      </c>
      <c r="C119" s="24" t="str">
        <f t="shared" si="3"/>
        <v>화</v>
      </c>
      <c r="D119" s="116" t="str">
        <f t="shared" si="4"/>
        <v>1교시</v>
      </c>
      <c r="E119" s="68">
        <f>COUNTIF($H$7:$H119,$H119)</f>
        <v>10</v>
      </c>
      <c r="F119" s="67">
        <f>'1.연간시수표'!$AL$33</f>
        <v>5</v>
      </c>
      <c r="G119" s="115">
        <f t="shared" si="5"/>
        <v>2</v>
      </c>
      <c r="H119" s="41" t="str">
        <f>INDEX('0.시간표데이터'!$E$52:$AR$78,QUOTIENT(ROW(A113)-1,40)+1,MOD(ROW(A113)-1,40)+1)</f>
        <v>국어</v>
      </c>
      <c r="I119" s="77"/>
      <c r="J119" s="26"/>
      <c r="K119" s="180"/>
      <c r="L119" s="180"/>
      <c r="M119" s="10"/>
      <c r="N119" s="10"/>
      <c r="O119" s="10"/>
      <c r="P119" s="10"/>
      <c r="Q119" s="164"/>
      <c r="R119" s="110"/>
    </row>
    <row r="120" spans="1:18" ht="13.5" customHeight="1">
      <c r="A120" s="90">
        <v>114</v>
      </c>
      <c r="B120" s="24">
        <f>DATE('1.연간시수표'!$U$44,'1.연간시수표'!$X$44,'1.연간시수표'!$Z$44)+QUOTIENT(ROW(A114)-1,8)+(QUOTIENT(ROW(A114)-1,40)*2)</f>
        <v>44817</v>
      </c>
      <c r="C120" s="24" t="str">
        <f t="shared" si="3"/>
        <v>화</v>
      </c>
      <c r="D120" s="116" t="str">
        <f t="shared" si="4"/>
        <v>2교시</v>
      </c>
      <c r="E120" s="68">
        <f>COUNTIF($H$7:$H120,$H120)</f>
        <v>4</v>
      </c>
      <c r="F120" s="67">
        <f>'1.연간시수표'!$AL$33</f>
        <v>5</v>
      </c>
      <c r="G120" s="115">
        <f t="shared" si="5"/>
        <v>2</v>
      </c>
      <c r="H120" s="41" t="str">
        <f>INDEX('0.시간표데이터'!$E$52:$AR$78,QUOTIENT(ROW(A114)-1,40)+1,MOD(ROW(A114)-1,40)+1)</f>
        <v>체육</v>
      </c>
      <c r="I120" s="77"/>
      <c r="J120" s="26"/>
      <c r="K120" s="180"/>
      <c r="L120" s="180"/>
      <c r="M120" s="10"/>
      <c r="N120" s="10"/>
      <c r="O120" s="10"/>
      <c r="P120" s="10"/>
      <c r="Q120" s="164"/>
      <c r="R120" s="110"/>
    </row>
    <row r="121" spans="1:18" ht="13.5" customHeight="1">
      <c r="A121" s="90">
        <v>115</v>
      </c>
      <c r="B121" s="24">
        <f>DATE('1.연간시수표'!$U$44,'1.연간시수표'!$X$44,'1.연간시수표'!$Z$44)+QUOTIENT(ROW(A115)-1,8)+(QUOTIENT(ROW(A115)-1,40)*2)</f>
        <v>44817</v>
      </c>
      <c r="C121" s="24" t="str">
        <f t="shared" si="3"/>
        <v>화</v>
      </c>
      <c r="D121" s="116" t="str">
        <f t="shared" si="4"/>
        <v>3교시</v>
      </c>
      <c r="E121" s="68">
        <f>COUNTIF($H$7:$H121,$H121)</f>
        <v>7</v>
      </c>
      <c r="F121" s="67">
        <f>'1.연간시수표'!$AL$33</f>
        <v>5</v>
      </c>
      <c r="G121" s="115">
        <f t="shared" si="5"/>
        <v>2</v>
      </c>
      <c r="H121" s="41" t="str">
        <f>INDEX('0.시간표데이터'!$E$52:$AR$78,QUOTIENT(ROW(A115)-1,40)+1,MOD(ROW(A115)-1,40)+1)</f>
        <v>수학</v>
      </c>
      <c r="I121" s="77"/>
      <c r="J121" s="26"/>
      <c r="K121" s="180"/>
      <c r="L121" s="180"/>
      <c r="M121" s="10"/>
      <c r="N121" s="10"/>
      <c r="O121" s="10"/>
      <c r="P121" s="10"/>
      <c r="Q121" s="164"/>
      <c r="R121" s="110"/>
    </row>
    <row r="122" spans="1:18" ht="13.5" customHeight="1">
      <c r="A122" s="90">
        <v>116</v>
      </c>
      <c r="B122" s="24">
        <f>DATE('1.연간시수표'!$U$44,'1.연간시수표'!$X$44,'1.연간시수표'!$Z$44)+QUOTIENT(ROW(A116)-1,8)+(QUOTIENT(ROW(A116)-1,40)*2)</f>
        <v>44817</v>
      </c>
      <c r="C122" s="24" t="str">
        <f t="shared" si="3"/>
        <v>화</v>
      </c>
      <c r="D122" s="116" t="str">
        <f t="shared" si="4"/>
        <v>4교시</v>
      </c>
      <c r="E122" s="68">
        <f>COUNTIF($H$7:$H122,$H122)</f>
        <v>11</v>
      </c>
      <c r="F122" s="67">
        <f>'1.연간시수표'!$AL$33</f>
        <v>5</v>
      </c>
      <c r="G122" s="115">
        <f t="shared" si="5"/>
        <v>2</v>
      </c>
      <c r="H122" s="41" t="str">
        <f>INDEX('0.시간표데이터'!$E$52:$AR$78,QUOTIENT(ROW(A116)-1,40)+1,MOD(ROW(A116)-1,40)+1)</f>
        <v>국어</v>
      </c>
      <c r="I122" s="77"/>
      <c r="J122" s="26"/>
      <c r="K122" s="180"/>
      <c r="L122" s="180"/>
      <c r="M122" s="10"/>
      <c r="N122" s="10"/>
      <c r="O122" s="10"/>
      <c r="P122" s="10"/>
      <c r="Q122" s="164"/>
      <c r="R122" s="110"/>
    </row>
    <row r="123" spans="1:18" ht="13.5" customHeight="1">
      <c r="A123" s="90">
        <v>117</v>
      </c>
      <c r="B123" s="24">
        <f>DATE('1.연간시수표'!$U$44,'1.연간시수표'!$X$44,'1.연간시수표'!$Z$44)+QUOTIENT(ROW(A117)-1,8)+(QUOTIENT(ROW(A117)-1,40)*2)</f>
        <v>44817</v>
      </c>
      <c r="C123" s="24" t="str">
        <f t="shared" si="3"/>
        <v>화</v>
      </c>
      <c r="D123" s="116" t="str">
        <f t="shared" si="4"/>
        <v>5교시</v>
      </c>
      <c r="E123" s="68">
        <f>COUNTIF($H$7:$H123,$H123)</f>
        <v>6</v>
      </c>
      <c r="F123" s="67">
        <f>'1.연간시수표'!$AL$33</f>
        <v>5</v>
      </c>
      <c r="G123" s="115">
        <f t="shared" si="5"/>
        <v>2</v>
      </c>
      <c r="H123" s="41" t="str">
        <f>INDEX('0.시간표데이터'!$E$52:$AR$78,QUOTIENT(ROW(A117)-1,40)+1,MOD(ROW(A117)-1,40)+1)</f>
        <v>사회</v>
      </c>
      <c r="I123" s="77"/>
      <c r="J123" s="26"/>
      <c r="K123" s="180"/>
      <c r="L123" s="180"/>
      <c r="M123" s="10"/>
      <c r="N123" s="10"/>
      <c r="O123" s="10"/>
      <c r="P123" s="10"/>
      <c r="Q123" s="164"/>
      <c r="R123" s="110"/>
    </row>
    <row r="124" spans="1:18" ht="13.5" customHeight="1">
      <c r="A124" s="90">
        <v>118</v>
      </c>
      <c r="B124" s="24">
        <f>DATE('1.연간시수표'!$U$44,'1.연간시수표'!$X$44,'1.연간시수표'!$Z$44)+QUOTIENT(ROW(A118)-1,8)+(QUOTIENT(ROW(A118)-1,40)*2)</f>
        <v>44817</v>
      </c>
      <c r="C124" s="24" t="str">
        <f t="shared" si="3"/>
        <v>화</v>
      </c>
      <c r="D124" s="116" t="str">
        <f t="shared" si="4"/>
        <v>6교시</v>
      </c>
      <c r="E124" s="68">
        <f>COUNTIF($H$7:$H124,$H124)</f>
        <v>4</v>
      </c>
      <c r="F124" s="67">
        <f>'1.연간시수표'!$AL$33</f>
        <v>5</v>
      </c>
      <c r="G124" s="115">
        <f t="shared" si="5"/>
        <v>2</v>
      </c>
      <c r="H124" s="41" t="str">
        <f>INDEX('0.시간표데이터'!$E$52:$AR$78,QUOTIENT(ROW(A118)-1,40)+1,MOD(ROW(A118)-1,40)+1)</f>
        <v>실과</v>
      </c>
      <c r="I124" s="77"/>
      <c r="J124" s="26"/>
      <c r="K124" s="167"/>
      <c r="L124" s="167"/>
      <c r="M124" s="166"/>
      <c r="N124" s="166"/>
      <c r="O124" s="166"/>
      <c r="P124" s="166"/>
      <c r="Q124" s="167"/>
      <c r="R124" s="111"/>
    </row>
    <row r="125" spans="1:18" ht="13.5" customHeight="1">
      <c r="A125" s="90">
        <v>119</v>
      </c>
      <c r="B125" s="24">
        <f>DATE('1.연간시수표'!$U$44,'1.연간시수표'!$X$44,'1.연간시수표'!$Z$44)+QUOTIENT(ROW(A119)-1,8)+(QUOTIENT(ROW(A119)-1,40)*2)</f>
        <v>44817</v>
      </c>
      <c r="C125" s="24" t="str">
        <f t="shared" si="3"/>
        <v>화</v>
      </c>
      <c r="D125" s="116" t="str">
        <f t="shared" si="4"/>
        <v>7교시</v>
      </c>
      <c r="E125" s="68">
        <f>COUNTIF($H$7:$H125,$H125)</f>
        <v>61</v>
      </c>
      <c r="F125" s="67">
        <f>'1.연간시수표'!$AL$33</f>
        <v>5</v>
      </c>
      <c r="G125" s="115">
        <f t="shared" si="5"/>
        <v>2</v>
      </c>
      <c r="H125" s="41" t="str">
        <f>INDEX('0.시간표데이터'!$E$52:$AR$78,QUOTIENT(ROW(A119)-1,40)+1,MOD(ROW(A119)-1,40)+1)</f>
        <v>_</v>
      </c>
      <c r="I125" s="76"/>
      <c r="J125" s="26"/>
      <c r="K125" s="167"/>
      <c r="L125" s="167"/>
      <c r="M125" s="166"/>
      <c r="N125" s="166"/>
      <c r="O125" s="166"/>
      <c r="P125" s="166"/>
      <c r="Q125" s="167"/>
      <c r="R125" s="111"/>
    </row>
    <row r="126" spans="1:18" ht="13.5" customHeight="1">
      <c r="A126" s="90">
        <v>120</v>
      </c>
      <c r="B126" s="24">
        <f>DATE('1.연간시수표'!$U$44,'1.연간시수표'!$X$44,'1.연간시수표'!$Z$44)+QUOTIENT(ROW(A120)-1,8)+(QUOTIENT(ROW(A120)-1,40)*2)</f>
        <v>44817</v>
      </c>
      <c r="C126" s="24" t="str">
        <f t="shared" si="3"/>
        <v>화</v>
      </c>
      <c r="D126" s="116" t="str">
        <f t="shared" si="4"/>
        <v>8교시</v>
      </c>
      <c r="E126" s="68">
        <f>COUNTIF($H$7:$H126,$H126)</f>
        <v>62</v>
      </c>
      <c r="F126" s="67">
        <f>'1.연간시수표'!$AL$33</f>
        <v>5</v>
      </c>
      <c r="G126" s="115">
        <f t="shared" si="5"/>
        <v>2</v>
      </c>
      <c r="H126" s="41" t="str">
        <f>INDEX('0.시간표데이터'!$E$52:$AR$78,QUOTIENT(ROW(A120)-1,40)+1,MOD(ROW(A120)-1,40)+1)</f>
        <v>_</v>
      </c>
      <c r="I126" s="76"/>
      <c r="J126" s="26"/>
      <c r="K126" s="167"/>
      <c r="L126" s="167"/>
      <c r="M126" s="166"/>
      <c r="N126" s="166"/>
      <c r="O126" s="166"/>
      <c r="P126" s="166"/>
      <c r="Q126" s="167"/>
      <c r="R126" s="111"/>
    </row>
    <row r="127" spans="1:18">
      <c r="A127" s="90">
        <v>121</v>
      </c>
      <c r="B127" s="24">
        <f>DATE('1.연간시수표'!$U$44,'1.연간시수표'!$X$44,'1.연간시수표'!$Z$44)+QUOTIENT(ROW(A121)-1,8)+(QUOTIENT(ROW(A121)-1,40)*2)</f>
        <v>44820</v>
      </c>
      <c r="C127" s="24" t="str">
        <f t="shared" si="3"/>
        <v>금</v>
      </c>
      <c r="D127" s="116" t="str">
        <f t="shared" si="4"/>
        <v>1교시</v>
      </c>
      <c r="E127" s="68">
        <f>COUNTIF($H$7:$H127,$H127)</f>
        <v>12</v>
      </c>
      <c r="F127" s="67">
        <f>'1.연간시수표'!$AL$33</f>
        <v>5</v>
      </c>
      <c r="G127" s="115">
        <f t="shared" si="5"/>
        <v>2</v>
      </c>
      <c r="H127" s="41" t="str">
        <f>INDEX('0.시간표데이터'!$E$52:$AR$78,QUOTIENT(ROW(A121)-1,40)+1,MOD(ROW(A121)-1,40)+1)</f>
        <v>국어</v>
      </c>
      <c r="I127" s="77"/>
      <c r="J127" s="26"/>
      <c r="K127" s="164"/>
      <c r="L127" s="164"/>
      <c r="M127" s="10"/>
      <c r="N127" s="10"/>
      <c r="O127" s="10"/>
      <c r="P127" s="10"/>
      <c r="Q127" s="164"/>
      <c r="R127" s="110"/>
    </row>
    <row r="128" spans="1:18">
      <c r="A128" s="90">
        <v>122</v>
      </c>
      <c r="B128" s="24">
        <f>DATE('1.연간시수표'!$U$44,'1.연간시수표'!$X$44,'1.연간시수표'!$Z$44)+QUOTIENT(ROW(A122)-1,8)+(QUOTIENT(ROW(A122)-1,40)*2)</f>
        <v>44820</v>
      </c>
      <c r="C128" s="24" t="str">
        <f t="shared" si="3"/>
        <v>금</v>
      </c>
      <c r="D128" s="116" t="str">
        <f t="shared" si="4"/>
        <v>2교시</v>
      </c>
      <c r="E128" s="68">
        <f>COUNTIF($H$7:$H128,$H128)</f>
        <v>3</v>
      </c>
      <c r="F128" s="67">
        <f>'1.연간시수표'!$AL$33</f>
        <v>5</v>
      </c>
      <c r="G128" s="115">
        <f t="shared" si="5"/>
        <v>2</v>
      </c>
      <c r="H128" s="41" t="str">
        <f>INDEX('0.시간표데이터'!$E$52:$AR$78,QUOTIENT(ROW(A122)-1,40)+1,MOD(ROW(A122)-1,40)+1)</f>
        <v>미술</v>
      </c>
      <c r="I128" s="161"/>
      <c r="J128" s="26"/>
      <c r="K128" s="180"/>
      <c r="L128" s="180"/>
      <c r="M128" s="10"/>
      <c r="N128" s="10"/>
      <c r="O128" s="10"/>
      <c r="P128" s="10"/>
      <c r="Q128" s="164"/>
      <c r="R128" s="110"/>
    </row>
    <row r="129" spans="1:18" ht="13.5" customHeight="1">
      <c r="A129" s="90">
        <v>123</v>
      </c>
      <c r="B129" s="24">
        <f>DATE('1.연간시수표'!$U$44,'1.연간시수표'!$X$44,'1.연간시수표'!$Z$44)+QUOTIENT(ROW(A123)-1,8)+(QUOTIENT(ROW(A123)-1,40)*2)</f>
        <v>44820</v>
      </c>
      <c r="C129" s="24" t="str">
        <f t="shared" si="3"/>
        <v>금</v>
      </c>
      <c r="D129" s="116" t="str">
        <f t="shared" si="4"/>
        <v>3교시</v>
      </c>
      <c r="E129" s="68">
        <f>COUNTIF($H$7:$H129,$H129)</f>
        <v>4</v>
      </c>
      <c r="F129" s="67">
        <f>'1.연간시수표'!$AL$33</f>
        <v>5</v>
      </c>
      <c r="G129" s="115">
        <f t="shared" si="5"/>
        <v>2</v>
      </c>
      <c r="H129" s="41" t="str">
        <f>INDEX('0.시간표데이터'!$E$52:$AR$78,QUOTIENT(ROW(A123)-1,40)+1,MOD(ROW(A123)-1,40)+1)</f>
        <v>미술</v>
      </c>
      <c r="I129" s="77"/>
      <c r="J129" s="26"/>
      <c r="K129" s="180"/>
      <c r="L129" s="180"/>
      <c r="M129" s="10"/>
      <c r="N129" s="10"/>
      <c r="O129" s="10"/>
      <c r="P129" s="10"/>
      <c r="Q129" s="164"/>
      <c r="R129" s="110"/>
    </row>
    <row r="130" spans="1:18" ht="13.5" customHeight="1">
      <c r="A130" s="90">
        <v>124</v>
      </c>
      <c r="B130" s="24">
        <f>DATE('1.연간시수표'!$U$44,'1.연간시수표'!$X$44,'1.연간시수표'!$Z$44)+QUOTIENT(ROW(A124)-1,8)+(QUOTIENT(ROW(A124)-1,40)*2)</f>
        <v>44820</v>
      </c>
      <c r="C130" s="24" t="str">
        <f t="shared" si="3"/>
        <v>금</v>
      </c>
      <c r="D130" s="116" t="str">
        <f t="shared" si="4"/>
        <v>4교시</v>
      </c>
      <c r="E130" s="68">
        <f>COUNTIF($H$7:$H130,$H130)</f>
        <v>7</v>
      </c>
      <c r="F130" s="67">
        <f>'1.연간시수표'!$AL$33</f>
        <v>5</v>
      </c>
      <c r="G130" s="115">
        <f t="shared" si="5"/>
        <v>2</v>
      </c>
      <c r="H130" s="41" t="str">
        <f>INDEX('0.시간표데이터'!$E$52:$AR$78,QUOTIENT(ROW(A124)-1,40)+1,MOD(ROW(A124)-1,40)+1)</f>
        <v>영어</v>
      </c>
      <c r="I130" s="77"/>
      <c r="J130" s="26"/>
      <c r="K130" s="180"/>
      <c r="L130" s="180"/>
      <c r="M130" s="10"/>
      <c r="N130" s="10"/>
      <c r="O130" s="10"/>
      <c r="P130" s="10"/>
      <c r="Q130" s="164"/>
      <c r="R130" s="110"/>
    </row>
    <row r="131" spans="1:18" ht="13.5" customHeight="1">
      <c r="A131" s="90">
        <v>125</v>
      </c>
      <c r="B131" s="24">
        <f>DATE('1.연간시수표'!$U$44,'1.연간시수표'!$X$44,'1.연간시수표'!$Z$44)+QUOTIENT(ROW(A125)-1,8)+(QUOTIENT(ROW(A125)-1,40)*2)</f>
        <v>44820</v>
      </c>
      <c r="C131" s="24" t="str">
        <f t="shared" si="3"/>
        <v>금</v>
      </c>
      <c r="D131" s="116" t="str">
        <f t="shared" si="4"/>
        <v>5교시</v>
      </c>
      <c r="E131" s="68">
        <f>COUNTIF($H$7:$H131,$H131)</f>
        <v>8</v>
      </c>
      <c r="F131" s="67">
        <f>'1.연간시수표'!$AL$33</f>
        <v>5</v>
      </c>
      <c r="G131" s="115">
        <f t="shared" si="5"/>
        <v>2</v>
      </c>
      <c r="H131" s="41" t="str">
        <f>INDEX('0.시간표데이터'!$E$52:$AR$78,QUOTIENT(ROW(A125)-1,40)+1,MOD(ROW(A125)-1,40)+1)</f>
        <v>수학</v>
      </c>
      <c r="I131" s="77"/>
      <c r="J131" s="26"/>
      <c r="K131" s="180"/>
      <c r="L131" s="180"/>
      <c r="M131" s="10"/>
      <c r="N131" s="10"/>
      <c r="O131" s="10"/>
      <c r="P131" s="10"/>
      <c r="Q131" s="164"/>
      <c r="R131" s="110"/>
    </row>
    <row r="132" spans="1:18" ht="13.5" customHeight="1">
      <c r="A132" s="90">
        <v>126</v>
      </c>
      <c r="B132" s="24">
        <f>DATE('1.연간시수표'!$U$44,'1.연간시수표'!$X$44,'1.연간시수표'!$Z$44)+QUOTIENT(ROW(A126)-1,8)+(QUOTIENT(ROW(A126)-1,40)*2)</f>
        <v>44820</v>
      </c>
      <c r="C132" s="24" t="str">
        <f t="shared" si="3"/>
        <v>금</v>
      </c>
      <c r="D132" s="116" t="str">
        <f t="shared" si="4"/>
        <v>6교시</v>
      </c>
      <c r="E132" s="68">
        <f>COUNTIF($H$7:$H132,$H132)</f>
        <v>4</v>
      </c>
      <c r="F132" s="67">
        <f>'1.연간시수표'!$AL$33</f>
        <v>5</v>
      </c>
      <c r="G132" s="115">
        <f t="shared" si="5"/>
        <v>2</v>
      </c>
      <c r="H132" s="41" t="str">
        <f>INDEX('0.시간표데이터'!$E$52:$AR$78,QUOTIENT(ROW(A126)-1,40)+1,MOD(ROW(A126)-1,40)+1)</f>
        <v>자율활동</v>
      </c>
      <c r="I132" s="77"/>
      <c r="J132" s="26"/>
      <c r="K132" s="167"/>
      <c r="L132" s="167"/>
      <c r="M132" s="166"/>
      <c r="N132" s="166"/>
      <c r="O132" s="166"/>
      <c r="P132" s="166"/>
      <c r="Q132" s="167"/>
      <c r="R132" s="111"/>
    </row>
    <row r="133" spans="1:18" ht="13.5" customHeight="1">
      <c r="A133" s="90">
        <v>127</v>
      </c>
      <c r="B133" s="24">
        <f>DATE('1.연간시수표'!$U$44,'1.연간시수표'!$X$44,'1.연간시수표'!$Z$44)+QUOTIENT(ROW(A127)-1,8)+(QUOTIENT(ROW(A127)-1,40)*2)</f>
        <v>44820</v>
      </c>
      <c r="C133" s="24" t="str">
        <f t="shared" si="3"/>
        <v>금</v>
      </c>
      <c r="D133" s="116" t="str">
        <f t="shared" si="4"/>
        <v>7교시</v>
      </c>
      <c r="E133" s="68">
        <f>COUNTIF($H$7:$H133,$H133)</f>
        <v>63</v>
      </c>
      <c r="F133" s="67">
        <f>'1.연간시수표'!$AL$33</f>
        <v>5</v>
      </c>
      <c r="G133" s="115">
        <f t="shared" si="5"/>
        <v>2</v>
      </c>
      <c r="H133" s="41" t="str">
        <f>INDEX('0.시간표데이터'!$E$52:$AR$78,QUOTIENT(ROW(A127)-1,40)+1,MOD(ROW(A127)-1,40)+1)</f>
        <v>_</v>
      </c>
      <c r="I133" s="76"/>
      <c r="J133" s="26"/>
      <c r="K133" s="167"/>
      <c r="L133" s="167"/>
      <c r="M133" s="166"/>
      <c r="N133" s="166"/>
      <c r="O133" s="166"/>
      <c r="P133" s="166"/>
      <c r="Q133" s="167"/>
      <c r="R133" s="111"/>
    </row>
    <row r="134" spans="1:18" ht="13.5" customHeight="1">
      <c r="A134" s="90">
        <v>128</v>
      </c>
      <c r="B134" s="24">
        <f>DATE('1.연간시수표'!$U$44,'1.연간시수표'!$X$44,'1.연간시수표'!$Z$44)+QUOTIENT(ROW(A128)-1,8)+(QUOTIENT(ROW(A128)-1,40)*2)</f>
        <v>44820</v>
      </c>
      <c r="C134" s="24" t="str">
        <f t="shared" si="3"/>
        <v>금</v>
      </c>
      <c r="D134" s="116" t="str">
        <f t="shared" si="4"/>
        <v>8교시</v>
      </c>
      <c r="E134" s="68">
        <f>COUNTIF($H$7:$H134,$H134)</f>
        <v>64</v>
      </c>
      <c r="F134" s="67">
        <f>'1.연간시수표'!$AL$33</f>
        <v>5</v>
      </c>
      <c r="G134" s="115">
        <f t="shared" si="5"/>
        <v>2</v>
      </c>
      <c r="H134" s="41" t="str">
        <f>INDEX('0.시간표데이터'!$E$52:$AR$78,QUOTIENT(ROW(A128)-1,40)+1,MOD(ROW(A128)-1,40)+1)</f>
        <v>_</v>
      </c>
      <c r="I134" s="76"/>
      <c r="J134" s="26"/>
      <c r="K134" s="167"/>
      <c r="L134" s="167"/>
      <c r="M134" s="166"/>
      <c r="N134" s="166"/>
      <c r="O134" s="166"/>
      <c r="P134" s="166"/>
      <c r="Q134" s="167"/>
      <c r="R134" s="111"/>
    </row>
    <row r="135" spans="1:18" ht="13.5" customHeight="1">
      <c r="A135" s="90">
        <v>129</v>
      </c>
      <c r="B135" s="24">
        <f>DATE('1.연간시수표'!$U$44,'1.연간시수표'!$X$44,'1.연간시수표'!$Z$44)+QUOTIENT(ROW(A129)-1,8)+(QUOTIENT(ROW(A129)-1,40)*2)</f>
        <v>44821</v>
      </c>
      <c r="C135" s="24" t="b">
        <f t="shared" ref="C135:C198" si="6">IF(WEEKDAY(B135,2)=1,"월",IF(WEEKDAY(B135,2)=2,"화",IF(WEEKDAY(B135,2)=3,"수",IF(WEEKDAY(B135,2)=4,"목",IF(WEEKDAY(B135,2)=5,"금")))))</f>
        <v>0</v>
      </c>
      <c r="D135" s="116" t="str">
        <f t="shared" ref="D135:D198" si="7">TEXT(MOD(ROW(A129)-1,8)+1,"#교시")</f>
        <v>1교시</v>
      </c>
      <c r="E135" s="68">
        <f>COUNTIF($H$7:$H135,$H135)</f>
        <v>13</v>
      </c>
      <c r="F135" s="67">
        <f>'1.연간시수표'!$AL$33</f>
        <v>5</v>
      </c>
      <c r="G135" s="115">
        <f t="shared" ref="G135:G198" si="8">$A$2</f>
        <v>2</v>
      </c>
      <c r="H135" s="41" t="str">
        <f>INDEX('0.시간표데이터'!$E$52:$AR$78,QUOTIENT(ROW(A129)-1,40)+1,MOD(ROW(A129)-1,40)+1)</f>
        <v>국어</v>
      </c>
      <c r="I135" s="77"/>
      <c r="J135" s="26"/>
      <c r="K135" s="180"/>
      <c r="L135" s="180"/>
      <c r="M135" s="10"/>
      <c r="N135" s="10"/>
      <c r="O135" s="10"/>
      <c r="P135" s="10"/>
      <c r="Q135" s="164"/>
      <c r="R135" s="110"/>
    </row>
    <row r="136" spans="1:18" ht="13.5" customHeight="1">
      <c r="A136" s="90">
        <v>130</v>
      </c>
      <c r="B136" s="24">
        <f>DATE('1.연간시수표'!$U$44,'1.연간시수표'!$X$44,'1.연간시수표'!$Z$44)+QUOTIENT(ROW(A130)-1,8)+(QUOTIENT(ROW(A130)-1,40)*2)</f>
        <v>44821</v>
      </c>
      <c r="C136" s="24" t="b">
        <f t="shared" si="6"/>
        <v>0</v>
      </c>
      <c r="D136" s="116" t="str">
        <f t="shared" si="7"/>
        <v>2교시</v>
      </c>
      <c r="E136" s="68">
        <f>COUNTIF($H$7:$H136,$H136)</f>
        <v>14</v>
      </c>
      <c r="F136" s="67">
        <f>'1.연간시수표'!$AL$33</f>
        <v>5</v>
      </c>
      <c r="G136" s="115">
        <f t="shared" si="8"/>
        <v>2</v>
      </c>
      <c r="H136" s="41" t="str">
        <f>INDEX('0.시간표데이터'!$E$52:$AR$78,QUOTIENT(ROW(A130)-1,40)+1,MOD(ROW(A130)-1,40)+1)</f>
        <v>국어</v>
      </c>
      <c r="I136" s="161"/>
      <c r="J136" s="26"/>
      <c r="K136" s="180"/>
      <c r="L136" s="180"/>
      <c r="M136" s="10"/>
      <c r="N136" s="10"/>
      <c r="O136" s="10"/>
      <c r="P136" s="10"/>
      <c r="Q136" s="164"/>
      <c r="R136" s="110"/>
    </row>
    <row r="137" spans="1:18" ht="13.5" customHeight="1">
      <c r="A137" s="90">
        <v>131</v>
      </c>
      <c r="B137" s="24">
        <f>DATE('1.연간시수표'!$U$44,'1.연간시수표'!$X$44,'1.연간시수표'!$Z$44)+QUOTIENT(ROW(A131)-1,8)+(QUOTIENT(ROW(A131)-1,40)*2)</f>
        <v>44821</v>
      </c>
      <c r="C137" s="24" t="b">
        <f t="shared" si="6"/>
        <v>0</v>
      </c>
      <c r="D137" s="116" t="str">
        <f t="shared" si="7"/>
        <v>3교시</v>
      </c>
      <c r="E137" s="68">
        <f>COUNTIF($H$7:$H137,$H137)</f>
        <v>7</v>
      </c>
      <c r="F137" s="67">
        <f>'1.연간시수표'!$AL$33</f>
        <v>5</v>
      </c>
      <c r="G137" s="115">
        <f t="shared" si="8"/>
        <v>2</v>
      </c>
      <c r="H137" s="41" t="str">
        <f>INDEX('0.시간표데이터'!$E$52:$AR$78,QUOTIENT(ROW(A131)-1,40)+1,MOD(ROW(A131)-1,40)+1)</f>
        <v>사회</v>
      </c>
      <c r="I137" s="77"/>
      <c r="J137" s="26"/>
      <c r="K137" s="164"/>
      <c r="L137" s="164"/>
      <c r="M137" s="10"/>
      <c r="N137" s="10"/>
      <c r="O137" s="10"/>
      <c r="P137" s="10"/>
      <c r="Q137" s="164"/>
      <c r="R137" s="110"/>
    </row>
    <row r="138" spans="1:18" ht="13.5" customHeight="1">
      <c r="A138" s="90">
        <v>132</v>
      </c>
      <c r="B138" s="24">
        <f>DATE('1.연간시수표'!$U$44,'1.연간시수표'!$X$44,'1.연간시수표'!$Z$44)+QUOTIENT(ROW(A132)-1,8)+(QUOTIENT(ROW(A132)-1,40)*2)</f>
        <v>44821</v>
      </c>
      <c r="C138" s="24" t="b">
        <f t="shared" si="6"/>
        <v>0</v>
      </c>
      <c r="D138" s="116" t="str">
        <f t="shared" si="7"/>
        <v>4교시</v>
      </c>
      <c r="E138" s="68">
        <f>COUNTIF($H$7:$H138,$H138)</f>
        <v>9</v>
      </c>
      <c r="F138" s="67">
        <f>'1.연간시수표'!$AL$33</f>
        <v>5</v>
      </c>
      <c r="G138" s="115">
        <f t="shared" si="8"/>
        <v>2</v>
      </c>
      <c r="H138" s="41" t="str">
        <f>INDEX('0.시간표데이터'!$E$52:$AR$78,QUOTIENT(ROW(A132)-1,40)+1,MOD(ROW(A132)-1,40)+1)</f>
        <v>수학</v>
      </c>
      <c r="I138" s="77"/>
      <c r="J138" s="26"/>
      <c r="K138" s="180"/>
      <c r="L138" s="180"/>
      <c r="M138" s="10"/>
      <c r="N138" s="10"/>
      <c r="O138" s="10"/>
      <c r="P138" s="10"/>
      <c r="Q138" s="164"/>
      <c r="R138" s="110"/>
    </row>
    <row r="139" spans="1:18" ht="13.5" customHeight="1">
      <c r="A139" s="90">
        <v>133</v>
      </c>
      <c r="B139" s="24">
        <f>DATE('1.연간시수표'!$U$44,'1.연간시수표'!$X$44,'1.연간시수표'!$Z$44)+QUOTIENT(ROW(A133)-1,8)+(QUOTIENT(ROW(A133)-1,40)*2)</f>
        <v>44821</v>
      </c>
      <c r="C139" s="24" t="b">
        <f t="shared" si="6"/>
        <v>0</v>
      </c>
      <c r="D139" s="116" t="str">
        <f t="shared" si="7"/>
        <v>5교시</v>
      </c>
      <c r="E139" s="68">
        <f>COUNTIF($H$7:$H139,$H139)</f>
        <v>8</v>
      </c>
      <c r="F139" s="67">
        <f>'1.연간시수표'!$AL$33</f>
        <v>5</v>
      </c>
      <c r="G139" s="115">
        <f t="shared" si="8"/>
        <v>2</v>
      </c>
      <c r="H139" s="41" t="str">
        <f>INDEX('0.시간표데이터'!$E$52:$AR$78,QUOTIENT(ROW(A133)-1,40)+1,MOD(ROW(A133)-1,40)+1)</f>
        <v>과학</v>
      </c>
      <c r="I139" s="77"/>
      <c r="J139" s="26"/>
      <c r="K139" s="180"/>
      <c r="L139" s="180"/>
      <c r="M139" s="10"/>
      <c r="N139" s="10"/>
      <c r="O139" s="10"/>
      <c r="P139" s="10"/>
      <c r="Q139" s="164"/>
      <c r="R139" s="110"/>
    </row>
    <row r="140" spans="1:18" ht="13.5" customHeight="1">
      <c r="A140" s="90">
        <v>134</v>
      </c>
      <c r="B140" s="24">
        <f>DATE('1.연간시수표'!$U$44,'1.연간시수표'!$X$44,'1.연간시수표'!$Z$44)+QUOTIENT(ROW(A134)-1,8)+(QUOTIENT(ROW(A134)-1,40)*2)</f>
        <v>44821</v>
      </c>
      <c r="C140" s="24" t="b">
        <f t="shared" si="6"/>
        <v>0</v>
      </c>
      <c r="D140" s="116" t="str">
        <f t="shared" si="7"/>
        <v>6교시</v>
      </c>
      <c r="E140" s="68">
        <f>COUNTIF($H$7:$H140,$H140)</f>
        <v>5</v>
      </c>
      <c r="F140" s="67">
        <f>'1.연간시수표'!$AL$33</f>
        <v>5</v>
      </c>
      <c r="G140" s="115">
        <f t="shared" si="8"/>
        <v>2</v>
      </c>
      <c r="H140" s="41" t="str">
        <f>INDEX('0.시간표데이터'!$E$52:$AR$78,QUOTIENT(ROW(A134)-1,40)+1,MOD(ROW(A134)-1,40)+1)</f>
        <v>실과</v>
      </c>
      <c r="I140" s="77"/>
      <c r="J140" s="26"/>
      <c r="K140" s="167"/>
      <c r="L140" s="167"/>
      <c r="M140" s="166"/>
      <c r="N140" s="166"/>
      <c r="O140" s="166"/>
      <c r="P140" s="166"/>
      <c r="Q140" s="167"/>
      <c r="R140" s="111"/>
    </row>
    <row r="141" spans="1:18" ht="13.5" customHeight="1">
      <c r="A141" s="90">
        <v>135</v>
      </c>
      <c r="B141" s="24">
        <f>DATE('1.연간시수표'!$U$44,'1.연간시수표'!$X$44,'1.연간시수표'!$Z$44)+QUOTIENT(ROW(A135)-1,8)+(QUOTIENT(ROW(A135)-1,40)*2)</f>
        <v>44821</v>
      </c>
      <c r="C141" s="24" t="b">
        <f t="shared" si="6"/>
        <v>0</v>
      </c>
      <c r="D141" s="116" t="str">
        <f t="shared" si="7"/>
        <v>7교시</v>
      </c>
      <c r="E141" s="68">
        <f>COUNTIF($H$7:$H141,$H141)</f>
        <v>65</v>
      </c>
      <c r="F141" s="67">
        <f>'1.연간시수표'!$AL$33</f>
        <v>5</v>
      </c>
      <c r="G141" s="115">
        <f t="shared" si="8"/>
        <v>2</v>
      </c>
      <c r="H141" s="41" t="str">
        <f>INDEX('0.시간표데이터'!$E$52:$AR$78,QUOTIENT(ROW(A135)-1,40)+1,MOD(ROW(A135)-1,40)+1)</f>
        <v>_</v>
      </c>
      <c r="I141" s="76"/>
      <c r="J141" s="26"/>
      <c r="K141" s="167"/>
      <c r="L141" s="167"/>
      <c r="M141" s="166"/>
      <c r="N141" s="166"/>
      <c r="O141" s="166"/>
      <c r="P141" s="166"/>
      <c r="Q141" s="167"/>
      <c r="R141" s="111"/>
    </row>
    <row r="142" spans="1:18" ht="13.5" customHeight="1">
      <c r="A142" s="90">
        <v>136</v>
      </c>
      <c r="B142" s="24">
        <f>DATE('1.연간시수표'!$U$44,'1.연간시수표'!$X$44,'1.연간시수표'!$Z$44)+QUOTIENT(ROW(A136)-1,8)+(QUOTIENT(ROW(A136)-1,40)*2)</f>
        <v>44821</v>
      </c>
      <c r="C142" s="24" t="b">
        <f t="shared" si="6"/>
        <v>0</v>
      </c>
      <c r="D142" s="116" t="str">
        <f t="shared" si="7"/>
        <v>8교시</v>
      </c>
      <c r="E142" s="68">
        <f>COUNTIF($H$7:$H142,$H142)</f>
        <v>66</v>
      </c>
      <c r="F142" s="67">
        <f>'1.연간시수표'!$AL$33</f>
        <v>5</v>
      </c>
      <c r="G142" s="115">
        <f t="shared" si="8"/>
        <v>2</v>
      </c>
      <c r="H142" s="41" t="str">
        <f>INDEX('0.시간표데이터'!$E$52:$AR$78,QUOTIENT(ROW(A136)-1,40)+1,MOD(ROW(A136)-1,40)+1)</f>
        <v>_</v>
      </c>
      <c r="I142" s="76"/>
      <c r="J142" s="26"/>
      <c r="K142" s="167"/>
      <c r="L142" s="167"/>
      <c r="M142" s="166"/>
      <c r="N142" s="166"/>
      <c r="O142" s="166"/>
      <c r="P142" s="166"/>
      <c r="Q142" s="167"/>
      <c r="R142" s="111"/>
    </row>
    <row r="143" spans="1:18" ht="13.5" customHeight="1">
      <c r="A143" s="90">
        <v>137</v>
      </c>
      <c r="B143" s="24">
        <f>DATE('1.연간시수표'!$U$44,'1.연간시수표'!$X$44,'1.연간시수표'!$Z$44)+QUOTIENT(ROW(A137)-1,8)+(QUOTIENT(ROW(A137)-1,40)*2)</f>
        <v>44822</v>
      </c>
      <c r="C143" s="24" t="b">
        <f t="shared" si="6"/>
        <v>0</v>
      </c>
      <c r="D143" s="116" t="str">
        <f t="shared" si="7"/>
        <v>1교시</v>
      </c>
      <c r="E143" s="68">
        <f>COUNTIF($H$7:$H143,$H143)</f>
        <v>8</v>
      </c>
      <c r="F143" s="67">
        <f>'1.연간시수표'!$AL$33</f>
        <v>5</v>
      </c>
      <c r="G143" s="115">
        <f t="shared" si="8"/>
        <v>2</v>
      </c>
      <c r="H143" s="41" t="str">
        <f>INDEX('0.시간표데이터'!$E$52:$AR$78,QUOTIENT(ROW(A137)-1,40)+1,MOD(ROW(A137)-1,40)+1)</f>
        <v>영어</v>
      </c>
      <c r="I143" s="77"/>
      <c r="J143" s="26"/>
      <c r="K143" s="180"/>
      <c r="L143" s="180"/>
      <c r="M143" s="10"/>
      <c r="N143" s="10"/>
      <c r="O143" s="10"/>
      <c r="P143" s="10"/>
      <c r="Q143" s="164"/>
      <c r="R143" s="110"/>
    </row>
    <row r="144" spans="1:18" ht="13.5" customHeight="1">
      <c r="A144" s="90">
        <v>138</v>
      </c>
      <c r="B144" s="24">
        <f>DATE('1.연간시수표'!$U$44,'1.연간시수표'!$X$44,'1.연간시수표'!$Z$44)+QUOTIENT(ROW(A138)-1,8)+(QUOTIENT(ROW(A138)-1,40)*2)</f>
        <v>44822</v>
      </c>
      <c r="C144" s="24" t="b">
        <f t="shared" si="6"/>
        <v>0</v>
      </c>
      <c r="D144" s="116" t="str">
        <f t="shared" si="7"/>
        <v>2교시</v>
      </c>
      <c r="E144" s="68">
        <f>COUNTIF($H$7:$H144,$H144)</f>
        <v>9</v>
      </c>
      <c r="F144" s="67">
        <f>'1.연간시수표'!$AL$33</f>
        <v>5</v>
      </c>
      <c r="G144" s="115">
        <f t="shared" si="8"/>
        <v>2</v>
      </c>
      <c r="H144" s="41" t="str">
        <f>INDEX('0.시간표데이터'!$E$52:$AR$78,QUOTIENT(ROW(A138)-1,40)+1,MOD(ROW(A138)-1,40)+1)</f>
        <v>과학</v>
      </c>
      <c r="I144" s="77"/>
      <c r="J144" s="26"/>
      <c r="K144" s="180"/>
      <c r="L144" s="180"/>
      <c r="M144" s="10"/>
      <c r="N144" s="10"/>
      <c r="O144" s="10"/>
      <c r="P144" s="10"/>
      <c r="Q144" s="164"/>
      <c r="R144" s="110"/>
    </row>
    <row r="145" spans="1:18" ht="13.5" customHeight="1">
      <c r="A145" s="90">
        <v>139</v>
      </c>
      <c r="B145" s="24">
        <f>DATE('1.연간시수표'!$U$44,'1.연간시수표'!$X$44,'1.연간시수표'!$Z$44)+QUOTIENT(ROW(A139)-1,8)+(QUOTIENT(ROW(A139)-1,40)*2)</f>
        <v>44822</v>
      </c>
      <c r="C145" s="24" t="b">
        <f t="shared" si="6"/>
        <v>0</v>
      </c>
      <c r="D145" s="116" t="str">
        <f t="shared" si="7"/>
        <v>3교시</v>
      </c>
      <c r="E145" s="68">
        <f>COUNTIF($H$7:$H145,$H145)</f>
        <v>5</v>
      </c>
      <c r="F145" s="67">
        <f>'1.연간시수표'!$AL$33</f>
        <v>5</v>
      </c>
      <c r="G145" s="115">
        <f t="shared" si="8"/>
        <v>2</v>
      </c>
      <c r="H145" s="41" t="str">
        <f>INDEX('0.시간표데이터'!$E$52:$AR$78,QUOTIENT(ROW(A139)-1,40)+1,MOD(ROW(A139)-1,40)+1)</f>
        <v>체육</v>
      </c>
      <c r="I145" s="77"/>
      <c r="J145" s="26"/>
      <c r="K145" s="180"/>
      <c r="L145" s="180"/>
      <c r="M145" s="10"/>
      <c r="N145" s="10"/>
      <c r="O145" s="10"/>
      <c r="P145" s="10"/>
      <c r="Q145" s="164"/>
      <c r="R145" s="110"/>
    </row>
    <row r="146" spans="1:18" ht="13.5" customHeight="1">
      <c r="A146" s="90">
        <v>140</v>
      </c>
      <c r="B146" s="24">
        <f>DATE('1.연간시수표'!$U$44,'1.연간시수표'!$X$44,'1.연간시수표'!$Z$44)+QUOTIENT(ROW(A140)-1,8)+(QUOTIENT(ROW(A140)-1,40)*2)</f>
        <v>44822</v>
      </c>
      <c r="C146" s="24" t="b">
        <f t="shared" si="6"/>
        <v>0</v>
      </c>
      <c r="D146" s="116" t="str">
        <f t="shared" si="7"/>
        <v>4교시</v>
      </c>
      <c r="E146" s="68">
        <f>COUNTIF($H$7:$H146,$H146)</f>
        <v>6</v>
      </c>
      <c r="F146" s="67">
        <f>'1.연간시수표'!$AL$33</f>
        <v>5</v>
      </c>
      <c r="G146" s="115">
        <f t="shared" si="8"/>
        <v>2</v>
      </c>
      <c r="H146" s="41" t="str">
        <f>INDEX('0.시간표데이터'!$E$52:$AR$78,QUOTIENT(ROW(A140)-1,40)+1,MOD(ROW(A140)-1,40)+1)</f>
        <v>음악</v>
      </c>
      <c r="I146" s="77"/>
      <c r="J146" s="26"/>
      <c r="K146" s="180"/>
      <c r="L146" s="180"/>
      <c r="M146" s="10"/>
      <c r="N146" s="10"/>
      <c r="O146" s="10"/>
      <c r="P146" s="10"/>
      <c r="Q146" s="164"/>
      <c r="R146" s="110"/>
    </row>
    <row r="147" spans="1:18" ht="13.5" customHeight="1">
      <c r="A147" s="90">
        <v>141</v>
      </c>
      <c r="B147" s="24">
        <f>DATE('1.연간시수표'!$U$44,'1.연간시수표'!$X$44,'1.연간시수표'!$Z$44)+QUOTIENT(ROW(A141)-1,8)+(QUOTIENT(ROW(A141)-1,40)*2)</f>
        <v>44822</v>
      </c>
      <c r="C147" s="24" t="b">
        <f t="shared" si="6"/>
        <v>0</v>
      </c>
      <c r="D147" s="116" t="str">
        <f t="shared" si="7"/>
        <v>5교시</v>
      </c>
      <c r="E147" s="68">
        <f>COUNTIF($H$7:$H147,$H147)</f>
        <v>3</v>
      </c>
      <c r="F147" s="67">
        <f>'1.연간시수표'!$AL$33</f>
        <v>5</v>
      </c>
      <c r="G147" s="115">
        <f t="shared" si="8"/>
        <v>2</v>
      </c>
      <c r="H147" s="41" t="str">
        <f>INDEX('0.시간표데이터'!$E$52:$AR$78,QUOTIENT(ROW(A141)-1,40)+1,MOD(ROW(A141)-1,40)+1)</f>
        <v>도덕</v>
      </c>
      <c r="I147" s="77"/>
      <c r="J147" s="26"/>
      <c r="K147" s="180"/>
      <c r="L147" s="180"/>
      <c r="M147" s="10"/>
      <c r="N147" s="10"/>
      <c r="O147" s="10"/>
      <c r="P147" s="10"/>
      <c r="Q147" s="164"/>
      <c r="R147" s="110"/>
    </row>
    <row r="148" spans="1:18" ht="13.5" customHeight="1">
      <c r="A148" s="90">
        <v>142</v>
      </c>
      <c r="B148" s="24">
        <f>DATE('1.연간시수표'!$U$44,'1.연간시수표'!$X$44,'1.연간시수표'!$Z$44)+QUOTIENT(ROW(A142)-1,8)+(QUOTIENT(ROW(A142)-1,40)*2)</f>
        <v>44822</v>
      </c>
      <c r="C148" s="24" t="b">
        <f t="shared" si="6"/>
        <v>0</v>
      </c>
      <c r="D148" s="116" t="str">
        <f t="shared" si="7"/>
        <v>6교시</v>
      </c>
      <c r="E148" s="68">
        <f>COUNTIF($H$7:$H148,$H148)</f>
        <v>67</v>
      </c>
      <c r="F148" s="67">
        <f>'1.연간시수표'!$AL$33</f>
        <v>5</v>
      </c>
      <c r="G148" s="115">
        <f t="shared" si="8"/>
        <v>2</v>
      </c>
      <c r="H148" s="41" t="str">
        <f>INDEX('0.시간표데이터'!$E$52:$AR$78,QUOTIENT(ROW(A142)-1,40)+1,MOD(ROW(A142)-1,40)+1)</f>
        <v>_</v>
      </c>
      <c r="I148" s="77"/>
      <c r="J148" s="26"/>
      <c r="K148" s="167"/>
      <c r="L148" s="167"/>
      <c r="M148" s="166"/>
      <c r="N148" s="166"/>
      <c r="O148" s="166"/>
      <c r="P148" s="166"/>
      <c r="Q148" s="167"/>
      <c r="R148" s="111"/>
    </row>
    <row r="149" spans="1:18" ht="13.5" customHeight="1">
      <c r="A149" s="90">
        <v>143</v>
      </c>
      <c r="B149" s="24">
        <f>DATE('1.연간시수표'!$U$44,'1.연간시수표'!$X$44,'1.연간시수표'!$Z$44)+QUOTIENT(ROW(A143)-1,8)+(QUOTIENT(ROW(A143)-1,40)*2)</f>
        <v>44822</v>
      </c>
      <c r="C149" s="24" t="b">
        <f t="shared" si="6"/>
        <v>0</v>
      </c>
      <c r="D149" s="116" t="str">
        <f t="shared" si="7"/>
        <v>7교시</v>
      </c>
      <c r="E149" s="68">
        <f>COUNTIF($H$7:$H149,$H149)</f>
        <v>68</v>
      </c>
      <c r="F149" s="67">
        <f>'1.연간시수표'!$AL$33</f>
        <v>5</v>
      </c>
      <c r="G149" s="115">
        <f t="shared" si="8"/>
        <v>2</v>
      </c>
      <c r="H149" s="41" t="str">
        <f>INDEX('0.시간표데이터'!$E$52:$AR$78,QUOTIENT(ROW(A143)-1,40)+1,MOD(ROW(A143)-1,40)+1)</f>
        <v>_</v>
      </c>
      <c r="I149" s="76"/>
      <c r="J149" s="26"/>
      <c r="K149" s="167"/>
      <c r="L149" s="167"/>
      <c r="M149" s="166"/>
      <c r="N149" s="166"/>
      <c r="O149" s="166"/>
      <c r="P149" s="166"/>
      <c r="Q149" s="167"/>
      <c r="R149" s="111"/>
    </row>
    <row r="150" spans="1:18" ht="13.5" customHeight="1">
      <c r="A150" s="90">
        <v>144</v>
      </c>
      <c r="B150" s="24">
        <f>DATE('1.연간시수표'!$U$44,'1.연간시수표'!$X$44,'1.연간시수표'!$Z$44)+QUOTIENT(ROW(A144)-1,8)+(QUOTIENT(ROW(A144)-1,40)*2)</f>
        <v>44822</v>
      </c>
      <c r="C150" s="24" t="b">
        <f t="shared" si="6"/>
        <v>0</v>
      </c>
      <c r="D150" s="116" t="str">
        <f t="shared" si="7"/>
        <v>8교시</v>
      </c>
      <c r="E150" s="68">
        <f>COUNTIF($H$7:$H150,$H150)</f>
        <v>69</v>
      </c>
      <c r="F150" s="67">
        <f>'1.연간시수표'!$AL$33</f>
        <v>5</v>
      </c>
      <c r="G150" s="115">
        <f t="shared" si="8"/>
        <v>2</v>
      </c>
      <c r="H150" s="41" t="str">
        <f>INDEX('0.시간표데이터'!$E$52:$AR$78,QUOTIENT(ROW(A144)-1,40)+1,MOD(ROW(A144)-1,40)+1)</f>
        <v>_</v>
      </c>
      <c r="I150" s="76"/>
      <c r="J150" s="26"/>
      <c r="K150" s="167"/>
      <c r="L150" s="167"/>
      <c r="M150" s="166"/>
      <c r="N150" s="166"/>
      <c r="O150" s="166"/>
      <c r="P150" s="166"/>
      <c r="Q150" s="167"/>
      <c r="R150" s="111"/>
    </row>
    <row r="151" spans="1:18" ht="13.5" customHeight="1">
      <c r="A151" s="90">
        <v>145</v>
      </c>
      <c r="B151" s="24">
        <f>DATE('1.연간시수표'!$U$44,'1.연간시수표'!$X$44,'1.연간시수표'!$Z$44)+QUOTIENT(ROW(A145)-1,8)+(QUOTIENT(ROW(A145)-1,40)*2)</f>
        <v>44823</v>
      </c>
      <c r="C151" s="24" t="str">
        <f t="shared" si="6"/>
        <v>월</v>
      </c>
      <c r="D151" s="116" t="str">
        <f t="shared" si="7"/>
        <v>1교시</v>
      </c>
      <c r="E151" s="68">
        <f>COUNTIF($H$7:$H151,$H151)</f>
        <v>15</v>
      </c>
      <c r="F151" s="67">
        <f>'1.연간시수표'!$AL$33</f>
        <v>5</v>
      </c>
      <c r="G151" s="115">
        <f t="shared" si="8"/>
        <v>2</v>
      </c>
      <c r="H151" s="41" t="str">
        <f>INDEX('0.시간표데이터'!$E$52:$AR$78,QUOTIENT(ROW(A145)-1,40)+1,MOD(ROW(A145)-1,40)+1)</f>
        <v>국어</v>
      </c>
      <c r="I151" s="77"/>
      <c r="J151" s="26"/>
      <c r="K151" s="180"/>
      <c r="L151" s="180"/>
      <c r="M151" s="10"/>
      <c r="N151" s="10"/>
      <c r="O151" s="10"/>
      <c r="P151" s="10"/>
      <c r="Q151" s="164"/>
      <c r="R151" s="110"/>
    </row>
    <row r="152" spans="1:18" ht="13.5" customHeight="1">
      <c r="A152" s="90">
        <v>146</v>
      </c>
      <c r="B152" s="24">
        <f>DATE('1.연간시수표'!$U$44,'1.연간시수표'!$X$44,'1.연간시수표'!$Z$44)+QUOTIENT(ROW(A146)-1,8)+(QUOTIENT(ROW(A146)-1,40)*2)</f>
        <v>44823</v>
      </c>
      <c r="C152" s="24" t="str">
        <f t="shared" si="6"/>
        <v>월</v>
      </c>
      <c r="D152" s="116" t="str">
        <f t="shared" si="7"/>
        <v>2교시</v>
      </c>
      <c r="E152" s="68">
        <f>COUNTIF($H$7:$H152,$H152)</f>
        <v>10</v>
      </c>
      <c r="F152" s="67">
        <f>'1.연간시수표'!$AL$33</f>
        <v>5</v>
      </c>
      <c r="G152" s="115">
        <f t="shared" si="8"/>
        <v>2</v>
      </c>
      <c r="H152" s="41" t="str">
        <f>INDEX('0.시간표데이터'!$E$52:$AR$78,QUOTIENT(ROW(A146)-1,40)+1,MOD(ROW(A146)-1,40)+1)</f>
        <v>수학</v>
      </c>
      <c r="I152" s="161"/>
      <c r="J152" s="26"/>
      <c r="K152" s="180"/>
      <c r="L152" s="180"/>
      <c r="M152" s="10"/>
      <c r="N152" s="10"/>
      <c r="O152" s="10"/>
      <c r="P152" s="10"/>
      <c r="Q152" s="164"/>
      <c r="R152" s="110"/>
    </row>
    <row r="153" spans="1:18" ht="13.5" customHeight="1">
      <c r="A153" s="90">
        <v>147</v>
      </c>
      <c r="B153" s="24">
        <f>DATE('1.연간시수표'!$U$44,'1.연간시수표'!$X$44,'1.연간시수표'!$Z$44)+QUOTIENT(ROW(A147)-1,8)+(QUOTIENT(ROW(A147)-1,40)*2)</f>
        <v>44823</v>
      </c>
      <c r="C153" s="24" t="str">
        <f t="shared" si="6"/>
        <v>월</v>
      </c>
      <c r="D153" s="116" t="str">
        <f t="shared" si="7"/>
        <v>3교시</v>
      </c>
      <c r="E153" s="68">
        <f>COUNTIF($H$7:$H153,$H153)</f>
        <v>8</v>
      </c>
      <c r="F153" s="67">
        <f>'1.연간시수표'!$AL$33</f>
        <v>5</v>
      </c>
      <c r="G153" s="115">
        <f t="shared" si="8"/>
        <v>2</v>
      </c>
      <c r="H153" s="41" t="str">
        <f>INDEX('0.시간표데이터'!$E$52:$AR$78,QUOTIENT(ROW(A147)-1,40)+1,MOD(ROW(A147)-1,40)+1)</f>
        <v>사회</v>
      </c>
      <c r="I153" s="77"/>
      <c r="J153" s="26"/>
      <c r="K153" s="180"/>
      <c r="L153" s="180"/>
      <c r="M153" s="10"/>
      <c r="N153" s="10"/>
      <c r="O153" s="10"/>
      <c r="P153" s="10"/>
      <c r="Q153" s="164"/>
      <c r="R153" s="110"/>
    </row>
    <row r="154" spans="1:18" ht="13.5" customHeight="1">
      <c r="A154" s="90">
        <v>148</v>
      </c>
      <c r="B154" s="24">
        <f>DATE('1.연간시수표'!$U$44,'1.연간시수표'!$X$44,'1.연간시수표'!$Z$44)+QUOTIENT(ROW(A148)-1,8)+(QUOTIENT(ROW(A148)-1,40)*2)</f>
        <v>44823</v>
      </c>
      <c r="C154" s="24" t="str">
        <f t="shared" si="6"/>
        <v>월</v>
      </c>
      <c r="D154" s="116" t="str">
        <f t="shared" si="7"/>
        <v>4교시</v>
      </c>
      <c r="E154" s="68">
        <f>COUNTIF($H$7:$H154,$H154)</f>
        <v>9</v>
      </c>
      <c r="F154" s="67">
        <f>'1.연간시수표'!$AL$33</f>
        <v>5</v>
      </c>
      <c r="G154" s="115">
        <f t="shared" si="8"/>
        <v>2</v>
      </c>
      <c r="H154" s="41" t="str">
        <f>INDEX('0.시간표데이터'!$E$52:$AR$78,QUOTIENT(ROW(A148)-1,40)+1,MOD(ROW(A148)-1,40)+1)</f>
        <v>영어</v>
      </c>
      <c r="I154" s="77"/>
      <c r="J154" s="26"/>
      <c r="K154" s="180"/>
      <c r="L154" s="180"/>
      <c r="M154" s="10"/>
      <c r="N154" s="10"/>
      <c r="O154" s="10"/>
      <c r="P154" s="10"/>
      <c r="Q154" s="164"/>
      <c r="R154" s="110"/>
    </row>
    <row r="155" spans="1:18" ht="13.5" customHeight="1">
      <c r="A155" s="90">
        <v>149</v>
      </c>
      <c r="B155" s="24">
        <f>DATE('1.연간시수표'!$U$44,'1.연간시수표'!$X$44,'1.연간시수표'!$Z$44)+QUOTIENT(ROW(A149)-1,8)+(QUOTIENT(ROW(A149)-1,40)*2)</f>
        <v>44823</v>
      </c>
      <c r="C155" s="24" t="str">
        <f t="shared" si="6"/>
        <v>월</v>
      </c>
      <c r="D155" s="116" t="str">
        <f t="shared" si="7"/>
        <v>5교시</v>
      </c>
      <c r="E155" s="68">
        <f>COUNTIF($H$7:$H155,$H155)</f>
        <v>1</v>
      </c>
      <c r="F155" s="67">
        <f>'1.연간시수표'!$AL$33</f>
        <v>5</v>
      </c>
      <c r="G155" s="115">
        <f t="shared" si="8"/>
        <v>2</v>
      </c>
      <c r="H155" s="41" t="str">
        <f>INDEX('0.시간표데이터'!$E$52:$AR$78,QUOTIENT(ROW(A149)-1,40)+1,MOD(ROW(A149)-1,40)+1)</f>
        <v>동아리활동</v>
      </c>
      <c r="I155" s="77"/>
      <c r="J155" s="26"/>
      <c r="K155" s="180"/>
      <c r="L155" s="180"/>
      <c r="M155" s="10"/>
      <c r="N155" s="10"/>
      <c r="O155" s="10"/>
      <c r="P155" s="10"/>
      <c r="Q155" s="164"/>
      <c r="R155" s="110"/>
    </row>
    <row r="156" spans="1:18" ht="13.5" customHeight="1">
      <c r="A156" s="90">
        <v>150</v>
      </c>
      <c r="B156" s="24">
        <f>DATE('1.연간시수표'!$U$44,'1.연간시수표'!$X$44,'1.연간시수표'!$Z$44)+QUOTIENT(ROW(A150)-1,8)+(QUOTIENT(ROW(A150)-1,40)*2)</f>
        <v>44823</v>
      </c>
      <c r="C156" s="24" t="str">
        <f t="shared" si="6"/>
        <v>월</v>
      </c>
      <c r="D156" s="116" t="str">
        <f t="shared" si="7"/>
        <v>6교시</v>
      </c>
      <c r="E156" s="68">
        <f>COUNTIF($H$7:$H156,$H156)</f>
        <v>2</v>
      </c>
      <c r="F156" s="67">
        <f>'1.연간시수표'!$AL$33</f>
        <v>5</v>
      </c>
      <c r="G156" s="115">
        <f t="shared" si="8"/>
        <v>2</v>
      </c>
      <c r="H156" s="41" t="str">
        <f>INDEX('0.시간표데이터'!$E$52:$AR$78,QUOTIENT(ROW(A150)-1,40)+1,MOD(ROW(A150)-1,40)+1)</f>
        <v>동아리활동</v>
      </c>
      <c r="I156" s="161"/>
      <c r="J156" s="26"/>
      <c r="K156" s="180"/>
      <c r="L156" s="180"/>
      <c r="M156" s="10"/>
      <c r="N156" s="10"/>
      <c r="O156" s="10"/>
      <c r="P156" s="10"/>
      <c r="Q156" s="164"/>
      <c r="R156" s="110"/>
    </row>
    <row r="157" spans="1:18">
      <c r="A157" s="90">
        <v>151</v>
      </c>
      <c r="B157" s="24">
        <f>DATE('1.연간시수표'!$U$44,'1.연간시수표'!$X$44,'1.연간시수표'!$Z$44)+QUOTIENT(ROW(A151)-1,8)+(QUOTIENT(ROW(A151)-1,40)*2)</f>
        <v>44823</v>
      </c>
      <c r="C157" s="24" t="str">
        <f t="shared" si="6"/>
        <v>월</v>
      </c>
      <c r="D157" s="116" t="str">
        <f t="shared" si="7"/>
        <v>7교시</v>
      </c>
      <c r="E157" s="68">
        <f>COUNTIF($H$7:$H157,$H157)</f>
        <v>70</v>
      </c>
      <c r="F157" s="67">
        <f>'1.연간시수표'!$AL$33</f>
        <v>5</v>
      </c>
      <c r="G157" s="115">
        <f t="shared" si="8"/>
        <v>2</v>
      </c>
      <c r="H157" s="41" t="str">
        <f>INDEX('0.시간표데이터'!$E$52:$AR$78,QUOTIENT(ROW(A151)-1,40)+1,MOD(ROW(A151)-1,40)+1)</f>
        <v>_</v>
      </c>
      <c r="I157" s="76"/>
      <c r="J157" s="26"/>
      <c r="K157" s="167"/>
      <c r="L157" s="167"/>
      <c r="M157" s="166"/>
      <c r="N157" s="166"/>
      <c r="O157" s="166"/>
      <c r="P157" s="166"/>
      <c r="Q157" s="167"/>
      <c r="R157" s="111"/>
    </row>
    <row r="158" spans="1:18">
      <c r="A158" s="90">
        <v>152</v>
      </c>
      <c r="B158" s="24">
        <f>DATE('1.연간시수표'!$U$44,'1.연간시수표'!$X$44,'1.연간시수표'!$Z$44)+QUOTIENT(ROW(A152)-1,8)+(QUOTIENT(ROW(A152)-1,40)*2)</f>
        <v>44823</v>
      </c>
      <c r="C158" s="24" t="str">
        <f t="shared" si="6"/>
        <v>월</v>
      </c>
      <c r="D158" s="116" t="str">
        <f t="shared" si="7"/>
        <v>8교시</v>
      </c>
      <c r="E158" s="68">
        <f>COUNTIF($H$7:$H158,$H158)</f>
        <v>71</v>
      </c>
      <c r="F158" s="67">
        <f>'1.연간시수표'!$AL$33</f>
        <v>5</v>
      </c>
      <c r="G158" s="115">
        <f t="shared" si="8"/>
        <v>2</v>
      </c>
      <c r="H158" s="41" t="str">
        <f>INDEX('0.시간표데이터'!$E$52:$AR$78,QUOTIENT(ROW(A152)-1,40)+1,MOD(ROW(A152)-1,40)+1)</f>
        <v>_</v>
      </c>
      <c r="I158" s="76"/>
      <c r="J158" s="26"/>
      <c r="K158" s="167"/>
      <c r="L158" s="167"/>
      <c r="M158" s="166"/>
      <c r="N158" s="166"/>
      <c r="O158" s="166"/>
      <c r="P158" s="166"/>
      <c r="Q158" s="167"/>
      <c r="R158" s="111"/>
    </row>
    <row r="159" spans="1:18" ht="13.5" customHeight="1">
      <c r="A159" s="90">
        <v>153</v>
      </c>
      <c r="B159" s="24">
        <f>DATE('1.연간시수표'!$U$44,'1.연간시수표'!$X$44,'1.연간시수표'!$Z$44)+QUOTIENT(ROW(A153)-1,8)+(QUOTIENT(ROW(A153)-1,40)*2)</f>
        <v>44824</v>
      </c>
      <c r="C159" s="24" t="str">
        <f t="shared" si="6"/>
        <v>화</v>
      </c>
      <c r="D159" s="116" t="str">
        <f t="shared" si="7"/>
        <v>1교시</v>
      </c>
      <c r="E159" s="68">
        <f>COUNTIF($H$7:$H159,$H159)</f>
        <v>16</v>
      </c>
      <c r="F159" s="67">
        <f>'1.연간시수표'!$AL$33</f>
        <v>5</v>
      </c>
      <c r="G159" s="115">
        <f t="shared" si="8"/>
        <v>2</v>
      </c>
      <c r="H159" s="41" t="str">
        <f>INDEX('0.시간표데이터'!$E$52:$AR$78,QUOTIENT(ROW(A153)-1,40)+1,MOD(ROW(A153)-1,40)+1)</f>
        <v>국어</v>
      </c>
      <c r="I159" s="77"/>
      <c r="J159" s="26"/>
      <c r="K159" s="180"/>
      <c r="L159" s="180"/>
      <c r="M159" s="10"/>
      <c r="N159" s="10"/>
      <c r="O159" s="10"/>
      <c r="P159" s="10"/>
      <c r="Q159" s="164"/>
      <c r="R159" s="110"/>
    </row>
    <row r="160" spans="1:18" ht="13.5" customHeight="1">
      <c r="A160" s="90">
        <v>154</v>
      </c>
      <c r="B160" s="24">
        <f>DATE('1.연간시수표'!$U$44,'1.연간시수표'!$X$44,'1.연간시수표'!$Z$44)+QUOTIENT(ROW(A154)-1,8)+(QUOTIENT(ROW(A154)-1,40)*2)</f>
        <v>44824</v>
      </c>
      <c r="C160" s="24" t="str">
        <f t="shared" si="6"/>
        <v>화</v>
      </c>
      <c r="D160" s="116" t="str">
        <f t="shared" si="7"/>
        <v>2교시</v>
      </c>
      <c r="E160" s="68">
        <f>COUNTIF($H$7:$H160,$H160)</f>
        <v>6</v>
      </c>
      <c r="F160" s="67">
        <f>'1.연간시수표'!$AL$33</f>
        <v>5</v>
      </c>
      <c r="G160" s="115">
        <f t="shared" si="8"/>
        <v>2</v>
      </c>
      <c r="H160" s="41" t="str">
        <f>INDEX('0.시간표데이터'!$E$52:$AR$78,QUOTIENT(ROW(A154)-1,40)+1,MOD(ROW(A154)-1,40)+1)</f>
        <v>체육</v>
      </c>
      <c r="I160" s="77"/>
      <c r="J160" s="26"/>
      <c r="K160" s="180"/>
      <c r="L160" s="180"/>
      <c r="M160" s="10"/>
      <c r="N160" s="10"/>
      <c r="O160" s="10"/>
      <c r="P160" s="10"/>
      <c r="Q160" s="164"/>
      <c r="R160" s="110"/>
    </row>
    <row r="161" spans="1:18" ht="13.5" customHeight="1">
      <c r="A161" s="90">
        <v>155</v>
      </c>
      <c r="B161" s="24">
        <f>DATE('1.연간시수표'!$U$44,'1.연간시수표'!$X$44,'1.연간시수표'!$Z$44)+QUOTIENT(ROW(A155)-1,8)+(QUOTIENT(ROW(A155)-1,40)*2)</f>
        <v>44824</v>
      </c>
      <c r="C161" s="24" t="str">
        <f t="shared" si="6"/>
        <v>화</v>
      </c>
      <c r="D161" s="116" t="str">
        <f t="shared" si="7"/>
        <v>3교시</v>
      </c>
      <c r="E161" s="68">
        <f>COUNTIF($H$7:$H161,$H161)</f>
        <v>11</v>
      </c>
      <c r="F161" s="67">
        <f>'1.연간시수표'!$AL$33</f>
        <v>5</v>
      </c>
      <c r="G161" s="115">
        <f t="shared" si="8"/>
        <v>2</v>
      </c>
      <c r="H161" s="41" t="str">
        <f>INDEX('0.시간표데이터'!$E$52:$AR$78,QUOTIENT(ROW(A155)-1,40)+1,MOD(ROW(A155)-1,40)+1)</f>
        <v>수학</v>
      </c>
      <c r="I161" s="77"/>
      <c r="J161" s="26"/>
      <c r="K161" s="180"/>
      <c r="L161" s="180"/>
      <c r="M161" s="10"/>
      <c r="N161" s="10"/>
      <c r="O161" s="10"/>
      <c r="P161" s="10"/>
      <c r="Q161" s="164"/>
      <c r="R161" s="110"/>
    </row>
    <row r="162" spans="1:18" ht="13.5" customHeight="1">
      <c r="A162" s="90">
        <v>156</v>
      </c>
      <c r="B162" s="24">
        <f>DATE('1.연간시수표'!$U$44,'1.연간시수표'!$X$44,'1.연간시수표'!$Z$44)+QUOTIENT(ROW(A156)-1,8)+(QUOTIENT(ROW(A156)-1,40)*2)</f>
        <v>44824</v>
      </c>
      <c r="C162" s="24" t="str">
        <f t="shared" si="6"/>
        <v>화</v>
      </c>
      <c r="D162" s="116" t="str">
        <f t="shared" si="7"/>
        <v>4교시</v>
      </c>
      <c r="E162" s="68">
        <f>COUNTIF($H$7:$H162,$H162)</f>
        <v>17</v>
      </c>
      <c r="F162" s="67">
        <f>'1.연간시수표'!$AL$33</f>
        <v>5</v>
      </c>
      <c r="G162" s="115">
        <f t="shared" si="8"/>
        <v>2</v>
      </c>
      <c r="H162" s="41" t="str">
        <f>INDEX('0.시간표데이터'!$E$52:$AR$78,QUOTIENT(ROW(A156)-1,40)+1,MOD(ROW(A156)-1,40)+1)</f>
        <v>국어</v>
      </c>
      <c r="I162" s="77"/>
      <c r="J162" s="26"/>
      <c r="K162" s="180"/>
      <c r="L162" s="180"/>
      <c r="M162" s="10"/>
      <c r="N162" s="10"/>
      <c r="O162" s="10"/>
      <c r="P162" s="10"/>
      <c r="Q162" s="164"/>
      <c r="R162" s="110"/>
    </row>
    <row r="163" spans="1:18" ht="13.5" customHeight="1">
      <c r="A163" s="90">
        <v>157</v>
      </c>
      <c r="B163" s="24">
        <f>DATE('1.연간시수표'!$U$44,'1.연간시수표'!$X$44,'1.연간시수표'!$Z$44)+QUOTIENT(ROW(A157)-1,8)+(QUOTIENT(ROW(A157)-1,40)*2)</f>
        <v>44824</v>
      </c>
      <c r="C163" s="24" t="str">
        <f t="shared" si="6"/>
        <v>화</v>
      </c>
      <c r="D163" s="116" t="str">
        <f t="shared" si="7"/>
        <v>5교시</v>
      </c>
      <c r="E163" s="68">
        <f>COUNTIF($H$7:$H163,$H163)</f>
        <v>9</v>
      </c>
      <c r="F163" s="67">
        <f>'1.연간시수표'!$AL$33</f>
        <v>5</v>
      </c>
      <c r="G163" s="115">
        <f t="shared" si="8"/>
        <v>2</v>
      </c>
      <c r="H163" s="41" t="str">
        <f>INDEX('0.시간표데이터'!$E$52:$AR$78,QUOTIENT(ROW(A157)-1,40)+1,MOD(ROW(A157)-1,40)+1)</f>
        <v>사회</v>
      </c>
      <c r="I163" s="77"/>
      <c r="J163" s="26"/>
      <c r="K163" s="180"/>
      <c r="L163" s="180"/>
      <c r="M163" s="10"/>
      <c r="N163" s="10"/>
      <c r="O163" s="10"/>
      <c r="P163" s="10"/>
      <c r="Q163" s="164"/>
      <c r="R163" s="110"/>
    </row>
    <row r="164" spans="1:18" ht="13.5" customHeight="1">
      <c r="A164" s="90">
        <v>158</v>
      </c>
      <c r="B164" s="24">
        <f>DATE('1.연간시수표'!$U$44,'1.연간시수표'!$X$44,'1.연간시수표'!$Z$44)+QUOTIENT(ROW(A158)-1,8)+(QUOTIENT(ROW(A158)-1,40)*2)</f>
        <v>44824</v>
      </c>
      <c r="C164" s="24" t="str">
        <f t="shared" si="6"/>
        <v>화</v>
      </c>
      <c r="D164" s="116" t="str">
        <f t="shared" si="7"/>
        <v>6교시</v>
      </c>
      <c r="E164" s="68">
        <f>COUNTIF($H$7:$H164,$H164)</f>
        <v>6</v>
      </c>
      <c r="F164" s="67">
        <f>'1.연간시수표'!$AL$33</f>
        <v>5</v>
      </c>
      <c r="G164" s="115">
        <f t="shared" si="8"/>
        <v>2</v>
      </c>
      <c r="H164" s="41" t="str">
        <f>INDEX('0.시간표데이터'!$E$52:$AR$78,QUOTIENT(ROW(A158)-1,40)+1,MOD(ROW(A158)-1,40)+1)</f>
        <v>실과</v>
      </c>
      <c r="I164" s="77"/>
      <c r="J164" s="26"/>
      <c r="K164" s="180"/>
      <c r="L164" s="180"/>
      <c r="M164" s="166"/>
      <c r="N164" s="166"/>
      <c r="O164" s="166"/>
      <c r="P164" s="166"/>
      <c r="Q164" s="167"/>
      <c r="R164" s="111"/>
    </row>
    <row r="165" spans="1:18" ht="13.5" customHeight="1">
      <c r="A165" s="90">
        <v>159</v>
      </c>
      <c r="B165" s="24">
        <f>DATE('1.연간시수표'!$U$44,'1.연간시수표'!$X$44,'1.연간시수표'!$Z$44)+QUOTIENT(ROW(A159)-1,8)+(QUOTIENT(ROW(A159)-1,40)*2)</f>
        <v>44824</v>
      </c>
      <c r="C165" s="24" t="str">
        <f t="shared" si="6"/>
        <v>화</v>
      </c>
      <c r="D165" s="116" t="str">
        <f t="shared" si="7"/>
        <v>7교시</v>
      </c>
      <c r="E165" s="68">
        <f>COUNTIF($H$7:$H165,$H165)</f>
        <v>72</v>
      </c>
      <c r="F165" s="67">
        <f>'1.연간시수표'!$AL$33</f>
        <v>5</v>
      </c>
      <c r="G165" s="115">
        <f t="shared" si="8"/>
        <v>2</v>
      </c>
      <c r="H165" s="41" t="str">
        <f>INDEX('0.시간표데이터'!$E$52:$AR$78,QUOTIENT(ROW(A159)-1,40)+1,MOD(ROW(A159)-1,40)+1)</f>
        <v>_</v>
      </c>
      <c r="I165" s="76"/>
      <c r="J165" s="26"/>
      <c r="K165" s="167"/>
      <c r="L165" s="167"/>
      <c r="M165" s="166"/>
      <c r="N165" s="166"/>
      <c r="O165" s="166"/>
      <c r="P165" s="166"/>
      <c r="Q165" s="167"/>
      <c r="R165" s="111"/>
    </row>
    <row r="166" spans="1:18" ht="13.5" customHeight="1">
      <c r="A166" s="90">
        <v>160</v>
      </c>
      <c r="B166" s="24">
        <f>DATE('1.연간시수표'!$U$44,'1.연간시수표'!$X$44,'1.연간시수표'!$Z$44)+QUOTIENT(ROW(A160)-1,8)+(QUOTIENT(ROW(A160)-1,40)*2)</f>
        <v>44824</v>
      </c>
      <c r="C166" s="24" t="str">
        <f t="shared" si="6"/>
        <v>화</v>
      </c>
      <c r="D166" s="116" t="str">
        <f t="shared" si="7"/>
        <v>8교시</v>
      </c>
      <c r="E166" s="68">
        <f>COUNTIF($H$7:$H166,$H166)</f>
        <v>73</v>
      </c>
      <c r="F166" s="67">
        <f>'1.연간시수표'!$AL$33</f>
        <v>5</v>
      </c>
      <c r="G166" s="115">
        <f t="shared" si="8"/>
        <v>2</v>
      </c>
      <c r="H166" s="41" t="str">
        <f>INDEX('0.시간표데이터'!$E$52:$AR$78,QUOTIENT(ROW(A160)-1,40)+1,MOD(ROW(A160)-1,40)+1)</f>
        <v>_</v>
      </c>
      <c r="I166" s="76"/>
      <c r="J166" s="26"/>
      <c r="K166" s="167"/>
      <c r="L166" s="167"/>
      <c r="M166" s="166"/>
      <c r="N166" s="166"/>
      <c r="O166" s="166"/>
      <c r="P166" s="166"/>
      <c r="Q166" s="167"/>
      <c r="R166" s="111"/>
    </row>
    <row r="167" spans="1:18" ht="13.5" customHeight="1">
      <c r="A167" s="90">
        <v>161</v>
      </c>
      <c r="B167" s="24">
        <f>DATE('1.연간시수표'!$U$44,'1.연간시수표'!$X$44,'1.연간시수표'!$Z$44)+QUOTIENT(ROW(A161)-1,8)+(QUOTIENT(ROW(A161)-1,40)*2)</f>
        <v>44827</v>
      </c>
      <c r="C167" s="24" t="str">
        <f t="shared" si="6"/>
        <v>금</v>
      </c>
      <c r="D167" s="116" t="str">
        <f t="shared" si="7"/>
        <v>1교시</v>
      </c>
      <c r="E167" s="68">
        <f>COUNTIF($H$7:$H167,$H167)</f>
        <v>18</v>
      </c>
      <c r="F167" s="67">
        <f>'1.연간시수표'!$AL$33</f>
        <v>5</v>
      </c>
      <c r="G167" s="115">
        <f t="shared" si="8"/>
        <v>2</v>
      </c>
      <c r="H167" s="41" t="str">
        <f>INDEX('0.시간표데이터'!$E$52:$AR$78,QUOTIENT(ROW(A161)-1,40)+1,MOD(ROW(A161)-1,40)+1)</f>
        <v>국어</v>
      </c>
      <c r="I167" s="77"/>
      <c r="J167" s="26"/>
      <c r="K167" s="164"/>
      <c r="L167" s="164"/>
      <c r="M167" s="10"/>
      <c r="N167" s="10"/>
      <c r="O167" s="10"/>
      <c r="P167" s="10"/>
      <c r="Q167" s="164"/>
      <c r="R167" s="110"/>
    </row>
    <row r="168" spans="1:18" ht="13.5" customHeight="1">
      <c r="A168" s="90">
        <v>162</v>
      </c>
      <c r="B168" s="24">
        <f>DATE('1.연간시수표'!$U$44,'1.연간시수표'!$X$44,'1.연간시수표'!$Z$44)+QUOTIENT(ROW(A162)-1,8)+(QUOTIENT(ROW(A162)-1,40)*2)</f>
        <v>44827</v>
      </c>
      <c r="C168" s="24" t="str">
        <f t="shared" si="6"/>
        <v>금</v>
      </c>
      <c r="D168" s="116" t="str">
        <f t="shared" si="7"/>
        <v>2교시</v>
      </c>
      <c r="E168" s="68">
        <f>COUNTIF($H$7:$H168,$H168)</f>
        <v>5</v>
      </c>
      <c r="F168" s="67">
        <f>'1.연간시수표'!$AL$33</f>
        <v>5</v>
      </c>
      <c r="G168" s="115">
        <f t="shared" si="8"/>
        <v>2</v>
      </c>
      <c r="H168" s="41" t="str">
        <f>INDEX('0.시간표데이터'!$E$52:$AR$78,QUOTIENT(ROW(A162)-1,40)+1,MOD(ROW(A162)-1,40)+1)</f>
        <v>미술</v>
      </c>
      <c r="I168" s="161"/>
      <c r="J168" s="26"/>
      <c r="K168" s="180"/>
      <c r="L168" s="180"/>
      <c r="M168" s="10"/>
      <c r="N168" s="10"/>
      <c r="O168" s="10"/>
      <c r="P168" s="10"/>
      <c r="Q168" s="164"/>
      <c r="R168" s="110"/>
    </row>
    <row r="169" spans="1:18" ht="13.5" customHeight="1">
      <c r="A169" s="90">
        <v>163</v>
      </c>
      <c r="B169" s="24">
        <f>DATE('1.연간시수표'!$U$44,'1.연간시수표'!$X$44,'1.연간시수표'!$Z$44)+QUOTIENT(ROW(A163)-1,8)+(QUOTIENT(ROW(A163)-1,40)*2)</f>
        <v>44827</v>
      </c>
      <c r="C169" s="24" t="str">
        <f t="shared" si="6"/>
        <v>금</v>
      </c>
      <c r="D169" s="116" t="str">
        <f t="shared" si="7"/>
        <v>3교시</v>
      </c>
      <c r="E169" s="68">
        <f>COUNTIF($H$7:$H169,$H169)</f>
        <v>6</v>
      </c>
      <c r="F169" s="67">
        <f>'1.연간시수표'!$AL$33</f>
        <v>5</v>
      </c>
      <c r="G169" s="115">
        <f t="shared" si="8"/>
        <v>2</v>
      </c>
      <c r="H169" s="41" t="str">
        <f>INDEX('0.시간표데이터'!$E$52:$AR$78,QUOTIENT(ROW(A163)-1,40)+1,MOD(ROW(A163)-1,40)+1)</f>
        <v>미술</v>
      </c>
      <c r="I169" s="77"/>
      <c r="J169" s="26"/>
      <c r="K169" s="180"/>
      <c r="L169" s="180"/>
      <c r="M169" s="10"/>
      <c r="N169" s="10"/>
      <c r="O169" s="10"/>
      <c r="P169" s="10"/>
      <c r="Q169" s="164"/>
      <c r="R169" s="110"/>
    </row>
    <row r="170" spans="1:18" ht="13.5" customHeight="1">
      <c r="A170" s="90">
        <v>164</v>
      </c>
      <c r="B170" s="24">
        <f>DATE('1.연간시수표'!$U$44,'1.연간시수표'!$X$44,'1.연간시수표'!$Z$44)+QUOTIENT(ROW(A164)-1,8)+(QUOTIENT(ROW(A164)-1,40)*2)</f>
        <v>44827</v>
      </c>
      <c r="C170" s="24" t="str">
        <f t="shared" si="6"/>
        <v>금</v>
      </c>
      <c r="D170" s="116" t="str">
        <f t="shared" si="7"/>
        <v>4교시</v>
      </c>
      <c r="E170" s="68">
        <f>COUNTIF($H$7:$H170,$H170)</f>
        <v>10</v>
      </c>
      <c r="F170" s="67">
        <f>'1.연간시수표'!$AL$33</f>
        <v>5</v>
      </c>
      <c r="G170" s="115">
        <f t="shared" si="8"/>
        <v>2</v>
      </c>
      <c r="H170" s="41" t="str">
        <f>INDEX('0.시간표데이터'!$E$52:$AR$78,QUOTIENT(ROW(A164)-1,40)+1,MOD(ROW(A164)-1,40)+1)</f>
        <v>영어</v>
      </c>
      <c r="I170" s="77"/>
      <c r="J170" s="26"/>
      <c r="K170" s="180"/>
      <c r="L170" s="180"/>
      <c r="M170" s="10"/>
      <c r="N170" s="10"/>
      <c r="O170" s="10"/>
      <c r="P170" s="10"/>
      <c r="Q170" s="164"/>
      <c r="R170" s="110"/>
    </row>
    <row r="171" spans="1:18" ht="13.5" customHeight="1">
      <c r="A171" s="90">
        <v>165</v>
      </c>
      <c r="B171" s="24">
        <f>DATE('1.연간시수표'!$U$44,'1.연간시수표'!$X$44,'1.연간시수표'!$Z$44)+QUOTIENT(ROW(A165)-1,8)+(QUOTIENT(ROW(A165)-1,40)*2)</f>
        <v>44827</v>
      </c>
      <c r="C171" s="24" t="str">
        <f t="shared" si="6"/>
        <v>금</v>
      </c>
      <c r="D171" s="116" t="str">
        <f t="shared" si="7"/>
        <v>5교시</v>
      </c>
      <c r="E171" s="68">
        <f>COUNTIF($H$7:$H171,$H171)</f>
        <v>12</v>
      </c>
      <c r="F171" s="67">
        <f>'1.연간시수표'!$AL$33</f>
        <v>5</v>
      </c>
      <c r="G171" s="115">
        <f t="shared" si="8"/>
        <v>2</v>
      </c>
      <c r="H171" s="41" t="str">
        <f>INDEX('0.시간표데이터'!$E$52:$AR$78,QUOTIENT(ROW(A165)-1,40)+1,MOD(ROW(A165)-1,40)+1)</f>
        <v>수학</v>
      </c>
      <c r="I171" s="77"/>
      <c r="J171" s="26"/>
      <c r="K171" s="180"/>
      <c r="L171" s="180"/>
      <c r="M171" s="10"/>
      <c r="N171" s="10"/>
      <c r="O171" s="10"/>
      <c r="P171" s="10"/>
      <c r="Q171" s="164"/>
      <c r="R171" s="110"/>
    </row>
    <row r="172" spans="1:18" ht="13.5" customHeight="1">
      <c r="A172" s="90">
        <v>166</v>
      </c>
      <c r="B172" s="24">
        <f>DATE('1.연간시수표'!$U$44,'1.연간시수표'!$X$44,'1.연간시수표'!$Z$44)+QUOTIENT(ROW(A166)-1,8)+(QUOTIENT(ROW(A166)-1,40)*2)</f>
        <v>44827</v>
      </c>
      <c r="C172" s="24" t="str">
        <f t="shared" si="6"/>
        <v>금</v>
      </c>
      <c r="D172" s="116" t="str">
        <f t="shared" si="7"/>
        <v>6교시</v>
      </c>
      <c r="E172" s="68">
        <f>COUNTIF($H$7:$H172,$H172)</f>
        <v>5</v>
      </c>
      <c r="F172" s="67">
        <f>'1.연간시수표'!$AL$33</f>
        <v>5</v>
      </c>
      <c r="G172" s="115">
        <f t="shared" si="8"/>
        <v>2</v>
      </c>
      <c r="H172" s="41" t="str">
        <f>INDEX('0.시간표데이터'!$E$52:$AR$78,QUOTIENT(ROW(A166)-1,40)+1,MOD(ROW(A166)-1,40)+1)</f>
        <v>자율활동</v>
      </c>
      <c r="I172" s="77"/>
      <c r="J172" s="26"/>
      <c r="K172" s="167"/>
      <c r="L172" s="167"/>
      <c r="M172" s="166"/>
      <c r="N172" s="166"/>
      <c r="O172" s="166"/>
      <c r="P172" s="166"/>
      <c r="Q172" s="167"/>
      <c r="R172" s="111"/>
    </row>
    <row r="173" spans="1:18" ht="13.5" customHeight="1">
      <c r="A173" s="90">
        <v>167</v>
      </c>
      <c r="B173" s="24">
        <f>DATE('1.연간시수표'!$U$44,'1.연간시수표'!$X$44,'1.연간시수표'!$Z$44)+QUOTIENT(ROW(A167)-1,8)+(QUOTIENT(ROW(A167)-1,40)*2)</f>
        <v>44827</v>
      </c>
      <c r="C173" s="24" t="str">
        <f t="shared" si="6"/>
        <v>금</v>
      </c>
      <c r="D173" s="116" t="str">
        <f t="shared" si="7"/>
        <v>7교시</v>
      </c>
      <c r="E173" s="68">
        <f>COUNTIF($H$7:$H173,$H173)</f>
        <v>74</v>
      </c>
      <c r="F173" s="67">
        <f>'1.연간시수표'!$AL$33</f>
        <v>5</v>
      </c>
      <c r="G173" s="115">
        <f t="shared" si="8"/>
        <v>2</v>
      </c>
      <c r="H173" s="41" t="str">
        <f>INDEX('0.시간표데이터'!$E$52:$AR$78,QUOTIENT(ROW(A167)-1,40)+1,MOD(ROW(A167)-1,40)+1)</f>
        <v>_</v>
      </c>
      <c r="I173" s="76"/>
      <c r="J173" s="26"/>
      <c r="K173" s="167"/>
      <c r="L173" s="167"/>
      <c r="M173" s="166"/>
      <c r="N173" s="166"/>
      <c r="O173" s="166"/>
      <c r="P173" s="166"/>
      <c r="Q173" s="167"/>
      <c r="R173" s="111"/>
    </row>
    <row r="174" spans="1:18" ht="13.5" customHeight="1">
      <c r="A174" s="90">
        <v>168</v>
      </c>
      <c r="B174" s="24">
        <f>DATE('1.연간시수표'!$U$44,'1.연간시수표'!$X$44,'1.연간시수표'!$Z$44)+QUOTIENT(ROW(A168)-1,8)+(QUOTIENT(ROW(A168)-1,40)*2)</f>
        <v>44827</v>
      </c>
      <c r="C174" s="24" t="str">
        <f t="shared" si="6"/>
        <v>금</v>
      </c>
      <c r="D174" s="116" t="str">
        <f t="shared" si="7"/>
        <v>8교시</v>
      </c>
      <c r="E174" s="68">
        <f>COUNTIF($H$7:$H174,$H174)</f>
        <v>75</v>
      </c>
      <c r="F174" s="67">
        <f>'1.연간시수표'!$AL$33</f>
        <v>5</v>
      </c>
      <c r="G174" s="115">
        <f t="shared" si="8"/>
        <v>2</v>
      </c>
      <c r="H174" s="41" t="str">
        <f>INDEX('0.시간표데이터'!$E$52:$AR$78,QUOTIENT(ROW(A168)-1,40)+1,MOD(ROW(A168)-1,40)+1)</f>
        <v>_</v>
      </c>
      <c r="I174" s="76"/>
      <c r="J174" s="26"/>
      <c r="K174" s="167"/>
      <c r="L174" s="167"/>
      <c r="M174" s="166"/>
      <c r="N174" s="166"/>
      <c r="O174" s="166"/>
      <c r="P174" s="166"/>
      <c r="Q174" s="167"/>
      <c r="R174" s="111"/>
    </row>
    <row r="175" spans="1:18" ht="13.5" customHeight="1">
      <c r="A175" s="90">
        <v>169</v>
      </c>
      <c r="B175" s="24">
        <f>DATE('1.연간시수표'!$U$44,'1.연간시수표'!$X$44,'1.연간시수표'!$Z$44)+QUOTIENT(ROW(A169)-1,8)+(QUOTIENT(ROW(A169)-1,40)*2)</f>
        <v>44828</v>
      </c>
      <c r="C175" s="24" t="b">
        <f t="shared" si="6"/>
        <v>0</v>
      </c>
      <c r="D175" s="116" t="str">
        <f t="shared" si="7"/>
        <v>1교시</v>
      </c>
      <c r="E175" s="68">
        <f>COUNTIF($H$7:$H175,$H175)</f>
        <v>19</v>
      </c>
      <c r="F175" s="67">
        <f>'1.연간시수표'!$AL$33</f>
        <v>5</v>
      </c>
      <c r="G175" s="115">
        <f t="shared" si="8"/>
        <v>2</v>
      </c>
      <c r="H175" s="41" t="str">
        <f>INDEX('0.시간표데이터'!$E$52:$AR$78,QUOTIENT(ROW(A169)-1,40)+1,MOD(ROW(A169)-1,40)+1)</f>
        <v>국어</v>
      </c>
      <c r="I175" s="77"/>
      <c r="J175" s="26"/>
      <c r="K175" s="180"/>
      <c r="L175" s="180"/>
      <c r="M175" s="10"/>
      <c r="N175" s="10"/>
      <c r="O175" s="10"/>
      <c r="P175" s="10"/>
      <c r="Q175" s="164"/>
      <c r="R175" s="110"/>
    </row>
    <row r="176" spans="1:18" ht="13.5" customHeight="1">
      <c r="A176" s="90">
        <v>170</v>
      </c>
      <c r="B176" s="24">
        <f>DATE('1.연간시수표'!$U$44,'1.연간시수표'!$X$44,'1.연간시수표'!$Z$44)+QUOTIENT(ROW(A170)-1,8)+(QUOTIENT(ROW(A170)-1,40)*2)</f>
        <v>44828</v>
      </c>
      <c r="C176" s="24" t="b">
        <f t="shared" si="6"/>
        <v>0</v>
      </c>
      <c r="D176" s="116" t="str">
        <f t="shared" si="7"/>
        <v>2교시</v>
      </c>
      <c r="E176" s="68">
        <f>COUNTIF($H$7:$H176,$H176)</f>
        <v>20</v>
      </c>
      <c r="F176" s="67">
        <f>'1.연간시수표'!$AL$33</f>
        <v>5</v>
      </c>
      <c r="G176" s="115">
        <f t="shared" si="8"/>
        <v>2</v>
      </c>
      <c r="H176" s="41" t="str">
        <f>INDEX('0.시간표데이터'!$E$52:$AR$78,QUOTIENT(ROW(A170)-1,40)+1,MOD(ROW(A170)-1,40)+1)</f>
        <v>국어</v>
      </c>
      <c r="I176" s="161"/>
      <c r="J176" s="26"/>
      <c r="K176" s="180"/>
      <c r="L176" s="180"/>
      <c r="M176" s="10"/>
      <c r="N176" s="10"/>
      <c r="O176" s="10"/>
      <c r="P176" s="10"/>
      <c r="Q176" s="164"/>
      <c r="R176" s="110"/>
    </row>
    <row r="177" spans="1:18" ht="13.5" customHeight="1">
      <c r="A177" s="90">
        <v>171</v>
      </c>
      <c r="B177" s="24">
        <f>DATE('1.연간시수표'!$U$44,'1.연간시수표'!$X$44,'1.연간시수표'!$Z$44)+QUOTIENT(ROW(A171)-1,8)+(QUOTIENT(ROW(A171)-1,40)*2)</f>
        <v>44828</v>
      </c>
      <c r="C177" s="24" t="b">
        <f t="shared" si="6"/>
        <v>0</v>
      </c>
      <c r="D177" s="116" t="str">
        <f t="shared" si="7"/>
        <v>3교시</v>
      </c>
      <c r="E177" s="68">
        <f>COUNTIF($H$7:$H177,$H177)</f>
        <v>10</v>
      </c>
      <c r="F177" s="67">
        <f>'1.연간시수표'!$AL$33</f>
        <v>5</v>
      </c>
      <c r="G177" s="115">
        <f t="shared" si="8"/>
        <v>2</v>
      </c>
      <c r="H177" s="41" t="str">
        <f>INDEX('0.시간표데이터'!$E$52:$AR$78,QUOTIENT(ROW(A171)-1,40)+1,MOD(ROW(A171)-1,40)+1)</f>
        <v>사회</v>
      </c>
      <c r="I177" s="77"/>
      <c r="J177" s="26"/>
      <c r="K177" s="164"/>
      <c r="L177" s="164"/>
      <c r="M177" s="10"/>
      <c r="N177" s="10"/>
      <c r="O177" s="10"/>
      <c r="P177" s="10"/>
      <c r="Q177" s="164"/>
      <c r="R177" s="110"/>
    </row>
    <row r="178" spans="1:18" ht="13.5" customHeight="1">
      <c r="A178" s="90">
        <v>172</v>
      </c>
      <c r="B178" s="24">
        <f>DATE('1.연간시수표'!$U$44,'1.연간시수표'!$X$44,'1.연간시수표'!$Z$44)+QUOTIENT(ROW(A172)-1,8)+(QUOTIENT(ROW(A172)-1,40)*2)</f>
        <v>44828</v>
      </c>
      <c r="C178" s="24" t="b">
        <f t="shared" si="6"/>
        <v>0</v>
      </c>
      <c r="D178" s="116" t="str">
        <f t="shared" si="7"/>
        <v>4교시</v>
      </c>
      <c r="E178" s="68">
        <f>COUNTIF($H$7:$H178,$H178)</f>
        <v>13</v>
      </c>
      <c r="F178" s="67">
        <f>'1.연간시수표'!$AL$33</f>
        <v>5</v>
      </c>
      <c r="G178" s="115">
        <f t="shared" si="8"/>
        <v>2</v>
      </c>
      <c r="H178" s="41" t="str">
        <f>INDEX('0.시간표데이터'!$E$52:$AR$78,QUOTIENT(ROW(A172)-1,40)+1,MOD(ROW(A172)-1,40)+1)</f>
        <v>수학</v>
      </c>
      <c r="I178" s="77"/>
      <c r="J178" s="26"/>
      <c r="K178" s="180"/>
      <c r="L178" s="180"/>
      <c r="M178" s="10"/>
      <c r="N178" s="10"/>
      <c r="O178" s="10"/>
      <c r="P178" s="10"/>
      <c r="Q178" s="164"/>
      <c r="R178" s="110"/>
    </row>
    <row r="179" spans="1:18" ht="13.5" customHeight="1">
      <c r="A179" s="90">
        <v>173</v>
      </c>
      <c r="B179" s="24">
        <f>DATE('1.연간시수표'!$U$44,'1.연간시수표'!$X$44,'1.연간시수표'!$Z$44)+QUOTIENT(ROW(A173)-1,8)+(QUOTIENT(ROW(A173)-1,40)*2)</f>
        <v>44828</v>
      </c>
      <c r="C179" s="24" t="b">
        <f t="shared" si="6"/>
        <v>0</v>
      </c>
      <c r="D179" s="116" t="str">
        <f t="shared" si="7"/>
        <v>5교시</v>
      </c>
      <c r="E179" s="68">
        <f>COUNTIF($H$7:$H179,$H179)</f>
        <v>10</v>
      </c>
      <c r="F179" s="67">
        <f>'1.연간시수표'!$AL$33</f>
        <v>5</v>
      </c>
      <c r="G179" s="115">
        <f t="shared" si="8"/>
        <v>2</v>
      </c>
      <c r="H179" s="41" t="str">
        <f>INDEX('0.시간표데이터'!$E$52:$AR$78,QUOTIENT(ROW(A173)-1,40)+1,MOD(ROW(A173)-1,40)+1)</f>
        <v>과학</v>
      </c>
      <c r="I179" s="77"/>
      <c r="J179" s="26"/>
      <c r="K179" s="180"/>
      <c r="L179" s="180"/>
      <c r="M179" s="10"/>
      <c r="N179" s="10"/>
      <c r="O179" s="10"/>
      <c r="P179" s="10"/>
      <c r="Q179" s="164"/>
      <c r="R179" s="110"/>
    </row>
    <row r="180" spans="1:18" ht="13.5" customHeight="1">
      <c r="A180" s="90">
        <v>174</v>
      </c>
      <c r="B180" s="24">
        <f>DATE('1.연간시수표'!$U$44,'1.연간시수표'!$X$44,'1.연간시수표'!$Z$44)+QUOTIENT(ROW(A174)-1,8)+(QUOTIENT(ROW(A174)-1,40)*2)</f>
        <v>44828</v>
      </c>
      <c r="C180" s="24" t="b">
        <f t="shared" si="6"/>
        <v>0</v>
      </c>
      <c r="D180" s="116" t="str">
        <f t="shared" si="7"/>
        <v>6교시</v>
      </c>
      <c r="E180" s="68">
        <f>COUNTIF($H$7:$H180,$H180)</f>
        <v>7</v>
      </c>
      <c r="F180" s="67">
        <f>'1.연간시수표'!$AL$33</f>
        <v>5</v>
      </c>
      <c r="G180" s="115">
        <f t="shared" si="8"/>
        <v>2</v>
      </c>
      <c r="H180" s="41" t="str">
        <f>INDEX('0.시간표데이터'!$E$52:$AR$78,QUOTIENT(ROW(A174)-1,40)+1,MOD(ROW(A174)-1,40)+1)</f>
        <v>실과</v>
      </c>
      <c r="I180" s="77"/>
      <c r="J180" s="26"/>
      <c r="K180" s="167"/>
      <c r="L180" s="167"/>
      <c r="M180" s="166"/>
      <c r="N180" s="166"/>
      <c r="O180" s="166"/>
      <c r="P180" s="166"/>
      <c r="Q180" s="167"/>
      <c r="R180" s="111"/>
    </row>
    <row r="181" spans="1:18" ht="13.5" customHeight="1">
      <c r="A181" s="90">
        <v>175</v>
      </c>
      <c r="B181" s="24">
        <f>DATE('1.연간시수표'!$U$44,'1.연간시수표'!$X$44,'1.연간시수표'!$Z$44)+QUOTIENT(ROW(A175)-1,8)+(QUOTIENT(ROW(A175)-1,40)*2)</f>
        <v>44828</v>
      </c>
      <c r="C181" s="24" t="b">
        <f t="shared" si="6"/>
        <v>0</v>
      </c>
      <c r="D181" s="116" t="str">
        <f t="shared" si="7"/>
        <v>7교시</v>
      </c>
      <c r="E181" s="68">
        <f>COUNTIF($H$7:$H181,$H181)</f>
        <v>76</v>
      </c>
      <c r="F181" s="67">
        <f>'1.연간시수표'!$AL$33</f>
        <v>5</v>
      </c>
      <c r="G181" s="115">
        <f t="shared" si="8"/>
        <v>2</v>
      </c>
      <c r="H181" s="41" t="str">
        <f>INDEX('0.시간표데이터'!$E$52:$AR$78,QUOTIENT(ROW(A175)-1,40)+1,MOD(ROW(A175)-1,40)+1)</f>
        <v>_</v>
      </c>
      <c r="I181" s="76"/>
      <c r="J181" s="26"/>
      <c r="K181" s="167"/>
      <c r="L181" s="167"/>
      <c r="M181" s="166"/>
      <c r="N181" s="166"/>
      <c r="O181" s="166"/>
      <c r="P181" s="166"/>
      <c r="Q181" s="167"/>
      <c r="R181" s="111"/>
    </row>
    <row r="182" spans="1:18" ht="13.5" customHeight="1">
      <c r="A182" s="90">
        <v>176</v>
      </c>
      <c r="B182" s="24">
        <f>DATE('1.연간시수표'!$U$44,'1.연간시수표'!$X$44,'1.연간시수표'!$Z$44)+QUOTIENT(ROW(A176)-1,8)+(QUOTIENT(ROW(A176)-1,40)*2)</f>
        <v>44828</v>
      </c>
      <c r="C182" s="24" t="b">
        <f t="shared" si="6"/>
        <v>0</v>
      </c>
      <c r="D182" s="116" t="str">
        <f t="shared" si="7"/>
        <v>8교시</v>
      </c>
      <c r="E182" s="68">
        <f>COUNTIF($H$7:$H182,$H182)</f>
        <v>77</v>
      </c>
      <c r="F182" s="67">
        <f>'1.연간시수표'!$AL$33</f>
        <v>5</v>
      </c>
      <c r="G182" s="115">
        <f t="shared" si="8"/>
        <v>2</v>
      </c>
      <c r="H182" s="41" t="str">
        <f>INDEX('0.시간표데이터'!$E$52:$AR$78,QUOTIENT(ROW(A176)-1,40)+1,MOD(ROW(A176)-1,40)+1)</f>
        <v>_</v>
      </c>
      <c r="I182" s="76"/>
      <c r="J182" s="26"/>
      <c r="K182" s="167"/>
      <c r="L182" s="167"/>
      <c r="M182" s="166"/>
      <c r="N182" s="166"/>
      <c r="O182" s="166"/>
      <c r="P182" s="166"/>
      <c r="Q182" s="167"/>
      <c r="R182" s="111"/>
    </row>
    <row r="183" spans="1:18" ht="13.5" customHeight="1">
      <c r="A183" s="90">
        <v>177</v>
      </c>
      <c r="B183" s="24">
        <f>DATE('1.연간시수표'!$U$44,'1.연간시수표'!$X$44,'1.연간시수표'!$Z$44)+QUOTIENT(ROW(A177)-1,8)+(QUOTIENT(ROW(A177)-1,40)*2)</f>
        <v>44829</v>
      </c>
      <c r="C183" s="24" t="b">
        <f t="shared" si="6"/>
        <v>0</v>
      </c>
      <c r="D183" s="116" t="str">
        <f t="shared" si="7"/>
        <v>1교시</v>
      </c>
      <c r="E183" s="68">
        <f>COUNTIF($H$7:$H183,$H183)</f>
        <v>11</v>
      </c>
      <c r="F183" s="67">
        <f>'1.연간시수표'!$AL$33</f>
        <v>5</v>
      </c>
      <c r="G183" s="115">
        <f t="shared" si="8"/>
        <v>2</v>
      </c>
      <c r="H183" s="41" t="str">
        <f>INDEX('0.시간표데이터'!$E$52:$AR$78,QUOTIENT(ROW(A177)-1,40)+1,MOD(ROW(A177)-1,40)+1)</f>
        <v>영어</v>
      </c>
      <c r="I183" s="77"/>
      <c r="J183" s="26"/>
      <c r="K183" s="180"/>
      <c r="L183" s="180"/>
      <c r="M183" s="10"/>
      <c r="N183" s="10"/>
      <c r="O183" s="10"/>
      <c r="P183" s="10"/>
      <c r="Q183" s="164"/>
      <c r="R183" s="110"/>
    </row>
    <row r="184" spans="1:18" ht="13.5" customHeight="1">
      <c r="A184" s="90">
        <v>178</v>
      </c>
      <c r="B184" s="24">
        <f>DATE('1.연간시수표'!$U$44,'1.연간시수표'!$X$44,'1.연간시수표'!$Z$44)+QUOTIENT(ROW(A178)-1,8)+(QUOTIENT(ROW(A178)-1,40)*2)</f>
        <v>44829</v>
      </c>
      <c r="C184" s="24" t="b">
        <f t="shared" si="6"/>
        <v>0</v>
      </c>
      <c r="D184" s="116" t="str">
        <f t="shared" si="7"/>
        <v>2교시</v>
      </c>
      <c r="E184" s="68">
        <f>COUNTIF($H$7:$H184,$H184)</f>
        <v>11</v>
      </c>
      <c r="F184" s="67">
        <f>'1.연간시수표'!$AL$33</f>
        <v>5</v>
      </c>
      <c r="G184" s="115">
        <f t="shared" si="8"/>
        <v>2</v>
      </c>
      <c r="H184" s="41" t="str">
        <f>INDEX('0.시간표데이터'!$E$52:$AR$78,QUOTIENT(ROW(A178)-1,40)+1,MOD(ROW(A178)-1,40)+1)</f>
        <v>과학</v>
      </c>
      <c r="I184" s="77"/>
      <c r="J184" s="26"/>
      <c r="K184" s="180"/>
      <c r="L184" s="180"/>
      <c r="M184" s="10"/>
      <c r="N184" s="10"/>
      <c r="O184" s="10"/>
      <c r="P184" s="10"/>
      <c r="Q184" s="164"/>
      <c r="R184" s="110"/>
    </row>
    <row r="185" spans="1:18" ht="13.5" customHeight="1">
      <c r="A185" s="90">
        <v>179</v>
      </c>
      <c r="B185" s="24">
        <f>DATE('1.연간시수표'!$U$44,'1.연간시수표'!$X$44,'1.연간시수표'!$Z$44)+QUOTIENT(ROW(A179)-1,8)+(QUOTIENT(ROW(A179)-1,40)*2)</f>
        <v>44829</v>
      </c>
      <c r="C185" s="24" t="b">
        <f t="shared" si="6"/>
        <v>0</v>
      </c>
      <c r="D185" s="116" t="str">
        <f t="shared" si="7"/>
        <v>3교시</v>
      </c>
      <c r="E185" s="68">
        <f>COUNTIF($H$7:$H185,$H185)</f>
        <v>7</v>
      </c>
      <c r="F185" s="67">
        <f>'1.연간시수표'!$AL$33</f>
        <v>5</v>
      </c>
      <c r="G185" s="115">
        <f t="shared" si="8"/>
        <v>2</v>
      </c>
      <c r="H185" s="41" t="str">
        <f>INDEX('0.시간표데이터'!$E$52:$AR$78,QUOTIENT(ROW(A179)-1,40)+1,MOD(ROW(A179)-1,40)+1)</f>
        <v>체육</v>
      </c>
      <c r="I185" s="77"/>
      <c r="J185" s="26"/>
      <c r="K185" s="180"/>
      <c r="L185" s="180"/>
      <c r="M185" s="10"/>
      <c r="N185" s="10"/>
      <c r="O185" s="10"/>
      <c r="P185" s="10"/>
      <c r="Q185" s="164"/>
      <c r="R185" s="110"/>
    </row>
    <row r="186" spans="1:18" ht="13.5" customHeight="1">
      <c r="A186" s="90">
        <v>180</v>
      </c>
      <c r="B186" s="24">
        <f>DATE('1.연간시수표'!$U$44,'1.연간시수표'!$X$44,'1.연간시수표'!$Z$44)+QUOTIENT(ROW(A180)-1,8)+(QUOTIENT(ROW(A180)-1,40)*2)</f>
        <v>44829</v>
      </c>
      <c r="C186" s="24" t="b">
        <f t="shared" si="6"/>
        <v>0</v>
      </c>
      <c r="D186" s="116" t="str">
        <f t="shared" si="7"/>
        <v>4교시</v>
      </c>
      <c r="E186" s="68">
        <f>COUNTIF($H$7:$H186,$H186)</f>
        <v>7</v>
      </c>
      <c r="F186" s="67">
        <f>'1.연간시수표'!$AL$33</f>
        <v>5</v>
      </c>
      <c r="G186" s="115">
        <f t="shared" si="8"/>
        <v>2</v>
      </c>
      <c r="H186" s="41" t="str">
        <f>INDEX('0.시간표데이터'!$E$52:$AR$78,QUOTIENT(ROW(A180)-1,40)+1,MOD(ROW(A180)-1,40)+1)</f>
        <v>음악</v>
      </c>
      <c r="I186" s="77"/>
      <c r="J186" s="26"/>
      <c r="K186" s="180"/>
      <c r="L186" s="180"/>
      <c r="M186" s="10"/>
      <c r="N186" s="10"/>
      <c r="O186" s="10"/>
      <c r="P186" s="10"/>
      <c r="Q186" s="164"/>
      <c r="R186" s="110"/>
    </row>
    <row r="187" spans="1:18">
      <c r="A187" s="90">
        <v>181</v>
      </c>
      <c r="B187" s="24">
        <f>DATE('1.연간시수표'!$U$44,'1.연간시수표'!$X$44,'1.연간시수표'!$Z$44)+QUOTIENT(ROW(A181)-1,8)+(QUOTIENT(ROW(A181)-1,40)*2)</f>
        <v>44829</v>
      </c>
      <c r="C187" s="24" t="b">
        <f t="shared" si="6"/>
        <v>0</v>
      </c>
      <c r="D187" s="116" t="str">
        <f t="shared" si="7"/>
        <v>5교시</v>
      </c>
      <c r="E187" s="68">
        <f>COUNTIF($H$7:$H187,$H187)</f>
        <v>4</v>
      </c>
      <c r="F187" s="67">
        <f>'1.연간시수표'!$AL$33</f>
        <v>5</v>
      </c>
      <c r="G187" s="115">
        <f t="shared" si="8"/>
        <v>2</v>
      </c>
      <c r="H187" s="41" t="str">
        <f>INDEX('0.시간표데이터'!$E$52:$AR$78,QUOTIENT(ROW(A181)-1,40)+1,MOD(ROW(A181)-1,40)+1)</f>
        <v>도덕</v>
      </c>
      <c r="I187" s="77"/>
      <c r="J187" s="26"/>
      <c r="K187" s="164"/>
      <c r="L187" s="164"/>
      <c r="M187" s="10"/>
      <c r="N187" s="10"/>
      <c r="O187" s="10"/>
      <c r="P187" s="10"/>
      <c r="Q187" s="164"/>
      <c r="R187" s="110"/>
    </row>
    <row r="188" spans="1:18">
      <c r="A188" s="90">
        <v>182</v>
      </c>
      <c r="B188" s="24">
        <f>DATE('1.연간시수표'!$U$44,'1.연간시수표'!$X$44,'1.연간시수표'!$Z$44)+QUOTIENT(ROW(A182)-1,8)+(QUOTIENT(ROW(A182)-1,40)*2)</f>
        <v>44829</v>
      </c>
      <c r="C188" s="24" t="b">
        <f t="shared" si="6"/>
        <v>0</v>
      </c>
      <c r="D188" s="116" t="str">
        <f t="shared" si="7"/>
        <v>6교시</v>
      </c>
      <c r="E188" s="68">
        <f>COUNTIF($H$7:$H188,$H188)</f>
        <v>78</v>
      </c>
      <c r="F188" s="67">
        <f>'1.연간시수표'!$AL$33</f>
        <v>5</v>
      </c>
      <c r="G188" s="115">
        <f t="shared" si="8"/>
        <v>2</v>
      </c>
      <c r="H188" s="41" t="str">
        <f>INDEX('0.시간표데이터'!$E$52:$AR$78,QUOTIENT(ROW(A182)-1,40)+1,MOD(ROW(A182)-1,40)+1)</f>
        <v>_</v>
      </c>
      <c r="I188" s="77"/>
      <c r="J188" s="26"/>
      <c r="K188" s="167"/>
      <c r="L188" s="167"/>
      <c r="M188" s="166"/>
      <c r="N188" s="166"/>
      <c r="O188" s="166"/>
      <c r="P188" s="166"/>
      <c r="Q188" s="167"/>
      <c r="R188" s="111"/>
    </row>
    <row r="189" spans="1:18" ht="13.5" customHeight="1">
      <c r="A189" s="90">
        <v>183</v>
      </c>
      <c r="B189" s="24">
        <f>DATE('1.연간시수표'!$U$44,'1.연간시수표'!$X$44,'1.연간시수표'!$Z$44)+QUOTIENT(ROW(A183)-1,8)+(QUOTIENT(ROW(A183)-1,40)*2)</f>
        <v>44829</v>
      </c>
      <c r="C189" s="24" t="b">
        <f t="shared" si="6"/>
        <v>0</v>
      </c>
      <c r="D189" s="116" t="str">
        <f t="shared" si="7"/>
        <v>7교시</v>
      </c>
      <c r="E189" s="68">
        <f>COUNTIF($H$7:$H189,$H189)</f>
        <v>79</v>
      </c>
      <c r="F189" s="67">
        <f>'1.연간시수표'!$AL$33</f>
        <v>5</v>
      </c>
      <c r="G189" s="115">
        <f t="shared" si="8"/>
        <v>2</v>
      </c>
      <c r="H189" s="41" t="str">
        <f>INDEX('0.시간표데이터'!$E$52:$AR$78,QUOTIENT(ROW(A183)-1,40)+1,MOD(ROW(A183)-1,40)+1)</f>
        <v>_</v>
      </c>
      <c r="I189" s="76"/>
      <c r="J189" s="26"/>
      <c r="K189" s="167"/>
      <c r="L189" s="167"/>
      <c r="M189" s="166"/>
      <c r="N189" s="166"/>
      <c r="O189" s="166"/>
      <c r="P189" s="166"/>
      <c r="Q189" s="167"/>
      <c r="R189" s="111"/>
    </row>
    <row r="190" spans="1:18" ht="13.5" customHeight="1">
      <c r="A190" s="90">
        <v>184</v>
      </c>
      <c r="B190" s="24">
        <f>DATE('1.연간시수표'!$U$44,'1.연간시수표'!$X$44,'1.연간시수표'!$Z$44)+QUOTIENT(ROW(A184)-1,8)+(QUOTIENT(ROW(A184)-1,40)*2)</f>
        <v>44829</v>
      </c>
      <c r="C190" s="24" t="b">
        <f t="shared" si="6"/>
        <v>0</v>
      </c>
      <c r="D190" s="116" t="str">
        <f t="shared" si="7"/>
        <v>8교시</v>
      </c>
      <c r="E190" s="68">
        <f>COUNTIF($H$7:$H190,$H190)</f>
        <v>80</v>
      </c>
      <c r="F190" s="67">
        <f>'1.연간시수표'!$AL$33</f>
        <v>5</v>
      </c>
      <c r="G190" s="115">
        <f t="shared" si="8"/>
        <v>2</v>
      </c>
      <c r="H190" s="41" t="str">
        <f>INDEX('0.시간표데이터'!$E$52:$AR$78,QUOTIENT(ROW(A184)-1,40)+1,MOD(ROW(A184)-1,40)+1)</f>
        <v>_</v>
      </c>
      <c r="I190" s="76"/>
      <c r="J190" s="26"/>
      <c r="K190" s="167"/>
      <c r="L190" s="167"/>
      <c r="M190" s="166"/>
      <c r="N190" s="166"/>
      <c r="O190" s="166"/>
      <c r="P190" s="166"/>
      <c r="Q190" s="167"/>
      <c r="R190" s="111"/>
    </row>
    <row r="191" spans="1:18" ht="13.5" customHeight="1">
      <c r="A191" s="90">
        <v>185</v>
      </c>
      <c r="B191" s="24">
        <f>DATE('1.연간시수표'!$U$44,'1.연간시수표'!$X$44,'1.연간시수표'!$Z$44)+QUOTIENT(ROW(A185)-1,8)+(QUOTIENT(ROW(A185)-1,40)*2)</f>
        <v>44830</v>
      </c>
      <c r="C191" s="24" t="str">
        <f t="shared" si="6"/>
        <v>월</v>
      </c>
      <c r="D191" s="116" t="str">
        <f t="shared" si="7"/>
        <v>1교시</v>
      </c>
      <c r="E191" s="68">
        <f>COUNTIF($H$7:$H191,$H191)</f>
        <v>21</v>
      </c>
      <c r="F191" s="67">
        <f>'1.연간시수표'!$AL$33</f>
        <v>5</v>
      </c>
      <c r="G191" s="115">
        <f t="shared" si="8"/>
        <v>2</v>
      </c>
      <c r="H191" s="41" t="str">
        <f>INDEX('0.시간표데이터'!$E$52:$AR$78,QUOTIENT(ROW(A185)-1,40)+1,MOD(ROW(A185)-1,40)+1)</f>
        <v>국어</v>
      </c>
      <c r="I191" s="77"/>
      <c r="J191" s="26"/>
      <c r="K191" s="180"/>
      <c r="L191" s="180"/>
      <c r="M191" s="10"/>
      <c r="N191" s="10"/>
      <c r="O191" s="10"/>
      <c r="P191" s="10"/>
      <c r="Q191" s="164"/>
      <c r="R191" s="110"/>
    </row>
    <row r="192" spans="1:18" ht="13.5" customHeight="1">
      <c r="A192" s="90">
        <v>186</v>
      </c>
      <c r="B192" s="24">
        <f>DATE('1.연간시수표'!$U$44,'1.연간시수표'!$X$44,'1.연간시수표'!$Z$44)+QUOTIENT(ROW(A186)-1,8)+(QUOTIENT(ROW(A186)-1,40)*2)</f>
        <v>44830</v>
      </c>
      <c r="C192" s="24" t="str">
        <f t="shared" si="6"/>
        <v>월</v>
      </c>
      <c r="D192" s="116" t="str">
        <f t="shared" si="7"/>
        <v>2교시</v>
      </c>
      <c r="E192" s="68">
        <f>COUNTIF($H$7:$H192,$H192)</f>
        <v>6</v>
      </c>
      <c r="F192" s="67">
        <f>'1.연간시수표'!$AL$33</f>
        <v>5</v>
      </c>
      <c r="G192" s="115">
        <f t="shared" si="8"/>
        <v>2</v>
      </c>
      <c r="H192" s="41" t="str">
        <f>INDEX('0.시간표데이터'!$E$52:$AR$78,QUOTIENT(ROW(A186)-1,40)+1,MOD(ROW(A186)-1,40)+1)</f>
        <v>자율활동</v>
      </c>
      <c r="I192" s="161"/>
      <c r="J192" s="26"/>
      <c r="K192" s="180"/>
      <c r="L192" s="180"/>
      <c r="M192" s="10"/>
      <c r="N192" s="10"/>
      <c r="O192" s="10"/>
      <c r="P192" s="10"/>
      <c r="Q192" s="164"/>
      <c r="R192" s="110"/>
    </row>
    <row r="193" spans="1:18" ht="13.5" customHeight="1">
      <c r="A193" s="90">
        <v>187</v>
      </c>
      <c r="B193" s="24">
        <f>DATE('1.연간시수표'!$U$44,'1.연간시수표'!$X$44,'1.연간시수표'!$Z$44)+QUOTIENT(ROW(A187)-1,8)+(QUOTIENT(ROW(A187)-1,40)*2)</f>
        <v>44830</v>
      </c>
      <c r="C193" s="24" t="str">
        <f t="shared" si="6"/>
        <v>월</v>
      </c>
      <c r="D193" s="116" t="str">
        <f t="shared" si="7"/>
        <v>3교시</v>
      </c>
      <c r="E193" s="68">
        <f>COUNTIF($H$7:$H193,$H193)</f>
        <v>11</v>
      </c>
      <c r="F193" s="67">
        <f>'1.연간시수표'!$AL$33</f>
        <v>5</v>
      </c>
      <c r="G193" s="115">
        <f t="shared" si="8"/>
        <v>2</v>
      </c>
      <c r="H193" s="41" t="str">
        <f>INDEX('0.시간표데이터'!$E$52:$AR$78,QUOTIENT(ROW(A187)-1,40)+1,MOD(ROW(A187)-1,40)+1)</f>
        <v>사회</v>
      </c>
      <c r="I193" s="77"/>
      <c r="J193" s="26"/>
      <c r="K193" s="167"/>
      <c r="L193" s="167"/>
      <c r="M193" s="10"/>
      <c r="N193" s="10"/>
      <c r="O193" s="10"/>
      <c r="P193" s="10"/>
      <c r="Q193" s="164"/>
      <c r="R193" s="110"/>
    </row>
    <row r="194" spans="1:18" ht="13.5" customHeight="1">
      <c r="A194" s="90">
        <v>188</v>
      </c>
      <c r="B194" s="24">
        <f>DATE('1.연간시수표'!$U$44,'1.연간시수표'!$X$44,'1.연간시수표'!$Z$44)+QUOTIENT(ROW(A188)-1,8)+(QUOTIENT(ROW(A188)-1,40)*2)</f>
        <v>44830</v>
      </c>
      <c r="C194" s="24" t="str">
        <f t="shared" si="6"/>
        <v>월</v>
      </c>
      <c r="D194" s="116" t="str">
        <f t="shared" si="7"/>
        <v>4교시</v>
      </c>
      <c r="E194" s="68">
        <f>COUNTIF($H$7:$H194,$H194)</f>
        <v>12</v>
      </c>
      <c r="F194" s="67">
        <f>'1.연간시수표'!$AL$33</f>
        <v>5</v>
      </c>
      <c r="G194" s="115">
        <f t="shared" si="8"/>
        <v>2</v>
      </c>
      <c r="H194" s="41" t="str">
        <f>INDEX('0.시간표데이터'!$E$52:$AR$78,QUOTIENT(ROW(A188)-1,40)+1,MOD(ROW(A188)-1,40)+1)</f>
        <v>영어</v>
      </c>
      <c r="I194" s="77"/>
      <c r="J194" s="26"/>
      <c r="K194" s="167"/>
      <c r="L194" s="167"/>
      <c r="M194" s="10"/>
      <c r="N194" s="10"/>
      <c r="O194" s="10"/>
      <c r="P194" s="10"/>
      <c r="Q194" s="164"/>
      <c r="R194" s="110"/>
    </row>
    <row r="195" spans="1:18" ht="13.5" customHeight="1">
      <c r="A195" s="90">
        <v>189</v>
      </c>
      <c r="B195" s="24">
        <f>DATE('1.연간시수표'!$U$44,'1.연간시수표'!$X$44,'1.연간시수표'!$Z$44)+QUOTIENT(ROW(A189)-1,8)+(QUOTIENT(ROW(A189)-1,40)*2)</f>
        <v>44830</v>
      </c>
      <c r="C195" s="24" t="str">
        <f t="shared" si="6"/>
        <v>월</v>
      </c>
      <c r="D195" s="116" t="str">
        <f t="shared" si="7"/>
        <v>5교시</v>
      </c>
      <c r="E195" s="68">
        <f>COUNTIF($H$7:$H195,$H195)</f>
        <v>3</v>
      </c>
      <c r="F195" s="67">
        <f>'1.연간시수표'!$AL$33</f>
        <v>5</v>
      </c>
      <c r="G195" s="115">
        <f t="shared" si="8"/>
        <v>2</v>
      </c>
      <c r="H195" s="41" t="str">
        <f>INDEX('0.시간표데이터'!$E$52:$AR$78,QUOTIENT(ROW(A189)-1,40)+1,MOD(ROW(A189)-1,40)+1)</f>
        <v>동아리활동</v>
      </c>
      <c r="I195" s="77"/>
      <c r="J195" s="26"/>
      <c r="K195" s="180"/>
      <c r="L195" s="180"/>
      <c r="M195" s="10"/>
      <c r="N195" s="10"/>
      <c r="O195" s="10"/>
      <c r="P195" s="10"/>
      <c r="Q195" s="164"/>
      <c r="R195" s="110"/>
    </row>
    <row r="196" spans="1:18" ht="13.5" customHeight="1">
      <c r="A196" s="90">
        <v>190</v>
      </c>
      <c r="B196" s="24">
        <f>DATE('1.연간시수표'!$U$44,'1.연간시수표'!$X$44,'1.연간시수표'!$Z$44)+QUOTIENT(ROW(A190)-1,8)+(QUOTIENT(ROW(A190)-1,40)*2)</f>
        <v>44830</v>
      </c>
      <c r="C196" s="24" t="str">
        <f t="shared" si="6"/>
        <v>월</v>
      </c>
      <c r="D196" s="116" t="str">
        <f t="shared" si="7"/>
        <v>6교시</v>
      </c>
      <c r="E196" s="68">
        <f>COUNTIF($H$7:$H196,$H196)</f>
        <v>4</v>
      </c>
      <c r="F196" s="67">
        <f>'1.연간시수표'!$AL$33</f>
        <v>5</v>
      </c>
      <c r="G196" s="115">
        <f t="shared" si="8"/>
        <v>2</v>
      </c>
      <c r="H196" s="41" t="str">
        <f>INDEX('0.시간표데이터'!$E$52:$AR$78,QUOTIENT(ROW(A190)-1,40)+1,MOD(ROW(A190)-1,40)+1)</f>
        <v>동아리활동</v>
      </c>
      <c r="I196" s="161"/>
      <c r="J196" s="26"/>
      <c r="K196" s="180"/>
      <c r="L196" s="180"/>
      <c r="M196" s="10"/>
      <c r="N196" s="10"/>
      <c r="O196" s="10"/>
      <c r="P196" s="10"/>
      <c r="Q196" s="164"/>
      <c r="R196" s="110"/>
    </row>
    <row r="197" spans="1:18" ht="13.5" customHeight="1">
      <c r="A197" s="90">
        <v>191</v>
      </c>
      <c r="B197" s="24">
        <f>DATE('1.연간시수표'!$U$44,'1.연간시수표'!$X$44,'1.연간시수표'!$Z$44)+QUOTIENT(ROW(A191)-1,8)+(QUOTIENT(ROW(A191)-1,40)*2)</f>
        <v>44830</v>
      </c>
      <c r="C197" s="24" t="str">
        <f t="shared" si="6"/>
        <v>월</v>
      </c>
      <c r="D197" s="116" t="str">
        <f t="shared" si="7"/>
        <v>7교시</v>
      </c>
      <c r="E197" s="68">
        <f>COUNTIF($H$7:$H197,$H197)</f>
        <v>81</v>
      </c>
      <c r="F197" s="67">
        <f>'1.연간시수표'!$AL$33</f>
        <v>5</v>
      </c>
      <c r="G197" s="115">
        <f t="shared" si="8"/>
        <v>2</v>
      </c>
      <c r="H197" s="41" t="str">
        <f>INDEX('0.시간표데이터'!$E$52:$AR$78,QUOTIENT(ROW(A191)-1,40)+1,MOD(ROW(A191)-1,40)+1)</f>
        <v>_</v>
      </c>
      <c r="I197" s="76"/>
      <c r="J197" s="26"/>
      <c r="K197" s="167"/>
      <c r="L197" s="167"/>
      <c r="M197" s="166"/>
      <c r="N197" s="166"/>
      <c r="O197" s="166"/>
      <c r="P197" s="166"/>
      <c r="Q197" s="167"/>
      <c r="R197" s="111"/>
    </row>
    <row r="198" spans="1:18" ht="13.5" customHeight="1">
      <c r="A198" s="90">
        <v>192</v>
      </c>
      <c r="B198" s="24">
        <f>DATE('1.연간시수표'!$U$44,'1.연간시수표'!$X$44,'1.연간시수표'!$Z$44)+QUOTIENT(ROW(A192)-1,8)+(QUOTIENT(ROW(A192)-1,40)*2)</f>
        <v>44830</v>
      </c>
      <c r="C198" s="24" t="str">
        <f t="shared" si="6"/>
        <v>월</v>
      </c>
      <c r="D198" s="116" t="str">
        <f t="shared" si="7"/>
        <v>8교시</v>
      </c>
      <c r="E198" s="68">
        <f>COUNTIF($H$7:$H198,$H198)</f>
        <v>82</v>
      </c>
      <c r="F198" s="67">
        <f>'1.연간시수표'!$AL$33</f>
        <v>5</v>
      </c>
      <c r="G198" s="115">
        <f t="shared" si="8"/>
        <v>2</v>
      </c>
      <c r="H198" s="41" t="str">
        <f>INDEX('0.시간표데이터'!$E$52:$AR$78,QUOTIENT(ROW(A192)-1,40)+1,MOD(ROW(A192)-1,40)+1)</f>
        <v>_</v>
      </c>
      <c r="I198" s="76"/>
      <c r="J198" s="26"/>
      <c r="K198" s="167"/>
      <c r="L198" s="167"/>
      <c r="M198" s="166"/>
      <c r="N198" s="166"/>
      <c r="O198" s="166"/>
      <c r="P198" s="166"/>
      <c r="Q198" s="167"/>
      <c r="R198" s="111"/>
    </row>
    <row r="199" spans="1:18" ht="13.5" customHeight="1">
      <c r="A199" s="90">
        <v>193</v>
      </c>
      <c r="B199" s="24">
        <f>DATE('1.연간시수표'!$U$44,'1.연간시수표'!$X$44,'1.연간시수표'!$Z$44)+QUOTIENT(ROW(A193)-1,8)+(QUOTIENT(ROW(A193)-1,40)*2)</f>
        <v>44831</v>
      </c>
      <c r="C199" s="24" t="str">
        <f t="shared" ref="C199:C262" si="9">IF(WEEKDAY(B199,2)=1,"월",IF(WEEKDAY(B199,2)=2,"화",IF(WEEKDAY(B199,2)=3,"수",IF(WEEKDAY(B199,2)=4,"목",IF(WEEKDAY(B199,2)=5,"금")))))</f>
        <v>화</v>
      </c>
      <c r="D199" s="116" t="str">
        <f t="shared" ref="D199:D262" si="10">TEXT(MOD(ROW(A193)-1,8)+1,"#교시")</f>
        <v>1교시</v>
      </c>
      <c r="E199" s="68">
        <f>COUNTIF($H$7:$H199,$H199)</f>
        <v>22</v>
      </c>
      <c r="F199" s="67">
        <f>'1.연간시수표'!$AL$33</f>
        <v>5</v>
      </c>
      <c r="G199" s="115">
        <f t="shared" ref="G199:G262" si="11">$A$2</f>
        <v>2</v>
      </c>
      <c r="H199" s="41" t="str">
        <f>INDEX('0.시간표데이터'!$E$52:$AR$78,QUOTIENT(ROW(A193)-1,40)+1,MOD(ROW(A193)-1,40)+1)</f>
        <v>국어</v>
      </c>
      <c r="I199" s="77"/>
      <c r="J199" s="26"/>
      <c r="K199" s="180"/>
      <c r="L199" s="180"/>
      <c r="M199" s="10"/>
      <c r="N199" s="10"/>
      <c r="O199" s="10"/>
      <c r="P199" s="10"/>
      <c r="Q199" s="164"/>
      <c r="R199" s="110"/>
    </row>
    <row r="200" spans="1:18" ht="13.5" customHeight="1">
      <c r="A200" s="90">
        <v>194</v>
      </c>
      <c r="B200" s="24">
        <f>DATE('1.연간시수표'!$U$44,'1.연간시수표'!$X$44,'1.연간시수표'!$Z$44)+QUOTIENT(ROW(A194)-1,8)+(QUOTIENT(ROW(A194)-1,40)*2)</f>
        <v>44831</v>
      </c>
      <c r="C200" s="24" t="str">
        <f t="shared" si="9"/>
        <v>화</v>
      </c>
      <c r="D200" s="116" t="str">
        <f t="shared" si="10"/>
        <v>2교시</v>
      </c>
      <c r="E200" s="68">
        <f>COUNTIF($H$7:$H200,$H200)</f>
        <v>8</v>
      </c>
      <c r="F200" s="67">
        <f>'1.연간시수표'!$AL$33</f>
        <v>5</v>
      </c>
      <c r="G200" s="115">
        <f t="shared" si="11"/>
        <v>2</v>
      </c>
      <c r="H200" s="41" t="str">
        <f>INDEX('0.시간표데이터'!$E$52:$AR$78,QUOTIENT(ROW(A194)-1,40)+1,MOD(ROW(A194)-1,40)+1)</f>
        <v>체육</v>
      </c>
      <c r="I200" s="77"/>
      <c r="J200" s="26"/>
      <c r="K200" s="180"/>
      <c r="L200" s="180"/>
      <c r="M200" s="10"/>
      <c r="N200" s="10"/>
      <c r="O200" s="10"/>
      <c r="P200" s="10"/>
      <c r="Q200" s="164"/>
      <c r="R200" s="110"/>
    </row>
    <row r="201" spans="1:18" ht="13.5" customHeight="1">
      <c r="A201" s="90">
        <v>195</v>
      </c>
      <c r="B201" s="24">
        <f>DATE('1.연간시수표'!$U$44,'1.연간시수표'!$X$44,'1.연간시수표'!$Z$44)+QUOTIENT(ROW(A195)-1,8)+(QUOTIENT(ROW(A195)-1,40)*2)</f>
        <v>44831</v>
      </c>
      <c r="C201" s="24" t="str">
        <f t="shared" si="9"/>
        <v>화</v>
      </c>
      <c r="D201" s="116" t="str">
        <f t="shared" si="10"/>
        <v>3교시</v>
      </c>
      <c r="E201" s="68">
        <f>COUNTIF($H$7:$H201,$H201)</f>
        <v>14</v>
      </c>
      <c r="F201" s="67">
        <f>'1.연간시수표'!$AL$33</f>
        <v>5</v>
      </c>
      <c r="G201" s="115">
        <f t="shared" si="11"/>
        <v>2</v>
      </c>
      <c r="H201" s="41" t="str">
        <f>INDEX('0.시간표데이터'!$E$52:$AR$78,QUOTIENT(ROW(A195)-1,40)+1,MOD(ROW(A195)-1,40)+1)</f>
        <v>수학</v>
      </c>
      <c r="I201" s="77"/>
      <c r="J201" s="26"/>
      <c r="K201" s="180"/>
      <c r="L201" s="180"/>
      <c r="M201" s="10"/>
      <c r="N201" s="10"/>
      <c r="O201" s="10"/>
      <c r="P201" s="10"/>
      <c r="Q201" s="164"/>
      <c r="R201" s="110"/>
    </row>
    <row r="202" spans="1:18" ht="13.5" customHeight="1">
      <c r="A202" s="90">
        <v>196</v>
      </c>
      <c r="B202" s="24">
        <f>DATE('1.연간시수표'!$U$44,'1.연간시수표'!$X$44,'1.연간시수표'!$Z$44)+QUOTIENT(ROW(A196)-1,8)+(QUOTIENT(ROW(A196)-1,40)*2)</f>
        <v>44831</v>
      </c>
      <c r="C202" s="24" t="str">
        <f t="shared" si="9"/>
        <v>화</v>
      </c>
      <c r="D202" s="116" t="str">
        <f t="shared" si="10"/>
        <v>4교시</v>
      </c>
      <c r="E202" s="68">
        <f>COUNTIF($H$7:$H202,$H202)</f>
        <v>23</v>
      </c>
      <c r="F202" s="67">
        <f>'1.연간시수표'!$AL$33</f>
        <v>5</v>
      </c>
      <c r="G202" s="115">
        <f t="shared" si="11"/>
        <v>2</v>
      </c>
      <c r="H202" s="41" t="str">
        <f>INDEX('0.시간표데이터'!$E$52:$AR$78,QUOTIENT(ROW(A196)-1,40)+1,MOD(ROW(A196)-1,40)+1)</f>
        <v>국어</v>
      </c>
      <c r="I202" s="77"/>
      <c r="J202" s="26"/>
      <c r="K202" s="180"/>
      <c r="L202" s="180"/>
      <c r="M202" s="10"/>
      <c r="N202" s="10"/>
      <c r="O202" s="10"/>
      <c r="P202" s="10"/>
      <c r="Q202" s="164"/>
      <c r="R202" s="110"/>
    </row>
    <row r="203" spans="1:18" ht="13.5" customHeight="1">
      <c r="A203" s="90">
        <v>197</v>
      </c>
      <c r="B203" s="24">
        <f>DATE('1.연간시수표'!$U$44,'1.연간시수표'!$X$44,'1.연간시수표'!$Z$44)+QUOTIENT(ROW(A197)-1,8)+(QUOTIENT(ROW(A197)-1,40)*2)</f>
        <v>44831</v>
      </c>
      <c r="C203" s="24" t="str">
        <f t="shared" si="9"/>
        <v>화</v>
      </c>
      <c r="D203" s="116" t="str">
        <f t="shared" si="10"/>
        <v>5교시</v>
      </c>
      <c r="E203" s="68">
        <f>COUNTIF($H$7:$H203,$H203)</f>
        <v>12</v>
      </c>
      <c r="F203" s="67">
        <f>'1.연간시수표'!$AL$33</f>
        <v>5</v>
      </c>
      <c r="G203" s="115">
        <f t="shared" si="11"/>
        <v>2</v>
      </c>
      <c r="H203" s="41" t="str">
        <f>INDEX('0.시간표데이터'!$E$52:$AR$78,QUOTIENT(ROW(A197)-1,40)+1,MOD(ROW(A197)-1,40)+1)</f>
        <v>사회</v>
      </c>
      <c r="I203" s="77"/>
      <c r="J203" s="26"/>
      <c r="K203" s="180"/>
      <c r="L203" s="180"/>
      <c r="M203" s="10"/>
      <c r="N203" s="10"/>
      <c r="O203" s="10"/>
      <c r="P203" s="10"/>
      <c r="Q203" s="164"/>
      <c r="R203" s="110"/>
    </row>
    <row r="204" spans="1:18" ht="13.5" customHeight="1">
      <c r="A204" s="90">
        <v>198</v>
      </c>
      <c r="B204" s="24">
        <f>DATE('1.연간시수표'!$U$44,'1.연간시수표'!$X$44,'1.연간시수표'!$Z$44)+QUOTIENT(ROW(A198)-1,8)+(QUOTIENT(ROW(A198)-1,40)*2)</f>
        <v>44831</v>
      </c>
      <c r="C204" s="24" t="str">
        <f t="shared" si="9"/>
        <v>화</v>
      </c>
      <c r="D204" s="116" t="str">
        <f t="shared" si="10"/>
        <v>6교시</v>
      </c>
      <c r="E204" s="68">
        <f>COUNTIF($H$7:$H204,$H204)</f>
        <v>8</v>
      </c>
      <c r="F204" s="67">
        <f>'1.연간시수표'!$AL$33</f>
        <v>5</v>
      </c>
      <c r="G204" s="115">
        <f t="shared" si="11"/>
        <v>2</v>
      </c>
      <c r="H204" s="41" t="str">
        <f>INDEX('0.시간표데이터'!$E$52:$AR$78,QUOTIENT(ROW(A198)-1,40)+1,MOD(ROW(A198)-1,40)+1)</f>
        <v>실과</v>
      </c>
      <c r="I204" s="77"/>
      <c r="J204" s="26"/>
      <c r="K204" s="167"/>
      <c r="L204" s="167"/>
      <c r="M204" s="166"/>
      <c r="N204" s="166"/>
      <c r="O204" s="166"/>
      <c r="P204" s="166"/>
      <c r="Q204" s="167"/>
      <c r="R204" s="111"/>
    </row>
    <row r="205" spans="1:18" ht="13.5" customHeight="1">
      <c r="A205" s="90">
        <v>199</v>
      </c>
      <c r="B205" s="24">
        <f>DATE('1.연간시수표'!$U$44,'1.연간시수표'!$X$44,'1.연간시수표'!$Z$44)+QUOTIENT(ROW(A199)-1,8)+(QUOTIENT(ROW(A199)-1,40)*2)</f>
        <v>44831</v>
      </c>
      <c r="C205" s="24" t="str">
        <f t="shared" si="9"/>
        <v>화</v>
      </c>
      <c r="D205" s="116" t="str">
        <f t="shared" si="10"/>
        <v>7교시</v>
      </c>
      <c r="E205" s="68">
        <f>COUNTIF($H$7:$H205,$H205)</f>
        <v>83</v>
      </c>
      <c r="F205" s="67">
        <f>'1.연간시수표'!$AL$33</f>
        <v>5</v>
      </c>
      <c r="G205" s="115">
        <f t="shared" si="11"/>
        <v>2</v>
      </c>
      <c r="H205" s="41" t="str">
        <f>INDEX('0.시간표데이터'!$E$52:$AR$78,QUOTIENT(ROW(A199)-1,40)+1,MOD(ROW(A199)-1,40)+1)</f>
        <v>_</v>
      </c>
      <c r="I205" s="76"/>
      <c r="J205" s="26"/>
      <c r="K205" s="167"/>
      <c r="L205" s="167"/>
      <c r="M205" s="166"/>
      <c r="N205" s="166"/>
      <c r="O205" s="166"/>
      <c r="P205" s="166"/>
      <c r="Q205" s="167"/>
      <c r="R205" s="111"/>
    </row>
    <row r="206" spans="1:18" ht="13.5" customHeight="1">
      <c r="A206" s="90">
        <v>200</v>
      </c>
      <c r="B206" s="24">
        <f>DATE('1.연간시수표'!$U$44,'1.연간시수표'!$X$44,'1.연간시수표'!$Z$44)+QUOTIENT(ROW(A200)-1,8)+(QUOTIENT(ROW(A200)-1,40)*2)</f>
        <v>44831</v>
      </c>
      <c r="C206" s="24" t="str">
        <f t="shared" si="9"/>
        <v>화</v>
      </c>
      <c r="D206" s="116" t="str">
        <f t="shared" si="10"/>
        <v>8교시</v>
      </c>
      <c r="E206" s="68">
        <f>COUNTIF($H$7:$H206,$H206)</f>
        <v>84</v>
      </c>
      <c r="F206" s="67">
        <f>'1.연간시수표'!$AL$33</f>
        <v>5</v>
      </c>
      <c r="G206" s="115">
        <f t="shared" si="11"/>
        <v>2</v>
      </c>
      <c r="H206" s="41" t="str">
        <f>INDEX('0.시간표데이터'!$E$52:$AR$78,QUOTIENT(ROW(A200)-1,40)+1,MOD(ROW(A200)-1,40)+1)</f>
        <v>_</v>
      </c>
      <c r="I206" s="76"/>
      <c r="J206" s="26"/>
      <c r="K206" s="167"/>
      <c r="L206" s="167"/>
      <c r="M206" s="166"/>
      <c r="N206" s="166"/>
      <c r="O206" s="166"/>
      <c r="P206" s="166"/>
      <c r="Q206" s="167"/>
      <c r="R206" s="111"/>
    </row>
    <row r="207" spans="1:18" ht="13.5" customHeight="1">
      <c r="A207" s="90">
        <v>201</v>
      </c>
      <c r="B207" s="24">
        <f>DATE('1.연간시수표'!$U$44,'1.연간시수표'!$X$44,'1.연간시수표'!$Z$44)+QUOTIENT(ROW(A201)-1,8)+(QUOTIENT(ROW(A201)-1,40)*2)</f>
        <v>44834</v>
      </c>
      <c r="C207" s="24" t="str">
        <f t="shared" si="9"/>
        <v>금</v>
      </c>
      <c r="D207" s="116" t="str">
        <f t="shared" si="10"/>
        <v>1교시</v>
      </c>
      <c r="E207" s="68">
        <f>COUNTIF($H$7:$H207,$H207)</f>
        <v>85</v>
      </c>
      <c r="F207" s="67">
        <f>'1.연간시수표'!$AL$33</f>
        <v>5</v>
      </c>
      <c r="G207" s="115">
        <f t="shared" si="11"/>
        <v>2</v>
      </c>
      <c r="H207" s="41" t="str">
        <f>INDEX('0.시간표데이터'!$E$52:$AR$78,QUOTIENT(ROW(A201)-1,40)+1,MOD(ROW(A201)-1,40)+1)</f>
        <v>_</v>
      </c>
      <c r="I207" s="77"/>
      <c r="J207" s="26"/>
      <c r="K207" s="164"/>
      <c r="L207" s="164"/>
      <c r="M207" s="10"/>
      <c r="N207" s="10"/>
      <c r="O207" s="10"/>
      <c r="P207" s="10"/>
      <c r="Q207" s="164"/>
      <c r="R207" s="110"/>
    </row>
    <row r="208" spans="1:18" ht="13.5" customHeight="1">
      <c r="A208" s="90">
        <v>202</v>
      </c>
      <c r="B208" s="24">
        <f>DATE('1.연간시수표'!$U$44,'1.연간시수표'!$X$44,'1.연간시수표'!$Z$44)+QUOTIENT(ROW(A202)-1,8)+(QUOTIENT(ROW(A202)-1,40)*2)</f>
        <v>44834</v>
      </c>
      <c r="C208" s="24" t="str">
        <f t="shared" si="9"/>
        <v>금</v>
      </c>
      <c r="D208" s="116" t="str">
        <f t="shared" si="10"/>
        <v>2교시</v>
      </c>
      <c r="E208" s="68">
        <f>COUNTIF($H$7:$H208,$H208)</f>
        <v>86</v>
      </c>
      <c r="F208" s="67">
        <f>'1.연간시수표'!$AL$33</f>
        <v>5</v>
      </c>
      <c r="G208" s="115">
        <f t="shared" si="11"/>
        <v>2</v>
      </c>
      <c r="H208" s="41" t="str">
        <f>INDEX('0.시간표데이터'!$E$52:$AR$78,QUOTIENT(ROW(A202)-1,40)+1,MOD(ROW(A202)-1,40)+1)</f>
        <v>_</v>
      </c>
      <c r="I208" s="161"/>
      <c r="J208" s="26"/>
      <c r="K208" s="180"/>
      <c r="L208" s="180"/>
      <c r="M208" s="10"/>
      <c r="N208" s="10"/>
      <c r="O208" s="10"/>
      <c r="P208" s="10"/>
      <c r="Q208" s="164"/>
      <c r="R208" s="110"/>
    </row>
    <row r="209" spans="1:18" ht="13.5" customHeight="1">
      <c r="A209" s="90">
        <v>203</v>
      </c>
      <c r="B209" s="24">
        <f>DATE('1.연간시수표'!$U$44,'1.연간시수표'!$X$44,'1.연간시수표'!$Z$44)+QUOTIENT(ROW(A203)-1,8)+(QUOTIENT(ROW(A203)-1,40)*2)</f>
        <v>44834</v>
      </c>
      <c r="C209" s="24" t="str">
        <f t="shared" si="9"/>
        <v>금</v>
      </c>
      <c r="D209" s="116" t="str">
        <f t="shared" si="10"/>
        <v>3교시</v>
      </c>
      <c r="E209" s="68">
        <f>COUNTIF($H$7:$H209,$H209)</f>
        <v>87</v>
      </c>
      <c r="F209" s="67">
        <f>'1.연간시수표'!$AL$33</f>
        <v>5</v>
      </c>
      <c r="G209" s="115">
        <f t="shared" si="11"/>
        <v>2</v>
      </c>
      <c r="H209" s="41" t="str">
        <f>INDEX('0.시간표데이터'!$E$52:$AR$78,QUOTIENT(ROW(A203)-1,40)+1,MOD(ROW(A203)-1,40)+1)</f>
        <v>_</v>
      </c>
      <c r="I209" s="77"/>
      <c r="J209" s="26"/>
      <c r="K209" s="180"/>
      <c r="L209" s="180"/>
      <c r="M209" s="10"/>
      <c r="N209" s="10"/>
      <c r="O209" s="10"/>
      <c r="P209" s="10"/>
      <c r="Q209" s="164"/>
      <c r="R209" s="110"/>
    </row>
    <row r="210" spans="1:18" ht="13.5" customHeight="1">
      <c r="A210" s="90">
        <v>204</v>
      </c>
      <c r="B210" s="24">
        <f>DATE('1.연간시수표'!$U$44,'1.연간시수표'!$X$44,'1.연간시수표'!$Z$44)+QUOTIENT(ROW(A204)-1,8)+(QUOTIENT(ROW(A204)-1,40)*2)</f>
        <v>44834</v>
      </c>
      <c r="C210" s="24" t="str">
        <f t="shared" si="9"/>
        <v>금</v>
      </c>
      <c r="D210" s="116" t="str">
        <f t="shared" si="10"/>
        <v>4교시</v>
      </c>
      <c r="E210" s="68">
        <f>COUNTIF($H$7:$H210,$H210)</f>
        <v>88</v>
      </c>
      <c r="F210" s="67">
        <f>'1.연간시수표'!$AL$33</f>
        <v>5</v>
      </c>
      <c r="G210" s="115">
        <f t="shared" si="11"/>
        <v>2</v>
      </c>
      <c r="H210" s="41" t="str">
        <f>INDEX('0.시간표데이터'!$E$52:$AR$78,QUOTIENT(ROW(A204)-1,40)+1,MOD(ROW(A204)-1,40)+1)</f>
        <v>_</v>
      </c>
      <c r="I210" s="77"/>
      <c r="J210" s="26"/>
      <c r="K210" s="180"/>
      <c r="L210" s="180"/>
      <c r="M210" s="10"/>
      <c r="N210" s="10"/>
      <c r="O210" s="10"/>
      <c r="P210" s="10"/>
      <c r="Q210" s="164"/>
      <c r="R210" s="110"/>
    </row>
    <row r="211" spans="1:18" ht="13.5" customHeight="1">
      <c r="A211" s="90">
        <v>205</v>
      </c>
      <c r="B211" s="24">
        <f>DATE('1.연간시수표'!$U$44,'1.연간시수표'!$X$44,'1.연간시수표'!$Z$44)+QUOTIENT(ROW(A205)-1,8)+(QUOTIENT(ROW(A205)-1,40)*2)</f>
        <v>44834</v>
      </c>
      <c r="C211" s="24" t="str">
        <f t="shared" si="9"/>
        <v>금</v>
      </c>
      <c r="D211" s="116" t="str">
        <f t="shared" si="10"/>
        <v>5교시</v>
      </c>
      <c r="E211" s="68">
        <f>COUNTIF($H$7:$H211,$H211)</f>
        <v>89</v>
      </c>
      <c r="F211" s="67">
        <f>'1.연간시수표'!$AL$33</f>
        <v>5</v>
      </c>
      <c r="G211" s="115">
        <f t="shared" si="11"/>
        <v>2</v>
      </c>
      <c r="H211" s="41" t="str">
        <f>INDEX('0.시간표데이터'!$E$52:$AR$78,QUOTIENT(ROW(A205)-1,40)+1,MOD(ROW(A205)-1,40)+1)</f>
        <v>_</v>
      </c>
      <c r="I211" s="77"/>
      <c r="J211" s="26"/>
      <c r="K211" s="180"/>
      <c r="L211" s="180"/>
      <c r="M211" s="10"/>
      <c r="N211" s="10"/>
      <c r="O211" s="10"/>
      <c r="P211" s="10"/>
      <c r="Q211" s="164"/>
      <c r="R211" s="110"/>
    </row>
    <row r="212" spans="1:18" ht="13.5" customHeight="1">
      <c r="A212" s="90">
        <v>206</v>
      </c>
      <c r="B212" s="24">
        <f>DATE('1.연간시수표'!$U$44,'1.연간시수표'!$X$44,'1.연간시수표'!$Z$44)+QUOTIENT(ROW(A206)-1,8)+(QUOTIENT(ROW(A206)-1,40)*2)</f>
        <v>44834</v>
      </c>
      <c r="C212" s="24" t="str">
        <f t="shared" si="9"/>
        <v>금</v>
      </c>
      <c r="D212" s="116" t="str">
        <f t="shared" si="10"/>
        <v>6교시</v>
      </c>
      <c r="E212" s="68">
        <f>COUNTIF($H$7:$H212,$H212)</f>
        <v>90</v>
      </c>
      <c r="F212" s="67">
        <f>'1.연간시수표'!$AL$33</f>
        <v>5</v>
      </c>
      <c r="G212" s="115">
        <f t="shared" si="11"/>
        <v>2</v>
      </c>
      <c r="H212" s="41" t="str">
        <f>INDEX('0.시간표데이터'!$E$52:$AR$78,QUOTIENT(ROW(A206)-1,40)+1,MOD(ROW(A206)-1,40)+1)</f>
        <v>_</v>
      </c>
      <c r="I212" s="77"/>
      <c r="J212" s="26"/>
      <c r="K212" s="167"/>
      <c r="L212" s="167"/>
      <c r="M212" s="166"/>
      <c r="N212" s="166"/>
      <c r="O212" s="166"/>
      <c r="P212" s="166"/>
      <c r="Q212" s="167"/>
      <c r="R212" s="111"/>
    </row>
    <row r="213" spans="1:18" ht="13.5" customHeight="1">
      <c r="A213" s="90">
        <v>207</v>
      </c>
      <c r="B213" s="24">
        <f>DATE('1.연간시수표'!$U$44,'1.연간시수표'!$X$44,'1.연간시수표'!$Z$44)+QUOTIENT(ROW(A207)-1,8)+(QUOTIENT(ROW(A207)-1,40)*2)</f>
        <v>44834</v>
      </c>
      <c r="C213" s="24" t="str">
        <f t="shared" si="9"/>
        <v>금</v>
      </c>
      <c r="D213" s="116" t="str">
        <f t="shared" si="10"/>
        <v>7교시</v>
      </c>
      <c r="E213" s="68">
        <f>COUNTIF($H$7:$H213,$H213)</f>
        <v>91</v>
      </c>
      <c r="F213" s="67">
        <f>'1.연간시수표'!$AL$33</f>
        <v>5</v>
      </c>
      <c r="G213" s="115">
        <f t="shared" si="11"/>
        <v>2</v>
      </c>
      <c r="H213" s="41" t="str">
        <f>INDEX('0.시간표데이터'!$E$52:$AR$78,QUOTIENT(ROW(A207)-1,40)+1,MOD(ROW(A207)-1,40)+1)</f>
        <v>_</v>
      </c>
      <c r="I213" s="76"/>
      <c r="J213" s="26"/>
      <c r="K213" s="167"/>
      <c r="L213" s="167"/>
      <c r="M213" s="166"/>
      <c r="N213" s="166"/>
      <c r="O213" s="166"/>
      <c r="P213" s="166"/>
      <c r="Q213" s="167"/>
      <c r="R213" s="111"/>
    </row>
    <row r="214" spans="1:18" ht="13.5" customHeight="1">
      <c r="A214" s="90">
        <v>208</v>
      </c>
      <c r="B214" s="24">
        <f>DATE('1.연간시수표'!$U$44,'1.연간시수표'!$X$44,'1.연간시수표'!$Z$44)+QUOTIENT(ROW(A208)-1,8)+(QUOTIENT(ROW(A208)-1,40)*2)</f>
        <v>44834</v>
      </c>
      <c r="C214" s="24" t="str">
        <f t="shared" si="9"/>
        <v>금</v>
      </c>
      <c r="D214" s="116" t="str">
        <f t="shared" si="10"/>
        <v>8교시</v>
      </c>
      <c r="E214" s="68">
        <f>COUNTIF($H$7:$H214,$H214)</f>
        <v>92</v>
      </c>
      <c r="F214" s="67">
        <f>'1.연간시수표'!$AL$33</f>
        <v>5</v>
      </c>
      <c r="G214" s="115">
        <f t="shared" si="11"/>
        <v>2</v>
      </c>
      <c r="H214" s="41" t="str">
        <f>INDEX('0.시간표데이터'!$E$52:$AR$78,QUOTIENT(ROW(A208)-1,40)+1,MOD(ROW(A208)-1,40)+1)</f>
        <v>_</v>
      </c>
      <c r="I214" s="76"/>
      <c r="J214" s="26"/>
      <c r="K214" s="167"/>
      <c r="L214" s="167"/>
      <c r="M214" s="166"/>
      <c r="N214" s="166"/>
      <c r="O214" s="166"/>
      <c r="P214" s="166"/>
      <c r="Q214" s="167"/>
      <c r="R214" s="111"/>
    </row>
    <row r="215" spans="1:18" ht="13.5" customHeight="1">
      <c r="A215" s="90">
        <v>209</v>
      </c>
      <c r="B215" s="24">
        <f>DATE('1.연간시수표'!$U$44,'1.연간시수표'!$X$44,'1.연간시수표'!$Z$44)+QUOTIENT(ROW(A209)-1,8)+(QUOTIENT(ROW(A209)-1,40)*2)</f>
        <v>44835</v>
      </c>
      <c r="C215" s="24" t="b">
        <f t="shared" si="9"/>
        <v>0</v>
      </c>
      <c r="D215" s="116" t="str">
        <f t="shared" si="10"/>
        <v>1교시</v>
      </c>
      <c r="E215" s="68">
        <f>COUNTIF($H$7:$H215,$H215)</f>
        <v>24</v>
      </c>
      <c r="F215" s="67">
        <f>'1.연간시수표'!$AL$33</f>
        <v>5</v>
      </c>
      <c r="G215" s="115">
        <f t="shared" si="11"/>
        <v>2</v>
      </c>
      <c r="H215" s="41" t="str">
        <f>INDEX('0.시간표데이터'!$E$52:$AR$78,QUOTIENT(ROW(A209)-1,40)+1,MOD(ROW(A209)-1,40)+1)</f>
        <v>국어</v>
      </c>
      <c r="I215" s="77"/>
      <c r="J215" s="26"/>
      <c r="K215" s="180"/>
      <c r="L215" s="180"/>
      <c r="M215" s="10"/>
      <c r="N215" s="10"/>
      <c r="O215" s="10"/>
      <c r="P215" s="10"/>
      <c r="Q215" s="164"/>
      <c r="R215" s="110"/>
    </row>
    <row r="216" spans="1:18" ht="13.5" customHeight="1">
      <c r="A216" s="90">
        <v>210</v>
      </c>
      <c r="B216" s="24">
        <f>DATE('1.연간시수표'!$U$44,'1.연간시수표'!$X$44,'1.연간시수표'!$Z$44)+QUOTIENT(ROW(A210)-1,8)+(QUOTIENT(ROW(A210)-1,40)*2)</f>
        <v>44835</v>
      </c>
      <c r="C216" s="24" t="b">
        <f t="shared" si="9"/>
        <v>0</v>
      </c>
      <c r="D216" s="116" t="str">
        <f t="shared" si="10"/>
        <v>2교시</v>
      </c>
      <c r="E216" s="68">
        <f>COUNTIF($H$7:$H216,$H216)</f>
        <v>25</v>
      </c>
      <c r="F216" s="67">
        <f>'1.연간시수표'!$AL$33</f>
        <v>5</v>
      </c>
      <c r="G216" s="115">
        <f t="shared" si="11"/>
        <v>2</v>
      </c>
      <c r="H216" s="41" t="str">
        <f>INDEX('0.시간표데이터'!$E$52:$AR$78,QUOTIENT(ROW(A210)-1,40)+1,MOD(ROW(A210)-1,40)+1)</f>
        <v>국어</v>
      </c>
      <c r="I216" s="161"/>
      <c r="J216" s="26"/>
      <c r="K216" s="180"/>
      <c r="L216" s="180"/>
      <c r="M216" s="10"/>
      <c r="N216" s="10"/>
      <c r="O216" s="10"/>
      <c r="P216" s="10"/>
      <c r="Q216" s="164"/>
      <c r="R216" s="110"/>
    </row>
    <row r="217" spans="1:18">
      <c r="A217" s="90">
        <v>211</v>
      </c>
      <c r="B217" s="24">
        <f>DATE('1.연간시수표'!$U$44,'1.연간시수표'!$X$44,'1.연간시수표'!$Z$44)+QUOTIENT(ROW(A211)-1,8)+(QUOTIENT(ROW(A211)-1,40)*2)</f>
        <v>44835</v>
      </c>
      <c r="C217" s="24" t="b">
        <f t="shared" si="9"/>
        <v>0</v>
      </c>
      <c r="D217" s="116" t="str">
        <f t="shared" si="10"/>
        <v>3교시</v>
      </c>
      <c r="E217" s="68">
        <f>COUNTIF($H$7:$H217,$H217)</f>
        <v>13</v>
      </c>
      <c r="F217" s="67">
        <f>'1.연간시수표'!$AL$33</f>
        <v>5</v>
      </c>
      <c r="G217" s="115">
        <f t="shared" si="11"/>
        <v>2</v>
      </c>
      <c r="H217" s="41" t="str">
        <f>INDEX('0.시간표데이터'!$E$52:$AR$78,QUOTIENT(ROW(A211)-1,40)+1,MOD(ROW(A211)-1,40)+1)</f>
        <v>사회</v>
      </c>
      <c r="I217" s="77"/>
      <c r="J217" s="26"/>
      <c r="K217" s="164"/>
      <c r="L217" s="164"/>
      <c r="M217" s="10"/>
      <c r="N217" s="10"/>
      <c r="O217" s="10"/>
      <c r="P217" s="10"/>
      <c r="Q217" s="164"/>
      <c r="R217" s="110"/>
    </row>
    <row r="218" spans="1:18">
      <c r="A218" s="90">
        <v>212</v>
      </c>
      <c r="B218" s="24">
        <f>DATE('1.연간시수표'!$U$44,'1.연간시수표'!$X$44,'1.연간시수표'!$Z$44)+QUOTIENT(ROW(A212)-1,8)+(QUOTIENT(ROW(A212)-1,40)*2)</f>
        <v>44835</v>
      </c>
      <c r="C218" s="24" t="b">
        <f t="shared" si="9"/>
        <v>0</v>
      </c>
      <c r="D218" s="116" t="str">
        <f t="shared" si="10"/>
        <v>4교시</v>
      </c>
      <c r="E218" s="68">
        <f>COUNTIF($H$7:$H218,$H218)</f>
        <v>15</v>
      </c>
      <c r="F218" s="67">
        <f>'1.연간시수표'!$AL$33</f>
        <v>5</v>
      </c>
      <c r="G218" s="115">
        <f t="shared" si="11"/>
        <v>2</v>
      </c>
      <c r="H218" s="41" t="str">
        <f>INDEX('0.시간표데이터'!$E$52:$AR$78,QUOTIENT(ROW(A212)-1,40)+1,MOD(ROW(A212)-1,40)+1)</f>
        <v>수학</v>
      </c>
      <c r="I218" s="77"/>
      <c r="J218" s="26"/>
      <c r="K218" s="180"/>
      <c r="L218" s="180"/>
      <c r="M218" s="10"/>
      <c r="N218" s="10"/>
      <c r="O218" s="10"/>
      <c r="P218" s="10"/>
      <c r="Q218" s="164"/>
      <c r="R218" s="110"/>
    </row>
    <row r="219" spans="1:18" ht="13.5" customHeight="1">
      <c r="A219" s="90">
        <v>213</v>
      </c>
      <c r="B219" s="24">
        <f>DATE('1.연간시수표'!$U$44,'1.연간시수표'!$X$44,'1.연간시수표'!$Z$44)+QUOTIENT(ROW(A213)-1,8)+(QUOTIENT(ROW(A213)-1,40)*2)</f>
        <v>44835</v>
      </c>
      <c r="C219" s="24" t="b">
        <f t="shared" si="9"/>
        <v>0</v>
      </c>
      <c r="D219" s="116" t="str">
        <f t="shared" si="10"/>
        <v>5교시</v>
      </c>
      <c r="E219" s="68">
        <f>COUNTIF($H$7:$H219,$H219)</f>
        <v>12</v>
      </c>
      <c r="F219" s="67">
        <f>'1.연간시수표'!$AL$33</f>
        <v>5</v>
      </c>
      <c r="G219" s="115">
        <f t="shared" si="11"/>
        <v>2</v>
      </c>
      <c r="H219" s="41" t="str">
        <f>INDEX('0.시간표데이터'!$E$52:$AR$78,QUOTIENT(ROW(A213)-1,40)+1,MOD(ROW(A213)-1,40)+1)</f>
        <v>과학</v>
      </c>
      <c r="I219" s="77"/>
      <c r="J219" s="26"/>
      <c r="K219" s="180"/>
      <c r="L219" s="180"/>
      <c r="M219" s="10"/>
      <c r="N219" s="10"/>
      <c r="O219" s="10"/>
      <c r="P219" s="10"/>
      <c r="Q219" s="164"/>
      <c r="R219" s="110"/>
    </row>
    <row r="220" spans="1:18" ht="13.5" customHeight="1">
      <c r="A220" s="90">
        <v>214</v>
      </c>
      <c r="B220" s="24">
        <f>DATE('1.연간시수표'!$U$44,'1.연간시수표'!$X$44,'1.연간시수표'!$Z$44)+QUOTIENT(ROW(A214)-1,8)+(QUOTIENT(ROW(A214)-1,40)*2)</f>
        <v>44835</v>
      </c>
      <c r="C220" s="24" t="b">
        <f t="shared" si="9"/>
        <v>0</v>
      </c>
      <c r="D220" s="116" t="str">
        <f t="shared" si="10"/>
        <v>6교시</v>
      </c>
      <c r="E220" s="68">
        <f>COUNTIF($H$7:$H220,$H220)</f>
        <v>9</v>
      </c>
      <c r="F220" s="67">
        <f>'1.연간시수표'!$AL$33</f>
        <v>5</v>
      </c>
      <c r="G220" s="115">
        <f t="shared" si="11"/>
        <v>2</v>
      </c>
      <c r="H220" s="41" t="str">
        <f>INDEX('0.시간표데이터'!$E$52:$AR$78,QUOTIENT(ROW(A214)-1,40)+1,MOD(ROW(A214)-1,40)+1)</f>
        <v>실과</v>
      </c>
      <c r="I220" s="77"/>
      <c r="J220" s="26"/>
      <c r="K220" s="167"/>
      <c r="L220" s="167"/>
      <c r="M220" s="166"/>
      <c r="N220" s="166"/>
      <c r="O220" s="166"/>
      <c r="P220" s="166"/>
      <c r="Q220" s="167"/>
      <c r="R220" s="111"/>
    </row>
    <row r="221" spans="1:18" ht="13.5" customHeight="1">
      <c r="A221" s="90">
        <v>215</v>
      </c>
      <c r="B221" s="24">
        <f>DATE('1.연간시수표'!$U$44,'1.연간시수표'!$X$44,'1.연간시수표'!$Z$44)+QUOTIENT(ROW(A215)-1,8)+(QUOTIENT(ROW(A215)-1,40)*2)</f>
        <v>44835</v>
      </c>
      <c r="C221" s="24" t="b">
        <f t="shared" si="9"/>
        <v>0</v>
      </c>
      <c r="D221" s="116" t="str">
        <f t="shared" si="10"/>
        <v>7교시</v>
      </c>
      <c r="E221" s="68">
        <f>COUNTIF($H$7:$H221,$H221)</f>
        <v>93</v>
      </c>
      <c r="F221" s="67">
        <f>'1.연간시수표'!$AL$33</f>
        <v>5</v>
      </c>
      <c r="G221" s="115">
        <f t="shared" si="11"/>
        <v>2</v>
      </c>
      <c r="H221" s="41" t="str">
        <f>INDEX('0.시간표데이터'!$E$52:$AR$78,QUOTIENT(ROW(A215)-1,40)+1,MOD(ROW(A215)-1,40)+1)</f>
        <v>_</v>
      </c>
      <c r="I221" s="76"/>
      <c r="J221" s="26"/>
      <c r="K221" s="167"/>
      <c r="L221" s="167"/>
      <c r="M221" s="166"/>
      <c r="N221" s="166"/>
      <c r="O221" s="166"/>
      <c r="P221" s="166"/>
      <c r="Q221" s="167"/>
      <c r="R221" s="111"/>
    </row>
    <row r="222" spans="1:18" ht="13.5" customHeight="1">
      <c r="A222" s="90">
        <v>216</v>
      </c>
      <c r="B222" s="24">
        <f>DATE('1.연간시수표'!$U$44,'1.연간시수표'!$X$44,'1.연간시수표'!$Z$44)+QUOTIENT(ROW(A216)-1,8)+(QUOTIENT(ROW(A216)-1,40)*2)</f>
        <v>44835</v>
      </c>
      <c r="C222" s="24" t="b">
        <f t="shared" si="9"/>
        <v>0</v>
      </c>
      <c r="D222" s="116" t="str">
        <f t="shared" si="10"/>
        <v>8교시</v>
      </c>
      <c r="E222" s="68">
        <f>COUNTIF($H$7:$H222,$H222)</f>
        <v>94</v>
      </c>
      <c r="F222" s="67">
        <f>'1.연간시수표'!$AL$33</f>
        <v>5</v>
      </c>
      <c r="G222" s="115">
        <f t="shared" si="11"/>
        <v>2</v>
      </c>
      <c r="H222" s="41" t="str">
        <f>INDEX('0.시간표데이터'!$E$52:$AR$78,QUOTIENT(ROW(A216)-1,40)+1,MOD(ROW(A216)-1,40)+1)</f>
        <v>_</v>
      </c>
      <c r="I222" s="76"/>
      <c r="J222" s="26"/>
      <c r="K222" s="167"/>
      <c r="L222" s="167"/>
      <c r="M222" s="166"/>
      <c r="N222" s="166"/>
      <c r="O222" s="166"/>
      <c r="P222" s="166"/>
      <c r="Q222" s="167"/>
      <c r="R222" s="111"/>
    </row>
    <row r="223" spans="1:18" ht="13.5" customHeight="1">
      <c r="A223" s="90">
        <v>217</v>
      </c>
      <c r="B223" s="24">
        <f>DATE('1.연간시수표'!$U$44,'1.연간시수표'!$X$44,'1.연간시수표'!$Z$44)+QUOTIENT(ROW(A217)-1,8)+(QUOTIENT(ROW(A217)-1,40)*2)</f>
        <v>44836</v>
      </c>
      <c r="C223" s="24" t="b">
        <f t="shared" si="9"/>
        <v>0</v>
      </c>
      <c r="D223" s="116" t="str">
        <f t="shared" si="10"/>
        <v>1교시</v>
      </c>
      <c r="E223" s="68">
        <f>COUNTIF($H$7:$H223,$H223)</f>
        <v>13</v>
      </c>
      <c r="F223" s="67">
        <f>'1.연간시수표'!$AL$33</f>
        <v>5</v>
      </c>
      <c r="G223" s="115">
        <f t="shared" si="11"/>
        <v>2</v>
      </c>
      <c r="H223" s="41" t="str">
        <f>INDEX('0.시간표데이터'!$E$52:$AR$78,QUOTIENT(ROW(A217)-1,40)+1,MOD(ROW(A217)-1,40)+1)</f>
        <v>영어</v>
      </c>
      <c r="I223" s="77"/>
      <c r="J223" s="26"/>
      <c r="K223" s="180"/>
      <c r="L223" s="180"/>
      <c r="M223" s="10"/>
      <c r="N223" s="10"/>
      <c r="O223" s="10"/>
      <c r="P223" s="10"/>
      <c r="Q223" s="164"/>
      <c r="R223" s="110"/>
    </row>
    <row r="224" spans="1:18" ht="13.5" customHeight="1">
      <c r="A224" s="90">
        <v>218</v>
      </c>
      <c r="B224" s="24">
        <f>DATE('1.연간시수표'!$U$44,'1.연간시수표'!$X$44,'1.연간시수표'!$Z$44)+QUOTIENT(ROW(A218)-1,8)+(QUOTIENT(ROW(A218)-1,40)*2)</f>
        <v>44836</v>
      </c>
      <c r="C224" s="24" t="b">
        <f t="shared" si="9"/>
        <v>0</v>
      </c>
      <c r="D224" s="116" t="str">
        <f t="shared" si="10"/>
        <v>2교시</v>
      </c>
      <c r="E224" s="68">
        <f>COUNTIF($H$7:$H224,$H224)</f>
        <v>13</v>
      </c>
      <c r="F224" s="67">
        <f>'1.연간시수표'!$AL$33</f>
        <v>5</v>
      </c>
      <c r="G224" s="115">
        <f t="shared" si="11"/>
        <v>2</v>
      </c>
      <c r="H224" s="41" t="str">
        <f>INDEX('0.시간표데이터'!$E$52:$AR$78,QUOTIENT(ROW(A218)-1,40)+1,MOD(ROW(A218)-1,40)+1)</f>
        <v>과학</v>
      </c>
      <c r="I224" s="77"/>
      <c r="J224" s="26"/>
      <c r="K224" s="180"/>
      <c r="L224" s="180"/>
      <c r="M224" s="10"/>
      <c r="N224" s="10"/>
      <c r="O224" s="10"/>
      <c r="P224" s="10"/>
      <c r="Q224" s="164"/>
      <c r="R224" s="110"/>
    </row>
    <row r="225" spans="1:18" ht="13.5" customHeight="1">
      <c r="A225" s="90">
        <v>219</v>
      </c>
      <c r="B225" s="24">
        <f>DATE('1.연간시수표'!$U$44,'1.연간시수표'!$X$44,'1.연간시수표'!$Z$44)+QUOTIENT(ROW(A219)-1,8)+(QUOTIENT(ROW(A219)-1,40)*2)</f>
        <v>44836</v>
      </c>
      <c r="C225" s="24" t="b">
        <f t="shared" si="9"/>
        <v>0</v>
      </c>
      <c r="D225" s="116" t="str">
        <f t="shared" si="10"/>
        <v>3교시</v>
      </c>
      <c r="E225" s="68">
        <f>COUNTIF($H$7:$H225,$H225)</f>
        <v>9</v>
      </c>
      <c r="F225" s="67">
        <f>'1.연간시수표'!$AL$33</f>
        <v>5</v>
      </c>
      <c r="G225" s="115">
        <f t="shared" si="11"/>
        <v>2</v>
      </c>
      <c r="H225" s="41" t="str">
        <f>INDEX('0.시간표데이터'!$E$52:$AR$78,QUOTIENT(ROW(A219)-1,40)+1,MOD(ROW(A219)-1,40)+1)</f>
        <v>체육</v>
      </c>
      <c r="I225" s="77"/>
      <c r="J225" s="26"/>
      <c r="K225" s="180"/>
      <c r="L225" s="180"/>
      <c r="M225" s="10"/>
      <c r="N225" s="10"/>
      <c r="O225" s="10"/>
      <c r="P225" s="10"/>
      <c r="Q225" s="164"/>
      <c r="R225" s="110"/>
    </row>
    <row r="226" spans="1:18" ht="13.5" customHeight="1">
      <c r="A226" s="90">
        <v>220</v>
      </c>
      <c r="B226" s="24">
        <f>DATE('1.연간시수표'!$U$44,'1.연간시수표'!$X$44,'1.연간시수표'!$Z$44)+QUOTIENT(ROW(A220)-1,8)+(QUOTIENT(ROW(A220)-1,40)*2)</f>
        <v>44836</v>
      </c>
      <c r="C226" s="24" t="b">
        <f t="shared" si="9"/>
        <v>0</v>
      </c>
      <c r="D226" s="116" t="str">
        <f t="shared" si="10"/>
        <v>4교시</v>
      </c>
      <c r="E226" s="68">
        <f>COUNTIF($H$7:$H226,$H226)</f>
        <v>8</v>
      </c>
      <c r="F226" s="67">
        <f>'1.연간시수표'!$AL$33</f>
        <v>5</v>
      </c>
      <c r="G226" s="115">
        <f t="shared" si="11"/>
        <v>2</v>
      </c>
      <c r="H226" s="41" t="str">
        <f>INDEX('0.시간표데이터'!$E$52:$AR$78,QUOTIENT(ROW(A220)-1,40)+1,MOD(ROW(A220)-1,40)+1)</f>
        <v>음악</v>
      </c>
      <c r="I226" s="77"/>
      <c r="J226" s="26"/>
      <c r="K226" s="180"/>
      <c r="L226" s="180"/>
      <c r="M226" s="10"/>
      <c r="N226" s="10"/>
      <c r="O226" s="10"/>
      <c r="P226" s="10"/>
      <c r="Q226" s="164"/>
      <c r="R226" s="110"/>
    </row>
    <row r="227" spans="1:18" ht="13.5" customHeight="1">
      <c r="A227" s="90">
        <v>221</v>
      </c>
      <c r="B227" s="24">
        <f>DATE('1.연간시수표'!$U$44,'1.연간시수표'!$X$44,'1.연간시수표'!$Z$44)+QUOTIENT(ROW(A221)-1,8)+(QUOTIENT(ROW(A221)-1,40)*2)</f>
        <v>44836</v>
      </c>
      <c r="C227" s="24" t="b">
        <f t="shared" si="9"/>
        <v>0</v>
      </c>
      <c r="D227" s="116" t="str">
        <f t="shared" si="10"/>
        <v>5교시</v>
      </c>
      <c r="E227" s="68">
        <f>COUNTIF($H$7:$H227,$H227)</f>
        <v>5</v>
      </c>
      <c r="F227" s="67">
        <f>'1.연간시수표'!$AL$33</f>
        <v>5</v>
      </c>
      <c r="G227" s="115">
        <f t="shared" si="11"/>
        <v>2</v>
      </c>
      <c r="H227" s="41" t="str">
        <f>INDEX('0.시간표데이터'!$E$52:$AR$78,QUOTIENT(ROW(A221)-1,40)+1,MOD(ROW(A221)-1,40)+1)</f>
        <v>도덕</v>
      </c>
      <c r="I227" s="77"/>
      <c r="J227" s="26"/>
      <c r="K227" s="180"/>
      <c r="L227" s="180"/>
      <c r="M227" s="10"/>
      <c r="N227" s="10"/>
      <c r="O227" s="10"/>
      <c r="P227" s="10"/>
      <c r="Q227" s="164"/>
      <c r="R227" s="110"/>
    </row>
    <row r="228" spans="1:18" ht="13.5" customHeight="1">
      <c r="A228" s="90">
        <v>222</v>
      </c>
      <c r="B228" s="24">
        <f>DATE('1.연간시수표'!$U$44,'1.연간시수표'!$X$44,'1.연간시수표'!$Z$44)+QUOTIENT(ROW(A222)-1,8)+(QUOTIENT(ROW(A222)-1,40)*2)</f>
        <v>44836</v>
      </c>
      <c r="C228" s="24" t="b">
        <f t="shared" si="9"/>
        <v>0</v>
      </c>
      <c r="D228" s="116" t="str">
        <f t="shared" si="10"/>
        <v>6교시</v>
      </c>
      <c r="E228" s="68">
        <f>COUNTIF($H$7:$H228,$H228)</f>
        <v>95</v>
      </c>
      <c r="F228" s="67">
        <f>'1.연간시수표'!$AL$33</f>
        <v>5</v>
      </c>
      <c r="G228" s="115">
        <f t="shared" si="11"/>
        <v>2</v>
      </c>
      <c r="H228" s="41" t="str">
        <f>INDEX('0.시간표데이터'!$E$52:$AR$78,QUOTIENT(ROW(A222)-1,40)+1,MOD(ROW(A222)-1,40)+1)</f>
        <v>_</v>
      </c>
      <c r="I228" s="77"/>
      <c r="J228" s="26"/>
      <c r="K228" s="167"/>
      <c r="L228" s="167"/>
      <c r="M228" s="166"/>
      <c r="N228" s="166"/>
      <c r="O228" s="166"/>
      <c r="P228" s="166"/>
      <c r="Q228" s="167"/>
      <c r="R228" s="111"/>
    </row>
    <row r="229" spans="1:18" ht="13.5" customHeight="1">
      <c r="A229" s="90">
        <v>223</v>
      </c>
      <c r="B229" s="24">
        <f>DATE('1.연간시수표'!$U$44,'1.연간시수표'!$X$44,'1.연간시수표'!$Z$44)+QUOTIENT(ROW(A223)-1,8)+(QUOTIENT(ROW(A223)-1,40)*2)</f>
        <v>44836</v>
      </c>
      <c r="C229" s="24" t="b">
        <f t="shared" si="9"/>
        <v>0</v>
      </c>
      <c r="D229" s="116" t="str">
        <f t="shared" si="10"/>
        <v>7교시</v>
      </c>
      <c r="E229" s="68">
        <f>COUNTIF($H$7:$H229,$H229)</f>
        <v>96</v>
      </c>
      <c r="F229" s="67">
        <f>'1.연간시수표'!$AL$33</f>
        <v>5</v>
      </c>
      <c r="G229" s="115">
        <f t="shared" si="11"/>
        <v>2</v>
      </c>
      <c r="H229" s="41" t="str">
        <f>INDEX('0.시간표데이터'!$E$52:$AR$78,QUOTIENT(ROW(A223)-1,40)+1,MOD(ROW(A223)-1,40)+1)</f>
        <v>_</v>
      </c>
      <c r="I229" s="76"/>
      <c r="J229" s="26"/>
      <c r="K229" s="167"/>
      <c r="L229" s="167"/>
      <c r="M229" s="166"/>
      <c r="N229" s="166"/>
      <c r="O229" s="166"/>
      <c r="P229" s="166"/>
      <c r="Q229" s="167"/>
      <c r="R229" s="111"/>
    </row>
    <row r="230" spans="1:18" ht="13.5" customHeight="1">
      <c r="A230" s="90">
        <v>224</v>
      </c>
      <c r="B230" s="24">
        <f>DATE('1.연간시수표'!$U$44,'1.연간시수표'!$X$44,'1.연간시수표'!$Z$44)+QUOTIENT(ROW(A224)-1,8)+(QUOTIENT(ROW(A224)-1,40)*2)</f>
        <v>44836</v>
      </c>
      <c r="C230" s="24" t="b">
        <f t="shared" si="9"/>
        <v>0</v>
      </c>
      <c r="D230" s="116" t="str">
        <f t="shared" si="10"/>
        <v>8교시</v>
      </c>
      <c r="E230" s="68">
        <f>COUNTIF($H$7:$H230,$H230)</f>
        <v>97</v>
      </c>
      <c r="F230" s="67">
        <f>'1.연간시수표'!$AL$33</f>
        <v>5</v>
      </c>
      <c r="G230" s="115">
        <f t="shared" si="11"/>
        <v>2</v>
      </c>
      <c r="H230" s="41" t="str">
        <f>INDEX('0.시간표데이터'!$E$52:$AR$78,QUOTIENT(ROW(A224)-1,40)+1,MOD(ROW(A224)-1,40)+1)</f>
        <v>_</v>
      </c>
      <c r="I230" s="76"/>
      <c r="J230" s="26"/>
      <c r="K230" s="167"/>
      <c r="L230" s="167"/>
      <c r="M230" s="166"/>
      <c r="N230" s="166"/>
      <c r="O230" s="166"/>
      <c r="P230" s="166"/>
      <c r="Q230" s="167"/>
      <c r="R230" s="111"/>
    </row>
    <row r="231" spans="1:18" ht="13.5" customHeight="1">
      <c r="A231" s="90">
        <v>225</v>
      </c>
      <c r="B231" s="24">
        <f>DATE('1.연간시수표'!$U$44,'1.연간시수표'!$X$44,'1.연간시수표'!$Z$44)+QUOTIENT(ROW(A225)-1,8)+(QUOTIENT(ROW(A225)-1,40)*2)</f>
        <v>44837</v>
      </c>
      <c r="C231" s="24" t="str">
        <f t="shared" si="9"/>
        <v>월</v>
      </c>
      <c r="D231" s="116" t="str">
        <f t="shared" si="10"/>
        <v>1교시</v>
      </c>
      <c r="E231" s="68">
        <f>COUNTIF($H$7:$H231,$H231)</f>
        <v>26</v>
      </c>
      <c r="F231" s="67">
        <f>'1.연간시수표'!$AL$33</f>
        <v>5</v>
      </c>
      <c r="G231" s="115">
        <f t="shared" si="11"/>
        <v>2</v>
      </c>
      <c r="H231" s="41" t="str">
        <f>INDEX('0.시간표데이터'!$E$52:$AR$78,QUOTIENT(ROW(A225)-1,40)+1,MOD(ROW(A225)-1,40)+1)</f>
        <v>국어</v>
      </c>
      <c r="I231" s="77"/>
      <c r="J231" s="26"/>
      <c r="K231" s="180"/>
      <c r="L231" s="180"/>
      <c r="M231" s="10"/>
      <c r="N231" s="10"/>
      <c r="O231" s="10"/>
      <c r="P231" s="10"/>
      <c r="Q231" s="164"/>
      <c r="R231" s="110"/>
    </row>
    <row r="232" spans="1:18" ht="13.5" customHeight="1">
      <c r="A232" s="90">
        <v>226</v>
      </c>
      <c r="B232" s="24">
        <f>DATE('1.연간시수표'!$U$44,'1.연간시수표'!$X$44,'1.연간시수표'!$Z$44)+QUOTIENT(ROW(A226)-1,8)+(QUOTIENT(ROW(A226)-1,40)*2)</f>
        <v>44837</v>
      </c>
      <c r="C232" s="24" t="str">
        <f t="shared" si="9"/>
        <v>월</v>
      </c>
      <c r="D232" s="116" t="str">
        <f t="shared" si="10"/>
        <v>2교시</v>
      </c>
      <c r="E232" s="68">
        <f>COUNTIF($H$7:$H232,$H232)</f>
        <v>7</v>
      </c>
      <c r="F232" s="67">
        <f>'1.연간시수표'!$AL$33</f>
        <v>5</v>
      </c>
      <c r="G232" s="115">
        <f t="shared" si="11"/>
        <v>2</v>
      </c>
      <c r="H232" s="41" t="str">
        <f>INDEX('0.시간표데이터'!$E$52:$AR$78,QUOTIENT(ROW(A226)-1,40)+1,MOD(ROW(A226)-1,40)+1)</f>
        <v>자율활동</v>
      </c>
      <c r="I232" s="161"/>
      <c r="J232" s="26"/>
      <c r="K232" s="180"/>
      <c r="L232" s="180"/>
      <c r="M232" s="10"/>
      <c r="N232" s="10"/>
      <c r="O232" s="10"/>
      <c r="P232" s="10"/>
      <c r="Q232" s="164"/>
      <c r="R232" s="110"/>
    </row>
    <row r="233" spans="1:18" ht="13.5" customHeight="1">
      <c r="A233" s="90">
        <v>227</v>
      </c>
      <c r="B233" s="24">
        <f>DATE('1.연간시수표'!$U$44,'1.연간시수표'!$X$44,'1.연간시수표'!$Z$44)+QUOTIENT(ROW(A227)-1,8)+(QUOTIENT(ROW(A227)-1,40)*2)</f>
        <v>44837</v>
      </c>
      <c r="C233" s="24" t="str">
        <f t="shared" si="9"/>
        <v>월</v>
      </c>
      <c r="D233" s="116" t="str">
        <f t="shared" si="10"/>
        <v>3교시</v>
      </c>
      <c r="E233" s="68">
        <f>COUNTIF($H$7:$H233,$H233)</f>
        <v>14</v>
      </c>
      <c r="F233" s="67">
        <f>'1.연간시수표'!$AL$33</f>
        <v>5</v>
      </c>
      <c r="G233" s="115">
        <f t="shared" si="11"/>
        <v>2</v>
      </c>
      <c r="H233" s="41" t="str">
        <f>INDEX('0.시간표데이터'!$E$52:$AR$78,QUOTIENT(ROW(A227)-1,40)+1,MOD(ROW(A227)-1,40)+1)</f>
        <v>사회</v>
      </c>
      <c r="I233" s="77"/>
      <c r="J233" s="26"/>
      <c r="K233" s="180"/>
      <c r="L233" s="180"/>
      <c r="M233" s="10"/>
      <c r="N233" s="10"/>
      <c r="O233" s="10"/>
      <c r="P233" s="10"/>
      <c r="Q233" s="164"/>
      <c r="R233" s="110"/>
    </row>
    <row r="234" spans="1:18" ht="13.5" customHeight="1">
      <c r="A234" s="90">
        <v>228</v>
      </c>
      <c r="B234" s="24">
        <f>DATE('1.연간시수표'!$U$44,'1.연간시수표'!$X$44,'1.연간시수표'!$Z$44)+QUOTIENT(ROW(A228)-1,8)+(QUOTIENT(ROW(A228)-1,40)*2)</f>
        <v>44837</v>
      </c>
      <c r="C234" s="24" t="str">
        <f t="shared" si="9"/>
        <v>월</v>
      </c>
      <c r="D234" s="116" t="str">
        <f t="shared" si="10"/>
        <v>4교시</v>
      </c>
      <c r="E234" s="68">
        <f>COUNTIF($H$7:$H234,$H234)</f>
        <v>14</v>
      </c>
      <c r="F234" s="67">
        <f>'1.연간시수표'!$AL$33</f>
        <v>5</v>
      </c>
      <c r="G234" s="115">
        <f t="shared" si="11"/>
        <v>2</v>
      </c>
      <c r="H234" s="41" t="str">
        <f>INDEX('0.시간표데이터'!$E$52:$AR$78,QUOTIENT(ROW(A228)-1,40)+1,MOD(ROW(A228)-1,40)+1)</f>
        <v>영어</v>
      </c>
      <c r="I234" s="77"/>
      <c r="J234" s="26"/>
      <c r="K234" s="180"/>
      <c r="L234" s="180"/>
      <c r="M234" s="10"/>
      <c r="N234" s="10"/>
      <c r="O234" s="10"/>
      <c r="P234" s="10"/>
      <c r="Q234" s="164"/>
      <c r="R234" s="110"/>
    </row>
    <row r="235" spans="1:18" ht="13.5" customHeight="1">
      <c r="A235" s="90">
        <v>229</v>
      </c>
      <c r="B235" s="24">
        <f>DATE('1.연간시수표'!$U$44,'1.연간시수표'!$X$44,'1.연간시수표'!$Z$44)+QUOTIENT(ROW(A229)-1,8)+(QUOTIENT(ROW(A229)-1,40)*2)</f>
        <v>44837</v>
      </c>
      <c r="C235" s="24" t="str">
        <f t="shared" si="9"/>
        <v>월</v>
      </c>
      <c r="D235" s="116" t="str">
        <f t="shared" si="10"/>
        <v>5교시</v>
      </c>
      <c r="E235" s="68">
        <f>COUNTIF($H$7:$H235,$H235)</f>
        <v>14</v>
      </c>
      <c r="F235" s="67">
        <f>'1.연간시수표'!$AL$33</f>
        <v>5</v>
      </c>
      <c r="G235" s="115">
        <f t="shared" si="11"/>
        <v>2</v>
      </c>
      <c r="H235" s="41" t="str">
        <f>INDEX('0.시간표데이터'!$E$52:$AR$78,QUOTIENT(ROW(A229)-1,40)+1,MOD(ROW(A229)-1,40)+1)</f>
        <v>과학</v>
      </c>
      <c r="I235" s="77"/>
      <c r="J235" s="26"/>
      <c r="K235" s="180"/>
      <c r="L235" s="180"/>
      <c r="M235" s="10"/>
      <c r="N235" s="10"/>
      <c r="O235" s="10"/>
      <c r="P235" s="10"/>
      <c r="Q235" s="164"/>
      <c r="R235" s="110"/>
    </row>
    <row r="236" spans="1:18" ht="13.5" customHeight="1">
      <c r="A236" s="90">
        <v>230</v>
      </c>
      <c r="B236" s="24">
        <f>DATE('1.연간시수표'!$U$44,'1.연간시수표'!$X$44,'1.연간시수표'!$Z$44)+QUOTIENT(ROW(A230)-1,8)+(QUOTIENT(ROW(A230)-1,40)*2)</f>
        <v>44837</v>
      </c>
      <c r="C236" s="24" t="str">
        <f t="shared" si="9"/>
        <v>월</v>
      </c>
      <c r="D236" s="116" t="str">
        <f t="shared" si="10"/>
        <v>6교시</v>
      </c>
      <c r="E236" s="68">
        <f>COUNTIF($H$7:$H236,$H236)</f>
        <v>9</v>
      </c>
      <c r="F236" s="67">
        <f>'1.연간시수표'!$AL$33</f>
        <v>5</v>
      </c>
      <c r="G236" s="115">
        <f t="shared" si="11"/>
        <v>2</v>
      </c>
      <c r="H236" s="41" t="str">
        <f>INDEX('0.시간표데이터'!$E$52:$AR$78,QUOTIENT(ROW(A230)-1,40)+1,MOD(ROW(A230)-1,40)+1)</f>
        <v>음악</v>
      </c>
      <c r="I236" s="161"/>
      <c r="J236" s="26"/>
      <c r="K236" s="180"/>
      <c r="L236" s="180"/>
      <c r="M236" s="10"/>
      <c r="N236" s="10"/>
      <c r="O236" s="10"/>
      <c r="P236" s="10"/>
      <c r="Q236" s="164"/>
      <c r="R236" s="110"/>
    </row>
    <row r="237" spans="1:18" ht="13.5" customHeight="1">
      <c r="A237" s="90">
        <v>231</v>
      </c>
      <c r="B237" s="24">
        <f>DATE('1.연간시수표'!$U$44,'1.연간시수표'!$X$44,'1.연간시수표'!$Z$44)+QUOTIENT(ROW(A231)-1,8)+(QUOTIENT(ROW(A231)-1,40)*2)</f>
        <v>44837</v>
      </c>
      <c r="C237" s="24" t="str">
        <f t="shared" si="9"/>
        <v>월</v>
      </c>
      <c r="D237" s="116" t="str">
        <f t="shared" si="10"/>
        <v>7교시</v>
      </c>
      <c r="E237" s="68">
        <f>COUNTIF($H$7:$H237,$H237)</f>
        <v>98</v>
      </c>
      <c r="F237" s="67">
        <f>'1.연간시수표'!$AL$33</f>
        <v>5</v>
      </c>
      <c r="G237" s="115">
        <f t="shared" si="11"/>
        <v>2</v>
      </c>
      <c r="H237" s="41" t="str">
        <f>INDEX('0.시간표데이터'!$E$52:$AR$78,QUOTIENT(ROW(A231)-1,40)+1,MOD(ROW(A231)-1,40)+1)</f>
        <v>_</v>
      </c>
      <c r="I237" s="76"/>
      <c r="J237" s="26"/>
      <c r="K237" s="167"/>
      <c r="L237" s="167"/>
      <c r="M237" s="166"/>
      <c r="N237" s="166"/>
      <c r="O237" s="166"/>
      <c r="P237" s="166"/>
      <c r="Q237" s="167"/>
      <c r="R237" s="111"/>
    </row>
    <row r="238" spans="1:18" ht="13.5" customHeight="1">
      <c r="A238" s="90">
        <v>232</v>
      </c>
      <c r="B238" s="24">
        <f>DATE('1.연간시수표'!$U$44,'1.연간시수표'!$X$44,'1.연간시수표'!$Z$44)+QUOTIENT(ROW(A232)-1,8)+(QUOTIENT(ROW(A232)-1,40)*2)</f>
        <v>44837</v>
      </c>
      <c r="C238" s="24" t="str">
        <f t="shared" si="9"/>
        <v>월</v>
      </c>
      <c r="D238" s="116" t="str">
        <f t="shared" si="10"/>
        <v>8교시</v>
      </c>
      <c r="E238" s="68">
        <f>COUNTIF($H$7:$H238,$H238)</f>
        <v>99</v>
      </c>
      <c r="F238" s="67">
        <f>'1.연간시수표'!$AL$33</f>
        <v>5</v>
      </c>
      <c r="G238" s="115">
        <f t="shared" si="11"/>
        <v>2</v>
      </c>
      <c r="H238" s="41" t="str">
        <f>INDEX('0.시간표데이터'!$E$52:$AR$78,QUOTIENT(ROW(A232)-1,40)+1,MOD(ROW(A232)-1,40)+1)</f>
        <v>_</v>
      </c>
      <c r="I238" s="76"/>
      <c r="J238" s="26"/>
      <c r="K238" s="167"/>
      <c r="L238" s="167"/>
      <c r="M238" s="166"/>
      <c r="N238" s="166"/>
      <c r="O238" s="166"/>
      <c r="P238" s="166"/>
      <c r="Q238" s="167"/>
      <c r="R238" s="111"/>
    </row>
    <row r="239" spans="1:18" ht="13.5" customHeight="1">
      <c r="A239" s="90">
        <v>233</v>
      </c>
      <c r="B239" s="24">
        <f>DATE('1.연간시수표'!$U$44,'1.연간시수표'!$X$44,'1.연간시수표'!$Z$44)+QUOTIENT(ROW(A233)-1,8)+(QUOTIENT(ROW(A233)-1,40)*2)</f>
        <v>44838</v>
      </c>
      <c r="C239" s="24" t="str">
        <f t="shared" si="9"/>
        <v>화</v>
      </c>
      <c r="D239" s="116" t="str">
        <f t="shared" si="10"/>
        <v>1교시</v>
      </c>
      <c r="E239" s="68">
        <f>COUNTIF($H$7:$H239,$H239)</f>
        <v>27</v>
      </c>
      <c r="F239" s="67">
        <f>'1.연간시수표'!$AL$33</f>
        <v>5</v>
      </c>
      <c r="G239" s="115">
        <f t="shared" si="11"/>
        <v>2</v>
      </c>
      <c r="H239" s="41" t="str">
        <f>INDEX('0.시간표데이터'!$E$52:$AR$78,QUOTIENT(ROW(A233)-1,40)+1,MOD(ROW(A233)-1,40)+1)</f>
        <v>국어</v>
      </c>
      <c r="I239" s="77"/>
      <c r="J239" s="26"/>
      <c r="K239" s="180"/>
      <c r="L239" s="180"/>
      <c r="M239" s="10"/>
      <c r="N239" s="10"/>
      <c r="O239" s="10"/>
      <c r="P239" s="10"/>
      <c r="Q239" s="164"/>
      <c r="R239" s="110"/>
    </row>
    <row r="240" spans="1:18" ht="13.5" customHeight="1">
      <c r="A240" s="90">
        <v>234</v>
      </c>
      <c r="B240" s="24">
        <f>DATE('1.연간시수표'!$U$44,'1.연간시수표'!$X$44,'1.연간시수표'!$Z$44)+QUOTIENT(ROW(A234)-1,8)+(QUOTIENT(ROW(A234)-1,40)*2)</f>
        <v>44838</v>
      </c>
      <c r="C240" s="24" t="str">
        <f t="shared" si="9"/>
        <v>화</v>
      </c>
      <c r="D240" s="116" t="str">
        <f t="shared" si="10"/>
        <v>2교시</v>
      </c>
      <c r="E240" s="68">
        <f>COUNTIF($H$7:$H240,$H240)</f>
        <v>10</v>
      </c>
      <c r="F240" s="67">
        <f>'1.연간시수표'!$AL$33</f>
        <v>5</v>
      </c>
      <c r="G240" s="115">
        <f t="shared" si="11"/>
        <v>2</v>
      </c>
      <c r="H240" s="41" t="str">
        <f>INDEX('0.시간표데이터'!$E$52:$AR$78,QUOTIENT(ROW(A234)-1,40)+1,MOD(ROW(A234)-1,40)+1)</f>
        <v>체육</v>
      </c>
      <c r="I240" s="77"/>
      <c r="J240" s="26"/>
      <c r="K240" s="180"/>
      <c r="L240" s="180"/>
      <c r="M240" s="10"/>
      <c r="N240" s="10"/>
      <c r="O240" s="10"/>
      <c r="P240" s="10"/>
      <c r="Q240" s="164"/>
      <c r="R240" s="110"/>
    </row>
    <row r="241" spans="1:18" ht="13.5" customHeight="1">
      <c r="A241" s="90">
        <v>235</v>
      </c>
      <c r="B241" s="24">
        <f>DATE('1.연간시수표'!$U$44,'1.연간시수표'!$X$44,'1.연간시수표'!$Z$44)+QUOTIENT(ROW(A235)-1,8)+(QUOTIENT(ROW(A235)-1,40)*2)</f>
        <v>44838</v>
      </c>
      <c r="C241" s="24" t="str">
        <f t="shared" si="9"/>
        <v>화</v>
      </c>
      <c r="D241" s="116" t="str">
        <f t="shared" si="10"/>
        <v>3교시</v>
      </c>
      <c r="E241" s="68">
        <f>COUNTIF($H$7:$H241,$H241)</f>
        <v>16</v>
      </c>
      <c r="F241" s="67">
        <f>'1.연간시수표'!$AL$33</f>
        <v>5</v>
      </c>
      <c r="G241" s="115">
        <f t="shared" si="11"/>
        <v>2</v>
      </c>
      <c r="H241" s="41" t="str">
        <f>INDEX('0.시간표데이터'!$E$52:$AR$78,QUOTIENT(ROW(A235)-1,40)+1,MOD(ROW(A235)-1,40)+1)</f>
        <v>수학</v>
      </c>
      <c r="I241" s="77"/>
      <c r="J241" s="26"/>
      <c r="K241" s="180"/>
      <c r="L241" s="180"/>
      <c r="M241" s="10"/>
      <c r="N241" s="10"/>
      <c r="O241" s="10"/>
      <c r="P241" s="10"/>
      <c r="Q241" s="164"/>
      <c r="R241" s="110"/>
    </row>
    <row r="242" spans="1:18" ht="13.5" customHeight="1">
      <c r="A242" s="90">
        <v>236</v>
      </c>
      <c r="B242" s="24">
        <f>DATE('1.연간시수표'!$U$44,'1.연간시수표'!$X$44,'1.연간시수표'!$Z$44)+QUOTIENT(ROW(A236)-1,8)+(QUOTIENT(ROW(A236)-1,40)*2)</f>
        <v>44838</v>
      </c>
      <c r="C242" s="24" t="str">
        <f t="shared" si="9"/>
        <v>화</v>
      </c>
      <c r="D242" s="116" t="str">
        <f t="shared" si="10"/>
        <v>4교시</v>
      </c>
      <c r="E242" s="68">
        <f>COUNTIF($H$7:$H242,$H242)</f>
        <v>28</v>
      </c>
      <c r="F242" s="67">
        <f>'1.연간시수표'!$AL$33</f>
        <v>5</v>
      </c>
      <c r="G242" s="115">
        <f t="shared" si="11"/>
        <v>2</v>
      </c>
      <c r="H242" s="41" t="str">
        <f>INDEX('0.시간표데이터'!$E$52:$AR$78,QUOTIENT(ROW(A236)-1,40)+1,MOD(ROW(A236)-1,40)+1)</f>
        <v>국어</v>
      </c>
      <c r="I242" s="77"/>
      <c r="J242" s="26"/>
      <c r="K242" s="180"/>
      <c r="L242" s="180"/>
      <c r="M242" s="10"/>
      <c r="N242" s="10"/>
      <c r="O242" s="10"/>
      <c r="P242" s="10"/>
      <c r="Q242" s="164"/>
      <c r="R242" s="110"/>
    </row>
    <row r="243" spans="1:18" ht="13.5" customHeight="1">
      <c r="A243" s="90">
        <v>237</v>
      </c>
      <c r="B243" s="24">
        <f>DATE('1.연간시수표'!$U$44,'1.연간시수표'!$X$44,'1.연간시수표'!$Z$44)+QUOTIENT(ROW(A237)-1,8)+(QUOTIENT(ROW(A237)-1,40)*2)</f>
        <v>44838</v>
      </c>
      <c r="C243" s="24" t="str">
        <f t="shared" si="9"/>
        <v>화</v>
      </c>
      <c r="D243" s="116" t="str">
        <f t="shared" si="10"/>
        <v>5교시</v>
      </c>
      <c r="E243" s="68">
        <f>COUNTIF($H$7:$H243,$H243)</f>
        <v>15</v>
      </c>
      <c r="F243" s="67">
        <f>'1.연간시수표'!$AL$33</f>
        <v>5</v>
      </c>
      <c r="G243" s="115">
        <f t="shared" si="11"/>
        <v>2</v>
      </c>
      <c r="H243" s="41" t="str">
        <f>INDEX('0.시간표데이터'!$E$52:$AR$78,QUOTIENT(ROW(A237)-1,40)+1,MOD(ROW(A237)-1,40)+1)</f>
        <v>사회</v>
      </c>
      <c r="I243" s="77"/>
      <c r="J243" s="26"/>
      <c r="K243" s="180"/>
      <c r="L243" s="180"/>
      <c r="M243" s="10"/>
      <c r="N243" s="10"/>
      <c r="O243" s="10"/>
      <c r="P243" s="10"/>
      <c r="Q243" s="164"/>
      <c r="R243" s="110"/>
    </row>
    <row r="244" spans="1:18" ht="13.5" customHeight="1">
      <c r="A244" s="90">
        <v>238</v>
      </c>
      <c r="B244" s="24">
        <f>DATE('1.연간시수표'!$U$44,'1.연간시수표'!$X$44,'1.연간시수표'!$Z$44)+QUOTIENT(ROW(A238)-1,8)+(QUOTIENT(ROW(A238)-1,40)*2)</f>
        <v>44838</v>
      </c>
      <c r="C244" s="24" t="str">
        <f t="shared" si="9"/>
        <v>화</v>
      </c>
      <c r="D244" s="116" t="str">
        <f t="shared" si="10"/>
        <v>6교시</v>
      </c>
      <c r="E244" s="68">
        <f>COUNTIF($H$7:$H244,$H244)</f>
        <v>10</v>
      </c>
      <c r="F244" s="67">
        <f>'1.연간시수표'!$AL$33</f>
        <v>5</v>
      </c>
      <c r="G244" s="115">
        <f t="shared" si="11"/>
        <v>2</v>
      </c>
      <c r="H244" s="41" t="str">
        <f>INDEX('0.시간표데이터'!$E$52:$AR$78,QUOTIENT(ROW(A238)-1,40)+1,MOD(ROW(A238)-1,40)+1)</f>
        <v>실과</v>
      </c>
      <c r="I244" s="77"/>
      <c r="J244" s="26"/>
      <c r="K244" s="167"/>
      <c r="L244" s="167"/>
      <c r="M244" s="166"/>
      <c r="N244" s="166"/>
      <c r="O244" s="166"/>
      <c r="P244" s="166"/>
      <c r="Q244" s="167"/>
      <c r="R244" s="111"/>
    </row>
    <row r="245" spans="1:18" ht="13.5" customHeight="1">
      <c r="A245" s="90">
        <v>239</v>
      </c>
      <c r="B245" s="24">
        <f>DATE('1.연간시수표'!$U$44,'1.연간시수표'!$X$44,'1.연간시수표'!$Z$44)+QUOTIENT(ROW(A239)-1,8)+(QUOTIENT(ROW(A239)-1,40)*2)</f>
        <v>44838</v>
      </c>
      <c r="C245" s="24" t="str">
        <f t="shared" si="9"/>
        <v>화</v>
      </c>
      <c r="D245" s="116" t="str">
        <f t="shared" si="10"/>
        <v>7교시</v>
      </c>
      <c r="E245" s="68">
        <f>COUNTIF($H$7:$H245,$H245)</f>
        <v>100</v>
      </c>
      <c r="F245" s="67">
        <f>'1.연간시수표'!$AL$33</f>
        <v>5</v>
      </c>
      <c r="G245" s="115">
        <f t="shared" si="11"/>
        <v>2</v>
      </c>
      <c r="H245" s="41" t="str">
        <f>INDEX('0.시간표데이터'!$E$52:$AR$78,QUOTIENT(ROW(A239)-1,40)+1,MOD(ROW(A239)-1,40)+1)</f>
        <v>_</v>
      </c>
      <c r="I245" s="76"/>
      <c r="J245" s="26"/>
      <c r="K245" s="167"/>
      <c r="L245" s="167"/>
      <c r="M245" s="166"/>
      <c r="N245" s="166"/>
      <c r="O245" s="166"/>
      <c r="P245" s="166"/>
      <c r="Q245" s="167"/>
      <c r="R245" s="111"/>
    </row>
    <row r="246" spans="1:18" ht="13.5" customHeight="1">
      <c r="A246" s="90">
        <v>240</v>
      </c>
      <c r="B246" s="24">
        <f>DATE('1.연간시수표'!$U$44,'1.연간시수표'!$X$44,'1.연간시수표'!$Z$44)+QUOTIENT(ROW(A240)-1,8)+(QUOTIENT(ROW(A240)-1,40)*2)</f>
        <v>44838</v>
      </c>
      <c r="C246" s="24" t="str">
        <f t="shared" si="9"/>
        <v>화</v>
      </c>
      <c r="D246" s="116" t="str">
        <f t="shared" si="10"/>
        <v>8교시</v>
      </c>
      <c r="E246" s="68">
        <f>COUNTIF($H$7:$H246,$H246)</f>
        <v>101</v>
      </c>
      <c r="F246" s="67">
        <f>'1.연간시수표'!$AL$33</f>
        <v>5</v>
      </c>
      <c r="G246" s="115">
        <f t="shared" si="11"/>
        <v>2</v>
      </c>
      <c r="H246" s="41" t="str">
        <f>INDEX('0.시간표데이터'!$E$52:$AR$78,QUOTIENT(ROW(A240)-1,40)+1,MOD(ROW(A240)-1,40)+1)</f>
        <v>_</v>
      </c>
      <c r="I246" s="76"/>
      <c r="J246" s="26"/>
      <c r="K246" s="167"/>
      <c r="L246" s="167"/>
      <c r="M246" s="166"/>
      <c r="N246" s="166"/>
      <c r="O246" s="166"/>
      <c r="P246" s="166"/>
      <c r="Q246" s="167"/>
      <c r="R246" s="111"/>
    </row>
    <row r="247" spans="1:18">
      <c r="A247" s="90">
        <v>241</v>
      </c>
      <c r="B247" s="24">
        <f>DATE('1.연간시수표'!$U$44,'1.연간시수표'!$X$44,'1.연간시수표'!$Z$44)+QUOTIENT(ROW(A241)-1,8)+(QUOTIENT(ROW(A241)-1,40)*2)</f>
        <v>44841</v>
      </c>
      <c r="C247" s="24" t="str">
        <f t="shared" si="9"/>
        <v>금</v>
      </c>
      <c r="D247" s="116" t="str">
        <f t="shared" si="10"/>
        <v>1교시</v>
      </c>
      <c r="E247" s="68">
        <f>COUNTIF($H$7:$H247,$H247)</f>
        <v>102</v>
      </c>
      <c r="F247" s="67">
        <f>'1.연간시수표'!$AL$33</f>
        <v>5</v>
      </c>
      <c r="G247" s="115">
        <f t="shared" si="11"/>
        <v>2</v>
      </c>
      <c r="H247" s="41" t="str">
        <f>INDEX('0.시간표데이터'!$E$52:$AR$78,QUOTIENT(ROW(A241)-1,40)+1,MOD(ROW(A241)-1,40)+1)</f>
        <v>_</v>
      </c>
      <c r="I247" s="77"/>
      <c r="J247" s="26"/>
      <c r="K247" s="164"/>
      <c r="L247" s="164"/>
      <c r="M247" s="10"/>
      <c r="N247" s="10"/>
      <c r="O247" s="10"/>
      <c r="P247" s="10"/>
      <c r="Q247" s="164"/>
      <c r="R247" s="110"/>
    </row>
    <row r="248" spans="1:18">
      <c r="A248" s="90">
        <v>242</v>
      </c>
      <c r="B248" s="24">
        <f>DATE('1.연간시수표'!$U$44,'1.연간시수표'!$X$44,'1.연간시수표'!$Z$44)+QUOTIENT(ROW(A242)-1,8)+(QUOTIENT(ROW(A242)-1,40)*2)</f>
        <v>44841</v>
      </c>
      <c r="C248" s="24" t="str">
        <f t="shared" si="9"/>
        <v>금</v>
      </c>
      <c r="D248" s="116" t="str">
        <f t="shared" si="10"/>
        <v>2교시</v>
      </c>
      <c r="E248" s="68">
        <f>COUNTIF($H$7:$H248,$H248)</f>
        <v>103</v>
      </c>
      <c r="F248" s="67">
        <f>'1.연간시수표'!$AL$33</f>
        <v>5</v>
      </c>
      <c r="G248" s="115">
        <f t="shared" si="11"/>
        <v>2</v>
      </c>
      <c r="H248" s="41" t="str">
        <f>INDEX('0.시간표데이터'!$E$52:$AR$78,QUOTIENT(ROW(A242)-1,40)+1,MOD(ROW(A242)-1,40)+1)</f>
        <v>_</v>
      </c>
      <c r="I248" s="161"/>
      <c r="J248" s="26"/>
      <c r="K248" s="180"/>
      <c r="L248" s="180"/>
      <c r="M248" s="10"/>
      <c r="N248" s="10"/>
      <c r="O248" s="10"/>
      <c r="P248" s="10"/>
      <c r="Q248" s="164"/>
      <c r="R248" s="110"/>
    </row>
    <row r="249" spans="1:18" ht="13.5" customHeight="1">
      <c r="A249" s="90">
        <v>243</v>
      </c>
      <c r="B249" s="24">
        <f>DATE('1.연간시수표'!$U$44,'1.연간시수표'!$X$44,'1.연간시수표'!$Z$44)+QUOTIENT(ROW(A243)-1,8)+(QUOTIENT(ROW(A243)-1,40)*2)</f>
        <v>44841</v>
      </c>
      <c r="C249" s="24" t="str">
        <f t="shared" si="9"/>
        <v>금</v>
      </c>
      <c r="D249" s="116" t="str">
        <f t="shared" si="10"/>
        <v>3교시</v>
      </c>
      <c r="E249" s="68">
        <f>COUNTIF($H$7:$H249,$H249)</f>
        <v>104</v>
      </c>
      <c r="F249" s="67">
        <f>'1.연간시수표'!$AL$33</f>
        <v>5</v>
      </c>
      <c r="G249" s="115">
        <f t="shared" si="11"/>
        <v>2</v>
      </c>
      <c r="H249" s="41" t="str">
        <f>INDEX('0.시간표데이터'!$E$52:$AR$78,QUOTIENT(ROW(A243)-1,40)+1,MOD(ROW(A243)-1,40)+1)</f>
        <v>_</v>
      </c>
      <c r="I249" s="77"/>
      <c r="J249" s="26"/>
      <c r="K249" s="180"/>
      <c r="L249" s="180"/>
      <c r="M249" s="10"/>
      <c r="N249" s="10"/>
      <c r="O249" s="10"/>
      <c r="P249" s="10"/>
      <c r="Q249" s="164"/>
      <c r="R249" s="110"/>
    </row>
    <row r="250" spans="1:18" ht="13.5" customHeight="1">
      <c r="A250" s="90">
        <v>244</v>
      </c>
      <c r="B250" s="24">
        <f>DATE('1.연간시수표'!$U$44,'1.연간시수표'!$X$44,'1.연간시수표'!$Z$44)+QUOTIENT(ROW(A244)-1,8)+(QUOTIENT(ROW(A244)-1,40)*2)</f>
        <v>44841</v>
      </c>
      <c r="C250" s="24" t="str">
        <f t="shared" si="9"/>
        <v>금</v>
      </c>
      <c r="D250" s="116" t="str">
        <f t="shared" si="10"/>
        <v>4교시</v>
      </c>
      <c r="E250" s="68">
        <f>COUNTIF($H$7:$H250,$H250)</f>
        <v>105</v>
      </c>
      <c r="F250" s="67">
        <f>'1.연간시수표'!$AL$33</f>
        <v>5</v>
      </c>
      <c r="G250" s="115">
        <f t="shared" si="11"/>
        <v>2</v>
      </c>
      <c r="H250" s="41" t="str">
        <f>INDEX('0.시간표데이터'!$E$52:$AR$78,QUOTIENT(ROW(A244)-1,40)+1,MOD(ROW(A244)-1,40)+1)</f>
        <v>_</v>
      </c>
      <c r="I250" s="77"/>
      <c r="J250" s="26"/>
      <c r="K250" s="180"/>
      <c r="L250" s="180"/>
      <c r="M250" s="10"/>
      <c r="N250" s="10"/>
      <c r="O250" s="10"/>
      <c r="P250" s="10"/>
      <c r="Q250" s="164"/>
      <c r="R250" s="110"/>
    </row>
    <row r="251" spans="1:18" ht="13.5" customHeight="1">
      <c r="A251" s="90">
        <v>245</v>
      </c>
      <c r="B251" s="24">
        <f>DATE('1.연간시수표'!$U$44,'1.연간시수표'!$X$44,'1.연간시수표'!$Z$44)+QUOTIENT(ROW(A245)-1,8)+(QUOTIENT(ROW(A245)-1,40)*2)</f>
        <v>44841</v>
      </c>
      <c r="C251" s="24" t="str">
        <f t="shared" si="9"/>
        <v>금</v>
      </c>
      <c r="D251" s="116" t="str">
        <f t="shared" si="10"/>
        <v>5교시</v>
      </c>
      <c r="E251" s="68">
        <f>COUNTIF($H$7:$H251,$H251)</f>
        <v>106</v>
      </c>
      <c r="F251" s="67">
        <f>'1.연간시수표'!$AL$33</f>
        <v>5</v>
      </c>
      <c r="G251" s="115">
        <f t="shared" si="11"/>
        <v>2</v>
      </c>
      <c r="H251" s="41" t="str">
        <f>INDEX('0.시간표데이터'!$E$52:$AR$78,QUOTIENT(ROW(A245)-1,40)+1,MOD(ROW(A245)-1,40)+1)</f>
        <v>_</v>
      </c>
      <c r="I251" s="77"/>
      <c r="J251" s="26"/>
      <c r="K251" s="180"/>
      <c r="L251" s="180"/>
      <c r="M251" s="10"/>
      <c r="N251" s="10"/>
      <c r="O251" s="10"/>
      <c r="P251" s="10"/>
      <c r="Q251" s="164"/>
      <c r="R251" s="110"/>
    </row>
    <row r="252" spans="1:18" ht="13.5" customHeight="1">
      <c r="A252" s="90">
        <v>246</v>
      </c>
      <c r="B252" s="24">
        <f>DATE('1.연간시수표'!$U$44,'1.연간시수표'!$X$44,'1.연간시수표'!$Z$44)+QUOTIENT(ROW(A246)-1,8)+(QUOTIENT(ROW(A246)-1,40)*2)</f>
        <v>44841</v>
      </c>
      <c r="C252" s="24" t="str">
        <f t="shared" si="9"/>
        <v>금</v>
      </c>
      <c r="D252" s="116" t="str">
        <f t="shared" si="10"/>
        <v>6교시</v>
      </c>
      <c r="E252" s="68">
        <f>COUNTIF($H$7:$H252,$H252)</f>
        <v>107</v>
      </c>
      <c r="F252" s="67">
        <f>'1.연간시수표'!$AL$33</f>
        <v>5</v>
      </c>
      <c r="G252" s="115">
        <f t="shared" si="11"/>
        <v>2</v>
      </c>
      <c r="H252" s="41" t="str">
        <f>INDEX('0.시간표데이터'!$E$52:$AR$78,QUOTIENT(ROW(A246)-1,40)+1,MOD(ROW(A246)-1,40)+1)</f>
        <v>_</v>
      </c>
      <c r="I252" s="77"/>
      <c r="J252" s="26"/>
      <c r="K252" s="167"/>
      <c r="L252" s="167"/>
      <c r="M252" s="166"/>
      <c r="N252" s="166"/>
      <c r="O252" s="166"/>
      <c r="P252" s="166"/>
      <c r="Q252" s="167"/>
      <c r="R252" s="111"/>
    </row>
    <row r="253" spans="1:18" ht="13.5" customHeight="1">
      <c r="A253" s="90">
        <v>247</v>
      </c>
      <c r="B253" s="24">
        <f>DATE('1.연간시수표'!$U$44,'1.연간시수표'!$X$44,'1.연간시수표'!$Z$44)+QUOTIENT(ROW(A247)-1,8)+(QUOTIENT(ROW(A247)-1,40)*2)</f>
        <v>44841</v>
      </c>
      <c r="C253" s="24" t="str">
        <f t="shared" si="9"/>
        <v>금</v>
      </c>
      <c r="D253" s="116" t="str">
        <f t="shared" si="10"/>
        <v>7교시</v>
      </c>
      <c r="E253" s="68">
        <f>COUNTIF($H$7:$H253,$H253)</f>
        <v>108</v>
      </c>
      <c r="F253" s="67">
        <f>'1.연간시수표'!$AL$33</f>
        <v>5</v>
      </c>
      <c r="G253" s="115">
        <f t="shared" si="11"/>
        <v>2</v>
      </c>
      <c r="H253" s="41" t="str">
        <f>INDEX('0.시간표데이터'!$E$52:$AR$78,QUOTIENT(ROW(A247)-1,40)+1,MOD(ROW(A247)-1,40)+1)</f>
        <v>_</v>
      </c>
      <c r="I253" s="76"/>
      <c r="J253" s="26"/>
      <c r="K253" s="167"/>
      <c r="L253" s="167"/>
      <c r="M253" s="166"/>
      <c r="N253" s="166"/>
      <c r="O253" s="166"/>
      <c r="P253" s="166"/>
      <c r="Q253" s="167"/>
      <c r="R253" s="111"/>
    </row>
    <row r="254" spans="1:18" ht="13.5" customHeight="1">
      <c r="A254" s="90">
        <v>248</v>
      </c>
      <c r="B254" s="24">
        <f>DATE('1.연간시수표'!$U$44,'1.연간시수표'!$X$44,'1.연간시수표'!$Z$44)+QUOTIENT(ROW(A248)-1,8)+(QUOTIENT(ROW(A248)-1,40)*2)</f>
        <v>44841</v>
      </c>
      <c r="C254" s="24" t="str">
        <f t="shared" si="9"/>
        <v>금</v>
      </c>
      <c r="D254" s="116" t="str">
        <f t="shared" si="10"/>
        <v>8교시</v>
      </c>
      <c r="E254" s="68">
        <f>COUNTIF($H$7:$H254,$H254)</f>
        <v>109</v>
      </c>
      <c r="F254" s="67">
        <f>'1.연간시수표'!$AL$33</f>
        <v>5</v>
      </c>
      <c r="G254" s="115">
        <f t="shared" si="11"/>
        <v>2</v>
      </c>
      <c r="H254" s="41" t="str">
        <f>INDEX('0.시간표데이터'!$E$52:$AR$78,QUOTIENT(ROW(A248)-1,40)+1,MOD(ROW(A248)-1,40)+1)</f>
        <v>_</v>
      </c>
      <c r="I254" s="76"/>
      <c r="J254" s="26"/>
      <c r="K254" s="167"/>
      <c r="L254" s="167"/>
      <c r="M254" s="166"/>
      <c r="N254" s="166"/>
      <c r="O254" s="166"/>
      <c r="P254" s="166"/>
      <c r="Q254" s="167"/>
      <c r="R254" s="111"/>
    </row>
    <row r="255" spans="1:18" ht="13.5" customHeight="1">
      <c r="A255" s="90">
        <v>249</v>
      </c>
      <c r="B255" s="24">
        <f>DATE('1.연간시수표'!$U$44,'1.연간시수표'!$X$44,'1.연간시수표'!$Z$44)+QUOTIENT(ROW(A249)-1,8)+(QUOTIENT(ROW(A249)-1,40)*2)</f>
        <v>44842</v>
      </c>
      <c r="C255" s="24" t="b">
        <f t="shared" si="9"/>
        <v>0</v>
      </c>
      <c r="D255" s="116" t="str">
        <f t="shared" si="10"/>
        <v>1교시</v>
      </c>
      <c r="E255" s="68">
        <f>COUNTIF($H$7:$H255,$H255)</f>
        <v>29</v>
      </c>
      <c r="F255" s="67">
        <f>'1.연간시수표'!$AL$33</f>
        <v>5</v>
      </c>
      <c r="G255" s="115">
        <f t="shared" si="11"/>
        <v>2</v>
      </c>
      <c r="H255" s="41" t="str">
        <f>INDEX('0.시간표데이터'!$E$52:$AR$78,QUOTIENT(ROW(A249)-1,40)+1,MOD(ROW(A249)-1,40)+1)</f>
        <v>국어</v>
      </c>
      <c r="I255" s="77"/>
      <c r="J255" s="26"/>
      <c r="K255" s="180"/>
      <c r="L255" s="180"/>
      <c r="M255" s="10"/>
      <c r="N255" s="10"/>
      <c r="O255" s="10"/>
      <c r="P255" s="10"/>
      <c r="Q255" s="164"/>
      <c r="R255" s="110"/>
    </row>
    <row r="256" spans="1:18" ht="13.5" customHeight="1">
      <c r="A256" s="90">
        <v>250</v>
      </c>
      <c r="B256" s="24">
        <f>DATE('1.연간시수표'!$U$44,'1.연간시수표'!$X$44,'1.연간시수표'!$Z$44)+QUOTIENT(ROW(A250)-1,8)+(QUOTIENT(ROW(A250)-1,40)*2)</f>
        <v>44842</v>
      </c>
      <c r="C256" s="24" t="b">
        <f t="shared" si="9"/>
        <v>0</v>
      </c>
      <c r="D256" s="116" t="str">
        <f t="shared" si="10"/>
        <v>2교시</v>
      </c>
      <c r="E256" s="68">
        <f>COUNTIF($H$7:$H256,$H256)</f>
        <v>30</v>
      </c>
      <c r="F256" s="67">
        <f>'1.연간시수표'!$AL$33</f>
        <v>5</v>
      </c>
      <c r="G256" s="115">
        <f t="shared" si="11"/>
        <v>2</v>
      </c>
      <c r="H256" s="41" t="str">
        <f>INDEX('0.시간표데이터'!$E$52:$AR$78,QUOTIENT(ROW(A250)-1,40)+1,MOD(ROW(A250)-1,40)+1)</f>
        <v>국어</v>
      </c>
      <c r="I256" s="161"/>
      <c r="J256" s="26"/>
      <c r="K256" s="180"/>
      <c r="L256" s="180"/>
      <c r="M256" s="10"/>
      <c r="N256" s="10"/>
      <c r="O256" s="10"/>
      <c r="P256" s="10"/>
      <c r="Q256" s="164"/>
      <c r="R256" s="110"/>
    </row>
    <row r="257" spans="1:18" ht="13.5" customHeight="1">
      <c r="A257" s="90">
        <v>251</v>
      </c>
      <c r="B257" s="24">
        <f>DATE('1.연간시수표'!$U$44,'1.연간시수표'!$X$44,'1.연간시수표'!$Z$44)+QUOTIENT(ROW(A251)-1,8)+(QUOTIENT(ROW(A251)-1,40)*2)</f>
        <v>44842</v>
      </c>
      <c r="C257" s="24" t="b">
        <f t="shared" si="9"/>
        <v>0</v>
      </c>
      <c r="D257" s="116" t="str">
        <f t="shared" si="10"/>
        <v>3교시</v>
      </c>
      <c r="E257" s="68">
        <f>COUNTIF($H$7:$H257,$H257)</f>
        <v>16</v>
      </c>
      <c r="F257" s="67">
        <f>'1.연간시수표'!$AL$33</f>
        <v>5</v>
      </c>
      <c r="G257" s="115">
        <f t="shared" si="11"/>
        <v>2</v>
      </c>
      <c r="H257" s="41" t="str">
        <f>INDEX('0.시간표데이터'!$E$52:$AR$78,QUOTIENT(ROW(A251)-1,40)+1,MOD(ROW(A251)-1,40)+1)</f>
        <v>사회</v>
      </c>
      <c r="I257" s="77"/>
      <c r="J257" s="26"/>
      <c r="K257" s="164"/>
      <c r="L257" s="164"/>
      <c r="M257" s="10"/>
      <c r="N257" s="10"/>
      <c r="O257" s="10"/>
      <c r="P257" s="10"/>
      <c r="Q257" s="164"/>
      <c r="R257" s="110"/>
    </row>
    <row r="258" spans="1:18" ht="13.5" customHeight="1">
      <c r="A258" s="90">
        <v>252</v>
      </c>
      <c r="B258" s="24">
        <f>DATE('1.연간시수표'!$U$44,'1.연간시수표'!$X$44,'1.연간시수표'!$Z$44)+QUOTIENT(ROW(A252)-1,8)+(QUOTIENT(ROW(A252)-1,40)*2)</f>
        <v>44842</v>
      </c>
      <c r="C258" s="24" t="b">
        <f t="shared" si="9"/>
        <v>0</v>
      </c>
      <c r="D258" s="116" t="str">
        <f t="shared" si="10"/>
        <v>4교시</v>
      </c>
      <c r="E258" s="68">
        <f>COUNTIF($H$7:$H258,$H258)</f>
        <v>17</v>
      </c>
      <c r="F258" s="67">
        <f>'1.연간시수표'!$AL$33</f>
        <v>5</v>
      </c>
      <c r="G258" s="115">
        <f t="shared" si="11"/>
        <v>2</v>
      </c>
      <c r="H258" s="41" t="str">
        <f>INDEX('0.시간표데이터'!$E$52:$AR$78,QUOTIENT(ROW(A252)-1,40)+1,MOD(ROW(A252)-1,40)+1)</f>
        <v>수학</v>
      </c>
      <c r="I258" s="77"/>
      <c r="J258" s="26"/>
      <c r="K258" s="180"/>
      <c r="L258" s="180"/>
      <c r="M258" s="10"/>
      <c r="N258" s="10"/>
      <c r="O258" s="10"/>
      <c r="P258" s="10"/>
      <c r="Q258" s="164"/>
      <c r="R258" s="110"/>
    </row>
    <row r="259" spans="1:18" ht="13.5" customHeight="1">
      <c r="A259" s="90">
        <v>253</v>
      </c>
      <c r="B259" s="24">
        <f>DATE('1.연간시수표'!$U$44,'1.연간시수표'!$X$44,'1.연간시수표'!$Z$44)+QUOTIENT(ROW(A253)-1,8)+(QUOTIENT(ROW(A253)-1,40)*2)</f>
        <v>44842</v>
      </c>
      <c r="C259" s="24" t="b">
        <f t="shared" si="9"/>
        <v>0</v>
      </c>
      <c r="D259" s="116" t="str">
        <f t="shared" si="10"/>
        <v>5교시</v>
      </c>
      <c r="E259" s="68">
        <f>COUNTIF($H$7:$H259,$H259)</f>
        <v>15</v>
      </c>
      <c r="F259" s="67">
        <f>'1.연간시수표'!$AL$33</f>
        <v>5</v>
      </c>
      <c r="G259" s="115">
        <f t="shared" si="11"/>
        <v>2</v>
      </c>
      <c r="H259" s="41" t="str">
        <f>INDEX('0.시간표데이터'!$E$52:$AR$78,QUOTIENT(ROW(A253)-1,40)+1,MOD(ROW(A253)-1,40)+1)</f>
        <v>과학</v>
      </c>
      <c r="I259" s="77"/>
      <c r="J259" s="26"/>
      <c r="K259" s="180"/>
      <c r="L259" s="180"/>
      <c r="M259" s="10"/>
      <c r="N259" s="10"/>
      <c r="O259" s="10"/>
      <c r="P259" s="10"/>
      <c r="Q259" s="164"/>
      <c r="R259" s="110"/>
    </row>
    <row r="260" spans="1:18" ht="13.5" customHeight="1">
      <c r="A260" s="90">
        <v>254</v>
      </c>
      <c r="B260" s="24">
        <f>DATE('1.연간시수표'!$U$44,'1.연간시수표'!$X$44,'1.연간시수표'!$Z$44)+QUOTIENT(ROW(A254)-1,8)+(QUOTIENT(ROW(A254)-1,40)*2)</f>
        <v>44842</v>
      </c>
      <c r="C260" s="24" t="b">
        <f t="shared" si="9"/>
        <v>0</v>
      </c>
      <c r="D260" s="116" t="str">
        <f t="shared" si="10"/>
        <v>6교시</v>
      </c>
      <c r="E260" s="68">
        <f>COUNTIF($H$7:$H260,$H260)</f>
        <v>11</v>
      </c>
      <c r="F260" s="67">
        <f>'1.연간시수표'!$AL$33</f>
        <v>5</v>
      </c>
      <c r="G260" s="115">
        <f t="shared" si="11"/>
        <v>2</v>
      </c>
      <c r="H260" s="41" t="str">
        <f>INDEX('0.시간표데이터'!$E$52:$AR$78,QUOTIENT(ROW(A254)-1,40)+1,MOD(ROW(A254)-1,40)+1)</f>
        <v>실과</v>
      </c>
      <c r="I260" s="77"/>
      <c r="J260" s="26"/>
      <c r="K260" s="167"/>
      <c r="L260" s="167"/>
      <c r="M260" s="166"/>
      <c r="N260" s="166"/>
      <c r="O260" s="166"/>
      <c r="P260" s="166"/>
      <c r="Q260" s="167"/>
      <c r="R260" s="111"/>
    </row>
    <row r="261" spans="1:18" ht="13.5" customHeight="1">
      <c r="A261" s="90">
        <v>255</v>
      </c>
      <c r="B261" s="24">
        <f>DATE('1.연간시수표'!$U$44,'1.연간시수표'!$X$44,'1.연간시수표'!$Z$44)+QUOTIENT(ROW(A255)-1,8)+(QUOTIENT(ROW(A255)-1,40)*2)</f>
        <v>44842</v>
      </c>
      <c r="C261" s="24" t="b">
        <f t="shared" si="9"/>
        <v>0</v>
      </c>
      <c r="D261" s="116" t="str">
        <f t="shared" si="10"/>
        <v>7교시</v>
      </c>
      <c r="E261" s="68">
        <f>COUNTIF($H$7:$H261,$H261)</f>
        <v>110</v>
      </c>
      <c r="F261" s="67">
        <f>'1.연간시수표'!$AL$33</f>
        <v>5</v>
      </c>
      <c r="G261" s="115">
        <f t="shared" si="11"/>
        <v>2</v>
      </c>
      <c r="H261" s="41" t="str">
        <f>INDEX('0.시간표데이터'!$E$52:$AR$78,QUOTIENT(ROW(A255)-1,40)+1,MOD(ROW(A255)-1,40)+1)</f>
        <v>_</v>
      </c>
      <c r="I261" s="76"/>
      <c r="J261" s="26"/>
      <c r="K261" s="167"/>
      <c r="L261" s="167"/>
      <c r="M261" s="166"/>
      <c r="N261" s="166"/>
      <c r="O261" s="166"/>
      <c r="P261" s="166"/>
      <c r="Q261" s="167"/>
      <c r="R261" s="111"/>
    </row>
    <row r="262" spans="1:18" ht="13.5" customHeight="1">
      <c r="A262" s="90">
        <v>256</v>
      </c>
      <c r="B262" s="24">
        <f>DATE('1.연간시수표'!$U$44,'1.연간시수표'!$X$44,'1.연간시수표'!$Z$44)+QUOTIENT(ROW(A256)-1,8)+(QUOTIENT(ROW(A256)-1,40)*2)</f>
        <v>44842</v>
      </c>
      <c r="C262" s="24" t="b">
        <f t="shared" si="9"/>
        <v>0</v>
      </c>
      <c r="D262" s="116" t="str">
        <f t="shared" si="10"/>
        <v>8교시</v>
      </c>
      <c r="E262" s="68">
        <f>COUNTIF($H$7:$H262,$H262)</f>
        <v>111</v>
      </c>
      <c r="F262" s="67">
        <f>'1.연간시수표'!$AL$33</f>
        <v>5</v>
      </c>
      <c r="G262" s="115">
        <f t="shared" si="11"/>
        <v>2</v>
      </c>
      <c r="H262" s="41" t="str">
        <f>INDEX('0.시간표데이터'!$E$52:$AR$78,QUOTIENT(ROW(A256)-1,40)+1,MOD(ROW(A256)-1,40)+1)</f>
        <v>_</v>
      </c>
      <c r="I262" s="76"/>
      <c r="J262" s="26"/>
      <c r="K262" s="167"/>
      <c r="L262" s="167"/>
      <c r="M262" s="166"/>
      <c r="N262" s="166"/>
      <c r="O262" s="166"/>
      <c r="P262" s="166"/>
      <c r="Q262" s="167"/>
      <c r="R262" s="111"/>
    </row>
    <row r="263" spans="1:18" ht="13.5" customHeight="1">
      <c r="A263" s="90">
        <v>257</v>
      </c>
      <c r="B263" s="24">
        <f>DATE('1.연간시수표'!$U$44,'1.연간시수표'!$X$44,'1.연간시수표'!$Z$44)+QUOTIENT(ROW(A257)-1,8)+(QUOTIENT(ROW(A257)-1,40)*2)</f>
        <v>44843</v>
      </c>
      <c r="C263" s="24" t="b">
        <f t="shared" ref="C263:C326" si="12">IF(WEEKDAY(B263,2)=1,"월",IF(WEEKDAY(B263,2)=2,"화",IF(WEEKDAY(B263,2)=3,"수",IF(WEEKDAY(B263,2)=4,"목",IF(WEEKDAY(B263,2)=5,"금")))))</f>
        <v>0</v>
      </c>
      <c r="D263" s="116" t="str">
        <f t="shared" ref="D263:D326" si="13">TEXT(MOD(ROW(A257)-1,8)+1,"#교시")</f>
        <v>1교시</v>
      </c>
      <c r="E263" s="68">
        <f>COUNTIF($H$7:$H263,$H263)</f>
        <v>15</v>
      </c>
      <c r="F263" s="67">
        <f>'1.연간시수표'!$AL$33</f>
        <v>5</v>
      </c>
      <c r="G263" s="115">
        <f t="shared" ref="G263:G326" si="14">$A$2</f>
        <v>2</v>
      </c>
      <c r="H263" s="41" t="str">
        <f>INDEX('0.시간표데이터'!$E$52:$AR$78,QUOTIENT(ROW(A257)-1,40)+1,MOD(ROW(A257)-1,40)+1)</f>
        <v>영어</v>
      </c>
      <c r="I263" s="77"/>
      <c r="J263" s="26"/>
      <c r="K263" s="180"/>
      <c r="L263" s="180"/>
      <c r="M263" s="10"/>
      <c r="N263" s="10"/>
      <c r="O263" s="10"/>
      <c r="P263" s="10"/>
      <c r="Q263" s="164"/>
      <c r="R263" s="110"/>
    </row>
    <row r="264" spans="1:18" ht="13.5" customHeight="1">
      <c r="A264" s="90">
        <v>258</v>
      </c>
      <c r="B264" s="24">
        <f>DATE('1.연간시수표'!$U$44,'1.연간시수표'!$X$44,'1.연간시수표'!$Z$44)+QUOTIENT(ROW(A258)-1,8)+(QUOTIENT(ROW(A258)-1,40)*2)</f>
        <v>44843</v>
      </c>
      <c r="C264" s="24" t="b">
        <f t="shared" si="12"/>
        <v>0</v>
      </c>
      <c r="D264" s="116" t="str">
        <f t="shared" si="13"/>
        <v>2교시</v>
      </c>
      <c r="E264" s="68">
        <f>COUNTIF($H$7:$H264,$H264)</f>
        <v>16</v>
      </c>
      <c r="F264" s="67">
        <f>'1.연간시수표'!$AL$33</f>
        <v>5</v>
      </c>
      <c r="G264" s="115">
        <f t="shared" si="14"/>
        <v>2</v>
      </c>
      <c r="H264" s="41" t="str">
        <f>INDEX('0.시간표데이터'!$E$52:$AR$78,QUOTIENT(ROW(A258)-1,40)+1,MOD(ROW(A258)-1,40)+1)</f>
        <v>과학</v>
      </c>
      <c r="I264" s="77"/>
      <c r="J264" s="26"/>
      <c r="K264" s="180"/>
      <c r="L264" s="180"/>
      <c r="M264" s="10"/>
      <c r="N264" s="10"/>
      <c r="O264" s="10"/>
      <c r="P264" s="10"/>
      <c r="Q264" s="164"/>
      <c r="R264" s="110"/>
    </row>
    <row r="265" spans="1:18" ht="13.5" customHeight="1">
      <c r="A265" s="90">
        <v>259</v>
      </c>
      <c r="B265" s="24">
        <f>DATE('1.연간시수표'!$U$44,'1.연간시수표'!$X$44,'1.연간시수표'!$Z$44)+QUOTIENT(ROW(A259)-1,8)+(QUOTIENT(ROW(A259)-1,40)*2)</f>
        <v>44843</v>
      </c>
      <c r="C265" s="24" t="b">
        <f t="shared" si="12"/>
        <v>0</v>
      </c>
      <c r="D265" s="116" t="str">
        <f t="shared" si="13"/>
        <v>3교시</v>
      </c>
      <c r="E265" s="68">
        <f>COUNTIF($H$7:$H265,$H265)</f>
        <v>11</v>
      </c>
      <c r="F265" s="67">
        <f>'1.연간시수표'!$AL$33</f>
        <v>5</v>
      </c>
      <c r="G265" s="115">
        <f t="shared" si="14"/>
        <v>2</v>
      </c>
      <c r="H265" s="41" t="str">
        <f>INDEX('0.시간표데이터'!$E$52:$AR$78,QUOTIENT(ROW(A259)-1,40)+1,MOD(ROW(A259)-1,40)+1)</f>
        <v>체육</v>
      </c>
      <c r="I265" s="77"/>
      <c r="J265" s="26"/>
      <c r="K265" s="180"/>
      <c r="L265" s="180"/>
      <c r="M265" s="10"/>
      <c r="N265" s="10"/>
      <c r="O265" s="10"/>
      <c r="P265" s="10"/>
      <c r="Q265" s="164"/>
      <c r="R265" s="110"/>
    </row>
    <row r="266" spans="1:18" ht="13.5" customHeight="1">
      <c r="A266" s="90">
        <v>260</v>
      </c>
      <c r="B266" s="24">
        <f>DATE('1.연간시수표'!$U$44,'1.연간시수표'!$X$44,'1.연간시수표'!$Z$44)+QUOTIENT(ROW(A260)-1,8)+(QUOTIENT(ROW(A260)-1,40)*2)</f>
        <v>44843</v>
      </c>
      <c r="C266" s="24" t="b">
        <f t="shared" si="12"/>
        <v>0</v>
      </c>
      <c r="D266" s="116" t="str">
        <f t="shared" si="13"/>
        <v>4교시</v>
      </c>
      <c r="E266" s="68">
        <f>COUNTIF($H$7:$H266,$H266)</f>
        <v>10</v>
      </c>
      <c r="F266" s="67">
        <f>'1.연간시수표'!$AL$33</f>
        <v>5</v>
      </c>
      <c r="G266" s="115">
        <f t="shared" si="14"/>
        <v>2</v>
      </c>
      <c r="H266" s="41" t="str">
        <f>INDEX('0.시간표데이터'!$E$52:$AR$78,QUOTIENT(ROW(A260)-1,40)+1,MOD(ROW(A260)-1,40)+1)</f>
        <v>음악</v>
      </c>
      <c r="I266" s="77"/>
      <c r="J266" s="26"/>
      <c r="K266" s="180"/>
      <c r="L266" s="180"/>
      <c r="M266" s="10"/>
      <c r="N266" s="10"/>
      <c r="O266" s="10"/>
      <c r="P266" s="10"/>
      <c r="Q266" s="164"/>
      <c r="R266" s="110"/>
    </row>
    <row r="267" spans="1:18" ht="13.5" customHeight="1">
      <c r="A267" s="90">
        <v>261</v>
      </c>
      <c r="B267" s="24">
        <f>DATE('1.연간시수표'!$U$44,'1.연간시수표'!$X$44,'1.연간시수표'!$Z$44)+QUOTIENT(ROW(A261)-1,8)+(QUOTIENT(ROW(A261)-1,40)*2)</f>
        <v>44843</v>
      </c>
      <c r="C267" s="24" t="b">
        <f t="shared" si="12"/>
        <v>0</v>
      </c>
      <c r="D267" s="116" t="str">
        <f t="shared" si="13"/>
        <v>5교시</v>
      </c>
      <c r="E267" s="68">
        <f>COUNTIF($H$7:$H267,$H267)</f>
        <v>6</v>
      </c>
      <c r="F267" s="67">
        <f>'1.연간시수표'!$AL$33</f>
        <v>5</v>
      </c>
      <c r="G267" s="115">
        <f t="shared" si="14"/>
        <v>2</v>
      </c>
      <c r="H267" s="41" t="str">
        <f>INDEX('0.시간표데이터'!$E$52:$AR$78,QUOTIENT(ROW(A261)-1,40)+1,MOD(ROW(A261)-1,40)+1)</f>
        <v>도덕</v>
      </c>
      <c r="I267" s="77"/>
      <c r="J267" s="26"/>
      <c r="K267" s="180"/>
      <c r="L267" s="180"/>
      <c r="M267" s="10"/>
      <c r="N267" s="10"/>
      <c r="O267" s="10"/>
      <c r="P267" s="10"/>
      <c r="Q267" s="164"/>
      <c r="R267" s="110"/>
    </row>
    <row r="268" spans="1:18" ht="13.5" customHeight="1">
      <c r="A268" s="90">
        <v>262</v>
      </c>
      <c r="B268" s="24">
        <f>DATE('1.연간시수표'!$U$44,'1.연간시수표'!$X$44,'1.연간시수표'!$Z$44)+QUOTIENT(ROW(A262)-1,8)+(QUOTIENT(ROW(A262)-1,40)*2)</f>
        <v>44843</v>
      </c>
      <c r="C268" s="24" t="b">
        <f t="shared" si="12"/>
        <v>0</v>
      </c>
      <c r="D268" s="116" t="str">
        <f t="shared" si="13"/>
        <v>6교시</v>
      </c>
      <c r="E268" s="68">
        <f>COUNTIF($H$7:$H268,$H268)</f>
        <v>112</v>
      </c>
      <c r="F268" s="67">
        <f>'1.연간시수표'!$AL$33</f>
        <v>5</v>
      </c>
      <c r="G268" s="115">
        <f t="shared" si="14"/>
        <v>2</v>
      </c>
      <c r="H268" s="41" t="str">
        <f>INDEX('0.시간표데이터'!$E$52:$AR$78,QUOTIENT(ROW(A262)-1,40)+1,MOD(ROW(A262)-1,40)+1)</f>
        <v>_</v>
      </c>
      <c r="I268" s="77"/>
      <c r="J268" s="26"/>
      <c r="K268" s="167"/>
      <c r="L268" s="167"/>
      <c r="M268" s="166"/>
      <c r="N268" s="166"/>
      <c r="O268" s="166"/>
      <c r="P268" s="166"/>
      <c r="Q268" s="167"/>
      <c r="R268" s="111"/>
    </row>
    <row r="269" spans="1:18" ht="13.5" customHeight="1">
      <c r="A269" s="90">
        <v>263</v>
      </c>
      <c r="B269" s="24">
        <f>DATE('1.연간시수표'!$U$44,'1.연간시수표'!$X$44,'1.연간시수표'!$Z$44)+QUOTIENT(ROW(A263)-1,8)+(QUOTIENT(ROW(A263)-1,40)*2)</f>
        <v>44843</v>
      </c>
      <c r="C269" s="24" t="b">
        <f t="shared" si="12"/>
        <v>0</v>
      </c>
      <c r="D269" s="116" t="str">
        <f t="shared" si="13"/>
        <v>7교시</v>
      </c>
      <c r="E269" s="68">
        <f>COUNTIF($H$7:$H269,$H269)</f>
        <v>113</v>
      </c>
      <c r="F269" s="67">
        <f>'1.연간시수표'!$AL$33</f>
        <v>5</v>
      </c>
      <c r="G269" s="115">
        <f t="shared" si="14"/>
        <v>2</v>
      </c>
      <c r="H269" s="41" t="str">
        <f>INDEX('0.시간표데이터'!$E$52:$AR$78,QUOTIENT(ROW(A263)-1,40)+1,MOD(ROW(A263)-1,40)+1)</f>
        <v>_</v>
      </c>
      <c r="I269" s="76"/>
      <c r="J269" s="26"/>
      <c r="K269" s="167"/>
      <c r="L269" s="167"/>
      <c r="M269" s="166"/>
      <c r="N269" s="166"/>
      <c r="O269" s="166"/>
      <c r="P269" s="166"/>
      <c r="Q269" s="167"/>
      <c r="R269" s="111"/>
    </row>
    <row r="270" spans="1:18" ht="13.5" customHeight="1">
      <c r="A270" s="90">
        <v>264</v>
      </c>
      <c r="B270" s="24">
        <f>DATE('1.연간시수표'!$U$44,'1.연간시수표'!$X$44,'1.연간시수표'!$Z$44)+QUOTIENT(ROW(A264)-1,8)+(QUOTIENT(ROW(A264)-1,40)*2)</f>
        <v>44843</v>
      </c>
      <c r="C270" s="24" t="b">
        <f t="shared" si="12"/>
        <v>0</v>
      </c>
      <c r="D270" s="116" t="str">
        <f t="shared" si="13"/>
        <v>8교시</v>
      </c>
      <c r="E270" s="68">
        <f>COUNTIF($H$7:$H270,$H270)</f>
        <v>114</v>
      </c>
      <c r="F270" s="67">
        <f>'1.연간시수표'!$AL$33</f>
        <v>5</v>
      </c>
      <c r="G270" s="115">
        <f t="shared" si="14"/>
        <v>2</v>
      </c>
      <c r="H270" s="41" t="str">
        <f>INDEX('0.시간표데이터'!$E$52:$AR$78,QUOTIENT(ROW(A264)-1,40)+1,MOD(ROW(A264)-1,40)+1)</f>
        <v>_</v>
      </c>
      <c r="I270" s="76"/>
      <c r="J270" s="26"/>
      <c r="K270" s="167"/>
      <c r="L270" s="167"/>
      <c r="M270" s="166"/>
      <c r="N270" s="166"/>
      <c r="O270" s="166"/>
      <c r="P270" s="166"/>
      <c r="Q270" s="167"/>
      <c r="R270" s="111"/>
    </row>
    <row r="271" spans="1:18" ht="13.5" customHeight="1">
      <c r="A271" s="90">
        <v>265</v>
      </c>
      <c r="B271" s="24">
        <f>DATE('1.연간시수표'!$U$44,'1.연간시수표'!$X$44,'1.연간시수표'!$Z$44)+QUOTIENT(ROW(A265)-1,8)+(QUOTIENT(ROW(A265)-1,40)*2)</f>
        <v>44844</v>
      </c>
      <c r="C271" s="24" t="str">
        <f t="shared" si="12"/>
        <v>월</v>
      </c>
      <c r="D271" s="116" t="str">
        <f t="shared" si="13"/>
        <v>1교시</v>
      </c>
      <c r="E271" s="68">
        <f>COUNTIF($H$7:$H271,$H271)</f>
        <v>31</v>
      </c>
      <c r="F271" s="67">
        <f>'1.연간시수표'!$AL$33</f>
        <v>5</v>
      </c>
      <c r="G271" s="115">
        <f t="shared" si="14"/>
        <v>2</v>
      </c>
      <c r="H271" s="41" t="str">
        <f>INDEX('0.시간표데이터'!$E$52:$AR$78,QUOTIENT(ROW(A265)-1,40)+1,MOD(ROW(A265)-1,40)+1)</f>
        <v>국어</v>
      </c>
      <c r="I271" s="77"/>
      <c r="J271" s="26"/>
      <c r="K271" s="180"/>
      <c r="L271" s="180"/>
      <c r="M271" s="10"/>
      <c r="N271" s="10"/>
      <c r="O271" s="10"/>
      <c r="P271" s="10"/>
      <c r="Q271" s="164"/>
      <c r="R271" s="110"/>
    </row>
    <row r="272" spans="1:18" ht="13.5" customHeight="1">
      <c r="A272" s="90">
        <v>266</v>
      </c>
      <c r="B272" s="24">
        <f>DATE('1.연간시수표'!$U$44,'1.연간시수표'!$X$44,'1.연간시수표'!$Z$44)+QUOTIENT(ROW(A266)-1,8)+(QUOTIENT(ROW(A266)-1,40)*2)</f>
        <v>44844</v>
      </c>
      <c r="C272" s="24" t="str">
        <f t="shared" si="12"/>
        <v>월</v>
      </c>
      <c r="D272" s="116" t="str">
        <f t="shared" si="13"/>
        <v>2교시</v>
      </c>
      <c r="E272" s="68">
        <f>COUNTIF($H$7:$H272,$H272)</f>
        <v>8</v>
      </c>
      <c r="F272" s="67">
        <f>'1.연간시수표'!$AL$33</f>
        <v>5</v>
      </c>
      <c r="G272" s="115">
        <f t="shared" si="14"/>
        <v>2</v>
      </c>
      <c r="H272" s="41" t="str">
        <f>INDEX('0.시간표데이터'!$E$52:$AR$78,QUOTIENT(ROW(A266)-1,40)+1,MOD(ROW(A266)-1,40)+1)</f>
        <v>자율활동</v>
      </c>
      <c r="I272" s="161"/>
      <c r="J272" s="26"/>
      <c r="K272" s="180"/>
      <c r="L272" s="180"/>
      <c r="M272" s="10"/>
      <c r="N272" s="10"/>
      <c r="O272" s="10"/>
      <c r="P272" s="10"/>
      <c r="Q272" s="164"/>
      <c r="R272" s="110"/>
    </row>
    <row r="273" spans="1:18" ht="13.5" customHeight="1">
      <c r="A273" s="90">
        <v>267</v>
      </c>
      <c r="B273" s="24">
        <f>DATE('1.연간시수표'!$U$44,'1.연간시수표'!$X$44,'1.연간시수표'!$Z$44)+QUOTIENT(ROW(A267)-1,8)+(QUOTIENT(ROW(A267)-1,40)*2)</f>
        <v>44844</v>
      </c>
      <c r="C273" s="24" t="str">
        <f t="shared" si="12"/>
        <v>월</v>
      </c>
      <c r="D273" s="116" t="str">
        <f t="shared" si="13"/>
        <v>3교시</v>
      </c>
      <c r="E273" s="68">
        <f>COUNTIF($H$7:$H273,$H273)</f>
        <v>17</v>
      </c>
      <c r="F273" s="67">
        <f>'1.연간시수표'!$AL$33</f>
        <v>5</v>
      </c>
      <c r="G273" s="115">
        <f t="shared" si="14"/>
        <v>2</v>
      </c>
      <c r="H273" s="41" t="str">
        <f>INDEX('0.시간표데이터'!$E$52:$AR$78,QUOTIENT(ROW(A267)-1,40)+1,MOD(ROW(A267)-1,40)+1)</f>
        <v>사회</v>
      </c>
      <c r="I273" s="77"/>
      <c r="J273" s="26"/>
      <c r="K273" s="180"/>
      <c r="L273" s="180"/>
      <c r="M273" s="10"/>
      <c r="N273" s="10"/>
      <c r="O273" s="10"/>
      <c r="P273" s="10"/>
      <c r="Q273" s="164"/>
      <c r="R273" s="110"/>
    </row>
    <row r="274" spans="1:18" ht="13.5" customHeight="1">
      <c r="A274" s="90">
        <v>268</v>
      </c>
      <c r="B274" s="24">
        <f>DATE('1.연간시수표'!$U$44,'1.연간시수표'!$X$44,'1.연간시수표'!$Z$44)+QUOTIENT(ROW(A268)-1,8)+(QUOTIENT(ROW(A268)-1,40)*2)</f>
        <v>44844</v>
      </c>
      <c r="C274" s="24" t="str">
        <f t="shared" si="12"/>
        <v>월</v>
      </c>
      <c r="D274" s="116" t="str">
        <f t="shared" si="13"/>
        <v>4교시</v>
      </c>
      <c r="E274" s="68">
        <f>COUNTIF($H$7:$H274,$H274)</f>
        <v>16</v>
      </c>
      <c r="F274" s="67">
        <f>'1.연간시수표'!$AL$33</f>
        <v>5</v>
      </c>
      <c r="G274" s="115">
        <f t="shared" si="14"/>
        <v>2</v>
      </c>
      <c r="H274" s="41" t="str">
        <f>INDEX('0.시간표데이터'!$E$52:$AR$78,QUOTIENT(ROW(A268)-1,40)+1,MOD(ROW(A268)-1,40)+1)</f>
        <v>영어</v>
      </c>
      <c r="I274" s="77"/>
      <c r="J274" s="26"/>
      <c r="K274" s="164"/>
      <c r="L274" s="164"/>
      <c r="M274" s="10"/>
      <c r="N274" s="10"/>
      <c r="O274" s="10"/>
      <c r="P274" s="10"/>
      <c r="Q274" s="164"/>
      <c r="R274" s="110"/>
    </row>
    <row r="275" spans="1:18" ht="13.5" customHeight="1">
      <c r="A275" s="90">
        <v>269</v>
      </c>
      <c r="B275" s="24">
        <f>DATE('1.연간시수표'!$U$44,'1.연간시수표'!$X$44,'1.연간시수표'!$Z$44)+QUOTIENT(ROW(A269)-1,8)+(QUOTIENT(ROW(A269)-1,40)*2)</f>
        <v>44844</v>
      </c>
      <c r="C275" s="24" t="str">
        <f t="shared" si="12"/>
        <v>월</v>
      </c>
      <c r="D275" s="116" t="str">
        <f t="shared" si="13"/>
        <v>5교시</v>
      </c>
      <c r="E275" s="68">
        <f>COUNTIF($H$7:$H275,$H275)</f>
        <v>5</v>
      </c>
      <c r="F275" s="67">
        <f>'1.연간시수표'!$AL$33</f>
        <v>5</v>
      </c>
      <c r="G275" s="115">
        <f t="shared" si="14"/>
        <v>2</v>
      </c>
      <c r="H275" s="41" t="str">
        <f>INDEX('0.시간표데이터'!$E$52:$AR$78,QUOTIENT(ROW(A269)-1,40)+1,MOD(ROW(A269)-1,40)+1)</f>
        <v>동아리활동</v>
      </c>
      <c r="I275" s="77"/>
      <c r="J275" s="26"/>
      <c r="K275" s="180"/>
      <c r="L275" s="180"/>
      <c r="M275" s="10"/>
      <c r="N275" s="10"/>
      <c r="O275" s="10"/>
      <c r="P275" s="10"/>
      <c r="Q275" s="164"/>
      <c r="R275" s="110"/>
    </row>
    <row r="276" spans="1:18" ht="13.5" customHeight="1">
      <c r="A276" s="90">
        <v>270</v>
      </c>
      <c r="B276" s="24">
        <f>DATE('1.연간시수표'!$U$44,'1.연간시수표'!$X$44,'1.연간시수표'!$Z$44)+QUOTIENT(ROW(A270)-1,8)+(QUOTIENT(ROW(A270)-1,40)*2)</f>
        <v>44844</v>
      </c>
      <c r="C276" s="24" t="str">
        <f t="shared" si="12"/>
        <v>월</v>
      </c>
      <c r="D276" s="116" t="str">
        <f t="shared" si="13"/>
        <v>6교시</v>
      </c>
      <c r="E276" s="68">
        <f>COUNTIF($H$7:$H276,$H276)</f>
        <v>6</v>
      </c>
      <c r="F276" s="67">
        <f>'1.연간시수표'!$AL$33</f>
        <v>5</v>
      </c>
      <c r="G276" s="115">
        <f t="shared" si="14"/>
        <v>2</v>
      </c>
      <c r="H276" s="41" t="str">
        <f>INDEX('0.시간표데이터'!$E$52:$AR$78,QUOTIENT(ROW(A270)-1,40)+1,MOD(ROW(A270)-1,40)+1)</f>
        <v>동아리활동</v>
      </c>
      <c r="I276" s="161"/>
      <c r="J276" s="26"/>
      <c r="K276" s="180"/>
      <c r="L276" s="180"/>
      <c r="M276" s="10"/>
      <c r="N276" s="10"/>
      <c r="O276" s="10"/>
      <c r="P276" s="10"/>
      <c r="Q276" s="164"/>
      <c r="R276" s="110"/>
    </row>
    <row r="277" spans="1:18">
      <c r="A277" s="90">
        <v>271</v>
      </c>
      <c r="B277" s="24">
        <f>DATE('1.연간시수표'!$U$44,'1.연간시수표'!$X$44,'1.연간시수표'!$Z$44)+QUOTIENT(ROW(A271)-1,8)+(QUOTIENT(ROW(A271)-1,40)*2)</f>
        <v>44844</v>
      </c>
      <c r="C277" s="24" t="str">
        <f t="shared" si="12"/>
        <v>월</v>
      </c>
      <c r="D277" s="116" t="str">
        <f t="shared" si="13"/>
        <v>7교시</v>
      </c>
      <c r="E277" s="68">
        <f>COUNTIF($H$7:$H277,$H277)</f>
        <v>115</v>
      </c>
      <c r="F277" s="67">
        <f>'1.연간시수표'!$AL$33</f>
        <v>5</v>
      </c>
      <c r="G277" s="115">
        <f t="shared" si="14"/>
        <v>2</v>
      </c>
      <c r="H277" s="41" t="str">
        <f>INDEX('0.시간표데이터'!$E$52:$AR$78,QUOTIENT(ROW(A271)-1,40)+1,MOD(ROW(A271)-1,40)+1)</f>
        <v>_</v>
      </c>
      <c r="I277" s="76"/>
      <c r="J277" s="26"/>
      <c r="K277" s="167"/>
      <c r="L277" s="167"/>
      <c r="M277" s="166"/>
      <c r="N277" s="166"/>
      <c r="O277" s="166"/>
      <c r="P277" s="166"/>
      <c r="Q277" s="167"/>
      <c r="R277" s="111"/>
    </row>
    <row r="278" spans="1:18">
      <c r="A278" s="90">
        <v>272</v>
      </c>
      <c r="B278" s="24">
        <f>DATE('1.연간시수표'!$U$44,'1.연간시수표'!$X$44,'1.연간시수표'!$Z$44)+QUOTIENT(ROW(A272)-1,8)+(QUOTIENT(ROW(A272)-1,40)*2)</f>
        <v>44844</v>
      </c>
      <c r="C278" s="24" t="str">
        <f t="shared" si="12"/>
        <v>월</v>
      </c>
      <c r="D278" s="116" t="str">
        <f t="shared" si="13"/>
        <v>8교시</v>
      </c>
      <c r="E278" s="68">
        <f>COUNTIF($H$7:$H278,$H278)</f>
        <v>116</v>
      </c>
      <c r="F278" s="67">
        <f>'1.연간시수표'!$AL$33</f>
        <v>5</v>
      </c>
      <c r="G278" s="115">
        <f t="shared" si="14"/>
        <v>2</v>
      </c>
      <c r="H278" s="41" t="str">
        <f>INDEX('0.시간표데이터'!$E$52:$AR$78,QUOTIENT(ROW(A272)-1,40)+1,MOD(ROW(A272)-1,40)+1)</f>
        <v>_</v>
      </c>
      <c r="I278" s="76"/>
      <c r="J278" s="26"/>
      <c r="K278" s="167"/>
      <c r="L278" s="167"/>
      <c r="M278" s="166"/>
      <c r="N278" s="166"/>
      <c r="O278" s="166"/>
      <c r="P278" s="166"/>
      <c r="Q278" s="167"/>
      <c r="R278" s="111"/>
    </row>
    <row r="279" spans="1:18" ht="13.5" customHeight="1">
      <c r="A279" s="90">
        <v>273</v>
      </c>
      <c r="B279" s="24">
        <f>DATE('1.연간시수표'!$U$44,'1.연간시수표'!$X$44,'1.연간시수표'!$Z$44)+QUOTIENT(ROW(A273)-1,8)+(QUOTIENT(ROW(A273)-1,40)*2)</f>
        <v>44845</v>
      </c>
      <c r="C279" s="24" t="str">
        <f t="shared" si="12"/>
        <v>화</v>
      </c>
      <c r="D279" s="116" t="str">
        <f t="shared" si="13"/>
        <v>1교시</v>
      </c>
      <c r="E279" s="68">
        <f>COUNTIF($H$7:$H279,$H279)</f>
        <v>32</v>
      </c>
      <c r="F279" s="67">
        <f>'1.연간시수표'!$AL$33</f>
        <v>5</v>
      </c>
      <c r="G279" s="115">
        <f t="shared" si="14"/>
        <v>2</v>
      </c>
      <c r="H279" s="41" t="str">
        <f>INDEX('0.시간표데이터'!$E$52:$AR$78,QUOTIENT(ROW(A273)-1,40)+1,MOD(ROW(A273)-1,40)+1)</f>
        <v>국어</v>
      </c>
      <c r="I279" s="77"/>
      <c r="J279" s="26"/>
      <c r="K279" s="180"/>
      <c r="L279" s="180"/>
      <c r="M279" s="10"/>
      <c r="N279" s="10"/>
      <c r="O279" s="10"/>
      <c r="P279" s="10"/>
      <c r="Q279" s="164"/>
      <c r="R279" s="110"/>
    </row>
    <row r="280" spans="1:18" ht="13.5" customHeight="1">
      <c r="A280" s="90">
        <v>274</v>
      </c>
      <c r="B280" s="24">
        <f>DATE('1.연간시수표'!$U$44,'1.연간시수표'!$X$44,'1.연간시수표'!$Z$44)+QUOTIENT(ROW(A274)-1,8)+(QUOTIENT(ROW(A274)-1,40)*2)</f>
        <v>44845</v>
      </c>
      <c r="C280" s="24" t="str">
        <f t="shared" si="12"/>
        <v>화</v>
      </c>
      <c r="D280" s="116" t="str">
        <f t="shared" si="13"/>
        <v>2교시</v>
      </c>
      <c r="E280" s="68">
        <f>COUNTIF($H$7:$H280,$H280)</f>
        <v>12</v>
      </c>
      <c r="F280" s="67">
        <f>'1.연간시수표'!$AL$33</f>
        <v>5</v>
      </c>
      <c r="G280" s="115">
        <f t="shared" si="14"/>
        <v>2</v>
      </c>
      <c r="H280" s="41" t="str">
        <f>INDEX('0.시간표데이터'!$E$52:$AR$78,QUOTIENT(ROW(A274)-1,40)+1,MOD(ROW(A274)-1,40)+1)</f>
        <v>체육</v>
      </c>
      <c r="I280" s="77"/>
      <c r="J280" s="26"/>
      <c r="K280" s="180"/>
      <c r="L280" s="180"/>
      <c r="M280" s="10"/>
      <c r="N280" s="10"/>
      <c r="O280" s="10"/>
      <c r="P280" s="10"/>
      <c r="Q280" s="164"/>
      <c r="R280" s="110"/>
    </row>
    <row r="281" spans="1:18" ht="13.5" customHeight="1">
      <c r="A281" s="90">
        <v>275</v>
      </c>
      <c r="B281" s="24">
        <f>DATE('1.연간시수표'!$U$44,'1.연간시수표'!$X$44,'1.연간시수표'!$Z$44)+QUOTIENT(ROW(A275)-1,8)+(QUOTIENT(ROW(A275)-1,40)*2)</f>
        <v>44845</v>
      </c>
      <c r="C281" s="24" t="str">
        <f t="shared" si="12"/>
        <v>화</v>
      </c>
      <c r="D281" s="116" t="str">
        <f t="shared" si="13"/>
        <v>3교시</v>
      </c>
      <c r="E281" s="68">
        <f>COUNTIF($H$7:$H281,$H281)</f>
        <v>18</v>
      </c>
      <c r="F281" s="67">
        <f>'1.연간시수표'!$AL$33</f>
        <v>5</v>
      </c>
      <c r="G281" s="115">
        <f t="shared" si="14"/>
        <v>2</v>
      </c>
      <c r="H281" s="41" t="str">
        <f>INDEX('0.시간표데이터'!$E$52:$AR$78,QUOTIENT(ROW(A275)-1,40)+1,MOD(ROW(A275)-1,40)+1)</f>
        <v>수학</v>
      </c>
      <c r="I281" s="77"/>
      <c r="J281" s="26"/>
      <c r="K281" s="180"/>
      <c r="L281" s="180"/>
      <c r="M281" s="10"/>
      <c r="N281" s="10"/>
      <c r="O281" s="10"/>
      <c r="P281" s="10"/>
      <c r="Q281" s="164"/>
      <c r="R281" s="110"/>
    </row>
    <row r="282" spans="1:18" ht="13.5" customHeight="1">
      <c r="A282" s="90">
        <v>276</v>
      </c>
      <c r="B282" s="24">
        <f>DATE('1.연간시수표'!$U$44,'1.연간시수표'!$X$44,'1.연간시수표'!$Z$44)+QUOTIENT(ROW(A276)-1,8)+(QUOTIENT(ROW(A276)-1,40)*2)</f>
        <v>44845</v>
      </c>
      <c r="C282" s="24" t="str">
        <f t="shared" si="12"/>
        <v>화</v>
      </c>
      <c r="D282" s="116" t="str">
        <f t="shared" si="13"/>
        <v>4교시</v>
      </c>
      <c r="E282" s="68">
        <f>COUNTIF($H$7:$H282,$H282)</f>
        <v>33</v>
      </c>
      <c r="F282" s="67">
        <f>'1.연간시수표'!$AL$33</f>
        <v>5</v>
      </c>
      <c r="G282" s="115">
        <f t="shared" si="14"/>
        <v>2</v>
      </c>
      <c r="H282" s="41" t="str">
        <f>INDEX('0.시간표데이터'!$E$52:$AR$78,QUOTIENT(ROW(A276)-1,40)+1,MOD(ROW(A276)-1,40)+1)</f>
        <v>국어</v>
      </c>
      <c r="I282" s="77"/>
      <c r="J282" s="26"/>
      <c r="K282" s="180"/>
      <c r="L282" s="180"/>
      <c r="M282" s="10"/>
      <c r="N282" s="10"/>
      <c r="O282" s="10"/>
      <c r="P282" s="10"/>
      <c r="Q282" s="164"/>
      <c r="R282" s="110"/>
    </row>
    <row r="283" spans="1:18" ht="13.5" customHeight="1">
      <c r="A283" s="90">
        <v>277</v>
      </c>
      <c r="B283" s="24">
        <f>DATE('1.연간시수표'!$U$44,'1.연간시수표'!$X$44,'1.연간시수표'!$Z$44)+QUOTIENT(ROW(A277)-1,8)+(QUOTIENT(ROW(A277)-1,40)*2)</f>
        <v>44845</v>
      </c>
      <c r="C283" s="24" t="str">
        <f t="shared" si="12"/>
        <v>화</v>
      </c>
      <c r="D283" s="116" t="str">
        <f t="shared" si="13"/>
        <v>5교시</v>
      </c>
      <c r="E283" s="68">
        <f>COUNTIF($H$7:$H283,$H283)</f>
        <v>18</v>
      </c>
      <c r="F283" s="67">
        <f>'1.연간시수표'!$AL$33</f>
        <v>5</v>
      </c>
      <c r="G283" s="115">
        <f t="shared" si="14"/>
        <v>2</v>
      </c>
      <c r="H283" s="41" t="str">
        <f>INDEX('0.시간표데이터'!$E$52:$AR$78,QUOTIENT(ROW(A277)-1,40)+1,MOD(ROW(A277)-1,40)+1)</f>
        <v>사회</v>
      </c>
      <c r="I283" s="77"/>
      <c r="J283" s="26"/>
      <c r="K283" s="164"/>
      <c r="L283" s="164"/>
      <c r="M283" s="10"/>
      <c r="N283" s="10"/>
      <c r="O283" s="10"/>
      <c r="P283" s="10"/>
      <c r="Q283" s="164"/>
      <c r="R283" s="110"/>
    </row>
    <row r="284" spans="1:18" ht="13.5" customHeight="1">
      <c r="A284" s="90">
        <v>278</v>
      </c>
      <c r="B284" s="24">
        <f>DATE('1.연간시수표'!$U$44,'1.연간시수표'!$X$44,'1.연간시수표'!$Z$44)+QUOTIENT(ROW(A278)-1,8)+(QUOTIENT(ROW(A278)-1,40)*2)</f>
        <v>44845</v>
      </c>
      <c r="C284" s="24" t="str">
        <f t="shared" si="12"/>
        <v>화</v>
      </c>
      <c r="D284" s="116" t="str">
        <f t="shared" si="13"/>
        <v>6교시</v>
      </c>
      <c r="E284" s="68">
        <f>COUNTIF($H$7:$H284,$H284)</f>
        <v>12</v>
      </c>
      <c r="F284" s="67">
        <f>'1.연간시수표'!$AL$33</f>
        <v>5</v>
      </c>
      <c r="G284" s="115">
        <f t="shared" si="14"/>
        <v>2</v>
      </c>
      <c r="H284" s="41" t="str">
        <f>INDEX('0.시간표데이터'!$E$52:$AR$78,QUOTIENT(ROW(A278)-1,40)+1,MOD(ROW(A278)-1,40)+1)</f>
        <v>실과</v>
      </c>
      <c r="I284" s="77"/>
      <c r="J284" s="26"/>
      <c r="K284" s="167"/>
      <c r="L284" s="167"/>
      <c r="M284" s="166"/>
      <c r="N284" s="166"/>
      <c r="O284" s="166"/>
      <c r="P284" s="166"/>
      <c r="Q284" s="167"/>
      <c r="R284" s="111"/>
    </row>
    <row r="285" spans="1:18" ht="13.5" customHeight="1">
      <c r="A285" s="90">
        <v>279</v>
      </c>
      <c r="B285" s="24">
        <f>DATE('1.연간시수표'!$U$44,'1.연간시수표'!$X$44,'1.연간시수표'!$Z$44)+QUOTIENT(ROW(A279)-1,8)+(QUOTIENT(ROW(A279)-1,40)*2)</f>
        <v>44845</v>
      </c>
      <c r="C285" s="24" t="str">
        <f t="shared" si="12"/>
        <v>화</v>
      </c>
      <c r="D285" s="116" t="str">
        <f t="shared" si="13"/>
        <v>7교시</v>
      </c>
      <c r="E285" s="68">
        <f>COUNTIF($H$7:$H285,$H285)</f>
        <v>117</v>
      </c>
      <c r="F285" s="67">
        <f>'1.연간시수표'!$AL$33</f>
        <v>5</v>
      </c>
      <c r="G285" s="115">
        <f t="shared" si="14"/>
        <v>2</v>
      </c>
      <c r="H285" s="41" t="str">
        <f>INDEX('0.시간표데이터'!$E$52:$AR$78,QUOTIENT(ROW(A279)-1,40)+1,MOD(ROW(A279)-1,40)+1)</f>
        <v>_</v>
      </c>
      <c r="I285" s="76"/>
      <c r="J285" s="26"/>
      <c r="K285" s="167"/>
      <c r="L285" s="167"/>
      <c r="M285" s="166"/>
      <c r="N285" s="166"/>
      <c r="O285" s="166"/>
      <c r="P285" s="166"/>
      <c r="Q285" s="167"/>
      <c r="R285" s="111"/>
    </row>
    <row r="286" spans="1:18" ht="13.5" customHeight="1">
      <c r="A286" s="90">
        <v>280</v>
      </c>
      <c r="B286" s="24">
        <f>DATE('1.연간시수표'!$U$44,'1.연간시수표'!$X$44,'1.연간시수표'!$Z$44)+QUOTIENT(ROW(A280)-1,8)+(QUOTIENT(ROW(A280)-1,40)*2)</f>
        <v>44845</v>
      </c>
      <c r="C286" s="24" t="str">
        <f t="shared" si="12"/>
        <v>화</v>
      </c>
      <c r="D286" s="116" t="str">
        <f t="shared" si="13"/>
        <v>8교시</v>
      </c>
      <c r="E286" s="68">
        <f>COUNTIF($H$7:$H286,$H286)</f>
        <v>118</v>
      </c>
      <c r="F286" s="67">
        <f>'1.연간시수표'!$AL$33</f>
        <v>5</v>
      </c>
      <c r="G286" s="115">
        <f t="shared" si="14"/>
        <v>2</v>
      </c>
      <c r="H286" s="41" t="str">
        <f>INDEX('0.시간표데이터'!$E$52:$AR$78,QUOTIENT(ROW(A280)-1,40)+1,MOD(ROW(A280)-1,40)+1)</f>
        <v>_</v>
      </c>
      <c r="I286" s="76"/>
      <c r="J286" s="26"/>
      <c r="K286" s="167"/>
      <c r="L286" s="167"/>
      <c r="M286" s="166"/>
      <c r="N286" s="166"/>
      <c r="O286" s="166"/>
      <c r="P286" s="166"/>
      <c r="Q286" s="167"/>
      <c r="R286" s="111"/>
    </row>
    <row r="287" spans="1:18" ht="13.5" customHeight="1">
      <c r="A287" s="90">
        <v>281</v>
      </c>
      <c r="B287" s="24">
        <f>DATE('1.연간시수표'!$U$44,'1.연간시수표'!$X$44,'1.연간시수표'!$Z$44)+QUOTIENT(ROW(A281)-1,8)+(QUOTIENT(ROW(A281)-1,40)*2)</f>
        <v>44848</v>
      </c>
      <c r="C287" s="24" t="str">
        <f t="shared" si="12"/>
        <v>금</v>
      </c>
      <c r="D287" s="116" t="str">
        <f t="shared" si="13"/>
        <v>1교시</v>
      </c>
      <c r="E287" s="68">
        <f>COUNTIF($H$7:$H287,$H287)</f>
        <v>34</v>
      </c>
      <c r="F287" s="67">
        <f>'1.연간시수표'!$AL$33</f>
        <v>5</v>
      </c>
      <c r="G287" s="115">
        <f t="shared" si="14"/>
        <v>2</v>
      </c>
      <c r="H287" s="41" t="str">
        <f>INDEX('0.시간표데이터'!$E$52:$AR$78,QUOTIENT(ROW(A281)-1,40)+1,MOD(ROW(A281)-1,40)+1)</f>
        <v>국어</v>
      </c>
      <c r="I287" s="77"/>
      <c r="J287" s="26"/>
      <c r="K287" s="164"/>
      <c r="L287" s="164"/>
      <c r="M287" s="10"/>
      <c r="N287" s="10"/>
      <c r="O287" s="10"/>
      <c r="P287" s="10"/>
      <c r="Q287" s="164"/>
      <c r="R287" s="110"/>
    </row>
    <row r="288" spans="1:18" ht="13.5" customHeight="1">
      <c r="A288" s="90">
        <v>282</v>
      </c>
      <c r="B288" s="24">
        <f>DATE('1.연간시수표'!$U$44,'1.연간시수표'!$X$44,'1.연간시수표'!$Z$44)+QUOTIENT(ROW(A282)-1,8)+(QUOTIENT(ROW(A282)-1,40)*2)</f>
        <v>44848</v>
      </c>
      <c r="C288" s="24" t="str">
        <f t="shared" si="12"/>
        <v>금</v>
      </c>
      <c r="D288" s="116" t="str">
        <f t="shared" si="13"/>
        <v>2교시</v>
      </c>
      <c r="E288" s="68">
        <f>COUNTIF($H$7:$H288,$H288)</f>
        <v>7</v>
      </c>
      <c r="F288" s="67">
        <f>'1.연간시수표'!$AL$33</f>
        <v>5</v>
      </c>
      <c r="G288" s="115">
        <f t="shared" si="14"/>
        <v>2</v>
      </c>
      <c r="H288" s="41" t="str">
        <f>INDEX('0.시간표데이터'!$E$52:$AR$78,QUOTIENT(ROW(A282)-1,40)+1,MOD(ROW(A282)-1,40)+1)</f>
        <v>미술</v>
      </c>
      <c r="I288" s="161"/>
      <c r="J288" s="26"/>
      <c r="K288" s="180"/>
      <c r="L288" s="180"/>
      <c r="M288" s="10"/>
      <c r="N288" s="10"/>
      <c r="O288" s="10"/>
      <c r="P288" s="10"/>
      <c r="Q288" s="164"/>
      <c r="R288" s="110"/>
    </row>
    <row r="289" spans="1:18" ht="13.5" customHeight="1">
      <c r="A289" s="90">
        <v>283</v>
      </c>
      <c r="B289" s="24">
        <f>DATE('1.연간시수표'!$U$44,'1.연간시수표'!$X$44,'1.연간시수표'!$Z$44)+QUOTIENT(ROW(A283)-1,8)+(QUOTIENT(ROW(A283)-1,40)*2)</f>
        <v>44848</v>
      </c>
      <c r="C289" s="24" t="str">
        <f t="shared" si="12"/>
        <v>금</v>
      </c>
      <c r="D289" s="116" t="str">
        <f t="shared" si="13"/>
        <v>3교시</v>
      </c>
      <c r="E289" s="68">
        <f>COUNTIF($H$7:$H289,$H289)</f>
        <v>8</v>
      </c>
      <c r="F289" s="67">
        <f>'1.연간시수표'!$AL$33</f>
        <v>5</v>
      </c>
      <c r="G289" s="115">
        <f t="shared" si="14"/>
        <v>2</v>
      </c>
      <c r="H289" s="41" t="str">
        <f>INDEX('0.시간표데이터'!$E$52:$AR$78,QUOTIENT(ROW(A283)-1,40)+1,MOD(ROW(A283)-1,40)+1)</f>
        <v>미술</v>
      </c>
      <c r="I289" s="77"/>
      <c r="J289" s="26"/>
      <c r="K289" s="180"/>
      <c r="L289" s="180"/>
      <c r="M289" s="10"/>
      <c r="N289" s="10"/>
      <c r="O289" s="10"/>
      <c r="P289" s="10"/>
      <c r="Q289" s="164"/>
      <c r="R289" s="110"/>
    </row>
    <row r="290" spans="1:18" ht="13.5" customHeight="1">
      <c r="A290" s="90">
        <v>284</v>
      </c>
      <c r="B290" s="24">
        <f>DATE('1.연간시수표'!$U$44,'1.연간시수표'!$X$44,'1.연간시수표'!$Z$44)+QUOTIENT(ROW(A284)-1,8)+(QUOTIENT(ROW(A284)-1,40)*2)</f>
        <v>44848</v>
      </c>
      <c r="C290" s="24" t="str">
        <f t="shared" si="12"/>
        <v>금</v>
      </c>
      <c r="D290" s="116" t="str">
        <f t="shared" si="13"/>
        <v>4교시</v>
      </c>
      <c r="E290" s="68">
        <f>COUNTIF($H$7:$H290,$H290)</f>
        <v>17</v>
      </c>
      <c r="F290" s="67">
        <f>'1.연간시수표'!$AL$33</f>
        <v>5</v>
      </c>
      <c r="G290" s="115">
        <f t="shared" si="14"/>
        <v>2</v>
      </c>
      <c r="H290" s="41" t="str">
        <f>INDEX('0.시간표데이터'!$E$52:$AR$78,QUOTIENT(ROW(A284)-1,40)+1,MOD(ROW(A284)-1,40)+1)</f>
        <v>영어</v>
      </c>
      <c r="I290" s="77"/>
      <c r="J290" s="26"/>
      <c r="K290" s="180"/>
      <c r="L290" s="180"/>
      <c r="M290" s="10"/>
      <c r="N290" s="10"/>
      <c r="O290" s="10"/>
      <c r="P290" s="10"/>
      <c r="Q290" s="164"/>
      <c r="R290" s="110"/>
    </row>
    <row r="291" spans="1:18" ht="13.5" customHeight="1">
      <c r="A291" s="90">
        <v>285</v>
      </c>
      <c r="B291" s="24">
        <f>DATE('1.연간시수표'!$U$44,'1.연간시수표'!$X$44,'1.연간시수표'!$Z$44)+QUOTIENT(ROW(A285)-1,8)+(QUOTIENT(ROW(A285)-1,40)*2)</f>
        <v>44848</v>
      </c>
      <c r="C291" s="24" t="str">
        <f t="shared" si="12"/>
        <v>금</v>
      </c>
      <c r="D291" s="116" t="str">
        <f t="shared" si="13"/>
        <v>5교시</v>
      </c>
      <c r="E291" s="68">
        <f>COUNTIF($H$7:$H291,$H291)</f>
        <v>19</v>
      </c>
      <c r="F291" s="67">
        <f>'1.연간시수표'!$AL$33</f>
        <v>5</v>
      </c>
      <c r="G291" s="115">
        <f t="shared" si="14"/>
        <v>2</v>
      </c>
      <c r="H291" s="41" t="str">
        <f>INDEX('0.시간표데이터'!$E$52:$AR$78,QUOTIENT(ROW(A285)-1,40)+1,MOD(ROW(A285)-1,40)+1)</f>
        <v>수학</v>
      </c>
      <c r="I291" s="77"/>
      <c r="J291" s="26"/>
      <c r="K291" s="180"/>
      <c r="L291" s="180"/>
      <c r="M291" s="10"/>
      <c r="N291" s="10"/>
      <c r="O291" s="10"/>
      <c r="P291" s="10"/>
      <c r="Q291" s="164"/>
      <c r="R291" s="110"/>
    </row>
    <row r="292" spans="1:18" ht="13.5" customHeight="1">
      <c r="A292" s="90">
        <v>286</v>
      </c>
      <c r="B292" s="24">
        <f>DATE('1.연간시수표'!$U$44,'1.연간시수표'!$X$44,'1.연간시수표'!$Z$44)+QUOTIENT(ROW(A286)-1,8)+(QUOTIENT(ROW(A286)-1,40)*2)</f>
        <v>44848</v>
      </c>
      <c r="C292" s="24" t="str">
        <f t="shared" si="12"/>
        <v>금</v>
      </c>
      <c r="D292" s="116" t="str">
        <f t="shared" si="13"/>
        <v>6교시</v>
      </c>
      <c r="E292" s="68">
        <f>COUNTIF($H$7:$H292,$H292)</f>
        <v>9</v>
      </c>
      <c r="F292" s="67">
        <f>'1.연간시수표'!$AL$33</f>
        <v>5</v>
      </c>
      <c r="G292" s="115">
        <f t="shared" si="14"/>
        <v>2</v>
      </c>
      <c r="H292" s="41" t="str">
        <f>INDEX('0.시간표데이터'!$E$52:$AR$78,QUOTIENT(ROW(A286)-1,40)+1,MOD(ROW(A286)-1,40)+1)</f>
        <v>자율활동</v>
      </c>
      <c r="I292" s="77"/>
      <c r="J292" s="26"/>
      <c r="K292" s="167"/>
      <c r="L292" s="167"/>
      <c r="M292" s="166"/>
      <c r="N292" s="166"/>
      <c r="O292" s="166"/>
      <c r="P292" s="166"/>
      <c r="Q292" s="167"/>
      <c r="R292" s="111"/>
    </row>
    <row r="293" spans="1:18" ht="13.5" customHeight="1">
      <c r="A293" s="90">
        <v>287</v>
      </c>
      <c r="B293" s="24">
        <f>DATE('1.연간시수표'!$U$44,'1.연간시수표'!$X$44,'1.연간시수표'!$Z$44)+QUOTIENT(ROW(A287)-1,8)+(QUOTIENT(ROW(A287)-1,40)*2)</f>
        <v>44848</v>
      </c>
      <c r="C293" s="24" t="str">
        <f t="shared" si="12"/>
        <v>금</v>
      </c>
      <c r="D293" s="116" t="str">
        <f t="shared" si="13"/>
        <v>7교시</v>
      </c>
      <c r="E293" s="68">
        <f>COUNTIF($H$7:$H293,$H293)</f>
        <v>119</v>
      </c>
      <c r="F293" s="67">
        <f>'1.연간시수표'!$AL$33</f>
        <v>5</v>
      </c>
      <c r="G293" s="115">
        <f t="shared" si="14"/>
        <v>2</v>
      </c>
      <c r="H293" s="41" t="str">
        <f>INDEX('0.시간표데이터'!$E$52:$AR$78,QUOTIENT(ROW(A287)-1,40)+1,MOD(ROW(A287)-1,40)+1)</f>
        <v>_</v>
      </c>
      <c r="I293" s="76"/>
      <c r="J293" s="26"/>
      <c r="K293" s="167"/>
      <c r="L293" s="167"/>
      <c r="M293" s="166"/>
      <c r="N293" s="166"/>
      <c r="O293" s="166"/>
      <c r="P293" s="166"/>
      <c r="Q293" s="167"/>
      <c r="R293" s="111"/>
    </row>
    <row r="294" spans="1:18" ht="13.5" customHeight="1">
      <c r="A294" s="90">
        <v>288</v>
      </c>
      <c r="B294" s="24">
        <f>DATE('1.연간시수표'!$U$44,'1.연간시수표'!$X$44,'1.연간시수표'!$Z$44)+QUOTIENT(ROW(A288)-1,8)+(QUOTIENT(ROW(A288)-1,40)*2)</f>
        <v>44848</v>
      </c>
      <c r="C294" s="24" t="str">
        <f t="shared" si="12"/>
        <v>금</v>
      </c>
      <c r="D294" s="116" t="str">
        <f t="shared" si="13"/>
        <v>8교시</v>
      </c>
      <c r="E294" s="68">
        <f>COUNTIF($H$7:$H294,$H294)</f>
        <v>120</v>
      </c>
      <c r="F294" s="67">
        <f>'1.연간시수표'!$AL$33</f>
        <v>5</v>
      </c>
      <c r="G294" s="115">
        <f t="shared" si="14"/>
        <v>2</v>
      </c>
      <c r="H294" s="41" t="str">
        <f>INDEX('0.시간표데이터'!$E$52:$AR$78,QUOTIENT(ROW(A288)-1,40)+1,MOD(ROW(A288)-1,40)+1)</f>
        <v>_</v>
      </c>
      <c r="I294" s="76"/>
      <c r="J294" s="26"/>
      <c r="K294" s="167"/>
      <c r="L294" s="167"/>
      <c r="M294" s="166"/>
      <c r="N294" s="166"/>
      <c r="O294" s="166"/>
      <c r="P294" s="166"/>
      <c r="Q294" s="167"/>
      <c r="R294" s="111"/>
    </row>
    <row r="295" spans="1:18" ht="13.5" customHeight="1">
      <c r="A295" s="90">
        <v>289</v>
      </c>
      <c r="B295" s="24">
        <f>DATE('1.연간시수표'!$U$44,'1.연간시수표'!$X$44,'1.연간시수표'!$Z$44)+QUOTIENT(ROW(A289)-1,8)+(QUOTIENT(ROW(A289)-1,40)*2)</f>
        <v>44849</v>
      </c>
      <c r="C295" s="24" t="b">
        <f t="shared" si="12"/>
        <v>0</v>
      </c>
      <c r="D295" s="116" t="str">
        <f t="shared" si="13"/>
        <v>1교시</v>
      </c>
      <c r="E295" s="68">
        <f>COUNTIF($H$7:$H295,$H295)</f>
        <v>35</v>
      </c>
      <c r="F295" s="67">
        <f>'1.연간시수표'!$AL$33</f>
        <v>5</v>
      </c>
      <c r="G295" s="115">
        <f t="shared" si="14"/>
        <v>2</v>
      </c>
      <c r="H295" s="41" t="str">
        <f>INDEX('0.시간표데이터'!$E$52:$AR$78,QUOTIENT(ROW(A289)-1,40)+1,MOD(ROW(A289)-1,40)+1)</f>
        <v>국어</v>
      </c>
      <c r="I295" s="77"/>
      <c r="J295" s="26"/>
      <c r="K295" s="180"/>
      <c r="L295" s="180"/>
      <c r="M295" s="10"/>
      <c r="N295" s="10"/>
      <c r="O295" s="10"/>
      <c r="P295" s="10"/>
      <c r="Q295" s="164"/>
      <c r="R295" s="110"/>
    </row>
    <row r="296" spans="1:18" ht="13.5" customHeight="1">
      <c r="A296" s="90">
        <v>290</v>
      </c>
      <c r="B296" s="24">
        <f>DATE('1.연간시수표'!$U$44,'1.연간시수표'!$X$44,'1.연간시수표'!$Z$44)+QUOTIENT(ROW(A290)-1,8)+(QUOTIENT(ROW(A290)-1,40)*2)</f>
        <v>44849</v>
      </c>
      <c r="C296" s="24" t="b">
        <f t="shared" si="12"/>
        <v>0</v>
      </c>
      <c r="D296" s="116" t="str">
        <f t="shared" si="13"/>
        <v>2교시</v>
      </c>
      <c r="E296" s="68">
        <f>COUNTIF($H$7:$H296,$H296)</f>
        <v>36</v>
      </c>
      <c r="F296" s="67">
        <f>'1.연간시수표'!$AL$33</f>
        <v>5</v>
      </c>
      <c r="G296" s="115">
        <f t="shared" si="14"/>
        <v>2</v>
      </c>
      <c r="H296" s="41" t="str">
        <f>INDEX('0.시간표데이터'!$E$52:$AR$78,QUOTIENT(ROW(A290)-1,40)+1,MOD(ROW(A290)-1,40)+1)</f>
        <v>국어</v>
      </c>
      <c r="I296" s="161"/>
      <c r="J296" s="26"/>
      <c r="K296" s="180"/>
      <c r="L296" s="180"/>
      <c r="M296" s="10"/>
      <c r="N296" s="10"/>
      <c r="O296" s="10"/>
      <c r="P296" s="10"/>
      <c r="Q296" s="164"/>
      <c r="R296" s="110"/>
    </row>
    <row r="297" spans="1:18" ht="13.5" customHeight="1">
      <c r="A297" s="90">
        <v>291</v>
      </c>
      <c r="B297" s="24">
        <f>DATE('1.연간시수표'!$U$44,'1.연간시수표'!$X$44,'1.연간시수표'!$Z$44)+QUOTIENT(ROW(A291)-1,8)+(QUOTIENT(ROW(A291)-1,40)*2)</f>
        <v>44849</v>
      </c>
      <c r="C297" s="24" t="b">
        <f t="shared" si="12"/>
        <v>0</v>
      </c>
      <c r="D297" s="116" t="str">
        <f t="shared" si="13"/>
        <v>3교시</v>
      </c>
      <c r="E297" s="68">
        <f>COUNTIF($H$7:$H297,$H297)</f>
        <v>19</v>
      </c>
      <c r="F297" s="67">
        <f>'1.연간시수표'!$AL$33</f>
        <v>5</v>
      </c>
      <c r="G297" s="115">
        <f t="shared" si="14"/>
        <v>2</v>
      </c>
      <c r="H297" s="41" t="str">
        <f>INDEX('0.시간표데이터'!$E$52:$AR$78,QUOTIENT(ROW(A291)-1,40)+1,MOD(ROW(A291)-1,40)+1)</f>
        <v>사회</v>
      </c>
      <c r="I297" s="77"/>
      <c r="J297" s="26"/>
      <c r="K297" s="164"/>
      <c r="L297" s="164"/>
      <c r="M297" s="10"/>
      <c r="N297" s="10"/>
      <c r="O297" s="10"/>
      <c r="P297" s="10"/>
      <c r="Q297" s="164"/>
      <c r="R297" s="110"/>
    </row>
    <row r="298" spans="1:18" ht="13.5" customHeight="1">
      <c r="A298" s="90">
        <v>292</v>
      </c>
      <c r="B298" s="24">
        <f>DATE('1.연간시수표'!$U$44,'1.연간시수표'!$X$44,'1.연간시수표'!$Z$44)+QUOTIENT(ROW(A292)-1,8)+(QUOTIENT(ROW(A292)-1,40)*2)</f>
        <v>44849</v>
      </c>
      <c r="C298" s="24" t="b">
        <f t="shared" si="12"/>
        <v>0</v>
      </c>
      <c r="D298" s="116" t="str">
        <f t="shared" si="13"/>
        <v>4교시</v>
      </c>
      <c r="E298" s="68">
        <f>COUNTIF($H$7:$H298,$H298)</f>
        <v>20</v>
      </c>
      <c r="F298" s="67">
        <f>'1.연간시수표'!$AL$33</f>
        <v>5</v>
      </c>
      <c r="G298" s="115">
        <f t="shared" si="14"/>
        <v>2</v>
      </c>
      <c r="H298" s="41" t="str">
        <f>INDEX('0.시간표데이터'!$E$52:$AR$78,QUOTIENT(ROW(A292)-1,40)+1,MOD(ROW(A292)-1,40)+1)</f>
        <v>수학</v>
      </c>
      <c r="I298" s="77"/>
      <c r="J298" s="26"/>
      <c r="K298" s="180"/>
      <c r="L298" s="180"/>
      <c r="M298" s="10"/>
      <c r="N298" s="10"/>
      <c r="O298" s="10"/>
      <c r="P298" s="10"/>
      <c r="Q298" s="164"/>
      <c r="R298" s="110"/>
    </row>
    <row r="299" spans="1:18" ht="13.5" customHeight="1">
      <c r="A299" s="90">
        <v>293</v>
      </c>
      <c r="B299" s="24">
        <f>DATE('1.연간시수표'!$U$44,'1.연간시수표'!$X$44,'1.연간시수표'!$Z$44)+QUOTIENT(ROW(A293)-1,8)+(QUOTIENT(ROW(A293)-1,40)*2)</f>
        <v>44849</v>
      </c>
      <c r="C299" s="24" t="b">
        <f t="shared" si="12"/>
        <v>0</v>
      </c>
      <c r="D299" s="116" t="str">
        <f t="shared" si="13"/>
        <v>5교시</v>
      </c>
      <c r="E299" s="68">
        <f>COUNTIF($H$7:$H299,$H299)</f>
        <v>17</v>
      </c>
      <c r="F299" s="67">
        <f>'1.연간시수표'!$AL$33</f>
        <v>5</v>
      </c>
      <c r="G299" s="115">
        <f t="shared" si="14"/>
        <v>2</v>
      </c>
      <c r="H299" s="41" t="str">
        <f>INDEX('0.시간표데이터'!$E$52:$AR$78,QUOTIENT(ROW(A293)-1,40)+1,MOD(ROW(A293)-1,40)+1)</f>
        <v>과학</v>
      </c>
      <c r="I299" s="77"/>
      <c r="J299" s="26"/>
      <c r="K299" s="180"/>
      <c r="L299" s="180"/>
      <c r="M299" s="10"/>
      <c r="N299" s="10"/>
      <c r="O299" s="10"/>
      <c r="P299" s="10"/>
      <c r="Q299" s="164"/>
      <c r="R299" s="110"/>
    </row>
    <row r="300" spans="1:18" ht="13.5" customHeight="1">
      <c r="A300" s="90">
        <v>294</v>
      </c>
      <c r="B300" s="24">
        <f>DATE('1.연간시수표'!$U$44,'1.연간시수표'!$X$44,'1.연간시수표'!$Z$44)+QUOTIENT(ROW(A294)-1,8)+(QUOTIENT(ROW(A294)-1,40)*2)</f>
        <v>44849</v>
      </c>
      <c r="C300" s="24" t="b">
        <f t="shared" si="12"/>
        <v>0</v>
      </c>
      <c r="D300" s="116" t="str">
        <f t="shared" si="13"/>
        <v>6교시</v>
      </c>
      <c r="E300" s="68">
        <f>COUNTIF($H$7:$H300,$H300)</f>
        <v>13</v>
      </c>
      <c r="F300" s="67">
        <f>'1.연간시수표'!$AL$33</f>
        <v>5</v>
      </c>
      <c r="G300" s="115">
        <f t="shared" si="14"/>
        <v>2</v>
      </c>
      <c r="H300" s="41" t="str">
        <f>INDEX('0.시간표데이터'!$E$52:$AR$78,QUOTIENT(ROW(A294)-1,40)+1,MOD(ROW(A294)-1,40)+1)</f>
        <v>실과</v>
      </c>
      <c r="I300" s="77"/>
      <c r="J300" s="26"/>
      <c r="K300" s="167"/>
      <c r="L300" s="167"/>
      <c r="M300" s="166"/>
      <c r="N300" s="166"/>
      <c r="O300" s="166"/>
      <c r="P300" s="166"/>
      <c r="Q300" s="167"/>
      <c r="R300" s="111"/>
    </row>
    <row r="301" spans="1:18" ht="13.5" customHeight="1">
      <c r="A301" s="90">
        <v>295</v>
      </c>
      <c r="B301" s="24">
        <f>DATE('1.연간시수표'!$U$44,'1.연간시수표'!$X$44,'1.연간시수표'!$Z$44)+QUOTIENT(ROW(A295)-1,8)+(QUOTIENT(ROW(A295)-1,40)*2)</f>
        <v>44849</v>
      </c>
      <c r="C301" s="24" t="b">
        <f t="shared" si="12"/>
        <v>0</v>
      </c>
      <c r="D301" s="116" t="str">
        <f t="shared" si="13"/>
        <v>7교시</v>
      </c>
      <c r="E301" s="68">
        <f>COUNTIF($H$7:$H301,$H301)</f>
        <v>121</v>
      </c>
      <c r="F301" s="67">
        <f>'1.연간시수표'!$AL$33</f>
        <v>5</v>
      </c>
      <c r="G301" s="115">
        <f t="shared" si="14"/>
        <v>2</v>
      </c>
      <c r="H301" s="41" t="str">
        <f>INDEX('0.시간표데이터'!$E$52:$AR$78,QUOTIENT(ROW(A295)-1,40)+1,MOD(ROW(A295)-1,40)+1)</f>
        <v>_</v>
      </c>
      <c r="I301" s="76"/>
      <c r="J301" s="26"/>
      <c r="K301" s="167"/>
      <c r="L301" s="167"/>
      <c r="M301" s="166"/>
      <c r="N301" s="166"/>
      <c r="O301" s="166"/>
      <c r="P301" s="166"/>
      <c r="Q301" s="167"/>
      <c r="R301" s="111"/>
    </row>
    <row r="302" spans="1:18" ht="13.5" customHeight="1">
      <c r="A302" s="90">
        <v>296</v>
      </c>
      <c r="B302" s="24">
        <f>DATE('1.연간시수표'!$U$44,'1.연간시수표'!$X$44,'1.연간시수표'!$Z$44)+QUOTIENT(ROW(A296)-1,8)+(QUOTIENT(ROW(A296)-1,40)*2)</f>
        <v>44849</v>
      </c>
      <c r="C302" s="24" t="b">
        <f t="shared" si="12"/>
        <v>0</v>
      </c>
      <c r="D302" s="116" t="str">
        <f t="shared" si="13"/>
        <v>8교시</v>
      </c>
      <c r="E302" s="68">
        <f>COUNTIF($H$7:$H302,$H302)</f>
        <v>122</v>
      </c>
      <c r="F302" s="67">
        <f>'1.연간시수표'!$AL$33</f>
        <v>5</v>
      </c>
      <c r="G302" s="115">
        <f t="shared" si="14"/>
        <v>2</v>
      </c>
      <c r="H302" s="41" t="str">
        <f>INDEX('0.시간표데이터'!$E$52:$AR$78,QUOTIENT(ROW(A296)-1,40)+1,MOD(ROW(A296)-1,40)+1)</f>
        <v>_</v>
      </c>
      <c r="I302" s="76"/>
      <c r="J302" s="26"/>
      <c r="K302" s="167"/>
      <c r="L302" s="167"/>
      <c r="M302" s="166"/>
      <c r="N302" s="166"/>
      <c r="O302" s="166"/>
      <c r="P302" s="166"/>
      <c r="Q302" s="167"/>
      <c r="R302" s="111"/>
    </row>
    <row r="303" spans="1:18" ht="13.5" customHeight="1">
      <c r="A303" s="90">
        <v>297</v>
      </c>
      <c r="B303" s="24">
        <f>DATE('1.연간시수표'!$U$44,'1.연간시수표'!$X$44,'1.연간시수표'!$Z$44)+QUOTIENT(ROW(A297)-1,8)+(QUOTIENT(ROW(A297)-1,40)*2)</f>
        <v>44850</v>
      </c>
      <c r="C303" s="24" t="b">
        <f t="shared" si="12"/>
        <v>0</v>
      </c>
      <c r="D303" s="116" t="str">
        <f t="shared" si="13"/>
        <v>1교시</v>
      </c>
      <c r="E303" s="68">
        <f>COUNTIF($H$7:$H303,$H303)</f>
        <v>18</v>
      </c>
      <c r="F303" s="67">
        <f>'1.연간시수표'!$AL$33</f>
        <v>5</v>
      </c>
      <c r="G303" s="115">
        <f t="shared" si="14"/>
        <v>2</v>
      </c>
      <c r="H303" s="41" t="str">
        <f>INDEX('0.시간표데이터'!$E$52:$AR$78,QUOTIENT(ROW(A297)-1,40)+1,MOD(ROW(A297)-1,40)+1)</f>
        <v>영어</v>
      </c>
      <c r="I303" s="77"/>
      <c r="J303" s="26"/>
      <c r="K303" s="180"/>
      <c r="L303" s="180"/>
      <c r="M303" s="10"/>
      <c r="N303" s="10"/>
      <c r="O303" s="10"/>
      <c r="P303" s="10"/>
      <c r="Q303" s="164"/>
      <c r="R303" s="110"/>
    </row>
    <row r="304" spans="1:18" ht="13.5" customHeight="1">
      <c r="A304" s="90">
        <v>298</v>
      </c>
      <c r="B304" s="24">
        <f>DATE('1.연간시수표'!$U$44,'1.연간시수표'!$X$44,'1.연간시수표'!$Z$44)+QUOTIENT(ROW(A298)-1,8)+(QUOTIENT(ROW(A298)-1,40)*2)</f>
        <v>44850</v>
      </c>
      <c r="C304" s="24" t="b">
        <f t="shared" si="12"/>
        <v>0</v>
      </c>
      <c r="D304" s="116" t="str">
        <f t="shared" si="13"/>
        <v>2교시</v>
      </c>
      <c r="E304" s="68">
        <f>COUNTIF($H$7:$H304,$H304)</f>
        <v>18</v>
      </c>
      <c r="F304" s="67">
        <f>'1.연간시수표'!$AL$33</f>
        <v>5</v>
      </c>
      <c r="G304" s="115">
        <f t="shared" si="14"/>
        <v>2</v>
      </c>
      <c r="H304" s="41" t="str">
        <f>INDEX('0.시간표데이터'!$E$52:$AR$78,QUOTIENT(ROW(A298)-1,40)+1,MOD(ROW(A298)-1,40)+1)</f>
        <v>과학</v>
      </c>
      <c r="I304" s="77"/>
      <c r="J304" s="26"/>
      <c r="K304" s="180"/>
      <c r="L304" s="180"/>
      <c r="M304" s="10"/>
      <c r="N304" s="10"/>
      <c r="O304" s="10"/>
      <c r="P304" s="10"/>
      <c r="Q304" s="164"/>
      <c r="R304" s="110"/>
    </row>
    <row r="305" spans="1:18" ht="13.5" customHeight="1">
      <c r="A305" s="90">
        <v>299</v>
      </c>
      <c r="B305" s="24">
        <f>DATE('1.연간시수표'!$U$44,'1.연간시수표'!$X$44,'1.연간시수표'!$Z$44)+QUOTIENT(ROW(A299)-1,8)+(QUOTIENT(ROW(A299)-1,40)*2)</f>
        <v>44850</v>
      </c>
      <c r="C305" s="24" t="b">
        <f t="shared" si="12"/>
        <v>0</v>
      </c>
      <c r="D305" s="116" t="str">
        <f t="shared" si="13"/>
        <v>3교시</v>
      </c>
      <c r="E305" s="68">
        <f>COUNTIF($H$7:$H305,$H305)</f>
        <v>13</v>
      </c>
      <c r="F305" s="67">
        <f>'1.연간시수표'!$AL$33</f>
        <v>5</v>
      </c>
      <c r="G305" s="115">
        <f t="shared" si="14"/>
        <v>2</v>
      </c>
      <c r="H305" s="41" t="str">
        <f>INDEX('0.시간표데이터'!$E$52:$AR$78,QUOTIENT(ROW(A299)-1,40)+1,MOD(ROW(A299)-1,40)+1)</f>
        <v>체육</v>
      </c>
      <c r="I305" s="77"/>
      <c r="J305" s="26"/>
      <c r="K305" s="180"/>
      <c r="L305" s="180"/>
      <c r="M305" s="10"/>
      <c r="N305" s="10"/>
      <c r="O305" s="10"/>
      <c r="P305" s="10"/>
      <c r="Q305" s="164"/>
      <c r="R305" s="110"/>
    </row>
    <row r="306" spans="1:18" ht="13.5" customHeight="1">
      <c r="A306" s="90">
        <v>300</v>
      </c>
      <c r="B306" s="24">
        <f>DATE('1.연간시수표'!$U$44,'1.연간시수표'!$X$44,'1.연간시수표'!$Z$44)+QUOTIENT(ROW(A300)-1,8)+(QUOTIENT(ROW(A300)-1,40)*2)</f>
        <v>44850</v>
      </c>
      <c r="C306" s="24" t="b">
        <f t="shared" si="12"/>
        <v>0</v>
      </c>
      <c r="D306" s="116" t="str">
        <f t="shared" si="13"/>
        <v>4교시</v>
      </c>
      <c r="E306" s="68">
        <f>COUNTIF($H$7:$H306,$H306)</f>
        <v>11</v>
      </c>
      <c r="F306" s="67">
        <f>'1.연간시수표'!$AL$33</f>
        <v>5</v>
      </c>
      <c r="G306" s="115">
        <f t="shared" si="14"/>
        <v>2</v>
      </c>
      <c r="H306" s="41" t="str">
        <f>INDEX('0.시간표데이터'!$E$52:$AR$78,QUOTIENT(ROW(A300)-1,40)+1,MOD(ROW(A300)-1,40)+1)</f>
        <v>음악</v>
      </c>
      <c r="I306" s="77"/>
      <c r="J306" s="26"/>
      <c r="K306" s="180"/>
      <c r="L306" s="180"/>
      <c r="M306" s="10"/>
      <c r="N306" s="10"/>
      <c r="O306" s="10"/>
      <c r="P306" s="10"/>
      <c r="Q306" s="164"/>
      <c r="R306" s="110"/>
    </row>
    <row r="307" spans="1:18">
      <c r="A307" s="90">
        <v>301</v>
      </c>
      <c r="B307" s="24">
        <f>DATE('1.연간시수표'!$U$44,'1.연간시수표'!$X$44,'1.연간시수표'!$Z$44)+QUOTIENT(ROW(A301)-1,8)+(QUOTIENT(ROW(A301)-1,40)*2)</f>
        <v>44850</v>
      </c>
      <c r="C307" s="24" t="b">
        <f t="shared" si="12"/>
        <v>0</v>
      </c>
      <c r="D307" s="116" t="str">
        <f t="shared" si="13"/>
        <v>5교시</v>
      </c>
      <c r="E307" s="68">
        <f>COUNTIF($H$7:$H307,$H307)</f>
        <v>7</v>
      </c>
      <c r="F307" s="67">
        <f>'1.연간시수표'!$AL$33</f>
        <v>5</v>
      </c>
      <c r="G307" s="115">
        <f t="shared" si="14"/>
        <v>2</v>
      </c>
      <c r="H307" s="41" t="str">
        <f>INDEX('0.시간표데이터'!$E$52:$AR$78,QUOTIENT(ROW(A301)-1,40)+1,MOD(ROW(A301)-1,40)+1)</f>
        <v>도덕</v>
      </c>
      <c r="I307" s="77"/>
      <c r="J307" s="26"/>
      <c r="K307" s="164"/>
      <c r="L307" s="164"/>
      <c r="M307" s="10"/>
      <c r="N307" s="10"/>
      <c r="O307" s="10"/>
      <c r="P307" s="10"/>
      <c r="Q307" s="164"/>
      <c r="R307" s="110"/>
    </row>
    <row r="308" spans="1:18">
      <c r="A308" s="90">
        <v>302</v>
      </c>
      <c r="B308" s="24">
        <f>DATE('1.연간시수표'!$U$44,'1.연간시수표'!$X$44,'1.연간시수표'!$Z$44)+QUOTIENT(ROW(A302)-1,8)+(QUOTIENT(ROW(A302)-1,40)*2)</f>
        <v>44850</v>
      </c>
      <c r="C308" s="24" t="b">
        <f t="shared" si="12"/>
        <v>0</v>
      </c>
      <c r="D308" s="116" t="str">
        <f t="shared" si="13"/>
        <v>6교시</v>
      </c>
      <c r="E308" s="68">
        <f>COUNTIF($H$7:$H308,$H308)</f>
        <v>123</v>
      </c>
      <c r="F308" s="67">
        <f>'1.연간시수표'!$AL$33</f>
        <v>5</v>
      </c>
      <c r="G308" s="115">
        <f t="shared" si="14"/>
        <v>2</v>
      </c>
      <c r="H308" s="41" t="str">
        <f>INDEX('0.시간표데이터'!$E$52:$AR$78,QUOTIENT(ROW(A302)-1,40)+1,MOD(ROW(A302)-1,40)+1)</f>
        <v>_</v>
      </c>
      <c r="I308" s="77"/>
      <c r="J308" s="26"/>
      <c r="K308" s="167"/>
      <c r="L308" s="167"/>
      <c r="M308" s="166"/>
      <c r="N308" s="166"/>
      <c r="O308" s="166"/>
      <c r="P308" s="166"/>
      <c r="Q308" s="167"/>
      <c r="R308" s="111"/>
    </row>
    <row r="309" spans="1:18" ht="13.5" customHeight="1">
      <c r="A309" s="90">
        <v>303</v>
      </c>
      <c r="B309" s="24">
        <f>DATE('1.연간시수표'!$U$44,'1.연간시수표'!$X$44,'1.연간시수표'!$Z$44)+QUOTIENT(ROW(A303)-1,8)+(QUOTIENT(ROW(A303)-1,40)*2)</f>
        <v>44850</v>
      </c>
      <c r="C309" s="24" t="b">
        <f t="shared" si="12"/>
        <v>0</v>
      </c>
      <c r="D309" s="116" t="str">
        <f t="shared" si="13"/>
        <v>7교시</v>
      </c>
      <c r="E309" s="68">
        <f>COUNTIF($H$7:$H309,$H309)</f>
        <v>124</v>
      </c>
      <c r="F309" s="67">
        <f>'1.연간시수표'!$AL$33</f>
        <v>5</v>
      </c>
      <c r="G309" s="115">
        <f t="shared" si="14"/>
        <v>2</v>
      </c>
      <c r="H309" s="41" t="str">
        <f>INDEX('0.시간표데이터'!$E$52:$AR$78,QUOTIENT(ROW(A303)-1,40)+1,MOD(ROW(A303)-1,40)+1)</f>
        <v>_</v>
      </c>
      <c r="I309" s="76"/>
      <c r="J309" s="26"/>
      <c r="K309" s="167"/>
      <c r="L309" s="167"/>
      <c r="M309" s="166"/>
      <c r="N309" s="166"/>
      <c r="O309" s="166"/>
      <c r="P309" s="166"/>
      <c r="Q309" s="167"/>
      <c r="R309" s="111"/>
    </row>
    <row r="310" spans="1:18" ht="13.5" customHeight="1">
      <c r="A310" s="90">
        <v>304</v>
      </c>
      <c r="B310" s="24">
        <f>DATE('1.연간시수표'!$U$44,'1.연간시수표'!$X$44,'1.연간시수표'!$Z$44)+QUOTIENT(ROW(A304)-1,8)+(QUOTIENT(ROW(A304)-1,40)*2)</f>
        <v>44850</v>
      </c>
      <c r="C310" s="24" t="b">
        <f t="shared" si="12"/>
        <v>0</v>
      </c>
      <c r="D310" s="116" t="str">
        <f t="shared" si="13"/>
        <v>8교시</v>
      </c>
      <c r="E310" s="68">
        <f>COUNTIF($H$7:$H310,$H310)</f>
        <v>125</v>
      </c>
      <c r="F310" s="67">
        <f>'1.연간시수표'!$AL$33</f>
        <v>5</v>
      </c>
      <c r="G310" s="115">
        <f t="shared" si="14"/>
        <v>2</v>
      </c>
      <c r="H310" s="41" t="str">
        <f>INDEX('0.시간표데이터'!$E$52:$AR$78,QUOTIENT(ROW(A304)-1,40)+1,MOD(ROW(A304)-1,40)+1)</f>
        <v>_</v>
      </c>
      <c r="I310" s="76"/>
      <c r="J310" s="26"/>
      <c r="K310" s="167"/>
      <c r="L310" s="167"/>
      <c r="M310" s="166"/>
      <c r="N310" s="166"/>
      <c r="O310" s="166"/>
      <c r="P310" s="166"/>
      <c r="Q310" s="167"/>
      <c r="R310" s="111"/>
    </row>
    <row r="311" spans="1:18" ht="13.5" customHeight="1">
      <c r="A311" s="90">
        <v>305</v>
      </c>
      <c r="B311" s="24">
        <f>DATE('1.연간시수표'!$U$44,'1.연간시수표'!$X$44,'1.연간시수표'!$Z$44)+QUOTIENT(ROW(A305)-1,8)+(QUOTIENT(ROW(A305)-1,40)*2)</f>
        <v>44851</v>
      </c>
      <c r="C311" s="24" t="str">
        <f t="shared" si="12"/>
        <v>월</v>
      </c>
      <c r="D311" s="116" t="str">
        <f t="shared" si="13"/>
        <v>1교시</v>
      </c>
      <c r="E311" s="68">
        <f>COUNTIF($H$7:$H311,$H311)</f>
        <v>37</v>
      </c>
      <c r="F311" s="67">
        <f>'1.연간시수표'!$AL$33</f>
        <v>5</v>
      </c>
      <c r="G311" s="115">
        <f t="shared" si="14"/>
        <v>2</v>
      </c>
      <c r="H311" s="41" t="str">
        <f>INDEX('0.시간표데이터'!$E$52:$AR$78,QUOTIENT(ROW(A305)-1,40)+1,MOD(ROW(A305)-1,40)+1)</f>
        <v>국어</v>
      </c>
      <c r="I311" s="77"/>
      <c r="J311" s="26"/>
      <c r="K311" s="180"/>
      <c r="L311" s="180"/>
      <c r="M311" s="10"/>
      <c r="N311" s="10"/>
      <c r="O311" s="10"/>
      <c r="P311" s="10"/>
      <c r="Q311" s="164"/>
      <c r="R311" s="110"/>
    </row>
    <row r="312" spans="1:18" ht="13.5" customHeight="1">
      <c r="A312" s="90">
        <v>306</v>
      </c>
      <c r="B312" s="24">
        <f>DATE('1.연간시수표'!$U$44,'1.연간시수표'!$X$44,'1.연간시수표'!$Z$44)+QUOTIENT(ROW(A306)-1,8)+(QUOTIENT(ROW(A306)-1,40)*2)</f>
        <v>44851</v>
      </c>
      <c r="C312" s="24" t="str">
        <f t="shared" si="12"/>
        <v>월</v>
      </c>
      <c r="D312" s="116" t="str">
        <f t="shared" si="13"/>
        <v>2교시</v>
      </c>
      <c r="E312" s="68">
        <f>COUNTIF($H$7:$H312,$H312)</f>
        <v>10</v>
      </c>
      <c r="F312" s="67">
        <f>'1.연간시수표'!$AL$33</f>
        <v>5</v>
      </c>
      <c r="G312" s="115">
        <f t="shared" si="14"/>
        <v>2</v>
      </c>
      <c r="H312" s="41" t="str">
        <f>INDEX('0.시간표데이터'!$E$52:$AR$78,QUOTIENT(ROW(A306)-1,40)+1,MOD(ROW(A306)-1,40)+1)</f>
        <v>자율활동</v>
      </c>
      <c r="I312" s="161"/>
      <c r="J312" s="26"/>
      <c r="K312" s="180"/>
      <c r="L312" s="180"/>
      <c r="M312" s="10"/>
      <c r="N312" s="10"/>
      <c r="O312" s="10"/>
      <c r="P312" s="10"/>
      <c r="Q312" s="164"/>
      <c r="R312" s="110"/>
    </row>
    <row r="313" spans="1:18" ht="13.5" customHeight="1">
      <c r="A313" s="90">
        <v>307</v>
      </c>
      <c r="B313" s="24">
        <f>DATE('1.연간시수표'!$U$44,'1.연간시수표'!$X$44,'1.연간시수표'!$Z$44)+QUOTIENT(ROW(A307)-1,8)+(QUOTIENT(ROW(A307)-1,40)*2)</f>
        <v>44851</v>
      </c>
      <c r="C313" s="24" t="str">
        <f t="shared" si="12"/>
        <v>월</v>
      </c>
      <c r="D313" s="116" t="str">
        <f t="shared" si="13"/>
        <v>3교시</v>
      </c>
      <c r="E313" s="68">
        <f>COUNTIF($H$7:$H313,$H313)</f>
        <v>20</v>
      </c>
      <c r="F313" s="67">
        <f>'1.연간시수표'!$AL$33</f>
        <v>5</v>
      </c>
      <c r="G313" s="115">
        <f t="shared" si="14"/>
        <v>2</v>
      </c>
      <c r="H313" s="41" t="str">
        <f>INDEX('0.시간표데이터'!$E$52:$AR$78,QUOTIENT(ROW(A307)-1,40)+1,MOD(ROW(A307)-1,40)+1)</f>
        <v>사회</v>
      </c>
      <c r="I313" s="77"/>
      <c r="J313" s="26"/>
      <c r="K313" s="180"/>
      <c r="L313" s="180"/>
      <c r="M313" s="10"/>
      <c r="N313" s="10"/>
      <c r="O313" s="10"/>
      <c r="P313" s="10"/>
      <c r="Q313" s="164"/>
      <c r="R313" s="110"/>
    </row>
    <row r="314" spans="1:18" ht="13.5" customHeight="1">
      <c r="A314" s="90">
        <v>308</v>
      </c>
      <c r="B314" s="24">
        <f>DATE('1.연간시수표'!$U$44,'1.연간시수표'!$X$44,'1.연간시수표'!$Z$44)+QUOTIENT(ROW(A308)-1,8)+(QUOTIENT(ROW(A308)-1,40)*2)</f>
        <v>44851</v>
      </c>
      <c r="C314" s="24" t="str">
        <f t="shared" si="12"/>
        <v>월</v>
      </c>
      <c r="D314" s="116" t="str">
        <f t="shared" si="13"/>
        <v>4교시</v>
      </c>
      <c r="E314" s="68">
        <f>COUNTIF($H$7:$H314,$H314)</f>
        <v>19</v>
      </c>
      <c r="F314" s="67">
        <f>'1.연간시수표'!$AL$33</f>
        <v>5</v>
      </c>
      <c r="G314" s="115">
        <f t="shared" si="14"/>
        <v>2</v>
      </c>
      <c r="H314" s="41" t="str">
        <f>INDEX('0.시간표데이터'!$E$52:$AR$78,QUOTIENT(ROW(A308)-1,40)+1,MOD(ROW(A308)-1,40)+1)</f>
        <v>영어</v>
      </c>
      <c r="I314" s="77"/>
      <c r="J314" s="26"/>
      <c r="K314" s="180"/>
      <c r="L314" s="180"/>
      <c r="M314" s="10"/>
      <c r="N314" s="10"/>
      <c r="O314" s="10"/>
      <c r="P314" s="10"/>
      <c r="Q314" s="164"/>
      <c r="R314" s="110"/>
    </row>
    <row r="315" spans="1:18" ht="13.5" customHeight="1">
      <c r="A315" s="90">
        <v>309</v>
      </c>
      <c r="B315" s="24">
        <f>DATE('1.연간시수표'!$U$44,'1.연간시수표'!$X$44,'1.연간시수표'!$Z$44)+QUOTIENT(ROW(A309)-1,8)+(QUOTIENT(ROW(A309)-1,40)*2)</f>
        <v>44851</v>
      </c>
      <c r="C315" s="24" t="str">
        <f t="shared" si="12"/>
        <v>월</v>
      </c>
      <c r="D315" s="116" t="str">
        <f t="shared" si="13"/>
        <v>5교시</v>
      </c>
      <c r="E315" s="68">
        <f>COUNTIF($H$7:$H315,$H315)</f>
        <v>7</v>
      </c>
      <c r="F315" s="67">
        <f>'1.연간시수표'!$AL$33</f>
        <v>5</v>
      </c>
      <c r="G315" s="115">
        <f t="shared" si="14"/>
        <v>2</v>
      </c>
      <c r="H315" s="41" t="str">
        <f>INDEX('0.시간표데이터'!$E$52:$AR$78,QUOTIENT(ROW(A309)-1,40)+1,MOD(ROW(A309)-1,40)+1)</f>
        <v>동아리활동</v>
      </c>
      <c r="I315" s="77"/>
      <c r="J315" s="26"/>
      <c r="K315" s="180"/>
      <c r="L315" s="180"/>
      <c r="M315" s="10"/>
      <c r="N315" s="10"/>
      <c r="O315" s="10"/>
      <c r="P315" s="10"/>
      <c r="Q315" s="164"/>
      <c r="R315" s="110"/>
    </row>
    <row r="316" spans="1:18" ht="13.5" customHeight="1">
      <c r="A316" s="90">
        <v>310</v>
      </c>
      <c r="B316" s="24">
        <f>DATE('1.연간시수표'!$U$44,'1.연간시수표'!$X$44,'1.연간시수표'!$Z$44)+QUOTIENT(ROW(A310)-1,8)+(QUOTIENT(ROW(A310)-1,40)*2)</f>
        <v>44851</v>
      </c>
      <c r="C316" s="24" t="str">
        <f t="shared" si="12"/>
        <v>월</v>
      </c>
      <c r="D316" s="116" t="str">
        <f t="shared" si="13"/>
        <v>6교시</v>
      </c>
      <c r="E316" s="68">
        <f>COUNTIF($H$7:$H316,$H316)</f>
        <v>8</v>
      </c>
      <c r="F316" s="67">
        <f>'1.연간시수표'!$AL$33</f>
        <v>5</v>
      </c>
      <c r="G316" s="115">
        <f t="shared" si="14"/>
        <v>2</v>
      </c>
      <c r="H316" s="41" t="str">
        <f>INDEX('0.시간표데이터'!$E$52:$AR$78,QUOTIENT(ROW(A310)-1,40)+1,MOD(ROW(A310)-1,40)+1)</f>
        <v>동아리활동</v>
      </c>
      <c r="I316" s="161"/>
      <c r="J316" s="26"/>
      <c r="K316" s="180"/>
      <c r="L316" s="180"/>
      <c r="M316" s="10"/>
      <c r="N316" s="10"/>
      <c r="O316" s="10"/>
      <c r="P316" s="10"/>
      <c r="Q316" s="164"/>
      <c r="R316" s="110"/>
    </row>
    <row r="317" spans="1:18" ht="13.5" customHeight="1">
      <c r="A317" s="90">
        <v>311</v>
      </c>
      <c r="B317" s="24">
        <f>DATE('1.연간시수표'!$U$44,'1.연간시수표'!$X$44,'1.연간시수표'!$Z$44)+QUOTIENT(ROW(A311)-1,8)+(QUOTIENT(ROW(A311)-1,40)*2)</f>
        <v>44851</v>
      </c>
      <c r="C317" s="24" t="str">
        <f t="shared" si="12"/>
        <v>월</v>
      </c>
      <c r="D317" s="116" t="str">
        <f t="shared" si="13"/>
        <v>7교시</v>
      </c>
      <c r="E317" s="68">
        <f>COUNTIF($H$7:$H317,$H317)</f>
        <v>126</v>
      </c>
      <c r="F317" s="67">
        <f>'1.연간시수표'!$AL$33</f>
        <v>5</v>
      </c>
      <c r="G317" s="115">
        <f t="shared" si="14"/>
        <v>2</v>
      </c>
      <c r="H317" s="41" t="str">
        <f>INDEX('0.시간표데이터'!$E$52:$AR$78,QUOTIENT(ROW(A311)-1,40)+1,MOD(ROW(A311)-1,40)+1)</f>
        <v>_</v>
      </c>
      <c r="I317" s="76"/>
      <c r="J317" s="26"/>
      <c r="K317" s="167"/>
      <c r="L317" s="167"/>
      <c r="M317" s="166"/>
      <c r="N317" s="166"/>
      <c r="O317" s="166"/>
      <c r="P317" s="166"/>
      <c r="Q317" s="167"/>
      <c r="R317" s="111"/>
    </row>
    <row r="318" spans="1:18" ht="13.5" customHeight="1">
      <c r="A318" s="90">
        <v>312</v>
      </c>
      <c r="B318" s="24">
        <f>DATE('1.연간시수표'!$U$44,'1.연간시수표'!$X$44,'1.연간시수표'!$Z$44)+QUOTIENT(ROW(A312)-1,8)+(QUOTIENT(ROW(A312)-1,40)*2)</f>
        <v>44851</v>
      </c>
      <c r="C318" s="24" t="str">
        <f t="shared" si="12"/>
        <v>월</v>
      </c>
      <c r="D318" s="116" t="str">
        <f t="shared" si="13"/>
        <v>8교시</v>
      </c>
      <c r="E318" s="68">
        <f>COUNTIF($H$7:$H318,$H318)</f>
        <v>127</v>
      </c>
      <c r="F318" s="67">
        <f>'1.연간시수표'!$AL$33</f>
        <v>5</v>
      </c>
      <c r="G318" s="115">
        <f t="shared" si="14"/>
        <v>2</v>
      </c>
      <c r="H318" s="41" t="str">
        <f>INDEX('0.시간표데이터'!$E$52:$AR$78,QUOTIENT(ROW(A312)-1,40)+1,MOD(ROW(A312)-1,40)+1)</f>
        <v>_</v>
      </c>
      <c r="I318" s="76"/>
      <c r="J318" s="26"/>
      <c r="K318" s="167"/>
      <c r="L318" s="167"/>
      <c r="M318" s="166"/>
      <c r="N318" s="166"/>
      <c r="O318" s="166"/>
      <c r="P318" s="166"/>
      <c r="Q318" s="167"/>
      <c r="R318" s="111"/>
    </row>
    <row r="319" spans="1:18" ht="13.5" customHeight="1">
      <c r="A319" s="90">
        <v>313</v>
      </c>
      <c r="B319" s="24">
        <f>DATE('1.연간시수표'!$U$44,'1.연간시수표'!$X$44,'1.연간시수표'!$Z$44)+QUOTIENT(ROW(A313)-1,8)+(QUOTIENT(ROW(A313)-1,40)*2)</f>
        <v>44852</v>
      </c>
      <c r="C319" s="24" t="str">
        <f t="shared" si="12"/>
        <v>화</v>
      </c>
      <c r="D319" s="116" t="str">
        <f t="shared" si="13"/>
        <v>1교시</v>
      </c>
      <c r="E319" s="68">
        <f>COUNTIF($H$7:$H319,$H319)</f>
        <v>38</v>
      </c>
      <c r="F319" s="67">
        <f>'1.연간시수표'!$AL$33</f>
        <v>5</v>
      </c>
      <c r="G319" s="115">
        <f t="shared" si="14"/>
        <v>2</v>
      </c>
      <c r="H319" s="41" t="str">
        <f>INDEX('0.시간표데이터'!$E$52:$AR$78,QUOTIENT(ROW(A313)-1,40)+1,MOD(ROW(A313)-1,40)+1)</f>
        <v>국어</v>
      </c>
      <c r="I319" s="77"/>
      <c r="J319" s="26"/>
      <c r="K319" s="180"/>
      <c r="L319" s="180"/>
      <c r="M319" s="10"/>
      <c r="N319" s="10"/>
      <c r="O319" s="10"/>
      <c r="P319" s="10"/>
      <c r="Q319" s="164"/>
      <c r="R319" s="110"/>
    </row>
    <row r="320" spans="1:18" ht="13.5" customHeight="1">
      <c r="A320" s="90">
        <v>314</v>
      </c>
      <c r="B320" s="24">
        <f>DATE('1.연간시수표'!$U$44,'1.연간시수표'!$X$44,'1.연간시수표'!$Z$44)+QUOTIENT(ROW(A314)-1,8)+(QUOTIENT(ROW(A314)-1,40)*2)</f>
        <v>44852</v>
      </c>
      <c r="C320" s="24" t="str">
        <f t="shared" si="12"/>
        <v>화</v>
      </c>
      <c r="D320" s="116" t="str">
        <f t="shared" si="13"/>
        <v>2교시</v>
      </c>
      <c r="E320" s="68">
        <f>COUNTIF($H$7:$H320,$H320)</f>
        <v>14</v>
      </c>
      <c r="F320" s="67">
        <f>'1.연간시수표'!$AL$33</f>
        <v>5</v>
      </c>
      <c r="G320" s="115">
        <f t="shared" si="14"/>
        <v>2</v>
      </c>
      <c r="H320" s="41" t="str">
        <f>INDEX('0.시간표데이터'!$E$52:$AR$78,QUOTIENT(ROW(A314)-1,40)+1,MOD(ROW(A314)-1,40)+1)</f>
        <v>체육</v>
      </c>
      <c r="I320" s="77"/>
      <c r="J320" s="26"/>
      <c r="K320" s="180"/>
      <c r="L320" s="180"/>
      <c r="M320" s="10"/>
      <c r="N320" s="10"/>
      <c r="O320" s="10"/>
      <c r="P320" s="10"/>
      <c r="Q320" s="164"/>
      <c r="R320" s="110"/>
    </row>
    <row r="321" spans="1:18" ht="13.5" customHeight="1">
      <c r="A321" s="90">
        <v>315</v>
      </c>
      <c r="B321" s="24">
        <f>DATE('1.연간시수표'!$U$44,'1.연간시수표'!$X$44,'1.연간시수표'!$Z$44)+QUOTIENT(ROW(A315)-1,8)+(QUOTIENT(ROW(A315)-1,40)*2)</f>
        <v>44852</v>
      </c>
      <c r="C321" s="24" t="str">
        <f t="shared" si="12"/>
        <v>화</v>
      </c>
      <c r="D321" s="116" t="str">
        <f t="shared" si="13"/>
        <v>3교시</v>
      </c>
      <c r="E321" s="68">
        <f>COUNTIF($H$7:$H321,$H321)</f>
        <v>21</v>
      </c>
      <c r="F321" s="67">
        <f>'1.연간시수표'!$AL$33</f>
        <v>5</v>
      </c>
      <c r="G321" s="115">
        <f t="shared" si="14"/>
        <v>2</v>
      </c>
      <c r="H321" s="41" t="str">
        <f>INDEX('0.시간표데이터'!$E$52:$AR$78,QUOTIENT(ROW(A315)-1,40)+1,MOD(ROW(A315)-1,40)+1)</f>
        <v>수학</v>
      </c>
      <c r="I321" s="77"/>
      <c r="J321" s="26"/>
      <c r="K321" s="180"/>
      <c r="L321" s="180"/>
      <c r="M321" s="10"/>
      <c r="N321" s="10"/>
      <c r="O321" s="10"/>
      <c r="P321" s="10"/>
      <c r="Q321" s="164"/>
      <c r="R321" s="110"/>
    </row>
    <row r="322" spans="1:18" ht="13.5" customHeight="1">
      <c r="A322" s="90">
        <v>316</v>
      </c>
      <c r="B322" s="24">
        <f>DATE('1.연간시수표'!$U$44,'1.연간시수표'!$X$44,'1.연간시수표'!$Z$44)+QUOTIENT(ROW(A316)-1,8)+(QUOTIENT(ROW(A316)-1,40)*2)</f>
        <v>44852</v>
      </c>
      <c r="C322" s="24" t="str">
        <f t="shared" si="12"/>
        <v>화</v>
      </c>
      <c r="D322" s="116" t="str">
        <f t="shared" si="13"/>
        <v>4교시</v>
      </c>
      <c r="E322" s="68">
        <f>COUNTIF($H$7:$H322,$H322)</f>
        <v>39</v>
      </c>
      <c r="F322" s="67">
        <f>'1.연간시수표'!$AL$33</f>
        <v>5</v>
      </c>
      <c r="G322" s="115">
        <f t="shared" si="14"/>
        <v>2</v>
      </c>
      <c r="H322" s="41" t="str">
        <f>INDEX('0.시간표데이터'!$E$52:$AR$78,QUOTIENT(ROW(A316)-1,40)+1,MOD(ROW(A316)-1,40)+1)</f>
        <v>국어</v>
      </c>
      <c r="I322" s="77"/>
      <c r="J322" s="26"/>
      <c r="K322" s="180"/>
      <c r="L322" s="180"/>
      <c r="M322" s="10"/>
      <c r="N322" s="10"/>
      <c r="O322" s="10"/>
      <c r="P322" s="10"/>
      <c r="Q322" s="164"/>
      <c r="R322" s="110"/>
    </row>
    <row r="323" spans="1:18" ht="13.5" customHeight="1">
      <c r="A323" s="90">
        <v>317</v>
      </c>
      <c r="B323" s="24">
        <f>DATE('1.연간시수표'!$U$44,'1.연간시수표'!$X$44,'1.연간시수표'!$Z$44)+QUOTIENT(ROW(A317)-1,8)+(QUOTIENT(ROW(A317)-1,40)*2)</f>
        <v>44852</v>
      </c>
      <c r="C323" s="24" t="str">
        <f t="shared" si="12"/>
        <v>화</v>
      </c>
      <c r="D323" s="116" t="str">
        <f t="shared" si="13"/>
        <v>5교시</v>
      </c>
      <c r="E323" s="68">
        <f>COUNTIF($H$7:$H323,$H323)</f>
        <v>21</v>
      </c>
      <c r="F323" s="67">
        <f>'1.연간시수표'!$AL$33</f>
        <v>5</v>
      </c>
      <c r="G323" s="115">
        <f t="shared" si="14"/>
        <v>2</v>
      </c>
      <c r="H323" s="41" t="str">
        <f>INDEX('0.시간표데이터'!$E$52:$AR$78,QUOTIENT(ROW(A317)-1,40)+1,MOD(ROW(A317)-1,40)+1)</f>
        <v>사회</v>
      </c>
      <c r="I323" s="77"/>
      <c r="J323" s="26"/>
      <c r="K323" s="164"/>
      <c r="L323" s="164"/>
      <c r="M323" s="10"/>
      <c r="N323" s="10"/>
      <c r="O323" s="10"/>
      <c r="P323" s="10"/>
      <c r="Q323" s="164"/>
      <c r="R323" s="110"/>
    </row>
    <row r="324" spans="1:18" ht="13.5" customHeight="1">
      <c r="A324" s="90">
        <v>318</v>
      </c>
      <c r="B324" s="24">
        <f>DATE('1.연간시수표'!$U$44,'1.연간시수표'!$X$44,'1.연간시수표'!$Z$44)+QUOTIENT(ROW(A318)-1,8)+(QUOTIENT(ROW(A318)-1,40)*2)</f>
        <v>44852</v>
      </c>
      <c r="C324" s="24" t="str">
        <f t="shared" si="12"/>
        <v>화</v>
      </c>
      <c r="D324" s="116" t="str">
        <f t="shared" si="13"/>
        <v>6교시</v>
      </c>
      <c r="E324" s="68">
        <f>COUNTIF($H$7:$H324,$H324)</f>
        <v>14</v>
      </c>
      <c r="F324" s="67">
        <f>'1.연간시수표'!$AL$33</f>
        <v>5</v>
      </c>
      <c r="G324" s="115">
        <f t="shared" si="14"/>
        <v>2</v>
      </c>
      <c r="H324" s="41" t="str">
        <f>INDEX('0.시간표데이터'!$E$52:$AR$78,QUOTIENT(ROW(A318)-1,40)+1,MOD(ROW(A318)-1,40)+1)</f>
        <v>실과</v>
      </c>
      <c r="I324" s="77"/>
      <c r="J324" s="26"/>
      <c r="K324" s="180"/>
      <c r="L324" s="180"/>
      <c r="M324" s="10"/>
      <c r="N324" s="10"/>
      <c r="O324" s="10"/>
      <c r="P324" s="10"/>
      <c r="Q324" s="164"/>
      <c r="R324" s="110"/>
    </row>
    <row r="325" spans="1:18" ht="13.5" customHeight="1">
      <c r="A325" s="90">
        <v>319</v>
      </c>
      <c r="B325" s="24">
        <f>DATE('1.연간시수표'!$U$44,'1.연간시수표'!$X$44,'1.연간시수표'!$Z$44)+QUOTIENT(ROW(A319)-1,8)+(QUOTIENT(ROW(A319)-1,40)*2)</f>
        <v>44852</v>
      </c>
      <c r="C325" s="24" t="str">
        <f t="shared" si="12"/>
        <v>화</v>
      </c>
      <c r="D325" s="116" t="str">
        <f t="shared" si="13"/>
        <v>7교시</v>
      </c>
      <c r="E325" s="68">
        <f>COUNTIF($H$7:$H325,$H325)</f>
        <v>128</v>
      </c>
      <c r="F325" s="67">
        <f>'1.연간시수표'!$AL$33</f>
        <v>5</v>
      </c>
      <c r="G325" s="115">
        <f t="shared" si="14"/>
        <v>2</v>
      </c>
      <c r="H325" s="41" t="str">
        <f>INDEX('0.시간표데이터'!$E$52:$AR$78,QUOTIENT(ROW(A319)-1,40)+1,MOD(ROW(A319)-1,40)+1)</f>
        <v>_</v>
      </c>
      <c r="I325" s="76"/>
      <c r="J325" s="26"/>
      <c r="K325" s="167"/>
      <c r="L325" s="167"/>
      <c r="M325" s="166"/>
      <c r="N325" s="166"/>
      <c r="O325" s="166"/>
      <c r="P325" s="166"/>
      <c r="Q325" s="167"/>
      <c r="R325" s="111"/>
    </row>
    <row r="326" spans="1:18" ht="13.5" customHeight="1">
      <c r="A326" s="90">
        <v>320</v>
      </c>
      <c r="B326" s="24">
        <f>DATE('1.연간시수표'!$U$44,'1.연간시수표'!$X$44,'1.연간시수표'!$Z$44)+QUOTIENT(ROW(A320)-1,8)+(QUOTIENT(ROW(A320)-1,40)*2)</f>
        <v>44852</v>
      </c>
      <c r="C326" s="24" t="str">
        <f t="shared" si="12"/>
        <v>화</v>
      </c>
      <c r="D326" s="116" t="str">
        <f t="shared" si="13"/>
        <v>8교시</v>
      </c>
      <c r="E326" s="68">
        <f>COUNTIF($H$7:$H326,$H326)</f>
        <v>129</v>
      </c>
      <c r="F326" s="67">
        <f>'1.연간시수표'!$AL$33</f>
        <v>5</v>
      </c>
      <c r="G326" s="115">
        <f t="shared" si="14"/>
        <v>2</v>
      </c>
      <c r="H326" s="41" t="str">
        <f>INDEX('0.시간표데이터'!$E$52:$AR$78,QUOTIENT(ROW(A320)-1,40)+1,MOD(ROW(A320)-1,40)+1)</f>
        <v>_</v>
      </c>
      <c r="I326" s="76"/>
      <c r="J326" s="26"/>
      <c r="K326" s="167"/>
      <c r="L326" s="167"/>
      <c r="M326" s="166"/>
      <c r="N326" s="166"/>
      <c r="O326" s="166"/>
      <c r="P326" s="166"/>
      <c r="Q326" s="167"/>
      <c r="R326" s="111"/>
    </row>
    <row r="327" spans="1:18" ht="13.5" customHeight="1">
      <c r="A327" s="90">
        <v>321</v>
      </c>
      <c r="B327" s="24">
        <f>DATE('1.연간시수표'!$U$44,'1.연간시수표'!$X$44,'1.연간시수표'!$Z$44)+QUOTIENT(ROW(A321)-1,8)+(QUOTIENT(ROW(A321)-1,40)*2)</f>
        <v>44855</v>
      </c>
      <c r="C327" s="24" t="str">
        <f t="shared" ref="C327:C390" si="15">IF(WEEKDAY(B327,2)=1,"월",IF(WEEKDAY(B327,2)=2,"화",IF(WEEKDAY(B327,2)=3,"수",IF(WEEKDAY(B327,2)=4,"목",IF(WEEKDAY(B327,2)=5,"금")))))</f>
        <v>금</v>
      </c>
      <c r="D327" s="116" t="str">
        <f t="shared" ref="D327:D390" si="16">TEXT(MOD(ROW(A321)-1,8)+1,"#교시")</f>
        <v>1교시</v>
      </c>
      <c r="E327" s="68">
        <f>COUNTIF($H$7:$H327,$H327)</f>
        <v>40</v>
      </c>
      <c r="F327" s="67">
        <f>'1.연간시수표'!$AL$33</f>
        <v>5</v>
      </c>
      <c r="G327" s="115">
        <f t="shared" ref="G327:G390" si="17">$A$2</f>
        <v>2</v>
      </c>
      <c r="H327" s="41" t="str">
        <f>INDEX('0.시간표데이터'!$E$52:$AR$78,QUOTIENT(ROW(A321)-1,40)+1,MOD(ROW(A321)-1,40)+1)</f>
        <v>국어</v>
      </c>
      <c r="I327" s="77"/>
      <c r="J327" s="26"/>
      <c r="K327" s="164"/>
      <c r="L327" s="164"/>
      <c r="M327" s="10"/>
      <c r="N327" s="10"/>
      <c r="O327" s="10"/>
      <c r="P327" s="10"/>
      <c r="Q327" s="164"/>
      <c r="R327" s="110"/>
    </row>
    <row r="328" spans="1:18" ht="13.5" customHeight="1">
      <c r="A328" s="90">
        <v>322</v>
      </c>
      <c r="B328" s="24">
        <f>DATE('1.연간시수표'!$U$44,'1.연간시수표'!$X$44,'1.연간시수표'!$Z$44)+QUOTIENT(ROW(A322)-1,8)+(QUOTIENT(ROW(A322)-1,40)*2)</f>
        <v>44855</v>
      </c>
      <c r="C328" s="24" t="str">
        <f t="shared" si="15"/>
        <v>금</v>
      </c>
      <c r="D328" s="116" t="str">
        <f t="shared" si="16"/>
        <v>2교시</v>
      </c>
      <c r="E328" s="68">
        <f>COUNTIF($H$7:$H328,$H328)</f>
        <v>9</v>
      </c>
      <c r="F328" s="67">
        <f>'1.연간시수표'!$AL$33</f>
        <v>5</v>
      </c>
      <c r="G328" s="115">
        <f t="shared" si="17"/>
        <v>2</v>
      </c>
      <c r="H328" s="41" t="str">
        <f>INDEX('0.시간표데이터'!$E$52:$AR$78,QUOTIENT(ROW(A322)-1,40)+1,MOD(ROW(A322)-1,40)+1)</f>
        <v>미술</v>
      </c>
      <c r="I328" s="161"/>
      <c r="J328" s="26"/>
      <c r="K328" s="180"/>
      <c r="L328" s="180"/>
      <c r="M328" s="10"/>
      <c r="N328" s="10"/>
      <c r="O328" s="10"/>
      <c r="P328" s="10"/>
      <c r="Q328" s="164"/>
      <c r="R328" s="110"/>
    </row>
    <row r="329" spans="1:18" ht="13.5" customHeight="1">
      <c r="A329" s="90">
        <v>323</v>
      </c>
      <c r="B329" s="24">
        <f>DATE('1.연간시수표'!$U$44,'1.연간시수표'!$X$44,'1.연간시수표'!$Z$44)+QUOTIENT(ROW(A323)-1,8)+(QUOTIENT(ROW(A323)-1,40)*2)</f>
        <v>44855</v>
      </c>
      <c r="C329" s="24" t="str">
        <f t="shared" si="15"/>
        <v>금</v>
      </c>
      <c r="D329" s="116" t="str">
        <f t="shared" si="16"/>
        <v>3교시</v>
      </c>
      <c r="E329" s="68">
        <f>COUNTIF($H$7:$H329,$H329)</f>
        <v>10</v>
      </c>
      <c r="F329" s="67">
        <f>'1.연간시수표'!$AL$33</f>
        <v>5</v>
      </c>
      <c r="G329" s="115">
        <f t="shared" si="17"/>
        <v>2</v>
      </c>
      <c r="H329" s="41" t="str">
        <f>INDEX('0.시간표데이터'!$E$52:$AR$78,QUOTIENT(ROW(A323)-1,40)+1,MOD(ROW(A323)-1,40)+1)</f>
        <v>미술</v>
      </c>
      <c r="I329" s="77"/>
      <c r="J329" s="26"/>
      <c r="K329" s="180"/>
      <c r="L329" s="180"/>
      <c r="M329" s="10"/>
      <c r="N329" s="10"/>
      <c r="O329" s="10"/>
      <c r="P329" s="10"/>
      <c r="Q329" s="164"/>
      <c r="R329" s="110"/>
    </row>
    <row r="330" spans="1:18" ht="13.5" customHeight="1">
      <c r="A330" s="90">
        <v>324</v>
      </c>
      <c r="B330" s="24">
        <f>DATE('1.연간시수표'!$U$44,'1.연간시수표'!$X$44,'1.연간시수표'!$Z$44)+QUOTIENT(ROW(A324)-1,8)+(QUOTIENT(ROW(A324)-1,40)*2)</f>
        <v>44855</v>
      </c>
      <c r="C330" s="24" t="str">
        <f t="shared" si="15"/>
        <v>금</v>
      </c>
      <c r="D330" s="116" t="str">
        <f t="shared" si="16"/>
        <v>4교시</v>
      </c>
      <c r="E330" s="68">
        <f>COUNTIF($H$7:$H330,$H330)</f>
        <v>20</v>
      </c>
      <c r="F330" s="67">
        <f>'1.연간시수표'!$AL$33</f>
        <v>5</v>
      </c>
      <c r="G330" s="115">
        <f t="shared" si="17"/>
        <v>2</v>
      </c>
      <c r="H330" s="41" t="str">
        <f>INDEX('0.시간표데이터'!$E$52:$AR$78,QUOTIENT(ROW(A324)-1,40)+1,MOD(ROW(A324)-1,40)+1)</f>
        <v>영어</v>
      </c>
      <c r="I330" s="77"/>
      <c r="J330" s="26"/>
      <c r="K330" s="180"/>
      <c r="L330" s="180"/>
      <c r="M330" s="10"/>
      <c r="N330" s="10"/>
      <c r="O330" s="10"/>
      <c r="P330" s="10"/>
      <c r="Q330" s="164"/>
      <c r="R330" s="110"/>
    </row>
    <row r="331" spans="1:18" ht="13.5" customHeight="1">
      <c r="A331" s="90">
        <v>325</v>
      </c>
      <c r="B331" s="24">
        <f>DATE('1.연간시수표'!$U$44,'1.연간시수표'!$X$44,'1.연간시수표'!$Z$44)+QUOTIENT(ROW(A325)-1,8)+(QUOTIENT(ROW(A325)-1,40)*2)</f>
        <v>44855</v>
      </c>
      <c r="C331" s="24" t="str">
        <f t="shared" si="15"/>
        <v>금</v>
      </c>
      <c r="D331" s="116" t="str">
        <f t="shared" si="16"/>
        <v>5교시</v>
      </c>
      <c r="E331" s="68">
        <f>COUNTIF($H$7:$H331,$H331)</f>
        <v>22</v>
      </c>
      <c r="F331" s="67">
        <f>'1.연간시수표'!$AL$33</f>
        <v>5</v>
      </c>
      <c r="G331" s="115">
        <f t="shared" si="17"/>
        <v>2</v>
      </c>
      <c r="H331" s="41" t="str">
        <f>INDEX('0.시간표데이터'!$E$52:$AR$78,QUOTIENT(ROW(A325)-1,40)+1,MOD(ROW(A325)-1,40)+1)</f>
        <v>수학</v>
      </c>
      <c r="I331" s="77"/>
      <c r="J331" s="26"/>
      <c r="K331" s="180"/>
      <c r="L331" s="180"/>
      <c r="M331" s="10"/>
      <c r="N331" s="10"/>
      <c r="O331" s="10"/>
      <c r="P331" s="10"/>
      <c r="Q331" s="164"/>
      <c r="R331" s="110"/>
    </row>
    <row r="332" spans="1:18" ht="13.5" customHeight="1">
      <c r="A332" s="90">
        <v>326</v>
      </c>
      <c r="B332" s="24">
        <f>DATE('1.연간시수표'!$U$44,'1.연간시수표'!$X$44,'1.연간시수표'!$Z$44)+QUOTIENT(ROW(A326)-1,8)+(QUOTIENT(ROW(A326)-1,40)*2)</f>
        <v>44855</v>
      </c>
      <c r="C332" s="24" t="str">
        <f t="shared" si="15"/>
        <v>금</v>
      </c>
      <c r="D332" s="116" t="str">
        <f t="shared" si="16"/>
        <v>6교시</v>
      </c>
      <c r="E332" s="68">
        <f>COUNTIF($H$7:$H332,$H332)</f>
        <v>11</v>
      </c>
      <c r="F332" s="67">
        <f>'1.연간시수표'!$AL$33</f>
        <v>5</v>
      </c>
      <c r="G332" s="115">
        <f t="shared" si="17"/>
        <v>2</v>
      </c>
      <c r="H332" s="41" t="str">
        <f>INDEX('0.시간표데이터'!$E$52:$AR$78,QUOTIENT(ROW(A326)-1,40)+1,MOD(ROW(A326)-1,40)+1)</f>
        <v>자율활동</v>
      </c>
      <c r="I332" s="77"/>
      <c r="J332" s="26"/>
      <c r="K332" s="167"/>
      <c r="L332" s="167"/>
      <c r="M332" s="166"/>
      <c r="N332" s="166"/>
      <c r="O332" s="166"/>
      <c r="P332" s="166"/>
      <c r="Q332" s="167"/>
      <c r="R332" s="111"/>
    </row>
    <row r="333" spans="1:18" ht="13.5" customHeight="1">
      <c r="A333" s="90">
        <v>327</v>
      </c>
      <c r="B333" s="24">
        <f>DATE('1.연간시수표'!$U$44,'1.연간시수표'!$X$44,'1.연간시수표'!$Z$44)+QUOTIENT(ROW(A327)-1,8)+(QUOTIENT(ROW(A327)-1,40)*2)</f>
        <v>44855</v>
      </c>
      <c r="C333" s="24" t="str">
        <f t="shared" si="15"/>
        <v>금</v>
      </c>
      <c r="D333" s="116" t="str">
        <f t="shared" si="16"/>
        <v>7교시</v>
      </c>
      <c r="E333" s="68">
        <f>COUNTIF($H$7:$H333,$H333)</f>
        <v>130</v>
      </c>
      <c r="F333" s="67">
        <f>'1.연간시수표'!$AL$33</f>
        <v>5</v>
      </c>
      <c r="G333" s="115">
        <f t="shared" si="17"/>
        <v>2</v>
      </c>
      <c r="H333" s="41" t="str">
        <f>INDEX('0.시간표데이터'!$E$52:$AR$78,QUOTIENT(ROW(A327)-1,40)+1,MOD(ROW(A327)-1,40)+1)</f>
        <v>_</v>
      </c>
      <c r="I333" s="76"/>
      <c r="J333" s="26"/>
      <c r="K333" s="167"/>
      <c r="L333" s="167"/>
      <c r="M333" s="166"/>
      <c r="N333" s="166"/>
      <c r="O333" s="166"/>
      <c r="P333" s="166"/>
      <c r="Q333" s="167"/>
      <c r="R333" s="111"/>
    </row>
    <row r="334" spans="1:18" ht="13.5" customHeight="1">
      <c r="A334" s="90">
        <v>328</v>
      </c>
      <c r="B334" s="24">
        <f>DATE('1.연간시수표'!$U$44,'1.연간시수표'!$X$44,'1.연간시수표'!$Z$44)+QUOTIENT(ROW(A328)-1,8)+(QUOTIENT(ROW(A328)-1,40)*2)</f>
        <v>44855</v>
      </c>
      <c r="C334" s="24" t="str">
        <f t="shared" si="15"/>
        <v>금</v>
      </c>
      <c r="D334" s="116" t="str">
        <f t="shared" si="16"/>
        <v>8교시</v>
      </c>
      <c r="E334" s="68">
        <f>COUNTIF($H$7:$H334,$H334)</f>
        <v>131</v>
      </c>
      <c r="F334" s="67">
        <f>'1.연간시수표'!$AL$33</f>
        <v>5</v>
      </c>
      <c r="G334" s="115">
        <f t="shared" si="17"/>
        <v>2</v>
      </c>
      <c r="H334" s="41" t="str">
        <f>INDEX('0.시간표데이터'!$E$52:$AR$78,QUOTIENT(ROW(A328)-1,40)+1,MOD(ROW(A328)-1,40)+1)</f>
        <v>_</v>
      </c>
      <c r="I334" s="76"/>
      <c r="J334" s="26"/>
      <c r="K334" s="167"/>
      <c r="L334" s="167"/>
      <c r="M334" s="166"/>
      <c r="N334" s="166"/>
      <c r="O334" s="166"/>
      <c r="P334" s="166"/>
      <c r="Q334" s="167"/>
      <c r="R334" s="111"/>
    </row>
    <row r="335" spans="1:18" ht="13.5" customHeight="1">
      <c r="A335" s="90">
        <v>329</v>
      </c>
      <c r="B335" s="24">
        <f>DATE('1.연간시수표'!$U$44,'1.연간시수표'!$X$44,'1.연간시수표'!$Z$44)+QUOTIENT(ROW(A329)-1,8)+(QUOTIENT(ROW(A329)-1,40)*2)</f>
        <v>44856</v>
      </c>
      <c r="C335" s="24" t="b">
        <f t="shared" si="15"/>
        <v>0</v>
      </c>
      <c r="D335" s="116" t="str">
        <f t="shared" si="16"/>
        <v>1교시</v>
      </c>
      <c r="E335" s="68">
        <f>COUNTIF($H$7:$H335,$H335)</f>
        <v>41</v>
      </c>
      <c r="F335" s="67">
        <f>'1.연간시수표'!$AL$33</f>
        <v>5</v>
      </c>
      <c r="G335" s="115">
        <f t="shared" si="17"/>
        <v>2</v>
      </c>
      <c r="H335" s="41" t="str">
        <f>INDEX('0.시간표데이터'!$E$52:$AR$78,QUOTIENT(ROW(A329)-1,40)+1,MOD(ROW(A329)-1,40)+1)</f>
        <v>국어</v>
      </c>
      <c r="I335" s="77"/>
      <c r="J335" s="26"/>
      <c r="K335" s="180"/>
      <c r="L335" s="180"/>
      <c r="M335" s="10"/>
      <c r="N335" s="10"/>
      <c r="O335" s="10"/>
      <c r="P335" s="10"/>
      <c r="Q335" s="164"/>
      <c r="R335" s="110"/>
    </row>
    <row r="336" spans="1:18" ht="13.5" customHeight="1">
      <c r="A336" s="90">
        <v>330</v>
      </c>
      <c r="B336" s="24">
        <f>DATE('1.연간시수표'!$U$44,'1.연간시수표'!$X$44,'1.연간시수표'!$Z$44)+QUOTIENT(ROW(A330)-1,8)+(QUOTIENT(ROW(A330)-1,40)*2)</f>
        <v>44856</v>
      </c>
      <c r="C336" s="24" t="b">
        <f t="shared" si="15"/>
        <v>0</v>
      </c>
      <c r="D336" s="116" t="str">
        <f t="shared" si="16"/>
        <v>2교시</v>
      </c>
      <c r="E336" s="68">
        <f>COUNTIF($H$7:$H336,$H336)</f>
        <v>42</v>
      </c>
      <c r="F336" s="67">
        <f>'1.연간시수표'!$AL$33</f>
        <v>5</v>
      </c>
      <c r="G336" s="115">
        <f t="shared" si="17"/>
        <v>2</v>
      </c>
      <c r="H336" s="41" t="str">
        <f>INDEX('0.시간표데이터'!$E$52:$AR$78,QUOTIENT(ROW(A330)-1,40)+1,MOD(ROW(A330)-1,40)+1)</f>
        <v>국어</v>
      </c>
      <c r="I336" s="161"/>
      <c r="J336" s="26"/>
      <c r="K336" s="180"/>
      <c r="L336" s="180"/>
      <c r="M336" s="10"/>
      <c r="N336" s="10"/>
      <c r="O336" s="10"/>
      <c r="P336" s="10"/>
      <c r="Q336" s="164"/>
      <c r="R336" s="110"/>
    </row>
    <row r="337" spans="1:18">
      <c r="A337" s="90">
        <v>331</v>
      </c>
      <c r="B337" s="24">
        <f>DATE('1.연간시수표'!$U$44,'1.연간시수표'!$X$44,'1.연간시수표'!$Z$44)+QUOTIENT(ROW(A331)-1,8)+(QUOTIENT(ROW(A331)-1,40)*2)</f>
        <v>44856</v>
      </c>
      <c r="C337" s="24" t="b">
        <f t="shared" si="15"/>
        <v>0</v>
      </c>
      <c r="D337" s="116" t="str">
        <f t="shared" si="16"/>
        <v>3교시</v>
      </c>
      <c r="E337" s="68">
        <f>COUNTIF($H$7:$H337,$H337)</f>
        <v>22</v>
      </c>
      <c r="F337" s="67">
        <f>'1.연간시수표'!$AL$33</f>
        <v>5</v>
      </c>
      <c r="G337" s="115">
        <f t="shared" si="17"/>
        <v>2</v>
      </c>
      <c r="H337" s="41" t="str">
        <f>INDEX('0.시간표데이터'!$E$52:$AR$78,QUOTIENT(ROW(A331)-1,40)+1,MOD(ROW(A331)-1,40)+1)</f>
        <v>사회</v>
      </c>
      <c r="I337" s="77"/>
      <c r="J337" s="26"/>
      <c r="K337" s="164"/>
      <c r="L337" s="164"/>
      <c r="M337" s="10"/>
      <c r="N337" s="10"/>
      <c r="O337" s="10"/>
      <c r="P337" s="10"/>
      <c r="Q337" s="164"/>
      <c r="R337" s="110"/>
    </row>
    <row r="338" spans="1:18">
      <c r="A338" s="90">
        <v>332</v>
      </c>
      <c r="B338" s="24">
        <f>DATE('1.연간시수표'!$U$44,'1.연간시수표'!$X$44,'1.연간시수표'!$Z$44)+QUOTIENT(ROW(A332)-1,8)+(QUOTIENT(ROW(A332)-1,40)*2)</f>
        <v>44856</v>
      </c>
      <c r="C338" s="24" t="b">
        <f t="shared" si="15"/>
        <v>0</v>
      </c>
      <c r="D338" s="116" t="str">
        <f t="shared" si="16"/>
        <v>4교시</v>
      </c>
      <c r="E338" s="68">
        <f>COUNTIF($H$7:$H338,$H338)</f>
        <v>23</v>
      </c>
      <c r="F338" s="67">
        <f>'1.연간시수표'!$AL$33</f>
        <v>5</v>
      </c>
      <c r="G338" s="115">
        <f t="shared" si="17"/>
        <v>2</v>
      </c>
      <c r="H338" s="41" t="str">
        <f>INDEX('0.시간표데이터'!$E$52:$AR$78,QUOTIENT(ROW(A332)-1,40)+1,MOD(ROW(A332)-1,40)+1)</f>
        <v>수학</v>
      </c>
      <c r="I338" s="77"/>
      <c r="J338" s="26"/>
      <c r="K338" s="180"/>
      <c r="L338" s="180"/>
      <c r="M338" s="10"/>
      <c r="N338" s="10"/>
      <c r="O338" s="10"/>
      <c r="P338" s="10"/>
      <c r="Q338" s="164"/>
      <c r="R338" s="110"/>
    </row>
    <row r="339" spans="1:18" ht="13.5" customHeight="1">
      <c r="A339" s="90">
        <v>333</v>
      </c>
      <c r="B339" s="24">
        <f>DATE('1.연간시수표'!$U$44,'1.연간시수표'!$X$44,'1.연간시수표'!$Z$44)+QUOTIENT(ROW(A333)-1,8)+(QUOTIENT(ROW(A333)-1,40)*2)</f>
        <v>44856</v>
      </c>
      <c r="C339" s="24" t="b">
        <f t="shared" si="15"/>
        <v>0</v>
      </c>
      <c r="D339" s="116" t="str">
        <f t="shared" si="16"/>
        <v>5교시</v>
      </c>
      <c r="E339" s="68">
        <f>COUNTIF($H$7:$H339,$H339)</f>
        <v>19</v>
      </c>
      <c r="F339" s="67">
        <f>'1.연간시수표'!$AL$33</f>
        <v>5</v>
      </c>
      <c r="G339" s="115">
        <f t="shared" si="17"/>
        <v>2</v>
      </c>
      <c r="H339" s="41" t="str">
        <f>INDEX('0.시간표데이터'!$E$52:$AR$78,QUOTIENT(ROW(A333)-1,40)+1,MOD(ROW(A333)-1,40)+1)</f>
        <v>과학</v>
      </c>
      <c r="I339" s="77"/>
      <c r="J339" s="26"/>
      <c r="K339" s="180"/>
      <c r="L339" s="180"/>
      <c r="M339" s="10"/>
      <c r="N339" s="10"/>
      <c r="O339" s="10"/>
      <c r="P339" s="10"/>
      <c r="Q339" s="164"/>
      <c r="R339" s="110"/>
    </row>
    <row r="340" spans="1:18" ht="13.5" customHeight="1">
      <c r="A340" s="90">
        <v>334</v>
      </c>
      <c r="B340" s="24">
        <f>DATE('1.연간시수표'!$U$44,'1.연간시수표'!$X$44,'1.연간시수표'!$Z$44)+QUOTIENT(ROW(A334)-1,8)+(QUOTIENT(ROW(A334)-1,40)*2)</f>
        <v>44856</v>
      </c>
      <c r="C340" s="24" t="b">
        <f t="shared" si="15"/>
        <v>0</v>
      </c>
      <c r="D340" s="116" t="str">
        <f t="shared" si="16"/>
        <v>6교시</v>
      </c>
      <c r="E340" s="68">
        <f>COUNTIF($H$7:$H340,$H340)</f>
        <v>15</v>
      </c>
      <c r="F340" s="67">
        <f>'1.연간시수표'!$AL$33</f>
        <v>5</v>
      </c>
      <c r="G340" s="115">
        <f t="shared" si="17"/>
        <v>2</v>
      </c>
      <c r="H340" s="41" t="str">
        <f>INDEX('0.시간표데이터'!$E$52:$AR$78,QUOTIENT(ROW(A334)-1,40)+1,MOD(ROW(A334)-1,40)+1)</f>
        <v>실과</v>
      </c>
      <c r="I340" s="77"/>
      <c r="J340" s="26"/>
      <c r="K340" s="167"/>
      <c r="L340" s="167"/>
      <c r="M340" s="166"/>
      <c r="N340" s="166"/>
      <c r="O340" s="166"/>
      <c r="P340" s="166"/>
      <c r="Q340" s="167"/>
      <c r="R340" s="111"/>
    </row>
    <row r="341" spans="1:18" ht="13.5" customHeight="1">
      <c r="A341" s="90">
        <v>335</v>
      </c>
      <c r="B341" s="24">
        <f>DATE('1.연간시수표'!$U$44,'1.연간시수표'!$X$44,'1.연간시수표'!$Z$44)+QUOTIENT(ROW(A335)-1,8)+(QUOTIENT(ROW(A335)-1,40)*2)</f>
        <v>44856</v>
      </c>
      <c r="C341" s="24" t="b">
        <f t="shared" si="15"/>
        <v>0</v>
      </c>
      <c r="D341" s="116" t="str">
        <f t="shared" si="16"/>
        <v>7교시</v>
      </c>
      <c r="E341" s="68">
        <f>COUNTIF($H$7:$H341,$H341)</f>
        <v>132</v>
      </c>
      <c r="F341" s="67">
        <f>'1.연간시수표'!$AL$33</f>
        <v>5</v>
      </c>
      <c r="G341" s="115">
        <f t="shared" si="17"/>
        <v>2</v>
      </c>
      <c r="H341" s="41" t="str">
        <f>INDEX('0.시간표데이터'!$E$52:$AR$78,QUOTIENT(ROW(A335)-1,40)+1,MOD(ROW(A335)-1,40)+1)</f>
        <v>_</v>
      </c>
      <c r="I341" s="76"/>
      <c r="J341" s="26"/>
      <c r="K341" s="167"/>
      <c r="L341" s="167"/>
      <c r="M341" s="166"/>
      <c r="N341" s="166"/>
      <c r="O341" s="166"/>
      <c r="P341" s="166"/>
      <c r="Q341" s="167"/>
      <c r="R341" s="111"/>
    </row>
    <row r="342" spans="1:18" ht="13.5" customHeight="1">
      <c r="A342" s="90">
        <v>336</v>
      </c>
      <c r="B342" s="24">
        <f>DATE('1.연간시수표'!$U$44,'1.연간시수표'!$X$44,'1.연간시수표'!$Z$44)+QUOTIENT(ROW(A336)-1,8)+(QUOTIENT(ROW(A336)-1,40)*2)</f>
        <v>44856</v>
      </c>
      <c r="C342" s="24" t="b">
        <f t="shared" si="15"/>
        <v>0</v>
      </c>
      <c r="D342" s="116" t="str">
        <f t="shared" si="16"/>
        <v>8교시</v>
      </c>
      <c r="E342" s="68">
        <f>COUNTIF($H$7:$H342,$H342)</f>
        <v>133</v>
      </c>
      <c r="F342" s="67">
        <f>'1.연간시수표'!$AL$33</f>
        <v>5</v>
      </c>
      <c r="G342" s="115">
        <f t="shared" si="17"/>
        <v>2</v>
      </c>
      <c r="H342" s="41" t="str">
        <f>INDEX('0.시간표데이터'!$E$52:$AR$78,QUOTIENT(ROW(A336)-1,40)+1,MOD(ROW(A336)-1,40)+1)</f>
        <v>_</v>
      </c>
      <c r="I342" s="76"/>
      <c r="J342" s="26"/>
      <c r="K342" s="167"/>
      <c r="L342" s="167"/>
      <c r="M342" s="166"/>
      <c r="N342" s="166"/>
      <c r="O342" s="166"/>
      <c r="P342" s="166"/>
      <c r="Q342" s="167"/>
      <c r="R342" s="111"/>
    </row>
    <row r="343" spans="1:18" ht="13.5" customHeight="1">
      <c r="A343" s="90">
        <v>337</v>
      </c>
      <c r="B343" s="24">
        <f>DATE('1.연간시수표'!$U$44,'1.연간시수표'!$X$44,'1.연간시수표'!$Z$44)+QUOTIENT(ROW(A337)-1,8)+(QUOTIENT(ROW(A337)-1,40)*2)</f>
        <v>44857</v>
      </c>
      <c r="C343" s="24" t="b">
        <f t="shared" si="15"/>
        <v>0</v>
      </c>
      <c r="D343" s="116" t="str">
        <f t="shared" si="16"/>
        <v>1교시</v>
      </c>
      <c r="E343" s="68">
        <f>COUNTIF($H$7:$H343,$H343)</f>
        <v>21</v>
      </c>
      <c r="F343" s="67">
        <f>'1.연간시수표'!$AL$33</f>
        <v>5</v>
      </c>
      <c r="G343" s="115">
        <f t="shared" si="17"/>
        <v>2</v>
      </c>
      <c r="H343" s="41" t="str">
        <f>INDEX('0.시간표데이터'!$E$52:$AR$78,QUOTIENT(ROW(A337)-1,40)+1,MOD(ROW(A337)-1,40)+1)</f>
        <v>영어</v>
      </c>
      <c r="I343" s="77"/>
      <c r="J343" s="26"/>
      <c r="K343" s="180"/>
      <c r="L343" s="180"/>
      <c r="M343" s="10"/>
      <c r="N343" s="10"/>
      <c r="O343" s="10"/>
      <c r="P343" s="10"/>
      <c r="Q343" s="164"/>
      <c r="R343" s="110"/>
    </row>
    <row r="344" spans="1:18" ht="13.5" customHeight="1">
      <c r="A344" s="90">
        <v>338</v>
      </c>
      <c r="B344" s="24">
        <f>DATE('1.연간시수표'!$U$44,'1.연간시수표'!$X$44,'1.연간시수표'!$Z$44)+QUOTIENT(ROW(A338)-1,8)+(QUOTIENT(ROW(A338)-1,40)*2)</f>
        <v>44857</v>
      </c>
      <c r="C344" s="24" t="b">
        <f t="shared" si="15"/>
        <v>0</v>
      </c>
      <c r="D344" s="116" t="str">
        <f t="shared" si="16"/>
        <v>2교시</v>
      </c>
      <c r="E344" s="68">
        <f>COUNTIF($H$7:$H344,$H344)</f>
        <v>20</v>
      </c>
      <c r="F344" s="67">
        <f>'1.연간시수표'!$AL$33</f>
        <v>5</v>
      </c>
      <c r="G344" s="115">
        <f t="shared" si="17"/>
        <v>2</v>
      </c>
      <c r="H344" s="41" t="str">
        <f>INDEX('0.시간표데이터'!$E$52:$AR$78,QUOTIENT(ROW(A338)-1,40)+1,MOD(ROW(A338)-1,40)+1)</f>
        <v>과학</v>
      </c>
      <c r="I344" s="77"/>
      <c r="J344" s="26"/>
      <c r="K344" s="180"/>
      <c r="L344" s="180"/>
      <c r="M344" s="10"/>
      <c r="N344" s="10"/>
      <c r="O344" s="10"/>
      <c r="P344" s="10"/>
      <c r="Q344" s="164"/>
      <c r="R344" s="110"/>
    </row>
    <row r="345" spans="1:18" ht="13.5" customHeight="1">
      <c r="A345" s="90">
        <v>339</v>
      </c>
      <c r="B345" s="24">
        <f>DATE('1.연간시수표'!$U$44,'1.연간시수표'!$X$44,'1.연간시수표'!$Z$44)+QUOTIENT(ROW(A339)-1,8)+(QUOTIENT(ROW(A339)-1,40)*2)</f>
        <v>44857</v>
      </c>
      <c r="C345" s="24" t="b">
        <f t="shared" si="15"/>
        <v>0</v>
      </c>
      <c r="D345" s="116" t="str">
        <f t="shared" si="16"/>
        <v>3교시</v>
      </c>
      <c r="E345" s="68">
        <f>COUNTIF($H$7:$H345,$H345)</f>
        <v>15</v>
      </c>
      <c r="F345" s="67">
        <f>'1.연간시수표'!$AL$33</f>
        <v>5</v>
      </c>
      <c r="G345" s="115">
        <f t="shared" si="17"/>
        <v>2</v>
      </c>
      <c r="H345" s="41" t="str">
        <f>INDEX('0.시간표데이터'!$E$52:$AR$78,QUOTIENT(ROW(A339)-1,40)+1,MOD(ROW(A339)-1,40)+1)</f>
        <v>체육</v>
      </c>
      <c r="I345" s="77"/>
      <c r="J345" s="26"/>
      <c r="K345" s="180"/>
      <c r="L345" s="180"/>
      <c r="M345" s="10"/>
      <c r="N345" s="10"/>
      <c r="O345" s="10"/>
      <c r="P345" s="10"/>
      <c r="Q345" s="164"/>
      <c r="R345" s="110"/>
    </row>
    <row r="346" spans="1:18" ht="13.5" customHeight="1">
      <c r="A346" s="90">
        <v>340</v>
      </c>
      <c r="B346" s="24">
        <f>DATE('1.연간시수표'!$U$44,'1.연간시수표'!$X$44,'1.연간시수표'!$Z$44)+QUOTIENT(ROW(A340)-1,8)+(QUOTIENT(ROW(A340)-1,40)*2)</f>
        <v>44857</v>
      </c>
      <c r="C346" s="24" t="b">
        <f t="shared" si="15"/>
        <v>0</v>
      </c>
      <c r="D346" s="116" t="str">
        <f t="shared" si="16"/>
        <v>4교시</v>
      </c>
      <c r="E346" s="68">
        <f>COUNTIF($H$7:$H346,$H346)</f>
        <v>12</v>
      </c>
      <c r="F346" s="67">
        <f>'1.연간시수표'!$AL$33</f>
        <v>5</v>
      </c>
      <c r="G346" s="115">
        <f t="shared" si="17"/>
        <v>2</v>
      </c>
      <c r="H346" s="41" t="str">
        <f>INDEX('0.시간표데이터'!$E$52:$AR$78,QUOTIENT(ROW(A340)-1,40)+1,MOD(ROW(A340)-1,40)+1)</f>
        <v>음악</v>
      </c>
      <c r="I346" s="77"/>
      <c r="J346" s="26"/>
      <c r="K346" s="180"/>
      <c r="L346" s="180"/>
      <c r="M346" s="10"/>
      <c r="N346" s="10"/>
      <c r="O346" s="10"/>
      <c r="P346" s="10"/>
      <c r="Q346" s="164"/>
      <c r="R346" s="110"/>
    </row>
    <row r="347" spans="1:18" ht="13.5" customHeight="1">
      <c r="A347" s="90">
        <v>341</v>
      </c>
      <c r="B347" s="24">
        <f>DATE('1.연간시수표'!$U$44,'1.연간시수표'!$X$44,'1.연간시수표'!$Z$44)+QUOTIENT(ROW(A341)-1,8)+(QUOTIENT(ROW(A341)-1,40)*2)</f>
        <v>44857</v>
      </c>
      <c r="C347" s="24" t="b">
        <f t="shared" si="15"/>
        <v>0</v>
      </c>
      <c r="D347" s="116" t="str">
        <f t="shared" si="16"/>
        <v>5교시</v>
      </c>
      <c r="E347" s="68">
        <f>COUNTIF($H$7:$H347,$H347)</f>
        <v>8</v>
      </c>
      <c r="F347" s="67">
        <f>'1.연간시수표'!$AL$33</f>
        <v>5</v>
      </c>
      <c r="G347" s="115">
        <f t="shared" si="17"/>
        <v>2</v>
      </c>
      <c r="H347" s="41" t="str">
        <f>INDEX('0.시간표데이터'!$E$52:$AR$78,QUOTIENT(ROW(A341)-1,40)+1,MOD(ROW(A341)-1,40)+1)</f>
        <v>도덕</v>
      </c>
      <c r="I347" s="77"/>
      <c r="J347" s="26"/>
      <c r="K347" s="180"/>
      <c r="L347" s="180"/>
      <c r="M347" s="10"/>
      <c r="N347" s="10"/>
      <c r="O347" s="10"/>
      <c r="P347" s="10"/>
      <c r="Q347" s="164"/>
      <c r="R347" s="110"/>
    </row>
    <row r="348" spans="1:18" ht="13.5" customHeight="1">
      <c r="A348" s="90">
        <v>342</v>
      </c>
      <c r="B348" s="24">
        <f>DATE('1.연간시수표'!$U$44,'1.연간시수표'!$X$44,'1.연간시수표'!$Z$44)+QUOTIENT(ROW(A342)-1,8)+(QUOTIENT(ROW(A342)-1,40)*2)</f>
        <v>44857</v>
      </c>
      <c r="C348" s="24" t="b">
        <f t="shared" si="15"/>
        <v>0</v>
      </c>
      <c r="D348" s="116" t="str">
        <f t="shared" si="16"/>
        <v>6교시</v>
      </c>
      <c r="E348" s="68">
        <f>COUNTIF($H$7:$H348,$H348)</f>
        <v>134</v>
      </c>
      <c r="F348" s="67">
        <f>'1.연간시수표'!$AL$33</f>
        <v>5</v>
      </c>
      <c r="G348" s="115">
        <f t="shared" si="17"/>
        <v>2</v>
      </c>
      <c r="H348" s="41" t="str">
        <f>INDEX('0.시간표데이터'!$E$52:$AR$78,QUOTIENT(ROW(A342)-1,40)+1,MOD(ROW(A342)-1,40)+1)</f>
        <v>_</v>
      </c>
      <c r="I348" s="77"/>
      <c r="J348" s="26"/>
      <c r="K348" s="167"/>
      <c r="L348" s="167"/>
      <c r="M348" s="166"/>
      <c r="N348" s="166"/>
      <c r="O348" s="166"/>
      <c r="P348" s="166"/>
      <c r="Q348" s="167"/>
      <c r="R348" s="111"/>
    </row>
    <row r="349" spans="1:18" ht="13.5" customHeight="1">
      <c r="A349" s="90">
        <v>343</v>
      </c>
      <c r="B349" s="24">
        <f>DATE('1.연간시수표'!$U$44,'1.연간시수표'!$X$44,'1.연간시수표'!$Z$44)+QUOTIENT(ROW(A343)-1,8)+(QUOTIENT(ROW(A343)-1,40)*2)</f>
        <v>44857</v>
      </c>
      <c r="C349" s="24" t="b">
        <f t="shared" si="15"/>
        <v>0</v>
      </c>
      <c r="D349" s="116" t="str">
        <f t="shared" si="16"/>
        <v>7교시</v>
      </c>
      <c r="E349" s="68">
        <f>COUNTIF($H$7:$H349,$H349)</f>
        <v>135</v>
      </c>
      <c r="F349" s="67">
        <f>'1.연간시수표'!$AL$33</f>
        <v>5</v>
      </c>
      <c r="G349" s="115">
        <f t="shared" si="17"/>
        <v>2</v>
      </c>
      <c r="H349" s="41" t="str">
        <f>INDEX('0.시간표데이터'!$E$52:$AR$78,QUOTIENT(ROW(A343)-1,40)+1,MOD(ROW(A343)-1,40)+1)</f>
        <v>_</v>
      </c>
      <c r="I349" s="76"/>
      <c r="J349" s="26"/>
      <c r="K349" s="167"/>
      <c r="L349" s="167"/>
      <c r="M349" s="166"/>
      <c r="N349" s="166"/>
      <c r="O349" s="166"/>
      <c r="P349" s="166"/>
      <c r="Q349" s="167"/>
      <c r="R349" s="111"/>
    </row>
    <row r="350" spans="1:18" ht="13.5" customHeight="1">
      <c r="A350" s="90">
        <v>344</v>
      </c>
      <c r="B350" s="24">
        <f>DATE('1.연간시수표'!$U$44,'1.연간시수표'!$X$44,'1.연간시수표'!$Z$44)+QUOTIENT(ROW(A344)-1,8)+(QUOTIENT(ROW(A344)-1,40)*2)</f>
        <v>44857</v>
      </c>
      <c r="C350" s="24" t="b">
        <f t="shared" si="15"/>
        <v>0</v>
      </c>
      <c r="D350" s="116" t="str">
        <f t="shared" si="16"/>
        <v>8교시</v>
      </c>
      <c r="E350" s="68">
        <f>COUNTIF($H$7:$H350,$H350)</f>
        <v>136</v>
      </c>
      <c r="F350" s="67">
        <f>'1.연간시수표'!$AL$33</f>
        <v>5</v>
      </c>
      <c r="G350" s="115">
        <f t="shared" si="17"/>
        <v>2</v>
      </c>
      <c r="H350" s="41" t="str">
        <f>INDEX('0.시간표데이터'!$E$52:$AR$78,QUOTIENT(ROW(A344)-1,40)+1,MOD(ROW(A344)-1,40)+1)</f>
        <v>_</v>
      </c>
      <c r="I350" s="76"/>
      <c r="J350" s="26"/>
      <c r="K350" s="167"/>
      <c r="L350" s="167"/>
      <c r="M350" s="166"/>
      <c r="N350" s="166"/>
      <c r="O350" s="166"/>
      <c r="P350" s="166"/>
      <c r="Q350" s="167"/>
      <c r="R350" s="111"/>
    </row>
    <row r="351" spans="1:18" ht="13.5" customHeight="1">
      <c r="A351" s="90">
        <v>345</v>
      </c>
      <c r="B351" s="24">
        <f>DATE('1.연간시수표'!$U$44,'1.연간시수표'!$X$44,'1.연간시수표'!$Z$44)+QUOTIENT(ROW(A345)-1,8)+(QUOTIENT(ROW(A345)-1,40)*2)</f>
        <v>44858</v>
      </c>
      <c r="C351" s="24" t="str">
        <f t="shared" si="15"/>
        <v>월</v>
      </c>
      <c r="D351" s="116" t="str">
        <f t="shared" si="16"/>
        <v>1교시</v>
      </c>
      <c r="E351" s="68">
        <f>COUNTIF($H$7:$H351,$H351)</f>
        <v>2</v>
      </c>
      <c r="F351" s="67">
        <f>'1.연간시수표'!$AL$33</f>
        <v>5</v>
      </c>
      <c r="G351" s="115">
        <f t="shared" si="17"/>
        <v>2</v>
      </c>
      <c r="H351" s="41" t="str">
        <f>INDEX('0.시간표데이터'!$E$52:$AR$78,QUOTIENT(ROW(A345)-1,40)+1,MOD(ROW(A345)-1,40)+1)</f>
        <v>봉사활동</v>
      </c>
      <c r="I351" s="77"/>
      <c r="J351" s="26"/>
      <c r="K351" s="180"/>
      <c r="L351" s="180"/>
      <c r="M351" s="10"/>
      <c r="N351" s="10"/>
      <c r="O351" s="10"/>
      <c r="P351" s="10"/>
      <c r="Q351" s="164"/>
      <c r="R351" s="110"/>
    </row>
    <row r="352" spans="1:18" ht="13.5" customHeight="1">
      <c r="A352" s="90">
        <v>346</v>
      </c>
      <c r="B352" s="24">
        <f>DATE('1.연간시수표'!$U$44,'1.연간시수표'!$X$44,'1.연간시수표'!$Z$44)+QUOTIENT(ROW(A346)-1,8)+(QUOTIENT(ROW(A346)-1,40)*2)</f>
        <v>44858</v>
      </c>
      <c r="C352" s="24" t="str">
        <f t="shared" si="15"/>
        <v>월</v>
      </c>
      <c r="D352" s="116" t="str">
        <f t="shared" si="16"/>
        <v>2교시</v>
      </c>
      <c r="E352" s="68">
        <f>COUNTIF($H$7:$H352,$H352)</f>
        <v>1</v>
      </c>
      <c r="F352" s="67">
        <f>'1.연간시수표'!$AL$33</f>
        <v>5</v>
      </c>
      <c r="G352" s="115">
        <f t="shared" si="17"/>
        <v>2</v>
      </c>
      <c r="H352" s="41" t="str">
        <f>INDEX('0.시간표데이터'!$E$52:$AR$78,QUOTIENT(ROW(A346)-1,40)+1,MOD(ROW(A346)-1,40)+1)</f>
        <v>진로활동</v>
      </c>
      <c r="I352" s="161"/>
      <c r="J352" s="26"/>
      <c r="K352" s="180"/>
      <c r="L352" s="180"/>
      <c r="M352" s="10"/>
      <c r="N352" s="10"/>
      <c r="O352" s="10"/>
      <c r="P352" s="10"/>
      <c r="Q352" s="164"/>
      <c r="R352" s="110"/>
    </row>
    <row r="353" spans="1:18" ht="13.5" customHeight="1">
      <c r="A353" s="90">
        <v>347</v>
      </c>
      <c r="B353" s="24">
        <f>DATE('1.연간시수표'!$U$44,'1.연간시수표'!$X$44,'1.연간시수표'!$Z$44)+QUOTIENT(ROW(A347)-1,8)+(QUOTIENT(ROW(A347)-1,40)*2)</f>
        <v>44858</v>
      </c>
      <c r="C353" s="24" t="str">
        <f t="shared" si="15"/>
        <v>월</v>
      </c>
      <c r="D353" s="116" t="str">
        <f t="shared" si="16"/>
        <v>3교시</v>
      </c>
      <c r="E353" s="68">
        <f>COUNTIF($H$7:$H353,$H353)</f>
        <v>23</v>
      </c>
      <c r="F353" s="67">
        <f>'1.연간시수표'!$AL$33</f>
        <v>5</v>
      </c>
      <c r="G353" s="115">
        <f t="shared" si="17"/>
        <v>2</v>
      </c>
      <c r="H353" s="41" t="str">
        <f>INDEX('0.시간표데이터'!$E$52:$AR$78,QUOTIENT(ROW(A347)-1,40)+1,MOD(ROW(A347)-1,40)+1)</f>
        <v>사회</v>
      </c>
      <c r="I353" s="77"/>
      <c r="J353" s="26"/>
      <c r="K353" s="167"/>
      <c r="L353" s="167"/>
      <c r="M353" s="10"/>
      <c r="N353" s="10"/>
      <c r="O353" s="10"/>
      <c r="P353" s="10"/>
      <c r="Q353" s="164"/>
      <c r="R353" s="110"/>
    </row>
    <row r="354" spans="1:18" ht="13.5" customHeight="1">
      <c r="A354" s="90">
        <v>348</v>
      </c>
      <c r="B354" s="24">
        <f>DATE('1.연간시수표'!$U$44,'1.연간시수표'!$X$44,'1.연간시수표'!$Z$44)+QUOTIENT(ROW(A348)-1,8)+(QUOTIENT(ROW(A348)-1,40)*2)</f>
        <v>44858</v>
      </c>
      <c r="C354" s="24" t="str">
        <f t="shared" si="15"/>
        <v>월</v>
      </c>
      <c r="D354" s="116" t="str">
        <f t="shared" si="16"/>
        <v>4교시</v>
      </c>
      <c r="E354" s="68">
        <f>COUNTIF($H$7:$H354,$H354)</f>
        <v>22</v>
      </c>
      <c r="F354" s="67">
        <f>'1.연간시수표'!$AL$33</f>
        <v>5</v>
      </c>
      <c r="G354" s="115">
        <f t="shared" si="17"/>
        <v>2</v>
      </c>
      <c r="H354" s="41" t="str">
        <f>INDEX('0.시간표데이터'!$E$52:$AR$78,QUOTIENT(ROW(A348)-1,40)+1,MOD(ROW(A348)-1,40)+1)</f>
        <v>영어</v>
      </c>
      <c r="I354" s="77"/>
      <c r="J354" s="26"/>
      <c r="K354" s="167"/>
      <c r="L354" s="167"/>
      <c r="M354" s="10"/>
      <c r="N354" s="10"/>
      <c r="O354" s="10"/>
      <c r="P354" s="10"/>
      <c r="Q354" s="164"/>
      <c r="R354" s="110"/>
    </row>
    <row r="355" spans="1:18" ht="13.5" customHeight="1">
      <c r="A355" s="90">
        <v>349</v>
      </c>
      <c r="B355" s="24">
        <f>DATE('1.연간시수표'!$U$44,'1.연간시수표'!$X$44,'1.연간시수표'!$Z$44)+QUOTIENT(ROW(A349)-1,8)+(QUOTIENT(ROW(A349)-1,40)*2)</f>
        <v>44858</v>
      </c>
      <c r="C355" s="24" t="str">
        <f t="shared" si="15"/>
        <v>월</v>
      </c>
      <c r="D355" s="116" t="str">
        <f t="shared" si="16"/>
        <v>5교시</v>
      </c>
      <c r="E355" s="68">
        <f>COUNTIF($H$7:$H355,$H355)</f>
        <v>21</v>
      </c>
      <c r="F355" s="67">
        <f>'1.연간시수표'!$AL$33</f>
        <v>5</v>
      </c>
      <c r="G355" s="115">
        <f t="shared" si="17"/>
        <v>2</v>
      </c>
      <c r="H355" s="41" t="str">
        <f>INDEX('0.시간표데이터'!$E$52:$AR$78,QUOTIENT(ROW(A349)-1,40)+1,MOD(ROW(A349)-1,40)+1)</f>
        <v>과학</v>
      </c>
      <c r="I355" s="77"/>
      <c r="J355" s="26"/>
      <c r="K355" s="180"/>
      <c r="L355" s="180"/>
      <c r="M355" s="10"/>
      <c r="N355" s="10"/>
      <c r="O355" s="10"/>
      <c r="P355" s="10"/>
      <c r="Q355" s="164"/>
      <c r="R355" s="110"/>
    </row>
    <row r="356" spans="1:18" ht="13.5" customHeight="1">
      <c r="A356" s="90">
        <v>350</v>
      </c>
      <c r="B356" s="24">
        <f>DATE('1.연간시수표'!$U$44,'1.연간시수표'!$X$44,'1.연간시수표'!$Z$44)+QUOTIENT(ROW(A350)-1,8)+(QUOTIENT(ROW(A350)-1,40)*2)</f>
        <v>44858</v>
      </c>
      <c r="C356" s="24" t="str">
        <f t="shared" si="15"/>
        <v>월</v>
      </c>
      <c r="D356" s="116" t="str">
        <f t="shared" si="16"/>
        <v>6교시</v>
      </c>
      <c r="E356" s="68">
        <f>COUNTIF($H$7:$H356,$H356)</f>
        <v>13</v>
      </c>
      <c r="F356" s="67">
        <f>'1.연간시수표'!$AL$33</f>
        <v>5</v>
      </c>
      <c r="G356" s="115">
        <f t="shared" si="17"/>
        <v>2</v>
      </c>
      <c r="H356" s="41" t="str">
        <f>INDEX('0.시간표데이터'!$E$52:$AR$78,QUOTIENT(ROW(A350)-1,40)+1,MOD(ROW(A350)-1,40)+1)</f>
        <v>음악</v>
      </c>
      <c r="I356" s="161"/>
      <c r="J356" s="26"/>
      <c r="K356" s="180"/>
      <c r="L356" s="180"/>
      <c r="M356" s="10"/>
      <c r="N356" s="10"/>
      <c r="O356" s="10"/>
      <c r="P356" s="10"/>
      <c r="Q356" s="164"/>
      <c r="R356" s="110"/>
    </row>
    <row r="357" spans="1:18" ht="13.5" customHeight="1">
      <c r="A357" s="90">
        <v>351</v>
      </c>
      <c r="B357" s="24">
        <f>DATE('1.연간시수표'!$U$44,'1.연간시수표'!$X$44,'1.연간시수표'!$Z$44)+QUOTIENT(ROW(A351)-1,8)+(QUOTIENT(ROW(A351)-1,40)*2)</f>
        <v>44858</v>
      </c>
      <c r="C357" s="24" t="str">
        <f t="shared" si="15"/>
        <v>월</v>
      </c>
      <c r="D357" s="116" t="str">
        <f t="shared" si="16"/>
        <v>7교시</v>
      </c>
      <c r="E357" s="68">
        <f>COUNTIF($H$7:$H357,$H357)</f>
        <v>137</v>
      </c>
      <c r="F357" s="67">
        <f>'1.연간시수표'!$AL$33</f>
        <v>5</v>
      </c>
      <c r="G357" s="115">
        <f t="shared" si="17"/>
        <v>2</v>
      </c>
      <c r="H357" s="41" t="str">
        <f>INDEX('0.시간표데이터'!$E$52:$AR$78,QUOTIENT(ROW(A351)-1,40)+1,MOD(ROW(A351)-1,40)+1)</f>
        <v>_</v>
      </c>
      <c r="I357" s="76"/>
      <c r="J357" s="26"/>
      <c r="K357" s="167"/>
      <c r="L357" s="167"/>
      <c r="M357" s="166"/>
      <c r="N357" s="166"/>
      <c r="O357" s="166"/>
      <c r="P357" s="166"/>
      <c r="Q357" s="167"/>
      <c r="R357" s="111"/>
    </row>
    <row r="358" spans="1:18" ht="13.5" customHeight="1">
      <c r="A358" s="90">
        <v>352</v>
      </c>
      <c r="B358" s="24">
        <f>DATE('1.연간시수표'!$U$44,'1.연간시수표'!$X$44,'1.연간시수표'!$Z$44)+QUOTIENT(ROW(A352)-1,8)+(QUOTIENT(ROW(A352)-1,40)*2)</f>
        <v>44858</v>
      </c>
      <c r="C358" s="24" t="str">
        <f t="shared" si="15"/>
        <v>월</v>
      </c>
      <c r="D358" s="116" t="str">
        <f t="shared" si="16"/>
        <v>8교시</v>
      </c>
      <c r="E358" s="68">
        <f>COUNTIF($H$7:$H358,$H358)</f>
        <v>138</v>
      </c>
      <c r="F358" s="67">
        <f>'1.연간시수표'!$AL$33</f>
        <v>5</v>
      </c>
      <c r="G358" s="115">
        <f t="shared" si="17"/>
        <v>2</v>
      </c>
      <c r="H358" s="41" t="str">
        <f>INDEX('0.시간표데이터'!$E$52:$AR$78,QUOTIENT(ROW(A352)-1,40)+1,MOD(ROW(A352)-1,40)+1)</f>
        <v>_</v>
      </c>
      <c r="I358" s="76"/>
      <c r="J358" s="26"/>
      <c r="K358" s="167"/>
      <c r="L358" s="167"/>
      <c r="M358" s="166"/>
      <c r="N358" s="166"/>
      <c r="O358" s="166"/>
      <c r="P358" s="166"/>
      <c r="Q358" s="167"/>
      <c r="R358" s="111"/>
    </row>
    <row r="359" spans="1:18" ht="13.5" customHeight="1">
      <c r="A359" s="90">
        <v>353</v>
      </c>
      <c r="B359" s="24">
        <f>DATE('1.연간시수표'!$U$44,'1.연간시수표'!$X$44,'1.연간시수표'!$Z$44)+QUOTIENT(ROW(A353)-1,8)+(QUOTIENT(ROW(A353)-1,40)*2)</f>
        <v>44859</v>
      </c>
      <c r="C359" s="24" t="str">
        <f t="shared" si="15"/>
        <v>화</v>
      </c>
      <c r="D359" s="116" t="str">
        <f t="shared" si="16"/>
        <v>1교시</v>
      </c>
      <c r="E359" s="68">
        <f>COUNTIF($H$7:$H359,$H359)</f>
        <v>43</v>
      </c>
      <c r="F359" s="67">
        <f>'1.연간시수표'!$AL$33</f>
        <v>5</v>
      </c>
      <c r="G359" s="115">
        <f t="shared" si="17"/>
        <v>2</v>
      </c>
      <c r="H359" s="41" t="str">
        <f>INDEX('0.시간표데이터'!$E$52:$AR$78,QUOTIENT(ROW(A353)-1,40)+1,MOD(ROW(A353)-1,40)+1)</f>
        <v>국어</v>
      </c>
      <c r="I359" s="77"/>
      <c r="J359" s="26"/>
      <c r="K359" s="180"/>
      <c r="L359" s="180"/>
      <c r="M359" s="10"/>
      <c r="N359" s="10"/>
      <c r="O359" s="10"/>
      <c r="P359" s="10"/>
      <c r="Q359" s="164"/>
      <c r="R359" s="110"/>
    </row>
    <row r="360" spans="1:18" ht="13.5" customHeight="1">
      <c r="A360" s="90">
        <v>354</v>
      </c>
      <c r="B360" s="24">
        <f>DATE('1.연간시수표'!$U$44,'1.연간시수표'!$X$44,'1.연간시수표'!$Z$44)+QUOTIENT(ROW(A354)-1,8)+(QUOTIENT(ROW(A354)-1,40)*2)</f>
        <v>44859</v>
      </c>
      <c r="C360" s="24" t="str">
        <f t="shared" si="15"/>
        <v>화</v>
      </c>
      <c r="D360" s="116" t="str">
        <f t="shared" si="16"/>
        <v>2교시</v>
      </c>
      <c r="E360" s="68">
        <f>COUNTIF($H$7:$H360,$H360)</f>
        <v>16</v>
      </c>
      <c r="F360" s="67">
        <f>'1.연간시수표'!$AL$33</f>
        <v>5</v>
      </c>
      <c r="G360" s="115">
        <f t="shared" si="17"/>
        <v>2</v>
      </c>
      <c r="H360" s="41" t="str">
        <f>INDEX('0.시간표데이터'!$E$52:$AR$78,QUOTIENT(ROW(A354)-1,40)+1,MOD(ROW(A354)-1,40)+1)</f>
        <v>체육</v>
      </c>
      <c r="I360" s="77"/>
      <c r="J360" s="26"/>
      <c r="K360" s="180"/>
      <c r="L360" s="180"/>
      <c r="M360" s="10"/>
      <c r="N360" s="10"/>
      <c r="O360" s="10"/>
      <c r="P360" s="10"/>
      <c r="Q360" s="164"/>
      <c r="R360" s="110"/>
    </row>
    <row r="361" spans="1:18" ht="13.5" customHeight="1">
      <c r="A361" s="90">
        <v>355</v>
      </c>
      <c r="B361" s="24">
        <f>DATE('1.연간시수표'!$U$44,'1.연간시수표'!$X$44,'1.연간시수표'!$Z$44)+QUOTIENT(ROW(A355)-1,8)+(QUOTIENT(ROW(A355)-1,40)*2)</f>
        <v>44859</v>
      </c>
      <c r="C361" s="24" t="str">
        <f t="shared" si="15"/>
        <v>화</v>
      </c>
      <c r="D361" s="116" t="str">
        <f t="shared" si="16"/>
        <v>3교시</v>
      </c>
      <c r="E361" s="68">
        <f>COUNTIF($H$7:$H361,$H361)</f>
        <v>24</v>
      </c>
      <c r="F361" s="67">
        <f>'1.연간시수표'!$AL$33</f>
        <v>5</v>
      </c>
      <c r="G361" s="115">
        <f t="shared" si="17"/>
        <v>2</v>
      </c>
      <c r="H361" s="41" t="str">
        <f>INDEX('0.시간표데이터'!$E$52:$AR$78,QUOTIENT(ROW(A355)-1,40)+1,MOD(ROW(A355)-1,40)+1)</f>
        <v>수학</v>
      </c>
      <c r="I361" s="77"/>
      <c r="J361" s="26"/>
      <c r="K361" s="180"/>
      <c r="L361" s="180"/>
      <c r="M361" s="10"/>
      <c r="N361" s="10"/>
      <c r="O361" s="10"/>
      <c r="P361" s="10"/>
      <c r="Q361" s="164"/>
      <c r="R361" s="110"/>
    </row>
    <row r="362" spans="1:18" ht="13.5" customHeight="1">
      <c r="A362" s="90">
        <v>356</v>
      </c>
      <c r="B362" s="24">
        <f>DATE('1.연간시수표'!$U$44,'1.연간시수표'!$X$44,'1.연간시수표'!$Z$44)+QUOTIENT(ROW(A356)-1,8)+(QUOTIENT(ROW(A356)-1,40)*2)</f>
        <v>44859</v>
      </c>
      <c r="C362" s="24" t="str">
        <f t="shared" si="15"/>
        <v>화</v>
      </c>
      <c r="D362" s="116" t="str">
        <f t="shared" si="16"/>
        <v>4교시</v>
      </c>
      <c r="E362" s="68">
        <f>COUNTIF($H$7:$H362,$H362)</f>
        <v>44</v>
      </c>
      <c r="F362" s="67">
        <f>'1.연간시수표'!$AL$33</f>
        <v>5</v>
      </c>
      <c r="G362" s="115">
        <f t="shared" si="17"/>
        <v>2</v>
      </c>
      <c r="H362" s="41" t="str">
        <f>INDEX('0.시간표데이터'!$E$52:$AR$78,QUOTIENT(ROW(A356)-1,40)+1,MOD(ROW(A356)-1,40)+1)</f>
        <v>국어</v>
      </c>
      <c r="I362" s="77"/>
      <c r="J362" s="26"/>
      <c r="K362" s="180"/>
      <c r="L362" s="180"/>
      <c r="M362" s="10"/>
      <c r="N362" s="10"/>
      <c r="O362" s="10"/>
      <c r="P362" s="10"/>
      <c r="Q362" s="164"/>
      <c r="R362" s="110"/>
    </row>
    <row r="363" spans="1:18" ht="13.5" customHeight="1">
      <c r="A363" s="90">
        <v>357</v>
      </c>
      <c r="B363" s="24">
        <f>DATE('1.연간시수표'!$U$44,'1.연간시수표'!$X$44,'1.연간시수표'!$Z$44)+QUOTIENT(ROW(A357)-1,8)+(QUOTIENT(ROW(A357)-1,40)*2)</f>
        <v>44859</v>
      </c>
      <c r="C363" s="24" t="str">
        <f t="shared" si="15"/>
        <v>화</v>
      </c>
      <c r="D363" s="116" t="str">
        <f t="shared" si="16"/>
        <v>5교시</v>
      </c>
      <c r="E363" s="68">
        <f>COUNTIF($H$7:$H363,$H363)</f>
        <v>24</v>
      </c>
      <c r="F363" s="67">
        <f>'1.연간시수표'!$AL$33</f>
        <v>5</v>
      </c>
      <c r="G363" s="115">
        <f t="shared" si="17"/>
        <v>2</v>
      </c>
      <c r="H363" s="41" t="str">
        <f>INDEX('0.시간표데이터'!$E$52:$AR$78,QUOTIENT(ROW(A357)-1,40)+1,MOD(ROW(A357)-1,40)+1)</f>
        <v>사회</v>
      </c>
      <c r="I363" s="77"/>
      <c r="J363" s="26"/>
      <c r="K363" s="164"/>
      <c r="L363" s="164"/>
      <c r="M363" s="10"/>
      <c r="N363" s="10"/>
      <c r="O363" s="10"/>
      <c r="P363" s="10"/>
      <c r="Q363" s="164"/>
      <c r="R363" s="110"/>
    </row>
    <row r="364" spans="1:18" ht="13.5" customHeight="1">
      <c r="A364" s="90">
        <v>358</v>
      </c>
      <c r="B364" s="24">
        <f>DATE('1.연간시수표'!$U$44,'1.연간시수표'!$X$44,'1.연간시수표'!$Z$44)+QUOTIENT(ROW(A358)-1,8)+(QUOTIENT(ROW(A358)-1,40)*2)</f>
        <v>44859</v>
      </c>
      <c r="C364" s="24" t="str">
        <f t="shared" si="15"/>
        <v>화</v>
      </c>
      <c r="D364" s="116" t="str">
        <f t="shared" si="16"/>
        <v>6교시</v>
      </c>
      <c r="E364" s="68">
        <f>COUNTIF($H$7:$H364,$H364)</f>
        <v>16</v>
      </c>
      <c r="F364" s="67">
        <f>'1.연간시수표'!$AL$33</f>
        <v>5</v>
      </c>
      <c r="G364" s="115">
        <f t="shared" si="17"/>
        <v>2</v>
      </c>
      <c r="H364" s="41" t="str">
        <f>INDEX('0.시간표데이터'!$E$52:$AR$78,QUOTIENT(ROW(A358)-1,40)+1,MOD(ROW(A358)-1,40)+1)</f>
        <v>실과</v>
      </c>
      <c r="I364" s="77"/>
      <c r="J364" s="26"/>
      <c r="K364" s="167"/>
      <c r="L364" s="167"/>
      <c r="M364" s="166"/>
      <c r="N364" s="166"/>
      <c r="O364" s="166"/>
      <c r="P364" s="166"/>
      <c r="Q364" s="167"/>
      <c r="R364" s="111"/>
    </row>
    <row r="365" spans="1:18" ht="13.5" customHeight="1">
      <c r="A365" s="90">
        <v>359</v>
      </c>
      <c r="B365" s="24">
        <f>DATE('1.연간시수표'!$U$44,'1.연간시수표'!$X$44,'1.연간시수표'!$Z$44)+QUOTIENT(ROW(A359)-1,8)+(QUOTIENT(ROW(A359)-1,40)*2)</f>
        <v>44859</v>
      </c>
      <c r="C365" s="24" t="str">
        <f t="shared" si="15"/>
        <v>화</v>
      </c>
      <c r="D365" s="116" t="str">
        <f t="shared" si="16"/>
        <v>7교시</v>
      </c>
      <c r="E365" s="68">
        <f>COUNTIF($H$7:$H365,$H365)</f>
        <v>139</v>
      </c>
      <c r="F365" s="67">
        <f>'1.연간시수표'!$AL$33</f>
        <v>5</v>
      </c>
      <c r="G365" s="115">
        <f t="shared" si="17"/>
        <v>2</v>
      </c>
      <c r="H365" s="41" t="str">
        <f>INDEX('0.시간표데이터'!$E$52:$AR$78,QUOTIENT(ROW(A359)-1,40)+1,MOD(ROW(A359)-1,40)+1)</f>
        <v>_</v>
      </c>
      <c r="I365" s="76"/>
      <c r="J365" s="26"/>
      <c r="K365" s="167"/>
      <c r="L365" s="167"/>
      <c r="M365" s="166"/>
      <c r="N365" s="166"/>
      <c r="O365" s="166"/>
      <c r="P365" s="166"/>
      <c r="Q365" s="167"/>
      <c r="R365" s="111"/>
    </row>
    <row r="366" spans="1:18" ht="13.5" customHeight="1">
      <c r="A366" s="90">
        <v>360</v>
      </c>
      <c r="B366" s="24">
        <f>DATE('1.연간시수표'!$U$44,'1.연간시수표'!$X$44,'1.연간시수표'!$Z$44)+QUOTIENT(ROW(A360)-1,8)+(QUOTIENT(ROW(A360)-1,40)*2)</f>
        <v>44859</v>
      </c>
      <c r="C366" s="24" t="str">
        <f t="shared" si="15"/>
        <v>화</v>
      </c>
      <c r="D366" s="116" t="str">
        <f t="shared" si="16"/>
        <v>8교시</v>
      </c>
      <c r="E366" s="68">
        <f>COUNTIF($H$7:$H366,$H366)</f>
        <v>140</v>
      </c>
      <c r="F366" s="67">
        <f>'1.연간시수표'!$AL$33</f>
        <v>5</v>
      </c>
      <c r="G366" s="115">
        <f t="shared" si="17"/>
        <v>2</v>
      </c>
      <c r="H366" s="41" t="str">
        <f>INDEX('0.시간표데이터'!$E$52:$AR$78,QUOTIENT(ROW(A360)-1,40)+1,MOD(ROW(A360)-1,40)+1)</f>
        <v>_</v>
      </c>
      <c r="I366" s="76"/>
      <c r="J366" s="26"/>
      <c r="K366" s="167"/>
      <c r="L366" s="167"/>
      <c r="M366" s="166"/>
      <c r="N366" s="166"/>
      <c r="O366" s="166"/>
      <c r="P366" s="166"/>
      <c r="Q366" s="167"/>
      <c r="R366" s="111"/>
    </row>
    <row r="367" spans="1:18">
      <c r="A367" s="90">
        <v>361</v>
      </c>
      <c r="B367" s="24">
        <f>DATE('1.연간시수표'!$U$44,'1.연간시수표'!$X$44,'1.연간시수표'!$Z$44)+QUOTIENT(ROW(A361)-1,8)+(QUOTIENT(ROW(A361)-1,40)*2)</f>
        <v>44862</v>
      </c>
      <c r="C367" s="24" t="str">
        <f t="shared" si="15"/>
        <v>금</v>
      </c>
      <c r="D367" s="116" t="str">
        <f t="shared" si="16"/>
        <v>1교시</v>
      </c>
      <c r="E367" s="68">
        <f>COUNTIF($H$7:$H367,$H367)</f>
        <v>45</v>
      </c>
      <c r="F367" s="67">
        <f>'1.연간시수표'!$AL$33</f>
        <v>5</v>
      </c>
      <c r="G367" s="115">
        <f t="shared" si="17"/>
        <v>2</v>
      </c>
      <c r="H367" s="41" t="str">
        <f>INDEX('0.시간표데이터'!$E$52:$AR$78,QUOTIENT(ROW(A361)-1,40)+1,MOD(ROW(A361)-1,40)+1)</f>
        <v>국어</v>
      </c>
      <c r="I367" s="77"/>
      <c r="J367" s="26"/>
      <c r="K367" s="164"/>
      <c r="L367" s="164"/>
      <c r="M367" s="10"/>
      <c r="N367" s="10"/>
      <c r="O367" s="10"/>
      <c r="P367" s="10"/>
      <c r="Q367" s="167"/>
      <c r="R367" s="111"/>
    </row>
    <row r="368" spans="1:18">
      <c r="A368" s="90">
        <v>362</v>
      </c>
      <c r="B368" s="24">
        <f>DATE('1.연간시수표'!$U$44,'1.연간시수표'!$X$44,'1.연간시수표'!$Z$44)+QUOTIENT(ROW(A362)-1,8)+(QUOTIENT(ROW(A362)-1,40)*2)</f>
        <v>44862</v>
      </c>
      <c r="C368" s="24" t="str">
        <f t="shared" si="15"/>
        <v>금</v>
      </c>
      <c r="D368" s="116" t="str">
        <f t="shared" si="16"/>
        <v>2교시</v>
      </c>
      <c r="E368" s="68">
        <f>COUNTIF($H$7:$H368,$H368)</f>
        <v>11</v>
      </c>
      <c r="F368" s="67">
        <f>'1.연간시수표'!$AL$33</f>
        <v>5</v>
      </c>
      <c r="G368" s="115">
        <f t="shared" si="17"/>
        <v>2</v>
      </c>
      <c r="H368" s="41" t="str">
        <f>INDEX('0.시간표데이터'!$E$52:$AR$78,QUOTIENT(ROW(A362)-1,40)+1,MOD(ROW(A362)-1,40)+1)</f>
        <v>미술</v>
      </c>
      <c r="I368" s="161"/>
      <c r="J368" s="26"/>
      <c r="K368" s="167"/>
      <c r="L368" s="167"/>
      <c r="M368" s="166"/>
      <c r="N368" s="166"/>
      <c r="O368" s="166"/>
      <c r="P368" s="166"/>
      <c r="Q368" s="167"/>
      <c r="R368" s="111"/>
    </row>
    <row r="369" spans="1:18" ht="13.5" customHeight="1">
      <c r="A369" s="90">
        <v>363</v>
      </c>
      <c r="B369" s="24">
        <f>DATE('1.연간시수표'!$U$44,'1.연간시수표'!$X$44,'1.연간시수표'!$Z$44)+QUOTIENT(ROW(A363)-1,8)+(QUOTIENT(ROW(A363)-1,40)*2)</f>
        <v>44862</v>
      </c>
      <c r="C369" s="24" t="str">
        <f t="shared" si="15"/>
        <v>금</v>
      </c>
      <c r="D369" s="116" t="str">
        <f t="shared" si="16"/>
        <v>3교시</v>
      </c>
      <c r="E369" s="68">
        <f>COUNTIF($H$7:$H369,$H369)</f>
        <v>12</v>
      </c>
      <c r="F369" s="67">
        <f>'1.연간시수표'!$AL$33</f>
        <v>5</v>
      </c>
      <c r="G369" s="115">
        <f t="shared" si="17"/>
        <v>2</v>
      </c>
      <c r="H369" s="41" t="str">
        <f>INDEX('0.시간표데이터'!$E$52:$AR$78,QUOTIENT(ROW(A363)-1,40)+1,MOD(ROW(A363)-1,40)+1)</f>
        <v>미술</v>
      </c>
      <c r="I369" s="77"/>
      <c r="J369" s="26"/>
      <c r="K369" s="167"/>
      <c r="L369" s="167"/>
      <c r="M369" s="166"/>
      <c r="N369" s="166"/>
      <c r="O369" s="166"/>
      <c r="P369" s="166"/>
      <c r="Q369" s="167"/>
      <c r="R369" s="111"/>
    </row>
    <row r="370" spans="1:18" ht="13.5" customHeight="1">
      <c r="A370" s="90">
        <v>364</v>
      </c>
      <c r="B370" s="24">
        <f>DATE('1.연간시수표'!$U$44,'1.연간시수표'!$X$44,'1.연간시수표'!$Z$44)+QUOTIENT(ROW(A364)-1,8)+(QUOTIENT(ROW(A364)-1,40)*2)</f>
        <v>44862</v>
      </c>
      <c r="C370" s="24" t="str">
        <f t="shared" si="15"/>
        <v>금</v>
      </c>
      <c r="D370" s="116" t="str">
        <f t="shared" si="16"/>
        <v>4교시</v>
      </c>
      <c r="E370" s="68">
        <f>COUNTIF($H$7:$H370,$H370)</f>
        <v>23</v>
      </c>
      <c r="F370" s="67">
        <f>'1.연간시수표'!$AL$33</f>
        <v>5</v>
      </c>
      <c r="G370" s="115">
        <f t="shared" si="17"/>
        <v>2</v>
      </c>
      <c r="H370" s="41" t="str">
        <f>INDEX('0.시간표데이터'!$E$52:$AR$78,QUOTIENT(ROW(A364)-1,40)+1,MOD(ROW(A364)-1,40)+1)</f>
        <v>영어</v>
      </c>
      <c r="I370" s="77"/>
      <c r="J370" s="26"/>
      <c r="K370" s="167"/>
      <c r="L370" s="167"/>
      <c r="M370" s="166"/>
      <c r="N370" s="166"/>
      <c r="O370" s="166"/>
      <c r="P370" s="166"/>
      <c r="Q370" s="167"/>
      <c r="R370" s="111"/>
    </row>
    <row r="371" spans="1:18" ht="13.5" customHeight="1">
      <c r="A371" s="90">
        <v>365</v>
      </c>
      <c r="B371" s="24">
        <f>DATE('1.연간시수표'!$U$44,'1.연간시수표'!$X$44,'1.연간시수표'!$Z$44)+QUOTIENT(ROW(A365)-1,8)+(QUOTIENT(ROW(A365)-1,40)*2)</f>
        <v>44862</v>
      </c>
      <c r="C371" s="24" t="str">
        <f t="shared" si="15"/>
        <v>금</v>
      </c>
      <c r="D371" s="116" t="str">
        <f t="shared" si="16"/>
        <v>5교시</v>
      </c>
      <c r="E371" s="68">
        <f>COUNTIF($H$7:$H371,$H371)</f>
        <v>25</v>
      </c>
      <c r="F371" s="67">
        <f>'1.연간시수표'!$AL$33</f>
        <v>5</v>
      </c>
      <c r="G371" s="115">
        <f t="shared" si="17"/>
        <v>2</v>
      </c>
      <c r="H371" s="41" t="str">
        <f>INDEX('0.시간표데이터'!$E$52:$AR$78,QUOTIENT(ROW(A365)-1,40)+1,MOD(ROW(A365)-1,40)+1)</f>
        <v>수학</v>
      </c>
      <c r="I371" s="77"/>
      <c r="J371" s="26"/>
      <c r="K371" s="167"/>
      <c r="L371" s="167"/>
      <c r="M371" s="166"/>
      <c r="N371" s="166"/>
      <c r="O371" s="166"/>
      <c r="P371" s="166"/>
      <c r="Q371" s="167"/>
      <c r="R371" s="111"/>
    </row>
    <row r="372" spans="1:18" ht="13.5" customHeight="1">
      <c r="A372" s="90">
        <v>366</v>
      </c>
      <c r="B372" s="24">
        <f>DATE('1.연간시수표'!$U$44,'1.연간시수표'!$X$44,'1.연간시수표'!$Z$44)+QUOTIENT(ROW(A366)-1,8)+(QUOTIENT(ROW(A366)-1,40)*2)</f>
        <v>44862</v>
      </c>
      <c r="C372" s="24" t="str">
        <f t="shared" si="15"/>
        <v>금</v>
      </c>
      <c r="D372" s="116" t="str">
        <f t="shared" si="16"/>
        <v>6교시</v>
      </c>
      <c r="E372" s="68">
        <f>COUNTIF($H$7:$H372,$H372)</f>
        <v>12</v>
      </c>
      <c r="F372" s="67">
        <f>'1.연간시수표'!$AL$33</f>
        <v>5</v>
      </c>
      <c r="G372" s="115">
        <f t="shared" si="17"/>
        <v>2</v>
      </c>
      <c r="H372" s="41" t="str">
        <f>INDEX('0.시간표데이터'!$E$52:$AR$78,QUOTIENT(ROW(A366)-1,40)+1,MOD(ROW(A366)-1,40)+1)</f>
        <v>자율활동</v>
      </c>
      <c r="I372" s="77"/>
      <c r="J372" s="26"/>
      <c r="K372" s="167"/>
      <c r="L372" s="167"/>
      <c r="M372" s="166"/>
      <c r="N372" s="166"/>
      <c r="O372" s="166"/>
      <c r="P372" s="166"/>
      <c r="Q372" s="167"/>
      <c r="R372" s="111"/>
    </row>
    <row r="373" spans="1:18" ht="13.5" customHeight="1">
      <c r="A373" s="90">
        <v>367</v>
      </c>
      <c r="B373" s="24">
        <f>DATE('1.연간시수표'!$U$44,'1.연간시수표'!$X$44,'1.연간시수표'!$Z$44)+QUOTIENT(ROW(A367)-1,8)+(QUOTIENT(ROW(A367)-1,40)*2)</f>
        <v>44862</v>
      </c>
      <c r="C373" s="24" t="str">
        <f t="shared" si="15"/>
        <v>금</v>
      </c>
      <c r="D373" s="116" t="str">
        <f t="shared" si="16"/>
        <v>7교시</v>
      </c>
      <c r="E373" s="68">
        <f>COUNTIF($H$7:$H373,$H373)</f>
        <v>141</v>
      </c>
      <c r="F373" s="67">
        <f>'1.연간시수표'!$AL$33</f>
        <v>5</v>
      </c>
      <c r="G373" s="115">
        <f t="shared" si="17"/>
        <v>2</v>
      </c>
      <c r="H373" s="41" t="str">
        <f>INDEX('0.시간표데이터'!$E$52:$AR$78,QUOTIENT(ROW(A367)-1,40)+1,MOD(ROW(A367)-1,40)+1)</f>
        <v>_</v>
      </c>
      <c r="I373" s="76"/>
      <c r="J373" s="26"/>
      <c r="K373" s="167"/>
      <c r="L373" s="167"/>
      <c r="M373" s="166"/>
      <c r="N373" s="166"/>
      <c r="O373" s="166"/>
      <c r="P373" s="166"/>
      <c r="Q373" s="167"/>
      <c r="R373" s="111"/>
    </row>
    <row r="374" spans="1:18" ht="13.5" customHeight="1">
      <c r="A374" s="90">
        <v>368</v>
      </c>
      <c r="B374" s="24">
        <f>DATE('1.연간시수표'!$U$44,'1.연간시수표'!$X$44,'1.연간시수표'!$Z$44)+QUOTIENT(ROW(A368)-1,8)+(QUOTIENT(ROW(A368)-1,40)*2)</f>
        <v>44862</v>
      </c>
      <c r="C374" s="24" t="str">
        <f t="shared" si="15"/>
        <v>금</v>
      </c>
      <c r="D374" s="116" t="str">
        <f t="shared" si="16"/>
        <v>8교시</v>
      </c>
      <c r="E374" s="68">
        <f>COUNTIF($H$7:$H374,$H374)</f>
        <v>142</v>
      </c>
      <c r="F374" s="67">
        <f>'1.연간시수표'!$AL$33</f>
        <v>5</v>
      </c>
      <c r="G374" s="115">
        <f t="shared" si="17"/>
        <v>2</v>
      </c>
      <c r="H374" s="41" t="str">
        <f>INDEX('0.시간표데이터'!$E$52:$AR$78,QUOTIENT(ROW(A368)-1,40)+1,MOD(ROW(A368)-1,40)+1)</f>
        <v>_</v>
      </c>
      <c r="I374" s="76"/>
      <c r="J374" s="26"/>
      <c r="K374" s="167"/>
      <c r="L374" s="167"/>
      <c r="M374" s="166"/>
      <c r="N374" s="166"/>
      <c r="O374" s="166"/>
      <c r="P374" s="166"/>
      <c r="Q374" s="167"/>
      <c r="R374" s="111"/>
    </row>
    <row r="375" spans="1:18" ht="13.5" customHeight="1">
      <c r="A375" s="90">
        <v>369</v>
      </c>
      <c r="B375" s="24">
        <f>DATE('1.연간시수표'!$U$44,'1.연간시수표'!$X$44,'1.연간시수표'!$Z$44)+QUOTIENT(ROW(A369)-1,8)+(QUOTIENT(ROW(A369)-1,40)*2)</f>
        <v>44863</v>
      </c>
      <c r="C375" s="24" t="b">
        <f t="shared" si="15"/>
        <v>0</v>
      </c>
      <c r="D375" s="116" t="str">
        <f t="shared" si="16"/>
        <v>1교시</v>
      </c>
      <c r="E375" s="68">
        <f>COUNTIF($H$7:$H375,$H375)</f>
        <v>46</v>
      </c>
      <c r="F375" s="67">
        <f>'1.연간시수표'!$AL$33</f>
        <v>5</v>
      </c>
      <c r="G375" s="115">
        <f t="shared" si="17"/>
        <v>2</v>
      </c>
      <c r="H375" s="41" t="str">
        <f>INDEX('0.시간표데이터'!$E$52:$AR$78,QUOTIENT(ROW(A369)-1,40)+1,MOD(ROW(A369)-1,40)+1)</f>
        <v>국어</v>
      </c>
      <c r="I375" s="77"/>
      <c r="J375" s="26"/>
      <c r="K375" s="180"/>
      <c r="L375" s="180"/>
      <c r="M375" s="10"/>
      <c r="N375" s="10"/>
      <c r="O375" s="10"/>
      <c r="P375" s="10"/>
      <c r="Q375" s="164"/>
      <c r="R375" s="110"/>
    </row>
    <row r="376" spans="1:18" ht="13.5" customHeight="1">
      <c r="A376" s="90">
        <v>370</v>
      </c>
      <c r="B376" s="24">
        <f>DATE('1.연간시수표'!$U$44,'1.연간시수표'!$X$44,'1.연간시수표'!$Z$44)+QUOTIENT(ROW(A370)-1,8)+(QUOTIENT(ROW(A370)-1,40)*2)</f>
        <v>44863</v>
      </c>
      <c r="C376" s="24" t="b">
        <f t="shared" si="15"/>
        <v>0</v>
      </c>
      <c r="D376" s="116" t="str">
        <f t="shared" si="16"/>
        <v>2교시</v>
      </c>
      <c r="E376" s="68">
        <f>COUNTIF($H$7:$H376,$H376)</f>
        <v>47</v>
      </c>
      <c r="F376" s="67">
        <f>'1.연간시수표'!$AL$33</f>
        <v>5</v>
      </c>
      <c r="G376" s="115">
        <f t="shared" si="17"/>
        <v>2</v>
      </c>
      <c r="H376" s="41" t="str">
        <f>INDEX('0.시간표데이터'!$E$52:$AR$78,QUOTIENT(ROW(A370)-1,40)+1,MOD(ROW(A370)-1,40)+1)</f>
        <v>국어</v>
      </c>
      <c r="I376" s="161"/>
      <c r="J376" s="26"/>
      <c r="K376" s="180"/>
      <c r="L376" s="180"/>
      <c r="M376" s="10"/>
      <c r="N376" s="10"/>
      <c r="O376" s="10"/>
      <c r="P376" s="10"/>
      <c r="Q376" s="164"/>
      <c r="R376" s="110"/>
    </row>
    <row r="377" spans="1:18" ht="13.5" customHeight="1">
      <c r="A377" s="90">
        <v>371</v>
      </c>
      <c r="B377" s="24">
        <f>DATE('1.연간시수표'!$U$44,'1.연간시수표'!$X$44,'1.연간시수표'!$Z$44)+QUOTIENT(ROW(A371)-1,8)+(QUOTIENT(ROW(A371)-1,40)*2)</f>
        <v>44863</v>
      </c>
      <c r="C377" s="24" t="b">
        <f t="shared" si="15"/>
        <v>0</v>
      </c>
      <c r="D377" s="116" t="str">
        <f t="shared" si="16"/>
        <v>3교시</v>
      </c>
      <c r="E377" s="68">
        <f>COUNTIF($H$7:$H377,$H377)</f>
        <v>25</v>
      </c>
      <c r="F377" s="67">
        <f>'1.연간시수표'!$AL$33</f>
        <v>5</v>
      </c>
      <c r="G377" s="115">
        <f t="shared" si="17"/>
        <v>2</v>
      </c>
      <c r="H377" s="41" t="str">
        <f>INDEX('0.시간표데이터'!$E$52:$AR$78,QUOTIENT(ROW(A371)-1,40)+1,MOD(ROW(A371)-1,40)+1)</f>
        <v>사회</v>
      </c>
      <c r="I377" s="77"/>
      <c r="J377" s="26"/>
      <c r="K377" s="164"/>
      <c r="L377" s="164"/>
      <c r="M377" s="10"/>
      <c r="N377" s="10"/>
      <c r="O377" s="10"/>
      <c r="P377" s="10"/>
      <c r="Q377" s="164"/>
      <c r="R377" s="110"/>
    </row>
    <row r="378" spans="1:18" ht="13.5" customHeight="1">
      <c r="A378" s="90">
        <v>372</v>
      </c>
      <c r="B378" s="24">
        <f>DATE('1.연간시수표'!$U$44,'1.연간시수표'!$X$44,'1.연간시수표'!$Z$44)+QUOTIENT(ROW(A372)-1,8)+(QUOTIENT(ROW(A372)-1,40)*2)</f>
        <v>44863</v>
      </c>
      <c r="C378" s="24" t="b">
        <f t="shared" si="15"/>
        <v>0</v>
      </c>
      <c r="D378" s="116" t="str">
        <f t="shared" si="16"/>
        <v>4교시</v>
      </c>
      <c r="E378" s="68">
        <f>COUNTIF($H$7:$H378,$H378)</f>
        <v>26</v>
      </c>
      <c r="F378" s="67">
        <f>'1.연간시수표'!$AL$33</f>
        <v>5</v>
      </c>
      <c r="G378" s="115">
        <f t="shared" si="17"/>
        <v>2</v>
      </c>
      <c r="H378" s="41" t="str">
        <f>INDEX('0.시간표데이터'!$E$52:$AR$78,QUOTIENT(ROW(A372)-1,40)+1,MOD(ROW(A372)-1,40)+1)</f>
        <v>수학</v>
      </c>
      <c r="I378" s="77"/>
      <c r="J378" s="26"/>
      <c r="K378" s="180"/>
      <c r="L378" s="180"/>
      <c r="M378" s="10"/>
      <c r="N378" s="10"/>
      <c r="O378" s="10"/>
      <c r="P378" s="10"/>
      <c r="Q378" s="164"/>
      <c r="R378" s="110"/>
    </row>
    <row r="379" spans="1:18" ht="13.5" customHeight="1">
      <c r="A379" s="90">
        <v>373</v>
      </c>
      <c r="B379" s="24">
        <f>DATE('1.연간시수표'!$U$44,'1.연간시수표'!$X$44,'1.연간시수표'!$Z$44)+QUOTIENT(ROW(A373)-1,8)+(QUOTIENT(ROW(A373)-1,40)*2)</f>
        <v>44863</v>
      </c>
      <c r="C379" s="24" t="b">
        <f t="shared" si="15"/>
        <v>0</v>
      </c>
      <c r="D379" s="116" t="str">
        <f t="shared" si="16"/>
        <v>5교시</v>
      </c>
      <c r="E379" s="68">
        <f>COUNTIF($H$7:$H379,$H379)</f>
        <v>22</v>
      </c>
      <c r="F379" s="67">
        <f>'1.연간시수표'!$AL$33</f>
        <v>5</v>
      </c>
      <c r="G379" s="115">
        <f t="shared" si="17"/>
        <v>2</v>
      </c>
      <c r="H379" s="41" t="str">
        <f>INDEX('0.시간표데이터'!$E$52:$AR$78,QUOTIENT(ROW(A373)-1,40)+1,MOD(ROW(A373)-1,40)+1)</f>
        <v>과학</v>
      </c>
      <c r="I379" s="77"/>
      <c r="J379" s="26"/>
      <c r="K379" s="180"/>
      <c r="L379" s="180"/>
      <c r="M379" s="10"/>
      <c r="N379" s="10"/>
      <c r="O379" s="10"/>
      <c r="P379" s="10"/>
      <c r="Q379" s="164"/>
      <c r="R379" s="110"/>
    </row>
    <row r="380" spans="1:18" ht="13.5" customHeight="1">
      <c r="A380" s="90">
        <v>374</v>
      </c>
      <c r="B380" s="24">
        <f>DATE('1.연간시수표'!$U$44,'1.연간시수표'!$X$44,'1.연간시수표'!$Z$44)+QUOTIENT(ROW(A374)-1,8)+(QUOTIENT(ROW(A374)-1,40)*2)</f>
        <v>44863</v>
      </c>
      <c r="C380" s="24" t="b">
        <f t="shared" si="15"/>
        <v>0</v>
      </c>
      <c r="D380" s="116" t="str">
        <f t="shared" si="16"/>
        <v>6교시</v>
      </c>
      <c r="E380" s="68">
        <f>COUNTIF($H$7:$H380,$H380)</f>
        <v>17</v>
      </c>
      <c r="F380" s="67">
        <f>'1.연간시수표'!$AL$33</f>
        <v>5</v>
      </c>
      <c r="G380" s="115">
        <f t="shared" si="17"/>
        <v>2</v>
      </c>
      <c r="H380" s="41" t="str">
        <f>INDEX('0.시간표데이터'!$E$52:$AR$78,QUOTIENT(ROW(A374)-1,40)+1,MOD(ROW(A374)-1,40)+1)</f>
        <v>실과</v>
      </c>
      <c r="I380" s="77"/>
      <c r="J380" s="26"/>
      <c r="K380" s="167"/>
      <c r="L380" s="167"/>
      <c r="M380" s="166"/>
      <c r="N380" s="166"/>
      <c r="O380" s="166"/>
      <c r="P380" s="166"/>
      <c r="Q380" s="167"/>
      <c r="R380" s="111"/>
    </row>
    <row r="381" spans="1:18" ht="13.5" customHeight="1">
      <c r="A381" s="90">
        <v>375</v>
      </c>
      <c r="B381" s="24">
        <f>DATE('1.연간시수표'!$U$44,'1.연간시수표'!$X$44,'1.연간시수표'!$Z$44)+QUOTIENT(ROW(A375)-1,8)+(QUOTIENT(ROW(A375)-1,40)*2)</f>
        <v>44863</v>
      </c>
      <c r="C381" s="24" t="b">
        <f t="shared" si="15"/>
        <v>0</v>
      </c>
      <c r="D381" s="116" t="str">
        <f t="shared" si="16"/>
        <v>7교시</v>
      </c>
      <c r="E381" s="68">
        <f>COUNTIF($H$7:$H381,$H381)</f>
        <v>143</v>
      </c>
      <c r="F381" s="67">
        <f>'1.연간시수표'!$AL$33</f>
        <v>5</v>
      </c>
      <c r="G381" s="115">
        <f t="shared" si="17"/>
        <v>2</v>
      </c>
      <c r="H381" s="41" t="str">
        <f>INDEX('0.시간표데이터'!$E$52:$AR$78,QUOTIENT(ROW(A375)-1,40)+1,MOD(ROW(A375)-1,40)+1)</f>
        <v>_</v>
      </c>
      <c r="I381" s="76"/>
      <c r="J381" s="26"/>
      <c r="K381" s="167"/>
      <c r="L381" s="167"/>
      <c r="M381" s="166"/>
      <c r="N381" s="166"/>
      <c r="O381" s="166"/>
      <c r="P381" s="166"/>
      <c r="Q381" s="167"/>
      <c r="R381" s="111"/>
    </row>
    <row r="382" spans="1:18" ht="13.5" customHeight="1">
      <c r="A382" s="90">
        <v>376</v>
      </c>
      <c r="B382" s="24">
        <f>DATE('1.연간시수표'!$U$44,'1.연간시수표'!$X$44,'1.연간시수표'!$Z$44)+QUOTIENT(ROW(A376)-1,8)+(QUOTIENT(ROW(A376)-1,40)*2)</f>
        <v>44863</v>
      </c>
      <c r="C382" s="24" t="b">
        <f t="shared" si="15"/>
        <v>0</v>
      </c>
      <c r="D382" s="116" t="str">
        <f t="shared" si="16"/>
        <v>8교시</v>
      </c>
      <c r="E382" s="68">
        <f>COUNTIF($H$7:$H382,$H382)</f>
        <v>144</v>
      </c>
      <c r="F382" s="67">
        <f>'1.연간시수표'!$AL$33</f>
        <v>5</v>
      </c>
      <c r="G382" s="115">
        <f t="shared" si="17"/>
        <v>2</v>
      </c>
      <c r="H382" s="41" t="str">
        <f>INDEX('0.시간표데이터'!$E$52:$AR$78,QUOTIENT(ROW(A376)-1,40)+1,MOD(ROW(A376)-1,40)+1)</f>
        <v>_</v>
      </c>
      <c r="I382" s="76"/>
      <c r="J382" s="26"/>
      <c r="K382" s="167"/>
      <c r="L382" s="167"/>
      <c r="M382" s="166"/>
      <c r="N382" s="166"/>
      <c r="O382" s="166"/>
      <c r="P382" s="166"/>
      <c r="Q382" s="167"/>
      <c r="R382" s="111"/>
    </row>
    <row r="383" spans="1:18" ht="13.5" customHeight="1">
      <c r="A383" s="90">
        <v>377</v>
      </c>
      <c r="B383" s="24">
        <f>DATE('1.연간시수표'!$U$44,'1.연간시수표'!$X$44,'1.연간시수표'!$Z$44)+QUOTIENT(ROW(A377)-1,8)+(QUOTIENT(ROW(A377)-1,40)*2)</f>
        <v>44864</v>
      </c>
      <c r="C383" s="24" t="b">
        <f t="shared" si="15"/>
        <v>0</v>
      </c>
      <c r="D383" s="116" t="str">
        <f t="shared" si="16"/>
        <v>1교시</v>
      </c>
      <c r="E383" s="68">
        <f>COUNTIF($H$7:$H383,$H383)</f>
        <v>24</v>
      </c>
      <c r="F383" s="67">
        <f>'1.연간시수표'!$AL$33</f>
        <v>5</v>
      </c>
      <c r="G383" s="115">
        <f t="shared" si="17"/>
        <v>2</v>
      </c>
      <c r="H383" s="41" t="str">
        <f>INDEX('0.시간표데이터'!$E$52:$AR$78,QUOTIENT(ROW(A377)-1,40)+1,MOD(ROW(A377)-1,40)+1)</f>
        <v>영어</v>
      </c>
      <c r="I383" s="77"/>
      <c r="J383" s="26"/>
      <c r="K383" s="180"/>
      <c r="L383" s="180"/>
      <c r="M383" s="10"/>
      <c r="N383" s="10"/>
      <c r="O383" s="10"/>
      <c r="P383" s="10"/>
      <c r="Q383" s="164"/>
      <c r="R383" s="110"/>
    </row>
    <row r="384" spans="1:18" ht="13.5" customHeight="1">
      <c r="A384" s="90">
        <v>378</v>
      </c>
      <c r="B384" s="24">
        <f>DATE('1.연간시수표'!$U$44,'1.연간시수표'!$X$44,'1.연간시수표'!$Z$44)+QUOTIENT(ROW(A378)-1,8)+(QUOTIENT(ROW(A378)-1,40)*2)</f>
        <v>44864</v>
      </c>
      <c r="C384" s="24" t="b">
        <f t="shared" si="15"/>
        <v>0</v>
      </c>
      <c r="D384" s="116" t="str">
        <f t="shared" si="16"/>
        <v>2교시</v>
      </c>
      <c r="E384" s="68">
        <f>COUNTIF($H$7:$H384,$H384)</f>
        <v>23</v>
      </c>
      <c r="F384" s="67">
        <f>'1.연간시수표'!$AL$33</f>
        <v>5</v>
      </c>
      <c r="G384" s="115">
        <f t="shared" si="17"/>
        <v>2</v>
      </c>
      <c r="H384" s="41" t="str">
        <f>INDEX('0.시간표데이터'!$E$52:$AR$78,QUOTIENT(ROW(A378)-1,40)+1,MOD(ROW(A378)-1,40)+1)</f>
        <v>과학</v>
      </c>
      <c r="I384" s="77"/>
      <c r="J384" s="26"/>
      <c r="K384" s="180"/>
      <c r="L384" s="180"/>
      <c r="M384" s="10"/>
      <c r="N384" s="10"/>
      <c r="O384" s="10"/>
      <c r="P384" s="10"/>
      <c r="Q384" s="164"/>
      <c r="R384" s="110"/>
    </row>
    <row r="385" spans="1:18" ht="13.5" customHeight="1">
      <c r="A385" s="90">
        <v>379</v>
      </c>
      <c r="B385" s="24">
        <f>DATE('1.연간시수표'!$U$44,'1.연간시수표'!$X$44,'1.연간시수표'!$Z$44)+QUOTIENT(ROW(A379)-1,8)+(QUOTIENT(ROW(A379)-1,40)*2)</f>
        <v>44864</v>
      </c>
      <c r="C385" s="24" t="b">
        <f t="shared" si="15"/>
        <v>0</v>
      </c>
      <c r="D385" s="116" t="str">
        <f t="shared" si="16"/>
        <v>3교시</v>
      </c>
      <c r="E385" s="68">
        <f>COUNTIF($H$7:$H385,$H385)</f>
        <v>17</v>
      </c>
      <c r="F385" s="67">
        <f>'1.연간시수표'!$AL$33</f>
        <v>5</v>
      </c>
      <c r="G385" s="115">
        <f t="shared" si="17"/>
        <v>2</v>
      </c>
      <c r="H385" s="41" t="str">
        <f>INDEX('0.시간표데이터'!$E$52:$AR$78,QUOTIENT(ROW(A379)-1,40)+1,MOD(ROW(A379)-1,40)+1)</f>
        <v>체육</v>
      </c>
      <c r="I385" s="77"/>
      <c r="J385" s="26"/>
      <c r="K385" s="180"/>
      <c r="L385" s="180"/>
      <c r="M385" s="10"/>
      <c r="N385" s="10"/>
      <c r="O385" s="10"/>
      <c r="P385" s="10"/>
      <c r="Q385" s="164"/>
      <c r="R385" s="110"/>
    </row>
    <row r="386" spans="1:18" ht="13.5" customHeight="1">
      <c r="A386" s="90">
        <v>380</v>
      </c>
      <c r="B386" s="24">
        <f>DATE('1.연간시수표'!$U$44,'1.연간시수표'!$X$44,'1.연간시수표'!$Z$44)+QUOTIENT(ROW(A380)-1,8)+(QUOTIENT(ROW(A380)-1,40)*2)</f>
        <v>44864</v>
      </c>
      <c r="C386" s="24" t="b">
        <f t="shared" si="15"/>
        <v>0</v>
      </c>
      <c r="D386" s="116" t="str">
        <f t="shared" si="16"/>
        <v>4교시</v>
      </c>
      <c r="E386" s="68">
        <f>COUNTIF($H$7:$H386,$H386)</f>
        <v>14</v>
      </c>
      <c r="F386" s="67">
        <f>'1.연간시수표'!$AL$33</f>
        <v>5</v>
      </c>
      <c r="G386" s="115">
        <f t="shared" si="17"/>
        <v>2</v>
      </c>
      <c r="H386" s="41" t="str">
        <f>INDEX('0.시간표데이터'!$E$52:$AR$78,QUOTIENT(ROW(A380)-1,40)+1,MOD(ROW(A380)-1,40)+1)</f>
        <v>음악</v>
      </c>
      <c r="I386" s="77"/>
      <c r="J386" s="26"/>
      <c r="K386" s="180"/>
      <c r="L386" s="180"/>
      <c r="M386" s="10"/>
      <c r="N386" s="10"/>
      <c r="O386" s="10"/>
      <c r="P386" s="10"/>
      <c r="Q386" s="164"/>
      <c r="R386" s="110"/>
    </row>
    <row r="387" spans="1:18" ht="13.5" customHeight="1">
      <c r="A387" s="90">
        <v>381</v>
      </c>
      <c r="B387" s="24">
        <f>DATE('1.연간시수표'!$U$44,'1.연간시수표'!$X$44,'1.연간시수표'!$Z$44)+QUOTIENT(ROW(A381)-1,8)+(QUOTIENT(ROW(A381)-1,40)*2)</f>
        <v>44864</v>
      </c>
      <c r="C387" s="24" t="b">
        <f t="shared" si="15"/>
        <v>0</v>
      </c>
      <c r="D387" s="116" t="str">
        <f t="shared" si="16"/>
        <v>5교시</v>
      </c>
      <c r="E387" s="68">
        <f>COUNTIF($H$7:$H387,$H387)</f>
        <v>9</v>
      </c>
      <c r="F387" s="67">
        <f>'1.연간시수표'!$AL$33</f>
        <v>5</v>
      </c>
      <c r="G387" s="115">
        <f t="shared" si="17"/>
        <v>2</v>
      </c>
      <c r="H387" s="41" t="str">
        <f>INDEX('0.시간표데이터'!$E$52:$AR$78,QUOTIENT(ROW(A381)-1,40)+1,MOD(ROW(A381)-1,40)+1)</f>
        <v>도덕</v>
      </c>
      <c r="I387" s="77"/>
      <c r="J387" s="26"/>
      <c r="K387" s="180"/>
      <c r="L387" s="180"/>
      <c r="M387" s="10"/>
      <c r="N387" s="10"/>
      <c r="O387" s="10"/>
      <c r="P387" s="10"/>
      <c r="Q387" s="164"/>
      <c r="R387" s="110"/>
    </row>
    <row r="388" spans="1:18" ht="13.5" customHeight="1">
      <c r="A388" s="90">
        <v>382</v>
      </c>
      <c r="B388" s="24">
        <f>DATE('1.연간시수표'!$U$44,'1.연간시수표'!$X$44,'1.연간시수표'!$Z$44)+QUOTIENT(ROW(A382)-1,8)+(QUOTIENT(ROW(A382)-1,40)*2)</f>
        <v>44864</v>
      </c>
      <c r="C388" s="24" t="b">
        <f t="shared" si="15"/>
        <v>0</v>
      </c>
      <c r="D388" s="116" t="str">
        <f t="shared" si="16"/>
        <v>6교시</v>
      </c>
      <c r="E388" s="68">
        <f>COUNTIF($H$7:$H388,$H388)</f>
        <v>145</v>
      </c>
      <c r="F388" s="67">
        <f>'1.연간시수표'!$AL$33</f>
        <v>5</v>
      </c>
      <c r="G388" s="115">
        <f t="shared" si="17"/>
        <v>2</v>
      </c>
      <c r="H388" s="41" t="str">
        <f>INDEX('0.시간표데이터'!$E$52:$AR$78,QUOTIENT(ROW(A382)-1,40)+1,MOD(ROW(A382)-1,40)+1)</f>
        <v>_</v>
      </c>
      <c r="I388" s="77"/>
      <c r="J388" s="26"/>
      <c r="K388" s="167"/>
      <c r="L388" s="167"/>
      <c r="M388" s="166"/>
      <c r="N388" s="166"/>
      <c r="O388" s="166"/>
      <c r="P388" s="166"/>
      <c r="Q388" s="167"/>
      <c r="R388" s="111"/>
    </row>
    <row r="389" spans="1:18" ht="13.5" customHeight="1">
      <c r="A389" s="90">
        <v>383</v>
      </c>
      <c r="B389" s="24">
        <f>DATE('1.연간시수표'!$U$44,'1.연간시수표'!$X$44,'1.연간시수표'!$Z$44)+QUOTIENT(ROW(A383)-1,8)+(QUOTIENT(ROW(A383)-1,40)*2)</f>
        <v>44864</v>
      </c>
      <c r="C389" s="24" t="b">
        <f t="shared" si="15"/>
        <v>0</v>
      </c>
      <c r="D389" s="116" t="str">
        <f t="shared" si="16"/>
        <v>7교시</v>
      </c>
      <c r="E389" s="68">
        <f>COUNTIF($H$7:$H389,$H389)</f>
        <v>146</v>
      </c>
      <c r="F389" s="67">
        <f>'1.연간시수표'!$AL$33</f>
        <v>5</v>
      </c>
      <c r="G389" s="115">
        <f t="shared" si="17"/>
        <v>2</v>
      </c>
      <c r="H389" s="41" t="str">
        <f>INDEX('0.시간표데이터'!$E$52:$AR$78,QUOTIENT(ROW(A383)-1,40)+1,MOD(ROW(A383)-1,40)+1)</f>
        <v>_</v>
      </c>
      <c r="I389" s="76"/>
      <c r="J389" s="26"/>
      <c r="K389" s="167"/>
      <c r="L389" s="167"/>
      <c r="M389" s="166"/>
      <c r="N389" s="166"/>
      <c r="O389" s="166"/>
      <c r="P389" s="166"/>
      <c r="Q389" s="167"/>
      <c r="R389" s="111"/>
    </row>
    <row r="390" spans="1:18" ht="13.5" customHeight="1">
      <c r="A390" s="90">
        <v>384</v>
      </c>
      <c r="B390" s="24">
        <f>DATE('1.연간시수표'!$U$44,'1.연간시수표'!$X$44,'1.연간시수표'!$Z$44)+QUOTIENT(ROW(A384)-1,8)+(QUOTIENT(ROW(A384)-1,40)*2)</f>
        <v>44864</v>
      </c>
      <c r="C390" s="24" t="b">
        <f t="shared" si="15"/>
        <v>0</v>
      </c>
      <c r="D390" s="116" t="str">
        <f t="shared" si="16"/>
        <v>8교시</v>
      </c>
      <c r="E390" s="68">
        <f>COUNTIF($H$7:$H390,$H390)</f>
        <v>147</v>
      </c>
      <c r="F390" s="67">
        <f>'1.연간시수표'!$AL$33</f>
        <v>5</v>
      </c>
      <c r="G390" s="115">
        <f t="shared" si="17"/>
        <v>2</v>
      </c>
      <c r="H390" s="41" t="str">
        <f>INDEX('0.시간표데이터'!$E$52:$AR$78,QUOTIENT(ROW(A384)-1,40)+1,MOD(ROW(A384)-1,40)+1)</f>
        <v>_</v>
      </c>
      <c r="I390" s="76"/>
      <c r="J390" s="26"/>
      <c r="K390" s="167"/>
      <c r="L390" s="167"/>
      <c r="M390" s="166"/>
      <c r="N390" s="166"/>
      <c r="O390" s="166"/>
      <c r="P390" s="166"/>
      <c r="Q390" s="167"/>
      <c r="R390" s="111"/>
    </row>
    <row r="391" spans="1:18" ht="13.5" customHeight="1">
      <c r="A391" s="90">
        <v>385</v>
      </c>
      <c r="B391" s="24">
        <f>DATE('1.연간시수표'!$U$44,'1.연간시수표'!$X$44,'1.연간시수표'!$Z$44)+QUOTIENT(ROW(A385)-1,8)+(QUOTIENT(ROW(A385)-1,40)*2)</f>
        <v>44865</v>
      </c>
      <c r="C391" s="24" t="str">
        <f t="shared" ref="C391:C454" si="18">IF(WEEKDAY(B391,2)=1,"월",IF(WEEKDAY(B391,2)=2,"화",IF(WEEKDAY(B391,2)=3,"수",IF(WEEKDAY(B391,2)=4,"목",IF(WEEKDAY(B391,2)=5,"금")))))</f>
        <v>월</v>
      </c>
      <c r="D391" s="116" t="str">
        <f t="shared" ref="D391:D454" si="19">TEXT(MOD(ROW(A385)-1,8)+1,"#교시")</f>
        <v>1교시</v>
      </c>
      <c r="E391" s="68">
        <f>COUNTIF($H$7:$H391,$H391)</f>
        <v>48</v>
      </c>
      <c r="F391" s="67">
        <f>'1.연간시수표'!$AL$33</f>
        <v>5</v>
      </c>
      <c r="G391" s="115">
        <f t="shared" ref="G391:G454" si="20">$A$2</f>
        <v>2</v>
      </c>
      <c r="H391" s="41" t="str">
        <f>INDEX('0.시간표데이터'!$E$52:$AR$78,QUOTIENT(ROW(A385)-1,40)+1,MOD(ROW(A385)-1,40)+1)</f>
        <v>국어</v>
      </c>
      <c r="I391" s="77"/>
      <c r="J391" s="26"/>
      <c r="K391" s="180"/>
      <c r="L391" s="180"/>
      <c r="M391" s="10"/>
      <c r="N391" s="10"/>
      <c r="O391" s="10"/>
      <c r="P391" s="10"/>
      <c r="Q391" s="164"/>
      <c r="R391" s="110"/>
    </row>
    <row r="392" spans="1:18" ht="13.5" customHeight="1">
      <c r="A392" s="90">
        <v>386</v>
      </c>
      <c r="B392" s="24">
        <f>DATE('1.연간시수표'!$U$44,'1.연간시수표'!$X$44,'1.연간시수표'!$Z$44)+QUOTIENT(ROW(A386)-1,8)+(QUOTIENT(ROW(A386)-1,40)*2)</f>
        <v>44865</v>
      </c>
      <c r="C392" s="24" t="str">
        <f t="shared" si="18"/>
        <v>월</v>
      </c>
      <c r="D392" s="116" t="str">
        <f t="shared" si="19"/>
        <v>2교시</v>
      </c>
      <c r="E392" s="68">
        <f>COUNTIF($H$7:$H392,$H392)</f>
        <v>27</v>
      </c>
      <c r="F392" s="67">
        <f>'1.연간시수표'!$AL$33</f>
        <v>5</v>
      </c>
      <c r="G392" s="115">
        <f t="shared" si="20"/>
        <v>2</v>
      </c>
      <c r="H392" s="41" t="str">
        <f>INDEX('0.시간표데이터'!$E$52:$AR$78,QUOTIENT(ROW(A386)-1,40)+1,MOD(ROW(A386)-1,40)+1)</f>
        <v>수학</v>
      </c>
      <c r="I392" s="161"/>
      <c r="J392" s="26"/>
      <c r="K392" s="180"/>
      <c r="L392" s="180"/>
      <c r="M392" s="10"/>
      <c r="N392" s="10"/>
      <c r="O392" s="10"/>
      <c r="P392" s="10"/>
      <c r="Q392" s="164"/>
      <c r="R392" s="110"/>
    </row>
    <row r="393" spans="1:18" ht="13.5" customHeight="1">
      <c r="A393" s="90">
        <v>387</v>
      </c>
      <c r="B393" s="24">
        <f>DATE('1.연간시수표'!$U$44,'1.연간시수표'!$X$44,'1.연간시수표'!$Z$44)+QUOTIENT(ROW(A387)-1,8)+(QUOTIENT(ROW(A387)-1,40)*2)</f>
        <v>44865</v>
      </c>
      <c r="C393" s="24" t="str">
        <f t="shared" si="18"/>
        <v>월</v>
      </c>
      <c r="D393" s="116" t="str">
        <f t="shared" si="19"/>
        <v>3교시</v>
      </c>
      <c r="E393" s="68">
        <f>COUNTIF($H$7:$H393,$H393)</f>
        <v>26</v>
      </c>
      <c r="F393" s="67">
        <f>'1.연간시수표'!$AL$33</f>
        <v>5</v>
      </c>
      <c r="G393" s="115">
        <f t="shared" si="20"/>
        <v>2</v>
      </c>
      <c r="H393" s="41" t="str">
        <f>INDEX('0.시간표데이터'!$E$52:$AR$78,QUOTIENT(ROW(A387)-1,40)+1,MOD(ROW(A387)-1,40)+1)</f>
        <v>사회</v>
      </c>
      <c r="I393" s="77"/>
      <c r="J393" s="26"/>
      <c r="K393" s="167"/>
      <c r="L393" s="167"/>
      <c r="M393" s="10"/>
      <c r="N393" s="10"/>
      <c r="O393" s="10"/>
      <c r="P393" s="10"/>
      <c r="Q393" s="164"/>
      <c r="R393" s="110"/>
    </row>
    <row r="394" spans="1:18" ht="13.5" customHeight="1">
      <c r="A394" s="90">
        <v>388</v>
      </c>
      <c r="B394" s="24">
        <f>DATE('1.연간시수표'!$U$44,'1.연간시수표'!$X$44,'1.연간시수표'!$Z$44)+QUOTIENT(ROW(A388)-1,8)+(QUOTIENT(ROW(A388)-1,40)*2)</f>
        <v>44865</v>
      </c>
      <c r="C394" s="24" t="str">
        <f t="shared" si="18"/>
        <v>월</v>
      </c>
      <c r="D394" s="116" t="str">
        <f t="shared" si="19"/>
        <v>4교시</v>
      </c>
      <c r="E394" s="68">
        <f>COUNTIF($H$7:$H394,$H394)</f>
        <v>25</v>
      </c>
      <c r="F394" s="67">
        <f>'1.연간시수표'!$AL$33</f>
        <v>5</v>
      </c>
      <c r="G394" s="115">
        <f t="shared" si="20"/>
        <v>2</v>
      </c>
      <c r="H394" s="41" t="str">
        <f>INDEX('0.시간표데이터'!$E$52:$AR$78,QUOTIENT(ROW(A388)-1,40)+1,MOD(ROW(A388)-1,40)+1)</f>
        <v>영어</v>
      </c>
      <c r="I394" s="77"/>
      <c r="J394" s="26"/>
      <c r="K394" s="167"/>
      <c r="L394" s="167"/>
      <c r="M394" s="10"/>
      <c r="N394" s="10"/>
      <c r="O394" s="10"/>
      <c r="P394" s="10"/>
      <c r="Q394" s="164"/>
      <c r="R394" s="110"/>
    </row>
    <row r="395" spans="1:18" ht="13.5" customHeight="1">
      <c r="A395" s="90">
        <v>389</v>
      </c>
      <c r="B395" s="24">
        <f>DATE('1.연간시수표'!$U$44,'1.연간시수표'!$X$44,'1.연간시수표'!$Z$44)+QUOTIENT(ROW(A389)-1,8)+(QUOTIENT(ROW(A389)-1,40)*2)</f>
        <v>44865</v>
      </c>
      <c r="C395" s="24" t="str">
        <f t="shared" si="18"/>
        <v>월</v>
      </c>
      <c r="D395" s="116" t="str">
        <f t="shared" si="19"/>
        <v>5교시</v>
      </c>
      <c r="E395" s="68">
        <f>COUNTIF($H$7:$H395,$H395)</f>
        <v>24</v>
      </c>
      <c r="F395" s="67">
        <f>'1.연간시수표'!$AL$33</f>
        <v>5</v>
      </c>
      <c r="G395" s="115">
        <f t="shared" si="20"/>
        <v>2</v>
      </c>
      <c r="H395" s="41" t="str">
        <f>INDEX('0.시간표데이터'!$E$52:$AR$78,QUOTIENT(ROW(A389)-1,40)+1,MOD(ROW(A389)-1,40)+1)</f>
        <v>과학</v>
      </c>
      <c r="I395" s="77"/>
      <c r="J395" s="26"/>
      <c r="K395" s="167"/>
      <c r="L395" s="167"/>
      <c r="M395" s="166"/>
      <c r="N395" s="166"/>
      <c r="O395" s="166"/>
      <c r="P395" s="166"/>
      <c r="Q395" s="167"/>
      <c r="R395" s="111"/>
    </row>
    <row r="396" spans="1:18" ht="13.5" customHeight="1">
      <c r="A396" s="90">
        <v>390</v>
      </c>
      <c r="B396" s="24">
        <f>DATE('1.연간시수표'!$U$44,'1.연간시수표'!$X$44,'1.연간시수표'!$Z$44)+QUOTIENT(ROW(A390)-1,8)+(QUOTIENT(ROW(A390)-1,40)*2)</f>
        <v>44865</v>
      </c>
      <c r="C396" s="24" t="str">
        <f t="shared" si="18"/>
        <v>월</v>
      </c>
      <c r="D396" s="116" t="str">
        <f t="shared" si="19"/>
        <v>6교시</v>
      </c>
      <c r="E396" s="68">
        <f>COUNTIF($H$7:$H396,$H396)</f>
        <v>15</v>
      </c>
      <c r="F396" s="67">
        <f>'1.연간시수표'!$AL$33</f>
        <v>5</v>
      </c>
      <c r="G396" s="115">
        <f t="shared" si="20"/>
        <v>2</v>
      </c>
      <c r="H396" s="41" t="str">
        <f>INDEX('0.시간표데이터'!$E$52:$AR$78,QUOTIENT(ROW(A390)-1,40)+1,MOD(ROW(A390)-1,40)+1)</f>
        <v>음악</v>
      </c>
      <c r="I396" s="161"/>
      <c r="J396" s="26"/>
      <c r="K396" s="167"/>
      <c r="L396" s="167"/>
      <c r="M396" s="166"/>
      <c r="N396" s="166"/>
      <c r="O396" s="166"/>
      <c r="P396" s="166"/>
      <c r="Q396" s="167"/>
      <c r="R396" s="111"/>
    </row>
    <row r="397" spans="1:18">
      <c r="A397" s="90">
        <v>391</v>
      </c>
      <c r="B397" s="24">
        <f>DATE('1.연간시수표'!$U$44,'1.연간시수표'!$X$44,'1.연간시수표'!$Z$44)+QUOTIENT(ROW(A391)-1,8)+(QUOTIENT(ROW(A391)-1,40)*2)</f>
        <v>44865</v>
      </c>
      <c r="C397" s="24" t="str">
        <f t="shared" si="18"/>
        <v>월</v>
      </c>
      <c r="D397" s="116" t="str">
        <f t="shared" si="19"/>
        <v>7교시</v>
      </c>
      <c r="E397" s="68">
        <f>COUNTIF($H$7:$H397,$H397)</f>
        <v>148</v>
      </c>
      <c r="F397" s="67">
        <f>'1.연간시수표'!$AL$33</f>
        <v>5</v>
      </c>
      <c r="G397" s="115">
        <f t="shared" si="20"/>
        <v>2</v>
      </c>
      <c r="H397" s="41" t="str">
        <f>INDEX('0.시간표데이터'!$E$52:$AR$78,QUOTIENT(ROW(A391)-1,40)+1,MOD(ROW(A391)-1,40)+1)</f>
        <v>_</v>
      </c>
      <c r="I397" s="76"/>
      <c r="J397" s="26"/>
      <c r="K397" s="167"/>
      <c r="L397" s="167"/>
      <c r="M397" s="166"/>
      <c r="N397" s="166"/>
      <c r="O397" s="166"/>
      <c r="P397" s="166"/>
      <c r="Q397" s="167"/>
      <c r="R397" s="111"/>
    </row>
    <row r="398" spans="1:18">
      <c r="A398" s="90">
        <v>392</v>
      </c>
      <c r="B398" s="24">
        <f>DATE('1.연간시수표'!$U$44,'1.연간시수표'!$X$44,'1.연간시수표'!$Z$44)+QUOTIENT(ROW(A392)-1,8)+(QUOTIENT(ROW(A392)-1,40)*2)</f>
        <v>44865</v>
      </c>
      <c r="C398" s="24" t="str">
        <f t="shared" si="18"/>
        <v>월</v>
      </c>
      <c r="D398" s="116" t="str">
        <f t="shared" si="19"/>
        <v>8교시</v>
      </c>
      <c r="E398" s="68">
        <f>COUNTIF($H$7:$H398,$H398)</f>
        <v>149</v>
      </c>
      <c r="F398" s="67">
        <f>'1.연간시수표'!$AL$33</f>
        <v>5</v>
      </c>
      <c r="G398" s="115">
        <f t="shared" si="20"/>
        <v>2</v>
      </c>
      <c r="H398" s="41" t="str">
        <f>INDEX('0.시간표데이터'!$E$52:$AR$78,QUOTIENT(ROW(A392)-1,40)+1,MOD(ROW(A392)-1,40)+1)</f>
        <v>_</v>
      </c>
      <c r="I398" s="76"/>
      <c r="J398" s="26"/>
      <c r="K398" s="167"/>
      <c r="L398" s="167"/>
      <c r="M398" s="166"/>
      <c r="N398" s="166"/>
      <c r="O398" s="166"/>
      <c r="P398" s="166"/>
      <c r="Q398" s="167"/>
      <c r="R398" s="111"/>
    </row>
    <row r="399" spans="1:18" ht="13.5" customHeight="1">
      <c r="A399" s="90">
        <v>393</v>
      </c>
      <c r="B399" s="24">
        <f>DATE('1.연간시수표'!$U$44,'1.연간시수표'!$X$44,'1.연간시수표'!$Z$44)+QUOTIENT(ROW(A393)-1,8)+(QUOTIENT(ROW(A393)-1,40)*2)</f>
        <v>44866</v>
      </c>
      <c r="C399" s="24" t="str">
        <f t="shared" si="18"/>
        <v>화</v>
      </c>
      <c r="D399" s="116" t="str">
        <f t="shared" si="19"/>
        <v>1교시</v>
      </c>
      <c r="E399" s="68">
        <f>COUNTIF($H$7:$H399,$H399)</f>
        <v>49</v>
      </c>
      <c r="F399" s="67">
        <f>'1.연간시수표'!$AL$33</f>
        <v>5</v>
      </c>
      <c r="G399" s="115">
        <f t="shared" si="20"/>
        <v>2</v>
      </c>
      <c r="H399" s="41" t="str">
        <f>INDEX('0.시간표데이터'!$E$52:$AR$78,QUOTIENT(ROW(A393)-1,40)+1,MOD(ROW(A393)-1,40)+1)</f>
        <v>국어</v>
      </c>
      <c r="I399" s="77"/>
      <c r="J399" s="26"/>
      <c r="K399" s="180"/>
      <c r="L399" s="180"/>
      <c r="M399" s="10"/>
      <c r="N399" s="10"/>
      <c r="O399" s="10"/>
      <c r="P399" s="10"/>
      <c r="Q399" s="164"/>
      <c r="R399" s="110"/>
    </row>
    <row r="400" spans="1:18" ht="13.5" customHeight="1">
      <c r="A400" s="90">
        <v>394</v>
      </c>
      <c r="B400" s="24">
        <f>DATE('1.연간시수표'!$U$44,'1.연간시수표'!$X$44,'1.연간시수표'!$Z$44)+QUOTIENT(ROW(A394)-1,8)+(QUOTIENT(ROW(A394)-1,40)*2)</f>
        <v>44866</v>
      </c>
      <c r="C400" s="24" t="str">
        <f t="shared" si="18"/>
        <v>화</v>
      </c>
      <c r="D400" s="116" t="str">
        <f t="shared" si="19"/>
        <v>2교시</v>
      </c>
      <c r="E400" s="68">
        <f>COUNTIF($H$7:$H400,$H400)</f>
        <v>18</v>
      </c>
      <c r="F400" s="67">
        <f>'1.연간시수표'!$AL$33</f>
        <v>5</v>
      </c>
      <c r="G400" s="115">
        <f t="shared" si="20"/>
        <v>2</v>
      </c>
      <c r="H400" s="41" t="str">
        <f>INDEX('0.시간표데이터'!$E$52:$AR$78,QUOTIENT(ROW(A394)-1,40)+1,MOD(ROW(A394)-1,40)+1)</f>
        <v>체육</v>
      </c>
      <c r="I400" s="77"/>
      <c r="J400" s="26"/>
      <c r="K400" s="180"/>
      <c r="L400" s="180"/>
      <c r="M400" s="10"/>
      <c r="N400" s="10"/>
      <c r="O400" s="10"/>
      <c r="P400" s="10"/>
      <c r="Q400" s="164"/>
      <c r="R400" s="110"/>
    </row>
    <row r="401" spans="1:18" ht="13.5" customHeight="1">
      <c r="A401" s="90">
        <v>395</v>
      </c>
      <c r="B401" s="24">
        <f>DATE('1.연간시수표'!$U$44,'1.연간시수표'!$X$44,'1.연간시수표'!$Z$44)+QUOTIENT(ROW(A395)-1,8)+(QUOTIENT(ROW(A395)-1,40)*2)</f>
        <v>44866</v>
      </c>
      <c r="C401" s="24" t="str">
        <f t="shared" si="18"/>
        <v>화</v>
      </c>
      <c r="D401" s="116" t="str">
        <f t="shared" si="19"/>
        <v>3교시</v>
      </c>
      <c r="E401" s="68">
        <f>COUNTIF($H$7:$H401,$H401)</f>
        <v>28</v>
      </c>
      <c r="F401" s="67">
        <f>'1.연간시수표'!$AL$33</f>
        <v>5</v>
      </c>
      <c r="G401" s="115">
        <f t="shared" si="20"/>
        <v>2</v>
      </c>
      <c r="H401" s="41" t="str">
        <f>INDEX('0.시간표데이터'!$E$52:$AR$78,QUOTIENT(ROW(A395)-1,40)+1,MOD(ROW(A395)-1,40)+1)</f>
        <v>수학</v>
      </c>
      <c r="I401" s="77"/>
      <c r="J401" s="26"/>
      <c r="K401" s="180"/>
      <c r="L401" s="180"/>
      <c r="M401" s="10"/>
      <c r="N401" s="10"/>
      <c r="O401" s="10"/>
      <c r="P401" s="10"/>
      <c r="Q401" s="164"/>
      <c r="R401" s="110"/>
    </row>
    <row r="402" spans="1:18" ht="13.5" customHeight="1">
      <c r="A402" s="90">
        <v>396</v>
      </c>
      <c r="B402" s="24">
        <f>DATE('1.연간시수표'!$U$44,'1.연간시수표'!$X$44,'1.연간시수표'!$Z$44)+QUOTIENT(ROW(A396)-1,8)+(QUOTIENT(ROW(A396)-1,40)*2)</f>
        <v>44866</v>
      </c>
      <c r="C402" s="24" t="str">
        <f t="shared" si="18"/>
        <v>화</v>
      </c>
      <c r="D402" s="116" t="str">
        <f t="shared" si="19"/>
        <v>4교시</v>
      </c>
      <c r="E402" s="68">
        <f>COUNTIF($H$7:$H402,$H402)</f>
        <v>50</v>
      </c>
      <c r="F402" s="67">
        <f>'1.연간시수표'!$AL$33</f>
        <v>5</v>
      </c>
      <c r="G402" s="115">
        <f t="shared" si="20"/>
        <v>2</v>
      </c>
      <c r="H402" s="41" t="str">
        <f>INDEX('0.시간표데이터'!$E$52:$AR$78,QUOTIENT(ROW(A396)-1,40)+1,MOD(ROW(A396)-1,40)+1)</f>
        <v>국어</v>
      </c>
      <c r="I402" s="77"/>
      <c r="J402" s="26"/>
      <c r="K402" s="180"/>
      <c r="L402" s="180"/>
      <c r="M402" s="10"/>
      <c r="N402" s="10"/>
      <c r="O402" s="10"/>
      <c r="P402" s="10"/>
      <c r="Q402" s="164"/>
      <c r="R402" s="110"/>
    </row>
    <row r="403" spans="1:18" ht="13.5" customHeight="1">
      <c r="A403" s="90">
        <v>397</v>
      </c>
      <c r="B403" s="24">
        <f>DATE('1.연간시수표'!$U$44,'1.연간시수표'!$X$44,'1.연간시수표'!$Z$44)+QUOTIENT(ROW(A397)-1,8)+(QUOTIENT(ROW(A397)-1,40)*2)</f>
        <v>44866</v>
      </c>
      <c r="C403" s="24" t="str">
        <f t="shared" si="18"/>
        <v>화</v>
      </c>
      <c r="D403" s="116" t="str">
        <f t="shared" si="19"/>
        <v>5교시</v>
      </c>
      <c r="E403" s="68">
        <f>COUNTIF($H$7:$H403,$H403)</f>
        <v>27</v>
      </c>
      <c r="F403" s="67">
        <f>'1.연간시수표'!$AL$33</f>
        <v>5</v>
      </c>
      <c r="G403" s="115">
        <f t="shared" si="20"/>
        <v>2</v>
      </c>
      <c r="H403" s="41" t="str">
        <f>INDEX('0.시간표데이터'!$E$52:$AR$78,QUOTIENT(ROW(A397)-1,40)+1,MOD(ROW(A397)-1,40)+1)</f>
        <v>사회</v>
      </c>
      <c r="I403" s="77"/>
      <c r="J403" s="26"/>
      <c r="K403" s="180"/>
      <c r="L403" s="180"/>
      <c r="M403" s="10"/>
      <c r="N403" s="10"/>
      <c r="O403" s="10"/>
      <c r="P403" s="10"/>
      <c r="Q403" s="164"/>
      <c r="R403" s="110"/>
    </row>
    <row r="404" spans="1:18" ht="13.5" customHeight="1">
      <c r="A404" s="90">
        <v>398</v>
      </c>
      <c r="B404" s="24">
        <f>DATE('1.연간시수표'!$U$44,'1.연간시수표'!$X$44,'1.연간시수표'!$Z$44)+QUOTIENT(ROW(A398)-1,8)+(QUOTIENT(ROW(A398)-1,40)*2)</f>
        <v>44866</v>
      </c>
      <c r="C404" s="24" t="str">
        <f t="shared" si="18"/>
        <v>화</v>
      </c>
      <c r="D404" s="116" t="str">
        <f t="shared" si="19"/>
        <v>6교시</v>
      </c>
      <c r="E404" s="68">
        <f>COUNTIF($H$7:$H404,$H404)</f>
        <v>18</v>
      </c>
      <c r="F404" s="67">
        <f>'1.연간시수표'!$AL$33</f>
        <v>5</v>
      </c>
      <c r="G404" s="115">
        <f t="shared" si="20"/>
        <v>2</v>
      </c>
      <c r="H404" s="41" t="str">
        <f>INDEX('0.시간표데이터'!$E$52:$AR$78,QUOTIENT(ROW(A398)-1,40)+1,MOD(ROW(A398)-1,40)+1)</f>
        <v>실과</v>
      </c>
      <c r="I404" s="77"/>
      <c r="J404" s="26"/>
      <c r="K404" s="167"/>
      <c r="L404" s="167"/>
      <c r="M404" s="166"/>
      <c r="N404" s="166"/>
      <c r="O404" s="166"/>
      <c r="P404" s="166"/>
      <c r="Q404" s="167"/>
      <c r="R404" s="111"/>
    </row>
    <row r="405" spans="1:18" ht="13.5" customHeight="1">
      <c r="A405" s="90">
        <v>399</v>
      </c>
      <c r="B405" s="24">
        <f>DATE('1.연간시수표'!$U$44,'1.연간시수표'!$X$44,'1.연간시수표'!$Z$44)+QUOTIENT(ROW(A399)-1,8)+(QUOTIENT(ROW(A399)-1,40)*2)</f>
        <v>44866</v>
      </c>
      <c r="C405" s="24" t="str">
        <f t="shared" si="18"/>
        <v>화</v>
      </c>
      <c r="D405" s="116" t="str">
        <f t="shared" si="19"/>
        <v>7교시</v>
      </c>
      <c r="E405" s="68">
        <f>COUNTIF($H$7:$H405,$H405)</f>
        <v>150</v>
      </c>
      <c r="F405" s="67">
        <f>'1.연간시수표'!$AL$33</f>
        <v>5</v>
      </c>
      <c r="G405" s="115">
        <f t="shared" si="20"/>
        <v>2</v>
      </c>
      <c r="H405" s="41" t="str">
        <f>INDEX('0.시간표데이터'!$E$52:$AR$78,QUOTIENT(ROW(A399)-1,40)+1,MOD(ROW(A399)-1,40)+1)</f>
        <v>_</v>
      </c>
      <c r="I405" s="76"/>
      <c r="J405" s="26"/>
      <c r="K405" s="167"/>
      <c r="L405" s="167"/>
      <c r="M405" s="166"/>
      <c r="N405" s="166"/>
      <c r="O405" s="166"/>
      <c r="P405" s="166"/>
      <c r="Q405" s="167"/>
      <c r="R405" s="111"/>
    </row>
    <row r="406" spans="1:18" ht="13.5" customHeight="1">
      <c r="A406" s="90">
        <v>400</v>
      </c>
      <c r="B406" s="24">
        <f>DATE('1.연간시수표'!$U$44,'1.연간시수표'!$X$44,'1.연간시수표'!$Z$44)+QUOTIENT(ROW(A400)-1,8)+(QUOTIENT(ROW(A400)-1,40)*2)</f>
        <v>44866</v>
      </c>
      <c r="C406" s="24" t="str">
        <f t="shared" si="18"/>
        <v>화</v>
      </c>
      <c r="D406" s="116" t="str">
        <f t="shared" si="19"/>
        <v>8교시</v>
      </c>
      <c r="E406" s="68">
        <f>COUNTIF($H$7:$H406,$H406)</f>
        <v>151</v>
      </c>
      <c r="F406" s="67">
        <f>'1.연간시수표'!$AL$33</f>
        <v>5</v>
      </c>
      <c r="G406" s="115">
        <f t="shared" si="20"/>
        <v>2</v>
      </c>
      <c r="H406" s="41" t="str">
        <f>INDEX('0.시간표데이터'!$E$52:$AR$78,QUOTIENT(ROW(A400)-1,40)+1,MOD(ROW(A400)-1,40)+1)</f>
        <v>_</v>
      </c>
      <c r="I406" s="76"/>
      <c r="J406" s="26"/>
      <c r="K406" s="167"/>
      <c r="L406" s="167"/>
      <c r="M406" s="166"/>
      <c r="N406" s="166"/>
      <c r="O406" s="166"/>
      <c r="P406" s="166"/>
      <c r="Q406" s="167"/>
      <c r="R406" s="111"/>
    </row>
    <row r="407" spans="1:18" ht="13.5" customHeight="1">
      <c r="A407" s="90">
        <v>401</v>
      </c>
      <c r="B407" s="24">
        <f>DATE('1.연간시수표'!$U$44,'1.연간시수표'!$X$44,'1.연간시수표'!$Z$44)+QUOTIENT(ROW(A401)-1,8)+(QUOTIENT(ROW(A401)-1,40)*2)</f>
        <v>44869</v>
      </c>
      <c r="C407" s="24" t="str">
        <f t="shared" si="18"/>
        <v>금</v>
      </c>
      <c r="D407" s="116" t="str">
        <f t="shared" si="19"/>
        <v>1교시</v>
      </c>
      <c r="E407" s="68">
        <f>COUNTIF($H$7:$H407,$H407)</f>
        <v>51</v>
      </c>
      <c r="F407" s="67">
        <f>'1.연간시수표'!$AL$33</f>
        <v>5</v>
      </c>
      <c r="G407" s="115">
        <f t="shared" si="20"/>
        <v>2</v>
      </c>
      <c r="H407" s="41" t="str">
        <f>INDEX('0.시간표데이터'!$E$52:$AR$78,QUOTIENT(ROW(A401)-1,40)+1,MOD(ROW(A401)-1,40)+1)</f>
        <v>국어</v>
      </c>
      <c r="I407" s="77"/>
      <c r="J407" s="26"/>
      <c r="K407" s="164"/>
      <c r="L407" s="164"/>
      <c r="M407" s="10"/>
      <c r="N407" s="10"/>
      <c r="O407" s="10"/>
      <c r="P407" s="10"/>
      <c r="Q407" s="164"/>
      <c r="R407" s="110"/>
    </row>
    <row r="408" spans="1:18" ht="13.5" customHeight="1">
      <c r="A408" s="90">
        <v>402</v>
      </c>
      <c r="B408" s="24">
        <f>DATE('1.연간시수표'!$U$44,'1.연간시수표'!$X$44,'1.연간시수표'!$Z$44)+QUOTIENT(ROW(A402)-1,8)+(QUOTIENT(ROW(A402)-1,40)*2)</f>
        <v>44869</v>
      </c>
      <c r="C408" s="24" t="str">
        <f t="shared" si="18"/>
        <v>금</v>
      </c>
      <c r="D408" s="116" t="str">
        <f t="shared" si="19"/>
        <v>2교시</v>
      </c>
      <c r="E408" s="68">
        <f>COUNTIF($H$7:$H408,$H408)</f>
        <v>13</v>
      </c>
      <c r="F408" s="67">
        <f>'1.연간시수표'!$AL$33</f>
        <v>5</v>
      </c>
      <c r="G408" s="115">
        <f t="shared" si="20"/>
        <v>2</v>
      </c>
      <c r="H408" s="41" t="str">
        <f>INDEX('0.시간표데이터'!$E$52:$AR$78,QUOTIENT(ROW(A402)-1,40)+1,MOD(ROW(A402)-1,40)+1)</f>
        <v>미술</v>
      </c>
      <c r="I408" s="161"/>
      <c r="J408" s="26"/>
      <c r="K408" s="180"/>
      <c r="L408" s="180"/>
      <c r="M408" s="10"/>
      <c r="N408" s="10"/>
      <c r="O408" s="10"/>
      <c r="P408" s="10"/>
      <c r="Q408" s="164"/>
      <c r="R408" s="110"/>
    </row>
    <row r="409" spans="1:18" ht="13.5" customHeight="1">
      <c r="A409" s="90">
        <v>403</v>
      </c>
      <c r="B409" s="24">
        <f>DATE('1.연간시수표'!$U$44,'1.연간시수표'!$X$44,'1.연간시수표'!$Z$44)+QUOTIENT(ROW(A403)-1,8)+(QUOTIENT(ROW(A403)-1,40)*2)</f>
        <v>44869</v>
      </c>
      <c r="C409" s="24" t="str">
        <f t="shared" si="18"/>
        <v>금</v>
      </c>
      <c r="D409" s="116" t="str">
        <f t="shared" si="19"/>
        <v>3교시</v>
      </c>
      <c r="E409" s="68">
        <f>COUNTIF($H$7:$H409,$H409)</f>
        <v>14</v>
      </c>
      <c r="F409" s="67">
        <f>'1.연간시수표'!$AL$33</f>
        <v>5</v>
      </c>
      <c r="G409" s="115">
        <f t="shared" si="20"/>
        <v>2</v>
      </c>
      <c r="H409" s="41" t="str">
        <f>INDEX('0.시간표데이터'!$E$52:$AR$78,QUOTIENT(ROW(A403)-1,40)+1,MOD(ROW(A403)-1,40)+1)</f>
        <v>미술</v>
      </c>
      <c r="I409" s="77"/>
      <c r="J409" s="26"/>
      <c r="K409" s="180"/>
      <c r="L409" s="180"/>
      <c r="M409" s="10"/>
      <c r="N409" s="10"/>
      <c r="O409" s="10"/>
      <c r="P409" s="10"/>
      <c r="Q409" s="164"/>
      <c r="R409" s="110"/>
    </row>
    <row r="410" spans="1:18" ht="13.5" customHeight="1">
      <c r="A410" s="90">
        <v>404</v>
      </c>
      <c r="B410" s="24">
        <f>DATE('1.연간시수표'!$U$44,'1.연간시수표'!$X$44,'1.연간시수표'!$Z$44)+QUOTIENT(ROW(A404)-1,8)+(QUOTIENT(ROW(A404)-1,40)*2)</f>
        <v>44869</v>
      </c>
      <c r="C410" s="24" t="str">
        <f t="shared" si="18"/>
        <v>금</v>
      </c>
      <c r="D410" s="116" t="str">
        <f t="shared" si="19"/>
        <v>4교시</v>
      </c>
      <c r="E410" s="68">
        <f>COUNTIF($H$7:$H410,$H410)</f>
        <v>26</v>
      </c>
      <c r="F410" s="67">
        <f>'1.연간시수표'!$AL$33</f>
        <v>5</v>
      </c>
      <c r="G410" s="115">
        <f t="shared" si="20"/>
        <v>2</v>
      </c>
      <c r="H410" s="41" t="str">
        <f>INDEX('0.시간표데이터'!$E$52:$AR$78,QUOTIENT(ROW(A404)-1,40)+1,MOD(ROW(A404)-1,40)+1)</f>
        <v>영어</v>
      </c>
      <c r="I410" s="77"/>
      <c r="J410" s="26"/>
      <c r="K410" s="180"/>
      <c r="L410" s="180"/>
      <c r="M410" s="10"/>
      <c r="N410" s="10"/>
      <c r="O410" s="10"/>
      <c r="P410" s="10"/>
      <c r="Q410" s="164"/>
      <c r="R410" s="110"/>
    </row>
    <row r="411" spans="1:18" ht="13.5" customHeight="1">
      <c r="A411" s="90">
        <v>405</v>
      </c>
      <c r="B411" s="24">
        <f>DATE('1.연간시수표'!$U$44,'1.연간시수표'!$X$44,'1.연간시수표'!$Z$44)+QUOTIENT(ROW(A405)-1,8)+(QUOTIENT(ROW(A405)-1,40)*2)</f>
        <v>44869</v>
      </c>
      <c r="C411" s="24" t="str">
        <f t="shared" si="18"/>
        <v>금</v>
      </c>
      <c r="D411" s="116" t="str">
        <f t="shared" si="19"/>
        <v>5교시</v>
      </c>
      <c r="E411" s="68">
        <f>COUNTIF($H$7:$H411,$H411)</f>
        <v>29</v>
      </c>
      <c r="F411" s="67">
        <f>'1.연간시수표'!$AL$33</f>
        <v>5</v>
      </c>
      <c r="G411" s="115">
        <f t="shared" si="20"/>
        <v>2</v>
      </c>
      <c r="H411" s="41" t="str">
        <f>INDEX('0.시간표데이터'!$E$52:$AR$78,QUOTIENT(ROW(A405)-1,40)+1,MOD(ROW(A405)-1,40)+1)</f>
        <v>수학</v>
      </c>
      <c r="I411" s="77"/>
      <c r="J411" s="26"/>
      <c r="K411" s="180"/>
      <c r="L411" s="180"/>
      <c r="M411" s="10"/>
      <c r="N411" s="10"/>
      <c r="O411" s="10"/>
      <c r="P411" s="10"/>
      <c r="Q411" s="164"/>
      <c r="R411" s="110"/>
    </row>
    <row r="412" spans="1:18" ht="13.5" customHeight="1">
      <c r="A412" s="90">
        <v>406</v>
      </c>
      <c r="B412" s="24">
        <f>DATE('1.연간시수표'!$U$44,'1.연간시수표'!$X$44,'1.연간시수표'!$Z$44)+QUOTIENT(ROW(A406)-1,8)+(QUOTIENT(ROW(A406)-1,40)*2)</f>
        <v>44869</v>
      </c>
      <c r="C412" s="24" t="str">
        <f t="shared" si="18"/>
        <v>금</v>
      </c>
      <c r="D412" s="116" t="str">
        <f t="shared" si="19"/>
        <v>6교시</v>
      </c>
      <c r="E412" s="68">
        <f>COUNTIF($H$7:$H412,$H412)</f>
        <v>13</v>
      </c>
      <c r="F412" s="67">
        <f>'1.연간시수표'!$AL$33</f>
        <v>5</v>
      </c>
      <c r="G412" s="115">
        <f t="shared" si="20"/>
        <v>2</v>
      </c>
      <c r="H412" s="41" t="str">
        <f>INDEX('0.시간표데이터'!$E$52:$AR$78,QUOTIENT(ROW(A406)-1,40)+1,MOD(ROW(A406)-1,40)+1)</f>
        <v>자율활동</v>
      </c>
      <c r="I412" s="77"/>
      <c r="J412" s="26"/>
      <c r="K412" s="167"/>
      <c r="L412" s="167"/>
      <c r="M412" s="166"/>
      <c r="N412" s="166"/>
      <c r="O412" s="166"/>
      <c r="P412" s="166"/>
      <c r="Q412" s="167"/>
      <c r="R412" s="111"/>
    </row>
    <row r="413" spans="1:18" ht="13.5" customHeight="1">
      <c r="A413" s="90">
        <v>407</v>
      </c>
      <c r="B413" s="24">
        <f>DATE('1.연간시수표'!$U$44,'1.연간시수표'!$X$44,'1.연간시수표'!$Z$44)+QUOTIENT(ROW(A407)-1,8)+(QUOTIENT(ROW(A407)-1,40)*2)</f>
        <v>44869</v>
      </c>
      <c r="C413" s="24" t="str">
        <f t="shared" si="18"/>
        <v>금</v>
      </c>
      <c r="D413" s="116" t="str">
        <f t="shared" si="19"/>
        <v>7교시</v>
      </c>
      <c r="E413" s="68">
        <f>COUNTIF($H$7:$H413,$H413)</f>
        <v>152</v>
      </c>
      <c r="F413" s="67">
        <f>'1.연간시수표'!$AL$33</f>
        <v>5</v>
      </c>
      <c r="G413" s="115">
        <f t="shared" si="20"/>
        <v>2</v>
      </c>
      <c r="H413" s="41" t="str">
        <f>INDEX('0.시간표데이터'!$E$52:$AR$78,QUOTIENT(ROW(A407)-1,40)+1,MOD(ROW(A407)-1,40)+1)</f>
        <v>_</v>
      </c>
      <c r="I413" s="76"/>
      <c r="J413" s="26"/>
      <c r="K413" s="167"/>
      <c r="L413" s="167"/>
      <c r="M413" s="166"/>
      <c r="N413" s="166"/>
      <c r="O413" s="166"/>
      <c r="P413" s="166"/>
      <c r="Q413" s="167"/>
      <c r="R413" s="111"/>
    </row>
    <row r="414" spans="1:18" ht="13.5" customHeight="1">
      <c r="A414" s="90">
        <v>408</v>
      </c>
      <c r="B414" s="24">
        <f>DATE('1.연간시수표'!$U$44,'1.연간시수표'!$X$44,'1.연간시수표'!$Z$44)+QUOTIENT(ROW(A408)-1,8)+(QUOTIENT(ROW(A408)-1,40)*2)</f>
        <v>44869</v>
      </c>
      <c r="C414" s="24" t="str">
        <f t="shared" si="18"/>
        <v>금</v>
      </c>
      <c r="D414" s="116" t="str">
        <f t="shared" si="19"/>
        <v>8교시</v>
      </c>
      <c r="E414" s="68">
        <f>COUNTIF($H$7:$H414,$H414)</f>
        <v>153</v>
      </c>
      <c r="F414" s="67">
        <f>'1.연간시수표'!$AL$33</f>
        <v>5</v>
      </c>
      <c r="G414" s="115">
        <f t="shared" si="20"/>
        <v>2</v>
      </c>
      <c r="H414" s="41" t="str">
        <f>INDEX('0.시간표데이터'!$E$52:$AR$78,QUOTIENT(ROW(A408)-1,40)+1,MOD(ROW(A408)-1,40)+1)</f>
        <v>_</v>
      </c>
      <c r="I414" s="76"/>
      <c r="J414" s="26"/>
      <c r="K414" s="167"/>
      <c r="L414" s="167"/>
      <c r="M414" s="166"/>
      <c r="N414" s="166"/>
      <c r="O414" s="166"/>
      <c r="P414" s="166"/>
      <c r="Q414" s="167"/>
      <c r="R414" s="111"/>
    </row>
    <row r="415" spans="1:18" ht="13.5" customHeight="1">
      <c r="A415" s="90">
        <v>409</v>
      </c>
      <c r="B415" s="24">
        <f>DATE('1.연간시수표'!$U$44,'1.연간시수표'!$X$44,'1.연간시수표'!$Z$44)+QUOTIENT(ROW(A409)-1,8)+(QUOTIENT(ROW(A409)-1,40)*2)</f>
        <v>44870</v>
      </c>
      <c r="C415" s="24" t="b">
        <f t="shared" si="18"/>
        <v>0</v>
      </c>
      <c r="D415" s="116" t="str">
        <f t="shared" si="19"/>
        <v>1교시</v>
      </c>
      <c r="E415" s="68">
        <f>COUNTIF($H$7:$H415,$H415)</f>
        <v>14</v>
      </c>
      <c r="F415" s="67">
        <f>'1.연간시수표'!$AL$33</f>
        <v>5</v>
      </c>
      <c r="G415" s="115">
        <f t="shared" si="20"/>
        <v>2</v>
      </c>
      <c r="H415" s="41" t="str">
        <f>INDEX('0.시간표데이터'!$E$52:$AR$78,QUOTIENT(ROW(A409)-1,40)+1,MOD(ROW(A409)-1,40)+1)</f>
        <v>자율활동</v>
      </c>
      <c r="I415" s="77"/>
      <c r="J415" s="26"/>
      <c r="K415" s="180"/>
      <c r="L415" s="180"/>
      <c r="M415" s="10"/>
      <c r="N415" s="10"/>
      <c r="O415" s="10"/>
      <c r="P415" s="10"/>
      <c r="Q415" s="164"/>
      <c r="R415" s="110"/>
    </row>
    <row r="416" spans="1:18" ht="13.5" customHeight="1">
      <c r="A416" s="90">
        <v>410</v>
      </c>
      <c r="B416" s="24">
        <f>DATE('1.연간시수표'!$U$44,'1.연간시수표'!$X$44,'1.연간시수표'!$Z$44)+QUOTIENT(ROW(A410)-1,8)+(QUOTIENT(ROW(A410)-1,40)*2)</f>
        <v>44870</v>
      </c>
      <c r="C416" s="24" t="b">
        <f t="shared" si="18"/>
        <v>0</v>
      </c>
      <c r="D416" s="116" t="str">
        <f t="shared" si="19"/>
        <v>2교시</v>
      </c>
      <c r="E416" s="68">
        <f>COUNTIF($H$7:$H416,$H416)</f>
        <v>15</v>
      </c>
      <c r="F416" s="67">
        <f>'1.연간시수표'!$AL$33</f>
        <v>5</v>
      </c>
      <c r="G416" s="115">
        <f t="shared" si="20"/>
        <v>2</v>
      </c>
      <c r="H416" s="41" t="str">
        <f>INDEX('0.시간표데이터'!$E$52:$AR$78,QUOTIENT(ROW(A410)-1,40)+1,MOD(ROW(A410)-1,40)+1)</f>
        <v>자율활동</v>
      </c>
      <c r="I416" s="161"/>
      <c r="J416" s="26"/>
      <c r="K416" s="180"/>
      <c r="L416" s="180"/>
      <c r="M416" s="10"/>
      <c r="N416" s="10"/>
      <c r="O416" s="10"/>
      <c r="P416" s="10"/>
      <c r="Q416" s="164"/>
      <c r="R416" s="110"/>
    </row>
    <row r="417" spans="1:18" ht="13.5" customHeight="1">
      <c r="A417" s="90">
        <v>411</v>
      </c>
      <c r="B417" s="24">
        <f>DATE('1.연간시수표'!$U$44,'1.연간시수표'!$X$44,'1.연간시수표'!$Z$44)+QUOTIENT(ROW(A411)-1,8)+(QUOTIENT(ROW(A411)-1,40)*2)</f>
        <v>44870</v>
      </c>
      <c r="C417" s="24" t="b">
        <f t="shared" si="18"/>
        <v>0</v>
      </c>
      <c r="D417" s="116" t="str">
        <f t="shared" si="19"/>
        <v>3교시</v>
      </c>
      <c r="E417" s="68">
        <f>COUNTIF($H$7:$H417,$H417)</f>
        <v>28</v>
      </c>
      <c r="F417" s="67">
        <f>'1.연간시수표'!$AL$33</f>
        <v>5</v>
      </c>
      <c r="G417" s="115">
        <f t="shared" si="20"/>
        <v>2</v>
      </c>
      <c r="H417" s="41" t="str">
        <f>INDEX('0.시간표데이터'!$E$52:$AR$78,QUOTIENT(ROW(A411)-1,40)+1,MOD(ROW(A411)-1,40)+1)</f>
        <v>사회</v>
      </c>
      <c r="I417" s="77"/>
      <c r="J417" s="26"/>
      <c r="K417" s="164"/>
      <c r="L417" s="164"/>
      <c r="M417" s="10"/>
      <c r="N417" s="10"/>
      <c r="O417" s="10"/>
      <c r="P417" s="10"/>
      <c r="Q417" s="164"/>
      <c r="R417" s="110"/>
    </row>
    <row r="418" spans="1:18" ht="13.5" customHeight="1">
      <c r="A418" s="90">
        <v>412</v>
      </c>
      <c r="B418" s="24">
        <f>DATE('1.연간시수표'!$U$44,'1.연간시수표'!$X$44,'1.연간시수표'!$Z$44)+QUOTIENT(ROW(A412)-1,8)+(QUOTIENT(ROW(A412)-1,40)*2)</f>
        <v>44870</v>
      </c>
      <c r="C418" s="24" t="b">
        <f t="shared" si="18"/>
        <v>0</v>
      </c>
      <c r="D418" s="116" t="str">
        <f t="shared" si="19"/>
        <v>4교시</v>
      </c>
      <c r="E418" s="68">
        <f>COUNTIF($H$7:$H418,$H418)</f>
        <v>30</v>
      </c>
      <c r="F418" s="67">
        <f>'1.연간시수표'!$AL$33</f>
        <v>5</v>
      </c>
      <c r="G418" s="115">
        <f t="shared" si="20"/>
        <v>2</v>
      </c>
      <c r="H418" s="41" t="str">
        <f>INDEX('0.시간표데이터'!$E$52:$AR$78,QUOTIENT(ROW(A412)-1,40)+1,MOD(ROW(A412)-1,40)+1)</f>
        <v>수학</v>
      </c>
      <c r="I418" s="77"/>
      <c r="J418" s="26"/>
      <c r="K418" s="180"/>
      <c r="L418" s="180"/>
      <c r="M418" s="10"/>
      <c r="N418" s="10"/>
      <c r="O418" s="10"/>
      <c r="P418" s="10"/>
      <c r="Q418" s="164"/>
      <c r="R418" s="110"/>
    </row>
    <row r="419" spans="1:18" ht="13.5" customHeight="1">
      <c r="A419" s="90">
        <v>413</v>
      </c>
      <c r="B419" s="24">
        <f>DATE('1.연간시수표'!$U$44,'1.연간시수표'!$X$44,'1.연간시수표'!$Z$44)+QUOTIENT(ROW(A413)-1,8)+(QUOTIENT(ROW(A413)-1,40)*2)</f>
        <v>44870</v>
      </c>
      <c r="C419" s="24" t="b">
        <f t="shared" si="18"/>
        <v>0</v>
      </c>
      <c r="D419" s="116" t="str">
        <f t="shared" si="19"/>
        <v>5교시</v>
      </c>
      <c r="E419" s="68">
        <f>COUNTIF($H$7:$H419,$H419)</f>
        <v>25</v>
      </c>
      <c r="F419" s="67">
        <f>'1.연간시수표'!$AL$33</f>
        <v>5</v>
      </c>
      <c r="G419" s="115">
        <f t="shared" si="20"/>
        <v>2</v>
      </c>
      <c r="H419" s="41" t="str">
        <f>INDEX('0.시간표데이터'!$E$52:$AR$78,QUOTIENT(ROW(A413)-1,40)+1,MOD(ROW(A413)-1,40)+1)</f>
        <v>과학</v>
      </c>
      <c r="I419" s="77"/>
      <c r="J419" s="26"/>
      <c r="K419" s="180"/>
      <c r="L419" s="180"/>
      <c r="M419" s="10"/>
      <c r="N419" s="10"/>
      <c r="O419" s="10"/>
      <c r="P419" s="10"/>
      <c r="Q419" s="164"/>
      <c r="R419" s="110"/>
    </row>
    <row r="420" spans="1:18" ht="13.5" customHeight="1">
      <c r="A420" s="90">
        <v>414</v>
      </c>
      <c r="B420" s="24">
        <f>DATE('1.연간시수표'!$U$44,'1.연간시수표'!$X$44,'1.연간시수표'!$Z$44)+QUOTIENT(ROW(A414)-1,8)+(QUOTIENT(ROW(A414)-1,40)*2)</f>
        <v>44870</v>
      </c>
      <c r="C420" s="24" t="b">
        <f t="shared" si="18"/>
        <v>0</v>
      </c>
      <c r="D420" s="116" t="str">
        <f t="shared" si="19"/>
        <v>6교시</v>
      </c>
      <c r="E420" s="68">
        <f>COUNTIF($H$7:$H420,$H420)</f>
        <v>19</v>
      </c>
      <c r="F420" s="67">
        <f>'1.연간시수표'!$AL$33</f>
        <v>5</v>
      </c>
      <c r="G420" s="115">
        <f t="shared" si="20"/>
        <v>2</v>
      </c>
      <c r="H420" s="41" t="str">
        <f>INDEX('0.시간표데이터'!$E$52:$AR$78,QUOTIENT(ROW(A414)-1,40)+1,MOD(ROW(A414)-1,40)+1)</f>
        <v>실과</v>
      </c>
      <c r="I420" s="77"/>
      <c r="J420" s="26"/>
      <c r="K420" s="167"/>
      <c r="L420" s="167"/>
      <c r="M420" s="166"/>
      <c r="N420" s="166"/>
      <c r="O420" s="166"/>
      <c r="P420" s="166"/>
      <c r="Q420" s="167"/>
      <c r="R420" s="111"/>
    </row>
    <row r="421" spans="1:18" ht="13.5" customHeight="1">
      <c r="A421" s="90">
        <v>415</v>
      </c>
      <c r="B421" s="24">
        <f>DATE('1.연간시수표'!$U$44,'1.연간시수표'!$X$44,'1.연간시수표'!$Z$44)+QUOTIENT(ROW(A415)-1,8)+(QUOTIENT(ROW(A415)-1,40)*2)</f>
        <v>44870</v>
      </c>
      <c r="C421" s="24" t="b">
        <f t="shared" si="18"/>
        <v>0</v>
      </c>
      <c r="D421" s="116" t="str">
        <f t="shared" si="19"/>
        <v>7교시</v>
      </c>
      <c r="E421" s="68">
        <f>COUNTIF($H$7:$H421,$H421)</f>
        <v>154</v>
      </c>
      <c r="F421" s="67">
        <f>'1.연간시수표'!$AL$33</f>
        <v>5</v>
      </c>
      <c r="G421" s="115">
        <f t="shared" si="20"/>
        <v>2</v>
      </c>
      <c r="H421" s="41" t="str">
        <f>INDEX('0.시간표데이터'!$E$52:$AR$78,QUOTIENT(ROW(A415)-1,40)+1,MOD(ROW(A415)-1,40)+1)</f>
        <v>_</v>
      </c>
      <c r="I421" s="76"/>
      <c r="J421" s="26"/>
      <c r="K421" s="167"/>
      <c r="L421" s="167"/>
      <c r="M421" s="166"/>
      <c r="N421" s="166"/>
      <c r="O421" s="166"/>
      <c r="P421" s="166"/>
      <c r="Q421" s="167"/>
      <c r="R421" s="111"/>
    </row>
    <row r="422" spans="1:18" ht="13.5" customHeight="1">
      <c r="A422" s="90">
        <v>416</v>
      </c>
      <c r="B422" s="24">
        <f>DATE('1.연간시수표'!$U$44,'1.연간시수표'!$X$44,'1.연간시수표'!$Z$44)+QUOTIENT(ROW(A416)-1,8)+(QUOTIENT(ROW(A416)-1,40)*2)</f>
        <v>44870</v>
      </c>
      <c r="C422" s="24" t="b">
        <f t="shared" si="18"/>
        <v>0</v>
      </c>
      <c r="D422" s="116" t="str">
        <f t="shared" si="19"/>
        <v>8교시</v>
      </c>
      <c r="E422" s="68">
        <f>COUNTIF($H$7:$H422,$H422)</f>
        <v>155</v>
      </c>
      <c r="F422" s="67">
        <f>'1.연간시수표'!$AL$33</f>
        <v>5</v>
      </c>
      <c r="G422" s="115">
        <f t="shared" si="20"/>
        <v>2</v>
      </c>
      <c r="H422" s="41" t="str">
        <f>INDEX('0.시간표데이터'!$E$52:$AR$78,QUOTIENT(ROW(A416)-1,40)+1,MOD(ROW(A416)-1,40)+1)</f>
        <v>_</v>
      </c>
      <c r="I422" s="76"/>
      <c r="J422" s="26"/>
      <c r="K422" s="167"/>
      <c r="L422" s="167"/>
      <c r="M422" s="166"/>
      <c r="N422" s="166"/>
      <c r="O422" s="166"/>
      <c r="P422" s="166"/>
      <c r="Q422" s="167"/>
      <c r="R422" s="111"/>
    </row>
    <row r="423" spans="1:18" ht="13.5" customHeight="1">
      <c r="A423" s="90">
        <v>417</v>
      </c>
      <c r="B423" s="24">
        <f>DATE('1.연간시수표'!$U$44,'1.연간시수표'!$X$44,'1.연간시수표'!$Z$44)+QUOTIENT(ROW(A417)-1,8)+(QUOTIENT(ROW(A417)-1,40)*2)</f>
        <v>44871</v>
      </c>
      <c r="C423" s="24" t="b">
        <f t="shared" si="18"/>
        <v>0</v>
      </c>
      <c r="D423" s="116" t="str">
        <f t="shared" si="19"/>
        <v>1교시</v>
      </c>
      <c r="E423" s="68">
        <f>COUNTIF($H$7:$H423,$H423)</f>
        <v>27</v>
      </c>
      <c r="F423" s="67">
        <f>'1.연간시수표'!$AL$33</f>
        <v>5</v>
      </c>
      <c r="G423" s="115">
        <f t="shared" si="20"/>
        <v>2</v>
      </c>
      <c r="H423" s="41" t="str">
        <f>INDEX('0.시간표데이터'!$E$52:$AR$78,QUOTIENT(ROW(A417)-1,40)+1,MOD(ROW(A417)-1,40)+1)</f>
        <v>영어</v>
      </c>
      <c r="I423" s="77"/>
      <c r="J423" s="26"/>
      <c r="K423" s="180"/>
      <c r="L423" s="180"/>
      <c r="M423" s="10"/>
      <c r="N423" s="10"/>
      <c r="O423" s="10"/>
      <c r="P423" s="10"/>
      <c r="Q423" s="164"/>
      <c r="R423" s="110"/>
    </row>
    <row r="424" spans="1:18" ht="13.5" customHeight="1">
      <c r="A424" s="90">
        <v>418</v>
      </c>
      <c r="B424" s="24">
        <f>DATE('1.연간시수표'!$U$44,'1.연간시수표'!$X$44,'1.연간시수표'!$Z$44)+QUOTIENT(ROW(A418)-1,8)+(QUOTIENT(ROW(A418)-1,40)*2)</f>
        <v>44871</v>
      </c>
      <c r="C424" s="24" t="b">
        <f t="shared" si="18"/>
        <v>0</v>
      </c>
      <c r="D424" s="116" t="str">
        <f t="shared" si="19"/>
        <v>2교시</v>
      </c>
      <c r="E424" s="68">
        <f>COUNTIF($H$7:$H424,$H424)</f>
        <v>26</v>
      </c>
      <c r="F424" s="67">
        <f>'1.연간시수표'!$AL$33</f>
        <v>5</v>
      </c>
      <c r="G424" s="115">
        <f t="shared" si="20"/>
        <v>2</v>
      </c>
      <c r="H424" s="41" t="str">
        <f>INDEX('0.시간표데이터'!$E$52:$AR$78,QUOTIENT(ROW(A418)-1,40)+1,MOD(ROW(A418)-1,40)+1)</f>
        <v>과학</v>
      </c>
      <c r="I424" s="77"/>
      <c r="J424" s="26"/>
      <c r="K424" s="180"/>
      <c r="L424" s="180"/>
      <c r="M424" s="10"/>
      <c r="N424" s="10"/>
      <c r="O424" s="10"/>
      <c r="P424" s="10"/>
      <c r="Q424" s="164"/>
      <c r="R424" s="110"/>
    </row>
    <row r="425" spans="1:18" ht="13.5" customHeight="1">
      <c r="A425" s="90">
        <v>419</v>
      </c>
      <c r="B425" s="24">
        <f>DATE('1.연간시수표'!$U$44,'1.연간시수표'!$X$44,'1.연간시수표'!$Z$44)+QUOTIENT(ROW(A419)-1,8)+(QUOTIENT(ROW(A419)-1,40)*2)</f>
        <v>44871</v>
      </c>
      <c r="C425" s="24" t="b">
        <f t="shared" si="18"/>
        <v>0</v>
      </c>
      <c r="D425" s="116" t="str">
        <f t="shared" si="19"/>
        <v>3교시</v>
      </c>
      <c r="E425" s="68">
        <f>COUNTIF($H$7:$H425,$H425)</f>
        <v>19</v>
      </c>
      <c r="F425" s="67">
        <f>'1.연간시수표'!$AL$33</f>
        <v>5</v>
      </c>
      <c r="G425" s="115">
        <f t="shared" si="20"/>
        <v>2</v>
      </c>
      <c r="H425" s="41" t="str">
        <f>INDEX('0.시간표데이터'!$E$52:$AR$78,QUOTIENT(ROW(A419)-1,40)+1,MOD(ROW(A419)-1,40)+1)</f>
        <v>체육</v>
      </c>
      <c r="I425" s="77"/>
      <c r="J425" s="26"/>
      <c r="K425" s="180"/>
      <c r="L425" s="180"/>
      <c r="M425" s="10"/>
      <c r="N425" s="10"/>
      <c r="O425" s="10"/>
      <c r="P425" s="10"/>
      <c r="Q425" s="164"/>
      <c r="R425" s="110"/>
    </row>
    <row r="426" spans="1:18" ht="13.5" customHeight="1">
      <c r="A426" s="90">
        <v>420</v>
      </c>
      <c r="B426" s="24">
        <f>DATE('1.연간시수표'!$U$44,'1.연간시수표'!$X$44,'1.연간시수표'!$Z$44)+QUOTIENT(ROW(A420)-1,8)+(QUOTIENT(ROW(A420)-1,40)*2)</f>
        <v>44871</v>
      </c>
      <c r="C426" s="24" t="b">
        <f t="shared" si="18"/>
        <v>0</v>
      </c>
      <c r="D426" s="116" t="str">
        <f t="shared" si="19"/>
        <v>4교시</v>
      </c>
      <c r="E426" s="68">
        <f>COUNTIF($H$7:$H426,$H426)</f>
        <v>16</v>
      </c>
      <c r="F426" s="67">
        <f>'1.연간시수표'!$AL$33</f>
        <v>5</v>
      </c>
      <c r="G426" s="115">
        <f t="shared" si="20"/>
        <v>2</v>
      </c>
      <c r="H426" s="41" t="str">
        <f>INDEX('0.시간표데이터'!$E$52:$AR$78,QUOTIENT(ROW(A420)-1,40)+1,MOD(ROW(A420)-1,40)+1)</f>
        <v>음악</v>
      </c>
      <c r="I426" s="77"/>
      <c r="J426" s="26"/>
      <c r="K426" s="180"/>
      <c r="L426" s="180"/>
      <c r="M426" s="10"/>
      <c r="N426" s="10"/>
      <c r="O426" s="10"/>
      <c r="P426" s="10"/>
      <c r="Q426" s="164"/>
      <c r="R426" s="110"/>
    </row>
    <row r="427" spans="1:18">
      <c r="A427" s="90">
        <v>421</v>
      </c>
      <c r="B427" s="24">
        <f>DATE('1.연간시수표'!$U$44,'1.연간시수표'!$X$44,'1.연간시수표'!$Z$44)+QUOTIENT(ROW(A421)-1,8)+(QUOTIENT(ROW(A421)-1,40)*2)</f>
        <v>44871</v>
      </c>
      <c r="C427" s="24" t="b">
        <f t="shared" si="18"/>
        <v>0</v>
      </c>
      <c r="D427" s="116" t="str">
        <f t="shared" si="19"/>
        <v>5교시</v>
      </c>
      <c r="E427" s="68">
        <f>COUNTIF($H$7:$H427,$H427)</f>
        <v>10</v>
      </c>
      <c r="F427" s="67">
        <f>'1.연간시수표'!$AL$33</f>
        <v>5</v>
      </c>
      <c r="G427" s="115">
        <f t="shared" si="20"/>
        <v>2</v>
      </c>
      <c r="H427" s="41" t="str">
        <f>INDEX('0.시간표데이터'!$E$52:$AR$78,QUOTIENT(ROW(A421)-1,40)+1,MOD(ROW(A421)-1,40)+1)</f>
        <v>도덕</v>
      </c>
      <c r="I427" s="77"/>
      <c r="J427" s="26"/>
      <c r="K427" s="164"/>
      <c r="L427" s="164"/>
      <c r="M427" s="10"/>
      <c r="N427" s="10"/>
      <c r="O427" s="10"/>
      <c r="P427" s="10"/>
      <c r="Q427" s="164"/>
      <c r="R427" s="110"/>
    </row>
    <row r="428" spans="1:18">
      <c r="A428" s="90">
        <v>422</v>
      </c>
      <c r="B428" s="24">
        <f>DATE('1.연간시수표'!$U$44,'1.연간시수표'!$X$44,'1.연간시수표'!$Z$44)+QUOTIENT(ROW(A422)-1,8)+(QUOTIENT(ROW(A422)-1,40)*2)</f>
        <v>44871</v>
      </c>
      <c r="C428" s="24" t="b">
        <f t="shared" si="18"/>
        <v>0</v>
      </c>
      <c r="D428" s="116" t="str">
        <f t="shared" si="19"/>
        <v>6교시</v>
      </c>
      <c r="E428" s="68">
        <f>COUNTIF($H$7:$H428,$H428)</f>
        <v>156</v>
      </c>
      <c r="F428" s="67">
        <f>'1.연간시수표'!$AL$33</f>
        <v>5</v>
      </c>
      <c r="G428" s="115">
        <f t="shared" si="20"/>
        <v>2</v>
      </c>
      <c r="H428" s="41" t="str">
        <f>INDEX('0.시간표데이터'!$E$52:$AR$78,QUOTIENT(ROW(A422)-1,40)+1,MOD(ROW(A422)-1,40)+1)</f>
        <v>_</v>
      </c>
      <c r="I428" s="77"/>
      <c r="J428" s="26"/>
      <c r="K428" s="167"/>
      <c r="L428" s="167"/>
      <c r="M428" s="166"/>
      <c r="N428" s="166"/>
      <c r="O428" s="166"/>
      <c r="P428" s="166"/>
      <c r="Q428" s="167"/>
      <c r="R428" s="111"/>
    </row>
    <row r="429" spans="1:18" ht="13.5" customHeight="1">
      <c r="A429" s="90">
        <v>423</v>
      </c>
      <c r="B429" s="24">
        <f>DATE('1.연간시수표'!$U$44,'1.연간시수표'!$X$44,'1.연간시수표'!$Z$44)+QUOTIENT(ROW(A423)-1,8)+(QUOTIENT(ROW(A423)-1,40)*2)</f>
        <v>44871</v>
      </c>
      <c r="C429" s="24" t="b">
        <f t="shared" si="18"/>
        <v>0</v>
      </c>
      <c r="D429" s="116" t="str">
        <f t="shared" si="19"/>
        <v>7교시</v>
      </c>
      <c r="E429" s="68">
        <f>COUNTIF($H$7:$H429,$H429)</f>
        <v>157</v>
      </c>
      <c r="F429" s="67">
        <f>'1.연간시수표'!$AL$33</f>
        <v>5</v>
      </c>
      <c r="G429" s="115">
        <f t="shared" si="20"/>
        <v>2</v>
      </c>
      <c r="H429" s="41" t="str">
        <f>INDEX('0.시간표데이터'!$E$52:$AR$78,QUOTIENT(ROW(A423)-1,40)+1,MOD(ROW(A423)-1,40)+1)</f>
        <v>_</v>
      </c>
      <c r="I429" s="76"/>
      <c r="J429" s="26"/>
      <c r="K429" s="167"/>
      <c r="L429" s="167"/>
      <c r="M429" s="166"/>
      <c r="N429" s="166"/>
      <c r="O429" s="166"/>
      <c r="P429" s="166"/>
      <c r="Q429" s="167"/>
      <c r="R429" s="111"/>
    </row>
    <row r="430" spans="1:18" ht="13.5" customHeight="1">
      <c r="A430" s="90">
        <v>424</v>
      </c>
      <c r="B430" s="24">
        <f>DATE('1.연간시수표'!$U$44,'1.연간시수표'!$X$44,'1.연간시수표'!$Z$44)+QUOTIENT(ROW(A424)-1,8)+(QUOTIENT(ROW(A424)-1,40)*2)</f>
        <v>44871</v>
      </c>
      <c r="C430" s="24" t="b">
        <f t="shared" si="18"/>
        <v>0</v>
      </c>
      <c r="D430" s="116" t="str">
        <f t="shared" si="19"/>
        <v>8교시</v>
      </c>
      <c r="E430" s="68">
        <f>COUNTIF($H$7:$H430,$H430)</f>
        <v>158</v>
      </c>
      <c r="F430" s="67">
        <f>'1.연간시수표'!$AL$33</f>
        <v>5</v>
      </c>
      <c r="G430" s="115">
        <f t="shared" si="20"/>
        <v>2</v>
      </c>
      <c r="H430" s="41" t="str">
        <f>INDEX('0.시간표데이터'!$E$52:$AR$78,QUOTIENT(ROW(A424)-1,40)+1,MOD(ROW(A424)-1,40)+1)</f>
        <v>_</v>
      </c>
      <c r="I430" s="76"/>
      <c r="J430" s="26"/>
      <c r="K430" s="167"/>
      <c r="L430" s="167"/>
      <c r="M430" s="166"/>
      <c r="N430" s="166"/>
      <c r="O430" s="166"/>
      <c r="P430" s="166"/>
      <c r="Q430" s="167"/>
      <c r="R430" s="111"/>
    </row>
    <row r="431" spans="1:18" ht="13.5" customHeight="1">
      <c r="A431" s="90">
        <v>425</v>
      </c>
      <c r="B431" s="24">
        <f>DATE('1.연간시수표'!$U$44,'1.연간시수표'!$X$44,'1.연간시수표'!$Z$44)+QUOTIENT(ROW(A425)-1,8)+(QUOTIENT(ROW(A425)-1,40)*2)</f>
        <v>44872</v>
      </c>
      <c r="C431" s="24" t="str">
        <f t="shared" si="18"/>
        <v>월</v>
      </c>
      <c r="D431" s="116" t="str">
        <f t="shared" si="19"/>
        <v>1교시</v>
      </c>
      <c r="E431" s="68">
        <f>COUNTIF($H$7:$H431,$H431)</f>
        <v>52</v>
      </c>
      <c r="F431" s="67">
        <f>'1.연간시수표'!$AL$33</f>
        <v>5</v>
      </c>
      <c r="G431" s="115">
        <f t="shared" si="20"/>
        <v>2</v>
      </c>
      <c r="H431" s="41" t="str">
        <f>INDEX('0.시간표데이터'!$E$52:$AR$78,QUOTIENT(ROW(A425)-1,40)+1,MOD(ROW(A425)-1,40)+1)</f>
        <v>국어</v>
      </c>
      <c r="I431" s="77"/>
      <c r="J431" s="26"/>
      <c r="K431" s="180"/>
      <c r="L431" s="180"/>
      <c r="M431" s="10"/>
      <c r="N431" s="10"/>
      <c r="O431" s="10"/>
      <c r="P431" s="10"/>
      <c r="Q431" s="164"/>
      <c r="R431" s="110"/>
    </row>
    <row r="432" spans="1:18" ht="13.5" customHeight="1">
      <c r="A432" s="90">
        <v>426</v>
      </c>
      <c r="B432" s="24">
        <f>DATE('1.연간시수표'!$U$44,'1.연간시수표'!$X$44,'1.연간시수표'!$Z$44)+QUOTIENT(ROW(A426)-1,8)+(QUOTIENT(ROW(A426)-1,40)*2)</f>
        <v>44872</v>
      </c>
      <c r="C432" s="24" t="str">
        <f t="shared" si="18"/>
        <v>월</v>
      </c>
      <c r="D432" s="116" t="str">
        <f t="shared" si="19"/>
        <v>2교시</v>
      </c>
      <c r="E432" s="68">
        <f>COUNTIF($H$7:$H432,$H432)</f>
        <v>31</v>
      </c>
      <c r="F432" s="67">
        <f>'1.연간시수표'!$AL$33</f>
        <v>5</v>
      </c>
      <c r="G432" s="115">
        <f t="shared" si="20"/>
        <v>2</v>
      </c>
      <c r="H432" s="41" t="str">
        <f>INDEX('0.시간표데이터'!$E$52:$AR$78,QUOTIENT(ROW(A426)-1,40)+1,MOD(ROW(A426)-1,40)+1)</f>
        <v>수학</v>
      </c>
      <c r="I432" s="161"/>
      <c r="J432" s="26"/>
      <c r="K432" s="180"/>
      <c r="L432" s="180"/>
      <c r="M432" s="10"/>
      <c r="N432" s="10"/>
      <c r="O432" s="10"/>
      <c r="P432" s="10"/>
      <c r="Q432" s="164"/>
      <c r="R432" s="110"/>
    </row>
    <row r="433" spans="1:18" ht="13.5" customHeight="1">
      <c r="A433" s="90">
        <v>427</v>
      </c>
      <c r="B433" s="24">
        <f>DATE('1.연간시수표'!$U$44,'1.연간시수표'!$X$44,'1.연간시수표'!$Z$44)+QUOTIENT(ROW(A427)-1,8)+(QUOTIENT(ROW(A427)-1,40)*2)</f>
        <v>44872</v>
      </c>
      <c r="C433" s="24" t="str">
        <f t="shared" si="18"/>
        <v>월</v>
      </c>
      <c r="D433" s="116" t="str">
        <f t="shared" si="19"/>
        <v>3교시</v>
      </c>
      <c r="E433" s="68">
        <f>COUNTIF($H$7:$H433,$H433)</f>
        <v>29</v>
      </c>
      <c r="F433" s="67">
        <f>'1.연간시수표'!$AL$33</f>
        <v>5</v>
      </c>
      <c r="G433" s="115">
        <f t="shared" si="20"/>
        <v>2</v>
      </c>
      <c r="H433" s="41" t="str">
        <f>INDEX('0.시간표데이터'!$E$52:$AR$78,QUOTIENT(ROW(A427)-1,40)+1,MOD(ROW(A427)-1,40)+1)</f>
        <v>사회</v>
      </c>
      <c r="I433" s="77"/>
      <c r="J433" s="26"/>
      <c r="K433" s="180"/>
      <c r="L433" s="180"/>
      <c r="M433" s="10"/>
      <c r="N433" s="10"/>
      <c r="O433" s="10"/>
      <c r="P433" s="10"/>
      <c r="Q433" s="164"/>
      <c r="R433" s="110"/>
    </row>
    <row r="434" spans="1:18" ht="13.5" customHeight="1">
      <c r="A434" s="90">
        <v>428</v>
      </c>
      <c r="B434" s="24">
        <f>DATE('1.연간시수표'!$U$44,'1.연간시수표'!$X$44,'1.연간시수표'!$Z$44)+QUOTIENT(ROW(A428)-1,8)+(QUOTIENT(ROW(A428)-1,40)*2)</f>
        <v>44872</v>
      </c>
      <c r="C434" s="24" t="str">
        <f t="shared" si="18"/>
        <v>월</v>
      </c>
      <c r="D434" s="116" t="str">
        <f t="shared" si="19"/>
        <v>4교시</v>
      </c>
      <c r="E434" s="68">
        <f>COUNTIF($H$7:$H434,$H434)</f>
        <v>28</v>
      </c>
      <c r="F434" s="67">
        <f>'1.연간시수표'!$AL$33</f>
        <v>5</v>
      </c>
      <c r="G434" s="115">
        <f t="shared" si="20"/>
        <v>2</v>
      </c>
      <c r="H434" s="41" t="str">
        <f>INDEX('0.시간표데이터'!$E$52:$AR$78,QUOTIENT(ROW(A428)-1,40)+1,MOD(ROW(A428)-1,40)+1)</f>
        <v>영어</v>
      </c>
      <c r="I434" s="77"/>
      <c r="J434" s="26"/>
      <c r="K434" s="164"/>
      <c r="L434" s="164"/>
      <c r="M434" s="10"/>
      <c r="N434" s="10"/>
      <c r="O434" s="10"/>
      <c r="P434" s="10"/>
      <c r="Q434" s="164"/>
      <c r="R434" s="110"/>
    </row>
    <row r="435" spans="1:18" ht="13.5" customHeight="1">
      <c r="A435" s="90">
        <v>429</v>
      </c>
      <c r="B435" s="24">
        <f>DATE('1.연간시수표'!$U$44,'1.연간시수표'!$X$44,'1.연간시수표'!$Z$44)+QUOTIENT(ROW(A429)-1,8)+(QUOTIENT(ROW(A429)-1,40)*2)</f>
        <v>44872</v>
      </c>
      <c r="C435" s="24" t="str">
        <f t="shared" si="18"/>
        <v>월</v>
      </c>
      <c r="D435" s="116" t="str">
        <f t="shared" si="19"/>
        <v>5교시</v>
      </c>
      <c r="E435" s="68">
        <f>COUNTIF($H$7:$H435,$H435)</f>
        <v>27</v>
      </c>
      <c r="F435" s="67">
        <f>'1.연간시수표'!$AL$33</f>
        <v>5</v>
      </c>
      <c r="G435" s="115">
        <f t="shared" si="20"/>
        <v>2</v>
      </c>
      <c r="H435" s="41" t="str">
        <f>INDEX('0.시간표데이터'!$E$52:$AR$78,QUOTIENT(ROW(A429)-1,40)+1,MOD(ROW(A429)-1,40)+1)</f>
        <v>과학</v>
      </c>
      <c r="I435" s="77"/>
      <c r="J435" s="26"/>
      <c r="K435" s="180"/>
      <c r="L435" s="180"/>
      <c r="M435" s="10"/>
      <c r="N435" s="10"/>
      <c r="O435" s="10"/>
      <c r="P435" s="10"/>
      <c r="Q435" s="164"/>
      <c r="R435" s="110"/>
    </row>
    <row r="436" spans="1:18" ht="13.5" customHeight="1">
      <c r="A436" s="90">
        <v>430</v>
      </c>
      <c r="B436" s="24">
        <f>DATE('1.연간시수표'!$U$44,'1.연간시수표'!$X$44,'1.연간시수표'!$Z$44)+QUOTIENT(ROW(A430)-1,8)+(QUOTIENT(ROW(A430)-1,40)*2)</f>
        <v>44872</v>
      </c>
      <c r="C436" s="24" t="str">
        <f t="shared" si="18"/>
        <v>월</v>
      </c>
      <c r="D436" s="116" t="str">
        <f t="shared" si="19"/>
        <v>6교시</v>
      </c>
      <c r="E436" s="68">
        <f>COUNTIF($H$7:$H436,$H436)</f>
        <v>17</v>
      </c>
      <c r="F436" s="67">
        <f>'1.연간시수표'!$AL$33</f>
        <v>5</v>
      </c>
      <c r="G436" s="115">
        <f t="shared" si="20"/>
        <v>2</v>
      </c>
      <c r="H436" s="41" t="str">
        <f>INDEX('0.시간표데이터'!$E$52:$AR$78,QUOTIENT(ROW(A430)-1,40)+1,MOD(ROW(A430)-1,40)+1)</f>
        <v>음악</v>
      </c>
      <c r="I436" s="161"/>
      <c r="J436" s="26"/>
      <c r="K436" s="180"/>
      <c r="L436" s="180"/>
      <c r="M436" s="10"/>
      <c r="N436" s="10"/>
      <c r="O436" s="10"/>
      <c r="P436" s="10"/>
      <c r="Q436" s="164"/>
      <c r="R436" s="110"/>
    </row>
    <row r="437" spans="1:18" ht="13.5" customHeight="1">
      <c r="A437" s="90">
        <v>431</v>
      </c>
      <c r="B437" s="24">
        <f>DATE('1.연간시수표'!$U$44,'1.연간시수표'!$X$44,'1.연간시수표'!$Z$44)+QUOTIENT(ROW(A431)-1,8)+(QUOTIENT(ROW(A431)-1,40)*2)</f>
        <v>44872</v>
      </c>
      <c r="C437" s="24" t="str">
        <f t="shared" si="18"/>
        <v>월</v>
      </c>
      <c r="D437" s="116" t="str">
        <f t="shared" si="19"/>
        <v>7교시</v>
      </c>
      <c r="E437" s="68">
        <f>COUNTIF($H$7:$H437,$H437)</f>
        <v>159</v>
      </c>
      <c r="F437" s="67">
        <f>'1.연간시수표'!$AL$33</f>
        <v>5</v>
      </c>
      <c r="G437" s="115">
        <f t="shared" si="20"/>
        <v>2</v>
      </c>
      <c r="H437" s="41" t="str">
        <f>INDEX('0.시간표데이터'!$E$52:$AR$78,QUOTIENT(ROW(A431)-1,40)+1,MOD(ROW(A431)-1,40)+1)</f>
        <v>_</v>
      </c>
      <c r="I437" s="76"/>
      <c r="J437" s="26"/>
      <c r="K437" s="167"/>
      <c r="L437" s="167"/>
      <c r="M437" s="166"/>
      <c r="N437" s="166"/>
      <c r="O437" s="166"/>
      <c r="P437" s="166"/>
      <c r="Q437" s="167"/>
      <c r="R437" s="111"/>
    </row>
    <row r="438" spans="1:18" ht="13.5" customHeight="1">
      <c r="A438" s="90">
        <v>432</v>
      </c>
      <c r="B438" s="24">
        <f>DATE('1.연간시수표'!$U$44,'1.연간시수표'!$X$44,'1.연간시수표'!$Z$44)+QUOTIENT(ROW(A432)-1,8)+(QUOTIENT(ROW(A432)-1,40)*2)</f>
        <v>44872</v>
      </c>
      <c r="C438" s="24" t="str">
        <f t="shared" si="18"/>
        <v>월</v>
      </c>
      <c r="D438" s="116" t="str">
        <f t="shared" si="19"/>
        <v>8교시</v>
      </c>
      <c r="E438" s="68">
        <f>COUNTIF($H$7:$H438,$H438)</f>
        <v>160</v>
      </c>
      <c r="F438" s="67">
        <f>'1.연간시수표'!$AL$33</f>
        <v>5</v>
      </c>
      <c r="G438" s="115">
        <f t="shared" si="20"/>
        <v>2</v>
      </c>
      <c r="H438" s="41" t="str">
        <f>INDEX('0.시간표데이터'!$E$52:$AR$78,QUOTIENT(ROW(A432)-1,40)+1,MOD(ROW(A432)-1,40)+1)</f>
        <v>_</v>
      </c>
      <c r="I438" s="76"/>
      <c r="J438" s="26"/>
      <c r="K438" s="167"/>
      <c r="L438" s="167"/>
      <c r="M438" s="166"/>
      <c r="N438" s="166"/>
      <c r="O438" s="166"/>
      <c r="P438" s="166"/>
      <c r="Q438" s="167"/>
      <c r="R438" s="111"/>
    </row>
    <row r="439" spans="1:18" ht="13.5" customHeight="1">
      <c r="A439" s="90">
        <v>433</v>
      </c>
      <c r="B439" s="24">
        <f>DATE('1.연간시수표'!$U$44,'1.연간시수표'!$X$44,'1.연간시수표'!$Z$44)+QUOTIENT(ROW(A433)-1,8)+(QUOTIENT(ROW(A433)-1,40)*2)</f>
        <v>44873</v>
      </c>
      <c r="C439" s="24" t="str">
        <f t="shared" si="18"/>
        <v>화</v>
      </c>
      <c r="D439" s="116" t="str">
        <f t="shared" si="19"/>
        <v>1교시</v>
      </c>
      <c r="E439" s="68">
        <f>COUNTIF($H$7:$H439,$H439)</f>
        <v>53</v>
      </c>
      <c r="F439" s="67">
        <f>'1.연간시수표'!$AL$33</f>
        <v>5</v>
      </c>
      <c r="G439" s="115">
        <f t="shared" si="20"/>
        <v>2</v>
      </c>
      <c r="H439" s="41" t="str">
        <f>INDEX('0.시간표데이터'!$E$52:$AR$78,QUOTIENT(ROW(A433)-1,40)+1,MOD(ROW(A433)-1,40)+1)</f>
        <v>국어</v>
      </c>
      <c r="I439" s="77"/>
      <c r="J439" s="26"/>
      <c r="K439" s="180"/>
      <c r="L439" s="180"/>
      <c r="M439" s="10"/>
      <c r="N439" s="10"/>
      <c r="O439" s="10"/>
      <c r="P439" s="10"/>
      <c r="Q439" s="164"/>
      <c r="R439" s="110"/>
    </row>
    <row r="440" spans="1:18" ht="13.5" customHeight="1">
      <c r="A440" s="90">
        <v>434</v>
      </c>
      <c r="B440" s="24">
        <f>DATE('1.연간시수표'!$U$44,'1.연간시수표'!$X$44,'1.연간시수표'!$Z$44)+QUOTIENT(ROW(A434)-1,8)+(QUOTIENT(ROW(A434)-1,40)*2)</f>
        <v>44873</v>
      </c>
      <c r="C440" s="24" t="str">
        <f t="shared" si="18"/>
        <v>화</v>
      </c>
      <c r="D440" s="116" t="str">
        <f t="shared" si="19"/>
        <v>2교시</v>
      </c>
      <c r="E440" s="68">
        <f>COUNTIF($H$7:$H440,$H440)</f>
        <v>20</v>
      </c>
      <c r="F440" s="67">
        <f>'1.연간시수표'!$AL$33</f>
        <v>5</v>
      </c>
      <c r="G440" s="115">
        <f t="shared" si="20"/>
        <v>2</v>
      </c>
      <c r="H440" s="41" t="str">
        <f>INDEX('0.시간표데이터'!$E$52:$AR$78,QUOTIENT(ROW(A434)-1,40)+1,MOD(ROW(A434)-1,40)+1)</f>
        <v>체육</v>
      </c>
      <c r="I440" s="77"/>
      <c r="J440" s="26"/>
      <c r="K440" s="180"/>
      <c r="L440" s="180"/>
      <c r="M440" s="10"/>
      <c r="N440" s="10"/>
      <c r="O440" s="10"/>
      <c r="P440" s="10"/>
      <c r="Q440" s="164"/>
      <c r="R440" s="110"/>
    </row>
    <row r="441" spans="1:18" ht="13.5" customHeight="1">
      <c r="A441" s="90">
        <v>435</v>
      </c>
      <c r="B441" s="24">
        <f>DATE('1.연간시수표'!$U$44,'1.연간시수표'!$X$44,'1.연간시수표'!$Z$44)+QUOTIENT(ROW(A435)-1,8)+(QUOTIENT(ROW(A435)-1,40)*2)</f>
        <v>44873</v>
      </c>
      <c r="C441" s="24" t="str">
        <f t="shared" si="18"/>
        <v>화</v>
      </c>
      <c r="D441" s="116" t="str">
        <f t="shared" si="19"/>
        <v>3교시</v>
      </c>
      <c r="E441" s="68">
        <f>COUNTIF($H$7:$H441,$H441)</f>
        <v>32</v>
      </c>
      <c r="F441" s="67">
        <f>'1.연간시수표'!$AL$33</f>
        <v>5</v>
      </c>
      <c r="G441" s="115">
        <f t="shared" si="20"/>
        <v>2</v>
      </c>
      <c r="H441" s="41" t="str">
        <f>INDEX('0.시간표데이터'!$E$52:$AR$78,QUOTIENT(ROW(A435)-1,40)+1,MOD(ROW(A435)-1,40)+1)</f>
        <v>수학</v>
      </c>
      <c r="I441" s="77"/>
      <c r="J441" s="26"/>
      <c r="K441" s="180"/>
      <c r="L441" s="180"/>
      <c r="M441" s="10"/>
      <c r="N441" s="10"/>
      <c r="O441" s="10"/>
      <c r="P441" s="10"/>
      <c r="Q441" s="164"/>
      <c r="R441" s="110"/>
    </row>
    <row r="442" spans="1:18" ht="13.5" customHeight="1">
      <c r="A442" s="90">
        <v>436</v>
      </c>
      <c r="B442" s="24">
        <f>DATE('1.연간시수표'!$U$44,'1.연간시수표'!$X$44,'1.연간시수표'!$Z$44)+QUOTIENT(ROW(A436)-1,8)+(QUOTIENT(ROW(A436)-1,40)*2)</f>
        <v>44873</v>
      </c>
      <c r="C442" s="24" t="str">
        <f t="shared" si="18"/>
        <v>화</v>
      </c>
      <c r="D442" s="116" t="str">
        <f t="shared" si="19"/>
        <v>4교시</v>
      </c>
      <c r="E442" s="68">
        <f>COUNTIF($H$7:$H442,$H442)</f>
        <v>54</v>
      </c>
      <c r="F442" s="67">
        <f>'1.연간시수표'!$AL$33</f>
        <v>5</v>
      </c>
      <c r="G442" s="115">
        <f t="shared" si="20"/>
        <v>2</v>
      </c>
      <c r="H442" s="41" t="str">
        <f>INDEX('0.시간표데이터'!$E$52:$AR$78,QUOTIENT(ROW(A436)-1,40)+1,MOD(ROW(A436)-1,40)+1)</f>
        <v>국어</v>
      </c>
      <c r="I442" s="77"/>
      <c r="J442" s="26"/>
      <c r="K442" s="180"/>
      <c r="L442" s="180"/>
      <c r="M442" s="10"/>
      <c r="N442" s="10"/>
      <c r="O442" s="10"/>
      <c r="P442" s="10"/>
      <c r="Q442" s="164"/>
      <c r="R442" s="110"/>
    </row>
    <row r="443" spans="1:18" ht="13.5" customHeight="1">
      <c r="A443" s="90">
        <v>437</v>
      </c>
      <c r="B443" s="24">
        <f>DATE('1.연간시수표'!$U$44,'1.연간시수표'!$X$44,'1.연간시수표'!$Z$44)+QUOTIENT(ROW(A437)-1,8)+(QUOTIENT(ROW(A437)-1,40)*2)</f>
        <v>44873</v>
      </c>
      <c r="C443" s="24" t="str">
        <f t="shared" si="18"/>
        <v>화</v>
      </c>
      <c r="D443" s="116" t="str">
        <f t="shared" si="19"/>
        <v>5교시</v>
      </c>
      <c r="E443" s="68">
        <f>COUNTIF($H$7:$H443,$H443)</f>
        <v>30</v>
      </c>
      <c r="F443" s="67">
        <f>'1.연간시수표'!$AL$33</f>
        <v>5</v>
      </c>
      <c r="G443" s="115">
        <f t="shared" si="20"/>
        <v>2</v>
      </c>
      <c r="H443" s="41" t="str">
        <f>INDEX('0.시간표데이터'!$E$52:$AR$78,QUOTIENT(ROW(A437)-1,40)+1,MOD(ROW(A437)-1,40)+1)</f>
        <v>사회</v>
      </c>
      <c r="I443" s="77"/>
      <c r="J443" s="26"/>
      <c r="K443" s="164"/>
      <c r="L443" s="164"/>
      <c r="M443" s="10"/>
      <c r="N443" s="10"/>
      <c r="O443" s="10"/>
      <c r="P443" s="10"/>
      <c r="Q443" s="164"/>
      <c r="R443" s="110"/>
    </row>
    <row r="444" spans="1:18" ht="13.5" customHeight="1">
      <c r="A444" s="90">
        <v>438</v>
      </c>
      <c r="B444" s="24">
        <f>DATE('1.연간시수표'!$U$44,'1.연간시수표'!$X$44,'1.연간시수표'!$Z$44)+QUOTIENT(ROW(A438)-1,8)+(QUOTIENT(ROW(A438)-1,40)*2)</f>
        <v>44873</v>
      </c>
      <c r="C444" s="24" t="str">
        <f t="shared" si="18"/>
        <v>화</v>
      </c>
      <c r="D444" s="116" t="str">
        <f t="shared" si="19"/>
        <v>6교시</v>
      </c>
      <c r="E444" s="68">
        <f>COUNTIF($H$7:$H444,$H444)</f>
        <v>20</v>
      </c>
      <c r="F444" s="67">
        <f>'1.연간시수표'!$AL$33</f>
        <v>5</v>
      </c>
      <c r="G444" s="115">
        <f t="shared" si="20"/>
        <v>2</v>
      </c>
      <c r="H444" s="41" t="str">
        <f>INDEX('0.시간표데이터'!$E$52:$AR$78,QUOTIENT(ROW(A438)-1,40)+1,MOD(ROW(A438)-1,40)+1)</f>
        <v>실과</v>
      </c>
      <c r="I444" s="77"/>
      <c r="J444" s="26"/>
      <c r="K444" s="167"/>
      <c r="L444" s="167"/>
      <c r="M444" s="166"/>
      <c r="N444" s="166"/>
      <c r="O444" s="166"/>
      <c r="P444" s="166"/>
      <c r="Q444" s="167"/>
      <c r="R444" s="111"/>
    </row>
    <row r="445" spans="1:18" ht="13.5" customHeight="1">
      <c r="A445" s="90">
        <v>439</v>
      </c>
      <c r="B445" s="24">
        <f>DATE('1.연간시수표'!$U$44,'1.연간시수표'!$X$44,'1.연간시수표'!$Z$44)+QUOTIENT(ROW(A439)-1,8)+(QUOTIENT(ROW(A439)-1,40)*2)</f>
        <v>44873</v>
      </c>
      <c r="C445" s="24" t="str">
        <f t="shared" si="18"/>
        <v>화</v>
      </c>
      <c r="D445" s="116" t="str">
        <f t="shared" si="19"/>
        <v>7교시</v>
      </c>
      <c r="E445" s="68">
        <f>COUNTIF($H$7:$H445,$H445)</f>
        <v>161</v>
      </c>
      <c r="F445" s="67">
        <f>'1.연간시수표'!$AL$33</f>
        <v>5</v>
      </c>
      <c r="G445" s="115">
        <f t="shared" si="20"/>
        <v>2</v>
      </c>
      <c r="H445" s="41" t="str">
        <f>INDEX('0.시간표데이터'!$E$52:$AR$78,QUOTIENT(ROW(A439)-1,40)+1,MOD(ROW(A439)-1,40)+1)</f>
        <v>_</v>
      </c>
      <c r="I445" s="76"/>
      <c r="J445" s="26"/>
      <c r="K445" s="167"/>
      <c r="L445" s="167"/>
      <c r="M445" s="166"/>
      <c r="N445" s="166"/>
      <c r="O445" s="166"/>
      <c r="P445" s="166"/>
      <c r="Q445" s="167"/>
      <c r="R445" s="111"/>
    </row>
    <row r="446" spans="1:18" ht="13.5" customHeight="1">
      <c r="A446" s="90">
        <v>440</v>
      </c>
      <c r="B446" s="24">
        <f>DATE('1.연간시수표'!$U$44,'1.연간시수표'!$X$44,'1.연간시수표'!$Z$44)+QUOTIENT(ROW(A440)-1,8)+(QUOTIENT(ROW(A440)-1,40)*2)</f>
        <v>44873</v>
      </c>
      <c r="C446" s="24" t="str">
        <f t="shared" si="18"/>
        <v>화</v>
      </c>
      <c r="D446" s="116" t="str">
        <f t="shared" si="19"/>
        <v>8교시</v>
      </c>
      <c r="E446" s="68">
        <f>COUNTIF($H$7:$H446,$H446)</f>
        <v>162</v>
      </c>
      <c r="F446" s="67">
        <f>'1.연간시수표'!$AL$33</f>
        <v>5</v>
      </c>
      <c r="G446" s="115">
        <f t="shared" si="20"/>
        <v>2</v>
      </c>
      <c r="H446" s="41" t="str">
        <f>INDEX('0.시간표데이터'!$E$52:$AR$78,QUOTIENT(ROW(A440)-1,40)+1,MOD(ROW(A440)-1,40)+1)</f>
        <v>_</v>
      </c>
      <c r="I446" s="76"/>
      <c r="J446" s="26"/>
      <c r="K446" s="167"/>
      <c r="L446" s="167"/>
      <c r="M446" s="166"/>
      <c r="N446" s="166"/>
      <c r="O446" s="166"/>
      <c r="P446" s="166"/>
      <c r="Q446" s="167"/>
      <c r="R446" s="111"/>
    </row>
    <row r="447" spans="1:18" ht="13.5" customHeight="1">
      <c r="A447" s="90">
        <v>441</v>
      </c>
      <c r="B447" s="24">
        <f>DATE('1.연간시수표'!$U$44,'1.연간시수표'!$X$44,'1.연간시수표'!$Z$44)+QUOTIENT(ROW(A441)-1,8)+(QUOTIENT(ROW(A441)-1,40)*2)</f>
        <v>44876</v>
      </c>
      <c r="C447" s="24" t="str">
        <f t="shared" si="18"/>
        <v>금</v>
      </c>
      <c r="D447" s="116" t="str">
        <f t="shared" si="19"/>
        <v>1교시</v>
      </c>
      <c r="E447" s="68">
        <f>COUNTIF($H$7:$H447,$H447)</f>
        <v>55</v>
      </c>
      <c r="F447" s="67">
        <f>'1.연간시수표'!$AL$33</f>
        <v>5</v>
      </c>
      <c r="G447" s="115">
        <f t="shared" si="20"/>
        <v>2</v>
      </c>
      <c r="H447" s="41" t="str">
        <f>INDEX('0.시간표데이터'!$E$52:$AR$78,QUOTIENT(ROW(A441)-1,40)+1,MOD(ROW(A441)-1,40)+1)</f>
        <v>국어</v>
      </c>
      <c r="I447" s="77"/>
      <c r="J447" s="26"/>
      <c r="K447" s="164"/>
      <c r="L447" s="164"/>
      <c r="M447" s="10"/>
      <c r="N447" s="10"/>
      <c r="O447" s="10"/>
      <c r="P447" s="10"/>
      <c r="Q447" s="164"/>
      <c r="R447" s="110"/>
    </row>
    <row r="448" spans="1:18" ht="13.5" customHeight="1">
      <c r="A448" s="90">
        <v>442</v>
      </c>
      <c r="B448" s="24">
        <f>DATE('1.연간시수표'!$U$44,'1.연간시수표'!$X$44,'1.연간시수표'!$Z$44)+QUOTIENT(ROW(A442)-1,8)+(QUOTIENT(ROW(A442)-1,40)*2)</f>
        <v>44876</v>
      </c>
      <c r="C448" s="24" t="str">
        <f t="shared" si="18"/>
        <v>금</v>
      </c>
      <c r="D448" s="116" t="str">
        <f t="shared" si="19"/>
        <v>2교시</v>
      </c>
      <c r="E448" s="68">
        <f>COUNTIF($H$7:$H448,$H448)</f>
        <v>15</v>
      </c>
      <c r="F448" s="67">
        <f>'1.연간시수표'!$AL$33</f>
        <v>5</v>
      </c>
      <c r="G448" s="115">
        <f t="shared" si="20"/>
        <v>2</v>
      </c>
      <c r="H448" s="41" t="str">
        <f>INDEX('0.시간표데이터'!$E$52:$AR$78,QUOTIENT(ROW(A442)-1,40)+1,MOD(ROW(A442)-1,40)+1)</f>
        <v>미술</v>
      </c>
      <c r="I448" s="161"/>
      <c r="J448" s="26"/>
      <c r="K448" s="180"/>
      <c r="L448" s="180"/>
      <c r="M448" s="10"/>
      <c r="N448" s="10"/>
      <c r="O448" s="10"/>
      <c r="P448" s="10"/>
      <c r="Q448" s="164"/>
      <c r="R448" s="110"/>
    </row>
    <row r="449" spans="1:18" ht="13.5" customHeight="1">
      <c r="A449" s="90">
        <v>443</v>
      </c>
      <c r="B449" s="24">
        <f>DATE('1.연간시수표'!$U$44,'1.연간시수표'!$X$44,'1.연간시수표'!$Z$44)+QUOTIENT(ROW(A443)-1,8)+(QUOTIENT(ROW(A443)-1,40)*2)</f>
        <v>44876</v>
      </c>
      <c r="C449" s="24" t="str">
        <f t="shared" si="18"/>
        <v>금</v>
      </c>
      <c r="D449" s="116" t="str">
        <f t="shared" si="19"/>
        <v>3교시</v>
      </c>
      <c r="E449" s="68">
        <f>COUNTIF($H$7:$H449,$H449)</f>
        <v>16</v>
      </c>
      <c r="F449" s="67">
        <f>'1.연간시수표'!$AL$33</f>
        <v>5</v>
      </c>
      <c r="G449" s="115">
        <f t="shared" si="20"/>
        <v>2</v>
      </c>
      <c r="H449" s="41" t="str">
        <f>INDEX('0.시간표데이터'!$E$52:$AR$78,QUOTIENT(ROW(A443)-1,40)+1,MOD(ROW(A443)-1,40)+1)</f>
        <v>미술</v>
      </c>
      <c r="I449" s="77"/>
      <c r="J449" s="26"/>
      <c r="K449" s="180"/>
      <c r="L449" s="180"/>
      <c r="M449" s="10"/>
      <c r="N449" s="10"/>
      <c r="O449" s="10"/>
      <c r="P449" s="10"/>
      <c r="Q449" s="164"/>
      <c r="R449" s="110"/>
    </row>
    <row r="450" spans="1:18" ht="13.5" customHeight="1">
      <c r="A450" s="90">
        <v>444</v>
      </c>
      <c r="B450" s="24">
        <f>DATE('1.연간시수표'!$U$44,'1.연간시수표'!$X$44,'1.연간시수표'!$Z$44)+QUOTIENT(ROW(A444)-1,8)+(QUOTIENT(ROW(A444)-1,40)*2)</f>
        <v>44876</v>
      </c>
      <c r="C450" s="24" t="str">
        <f t="shared" si="18"/>
        <v>금</v>
      </c>
      <c r="D450" s="116" t="str">
        <f t="shared" si="19"/>
        <v>4교시</v>
      </c>
      <c r="E450" s="68">
        <f>COUNTIF($H$7:$H450,$H450)</f>
        <v>29</v>
      </c>
      <c r="F450" s="67">
        <f>'1.연간시수표'!$AL$33</f>
        <v>5</v>
      </c>
      <c r="G450" s="115">
        <f t="shared" si="20"/>
        <v>2</v>
      </c>
      <c r="H450" s="41" t="str">
        <f>INDEX('0.시간표데이터'!$E$52:$AR$78,QUOTIENT(ROW(A444)-1,40)+1,MOD(ROW(A444)-1,40)+1)</f>
        <v>영어</v>
      </c>
      <c r="I450" s="77"/>
      <c r="J450" s="26"/>
      <c r="K450" s="180"/>
      <c r="L450" s="180"/>
      <c r="M450" s="10"/>
      <c r="N450" s="10"/>
      <c r="O450" s="10"/>
      <c r="P450" s="10"/>
      <c r="Q450" s="164"/>
      <c r="R450" s="110"/>
    </row>
    <row r="451" spans="1:18" ht="13.5" customHeight="1">
      <c r="A451" s="90">
        <v>445</v>
      </c>
      <c r="B451" s="24">
        <f>DATE('1.연간시수표'!$U$44,'1.연간시수표'!$X$44,'1.연간시수표'!$Z$44)+QUOTIENT(ROW(A445)-1,8)+(QUOTIENT(ROW(A445)-1,40)*2)</f>
        <v>44876</v>
      </c>
      <c r="C451" s="24" t="str">
        <f t="shared" si="18"/>
        <v>금</v>
      </c>
      <c r="D451" s="116" t="str">
        <f t="shared" si="19"/>
        <v>5교시</v>
      </c>
      <c r="E451" s="68">
        <f>COUNTIF($H$7:$H451,$H451)</f>
        <v>33</v>
      </c>
      <c r="F451" s="67">
        <f>'1.연간시수표'!$AL$33</f>
        <v>5</v>
      </c>
      <c r="G451" s="115">
        <f t="shared" si="20"/>
        <v>2</v>
      </c>
      <c r="H451" s="41" t="str">
        <f>INDEX('0.시간표데이터'!$E$52:$AR$78,QUOTIENT(ROW(A445)-1,40)+1,MOD(ROW(A445)-1,40)+1)</f>
        <v>수학</v>
      </c>
      <c r="I451" s="77"/>
      <c r="J451" s="26"/>
      <c r="K451" s="180"/>
      <c r="L451" s="180"/>
      <c r="M451" s="10"/>
      <c r="N451" s="10"/>
      <c r="O451" s="10"/>
      <c r="P451" s="10"/>
      <c r="Q451" s="164"/>
      <c r="R451" s="110"/>
    </row>
    <row r="452" spans="1:18" ht="13.5" customHeight="1">
      <c r="A452" s="90">
        <v>446</v>
      </c>
      <c r="B452" s="24">
        <f>DATE('1.연간시수표'!$U$44,'1.연간시수표'!$X$44,'1.연간시수표'!$Z$44)+QUOTIENT(ROW(A446)-1,8)+(QUOTIENT(ROW(A446)-1,40)*2)</f>
        <v>44876</v>
      </c>
      <c r="C452" s="24" t="str">
        <f t="shared" si="18"/>
        <v>금</v>
      </c>
      <c r="D452" s="116" t="str">
        <f t="shared" si="19"/>
        <v>6교시</v>
      </c>
      <c r="E452" s="68">
        <f>COUNTIF($H$7:$H452,$H452)</f>
        <v>16</v>
      </c>
      <c r="F452" s="67">
        <f>'1.연간시수표'!$AL$33</f>
        <v>5</v>
      </c>
      <c r="G452" s="115">
        <f t="shared" si="20"/>
        <v>2</v>
      </c>
      <c r="H452" s="41" t="str">
        <f>INDEX('0.시간표데이터'!$E$52:$AR$78,QUOTIENT(ROW(A446)-1,40)+1,MOD(ROW(A446)-1,40)+1)</f>
        <v>자율활동</v>
      </c>
      <c r="I452" s="77"/>
      <c r="J452" s="26"/>
      <c r="K452" s="167"/>
      <c r="L452" s="167"/>
      <c r="M452" s="166"/>
      <c r="N452" s="166"/>
      <c r="O452" s="166"/>
      <c r="P452" s="166"/>
      <c r="Q452" s="167"/>
      <c r="R452" s="111"/>
    </row>
    <row r="453" spans="1:18" ht="13.5" customHeight="1">
      <c r="A453" s="90">
        <v>447</v>
      </c>
      <c r="B453" s="24">
        <f>DATE('1.연간시수표'!$U$44,'1.연간시수표'!$X$44,'1.연간시수표'!$Z$44)+QUOTIENT(ROW(A447)-1,8)+(QUOTIENT(ROW(A447)-1,40)*2)</f>
        <v>44876</v>
      </c>
      <c r="C453" s="24" t="str">
        <f t="shared" si="18"/>
        <v>금</v>
      </c>
      <c r="D453" s="116" t="str">
        <f t="shared" si="19"/>
        <v>7교시</v>
      </c>
      <c r="E453" s="68">
        <f>COUNTIF($H$7:$H453,$H453)</f>
        <v>163</v>
      </c>
      <c r="F453" s="67">
        <f>'1.연간시수표'!$AL$33</f>
        <v>5</v>
      </c>
      <c r="G453" s="115">
        <f t="shared" si="20"/>
        <v>2</v>
      </c>
      <c r="H453" s="41" t="str">
        <f>INDEX('0.시간표데이터'!$E$52:$AR$78,QUOTIENT(ROW(A447)-1,40)+1,MOD(ROW(A447)-1,40)+1)</f>
        <v>_</v>
      </c>
      <c r="I453" s="76"/>
      <c r="J453" s="26"/>
      <c r="K453" s="167"/>
      <c r="L453" s="167"/>
      <c r="M453" s="166"/>
      <c r="N453" s="166"/>
      <c r="O453" s="166"/>
      <c r="P453" s="166"/>
      <c r="Q453" s="167"/>
      <c r="R453" s="111"/>
    </row>
    <row r="454" spans="1:18" ht="13.5" customHeight="1">
      <c r="A454" s="90">
        <v>448</v>
      </c>
      <c r="B454" s="24">
        <f>DATE('1.연간시수표'!$U$44,'1.연간시수표'!$X$44,'1.연간시수표'!$Z$44)+QUOTIENT(ROW(A448)-1,8)+(QUOTIENT(ROW(A448)-1,40)*2)</f>
        <v>44876</v>
      </c>
      <c r="C454" s="24" t="str">
        <f t="shared" si="18"/>
        <v>금</v>
      </c>
      <c r="D454" s="116" t="str">
        <f t="shared" si="19"/>
        <v>8교시</v>
      </c>
      <c r="E454" s="68">
        <f>COUNTIF($H$7:$H454,$H454)</f>
        <v>164</v>
      </c>
      <c r="F454" s="67">
        <f>'1.연간시수표'!$AL$33</f>
        <v>5</v>
      </c>
      <c r="G454" s="115">
        <f t="shared" si="20"/>
        <v>2</v>
      </c>
      <c r="H454" s="41" t="str">
        <f>INDEX('0.시간표데이터'!$E$52:$AR$78,QUOTIENT(ROW(A448)-1,40)+1,MOD(ROW(A448)-1,40)+1)</f>
        <v>_</v>
      </c>
      <c r="I454" s="76"/>
      <c r="J454" s="26"/>
      <c r="K454" s="167"/>
      <c r="L454" s="167"/>
      <c r="M454" s="166"/>
      <c r="N454" s="166"/>
      <c r="O454" s="166"/>
      <c r="P454" s="166"/>
      <c r="Q454" s="167"/>
      <c r="R454" s="111"/>
    </row>
    <row r="455" spans="1:18" ht="13.5" customHeight="1">
      <c r="A455" s="90">
        <v>449</v>
      </c>
      <c r="B455" s="24">
        <f>DATE('1.연간시수표'!$U$44,'1.연간시수표'!$X$44,'1.연간시수표'!$Z$44)+QUOTIENT(ROW(A449)-1,8)+(QUOTIENT(ROW(A449)-1,40)*2)</f>
        <v>44877</v>
      </c>
      <c r="C455" s="24" t="b">
        <f t="shared" ref="C455:C518" si="21">IF(WEEKDAY(B455,2)=1,"월",IF(WEEKDAY(B455,2)=2,"화",IF(WEEKDAY(B455,2)=3,"수",IF(WEEKDAY(B455,2)=4,"목",IF(WEEKDAY(B455,2)=5,"금")))))</f>
        <v>0</v>
      </c>
      <c r="D455" s="116" t="str">
        <f t="shared" ref="D455:D518" si="22">TEXT(MOD(ROW(A449)-1,8)+1,"#교시")</f>
        <v>1교시</v>
      </c>
      <c r="E455" s="68">
        <f>COUNTIF($H$7:$H455,$H455)</f>
        <v>56</v>
      </c>
      <c r="F455" s="67">
        <f>'1.연간시수표'!$AL$33</f>
        <v>5</v>
      </c>
      <c r="G455" s="115">
        <f t="shared" ref="G455:G518" si="23">$A$2</f>
        <v>2</v>
      </c>
      <c r="H455" s="41" t="str">
        <f>INDEX('0.시간표데이터'!$E$52:$AR$78,QUOTIENT(ROW(A449)-1,40)+1,MOD(ROW(A449)-1,40)+1)</f>
        <v>국어</v>
      </c>
      <c r="I455" s="77"/>
      <c r="J455" s="26"/>
      <c r="K455" s="180"/>
      <c r="L455" s="180"/>
      <c r="M455" s="10"/>
      <c r="N455" s="10"/>
      <c r="O455" s="10"/>
      <c r="P455" s="10"/>
      <c r="Q455" s="164"/>
      <c r="R455" s="110"/>
    </row>
    <row r="456" spans="1:18" ht="13.5" customHeight="1">
      <c r="A456" s="90">
        <v>450</v>
      </c>
      <c r="B456" s="24">
        <f>DATE('1.연간시수표'!$U$44,'1.연간시수표'!$X$44,'1.연간시수표'!$Z$44)+QUOTIENT(ROW(A450)-1,8)+(QUOTIENT(ROW(A450)-1,40)*2)</f>
        <v>44877</v>
      </c>
      <c r="C456" s="24" t="b">
        <f t="shared" si="21"/>
        <v>0</v>
      </c>
      <c r="D456" s="116" t="str">
        <f t="shared" si="22"/>
        <v>2교시</v>
      </c>
      <c r="E456" s="68">
        <f>COUNTIF($H$7:$H456,$H456)</f>
        <v>57</v>
      </c>
      <c r="F456" s="67">
        <f>'1.연간시수표'!$AL$33</f>
        <v>5</v>
      </c>
      <c r="G456" s="115">
        <f t="shared" si="23"/>
        <v>2</v>
      </c>
      <c r="H456" s="41" t="str">
        <f>INDEX('0.시간표데이터'!$E$52:$AR$78,QUOTIENT(ROW(A450)-1,40)+1,MOD(ROW(A450)-1,40)+1)</f>
        <v>국어</v>
      </c>
      <c r="I456" s="161"/>
      <c r="J456" s="26"/>
      <c r="K456" s="180"/>
      <c r="L456" s="180"/>
      <c r="M456" s="10"/>
      <c r="N456" s="10"/>
      <c r="O456" s="10"/>
      <c r="P456" s="10"/>
      <c r="Q456" s="164"/>
      <c r="R456" s="110"/>
    </row>
    <row r="457" spans="1:18">
      <c r="A457" s="90">
        <v>451</v>
      </c>
      <c r="B457" s="24">
        <f>DATE('1.연간시수표'!$U$44,'1.연간시수표'!$X$44,'1.연간시수표'!$Z$44)+QUOTIENT(ROW(A451)-1,8)+(QUOTIENT(ROW(A451)-1,40)*2)</f>
        <v>44877</v>
      </c>
      <c r="C457" s="24" t="b">
        <f t="shared" si="21"/>
        <v>0</v>
      </c>
      <c r="D457" s="116" t="str">
        <f t="shared" si="22"/>
        <v>3교시</v>
      </c>
      <c r="E457" s="68">
        <f>COUNTIF($H$7:$H457,$H457)</f>
        <v>31</v>
      </c>
      <c r="F457" s="67">
        <f>'1.연간시수표'!$AL$33</f>
        <v>5</v>
      </c>
      <c r="G457" s="115">
        <f t="shared" si="23"/>
        <v>2</v>
      </c>
      <c r="H457" s="41" t="str">
        <f>INDEX('0.시간표데이터'!$E$52:$AR$78,QUOTIENT(ROW(A451)-1,40)+1,MOD(ROW(A451)-1,40)+1)</f>
        <v>사회</v>
      </c>
      <c r="I457" s="77"/>
      <c r="J457" s="26"/>
      <c r="K457" s="164"/>
      <c r="L457" s="164"/>
      <c r="M457" s="10"/>
      <c r="N457" s="10"/>
      <c r="O457" s="10"/>
      <c r="P457" s="10"/>
      <c r="Q457" s="164"/>
      <c r="R457" s="110"/>
    </row>
    <row r="458" spans="1:18">
      <c r="A458" s="90">
        <v>452</v>
      </c>
      <c r="B458" s="24">
        <f>DATE('1.연간시수표'!$U$44,'1.연간시수표'!$X$44,'1.연간시수표'!$Z$44)+QUOTIENT(ROW(A452)-1,8)+(QUOTIENT(ROW(A452)-1,40)*2)</f>
        <v>44877</v>
      </c>
      <c r="C458" s="24" t="b">
        <f t="shared" si="21"/>
        <v>0</v>
      </c>
      <c r="D458" s="116" t="str">
        <f t="shared" si="22"/>
        <v>4교시</v>
      </c>
      <c r="E458" s="68">
        <f>COUNTIF($H$7:$H458,$H458)</f>
        <v>34</v>
      </c>
      <c r="F458" s="67">
        <f>'1.연간시수표'!$AL$33</f>
        <v>5</v>
      </c>
      <c r="G458" s="115">
        <f t="shared" si="23"/>
        <v>2</v>
      </c>
      <c r="H458" s="41" t="str">
        <f>INDEX('0.시간표데이터'!$E$52:$AR$78,QUOTIENT(ROW(A452)-1,40)+1,MOD(ROW(A452)-1,40)+1)</f>
        <v>수학</v>
      </c>
      <c r="I458" s="77"/>
      <c r="J458" s="26"/>
      <c r="K458" s="180"/>
      <c r="L458" s="180"/>
      <c r="M458" s="10"/>
      <c r="N458" s="10"/>
      <c r="O458" s="10"/>
      <c r="P458" s="10"/>
      <c r="Q458" s="164"/>
      <c r="R458" s="110"/>
    </row>
    <row r="459" spans="1:18" ht="13.5" customHeight="1">
      <c r="A459" s="90">
        <v>453</v>
      </c>
      <c r="B459" s="24">
        <f>DATE('1.연간시수표'!$U$44,'1.연간시수표'!$X$44,'1.연간시수표'!$Z$44)+QUOTIENT(ROW(A453)-1,8)+(QUOTIENT(ROW(A453)-1,40)*2)</f>
        <v>44877</v>
      </c>
      <c r="C459" s="24" t="b">
        <f t="shared" si="21"/>
        <v>0</v>
      </c>
      <c r="D459" s="116" t="str">
        <f t="shared" si="22"/>
        <v>5교시</v>
      </c>
      <c r="E459" s="68">
        <f>COUNTIF($H$7:$H459,$H459)</f>
        <v>28</v>
      </c>
      <c r="F459" s="67">
        <f>'1.연간시수표'!$AL$33</f>
        <v>5</v>
      </c>
      <c r="G459" s="115">
        <f t="shared" si="23"/>
        <v>2</v>
      </c>
      <c r="H459" s="41" t="str">
        <f>INDEX('0.시간표데이터'!$E$52:$AR$78,QUOTIENT(ROW(A453)-1,40)+1,MOD(ROW(A453)-1,40)+1)</f>
        <v>과학</v>
      </c>
      <c r="I459" s="77"/>
      <c r="J459" s="26"/>
      <c r="K459" s="180"/>
      <c r="L459" s="180"/>
      <c r="M459" s="10"/>
      <c r="N459" s="10"/>
      <c r="O459" s="10"/>
      <c r="P459" s="10"/>
      <c r="Q459" s="164"/>
      <c r="R459" s="110"/>
    </row>
    <row r="460" spans="1:18" ht="13.5" customHeight="1">
      <c r="A460" s="90">
        <v>454</v>
      </c>
      <c r="B460" s="24">
        <f>DATE('1.연간시수표'!$U$44,'1.연간시수표'!$X$44,'1.연간시수표'!$Z$44)+QUOTIENT(ROW(A454)-1,8)+(QUOTIENT(ROW(A454)-1,40)*2)</f>
        <v>44877</v>
      </c>
      <c r="C460" s="24" t="b">
        <f t="shared" si="21"/>
        <v>0</v>
      </c>
      <c r="D460" s="116" t="str">
        <f t="shared" si="22"/>
        <v>6교시</v>
      </c>
      <c r="E460" s="68">
        <f>COUNTIF($H$7:$H460,$H460)</f>
        <v>21</v>
      </c>
      <c r="F460" s="67">
        <f>'1.연간시수표'!$AL$33</f>
        <v>5</v>
      </c>
      <c r="G460" s="115">
        <f t="shared" si="23"/>
        <v>2</v>
      </c>
      <c r="H460" s="41" t="str">
        <f>INDEX('0.시간표데이터'!$E$52:$AR$78,QUOTIENT(ROW(A454)-1,40)+1,MOD(ROW(A454)-1,40)+1)</f>
        <v>실과</v>
      </c>
      <c r="I460" s="77"/>
      <c r="J460" s="26"/>
      <c r="K460" s="167"/>
      <c r="L460" s="167"/>
      <c r="M460" s="166"/>
      <c r="N460" s="166"/>
      <c r="O460" s="166"/>
      <c r="P460" s="166"/>
      <c r="Q460" s="167"/>
      <c r="R460" s="111"/>
    </row>
    <row r="461" spans="1:18" ht="13.5" customHeight="1">
      <c r="A461" s="90">
        <v>455</v>
      </c>
      <c r="B461" s="24">
        <f>DATE('1.연간시수표'!$U$44,'1.연간시수표'!$X$44,'1.연간시수표'!$Z$44)+QUOTIENT(ROW(A455)-1,8)+(QUOTIENT(ROW(A455)-1,40)*2)</f>
        <v>44877</v>
      </c>
      <c r="C461" s="24" t="b">
        <f t="shared" si="21"/>
        <v>0</v>
      </c>
      <c r="D461" s="116" t="str">
        <f t="shared" si="22"/>
        <v>7교시</v>
      </c>
      <c r="E461" s="68">
        <f>COUNTIF($H$7:$H461,$H461)</f>
        <v>165</v>
      </c>
      <c r="F461" s="67">
        <f>'1.연간시수표'!$AL$33</f>
        <v>5</v>
      </c>
      <c r="G461" s="115">
        <f t="shared" si="23"/>
        <v>2</v>
      </c>
      <c r="H461" s="41" t="str">
        <f>INDEX('0.시간표데이터'!$E$52:$AR$78,QUOTIENT(ROW(A455)-1,40)+1,MOD(ROW(A455)-1,40)+1)</f>
        <v>_</v>
      </c>
      <c r="I461" s="76"/>
      <c r="J461" s="26"/>
      <c r="K461" s="167"/>
      <c r="L461" s="167"/>
      <c r="M461" s="166"/>
      <c r="N461" s="166"/>
      <c r="O461" s="166"/>
      <c r="P461" s="166"/>
      <c r="Q461" s="167"/>
      <c r="R461" s="111"/>
    </row>
    <row r="462" spans="1:18" ht="13.5" customHeight="1">
      <c r="A462" s="90">
        <v>456</v>
      </c>
      <c r="B462" s="24">
        <f>DATE('1.연간시수표'!$U$44,'1.연간시수표'!$X$44,'1.연간시수표'!$Z$44)+QUOTIENT(ROW(A456)-1,8)+(QUOTIENT(ROW(A456)-1,40)*2)</f>
        <v>44877</v>
      </c>
      <c r="C462" s="24" t="b">
        <f t="shared" si="21"/>
        <v>0</v>
      </c>
      <c r="D462" s="116" t="str">
        <f t="shared" si="22"/>
        <v>8교시</v>
      </c>
      <c r="E462" s="68">
        <f>COUNTIF($H$7:$H462,$H462)</f>
        <v>166</v>
      </c>
      <c r="F462" s="67">
        <f>'1.연간시수표'!$AL$33</f>
        <v>5</v>
      </c>
      <c r="G462" s="115">
        <f t="shared" si="23"/>
        <v>2</v>
      </c>
      <c r="H462" s="41" t="str">
        <f>INDEX('0.시간표데이터'!$E$52:$AR$78,QUOTIENT(ROW(A456)-1,40)+1,MOD(ROW(A456)-1,40)+1)</f>
        <v>_</v>
      </c>
      <c r="I462" s="76"/>
      <c r="J462" s="26"/>
      <c r="K462" s="167"/>
      <c r="L462" s="167"/>
      <c r="M462" s="166"/>
      <c r="N462" s="166"/>
      <c r="O462" s="166"/>
      <c r="P462" s="166"/>
      <c r="Q462" s="167"/>
      <c r="R462" s="111"/>
    </row>
    <row r="463" spans="1:18" ht="13.5" customHeight="1">
      <c r="A463" s="90">
        <v>457</v>
      </c>
      <c r="B463" s="24">
        <f>DATE('1.연간시수표'!$U$44,'1.연간시수표'!$X$44,'1.연간시수표'!$Z$44)+QUOTIENT(ROW(A457)-1,8)+(QUOTIENT(ROW(A457)-1,40)*2)</f>
        <v>44878</v>
      </c>
      <c r="C463" s="24" t="b">
        <f t="shared" si="21"/>
        <v>0</v>
      </c>
      <c r="D463" s="116" t="str">
        <f t="shared" si="22"/>
        <v>1교시</v>
      </c>
      <c r="E463" s="68">
        <f>COUNTIF($H$7:$H463,$H463)</f>
        <v>30</v>
      </c>
      <c r="F463" s="67">
        <f>'1.연간시수표'!$AL$33</f>
        <v>5</v>
      </c>
      <c r="G463" s="115">
        <f t="shared" si="23"/>
        <v>2</v>
      </c>
      <c r="H463" s="41" t="str">
        <f>INDEX('0.시간표데이터'!$E$52:$AR$78,QUOTIENT(ROW(A457)-1,40)+1,MOD(ROW(A457)-1,40)+1)</f>
        <v>영어</v>
      </c>
      <c r="I463" s="77"/>
      <c r="J463" s="26"/>
      <c r="K463" s="180"/>
      <c r="L463" s="180"/>
      <c r="M463" s="10"/>
      <c r="N463" s="10"/>
      <c r="O463" s="10"/>
      <c r="P463" s="10"/>
      <c r="Q463" s="164"/>
      <c r="R463" s="110"/>
    </row>
    <row r="464" spans="1:18" ht="13.5" customHeight="1">
      <c r="A464" s="90">
        <v>458</v>
      </c>
      <c r="B464" s="24">
        <f>DATE('1.연간시수표'!$U$44,'1.연간시수표'!$X$44,'1.연간시수표'!$Z$44)+QUOTIENT(ROW(A458)-1,8)+(QUOTIENT(ROW(A458)-1,40)*2)</f>
        <v>44878</v>
      </c>
      <c r="C464" s="24" t="b">
        <f t="shared" si="21"/>
        <v>0</v>
      </c>
      <c r="D464" s="116" t="str">
        <f t="shared" si="22"/>
        <v>2교시</v>
      </c>
      <c r="E464" s="68">
        <f>COUNTIF($H$7:$H464,$H464)</f>
        <v>29</v>
      </c>
      <c r="F464" s="67">
        <f>'1.연간시수표'!$AL$33</f>
        <v>5</v>
      </c>
      <c r="G464" s="115">
        <f t="shared" si="23"/>
        <v>2</v>
      </c>
      <c r="H464" s="41" t="str">
        <f>INDEX('0.시간표데이터'!$E$52:$AR$78,QUOTIENT(ROW(A458)-1,40)+1,MOD(ROW(A458)-1,40)+1)</f>
        <v>과학</v>
      </c>
      <c r="I464" s="77"/>
      <c r="J464" s="26"/>
      <c r="K464" s="180"/>
      <c r="L464" s="180"/>
      <c r="M464" s="10"/>
      <c r="N464" s="10"/>
      <c r="O464" s="10"/>
      <c r="P464" s="10"/>
      <c r="Q464" s="164"/>
      <c r="R464" s="110"/>
    </row>
    <row r="465" spans="1:18" ht="13.5" customHeight="1">
      <c r="A465" s="90">
        <v>459</v>
      </c>
      <c r="B465" s="24">
        <f>DATE('1.연간시수표'!$U$44,'1.연간시수표'!$X$44,'1.연간시수표'!$Z$44)+QUOTIENT(ROW(A459)-1,8)+(QUOTIENT(ROW(A459)-1,40)*2)</f>
        <v>44878</v>
      </c>
      <c r="C465" s="24" t="b">
        <f t="shared" si="21"/>
        <v>0</v>
      </c>
      <c r="D465" s="116" t="str">
        <f t="shared" si="22"/>
        <v>3교시</v>
      </c>
      <c r="E465" s="68">
        <f>COUNTIF($H$7:$H465,$H465)</f>
        <v>21</v>
      </c>
      <c r="F465" s="67">
        <f>'1.연간시수표'!$AL$33</f>
        <v>5</v>
      </c>
      <c r="G465" s="115">
        <f t="shared" si="23"/>
        <v>2</v>
      </c>
      <c r="H465" s="41" t="str">
        <f>INDEX('0.시간표데이터'!$E$52:$AR$78,QUOTIENT(ROW(A459)-1,40)+1,MOD(ROW(A459)-1,40)+1)</f>
        <v>체육</v>
      </c>
      <c r="I465" s="77"/>
      <c r="J465" s="26"/>
      <c r="K465" s="180"/>
      <c r="L465" s="180"/>
      <c r="M465" s="10"/>
      <c r="N465" s="10"/>
      <c r="O465" s="10"/>
      <c r="P465" s="10"/>
      <c r="Q465" s="164"/>
      <c r="R465" s="110"/>
    </row>
    <row r="466" spans="1:18" ht="13.5" customHeight="1">
      <c r="A466" s="90">
        <v>460</v>
      </c>
      <c r="B466" s="24">
        <f>DATE('1.연간시수표'!$U$44,'1.연간시수표'!$X$44,'1.연간시수표'!$Z$44)+QUOTIENT(ROW(A460)-1,8)+(QUOTIENT(ROW(A460)-1,40)*2)</f>
        <v>44878</v>
      </c>
      <c r="C466" s="24" t="b">
        <f t="shared" si="21"/>
        <v>0</v>
      </c>
      <c r="D466" s="116" t="str">
        <f t="shared" si="22"/>
        <v>4교시</v>
      </c>
      <c r="E466" s="68">
        <f>COUNTIF($H$7:$H466,$H466)</f>
        <v>18</v>
      </c>
      <c r="F466" s="67">
        <f>'1.연간시수표'!$AL$33</f>
        <v>5</v>
      </c>
      <c r="G466" s="115">
        <f t="shared" si="23"/>
        <v>2</v>
      </c>
      <c r="H466" s="41" t="str">
        <f>INDEX('0.시간표데이터'!$E$52:$AR$78,QUOTIENT(ROW(A460)-1,40)+1,MOD(ROW(A460)-1,40)+1)</f>
        <v>음악</v>
      </c>
      <c r="I466" s="77"/>
      <c r="J466" s="26"/>
      <c r="K466" s="180"/>
      <c r="L466" s="180"/>
      <c r="M466" s="10"/>
      <c r="N466" s="10"/>
      <c r="O466" s="10"/>
      <c r="P466" s="10"/>
      <c r="Q466" s="164"/>
      <c r="R466" s="110"/>
    </row>
    <row r="467" spans="1:18" ht="13.5" customHeight="1">
      <c r="A467" s="90">
        <v>461</v>
      </c>
      <c r="B467" s="24">
        <f>DATE('1.연간시수표'!$U$44,'1.연간시수표'!$X$44,'1.연간시수표'!$Z$44)+QUOTIENT(ROW(A461)-1,8)+(QUOTIENT(ROW(A461)-1,40)*2)</f>
        <v>44878</v>
      </c>
      <c r="C467" s="24" t="b">
        <f t="shared" si="21"/>
        <v>0</v>
      </c>
      <c r="D467" s="116" t="str">
        <f t="shared" si="22"/>
        <v>5교시</v>
      </c>
      <c r="E467" s="68">
        <f>COUNTIF($H$7:$H467,$H467)</f>
        <v>11</v>
      </c>
      <c r="F467" s="67">
        <f>'1.연간시수표'!$AL$33</f>
        <v>5</v>
      </c>
      <c r="G467" s="115">
        <f t="shared" si="23"/>
        <v>2</v>
      </c>
      <c r="H467" s="41" t="str">
        <f>INDEX('0.시간표데이터'!$E$52:$AR$78,QUOTIENT(ROW(A461)-1,40)+1,MOD(ROW(A461)-1,40)+1)</f>
        <v>도덕</v>
      </c>
      <c r="I467" s="77"/>
      <c r="J467" s="26"/>
      <c r="K467" s="180"/>
      <c r="L467" s="180"/>
      <c r="M467" s="10"/>
      <c r="N467" s="10"/>
      <c r="O467" s="10"/>
      <c r="P467" s="10"/>
      <c r="Q467" s="164"/>
      <c r="R467" s="110"/>
    </row>
    <row r="468" spans="1:18" ht="13.5" customHeight="1">
      <c r="A468" s="90">
        <v>462</v>
      </c>
      <c r="B468" s="24">
        <f>DATE('1.연간시수표'!$U$44,'1.연간시수표'!$X$44,'1.연간시수표'!$Z$44)+QUOTIENT(ROW(A462)-1,8)+(QUOTIENT(ROW(A462)-1,40)*2)</f>
        <v>44878</v>
      </c>
      <c r="C468" s="24" t="b">
        <f t="shared" si="21"/>
        <v>0</v>
      </c>
      <c r="D468" s="116" t="str">
        <f t="shared" si="22"/>
        <v>6교시</v>
      </c>
      <c r="E468" s="68">
        <f>COUNTIF($H$7:$H468,$H468)</f>
        <v>167</v>
      </c>
      <c r="F468" s="67">
        <f>'1.연간시수표'!$AL$33</f>
        <v>5</v>
      </c>
      <c r="G468" s="115">
        <f t="shared" si="23"/>
        <v>2</v>
      </c>
      <c r="H468" s="41" t="str">
        <f>INDEX('0.시간표데이터'!$E$52:$AR$78,QUOTIENT(ROW(A462)-1,40)+1,MOD(ROW(A462)-1,40)+1)</f>
        <v>_</v>
      </c>
      <c r="I468" s="77"/>
      <c r="J468" s="26"/>
      <c r="K468" s="167"/>
      <c r="L468" s="167"/>
      <c r="M468" s="166"/>
      <c r="N468" s="166"/>
      <c r="O468" s="166"/>
      <c r="P468" s="166"/>
      <c r="Q468" s="167"/>
      <c r="R468" s="111"/>
    </row>
    <row r="469" spans="1:18" ht="13.5" customHeight="1">
      <c r="A469" s="90">
        <v>463</v>
      </c>
      <c r="B469" s="24">
        <f>DATE('1.연간시수표'!$U$44,'1.연간시수표'!$X$44,'1.연간시수표'!$Z$44)+QUOTIENT(ROW(A463)-1,8)+(QUOTIENT(ROW(A463)-1,40)*2)</f>
        <v>44878</v>
      </c>
      <c r="C469" s="24" t="b">
        <f t="shared" si="21"/>
        <v>0</v>
      </c>
      <c r="D469" s="116" t="str">
        <f t="shared" si="22"/>
        <v>7교시</v>
      </c>
      <c r="E469" s="68">
        <f>COUNTIF($H$7:$H469,$H469)</f>
        <v>168</v>
      </c>
      <c r="F469" s="67">
        <f>'1.연간시수표'!$AL$33</f>
        <v>5</v>
      </c>
      <c r="G469" s="115">
        <f t="shared" si="23"/>
        <v>2</v>
      </c>
      <c r="H469" s="41" t="str">
        <f>INDEX('0.시간표데이터'!$E$52:$AR$78,QUOTIENT(ROW(A463)-1,40)+1,MOD(ROW(A463)-1,40)+1)</f>
        <v>_</v>
      </c>
      <c r="I469" s="76"/>
      <c r="J469" s="26"/>
      <c r="K469" s="167"/>
      <c r="L469" s="167"/>
      <c r="M469" s="166"/>
      <c r="N469" s="166"/>
      <c r="O469" s="166"/>
      <c r="P469" s="166"/>
      <c r="Q469" s="167"/>
      <c r="R469" s="111"/>
    </row>
    <row r="470" spans="1:18" ht="13.5" customHeight="1">
      <c r="A470" s="90">
        <v>464</v>
      </c>
      <c r="B470" s="24">
        <f>DATE('1.연간시수표'!$U$44,'1.연간시수표'!$X$44,'1.연간시수표'!$Z$44)+QUOTIENT(ROW(A464)-1,8)+(QUOTIENT(ROW(A464)-1,40)*2)</f>
        <v>44878</v>
      </c>
      <c r="C470" s="24" t="b">
        <f t="shared" si="21"/>
        <v>0</v>
      </c>
      <c r="D470" s="116" t="str">
        <f t="shared" si="22"/>
        <v>8교시</v>
      </c>
      <c r="E470" s="68">
        <f>COUNTIF($H$7:$H470,$H470)</f>
        <v>169</v>
      </c>
      <c r="F470" s="67">
        <f>'1.연간시수표'!$AL$33</f>
        <v>5</v>
      </c>
      <c r="G470" s="115">
        <f t="shared" si="23"/>
        <v>2</v>
      </c>
      <c r="H470" s="41" t="str">
        <f>INDEX('0.시간표데이터'!$E$52:$AR$78,QUOTIENT(ROW(A464)-1,40)+1,MOD(ROW(A464)-1,40)+1)</f>
        <v>_</v>
      </c>
      <c r="I470" s="76"/>
      <c r="J470" s="26"/>
      <c r="K470" s="167"/>
      <c r="L470" s="167"/>
      <c r="M470" s="166"/>
      <c r="N470" s="166"/>
      <c r="O470" s="166"/>
      <c r="P470" s="166"/>
      <c r="Q470" s="167"/>
      <c r="R470" s="111"/>
    </row>
    <row r="471" spans="1:18" ht="13.5" customHeight="1">
      <c r="A471" s="90">
        <v>465</v>
      </c>
      <c r="B471" s="24">
        <f>DATE('1.연간시수표'!$U$44,'1.연간시수표'!$X$44,'1.연간시수표'!$Z$44)+QUOTIENT(ROW(A465)-1,8)+(QUOTIENT(ROW(A465)-1,40)*2)</f>
        <v>44879</v>
      </c>
      <c r="C471" s="24" t="str">
        <f t="shared" si="21"/>
        <v>월</v>
      </c>
      <c r="D471" s="116" t="str">
        <f t="shared" si="22"/>
        <v>1교시</v>
      </c>
      <c r="E471" s="68">
        <f>COUNTIF($H$7:$H471,$H471)</f>
        <v>170</v>
      </c>
      <c r="F471" s="67">
        <f>'1.연간시수표'!$AL$33</f>
        <v>5</v>
      </c>
      <c r="G471" s="115">
        <f t="shared" si="23"/>
        <v>2</v>
      </c>
      <c r="H471" s="41" t="str">
        <f>INDEX('0.시간표데이터'!$E$52:$AR$78,QUOTIENT(ROW(A465)-1,40)+1,MOD(ROW(A465)-1,40)+1)</f>
        <v>_</v>
      </c>
      <c r="I471" s="77"/>
      <c r="J471" s="26"/>
      <c r="K471" s="180"/>
      <c r="L471" s="180"/>
      <c r="M471" s="10"/>
      <c r="N471" s="10"/>
      <c r="O471" s="10"/>
      <c r="P471" s="10"/>
      <c r="Q471" s="164"/>
      <c r="R471" s="110"/>
    </row>
    <row r="472" spans="1:18" ht="13.5" customHeight="1">
      <c r="A472" s="90">
        <v>466</v>
      </c>
      <c r="B472" s="24">
        <f>DATE('1.연간시수표'!$U$44,'1.연간시수표'!$X$44,'1.연간시수표'!$Z$44)+QUOTIENT(ROW(A466)-1,8)+(QUOTIENT(ROW(A466)-1,40)*2)</f>
        <v>44879</v>
      </c>
      <c r="C472" s="24" t="str">
        <f t="shared" si="21"/>
        <v>월</v>
      </c>
      <c r="D472" s="116" t="str">
        <f t="shared" si="22"/>
        <v>2교시</v>
      </c>
      <c r="E472" s="68">
        <f>COUNTIF($H$7:$H472,$H472)</f>
        <v>35</v>
      </c>
      <c r="F472" s="67">
        <f>'1.연간시수표'!$AL$33</f>
        <v>5</v>
      </c>
      <c r="G472" s="115">
        <f t="shared" si="23"/>
        <v>2</v>
      </c>
      <c r="H472" s="41" t="str">
        <f>INDEX('0.시간표데이터'!$E$52:$AR$78,QUOTIENT(ROW(A466)-1,40)+1,MOD(ROW(A466)-1,40)+1)</f>
        <v>수학</v>
      </c>
      <c r="I472" s="161"/>
      <c r="J472" s="26"/>
      <c r="K472" s="180"/>
      <c r="L472" s="180"/>
      <c r="M472" s="10"/>
      <c r="N472" s="10"/>
      <c r="O472" s="10"/>
      <c r="P472" s="10"/>
      <c r="Q472" s="164"/>
      <c r="R472" s="110"/>
    </row>
    <row r="473" spans="1:18" ht="13.5" customHeight="1">
      <c r="A473" s="90">
        <v>467</v>
      </c>
      <c r="B473" s="24">
        <f>DATE('1.연간시수표'!$U$44,'1.연간시수표'!$X$44,'1.연간시수표'!$Z$44)+QUOTIENT(ROW(A467)-1,8)+(QUOTIENT(ROW(A467)-1,40)*2)</f>
        <v>44879</v>
      </c>
      <c r="C473" s="24" t="str">
        <f t="shared" si="21"/>
        <v>월</v>
      </c>
      <c r="D473" s="116" t="str">
        <f t="shared" si="22"/>
        <v>3교시</v>
      </c>
      <c r="E473" s="68">
        <f>COUNTIF($H$7:$H473,$H473)</f>
        <v>32</v>
      </c>
      <c r="F473" s="67">
        <f>'1.연간시수표'!$AL$33</f>
        <v>5</v>
      </c>
      <c r="G473" s="115">
        <f t="shared" si="23"/>
        <v>2</v>
      </c>
      <c r="H473" s="41" t="str">
        <f>INDEX('0.시간표데이터'!$E$52:$AR$78,QUOTIENT(ROW(A467)-1,40)+1,MOD(ROW(A467)-1,40)+1)</f>
        <v>사회</v>
      </c>
      <c r="I473" s="77"/>
      <c r="J473" s="26"/>
      <c r="K473" s="180"/>
      <c r="L473" s="180"/>
      <c r="M473" s="10"/>
      <c r="N473" s="10"/>
      <c r="O473" s="10"/>
      <c r="P473" s="10"/>
      <c r="Q473" s="164"/>
      <c r="R473" s="110"/>
    </row>
    <row r="474" spans="1:18" ht="13.5" customHeight="1">
      <c r="A474" s="90">
        <v>468</v>
      </c>
      <c r="B474" s="24">
        <f>DATE('1.연간시수표'!$U$44,'1.연간시수표'!$X$44,'1.연간시수표'!$Z$44)+QUOTIENT(ROW(A468)-1,8)+(QUOTIENT(ROW(A468)-1,40)*2)</f>
        <v>44879</v>
      </c>
      <c r="C474" s="24" t="str">
        <f t="shared" si="21"/>
        <v>월</v>
      </c>
      <c r="D474" s="116" t="str">
        <f t="shared" si="22"/>
        <v>4교시</v>
      </c>
      <c r="E474" s="68">
        <f>COUNTIF($H$7:$H474,$H474)</f>
        <v>31</v>
      </c>
      <c r="F474" s="67">
        <f>'1.연간시수표'!$AL$33</f>
        <v>5</v>
      </c>
      <c r="G474" s="115">
        <f t="shared" si="23"/>
        <v>2</v>
      </c>
      <c r="H474" s="41" t="str">
        <f>INDEX('0.시간표데이터'!$E$52:$AR$78,QUOTIENT(ROW(A468)-1,40)+1,MOD(ROW(A468)-1,40)+1)</f>
        <v>영어</v>
      </c>
      <c r="I474" s="77"/>
      <c r="J474" s="26"/>
      <c r="K474" s="164"/>
      <c r="L474" s="180"/>
      <c r="M474" s="10"/>
      <c r="N474" s="10"/>
      <c r="O474" s="10"/>
      <c r="P474" s="10"/>
      <c r="Q474" s="164"/>
      <c r="R474" s="110"/>
    </row>
    <row r="475" spans="1:18" ht="13.5" customHeight="1">
      <c r="A475" s="90">
        <v>469</v>
      </c>
      <c r="B475" s="24">
        <f>DATE('1.연간시수표'!$U$44,'1.연간시수표'!$X$44,'1.연간시수표'!$Z$44)+QUOTIENT(ROW(A469)-1,8)+(QUOTIENT(ROW(A469)-1,40)*2)</f>
        <v>44879</v>
      </c>
      <c r="C475" s="24" t="str">
        <f t="shared" si="21"/>
        <v>월</v>
      </c>
      <c r="D475" s="116" t="str">
        <f t="shared" si="22"/>
        <v>5교시</v>
      </c>
      <c r="E475" s="68">
        <f>COUNTIF($H$7:$H475,$H475)</f>
        <v>9</v>
      </c>
      <c r="F475" s="67">
        <f>'1.연간시수표'!$AL$33</f>
        <v>5</v>
      </c>
      <c r="G475" s="115">
        <f t="shared" si="23"/>
        <v>2</v>
      </c>
      <c r="H475" s="41" t="str">
        <f>INDEX('0.시간표데이터'!$E$52:$AR$78,QUOTIENT(ROW(A469)-1,40)+1,MOD(ROW(A469)-1,40)+1)</f>
        <v>동아리활동</v>
      </c>
      <c r="I475" s="77"/>
      <c r="J475" s="26"/>
      <c r="K475" s="180"/>
      <c r="L475" s="180"/>
      <c r="M475" s="10"/>
      <c r="N475" s="10"/>
      <c r="O475" s="10"/>
      <c r="P475" s="10"/>
      <c r="Q475" s="164"/>
      <c r="R475" s="110"/>
    </row>
    <row r="476" spans="1:18" ht="13.5" customHeight="1">
      <c r="A476" s="90">
        <v>470</v>
      </c>
      <c r="B476" s="24">
        <f>DATE('1.연간시수표'!$U$44,'1.연간시수표'!$X$44,'1.연간시수표'!$Z$44)+QUOTIENT(ROW(A470)-1,8)+(QUOTIENT(ROW(A470)-1,40)*2)</f>
        <v>44879</v>
      </c>
      <c r="C476" s="24" t="str">
        <f t="shared" si="21"/>
        <v>월</v>
      </c>
      <c r="D476" s="116" t="str">
        <f t="shared" si="22"/>
        <v>6교시</v>
      </c>
      <c r="E476" s="68">
        <f>COUNTIF($H$7:$H476,$H476)</f>
        <v>10</v>
      </c>
      <c r="F476" s="67">
        <f>'1.연간시수표'!$AL$33</f>
        <v>5</v>
      </c>
      <c r="G476" s="115">
        <f t="shared" si="23"/>
        <v>2</v>
      </c>
      <c r="H476" s="41" t="str">
        <f>INDEX('0.시간표데이터'!$E$52:$AR$78,QUOTIENT(ROW(A470)-1,40)+1,MOD(ROW(A470)-1,40)+1)</f>
        <v>동아리활동</v>
      </c>
      <c r="I476" s="161"/>
      <c r="J476" s="26"/>
      <c r="K476" s="180"/>
      <c r="L476" s="180"/>
      <c r="M476" s="10"/>
      <c r="N476" s="10"/>
      <c r="O476" s="10"/>
      <c r="P476" s="10"/>
      <c r="Q476" s="164"/>
      <c r="R476" s="110"/>
    </row>
    <row r="477" spans="1:18" ht="13.5" customHeight="1">
      <c r="A477" s="90">
        <v>471</v>
      </c>
      <c r="B477" s="24">
        <f>DATE('1.연간시수표'!$U$44,'1.연간시수표'!$X$44,'1.연간시수표'!$Z$44)+QUOTIENT(ROW(A471)-1,8)+(QUOTIENT(ROW(A471)-1,40)*2)</f>
        <v>44879</v>
      </c>
      <c r="C477" s="24" t="str">
        <f t="shared" si="21"/>
        <v>월</v>
      </c>
      <c r="D477" s="116" t="str">
        <f t="shared" si="22"/>
        <v>7교시</v>
      </c>
      <c r="E477" s="68">
        <f>COUNTIF($H$7:$H477,$H477)</f>
        <v>171</v>
      </c>
      <c r="F477" s="67">
        <f>'1.연간시수표'!$AL$33</f>
        <v>5</v>
      </c>
      <c r="G477" s="115">
        <f t="shared" si="23"/>
        <v>2</v>
      </c>
      <c r="H477" s="41" t="str">
        <f>INDEX('0.시간표데이터'!$E$52:$AR$78,QUOTIENT(ROW(A471)-1,40)+1,MOD(ROW(A471)-1,40)+1)</f>
        <v>_</v>
      </c>
      <c r="I477" s="76"/>
      <c r="J477" s="26"/>
      <c r="K477" s="167"/>
      <c r="L477" s="167"/>
      <c r="M477" s="166"/>
      <c r="N477" s="166"/>
      <c r="O477" s="166"/>
      <c r="P477" s="166"/>
      <c r="Q477" s="167"/>
      <c r="R477" s="111"/>
    </row>
    <row r="478" spans="1:18" ht="13.5" customHeight="1">
      <c r="A478" s="90">
        <v>472</v>
      </c>
      <c r="B478" s="24">
        <f>DATE('1.연간시수표'!$U$44,'1.연간시수표'!$X$44,'1.연간시수표'!$Z$44)+QUOTIENT(ROW(A472)-1,8)+(QUOTIENT(ROW(A472)-1,40)*2)</f>
        <v>44879</v>
      </c>
      <c r="C478" s="24" t="str">
        <f t="shared" si="21"/>
        <v>월</v>
      </c>
      <c r="D478" s="116" t="str">
        <f t="shared" si="22"/>
        <v>8교시</v>
      </c>
      <c r="E478" s="68">
        <f>COUNTIF($H$7:$H478,$H478)</f>
        <v>172</v>
      </c>
      <c r="F478" s="67">
        <f>'1.연간시수표'!$AL$33</f>
        <v>5</v>
      </c>
      <c r="G478" s="115">
        <f t="shared" si="23"/>
        <v>2</v>
      </c>
      <c r="H478" s="41" t="str">
        <f>INDEX('0.시간표데이터'!$E$52:$AR$78,QUOTIENT(ROW(A472)-1,40)+1,MOD(ROW(A472)-1,40)+1)</f>
        <v>_</v>
      </c>
      <c r="I478" s="76"/>
      <c r="J478" s="26"/>
      <c r="K478" s="167"/>
      <c r="L478" s="167"/>
      <c r="M478" s="166"/>
      <c r="N478" s="166"/>
      <c r="O478" s="166"/>
      <c r="P478" s="166"/>
      <c r="Q478" s="167"/>
      <c r="R478" s="111"/>
    </row>
    <row r="479" spans="1:18" ht="13.5" customHeight="1">
      <c r="A479" s="90">
        <v>473</v>
      </c>
      <c r="B479" s="24">
        <f>DATE('1.연간시수표'!$U$44,'1.연간시수표'!$X$44,'1.연간시수표'!$Z$44)+QUOTIENT(ROW(A473)-1,8)+(QUOTIENT(ROW(A473)-1,40)*2)</f>
        <v>44880</v>
      </c>
      <c r="C479" s="24" t="str">
        <f t="shared" si="21"/>
        <v>화</v>
      </c>
      <c r="D479" s="116" t="str">
        <f t="shared" si="22"/>
        <v>1교시</v>
      </c>
      <c r="E479" s="68">
        <f>COUNTIF($H$7:$H479,$H479)</f>
        <v>58</v>
      </c>
      <c r="F479" s="67">
        <f>'1.연간시수표'!$AL$33</f>
        <v>5</v>
      </c>
      <c r="G479" s="115">
        <f t="shared" si="23"/>
        <v>2</v>
      </c>
      <c r="H479" s="41" t="str">
        <f>INDEX('0.시간표데이터'!$E$52:$AR$78,QUOTIENT(ROW(A473)-1,40)+1,MOD(ROW(A473)-1,40)+1)</f>
        <v>국어</v>
      </c>
      <c r="I479" s="77"/>
      <c r="J479" s="26"/>
      <c r="K479" s="180"/>
      <c r="L479" s="180"/>
      <c r="M479" s="10"/>
      <c r="N479" s="10"/>
      <c r="O479" s="10"/>
      <c r="P479" s="10"/>
      <c r="Q479" s="164"/>
      <c r="R479" s="110"/>
    </row>
    <row r="480" spans="1:18" ht="13.5" customHeight="1">
      <c r="A480" s="90">
        <v>474</v>
      </c>
      <c r="B480" s="24">
        <f>DATE('1.연간시수표'!$U$44,'1.연간시수표'!$X$44,'1.연간시수표'!$Z$44)+QUOTIENT(ROW(A474)-1,8)+(QUOTIENT(ROW(A474)-1,40)*2)</f>
        <v>44880</v>
      </c>
      <c r="C480" s="24" t="str">
        <f t="shared" si="21"/>
        <v>화</v>
      </c>
      <c r="D480" s="116" t="str">
        <f t="shared" si="22"/>
        <v>2교시</v>
      </c>
      <c r="E480" s="68">
        <f>COUNTIF($H$7:$H480,$H480)</f>
        <v>22</v>
      </c>
      <c r="F480" s="67">
        <f>'1.연간시수표'!$AL$33</f>
        <v>5</v>
      </c>
      <c r="G480" s="115">
        <f t="shared" si="23"/>
        <v>2</v>
      </c>
      <c r="H480" s="41" t="str">
        <f>INDEX('0.시간표데이터'!$E$52:$AR$78,QUOTIENT(ROW(A474)-1,40)+1,MOD(ROW(A474)-1,40)+1)</f>
        <v>체육</v>
      </c>
      <c r="I480" s="77"/>
      <c r="J480" s="26"/>
      <c r="K480" s="180"/>
      <c r="L480" s="180"/>
      <c r="M480" s="10"/>
      <c r="N480" s="10"/>
      <c r="O480" s="10"/>
      <c r="P480" s="10"/>
      <c r="Q480" s="164"/>
      <c r="R480" s="110"/>
    </row>
    <row r="481" spans="1:18" ht="13.5" customHeight="1">
      <c r="A481" s="90">
        <v>475</v>
      </c>
      <c r="B481" s="24">
        <f>DATE('1.연간시수표'!$U$44,'1.연간시수표'!$X$44,'1.연간시수표'!$Z$44)+QUOTIENT(ROW(A475)-1,8)+(QUOTIENT(ROW(A475)-1,40)*2)</f>
        <v>44880</v>
      </c>
      <c r="C481" s="24" t="str">
        <f t="shared" si="21"/>
        <v>화</v>
      </c>
      <c r="D481" s="116" t="str">
        <f t="shared" si="22"/>
        <v>3교시</v>
      </c>
      <c r="E481" s="68">
        <f>COUNTIF($H$7:$H481,$H481)</f>
        <v>36</v>
      </c>
      <c r="F481" s="67">
        <f>'1.연간시수표'!$AL$33</f>
        <v>5</v>
      </c>
      <c r="G481" s="115">
        <f t="shared" si="23"/>
        <v>2</v>
      </c>
      <c r="H481" s="41" t="str">
        <f>INDEX('0.시간표데이터'!$E$52:$AR$78,QUOTIENT(ROW(A475)-1,40)+1,MOD(ROW(A475)-1,40)+1)</f>
        <v>수학</v>
      </c>
      <c r="I481" s="77"/>
      <c r="J481" s="26"/>
      <c r="K481" s="180"/>
      <c r="L481" s="180"/>
      <c r="M481" s="10"/>
      <c r="N481" s="10"/>
      <c r="O481" s="10"/>
      <c r="P481" s="10"/>
      <c r="Q481" s="164"/>
      <c r="R481" s="110"/>
    </row>
    <row r="482" spans="1:18" ht="13.5" customHeight="1">
      <c r="A482" s="90">
        <v>476</v>
      </c>
      <c r="B482" s="24">
        <f>DATE('1.연간시수표'!$U$44,'1.연간시수표'!$X$44,'1.연간시수표'!$Z$44)+QUOTIENT(ROW(A476)-1,8)+(QUOTIENT(ROW(A476)-1,40)*2)</f>
        <v>44880</v>
      </c>
      <c r="C482" s="24" t="str">
        <f t="shared" si="21"/>
        <v>화</v>
      </c>
      <c r="D482" s="116" t="str">
        <f t="shared" si="22"/>
        <v>4교시</v>
      </c>
      <c r="E482" s="68">
        <f>COUNTIF($H$7:$H482,$H482)</f>
        <v>59</v>
      </c>
      <c r="F482" s="67">
        <f>'1.연간시수표'!$AL$33</f>
        <v>5</v>
      </c>
      <c r="G482" s="115">
        <f t="shared" si="23"/>
        <v>2</v>
      </c>
      <c r="H482" s="41" t="str">
        <f>INDEX('0.시간표데이터'!$E$52:$AR$78,QUOTIENT(ROW(A476)-1,40)+1,MOD(ROW(A476)-1,40)+1)</f>
        <v>국어</v>
      </c>
      <c r="I482" s="77"/>
      <c r="J482" s="26"/>
      <c r="K482" s="180"/>
      <c r="L482" s="180"/>
      <c r="M482" s="10"/>
      <c r="N482" s="10"/>
      <c r="O482" s="10"/>
      <c r="P482" s="10"/>
      <c r="Q482" s="164"/>
      <c r="R482" s="110"/>
    </row>
    <row r="483" spans="1:18" ht="13.5" customHeight="1">
      <c r="A483" s="90">
        <v>477</v>
      </c>
      <c r="B483" s="24">
        <f>DATE('1.연간시수표'!$U$44,'1.연간시수표'!$X$44,'1.연간시수표'!$Z$44)+QUOTIENT(ROW(A477)-1,8)+(QUOTIENT(ROW(A477)-1,40)*2)</f>
        <v>44880</v>
      </c>
      <c r="C483" s="24" t="str">
        <f t="shared" si="21"/>
        <v>화</v>
      </c>
      <c r="D483" s="116" t="str">
        <f t="shared" si="22"/>
        <v>5교시</v>
      </c>
      <c r="E483" s="68">
        <f>COUNTIF($H$7:$H483,$H483)</f>
        <v>33</v>
      </c>
      <c r="F483" s="67">
        <f>'1.연간시수표'!$AL$33</f>
        <v>5</v>
      </c>
      <c r="G483" s="115">
        <f t="shared" si="23"/>
        <v>2</v>
      </c>
      <c r="H483" s="41" t="str">
        <f>INDEX('0.시간표데이터'!$E$52:$AR$78,QUOTIENT(ROW(A477)-1,40)+1,MOD(ROW(A477)-1,40)+1)</f>
        <v>사회</v>
      </c>
      <c r="I483" s="77"/>
      <c r="J483" s="26"/>
      <c r="K483" s="180"/>
      <c r="L483" s="180"/>
      <c r="M483" s="10"/>
      <c r="N483" s="10"/>
      <c r="O483" s="10"/>
      <c r="P483" s="10"/>
      <c r="Q483" s="164"/>
      <c r="R483" s="110"/>
    </row>
    <row r="484" spans="1:18" ht="13.5" customHeight="1">
      <c r="A484" s="90">
        <v>478</v>
      </c>
      <c r="B484" s="24">
        <f>DATE('1.연간시수표'!$U$44,'1.연간시수표'!$X$44,'1.연간시수표'!$Z$44)+QUOTIENT(ROW(A478)-1,8)+(QUOTIENT(ROW(A478)-1,40)*2)</f>
        <v>44880</v>
      </c>
      <c r="C484" s="24" t="str">
        <f t="shared" si="21"/>
        <v>화</v>
      </c>
      <c r="D484" s="116" t="str">
        <f t="shared" si="22"/>
        <v>6교시</v>
      </c>
      <c r="E484" s="68">
        <f>COUNTIF($H$7:$H484,$H484)</f>
        <v>22</v>
      </c>
      <c r="F484" s="67">
        <f>'1.연간시수표'!$AL$33</f>
        <v>5</v>
      </c>
      <c r="G484" s="115">
        <f t="shared" si="23"/>
        <v>2</v>
      </c>
      <c r="H484" s="41" t="str">
        <f>INDEX('0.시간표데이터'!$E$52:$AR$78,QUOTIENT(ROW(A478)-1,40)+1,MOD(ROW(A478)-1,40)+1)</f>
        <v>실과</v>
      </c>
      <c r="I484" s="77"/>
      <c r="J484" s="26"/>
      <c r="K484" s="180"/>
      <c r="L484" s="180"/>
      <c r="M484" s="10"/>
      <c r="N484" s="10"/>
      <c r="O484" s="10"/>
      <c r="P484" s="10"/>
      <c r="Q484" s="164"/>
      <c r="R484" s="110"/>
    </row>
    <row r="485" spans="1:18" ht="13.5" customHeight="1">
      <c r="A485" s="90">
        <v>479</v>
      </c>
      <c r="B485" s="24">
        <f>DATE('1.연간시수표'!$U$44,'1.연간시수표'!$X$44,'1.연간시수표'!$Z$44)+QUOTIENT(ROW(A479)-1,8)+(QUOTIENT(ROW(A479)-1,40)*2)</f>
        <v>44880</v>
      </c>
      <c r="C485" s="24" t="str">
        <f t="shared" si="21"/>
        <v>화</v>
      </c>
      <c r="D485" s="116" t="str">
        <f t="shared" si="22"/>
        <v>7교시</v>
      </c>
      <c r="E485" s="68">
        <f>COUNTIF($H$7:$H485,$H485)</f>
        <v>173</v>
      </c>
      <c r="F485" s="67">
        <f>'1.연간시수표'!$AL$33</f>
        <v>5</v>
      </c>
      <c r="G485" s="115">
        <f t="shared" si="23"/>
        <v>2</v>
      </c>
      <c r="H485" s="41" t="str">
        <f>INDEX('0.시간표데이터'!$E$52:$AR$78,QUOTIENT(ROW(A479)-1,40)+1,MOD(ROW(A479)-1,40)+1)</f>
        <v>_</v>
      </c>
      <c r="I485" s="76"/>
      <c r="J485" s="26"/>
      <c r="K485" s="167"/>
      <c r="L485" s="167"/>
      <c r="M485" s="166"/>
      <c r="N485" s="166"/>
      <c r="O485" s="166"/>
      <c r="P485" s="166"/>
      <c r="Q485" s="167"/>
      <c r="R485" s="111"/>
    </row>
    <row r="486" spans="1:18" ht="13.5" customHeight="1">
      <c r="A486" s="90">
        <v>480</v>
      </c>
      <c r="B486" s="24">
        <f>DATE('1.연간시수표'!$U$44,'1.연간시수표'!$X$44,'1.연간시수표'!$Z$44)+QUOTIENT(ROW(A480)-1,8)+(QUOTIENT(ROW(A480)-1,40)*2)</f>
        <v>44880</v>
      </c>
      <c r="C486" s="24" t="str">
        <f t="shared" si="21"/>
        <v>화</v>
      </c>
      <c r="D486" s="116" t="str">
        <f t="shared" si="22"/>
        <v>8교시</v>
      </c>
      <c r="E486" s="68">
        <f>COUNTIF($H$7:$H486,$H486)</f>
        <v>174</v>
      </c>
      <c r="F486" s="67">
        <f>'1.연간시수표'!$AL$33</f>
        <v>5</v>
      </c>
      <c r="G486" s="115">
        <f t="shared" si="23"/>
        <v>2</v>
      </c>
      <c r="H486" s="41" t="str">
        <f>INDEX('0.시간표데이터'!$E$52:$AR$78,QUOTIENT(ROW(A480)-1,40)+1,MOD(ROW(A480)-1,40)+1)</f>
        <v>_</v>
      </c>
      <c r="I486" s="76"/>
      <c r="J486" s="26"/>
      <c r="K486" s="167"/>
      <c r="L486" s="167"/>
      <c r="M486" s="166"/>
      <c r="N486" s="166"/>
      <c r="O486" s="166"/>
      <c r="P486" s="166"/>
      <c r="Q486" s="167"/>
      <c r="R486" s="111"/>
    </row>
    <row r="487" spans="1:18">
      <c r="A487" s="90">
        <v>481</v>
      </c>
      <c r="B487" s="24">
        <f>DATE('1.연간시수표'!$U$44,'1.연간시수표'!$X$44,'1.연간시수표'!$Z$44)+QUOTIENT(ROW(A481)-1,8)+(QUOTIENT(ROW(A481)-1,40)*2)</f>
        <v>44883</v>
      </c>
      <c r="C487" s="24" t="str">
        <f t="shared" si="21"/>
        <v>금</v>
      </c>
      <c r="D487" s="116" t="str">
        <f t="shared" si="22"/>
        <v>1교시</v>
      </c>
      <c r="E487" s="68">
        <f>COUNTIF($H$7:$H487,$H487)</f>
        <v>60</v>
      </c>
      <c r="F487" s="67">
        <f>'1.연간시수표'!$AL$33</f>
        <v>5</v>
      </c>
      <c r="G487" s="115">
        <f t="shared" si="23"/>
        <v>2</v>
      </c>
      <c r="H487" s="41" t="str">
        <f>INDEX('0.시간표데이터'!$E$52:$AR$78,QUOTIENT(ROW(A481)-1,40)+1,MOD(ROW(A481)-1,40)+1)</f>
        <v>국어</v>
      </c>
      <c r="I487" s="77"/>
      <c r="J487" s="26"/>
      <c r="K487" s="164"/>
      <c r="L487" s="164"/>
      <c r="M487" s="10"/>
      <c r="N487" s="10"/>
      <c r="O487" s="10"/>
      <c r="P487" s="10"/>
      <c r="Q487" s="164"/>
      <c r="R487" s="110"/>
    </row>
    <row r="488" spans="1:18">
      <c r="A488" s="90">
        <v>482</v>
      </c>
      <c r="B488" s="24">
        <f>DATE('1.연간시수표'!$U$44,'1.연간시수표'!$X$44,'1.연간시수표'!$Z$44)+QUOTIENT(ROW(A482)-1,8)+(QUOTIENT(ROW(A482)-1,40)*2)</f>
        <v>44883</v>
      </c>
      <c r="C488" s="24" t="str">
        <f t="shared" si="21"/>
        <v>금</v>
      </c>
      <c r="D488" s="116" t="str">
        <f t="shared" si="22"/>
        <v>2교시</v>
      </c>
      <c r="E488" s="68">
        <f>COUNTIF($H$7:$H488,$H488)</f>
        <v>17</v>
      </c>
      <c r="F488" s="67">
        <f>'1.연간시수표'!$AL$33</f>
        <v>5</v>
      </c>
      <c r="G488" s="115">
        <f t="shared" si="23"/>
        <v>2</v>
      </c>
      <c r="H488" s="41" t="str">
        <f>INDEX('0.시간표데이터'!$E$52:$AR$78,QUOTIENT(ROW(A482)-1,40)+1,MOD(ROW(A482)-1,40)+1)</f>
        <v>미술</v>
      </c>
      <c r="I488" s="161"/>
      <c r="J488" s="26"/>
      <c r="K488" s="180"/>
      <c r="L488" s="180"/>
      <c r="M488" s="10"/>
      <c r="N488" s="10"/>
      <c r="O488" s="10"/>
      <c r="P488" s="10"/>
      <c r="Q488" s="164"/>
      <c r="R488" s="110"/>
    </row>
    <row r="489" spans="1:18" ht="13.5" customHeight="1">
      <c r="A489" s="90">
        <v>483</v>
      </c>
      <c r="B489" s="24">
        <f>DATE('1.연간시수표'!$U$44,'1.연간시수표'!$X$44,'1.연간시수표'!$Z$44)+QUOTIENT(ROW(A483)-1,8)+(QUOTIENT(ROW(A483)-1,40)*2)</f>
        <v>44883</v>
      </c>
      <c r="C489" s="24" t="str">
        <f t="shared" si="21"/>
        <v>금</v>
      </c>
      <c r="D489" s="116" t="str">
        <f t="shared" si="22"/>
        <v>3교시</v>
      </c>
      <c r="E489" s="68">
        <f>COUNTIF($H$7:$H489,$H489)</f>
        <v>18</v>
      </c>
      <c r="F489" s="67">
        <f>'1.연간시수표'!$AL$33</f>
        <v>5</v>
      </c>
      <c r="G489" s="115">
        <f t="shared" si="23"/>
        <v>2</v>
      </c>
      <c r="H489" s="41" t="str">
        <f>INDEX('0.시간표데이터'!$E$52:$AR$78,QUOTIENT(ROW(A483)-1,40)+1,MOD(ROW(A483)-1,40)+1)</f>
        <v>미술</v>
      </c>
      <c r="I489" s="77"/>
      <c r="J489" s="26"/>
      <c r="K489" s="180"/>
      <c r="L489" s="180"/>
      <c r="M489" s="10"/>
      <c r="N489" s="10"/>
      <c r="O489" s="10"/>
      <c r="P489" s="10"/>
      <c r="Q489" s="164"/>
      <c r="R489" s="110"/>
    </row>
    <row r="490" spans="1:18" ht="13.5" customHeight="1">
      <c r="A490" s="90">
        <v>484</v>
      </c>
      <c r="B490" s="24">
        <f>DATE('1.연간시수표'!$U$44,'1.연간시수표'!$X$44,'1.연간시수표'!$Z$44)+QUOTIENT(ROW(A484)-1,8)+(QUOTIENT(ROW(A484)-1,40)*2)</f>
        <v>44883</v>
      </c>
      <c r="C490" s="24" t="str">
        <f t="shared" si="21"/>
        <v>금</v>
      </c>
      <c r="D490" s="116" t="str">
        <f t="shared" si="22"/>
        <v>4교시</v>
      </c>
      <c r="E490" s="68">
        <f>COUNTIF($H$7:$H490,$H490)</f>
        <v>32</v>
      </c>
      <c r="F490" s="67">
        <f>'1.연간시수표'!$AL$33</f>
        <v>5</v>
      </c>
      <c r="G490" s="115">
        <f t="shared" si="23"/>
        <v>2</v>
      </c>
      <c r="H490" s="41" t="str">
        <f>INDEX('0.시간표데이터'!$E$52:$AR$78,QUOTIENT(ROW(A484)-1,40)+1,MOD(ROW(A484)-1,40)+1)</f>
        <v>영어</v>
      </c>
      <c r="I490" s="77"/>
      <c r="J490" s="26"/>
      <c r="K490" s="180"/>
      <c r="L490" s="180"/>
      <c r="M490" s="10"/>
      <c r="N490" s="10"/>
      <c r="O490" s="10"/>
      <c r="P490" s="10"/>
      <c r="Q490" s="164"/>
      <c r="R490" s="110"/>
    </row>
    <row r="491" spans="1:18" ht="13.5" customHeight="1">
      <c r="A491" s="90">
        <v>485</v>
      </c>
      <c r="B491" s="24">
        <f>DATE('1.연간시수표'!$U$44,'1.연간시수표'!$X$44,'1.연간시수표'!$Z$44)+QUOTIENT(ROW(A485)-1,8)+(QUOTIENT(ROW(A485)-1,40)*2)</f>
        <v>44883</v>
      </c>
      <c r="C491" s="24" t="str">
        <f t="shared" si="21"/>
        <v>금</v>
      </c>
      <c r="D491" s="116" t="str">
        <f t="shared" si="22"/>
        <v>5교시</v>
      </c>
      <c r="E491" s="68">
        <f>COUNTIF($H$7:$H491,$H491)</f>
        <v>37</v>
      </c>
      <c r="F491" s="67">
        <f>'1.연간시수표'!$AL$33</f>
        <v>5</v>
      </c>
      <c r="G491" s="115">
        <f t="shared" si="23"/>
        <v>2</v>
      </c>
      <c r="H491" s="41" t="str">
        <f>INDEX('0.시간표데이터'!$E$52:$AR$78,QUOTIENT(ROW(A485)-1,40)+1,MOD(ROW(A485)-1,40)+1)</f>
        <v>수학</v>
      </c>
      <c r="I491" s="77"/>
      <c r="J491" s="26"/>
      <c r="K491" s="180"/>
      <c r="L491" s="180"/>
      <c r="M491" s="10"/>
      <c r="N491" s="10"/>
      <c r="O491" s="10"/>
      <c r="P491" s="10"/>
      <c r="Q491" s="164"/>
      <c r="R491" s="110"/>
    </row>
    <row r="492" spans="1:18" ht="13.5" customHeight="1">
      <c r="A492" s="90">
        <v>486</v>
      </c>
      <c r="B492" s="24">
        <f>DATE('1.연간시수표'!$U$44,'1.연간시수표'!$X$44,'1.연간시수표'!$Z$44)+QUOTIENT(ROW(A486)-1,8)+(QUOTIENT(ROW(A486)-1,40)*2)</f>
        <v>44883</v>
      </c>
      <c r="C492" s="24" t="str">
        <f t="shared" si="21"/>
        <v>금</v>
      </c>
      <c r="D492" s="116" t="str">
        <f t="shared" si="22"/>
        <v>6교시</v>
      </c>
      <c r="E492" s="68">
        <f>COUNTIF($H$7:$H492,$H492)</f>
        <v>17</v>
      </c>
      <c r="F492" s="67">
        <f>'1.연간시수표'!$AL$33</f>
        <v>5</v>
      </c>
      <c r="G492" s="115">
        <f t="shared" si="23"/>
        <v>2</v>
      </c>
      <c r="H492" s="41" t="str">
        <f>INDEX('0.시간표데이터'!$E$52:$AR$78,QUOTIENT(ROW(A486)-1,40)+1,MOD(ROW(A486)-1,40)+1)</f>
        <v>자율활동</v>
      </c>
      <c r="I492" s="77"/>
      <c r="J492" s="26"/>
      <c r="K492" s="167"/>
      <c r="L492" s="167"/>
      <c r="M492" s="166"/>
      <c r="N492" s="166"/>
      <c r="O492" s="166"/>
      <c r="P492" s="166"/>
      <c r="Q492" s="167"/>
      <c r="R492" s="111"/>
    </row>
    <row r="493" spans="1:18" ht="13.5" customHeight="1">
      <c r="A493" s="90">
        <v>487</v>
      </c>
      <c r="B493" s="24">
        <f>DATE('1.연간시수표'!$U$44,'1.연간시수표'!$X$44,'1.연간시수표'!$Z$44)+QUOTIENT(ROW(A487)-1,8)+(QUOTIENT(ROW(A487)-1,40)*2)</f>
        <v>44883</v>
      </c>
      <c r="C493" s="24" t="str">
        <f t="shared" si="21"/>
        <v>금</v>
      </c>
      <c r="D493" s="116" t="str">
        <f t="shared" si="22"/>
        <v>7교시</v>
      </c>
      <c r="E493" s="68">
        <f>COUNTIF($H$7:$H493,$H493)</f>
        <v>175</v>
      </c>
      <c r="F493" s="67">
        <f>'1.연간시수표'!$AL$33</f>
        <v>5</v>
      </c>
      <c r="G493" s="115">
        <f t="shared" si="23"/>
        <v>2</v>
      </c>
      <c r="H493" s="41" t="str">
        <f>INDEX('0.시간표데이터'!$E$52:$AR$78,QUOTIENT(ROW(A487)-1,40)+1,MOD(ROW(A487)-1,40)+1)</f>
        <v>_</v>
      </c>
      <c r="I493" s="76"/>
      <c r="J493" s="26"/>
      <c r="K493" s="167"/>
      <c r="L493" s="167"/>
      <c r="M493" s="166"/>
      <c r="N493" s="166"/>
      <c r="O493" s="166"/>
      <c r="P493" s="166"/>
      <c r="Q493" s="167"/>
      <c r="R493" s="111"/>
    </row>
    <row r="494" spans="1:18" ht="13.5" customHeight="1">
      <c r="A494" s="90">
        <v>488</v>
      </c>
      <c r="B494" s="24">
        <f>DATE('1.연간시수표'!$U$44,'1.연간시수표'!$X$44,'1.연간시수표'!$Z$44)+QUOTIENT(ROW(A488)-1,8)+(QUOTIENT(ROW(A488)-1,40)*2)</f>
        <v>44883</v>
      </c>
      <c r="C494" s="24" t="str">
        <f t="shared" si="21"/>
        <v>금</v>
      </c>
      <c r="D494" s="116" t="str">
        <f t="shared" si="22"/>
        <v>8교시</v>
      </c>
      <c r="E494" s="68">
        <f>COUNTIF($H$7:$H494,$H494)</f>
        <v>176</v>
      </c>
      <c r="F494" s="67">
        <f>'1.연간시수표'!$AL$33</f>
        <v>5</v>
      </c>
      <c r="G494" s="115">
        <f t="shared" si="23"/>
        <v>2</v>
      </c>
      <c r="H494" s="41" t="str">
        <f>INDEX('0.시간표데이터'!$E$52:$AR$78,QUOTIENT(ROW(A488)-1,40)+1,MOD(ROW(A488)-1,40)+1)</f>
        <v>_</v>
      </c>
      <c r="I494" s="76"/>
      <c r="J494" s="26"/>
      <c r="K494" s="167"/>
      <c r="L494" s="167"/>
      <c r="M494" s="166"/>
      <c r="N494" s="166"/>
      <c r="O494" s="166"/>
      <c r="P494" s="166"/>
      <c r="Q494" s="167"/>
      <c r="R494" s="111"/>
    </row>
    <row r="495" spans="1:18" ht="13.5" customHeight="1">
      <c r="A495" s="90">
        <v>489</v>
      </c>
      <c r="B495" s="24">
        <f>DATE('1.연간시수표'!$U$44,'1.연간시수표'!$X$44,'1.연간시수표'!$Z$44)+QUOTIENT(ROW(A489)-1,8)+(QUOTIENT(ROW(A489)-1,40)*2)</f>
        <v>44884</v>
      </c>
      <c r="C495" s="24" t="b">
        <f t="shared" si="21"/>
        <v>0</v>
      </c>
      <c r="D495" s="116" t="str">
        <f t="shared" si="22"/>
        <v>1교시</v>
      </c>
      <c r="E495" s="68">
        <f>COUNTIF($H$7:$H495,$H495)</f>
        <v>2</v>
      </c>
      <c r="F495" s="67">
        <f>'1.연간시수표'!$AL$33</f>
        <v>5</v>
      </c>
      <c r="G495" s="115">
        <f t="shared" si="23"/>
        <v>2</v>
      </c>
      <c r="H495" s="41" t="str">
        <f>INDEX('0.시간표데이터'!$E$52:$AR$78,QUOTIENT(ROW(A489)-1,40)+1,MOD(ROW(A489)-1,40)+1)</f>
        <v>진로활동</v>
      </c>
      <c r="I495" s="77"/>
      <c r="J495" s="26"/>
      <c r="K495" s="180"/>
      <c r="L495" s="180"/>
      <c r="M495" s="10"/>
      <c r="N495" s="10"/>
      <c r="O495" s="10"/>
      <c r="P495" s="10"/>
      <c r="Q495" s="164"/>
      <c r="R495" s="110"/>
    </row>
    <row r="496" spans="1:18" ht="13.5" customHeight="1">
      <c r="A496" s="90">
        <v>490</v>
      </c>
      <c r="B496" s="24">
        <f>DATE('1.연간시수표'!$U$44,'1.연간시수표'!$X$44,'1.연간시수표'!$Z$44)+QUOTIENT(ROW(A490)-1,8)+(QUOTIENT(ROW(A490)-1,40)*2)</f>
        <v>44884</v>
      </c>
      <c r="C496" s="24" t="b">
        <f t="shared" si="21"/>
        <v>0</v>
      </c>
      <c r="D496" s="116" t="str">
        <f t="shared" si="22"/>
        <v>2교시</v>
      </c>
      <c r="E496" s="68">
        <f>COUNTIF($H$7:$H496,$H496)</f>
        <v>61</v>
      </c>
      <c r="F496" s="67">
        <f>'1.연간시수표'!$AL$33</f>
        <v>5</v>
      </c>
      <c r="G496" s="115">
        <f t="shared" si="23"/>
        <v>2</v>
      </c>
      <c r="H496" s="41" t="str">
        <f>INDEX('0.시간표데이터'!$E$52:$AR$78,QUOTIENT(ROW(A490)-1,40)+1,MOD(ROW(A490)-1,40)+1)</f>
        <v>국어</v>
      </c>
      <c r="I496" s="161"/>
      <c r="J496" s="26"/>
      <c r="K496" s="180"/>
      <c r="L496" s="180"/>
      <c r="M496" s="10"/>
      <c r="N496" s="10"/>
      <c r="O496" s="10"/>
      <c r="P496" s="10"/>
      <c r="Q496" s="164"/>
      <c r="R496" s="110"/>
    </row>
    <row r="497" spans="1:18" ht="13.5" customHeight="1">
      <c r="A497" s="90">
        <v>491</v>
      </c>
      <c r="B497" s="24">
        <f>DATE('1.연간시수표'!$U$44,'1.연간시수표'!$X$44,'1.연간시수표'!$Z$44)+QUOTIENT(ROW(A491)-1,8)+(QUOTIENT(ROW(A491)-1,40)*2)</f>
        <v>44884</v>
      </c>
      <c r="C497" s="24" t="b">
        <f t="shared" si="21"/>
        <v>0</v>
      </c>
      <c r="D497" s="116" t="str">
        <f t="shared" si="22"/>
        <v>3교시</v>
      </c>
      <c r="E497" s="68">
        <f>COUNTIF($H$7:$H497,$H497)</f>
        <v>34</v>
      </c>
      <c r="F497" s="67">
        <f>'1.연간시수표'!$AL$33</f>
        <v>5</v>
      </c>
      <c r="G497" s="115">
        <f t="shared" si="23"/>
        <v>2</v>
      </c>
      <c r="H497" s="41" t="str">
        <f>INDEX('0.시간표데이터'!$E$52:$AR$78,QUOTIENT(ROW(A491)-1,40)+1,MOD(ROW(A491)-1,40)+1)</f>
        <v>사회</v>
      </c>
      <c r="I497" s="77"/>
      <c r="J497" s="26"/>
      <c r="K497" s="164"/>
      <c r="L497" s="164"/>
      <c r="M497" s="10"/>
      <c r="N497" s="10"/>
      <c r="O497" s="10"/>
      <c r="P497" s="10"/>
      <c r="Q497" s="164"/>
      <c r="R497" s="110"/>
    </row>
    <row r="498" spans="1:18" ht="13.5" customHeight="1">
      <c r="A498" s="90">
        <v>492</v>
      </c>
      <c r="B498" s="24">
        <f>DATE('1.연간시수표'!$U$44,'1.연간시수표'!$X$44,'1.연간시수표'!$Z$44)+QUOTIENT(ROW(A492)-1,8)+(QUOTIENT(ROW(A492)-1,40)*2)</f>
        <v>44884</v>
      </c>
      <c r="C498" s="24" t="b">
        <f t="shared" si="21"/>
        <v>0</v>
      </c>
      <c r="D498" s="116" t="str">
        <f t="shared" si="22"/>
        <v>4교시</v>
      </c>
      <c r="E498" s="68">
        <f>COUNTIF($H$7:$H498,$H498)</f>
        <v>38</v>
      </c>
      <c r="F498" s="67">
        <f>'1.연간시수표'!$AL$33</f>
        <v>5</v>
      </c>
      <c r="G498" s="115">
        <f t="shared" si="23"/>
        <v>2</v>
      </c>
      <c r="H498" s="41" t="str">
        <f>INDEX('0.시간표데이터'!$E$52:$AR$78,QUOTIENT(ROW(A492)-1,40)+1,MOD(ROW(A492)-1,40)+1)</f>
        <v>수학</v>
      </c>
      <c r="I498" s="77"/>
      <c r="J498" s="26"/>
      <c r="K498" s="180"/>
      <c r="L498" s="180"/>
      <c r="M498" s="10"/>
      <c r="N498" s="10"/>
      <c r="O498" s="10"/>
      <c r="P498" s="10"/>
      <c r="Q498" s="164"/>
      <c r="R498" s="110"/>
    </row>
    <row r="499" spans="1:18" ht="13.5" customHeight="1">
      <c r="A499" s="90">
        <v>493</v>
      </c>
      <c r="B499" s="24">
        <f>DATE('1.연간시수표'!$U$44,'1.연간시수표'!$X$44,'1.연간시수표'!$Z$44)+QUOTIENT(ROW(A493)-1,8)+(QUOTIENT(ROW(A493)-1,40)*2)</f>
        <v>44884</v>
      </c>
      <c r="C499" s="24" t="b">
        <f t="shared" si="21"/>
        <v>0</v>
      </c>
      <c r="D499" s="116" t="str">
        <f t="shared" si="22"/>
        <v>5교시</v>
      </c>
      <c r="E499" s="68">
        <f>COUNTIF($H$7:$H499,$H499)</f>
        <v>30</v>
      </c>
      <c r="F499" s="67">
        <f>'1.연간시수표'!$AL$33</f>
        <v>5</v>
      </c>
      <c r="G499" s="115">
        <f t="shared" si="23"/>
        <v>2</v>
      </c>
      <c r="H499" s="41" t="str">
        <f>INDEX('0.시간표데이터'!$E$52:$AR$78,QUOTIENT(ROW(A493)-1,40)+1,MOD(ROW(A493)-1,40)+1)</f>
        <v>과학</v>
      </c>
      <c r="I499" s="77"/>
      <c r="J499" s="26"/>
      <c r="K499" s="180"/>
      <c r="L499" s="180"/>
      <c r="M499" s="10"/>
      <c r="N499" s="10"/>
      <c r="O499" s="10"/>
      <c r="P499" s="10"/>
      <c r="Q499" s="164"/>
      <c r="R499" s="110"/>
    </row>
    <row r="500" spans="1:18" ht="13.5" customHeight="1">
      <c r="A500" s="90">
        <v>494</v>
      </c>
      <c r="B500" s="24">
        <f>DATE('1.연간시수표'!$U$44,'1.연간시수표'!$X$44,'1.연간시수표'!$Z$44)+QUOTIENT(ROW(A494)-1,8)+(QUOTIENT(ROW(A494)-1,40)*2)</f>
        <v>44884</v>
      </c>
      <c r="C500" s="24" t="b">
        <f t="shared" si="21"/>
        <v>0</v>
      </c>
      <c r="D500" s="116" t="str">
        <f t="shared" si="22"/>
        <v>6교시</v>
      </c>
      <c r="E500" s="68">
        <f>COUNTIF($H$7:$H500,$H500)</f>
        <v>23</v>
      </c>
      <c r="F500" s="67">
        <f>'1.연간시수표'!$AL$33</f>
        <v>5</v>
      </c>
      <c r="G500" s="115">
        <f t="shared" si="23"/>
        <v>2</v>
      </c>
      <c r="H500" s="41" t="str">
        <f>INDEX('0.시간표데이터'!$E$52:$AR$78,QUOTIENT(ROW(A494)-1,40)+1,MOD(ROW(A494)-1,40)+1)</f>
        <v>실과</v>
      </c>
      <c r="I500" s="77"/>
      <c r="J500" s="26"/>
      <c r="K500" s="167"/>
      <c r="L500" s="167"/>
      <c r="M500" s="166"/>
      <c r="N500" s="166"/>
      <c r="O500" s="166"/>
      <c r="P500" s="166"/>
      <c r="Q500" s="167"/>
      <c r="R500" s="111"/>
    </row>
    <row r="501" spans="1:18" ht="13.5" customHeight="1">
      <c r="A501" s="90">
        <v>495</v>
      </c>
      <c r="B501" s="24">
        <f>DATE('1.연간시수표'!$U$44,'1.연간시수표'!$X$44,'1.연간시수표'!$Z$44)+QUOTIENT(ROW(A495)-1,8)+(QUOTIENT(ROW(A495)-1,40)*2)</f>
        <v>44884</v>
      </c>
      <c r="C501" s="24" t="b">
        <f t="shared" si="21"/>
        <v>0</v>
      </c>
      <c r="D501" s="116" t="str">
        <f t="shared" si="22"/>
        <v>7교시</v>
      </c>
      <c r="E501" s="68">
        <f>COUNTIF($H$7:$H501,$H501)</f>
        <v>177</v>
      </c>
      <c r="F501" s="67">
        <f>'1.연간시수표'!$AL$33</f>
        <v>5</v>
      </c>
      <c r="G501" s="115">
        <f t="shared" si="23"/>
        <v>2</v>
      </c>
      <c r="H501" s="41" t="str">
        <f>INDEX('0.시간표데이터'!$E$52:$AR$78,QUOTIENT(ROW(A495)-1,40)+1,MOD(ROW(A495)-1,40)+1)</f>
        <v>_</v>
      </c>
      <c r="I501" s="76"/>
      <c r="J501" s="26"/>
      <c r="K501" s="167"/>
      <c r="L501" s="167"/>
      <c r="M501" s="166"/>
      <c r="N501" s="166"/>
      <c r="O501" s="166"/>
      <c r="P501" s="166"/>
      <c r="Q501" s="167"/>
      <c r="R501" s="111"/>
    </row>
    <row r="502" spans="1:18" ht="13.5" customHeight="1">
      <c r="A502" s="90">
        <v>496</v>
      </c>
      <c r="B502" s="24">
        <f>DATE('1.연간시수표'!$U$44,'1.연간시수표'!$X$44,'1.연간시수표'!$Z$44)+QUOTIENT(ROW(A496)-1,8)+(QUOTIENT(ROW(A496)-1,40)*2)</f>
        <v>44884</v>
      </c>
      <c r="C502" s="24" t="b">
        <f t="shared" si="21"/>
        <v>0</v>
      </c>
      <c r="D502" s="116" t="str">
        <f t="shared" si="22"/>
        <v>8교시</v>
      </c>
      <c r="E502" s="68">
        <f>COUNTIF($H$7:$H502,$H502)</f>
        <v>178</v>
      </c>
      <c r="F502" s="67">
        <f>'1.연간시수표'!$AL$33</f>
        <v>5</v>
      </c>
      <c r="G502" s="115">
        <f t="shared" si="23"/>
        <v>2</v>
      </c>
      <c r="H502" s="41" t="str">
        <f>INDEX('0.시간표데이터'!$E$52:$AR$78,QUOTIENT(ROW(A496)-1,40)+1,MOD(ROW(A496)-1,40)+1)</f>
        <v>_</v>
      </c>
      <c r="I502" s="76"/>
      <c r="J502" s="26"/>
      <c r="K502" s="167"/>
      <c r="L502" s="167"/>
      <c r="M502" s="166"/>
      <c r="N502" s="166"/>
      <c r="O502" s="166"/>
      <c r="P502" s="166"/>
      <c r="Q502" s="167"/>
      <c r="R502" s="111"/>
    </row>
    <row r="503" spans="1:18" ht="13.5" customHeight="1">
      <c r="A503" s="90">
        <v>497</v>
      </c>
      <c r="B503" s="24">
        <f>DATE('1.연간시수표'!$U$44,'1.연간시수표'!$X$44,'1.연간시수표'!$Z$44)+QUOTIENT(ROW(A497)-1,8)+(QUOTIENT(ROW(A497)-1,40)*2)</f>
        <v>44885</v>
      </c>
      <c r="C503" s="24" t="b">
        <f t="shared" si="21"/>
        <v>0</v>
      </c>
      <c r="D503" s="116" t="str">
        <f t="shared" si="22"/>
        <v>1교시</v>
      </c>
      <c r="E503" s="68">
        <f>COUNTIF($H$7:$H503,$H503)</f>
        <v>33</v>
      </c>
      <c r="F503" s="67">
        <f>'1.연간시수표'!$AL$33</f>
        <v>5</v>
      </c>
      <c r="G503" s="115">
        <f t="shared" si="23"/>
        <v>2</v>
      </c>
      <c r="H503" s="41" t="str">
        <f>INDEX('0.시간표데이터'!$E$52:$AR$78,QUOTIENT(ROW(A497)-1,40)+1,MOD(ROW(A497)-1,40)+1)</f>
        <v>영어</v>
      </c>
      <c r="I503" s="77"/>
      <c r="J503" s="26"/>
      <c r="K503" s="180"/>
      <c r="L503" s="180"/>
      <c r="M503" s="10"/>
      <c r="N503" s="10"/>
      <c r="O503" s="10"/>
      <c r="P503" s="10"/>
      <c r="Q503" s="164"/>
      <c r="R503" s="110"/>
    </row>
    <row r="504" spans="1:18" ht="13.5" customHeight="1">
      <c r="A504" s="90">
        <v>498</v>
      </c>
      <c r="B504" s="24">
        <f>DATE('1.연간시수표'!$U$44,'1.연간시수표'!$X$44,'1.연간시수표'!$Z$44)+QUOTIENT(ROW(A498)-1,8)+(QUOTIENT(ROW(A498)-1,40)*2)</f>
        <v>44885</v>
      </c>
      <c r="C504" s="24" t="b">
        <f t="shared" si="21"/>
        <v>0</v>
      </c>
      <c r="D504" s="116" t="str">
        <f t="shared" si="22"/>
        <v>2교시</v>
      </c>
      <c r="E504" s="68">
        <f>COUNTIF($H$7:$H504,$H504)</f>
        <v>31</v>
      </c>
      <c r="F504" s="67">
        <f>'1.연간시수표'!$AL$33</f>
        <v>5</v>
      </c>
      <c r="G504" s="115">
        <f t="shared" si="23"/>
        <v>2</v>
      </c>
      <c r="H504" s="41" t="str">
        <f>INDEX('0.시간표데이터'!$E$52:$AR$78,QUOTIENT(ROW(A498)-1,40)+1,MOD(ROW(A498)-1,40)+1)</f>
        <v>과학</v>
      </c>
      <c r="I504" s="77"/>
      <c r="J504" s="26"/>
      <c r="K504" s="180"/>
      <c r="L504" s="180"/>
      <c r="M504" s="10"/>
      <c r="N504" s="10"/>
      <c r="O504" s="10"/>
      <c r="P504" s="10"/>
      <c r="Q504" s="164"/>
      <c r="R504" s="110"/>
    </row>
    <row r="505" spans="1:18" ht="13.5" customHeight="1">
      <c r="A505" s="90">
        <v>499</v>
      </c>
      <c r="B505" s="24">
        <f>DATE('1.연간시수표'!$U$44,'1.연간시수표'!$X$44,'1.연간시수표'!$Z$44)+QUOTIENT(ROW(A499)-1,8)+(QUOTIENT(ROW(A499)-1,40)*2)</f>
        <v>44885</v>
      </c>
      <c r="C505" s="24" t="b">
        <f t="shared" si="21"/>
        <v>0</v>
      </c>
      <c r="D505" s="116" t="str">
        <f t="shared" si="22"/>
        <v>3교시</v>
      </c>
      <c r="E505" s="68">
        <f>COUNTIF($H$7:$H505,$H505)</f>
        <v>23</v>
      </c>
      <c r="F505" s="67">
        <f>'1.연간시수표'!$AL$33</f>
        <v>5</v>
      </c>
      <c r="G505" s="115">
        <f t="shared" si="23"/>
        <v>2</v>
      </c>
      <c r="H505" s="41" t="str">
        <f>INDEX('0.시간표데이터'!$E$52:$AR$78,QUOTIENT(ROW(A499)-1,40)+1,MOD(ROW(A499)-1,40)+1)</f>
        <v>체육</v>
      </c>
      <c r="I505" s="77"/>
      <c r="J505" s="26"/>
      <c r="K505" s="180"/>
      <c r="L505" s="180"/>
      <c r="M505" s="10"/>
      <c r="N505" s="10"/>
      <c r="O505" s="10"/>
      <c r="P505" s="10"/>
      <c r="Q505" s="164"/>
      <c r="R505" s="110"/>
    </row>
    <row r="506" spans="1:18" ht="13.5" customHeight="1">
      <c r="A506" s="90">
        <v>500</v>
      </c>
      <c r="B506" s="24">
        <f>DATE('1.연간시수표'!$U$44,'1.연간시수표'!$X$44,'1.연간시수표'!$Z$44)+QUOTIENT(ROW(A500)-1,8)+(QUOTIENT(ROW(A500)-1,40)*2)</f>
        <v>44885</v>
      </c>
      <c r="C506" s="24" t="b">
        <f t="shared" si="21"/>
        <v>0</v>
      </c>
      <c r="D506" s="116" t="str">
        <f t="shared" si="22"/>
        <v>4교시</v>
      </c>
      <c r="E506" s="68">
        <f>COUNTIF($H$7:$H506,$H506)</f>
        <v>19</v>
      </c>
      <c r="F506" s="67">
        <f>'1.연간시수표'!$AL$33</f>
        <v>5</v>
      </c>
      <c r="G506" s="115">
        <f t="shared" si="23"/>
        <v>2</v>
      </c>
      <c r="H506" s="41" t="str">
        <f>INDEX('0.시간표데이터'!$E$52:$AR$78,QUOTIENT(ROW(A500)-1,40)+1,MOD(ROW(A500)-1,40)+1)</f>
        <v>음악</v>
      </c>
      <c r="I506" s="77"/>
      <c r="J506" s="26"/>
      <c r="K506" s="167"/>
      <c r="L506" s="167"/>
      <c r="M506" s="166"/>
      <c r="N506" s="166"/>
      <c r="O506" s="166"/>
      <c r="P506" s="166"/>
      <c r="Q506" s="164"/>
      <c r="R506" s="110"/>
    </row>
    <row r="507" spans="1:18" ht="13.5" customHeight="1">
      <c r="A507" s="90">
        <v>501</v>
      </c>
      <c r="B507" s="24">
        <f>DATE('1.연간시수표'!$U$44,'1.연간시수표'!$X$44,'1.연간시수표'!$Z$44)+QUOTIENT(ROW(A501)-1,8)+(QUOTIENT(ROW(A501)-1,40)*2)</f>
        <v>44885</v>
      </c>
      <c r="C507" s="24" t="b">
        <f t="shared" si="21"/>
        <v>0</v>
      </c>
      <c r="D507" s="116" t="str">
        <f t="shared" si="22"/>
        <v>5교시</v>
      </c>
      <c r="E507" s="68">
        <f>COUNTIF($H$7:$H507,$H507)</f>
        <v>12</v>
      </c>
      <c r="F507" s="67">
        <f>'1.연간시수표'!$AL$33</f>
        <v>5</v>
      </c>
      <c r="G507" s="115">
        <f t="shared" si="23"/>
        <v>2</v>
      </c>
      <c r="H507" s="41" t="str">
        <f>INDEX('0.시간표데이터'!$E$52:$AR$78,QUOTIENT(ROW(A501)-1,40)+1,MOD(ROW(A501)-1,40)+1)</f>
        <v>도덕</v>
      </c>
      <c r="I507" s="77"/>
      <c r="J507" s="26"/>
      <c r="K507" s="164"/>
      <c r="L507" s="164"/>
      <c r="M507" s="10"/>
      <c r="N507" s="10"/>
      <c r="O507" s="10"/>
      <c r="P507" s="10"/>
      <c r="Q507" s="164"/>
      <c r="R507" s="110"/>
    </row>
    <row r="508" spans="1:18" ht="13.5" customHeight="1">
      <c r="A508" s="90">
        <v>502</v>
      </c>
      <c r="B508" s="24">
        <f>DATE('1.연간시수표'!$U$44,'1.연간시수표'!$X$44,'1.연간시수표'!$Z$44)+QUOTIENT(ROW(A502)-1,8)+(QUOTIENT(ROW(A502)-1,40)*2)</f>
        <v>44885</v>
      </c>
      <c r="C508" s="24" t="b">
        <f t="shared" si="21"/>
        <v>0</v>
      </c>
      <c r="D508" s="116" t="str">
        <f t="shared" si="22"/>
        <v>6교시</v>
      </c>
      <c r="E508" s="68">
        <f>COUNTIF($H$7:$H508,$H508)</f>
        <v>179</v>
      </c>
      <c r="F508" s="67">
        <f>'1.연간시수표'!$AL$33</f>
        <v>5</v>
      </c>
      <c r="G508" s="115">
        <f t="shared" si="23"/>
        <v>2</v>
      </c>
      <c r="H508" s="41" t="str">
        <f>INDEX('0.시간표데이터'!$E$52:$AR$78,QUOTIENT(ROW(A502)-1,40)+1,MOD(ROW(A502)-1,40)+1)</f>
        <v>_</v>
      </c>
      <c r="I508" s="77"/>
      <c r="J508" s="26"/>
      <c r="K508" s="167"/>
      <c r="L508" s="167"/>
      <c r="M508" s="166"/>
      <c r="N508" s="166"/>
      <c r="O508" s="166"/>
      <c r="P508" s="166"/>
      <c r="Q508" s="167"/>
      <c r="R508" s="111"/>
    </row>
    <row r="509" spans="1:18" ht="13.5" customHeight="1">
      <c r="A509" s="90">
        <v>503</v>
      </c>
      <c r="B509" s="24">
        <f>DATE('1.연간시수표'!$U$44,'1.연간시수표'!$X$44,'1.연간시수표'!$Z$44)+QUOTIENT(ROW(A503)-1,8)+(QUOTIENT(ROW(A503)-1,40)*2)</f>
        <v>44885</v>
      </c>
      <c r="C509" s="24" t="b">
        <f t="shared" si="21"/>
        <v>0</v>
      </c>
      <c r="D509" s="116" t="str">
        <f t="shared" si="22"/>
        <v>7교시</v>
      </c>
      <c r="E509" s="68">
        <f>COUNTIF($H$7:$H509,$H509)</f>
        <v>180</v>
      </c>
      <c r="F509" s="67">
        <f>'1.연간시수표'!$AL$33</f>
        <v>5</v>
      </c>
      <c r="G509" s="115">
        <f t="shared" si="23"/>
        <v>2</v>
      </c>
      <c r="H509" s="41" t="str">
        <f>INDEX('0.시간표데이터'!$E$52:$AR$78,QUOTIENT(ROW(A503)-1,40)+1,MOD(ROW(A503)-1,40)+1)</f>
        <v>_</v>
      </c>
      <c r="I509" s="76"/>
      <c r="J509" s="26"/>
      <c r="K509" s="167"/>
      <c r="L509" s="167"/>
      <c r="M509" s="166"/>
      <c r="N509" s="166"/>
      <c r="O509" s="166"/>
      <c r="P509" s="166"/>
      <c r="Q509" s="167"/>
      <c r="R509" s="111"/>
    </row>
    <row r="510" spans="1:18" ht="13.5" customHeight="1">
      <c r="A510" s="90">
        <v>504</v>
      </c>
      <c r="B510" s="24">
        <f>DATE('1.연간시수표'!$U$44,'1.연간시수표'!$X$44,'1.연간시수표'!$Z$44)+QUOTIENT(ROW(A504)-1,8)+(QUOTIENT(ROW(A504)-1,40)*2)</f>
        <v>44885</v>
      </c>
      <c r="C510" s="24" t="b">
        <f t="shared" si="21"/>
        <v>0</v>
      </c>
      <c r="D510" s="116" t="str">
        <f t="shared" si="22"/>
        <v>8교시</v>
      </c>
      <c r="E510" s="68">
        <f>COUNTIF($H$7:$H510,$H510)</f>
        <v>181</v>
      </c>
      <c r="F510" s="67">
        <f>'1.연간시수표'!$AL$33</f>
        <v>5</v>
      </c>
      <c r="G510" s="115">
        <f t="shared" si="23"/>
        <v>2</v>
      </c>
      <c r="H510" s="41" t="str">
        <f>INDEX('0.시간표데이터'!$E$52:$AR$78,QUOTIENT(ROW(A504)-1,40)+1,MOD(ROW(A504)-1,40)+1)</f>
        <v>_</v>
      </c>
      <c r="I510" s="76"/>
      <c r="J510" s="26"/>
      <c r="K510" s="167"/>
      <c r="L510" s="167"/>
      <c r="M510" s="166"/>
      <c r="N510" s="166"/>
      <c r="O510" s="166"/>
      <c r="P510" s="166"/>
      <c r="Q510" s="167"/>
      <c r="R510" s="111"/>
    </row>
    <row r="511" spans="1:18" ht="13.5" customHeight="1">
      <c r="A511" s="90">
        <v>505</v>
      </c>
      <c r="B511" s="24">
        <f>DATE('1.연간시수표'!$U$44,'1.연간시수표'!$X$44,'1.연간시수표'!$Z$44)+QUOTIENT(ROW(A505)-1,8)+(QUOTIENT(ROW(A505)-1,40)*2)</f>
        <v>44886</v>
      </c>
      <c r="C511" s="24" t="str">
        <f t="shared" si="21"/>
        <v>월</v>
      </c>
      <c r="D511" s="116" t="str">
        <f t="shared" si="22"/>
        <v>1교시</v>
      </c>
      <c r="E511" s="68">
        <f>COUNTIF($H$7:$H511,$H511)</f>
        <v>62</v>
      </c>
      <c r="F511" s="67">
        <f>'1.연간시수표'!$AL$33</f>
        <v>5</v>
      </c>
      <c r="G511" s="115">
        <f t="shared" si="23"/>
        <v>2</v>
      </c>
      <c r="H511" s="41" t="str">
        <f>INDEX('0.시간표데이터'!$E$52:$AR$78,QUOTIENT(ROW(A505)-1,40)+1,MOD(ROW(A505)-1,40)+1)</f>
        <v>국어</v>
      </c>
      <c r="I511" s="77"/>
      <c r="J511" s="26"/>
      <c r="K511" s="180"/>
      <c r="L511" s="180"/>
      <c r="M511" s="10"/>
      <c r="N511" s="10"/>
      <c r="O511" s="10"/>
      <c r="P511" s="10"/>
      <c r="Q511" s="164"/>
      <c r="R511" s="110"/>
    </row>
    <row r="512" spans="1:18" ht="13.5" customHeight="1">
      <c r="A512" s="90">
        <v>506</v>
      </c>
      <c r="B512" s="24">
        <f>DATE('1.연간시수표'!$U$44,'1.연간시수표'!$X$44,'1.연간시수표'!$Z$44)+QUOTIENT(ROW(A506)-1,8)+(QUOTIENT(ROW(A506)-1,40)*2)</f>
        <v>44886</v>
      </c>
      <c r="C512" s="24" t="str">
        <f t="shared" si="21"/>
        <v>월</v>
      </c>
      <c r="D512" s="116" t="str">
        <f t="shared" si="22"/>
        <v>2교시</v>
      </c>
      <c r="E512" s="68">
        <f>COUNTIF($H$7:$H512,$H512)</f>
        <v>39</v>
      </c>
      <c r="F512" s="67">
        <f>'1.연간시수표'!$AL$33</f>
        <v>5</v>
      </c>
      <c r="G512" s="115">
        <f t="shared" si="23"/>
        <v>2</v>
      </c>
      <c r="H512" s="41" t="str">
        <f>INDEX('0.시간표데이터'!$E$52:$AR$78,QUOTIENT(ROW(A506)-1,40)+1,MOD(ROW(A506)-1,40)+1)</f>
        <v>수학</v>
      </c>
      <c r="I512" s="161"/>
      <c r="J512" s="26"/>
      <c r="K512" s="180"/>
      <c r="L512" s="180"/>
      <c r="M512" s="10"/>
      <c r="N512" s="10"/>
      <c r="O512" s="10"/>
      <c r="P512" s="10"/>
      <c r="Q512" s="164"/>
      <c r="R512" s="110"/>
    </row>
    <row r="513" spans="1:18" ht="13.5" customHeight="1">
      <c r="A513" s="90">
        <v>507</v>
      </c>
      <c r="B513" s="24">
        <f>DATE('1.연간시수표'!$U$44,'1.연간시수표'!$X$44,'1.연간시수표'!$Z$44)+QUOTIENT(ROW(A507)-1,8)+(QUOTIENT(ROW(A507)-1,40)*2)</f>
        <v>44886</v>
      </c>
      <c r="C513" s="24" t="str">
        <f t="shared" si="21"/>
        <v>월</v>
      </c>
      <c r="D513" s="116" t="str">
        <f t="shared" si="22"/>
        <v>3교시</v>
      </c>
      <c r="E513" s="68">
        <f>COUNTIF($H$7:$H513,$H513)</f>
        <v>35</v>
      </c>
      <c r="F513" s="67">
        <f>'1.연간시수표'!$AL$33</f>
        <v>5</v>
      </c>
      <c r="G513" s="115">
        <f t="shared" si="23"/>
        <v>2</v>
      </c>
      <c r="H513" s="41" t="str">
        <f>INDEX('0.시간표데이터'!$E$52:$AR$78,QUOTIENT(ROW(A507)-1,40)+1,MOD(ROW(A507)-1,40)+1)</f>
        <v>사회</v>
      </c>
      <c r="I513" s="77"/>
      <c r="J513" s="26"/>
      <c r="K513" s="180"/>
      <c r="L513" s="180"/>
      <c r="M513" s="10"/>
      <c r="N513" s="10"/>
      <c r="O513" s="10"/>
      <c r="P513" s="10"/>
      <c r="Q513" s="164"/>
      <c r="R513" s="110"/>
    </row>
    <row r="514" spans="1:18" ht="13.5" customHeight="1">
      <c r="A514" s="90">
        <v>508</v>
      </c>
      <c r="B514" s="24">
        <f>DATE('1.연간시수표'!$U$44,'1.연간시수표'!$X$44,'1.연간시수표'!$Z$44)+QUOTIENT(ROW(A508)-1,8)+(QUOTIENT(ROW(A508)-1,40)*2)</f>
        <v>44886</v>
      </c>
      <c r="C514" s="24" t="str">
        <f t="shared" si="21"/>
        <v>월</v>
      </c>
      <c r="D514" s="116" t="str">
        <f t="shared" si="22"/>
        <v>4교시</v>
      </c>
      <c r="E514" s="68">
        <f>COUNTIF($H$7:$H514,$H514)</f>
        <v>34</v>
      </c>
      <c r="F514" s="67">
        <f>'1.연간시수표'!$AL$33</f>
        <v>5</v>
      </c>
      <c r="G514" s="115">
        <f t="shared" si="23"/>
        <v>2</v>
      </c>
      <c r="H514" s="41" t="str">
        <f>INDEX('0.시간표데이터'!$E$52:$AR$78,QUOTIENT(ROW(A508)-1,40)+1,MOD(ROW(A508)-1,40)+1)</f>
        <v>영어</v>
      </c>
      <c r="I514" s="77"/>
      <c r="J514" s="26"/>
      <c r="K514" s="164"/>
      <c r="L514" s="164"/>
      <c r="M514" s="10"/>
      <c r="N514" s="10"/>
      <c r="O514" s="10"/>
      <c r="P514" s="10"/>
      <c r="Q514" s="164"/>
      <c r="R514" s="110"/>
    </row>
    <row r="515" spans="1:18" ht="13.5" customHeight="1">
      <c r="A515" s="90">
        <v>509</v>
      </c>
      <c r="B515" s="24">
        <f>DATE('1.연간시수표'!$U$44,'1.연간시수표'!$X$44,'1.연간시수표'!$Z$44)+QUOTIENT(ROW(A509)-1,8)+(QUOTIENT(ROW(A509)-1,40)*2)</f>
        <v>44886</v>
      </c>
      <c r="C515" s="24" t="str">
        <f t="shared" si="21"/>
        <v>월</v>
      </c>
      <c r="D515" s="116" t="str">
        <f t="shared" si="22"/>
        <v>5교시</v>
      </c>
      <c r="E515" s="68">
        <f>COUNTIF($H$7:$H515,$H515)</f>
        <v>11</v>
      </c>
      <c r="F515" s="67">
        <f>'1.연간시수표'!$AL$33</f>
        <v>5</v>
      </c>
      <c r="G515" s="115">
        <f t="shared" si="23"/>
        <v>2</v>
      </c>
      <c r="H515" s="41" t="str">
        <f>INDEX('0.시간표데이터'!$E$52:$AR$78,QUOTIENT(ROW(A509)-1,40)+1,MOD(ROW(A509)-1,40)+1)</f>
        <v>동아리활동</v>
      </c>
      <c r="I515" s="77"/>
      <c r="J515" s="26"/>
      <c r="K515" s="180"/>
      <c r="L515" s="180"/>
      <c r="M515" s="10"/>
      <c r="N515" s="10"/>
      <c r="O515" s="10"/>
      <c r="P515" s="10"/>
      <c r="Q515" s="164"/>
      <c r="R515" s="110"/>
    </row>
    <row r="516" spans="1:18" ht="13.5" customHeight="1">
      <c r="A516" s="90">
        <v>510</v>
      </c>
      <c r="B516" s="24">
        <f>DATE('1.연간시수표'!$U$44,'1.연간시수표'!$X$44,'1.연간시수표'!$Z$44)+QUOTIENT(ROW(A510)-1,8)+(QUOTIENT(ROW(A510)-1,40)*2)</f>
        <v>44886</v>
      </c>
      <c r="C516" s="24" t="str">
        <f t="shared" si="21"/>
        <v>월</v>
      </c>
      <c r="D516" s="116" t="str">
        <f t="shared" si="22"/>
        <v>6교시</v>
      </c>
      <c r="E516" s="68">
        <f>COUNTIF($H$7:$H516,$H516)</f>
        <v>12</v>
      </c>
      <c r="F516" s="67">
        <f>'1.연간시수표'!$AL$33</f>
        <v>5</v>
      </c>
      <c r="G516" s="115">
        <f t="shared" si="23"/>
        <v>2</v>
      </c>
      <c r="H516" s="41" t="str">
        <f>INDEX('0.시간표데이터'!$E$52:$AR$78,QUOTIENT(ROW(A510)-1,40)+1,MOD(ROW(A510)-1,40)+1)</f>
        <v>동아리활동</v>
      </c>
      <c r="I516" s="161"/>
      <c r="J516" s="26"/>
      <c r="K516" s="180"/>
      <c r="L516" s="180"/>
      <c r="M516" s="10"/>
      <c r="N516" s="10"/>
      <c r="O516" s="10"/>
      <c r="P516" s="10"/>
      <c r="Q516" s="164"/>
      <c r="R516" s="110"/>
    </row>
    <row r="517" spans="1:18">
      <c r="A517" s="90">
        <v>511</v>
      </c>
      <c r="B517" s="24">
        <f>DATE('1.연간시수표'!$U$44,'1.연간시수표'!$X$44,'1.연간시수표'!$Z$44)+QUOTIENT(ROW(A511)-1,8)+(QUOTIENT(ROW(A511)-1,40)*2)</f>
        <v>44886</v>
      </c>
      <c r="C517" s="24" t="str">
        <f t="shared" si="21"/>
        <v>월</v>
      </c>
      <c r="D517" s="116" t="str">
        <f t="shared" si="22"/>
        <v>7교시</v>
      </c>
      <c r="E517" s="68">
        <f>COUNTIF($H$7:$H517,$H517)</f>
        <v>182</v>
      </c>
      <c r="F517" s="67">
        <f>'1.연간시수표'!$AL$33</f>
        <v>5</v>
      </c>
      <c r="G517" s="115">
        <f t="shared" si="23"/>
        <v>2</v>
      </c>
      <c r="H517" s="41" t="str">
        <f>INDEX('0.시간표데이터'!$E$52:$AR$78,QUOTIENT(ROW(A511)-1,40)+1,MOD(ROW(A511)-1,40)+1)</f>
        <v>_</v>
      </c>
      <c r="I517" s="76"/>
      <c r="J517" s="26"/>
      <c r="K517" s="167"/>
      <c r="L517" s="167"/>
      <c r="M517" s="166"/>
      <c r="N517" s="166"/>
      <c r="O517" s="166"/>
      <c r="P517" s="166"/>
      <c r="Q517" s="167"/>
      <c r="R517" s="111"/>
    </row>
    <row r="518" spans="1:18">
      <c r="A518" s="90">
        <v>512</v>
      </c>
      <c r="B518" s="24">
        <f>DATE('1.연간시수표'!$U$44,'1.연간시수표'!$X$44,'1.연간시수표'!$Z$44)+QUOTIENT(ROW(A512)-1,8)+(QUOTIENT(ROW(A512)-1,40)*2)</f>
        <v>44886</v>
      </c>
      <c r="C518" s="24" t="str">
        <f t="shared" si="21"/>
        <v>월</v>
      </c>
      <c r="D518" s="116" t="str">
        <f t="shared" si="22"/>
        <v>8교시</v>
      </c>
      <c r="E518" s="68">
        <f>COUNTIF($H$7:$H518,$H518)</f>
        <v>183</v>
      </c>
      <c r="F518" s="67">
        <f>'1.연간시수표'!$AL$33</f>
        <v>5</v>
      </c>
      <c r="G518" s="115">
        <f t="shared" si="23"/>
        <v>2</v>
      </c>
      <c r="H518" s="41" t="str">
        <f>INDEX('0.시간표데이터'!$E$52:$AR$78,QUOTIENT(ROW(A512)-1,40)+1,MOD(ROW(A512)-1,40)+1)</f>
        <v>_</v>
      </c>
      <c r="I518" s="76"/>
      <c r="J518" s="26"/>
      <c r="K518" s="167"/>
      <c r="L518" s="167"/>
      <c r="M518" s="166"/>
      <c r="N518" s="166"/>
      <c r="O518" s="166"/>
      <c r="P518" s="166"/>
      <c r="Q518" s="167"/>
      <c r="R518" s="111"/>
    </row>
    <row r="519" spans="1:18" ht="13.5" customHeight="1">
      <c r="A519" s="90">
        <v>513</v>
      </c>
      <c r="B519" s="24">
        <f>DATE('1.연간시수표'!$U$44,'1.연간시수표'!$X$44,'1.연간시수표'!$Z$44)+QUOTIENT(ROW(A513)-1,8)+(QUOTIENT(ROW(A513)-1,40)*2)</f>
        <v>44887</v>
      </c>
      <c r="C519" s="24" t="str">
        <f t="shared" ref="C519:C582" si="24">IF(WEEKDAY(B519,2)=1,"월",IF(WEEKDAY(B519,2)=2,"화",IF(WEEKDAY(B519,2)=3,"수",IF(WEEKDAY(B519,2)=4,"목",IF(WEEKDAY(B519,2)=5,"금")))))</f>
        <v>화</v>
      </c>
      <c r="D519" s="116" t="str">
        <f t="shared" ref="D519:D582" si="25">TEXT(MOD(ROW(A513)-1,8)+1,"#교시")</f>
        <v>1교시</v>
      </c>
      <c r="E519" s="68">
        <f>COUNTIF($H$7:$H519,$H519)</f>
        <v>63</v>
      </c>
      <c r="F519" s="67">
        <f>'1.연간시수표'!$AL$33</f>
        <v>5</v>
      </c>
      <c r="G519" s="115">
        <f t="shared" ref="G519:G582" si="26">$A$2</f>
        <v>2</v>
      </c>
      <c r="H519" s="41" t="str">
        <f>INDEX('0.시간표데이터'!$E$52:$AR$78,QUOTIENT(ROW(A513)-1,40)+1,MOD(ROW(A513)-1,40)+1)</f>
        <v>국어</v>
      </c>
      <c r="I519" s="77"/>
      <c r="J519" s="26"/>
      <c r="K519" s="180"/>
      <c r="L519" s="180"/>
      <c r="M519" s="10"/>
      <c r="N519" s="10"/>
      <c r="O519" s="10"/>
      <c r="P519" s="10"/>
      <c r="Q519" s="164"/>
      <c r="R519" s="110"/>
    </row>
    <row r="520" spans="1:18" ht="13.5" customHeight="1">
      <c r="A520" s="90">
        <v>514</v>
      </c>
      <c r="B520" s="24">
        <f>DATE('1.연간시수표'!$U$44,'1.연간시수표'!$X$44,'1.연간시수표'!$Z$44)+QUOTIENT(ROW(A514)-1,8)+(QUOTIENT(ROW(A514)-1,40)*2)</f>
        <v>44887</v>
      </c>
      <c r="C520" s="24" t="str">
        <f t="shared" si="24"/>
        <v>화</v>
      </c>
      <c r="D520" s="116" t="str">
        <f t="shared" si="25"/>
        <v>2교시</v>
      </c>
      <c r="E520" s="68">
        <f>COUNTIF($H$7:$H520,$H520)</f>
        <v>24</v>
      </c>
      <c r="F520" s="67">
        <f>'1.연간시수표'!$AL$33</f>
        <v>5</v>
      </c>
      <c r="G520" s="115">
        <f t="shared" si="26"/>
        <v>2</v>
      </c>
      <c r="H520" s="41" t="str">
        <f>INDEX('0.시간표데이터'!$E$52:$AR$78,QUOTIENT(ROW(A514)-1,40)+1,MOD(ROW(A514)-1,40)+1)</f>
        <v>체육</v>
      </c>
      <c r="I520" s="77"/>
      <c r="J520" s="26"/>
      <c r="K520" s="180"/>
      <c r="L520" s="180"/>
      <c r="M520" s="10"/>
      <c r="N520" s="10"/>
      <c r="O520" s="10"/>
      <c r="P520" s="10"/>
      <c r="Q520" s="164"/>
      <c r="R520" s="110"/>
    </row>
    <row r="521" spans="1:18" ht="13.5" customHeight="1">
      <c r="A521" s="90">
        <v>515</v>
      </c>
      <c r="B521" s="24">
        <f>DATE('1.연간시수표'!$U$44,'1.연간시수표'!$X$44,'1.연간시수표'!$Z$44)+QUOTIENT(ROW(A515)-1,8)+(QUOTIENT(ROW(A515)-1,40)*2)</f>
        <v>44887</v>
      </c>
      <c r="C521" s="24" t="str">
        <f t="shared" si="24"/>
        <v>화</v>
      </c>
      <c r="D521" s="116" t="str">
        <f t="shared" si="25"/>
        <v>3교시</v>
      </c>
      <c r="E521" s="68">
        <f>COUNTIF($H$7:$H521,$H521)</f>
        <v>40</v>
      </c>
      <c r="F521" s="67">
        <f>'1.연간시수표'!$AL$33</f>
        <v>5</v>
      </c>
      <c r="G521" s="115">
        <f t="shared" si="26"/>
        <v>2</v>
      </c>
      <c r="H521" s="41" t="str">
        <f>INDEX('0.시간표데이터'!$E$52:$AR$78,QUOTIENT(ROW(A515)-1,40)+1,MOD(ROW(A515)-1,40)+1)</f>
        <v>수학</v>
      </c>
      <c r="I521" s="77"/>
      <c r="J521" s="26"/>
      <c r="K521" s="180"/>
      <c r="L521" s="180"/>
      <c r="M521" s="10"/>
      <c r="N521" s="10"/>
      <c r="O521" s="10"/>
      <c r="P521" s="10"/>
      <c r="Q521" s="164"/>
      <c r="R521" s="110"/>
    </row>
    <row r="522" spans="1:18" ht="13.5" customHeight="1">
      <c r="A522" s="90">
        <v>516</v>
      </c>
      <c r="B522" s="24">
        <f>DATE('1.연간시수표'!$U$44,'1.연간시수표'!$X$44,'1.연간시수표'!$Z$44)+QUOTIENT(ROW(A516)-1,8)+(QUOTIENT(ROW(A516)-1,40)*2)</f>
        <v>44887</v>
      </c>
      <c r="C522" s="24" t="str">
        <f t="shared" si="24"/>
        <v>화</v>
      </c>
      <c r="D522" s="116" t="str">
        <f t="shared" si="25"/>
        <v>4교시</v>
      </c>
      <c r="E522" s="68">
        <f>COUNTIF($H$7:$H522,$H522)</f>
        <v>64</v>
      </c>
      <c r="F522" s="67">
        <f>'1.연간시수표'!$AL$33</f>
        <v>5</v>
      </c>
      <c r="G522" s="115">
        <f t="shared" si="26"/>
        <v>2</v>
      </c>
      <c r="H522" s="41" t="str">
        <f>INDEX('0.시간표데이터'!$E$52:$AR$78,QUOTIENT(ROW(A516)-1,40)+1,MOD(ROW(A516)-1,40)+1)</f>
        <v>국어</v>
      </c>
      <c r="I522" s="77"/>
      <c r="J522" s="26"/>
      <c r="K522" s="180"/>
      <c r="L522" s="180"/>
      <c r="M522" s="10"/>
      <c r="N522" s="10"/>
      <c r="O522" s="10"/>
      <c r="P522" s="10"/>
      <c r="Q522" s="164"/>
      <c r="R522" s="110"/>
    </row>
    <row r="523" spans="1:18" ht="13.5" customHeight="1">
      <c r="A523" s="90">
        <v>517</v>
      </c>
      <c r="B523" s="24">
        <f>DATE('1.연간시수표'!$U$44,'1.연간시수표'!$X$44,'1.연간시수표'!$Z$44)+QUOTIENT(ROW(A517)-1,8)+(QUOTIENT(ROW(A517)-1,40)*2)</f>
        <v>44887</v>
      </c>
      <c r="C523" s="24" t="str">
        <f t="shared" si="24"/>
        <v>화</v>
      </c>
      <c r="D523" s="116" t="str">
        <f t="shared" si="25"/>
        <v>5교시</v>
      </c>
      <c r="E523" s="68">
        <f>COUNTIF($H$7:$H523,$H523)</f>
        <v>36</v>
      </c>
      <c r="F523" s="67">
        <f>'1.연간시수표'!$AL$33</f>
        <v>5</v>
      </c>
      <c r="G523" s="115">
        <f t="shared" si="26"/>
        <v>2</v>
      </c>
      <c r="H523" s="41" t="str">
        <f>INDEX('0.시간표데이터'!$E$52:$AR$78,QUOTIENT(ROW(A517)-1,40)+1,MOD(ROW(A517)-1,40)+1)</f>
        <v>사회</v>
      </c>
      <c r="I523" s="77"/>
      <c r="J523" s="26"/>
      <c r="K523" s="164"/>
      <c r="L523" s="164"/>
      <c r="M523" s="10"/>
      <c r="N523" s="10"/>
      <c r="O523" s="10"/>
      <c r="P523" s="10"/>
      <c r="Q523" s="164"/>
      <c r="R523" s="110"/>
    </row>
    <row r="524" spans="1:18" ht="13.5" customHeight="1">
      <c r="A524" s="90">
        <v>518</v>
      </c>
      <c r="B524" s="24">
        <f>DATE('1.연간시수표'!$U$44,'1.연간시수표'!$X$44,'1.연간시수표'!$Z$44)+QUOTIENT(ROW(A518)-1,8)+(QUOTIENT(ROW(A518)-1,40)*2)</f>
        <v>44887</v>
      </c>
      <c r="C524" s="24" t="str">
        <f t="shared" si="24"/>
        <v>화</v>
      </c>
      <c r="D524" s="116" t="str">
        <f t="shared" si="25"/>
        <v>6교시</v>
      </c>
      <c r="E524" s="68">
        <f>COUNTIF($H$7:$H524,$H524)</f>
        <v>24</v>
      </c>
      <c r="F524" s="67">
        <f>'1.연간시수표'!$AL$33</f>
        <v>5</v>
      </c>
      <c r="G524" s="115">
        <f t="shared" si="26"/>
        <v>2</v>
      </c>
      <c r="H524" s="41" t="str">
        <f>INDEX('0.시간표데이터'!$E$52:$AR$78,QUOTIENT(ROW(A518)-1,40)+1,MOD(ROW(A518)-1,40)+1)</f>
        <v>실과</v>
      </c>
      <c r="I524" s="77"/>
      <c r="J524" s="26"/>
      <c r="K524" s="167"/>
      <c r="L524" s="167"/>
      <c r="M524" s="166"/>
      <c r="N524" s="166"/>
      <c r="O524" s="166"/>
      <c r="P524" s="166"/>
      <c r="Q524" s="167"/>
      <c r="R524" s="111"/>
    </row>
    <row r="525" spans="1:18" ht="13.5" customHeight="1">
      <c r="A525" s="90">
        <v>519</v>
      </c>
      <c r="B525" s="24">
        <f>DATE('1.연간시수표'!$U$44,'1.연간시수표'!$X$44,'1.연간시수표'!$Z$44)+QUOTIENT(ROW(A519)-1,8)+(QUOTIENT(ROW(A519)-1,40)*2)</f>
        <v>44887</v>
      </c>
      <c r="C525" s="24" t="str">
        <f t="shared" si="24"/>
        <v>화</v>
      </c>
      <c r="D525" s="116" t="str">
        <f t="shared" si="25"/>
        <v>7교시</v>
      </c>
      <c r="E525" s="68">
        <f>COUNTIF($H$7:$H525,$H525)</f>
        <v>184</v>
      </c>
      <c r="F525" s="67">
        <f>'1.연간시수표'!$AL$33</f>
        <v>5</v>
      </c>
      <c r="G525" s="115">
        <f t="shared" si="26"/>
        <v>2</v>
      </c>
      <c r="H525" s="41" t="str">
        <f>INDEX('0.시간표데이터'!$E$52:$AR$78,QUOTIENT(ROW(A519)-1,40)+1,MOD(ROW(A519)-1,40)+1)</f>
        <v>_</v>
      </c>
      <c r="I525" s="76"/>
      <c r="J525" s="26"/>
      <c r="K525" s="167"/>
      <c r="L525" s="167"/>
      <c r="M525" s="166"/>
      <c r="N525" s="166"/>
      <c r="O525" s="166"/>
      <c r="P525" s="166"/>
      <c r="Q525" s="167"/>
      <c r="R525" s="111"/>
    </row>
    <row r="526" spans="1:18" ht="13.5" customHeight="1">
      <c r="A526" s="90">
        <v>520</v>
      </c>
      <c r="B526" s="24">
        <f>DATE('1.연간시수표'!$U$44,'1.연간시수표'!$X$44,'1.연간시수표'!$Z$44)+QUOTIENT(ROW(A520)-1,8)+(QUOTIENT(ROW(A520)-1,40)*2)</f>
        <v>44887</v>
      </c>
      <c r="C526" s="24" t="str">
        <f t="shared" si="24"/>
        <v>화</v>
      </c>
      <c r="D526" s="116" t="str">
        <f t="shared" si="25"/>
        <v>8교시</v>
      </c>
      <c r="E526" s="68">
        <f>COUNTIF($H$7:$H526,$H526)</f>
        <v>185</v>
      </c>
      <c r="F526" s="67">
        <f>'1.연간시수표'!$AL$33</f>
        <v>5</v>
      </c>
      <c r="G526" s="115">
        <f t="shared" si="26"/>
        <v>2</v>
      </c>
      <c r="H526" s="41" t="str">
        <f>INDEX('0.시간표데이터'!$E$52:$AR$78,QUOTIENT(ROW(A520)-1,40)+1,MOD(ROW(A520)-1,40)+1)</f>
        <v>_</v>
      </c>
      <c r="I526" s="76"/>
      <c r="J526" s="26"/>
      <c r="K526" s="167"/>
      <c r="L526" s="167"/>
      <c r="M526" s="166"/>
      <c r="N526" s="166"/>
      <c r="O526" s="166"/>
      <c r="P526" s="166"/>
      <c r="Q526" s="167"/>
      <c r="R526" s="111"/>
    </row>
    <row r="527" spans="1:18" ht="13.5" customHeight="1">
      <c r="A527" s="90">
        <v>521</v>
      </c>
      <c r="B527" s="24">
        <f>DATE('1.연간시수표'!$U$44,'1.연간시수표'!$X$44,'1.연간시수표'!$Z$44)+QUOTIENT(ROW(A521)-1,8)+(QUOTIENT(ROW(A521)-1,40)*2)</f>
        <v>44890</v>
      </c>
      <c r="C527" s="24" t="str">
        <f t="shared" si="24"/>
        <v>금</v>
      </c>
      <c r="D527" s="116" t="str">
        <f t="shared" si="25"/>
        <v>1교시</v>
      </c>
      <c r="E527" s="68">
        <f>COUNTIF($H$7:$H527,$H527)</f>
        <v>65</v>
      </c>
      <c r="F527" s="67">
        <f>'1.연간시수표'!$AL$33</f>
        <v>5</v>
      </c>
      <c r="G527" s="115">
        <f t="shared" si="26"/>
        <v>2</v>
      </c>
      <c r="H527" s="41" t="str">
        <f>INDEX('0.시간표데이터'!$E$52:$AR$78,QUOTIENT(ROW(A521)-1,40)+1,MOD(ROW(A521)-1,40)+1)</f>
        <v>국어</v>
      </c>
      <c r="I527" s="77"/>
      <c r="J527" s="26"/>
      <c r="K527" s="164"/>
      <c r="L527" s="164"/>
      <c r="M527" s="10"/>
      <c r="N527" s="10"/>
      <c r="O527" s="10"/>
      <c r="P527" s="10"/>
      <c r="Q527" s="164"/>
      <c r="R527" s="110"/>
    </row>
    <row r="528" spans="1:18" ht="13.5" customHeight="1">
      <c r="A528" s="90">
        <v>522</v>
      </c>
      <c r="B528" s="24">
        <f>DATE('1.연간시수표'!$U$44,'1.연간시수표'!$X$44,'1.연간시수표'!$Z$44)+QUOTIENT(ROW(A522)-1,8)+(QUOTIENT(ROW(A522)-1,40)*2)</f>
        <v>44890</v>
      </c>
      <c r="C528" s="24" t="str">
        <f t="shared" si="24"/>
        <v>금</v>
      </c>
      <c r="D528" s="116" t="str">
        <f t="shared" si="25"/>
        <v>2교시</v>
      </c>
      <c r="E528" s="68">
        <f>COUNTIF($H$7:$H528,$H528)</f>
        <v>19</v>
      </c>
      <c r="F528" s="67">
        <f>'1.연간시수표'!$AL$33</f>
        <v>5</v>
      </c>
      <c r="G528" s="115">
        <f t="shared" si="26"/>
        <v>2</v>
      </c>
      <c r="H528" s="41" t="str">
        <f>INDEX('0.시간표데이터'!$E$52:$AR$78,QUOTIENT(ROW(A522)-1,40)+1,MOD(ROW(A522)-1,40)+1)</f>
        <v>미술</v>
      </c>
      <c r="I528" s="161"/>
      <c r="J528" s="26"/>
      <c r="K528" s="180"/>
      <c r="L528" s="180"/>
      <c r="M528" s="10"/>
      <c r="N528" s="10"/>
      <c r="O528" s="10"/>
      <c r="P528" s="10"/>
      <c r="Q528" s="164"/>
      <c r="R528" s="110"/>
    </row>
    <row r="529" spans="1:18" ht="13.5" customHeight="1">
      <c r="A529" s="90">
        <v>523</v>
      </c>
      <c r="B529" s="24">
        <f>DATE('1.연간시수표'!$U$44,'1.연간시수표'!$X$44,'1.연간시수표'!$Z$44)+QUOTIENT(ROW(A523)-1,8)+(QUOTIENT(ROW(A523)-1,40)*2)</f>
        <v>44890</v>
      </c>
      <c r="C529" s="24" t="str">
        <f t="shared" si="24"/>
        <v>금</v>
      </c>
      <c r="D529" s="116" t="str">
        <f t="shared" si="25"/>
        <v>3교시</v>
      </c>
      <c r="E529" s="68">
        <f>COUNTIF($H$7:$H529,$H529)</f>
        <v>20</v>
      </c>
      <c r="F529" s="67">
        <f>'1.연간시수표'!$AL$33</f>
        <v>5</v>
      </c>
      <c r="G529" s="115">
        <f t="shared" si="26"/>
        <v>2</v>
      </c>
      <c r="H529" s="41" t="str">
        <f>INDEX('0.시간표데이터'!$E$52:$AR$78,QUOTIENT(ROW(A523)-1,40)+1,MOD(ROW(A523)-1,40)+1)</f>
        <v>미술</v>
      </c>
      <c r="I529" s="77"/>
      <c r="J529" s="26"/>
      <c r="K529" s="180"/>
      <c r="L529" s="180"/>
      <c r="M529" s="10"/>
      <c r="N529" s="10"/>
      <c r="O529" s="10"/>
      <c r="P529" s="10"/>
      <c r="Q529" s="164"/>
      <c r="R529" s="110"/>
    </row>
    <row r="530" spans="1:18" ht="13.5" customHeight="1">
      <c r="A530" s="90">
        <v>524</v>
      </c>
      <c r="B530" s="24">
        <f>DATE('1.연간시수표'!$U$44,'1.연간시수표'!$X$44,'1.연간시수표'!$Z$44)+QUOTIENT(ROW(A524)-1,8)+(QUOTIENT(ROW(A524)-1,40)*2)</f>
        <v>44890</v>
      </c>
      <c r="C530" s="24" t="str">
        <f t="shared" si="24"/>
        <v>금</v>
      </c>
      <c r="D530" s="116" t="str">
        <f t="shared" si="25"/>
        <v>4교시</v>
      </c>
      <c r="E530" s="68">
        <f>COUNTIF($H$7:$H530,$H530)</f>
        <v>35</v>
      </c>
      <c r="F530" s="67">
        <f>'1.연간시수표'!$AL$33</f>
        <v>5</v>
      </c>
      <c r="G530" s="115">
        <f t="shared" si="26"/>
        <v>2</v>
      </c>
      <c r="H530" s="41" t="str">
        <f>INDEX('0.시간표데이터'!$E$52:$AR$78,QUOTIENT(ROW(A524)-1,40)+1,MOD(ROW(A524)-1,40)+1)</f>
        <v>영어</v>
      </c>
      <c r="I530" s="77"/>
      <c r="J530" s="26"/>
      <c r="K530" s="180"/>
      <c r="L530" s="180"/>
      <c r="M530" s="10"/>
      <c r="N530" s="10"/>
      <c r="O530" s="10"/>
      <c r="P530" s="10"/>
      <c r="Q530" s="164"/>
      <c r="R530" s="110"/>
    </row>
    <row r="531" spans="1:18" ht="13.5" customHeight="1">
      <c r="A531" s="90">
        <v>525</v>
      </c>
      <c r="B531" s="24">
        <f>DATE('1.연간시수표'!$U$44,'1.연간시수표'!$X$44,'1.연간시수표'!$Z$44)+QUOTIENT(ROW(A525)-1,8)+(QUOTIENT(ROW(A525)-1,40)*2)</f>
        <v>44890</v>
      </c>
      <c r="C531" s="24" t="str">
        <f t="shared" si="24"/>
        <v>금</v>
      </c>
      <c r="D531" s="116" t="str">
        <f t="shared" si="25"/>
        <v>5교시</v>
      </c>
      <c r="E531" s="68">
        <f>COUNTIF($H$7:$H531,$H531)</f>
        <v>41</v>
      </c>
      <c r="F531" s="67">
        <f>'1.연간시수표'!$AL$33</f>
        <v>5</v>
      </c>
      <c r="G531" s="115">
        <f t="shared" si="26"/>
        <v>2</v>
      </c>
      <c r="H531" s="41" t="str">
        <f>INDEX('0.시간표데이터'!$E$52:$AR$78,QUOTIENT(ROW(A525)-1,40)+1,MOD(ROW(A525)-1,40)+1)</f>
        <v>수학</v>
      </c>
      <c r="I531" s="77"/>
      <c r="J531" s="26"/>
      <c r="K531" s="180"/>
      <c r="L531" s="180"/>
      <c r="M531" s="10"/>
      <c r="N531" s="10"/>
      <c r="O531" s="10"/>
      <c r="P531" s="10"/>
      <c r="Q531" s="164"/>
      <c r="R531" s="110"/>
    </row>
    <row r="532" spans="1:18" ht="13.5" customHeight="1">
      <c r="A532" s="90">
        <v>526</v>
      </c>
      <c r="B532" s="24">
        <f>DATE('1.연간시수표'!$U$44,'1.연간시수표'!$X$44,'1.연간시수표'!$Z$44)+QUOTIENT(ROW(A526)-1,8)+(QUOTIENT(ROW(A526)-1,40)*2)</f>
        <v>44890</v>
      </c>
      <c r="C532" s="24" t="str">
        <f t="shared" si="24"/>
        <v>금</v>
      </c>
      <c r="D532" s="116" t="str">
        <f t="shared" si="25"/>
        <v>6교시</v>
      </c>
      <c r="E532" s="68">
        <f>COUNTIF($H$7:$H532,$H532)</f>
        <v>18</v>
      </c>
      <c r="F532" s="67">
        <f>'1.연간시수표'!$AL$33</f>
        <v>5</v>
      </c>
      <c r="G532" s="115">
        <f t="shared" si="26"/>
        <v>2</v>
      </c>
      <c r="H532" s="41" t="str">
        <f>INDEX('0.시간표데이터'!$E$52:$AR$78,QUOTIENT(ROW(A526)-1,40)+1,MOD(ROW(A526)-1,40)+1)</f>
        <v>자율활동</v>
      </c>
      <c r="I532" s="77"/>
      <c r="J532" s="26"/>
      <c r="K532" s="167"/>
      <c r="L532" s="167"/>
      <c r="M532" s="166"/>
      <c r="N532" s="166"/>
      <c r="O532" s="166"/>
      <c r="P532" s="166"/>
      <c r="Q532" s="167"/>
      <c r="R532" s="111"/>
    </row>
    <row r="533" spans="1:18" ht="13.5" customHeight="1">
      <c r="A533" s="90">
        <v>527</v>
      </c>
      <c r="B533" s="24">
        <f>DATE('1.연간시수표'!$U$44,'1.연간시수표'!$X$44,'1.연간시수표'!$Z$44)+QUOTIENT(ROW(A527)-1,8)+(QUOTIENT(ROW(A527)-1,40)*2)</f>
        <v>44890</v>
      </c>
      <c r="C533" s="24" t="str">
        <f t="shared" si="24"/>
        <v>금</v>
      </c>
      <c r="D533" s="116" t="str">
        <f t="shared" si="25"/>
        <v>7교시</v>
      </c>
      <c r="E533" s="68">
        <f>COUNTIF($H$7:$H533,$H533)</f>
        <v>186</v>
      </c>
      <c r="F533" s="67">
        <f>'1.연간시수표'!$AL$33</f>
        <v>5</v>
      </c>
      <c r="G533" s="115">
        <f t="shared" si="26"/>
        <v>2</v>
      </c>
      <c r="H533" s="41" t="str">
        <f>INDEX('0.시간표데이터'!$E$52:$AR$78,QUOTIENT(ROW(A527)-1,40)+1,MOD(ROW(A527)-1,40)+1)</f>
        <v>_</v>
      </c>
      <c r="I533" s="76"/>
      <c r="J533" s="26"/>
      <c r="K533" s="180"/>
      <c r="L533" s="180"/>
      <c r="M533" s="10"/>
      <c r="N533" s="10"/>
      <c r="O533" s="10"/>
      <c r="P533" s="10"/>
      <c r="Q533" s="164"/>
      <c r="R533" s="110"/>
    </row>
    <row r="534" spans="1:18" ht="13.5" customHeight="1">
      <c r="A534" s="90">
        <v>528</v>
      </c>
      <c r="B534" s="24">
        <f>DATE('1.연간시수표'!$U$44,'1.연간시수표'!$X$44,'1.연간시수표'!$Z$44)+QUOTIENT(ROW(A528)-1,8)+(QUOTIENT(ROW(A528)-1,40)*2)</f>
        <v>44890</v>
      </c>
      <c r="C534" s="24" t="str">
        <f t="shared" si="24"/>
        <v>금</v>
      </c>
      <c r="D534" s="116" t="str">
        <f t="shared" si="25"/>
        <v>8교시</v>
      </c>
      <c r="E534" s="68">
        <f>COUNTIF($H$7:$H534,$H534)</f>
        <v>187</v>
      </c>
      <c r="F534" s="67">
        <f>'1.연간시수표'!$AL$33</f>
        <v>5</v>
      </c>
      <c r="G534" s="115">
        <f t="shared" si="26"/>
        <v>2</v>
      </c>
      <c r="H534" s="41" t="str">
        <f>INDEX('0.시간표데이터'!$E$52:$AR$78,QUOTIENT(ROW(A528)-1,40)+1,MOD(ROW(A528)-1,40)+1)</f>
        <v>_</v>
      </c>
      <c r="I534" s="76"/>
      <c r="J534" s="26"/>
      <c r="K534" s="167"/>
      <c r="L534" s="167"/>
      <c r="M534" s="166"/>
      <c r="N534" s="166"/>
      <c r="O534" s="166"/>
      <c r="P534" s="166"/>
      <c r="Q534" s="167"/>
      <c r="R534" s="111"/>
    </row>
    <row r="535" spans="1:18" ht="13.5" customHeight="1">
      <c r="A535" s="90">
        <v>529</v>
      </c>
      <c r="B535" s="24">
        <f>DATE('1.연간시수표'!$U$44,'1.연간시수표'!$X$44,'1.연간시수표'!$Z$44)+QUOTIENT(ROW(A529)-1,8)+(QUOTIENT(ROW(A529)-1,40)*2)</f>
        <v>44891</v>
      </c>
      <c r="C535" s="24" t="b">
        <f t="shared" si="24"/>
        <v>0</v>
      </c>
      <c r="D535" s="116" t="str">
        <f t="shared" si="25"/>
        <v>1교시</v>
      </c>
      <c r="E535" s="68">
        <f>COUNTIF($H$7:$H535,$H535)</f>
        <v>19</v>
      </c>
      <c r="F535" s="67">
        <f>'1.연간시수표'!$AL$33</f>
        <v>5</v>
      </c>
      <c r="G535" s="115">
        <f t="shared" si="26"/>
        <v>2</v>
      </c>
      <c r="H535" s="41" t="str">
        <f>INDEX('0.시간표데이터'!$E$52:$AR$78,QUOTIENT(ROW(A529)-1,40)+1,MOD(ROW(A529)-1,40)+1)</f>
        <v>자율활동</v>
      </c>
      <c r="I535" s="77"/>
      <c r="J535" s="26"/>
      <c r="K535" s="180"/>
      <c r="L535" s="180"/>
      <c r="M535" s="10"/>
      <c r="N535" s="10"/>
      <c r="O535" s="10"/>
      <c r="P535" s="10"/>
      <c r="Q535" s="164"/>
      <c r="R535" s="110"/>
    </row>
    <row r="536" spans="1:18" ht="13.5" customHeight="1">
      <c r="A536" s="90">
        <v>530</v>
      </c>
      <c r="B536" s="24">
        <f>DATE('1.연간시수표'!$U$44,'1.연간시수표'!$X$44,'1.연간시수표'!$Z$44)+QUOTIENT(ROW(A530)-1,8)+(QUOTIENT(ROW(A530)-1,40)*2)</f>
        <v>44891</v>
      </c>
      <c r="C536" s="24" t="b">
        <f t="shared" si="24"/>
        <v>0</v>
      </c>
      <c r="D536" s="116" t="str">
        <f t="shared" si="25"/>
        <v>2교시</v>
      </c>
      <c r="E536" s="68">
        <f>COUNTIF($H$7:$H536,$H536)</f>
        <v>20</v>
      </c>
      <c r="F536" s="67">
        <f>'1.연간시수표'!$AL$33</f>
        <v>5</v>
      </c>
      <c r="G536" s="115">
        <f t="shared" si="26"/>
        <v>2</v>
      </c>
      <c r="H536" s="41" t="str">
        <f>INDEX('0.시간표데이터'!$E$52:$AR$78,QUOTIENT(ROW(A530)-1,40)+1,MOD(ROW(A530)-1,40)+1)</f>
        <v>자율활동</v>
      </c>
      <c r="I536" s="161"/>
      <c r="J536" s="26"/>
      <c r="K536" s="180"/>
      <c r="L536" s="180"/>
      <c r="M536" s="10"/>
      <c r="N536" s="10"/>
      <c r="O536" s="10"/>
      <c r="P536" s="10"/>
      <c r="Q536" s="164"/>
      <c r="R536" s="110"/>
    </row>
    <row r="537" spans="1:18" ht="13.5" customHeight="1">
      <c r="A537" s="90">
        <v>531</v>
      </c>
      <c r="B537" s="24">
        <f>DATE('1.연간시수표'!$U$44,'1.연간시수표'!$X$44,'1.연간시수표'!$Z$44)+QUOTIENT(ROW(A531)-1,8)+(QUOTIENT(ROW(A531)-1,40)*2)</f>
        <v>44891</v>
      </c>
      <c r="C537" s="24" t="b">
        <f t="shared" si="24"/>
        <v>0</v>
      </c>
      <c r="D537" s="116" t="str">
        <f t="shared" si="25"/>
        <v>3교시</v>
      </c>
      <c r="E537" s="68">
        <f>COUNTIF($H$7:$H537,$H537)</f>
        <v>37</v>
      </c>
      <c r="F537" s="67">
        <f>'1.연간시수표'!$AL$33</f>
        <v>5</v>
      </c>
      <c r="G537" s="115">
        <f t="shared" si="26"/>
        <v>2</v>
      </c>
      <c r="H537" s="41" t="str">
        <f>INDEX('0.시간표데이터'!$E$52:$AR$78,QUOTIENT(ROW(A531)-1,40)+1,MOD(ROW(A531)-1,40)+1)</f>
        <v>사회</v>
      </c>
      <c r="I537" s="77"/>
      <c r="J537" s="26"/>
      <c r="K537" s="164"/>
      <c r="L537" s="164"/>
      <c r="M537" s="10"/>
      <c r="N537" s="10"/>
      <c r="O537" s="10"/>
      <c r="P537" s="10"/>
      <c r="Q537" s="164"/>
      <c r="R537" s="110"/>
    </row>
    <row r="538" spans="1:18" ht="13.5" customHeight="1">
      <c r="A538" s="90">
        <v>532</v>
      </c>
      <c r="B538" s="24">
        <f>DATE('1.연간시수표'!$U$44,'1.연간시수표'!$X$44,'1.연간시수표'!$Z$44)+QUOTIENT(ROW(A532)-1,8)+(QUOTIENT(ROW(A532)-1,40)*2)</f>
        <v>44891</v>
      </c>
      <c r="C538" s="24" t="b">
        <f t="shared" si="24"/>
        <v>0</v>
      </c>
      <c r="D538" s="116" t="str">
        <f t="shared" si="25"/>
        <v>4교시</v>
      </c>
      <c r="E538" s="68">
        <f>COUNTIF($H$7:$H538,$H538)</f>
        <v>42</v>
      </c>
      <c r="F538" s="67">
        <f>'1.연간시수표'!$AL$33</f>
        <v>5</v>
      </c>
      <c r="G538" s="115">
        <f t="shared" si="26"/>
        <v>2</v>
      </c>
      <c r="H538" s="41" t="str">
        <f>INDEX('0.시간표데이터'!$E$52:$AR$78,QUOTIENT(ROW(A532)-1,40)+1,MOD(ROW(A532)-1,40)+1)</f>
        <v>수학</v>
      </c>
      <c r="I538" s="77"/>
      <c r="J538" s="26"/>
      <c r="K538" s="180"/>
      <c r="L538" s="180"/>
      <c r="M538" s="10"/>
      <c r="N538" s="10"/>
      <c r="O538" s="10"/>
      <c r="P538" s="10"/>
      <c r="Q538" s="164"/>
      <c r="R538" s="110"/>
    </row>
    <row r="539" spans="1:18" ht="13.5" customHeight="1">
      <c r="A539" s="90">
        <v>533</v>
      </c>
      <c r="B539" s="24">
        <f>DATE('1.연간시수표'!$U$44,'1.연간시수표'!$X$44,'1.연간시수표'!$Z$44)+QUOTIENT(ROW(A533)-1,8)+(QUOTIENT(ROW(A533)-1,40)*2)</f>
        <v>44891</v>
      </c>
      <c r="C539" s="24" t="b">
        <f t="shared" si="24"/>
        <v>0</v>
      </c>
      <c r="D539" s="116" t="str">
        <f t="shared" si="25"/>
        <v>5교시</v>
      </c>
      <c r="E539" s="68">
        <f>COUNTIF($H$7:$H539,$H539)</f>
        <v>32</v>
      </c>
      <c r="F539" s="67">
        <f>'1.연간시수표'!$AL$33</f>
        <v>5</v>
      </c>
      <c r="G539" s="115">
        <f t="shared" si="26"/>
        <v>2</v>
      </c>
      <c r="H539" s="41" t="str">
        <f>INDEX('0.시간표데이터'!$E$52:$AR$78,QUOTIENT(ROW(A533)-1,40)+1,MOD(ROW(A533)-1,40)+1)</f>
        <v>과학</v>
      </c>
      <c r="I539" s="77"/>
      <c r="J539" s="26"/>
      <c r="K539" s="180"/>
      <c r="L539" s="180"/>
      <c r="M539" s="10"/>
      <c r="N539" s="10"/>
      <c r="O539" s="10"/>
      <c r="P539" s="10"/>
      <c r="Q539" s="164"/>
      <c r="R539" s="110"/>
    </row>
    <row r="540" spans="1:18" ht="13.5" customHeight="1">
      <c r="A540" s="90">
        <v>534</v>
      </c>
      <c r="B540" s="24">
        <f>DATE('1.연간시수표'!$U$44,'1.연간시수표'!$X$44,'1.연간시수표'!$Z$44)+QUOTIENT(ROW(A534)-1,8)+(QUOTIENT(ROW(A534)-1,40)*2)</f>
        <v>44891</v>
      </c>
      <c r="C540" s="24" t="b">
        <f t="shared" si="24"/>
        <v>0</v>
      </c>
      <c r="D540" s="116" t="str">
        <f t="shared" si="25"/>
        <v>6교시</v>
      </c>
      <c r="E540" s="68">
        <f>COUNTIF($H$7:$H540,$H540)</f>
        <v>25</v>
      </c>
      <c r="F540" s="67">
        <f>'1.연간시수표'!$AL$33</f>
        <v>5</v>
      </c>
      <c r="G540" s="115">
        <f t="shared" si="26"/>
        <v>2</v>
      </c>
      <c r="H540" s="41" t="str">
        <f>INDEX('0.시간표데이터'!$E$52:$AR$78,QUOTIENT(ROW(A534)-1,40)+1,MOD(ROW(A534)-1,40)+1)</f>
        <v>실과</v>
      </c>
      <c r="I540" s="77"/>
      <c r="J540" s="26"/>
      <c r="K540" s="180"/>
      <c r="L540" s="180"/>
      <c r="M540" s="10"/>
      <c r="N540" s="10"/>
      <c r="O540" s="10"/>
      <c r="P540" s="10"/>
      <c r="Q540" s="164"/>
      <c r="R540" s="110"/>
    </row>
    <row r="541" spans="1:18" ht="13.5" customHeight="1">
      <c r="A541" s="90">
        <v>535</v>
      </c>
      <c r="B541" s="24">
        <f>DATE('1.연간시수표'!$U$44,'1.연간시수표'!$X$44,'1.연간시수표'!$Z$44)+QUOTIENT(ROW(A535)-1,8)+(QUOTIENT(ROW(A535)-1,40)*2)</f>
        <v>44891</v>
      </c>
      <c r="C541" s="24" t="b">
        <f t="shared" si="24"/>
        <v>0</v>
      </c>
      <c r="D541" s="116" t="str">
        <f t="shared" si="25"/>
        <v>7교시</v>
      </c>
      <c r="E541" s="68">
        <f>COUNTIF($H$7:$H541,$H541)</f>
        <v>188</v>
      </c>
      <c r="F541" s="67">
        <f>'1.연간시수표'!$AL$33</f>
        <v>5</v>
      </c>
      <c r="G541" s="115">
        <f t="shared" si="26"/>
        <v>2</v>
      </c>
      <c r="H541" s="41" t="str">
        <f>INDEX('0.시간표데이터'!$E$52:$AR$78,QUOTIENT(ROW(A535)-1,40)+1,MOD(ROW(A535)-1,40)+1)</f>
        <v>_</v>
      </c>
      <c r="I541" s="76"/>
      <c r="J541" s="26"/>
      <c r="K541" s="167"/>
      <c r="L541" s="167"/>
      <c r="M541" s="166"/>
      <c r="N541" s="166"/>
      <c r="O541" s="166"/>
      <c r="P541" s="166"/>
      <c r="Q541" s="167"/>
      <c r="R541" s="111"/>
    </row>
    <row r="542" spans="1:18" ht="13.5" customHeight="1">
      <c r="A542" s="90">
        <v>536</v>
      </c>
      <c r="B542" s="24">
        <f>DATE('1.연간시수표'!$U$44,'1.연간시수표'!$X$44,'1.연간시수표'!$Z$44)+QUOTIENT(ROW(A536)-1,8)+(QUOTIENT(ROW(A536)-1,40)*2)</f>
        <v>44891</v>
      </c>
      <c r="C542" s="24" t="b">
        <f t="shared" si="24"/>
        <v>0</v>
      </c>
      <c r="D542" s="116" t="str">
        <f t="shared" si="25"/>
        <v>8교시</v>
      </c>
      <c r="E542" s="68">
        <f>COUNTIF($H$7:$H542,$H542)</f>
        <v>189</v>
      </c>
      <c r="F542" s="67">
        <f>'1.연간시수표'!$AL$33</f>
        <v>5</v>
      </c>
      <c r="G542" s="115">
        <f t="shared" si="26"/>
        <v>2</v>
      </c>
      <c r="H542" s="41" t="str">
        <f>INDEX('0.시간표데이터'!$E$52:$AR$78,QUOTIENT(ROW(A536)-1,40)+1,MOD(ROW(A536)-1,40)+1)</f>
        <v>_</v>
      </c>
      <c r="I542" s="76"/>
      <c r="J542" s="26"/>
      <c r="K542" s="167"/>
      <c r="L542" s="167"/>
      <c r="M542" s="166"/>
      <c r="N542" s="166"/>
      <c r="O542" s="166"/>
      <c r="P542" s="166"/>
      <c r="Q542" s="167"/>
      <c r="R542" s="111"/>
    </row>
    <row r="543" spans="1:18" ht="13.5" customHeight="1">
      <c r="A543" s="90">
        <v>537</v>
      </c>
      <c r="B543" s="24">
        <f>DATE('1.연간시수표'!$U$44,'1.연간시수표'!$X$44,'1.연간시수표'!$Z$44)+QUOTIENT(ROW(A537)-1,8)+(QUOTIENT(ROW(A537)-1,40)*2)</f>
        <v>44892</v>
      </c>
      <c r="C543" s="24" t="b">
        <f t="shared" si="24"/>
        <v>0</v>
      </c>
      <c r="D543" s="116" t="str">
        <f t="shared" si="25"/>
        <v>1교시</v>
      </c>
      <c r="E543" s="68">
        <f>COUNTIF($H$7:$H543,$H543)</f>
        <v>36</v>
      </c>
      <c r="F543" s="67">
        <f>'1.연간시수표'!$AL$33</f>
        <v>5</v>
      </c>
      <c r="G543" s="115">
        <f t="shared" si="26"/>
        <v>2</v>
      </c>
      <c r="H543" s="41" t="str">
        <f>INDEX('0.시간표데이터'!$E$52:$AR$78,QUOTIENT(ROW(A537)-1,40)+1,MOD(ROW(A537)-1,40)+1)</f>
        <v>영어</v>
      </c>
      <c r="I543" s="77"/>
      <c r="J543" s="26"/>
      <c r="K543" s="180"/>
      <c r="L543" s="180"/>
      <c r="M543" s="10"/>
      <c r="N543" s="10"/>
      <c r="O543" s="10"/>
      <c r="P543" s="10"/>
      <c r="Q543" s="164"/>
      <c r="R543" s="110"/>
    </row>
    <row r="544" spans="1:18" ht="13.5" customHeight="1">
      <c r="A544" s="90">
        <v>538</v>
      </c>
      <c r="B544" s="24">
        <f>DATE('1.연간시수표'!$U$44,'1.연간시수표'!$X$44,'1.연간시수표'!$Z$44)+QUOTIENT(ROW(A538)-1,8)+(QUOTIENT(ROW(A538)-1,40)*2)</f>
        <v>44892</v>
      </c>
      <c r="C544" s="24" t="b">
        <f t="shared" si="24"/>
        <v>0</v>
      </c>
      <c r="D544" s="116" t="str">
        <f t="shared" si="25"/>
        <v>2교시</v>
      </c>
      <c r="E544" s="68">
        <f>COUNTIF($H$7:$H544,$H544)</f>
        <v>33</v>
      </c>
      <c r="F544" s="67">
        <f>'1.연간시수표'!$AL$33</f>
        <v>5</v>
      </c>
      <c r="G544" s="115">
        <f t="shared" si="26"/>
        <v>2</v>
      </c>
      <c r="H544" s="41" t="str">
        <f>INDEX('0.시간표데이터'!$E$52:$AR$78,QUOTIENT(ROW(A538)-1,40)+1,MOD(ROW(A538)-1,40)+1)</f>
        <v>과학</v>
      </c>
      <c r="I544" s="77"/>
      <c r="J544" s="26"/>
      <c r="K544" s="180"/>
      <c r="L544" s="180"/>
      <c r="M544" s="10"/>
      <c r="N544" s="10"/>
      <c r="O544" s="10"/>
      <c r="P544" s="10"/>
      <c r="Q544" s="164"/>
      <c r="R544" s="110"/>
    </row>
    <row r="545" spans="1:18" ht="13.5" customHeight="1">
      <c r="A545" s="90">
        <v>539</v>
      </c>
      <c r="B545" s="24">
        <f>DATE('1.연간시수표'!$U$44,'1.연간시수표'!$X$44,'1.연간시수표'!$Z$44)+QUOTIENT(ROW(A539)-1,8)+(QUOTIENT(ROW(A539)-1,40)*2)</f>
        <v>44892</v>
      </c>
      <c r="C545" s="24" t="b">
        <f t="shared" si="24"/>
        <v>0</v>
      </c>
      <c r="D545" s="116" t="str">
        <f t="shared" si="25"/>
        <v>3교시</v>
      </c>
      <c r="E545" s="68">
        <f>COUNTIF($H$7:$H545,$H545)</f>
        <v>25</v>
      </c>
      <c r="F545" s="67">
        <f>'1.연간시수표'!$AL$33</f>
        <v>5</v>
      </c>
      <c r="G545" s="115">
        <f t="shared" si="26"/>
        <v>2</v>
      </c>
      <c r="H545" s="41" t="str">
        <f>INDEX('0.시간표데이터'!$E$52:$AR$78,QUOTIENT(ROW(A539)-1,40)+1,MOD(ROW(A539)-1,40)+1)</f>
        <v>체육</v>
      </c>
      <c r="I545" s="77"/>
      <c r="J545" s="26"/>
      <c r="K545" s="180"/>
      <c r="L545" s="180"/>
      <c r="M545" s="10"/>
      <c r="N545" s="10"/>
      <c r="O545" s="10"/>
      <c r="P545" s="10"/>
      <c r="Q545" s="164"/>
      <c r="R545" s="110"/>
    </row>
    <row r="546" spans="1:18" ht="13.5" customHeight="1">
      <c r="A546" s="90">
        <v>540</v>
      </c>
      <c r="B546" s="24">
        <f>DATE('1.연간시수표'!$U$44,'1.연간시수표'!$X$44,'1.연간시수표'!$Z$44)+QUOTIENT(ROW(A540)-1,8)+(QUOTIENT(ROW(A540)-1,40)*2)</f>
        <v>44892</v>
      </c>
      <c r="C546" s="24" t="b">
        <f t="shared" si="24"/>
        <v>0</v>
      </c>
      <c r="D546" s="116" t="str">
        <f t="shared" si="25"/>
        <v>4교시</v>
      </c>
      <c r="E546" s="68">
        <f>COUNTIF($H$7:$H546,$H546)</f>
        <v>20</v>
      </c>
      <c r="F546" s="67">
        <f>'1.연간시수표'!$AL$33</f>
        <v>5</v>
      </c>
      <c r="G546" s="115">
        <f t="shared" si="26"/>
        <v>2</v>
      </c>
      <c r="H546" s="41" t="str">
        <f>INDEX('0.시간표데이터'!$E$52:$AR$78,QUOTIENT(ROW(A540)-1,40)+1,MOD(ROW(A540)-1,40)+1)</f>
        <v>음악</v>
      </c>
      <c r="I546" s="77"/>
      <c r="J546" s="26"/>
      <c r="K546" s="180"/>
      <c r="L546" s="180"/>
      <c r="M546" s="10"/>
      <c r="N546" s="10"/>
      <c r="O546" s="10"/>
      <c r="P546" s="10"/>
      <c r="Q546" s="164"/>
      <c r="R546" s="110"/>
    </row>
    <row r="547" spans="1:18">
      <c r="A547" s="90">
        <v>541</v>
      </c>
      <c r="B547" s="24">
        <f>DATE('1.연간시수표'!$U$44,'1.연간시수표'!$X$44,'1.연간시수표'!$Z$44)+QUOTIENT(ROW(A541)-1,8)+(QUOTIENT(ROW(A541)-1,40)*2)</f>
        <v>44892</v>
      </c>
      <c r="C547" s="24" t="b">
        <f t="shared" si="24"/>
        <v>0</v>
      </c>
      <c r="D547" s="116" t="str">
        <f t="shared" si="25"/>
        <v>5교시</v>
      </c>
      <c r="E547" s="68">
        <f>COUNTIF($H$7:$H547,$H547)</f>
        <v>13</v>
      </c>
      <c r="F547" s="67">
        <f>'1.연간시수표'!$AL$33</f>
        <v>5</v>
      </c>
      <c r="G547" s="115">
        <f t="shared" si="26"/>
        <v>2</v>
      </c>
      <c r="H547" s="41" t="str">
        <f>INDEX('0.시간표데이터'!$E$52:$AR$78,QUOTIENT(ROW(A541)-1,40)+1,MOD(ROW(A541)-1,40)+1)</f>
        <v>도덕</v>
      </c>
      <c r="I547" s="77"/>
      <c r="J547" s="26"/>
      <c r="K547" s="164"/>
      <c r="L547" s="164"/>
      <c r="M547" s="10"/>
      <c r="N547" s="10"/>
      <c r="O547" s="10"/>
      <c r="P547" s="10"/>
      <c r="Q547" s="164"/>
      <c r="R547" s="110"/>
    </row>
    <row r="548" spans="1:18">
      <c r="A548" s="90">
        <v>542</v>
      </c>
      <c r="B548" s="24">
        <f>DATE('1.연간시수표'!$U$44,'1.연간시수표'!$X$44,'1.연간시수표'!$Z$44)+QUOTIENT(ROW(A542)-1,8)+(QUOTIENT(ROW(A542)-1,40)*2)</f>
        <v>44892</v>
      </c>
      <c r="C548" s="24" t="b">
        <f t="shared" si="24"/>
        <v>0</v>
      </c>
      <c r="D548" s="116" t="str">
        <f t="shared" si="25"/>
        <v>6교시</v>
      </c>
      <c r="E548" s="68">
        <f>COUNTIF($H$7:$H548,$H548)</f>
        <v>190</v>
      </c>
      <c r="F548" s="67">
        <f>'1.연간시수표'!$AL$33</f>
        <v>5</v>
      </c>
      <c r="G548" s="115">
        <f t="shared" si="26"/>
        <v>2</v>
      </c>
      <c r="H548" s="41" t="str">
        <f>INDEX('0.시간표데이터'!$E$52:$AR$78,QUOTIENT(ROW(A542)-1,40)+1,MOD(ROW(A542)-1,40)+1)</f>
        <v>_</v>
      </c>
      <c r="I548" s="77"/>
      <c r="J548" s="26"/>
      <c r="K548" s="180"/>
      <c r="L548" s="180"/>
      <c r="M548" s="10"/>
      <c r="N548" s="10"/>
      <c r="O548" s="10"/>
      <c r="P548" s="10"/>
      <c r="Q548" s="164"/>
      <c r="R548" s="110"/>
    </row>
    <row r="549" spans="1:18" ht="13.5" customHeight="1">
      <c r="A549" s="90">
        <v>543</v>
      </c>
      <c r="B549" s="24">
        <f>DATE('1.연간시수표'!$U$44,'1.연간시수표'!$X$44,'1.연간시수표'!$Z$44)+QUOTIENT(ROW(A543)-1,8)+(QUOTIENT(ROW(A543)-1,40)*2)</f>
        <v>44892</v>
      </c>
      <c r="C549" s="24" t="b">
        <f t="shared" si="24"/>
        <v>0</v>
      </c>
      <c r="D549" s="116" t="str">
        <f t="shared" si="25"/>
        <v>7교시</v>
      </c>
      <c r="E549" s="68">
        <f>COUNTIF($H$7:$H549,$H549)</f>
        <v>191</v>
      </c>
      <c r="F549" s="67">
        <f>'1.연간시수표'!$AL$33</f>
        <v>5</v>
      </c>
      <c r="G549" s="115">
        <f t="shared" si="26"/>
        <v>2</v>
      </c>
      <c r="H549" s="41" t="str">
        <f>INDEX('0.시간표데이터'!$E$52:$AR$78,QUOTIENT(ROW(A543)-1,40)+1,MOD(ROW(A543)-1,40)+1)</f>
        <v>_</v>
      </c>
      <c r="I549" s="76"/>
      <c r="J549" s="26"/>
      <c r="K549" s="167"/>
      <c r="L549" s="167"/>
      <c r="M549" s="166"/>
      <c r="N549" s="166"/>
      <c r="O549" s="166"/>
      <c r="P549" s="166"/>
      <c r="Q549" s="167"/>
      <c r="R549" s="111"/>
    </row>
    <row r="550" spans="1:18" ht="13.5" customHeight="1">
      <c r="A550" s="90">
        <v>544</v>
      </c>
      <c r="B550" s="24">
        <f>DATE('1.연간시수표'!$U$44,'1.연간시수표'!$X$44,'1.연간시수표'!$Z$44)+QUOTIENT(ROW(A544)-1,8)+(QUOTIENT(ROW(A544)-1,40)*2)</f>
        <v>44892</v>
      </c>
      <c r="C550" s="24" t="b">
        <f t="shared" si="24"/>
        <v>0</v>
      </c>
      <c r="D550" s="116" t="str">
        <f t="shared" si="25"/>
        <v>8교시</v>
      </c>
      <c r="E550" s="68">
        <f>COUNTIF($H$7:$H550,$H550)</f>
        <v>192</v>
      </c>
      <c r="F550" s="67">
        <f>'1.연간시수표'!$AL$33</f>
        <v>5</v>
      </c>
      <c r="G550" s="115">
        <f t="shared" si="26"/>
        <v>2</v>
      </c>
      <c r="H550" s="41" t="str">
        <f>INDEX('0.시간표데이터'!$E$52:$AR$78,QUOTIENT(ROW(A544)-1,40)+1,MOD(ROW(A544)-1,40)+1)</f>
        <v>_</v>
      </c>
      <c r="I550" s="76"/>
      <c r="J550" s="26"/>
      <c r="K550" s="167"/>
      <c r="L550" s="167"/>
      <c r="M550" s="166"/>
      <c r="N550" s="166"/>
      <c r="O550" s="166"/>
      <c r="P550" s="166"/>
      <c r="Q550" s="167"/>
      <c r="R550" s="111"/>
    </row>
    <row r="551" spans="1:18" ht="13.5" customHeight="1">
      <c r="A551" s="90">
        <v>545</v>
      </c>
      <c r="B551" s="24">
        <f>DATE('1.연간시수표'!$U$44,'1.연간시수표'!$X$44,'1.연간시수표'!$Z$44)+QUOTIENT(ROW(A545)-1,8)+(QUOTIENT(ROW(A545)-1,40)*2)</f>
        <v>44893</v>
      </c>
      <c r="C551" s="24" t="str">
        <f t="shared" si="24"/>
        <v>월</v>
      </c>
      <c r="D551" s="116" t="str">
        <f t="shared" si="25"/>
        <v>1교시</v>
      </c>
      <c r="E551" s="68">
        <f>COUNTIF($H$7:$H551,$H551)</f>
        <v>66</v>
      </c>
      <c r="F551" s="67">
        <f>'1.연간시수표'!$AL$33</f>
        <v>5</v>
      </c>
      <c r="G551" s="115">
        <f t="shared" si="26"/>
        <v>2</v>
      </c>
      <c r="H551" s="41" t="str">
        <f>INDEX('0.시간표데이터'!$E$52:$AR$78,QUOTIENT(ROW(A545)-1,40)+1,MOD(ROW(A545)-1,40)+1)</f>
        <v>국어</v>
      </c>
      <c r="I551" s="77"/>
      <c r="J551" s="26"/>
      <c r="K551" s="167"/>
      <c r="L551" s="167"/>
      <c r="M551" s="166"/>
      <c r="N551" s="166"/>
      <c r="O551" s="166"/>
      <c r="P551" s="166"/>
      <c r="Q551" s="167"/>
      <c r="R551" s="111"/>
    </row>
    <row r="552" spans="1:18" ht="13.5" customHeight="1">
      <c r="A552" s="90">
        <v>546</v>
      </c>
      <c r="B552" s="24">
        <f>DATE('1.연간시수표'!$U$44,'1.연간시수표'!$X$44,'1.연간시수표'!$Z$44)+QUOTIENT(ROW(A546)-1,8)+(QUOTIENT(ROW(A546)-1,40)*2)</f>
        <v>44893</v>
      </c>
      <c r="C552" s="24" t="str">
        <f t="shared" si="24"/>
        <v>월</v>
      </c>
      <c r="D552" s="116" t="str">
        <f t="shared" si="25"/>
        <v>2교시</v>
      </c>
      <c r="E552" s="68">
        <f>COUNTIF($H$7:$H552,$H552)</f>
        <v>43</v>
      </c>
      <c r="F552" s="67">
        <f>'1.연간시수표'!$AL$33</f>
        <v>5</v>
      </c>
      <c r="G552" s="115">
        <f t="shared" si="26"/>
        <v>2</v>
      </c>
      <c r="H552" s="41" t="str">
        <f>INDEX('0.시간표데이터'!$E$52:$AR$78,QUOTIENT(ROW(A546)-1,40)+1,MOD(ROW(A546)-1,40)+1)</f>
        <v>수학</v>
      </c>
      <c r="I552" s="161"/>
      <c r="J552" s="26"/>
      <c r="K552" s="167"/>
      <c r="L552" s="167"/>
      <c r="M552" s="166"/>
      <c r="N552" s="166"/>
      <c r="O552" s="166"/>
      <c r="P552" s="166"/>
      <c r="Q552" s="167"/>
      <c r="R552" s="111"/>
    </row>
    <row r="553" spans="1:18" ht="13.5" customHeight="1">
      <c r="A553" s="90">
        <v>547</v>
      </c>
      <c r="B553" s="24">
        <f>DATE('1.연간시수표'!$U$44,'1.연간시수표'!$X$44,'1.연간시수표'!$Z$44)+QUOTIENT(ROW(A547)-1,8)+(QUOTIENT(ROW(A547)-1,40)*2)</f>
        <v>44893</v>
      </c>
      <c r="C553" s="24" t="str">
        <f t="shared" si="24"/>
        <v>월</v>
      </c>
      <c r="D553" s="116" t="str">
        <f t="shared" si="25"/>
        <v>3교시</v>
      </c>
      <c r="E553" s="68">
        <f>COUNTIF($H$7:$H553,$H553)</f>
        <v>38</v>
      </c>
      <c r="F553" s="67">
        <f>'1.연간시수표'!$AL$33</f>
        <v>5</v>
      </c>
      <c r="G553" s="115">
        <f t="shared" si="26"/>
        <v>2</v>
      </c>
      <c r="H553" s="41" t="str">
        <f>INDEX('0.시간표데이터'!$E$52:$AR$78,QUOTIENT(ROW(A547)-1,40)+1,MOD(ROW(A547)-1,40)+1)</f>
        <v>사회</v>
      </c>
      <c r="I553" s="77"/>
      <c r="J553" s="26"/>
      <c r="K553" s="180"/>
      <c r="L553" s="180"/>
      <c r="M553" s="10"/>
      <c r="N553" s="10"/>
      <c r="O553" s="10"/>
      <c r="P553" s="10"/>
      <c r="Q553" s="167"/>
      <c r="R553" s="111"/>
    </row>
    <row r="554" spans="1:18" ht="13.5" customHeight="1">
      <c r="A554" s="90">
        <v>548</v>
      </c>
      <c r="B554" s="24">
        <f>DATE('1.연간시수표'!$U$44,'1.연간시수표'!$X$44,'1.연간시수표'!$Z$44)+QUOTIENT(ROW(A548)-1,8)+(QUOTIENT(ROW(A548)-1,40)*2)</f>
        <v>44893</v>
      </c>
      <c r="C554" s="24" t="str">
        <f t="shared" si="24"/>
        <v>월</v>
      </c>
      <c r="D554" s="116" t="str">
        <f t="shared" si="25"/>
        <v>4교시</v>
      </c>
      <c r="E554" s="68">
        <f>COUNTIF($H$7:$H554,$H554)</f>
        <v>37</v>
      </c>
      <c r="F554" s="67">
        <f>'1.연간시수표'!$AL$33</f>
        <v>5</v>
      </c>
      <c r="G554" s="115">
        <f t="shared" si="26"/>
        <v>2</v>
      </c>
      <c r="H554" s="41" t="str">
        <f>INDEX('0.시간표데이터'!$E$52:$AR$78,QUOTIENT(ROW(A548)-1,40)+1,MOD(ROW(A548)-1,40)+1)</f>
        <v>영어</v>
      </c>
      <c r="I554" s="77"/>
      <c r="J554" s="26"/>
      <c r="K554" s="164"/>
      <c r="L554" s="164"/>
      <c r="M554" s="10"/>
      <c r="N554" s="10"/>
      <c r="O554" s="10"/>
      <c r="P554" s="10"/>
      <c r="Q554" s="164"/>
      <c r="R554" s="111"/>
    </row>
    <row r="555" spans="1:18" ht="13.5" customHeight="1">
      <c r="A555" s="90">
        <v>549</v>
      </c>
      <c r="B555" s="24">
        <f>DATE('1.연간시수표'!$U$44,'1.연간시수표'!$X$44,'1.연간시수표'!$Z$44)+QUOTIENT(ROW(A549)-1,8)+(QUOTIENT(ROW(A549)-1,40)*2)</f>
        <v>44893</v>
      </c>
      <c r="C555" s="24" t="str">
        <f t="shared" si="24"/>
        <v>월</v>
      </c>
      <c r="D555" s="116" t="str">
        <f t="shared" si="25"/>
        <v>5교시</v>
      </c>
      <c r="E555" s="68">
        <f>COUNTIF($H$7:$H555,$H555)</f>
        <v>34</v>
      </c>
      <c r="F555" s="67">
        <f>'1.연간시수표'!$AL$33</f>
        <v>5</v>
      </c>
      <c r="G555" s="115">
        <f t="shared" si="26"/>
        <v>2</v>
      </c>
      <c r="H555" s="41" t="str">
        <f>INDEX('0.시간표데이터'!$E$52:$AR$78,QUOTIENT(ROW(A549)-1,40)+1,MOD(ROW(A549)-1,40)+1)</f>
        <v>과학</v>
      </c>
      <c r="I555" s="77"/>
      <c r="J555" s="26"/>
      <c r="K555" s="167"/>
      <c r="L555" s="167"/>
      <c r="M555" s="166"/>
      <c r="N555" s="166"/>
      <c r="O555" s="166"/>
      <c r="P555" s="166"/>
      <c r="Q555" s="167"/>
      <c r="R555" s="111"/>
    </row>
    <row r="556" spans="1:18" ht="13.5" customHeight="1">
      <c r="A556" s="90">
        <v>550</v>
      </c>
      <c r="B556" s="24">
        <f>DATE('1.연간시수표'!$U$44,'1.연간시수표'!$X$44,'1.연간시수표'!$Z$44)+QUOTIENT(ROW(A550)-1,8)+(QUOTIENT(ROW(A550)-1,40)*2)</f>
        <v>44893</v>
      </c>
      <c r="C556" s="24" t="str">
        <f t="shared" si="24"/>
        <v>월</v>
      </c>
      <c r="D556" s="116" t="str">
        <f t="shared" si="25"/>
        <v>6교시</v>
      </c>
      <c r="E556" s="68">
        <f>COUNTIF($H$7:$H556,$H556)</f>
        <v>21</v>
      </c>
      <c r="F556" s="67">
        <f>'1.연간시수표'!$AL$33</f>
        <v>5</v>
      </c>
      <c r="G556" s="115">
        <f t="shared" si="26"/>
        <v>2</v>
      </c>
      <c r="H556" s="41" t="str">
        <f>INDEX('0.시간표데이터'!$E$52:$AR$78,QUOTIENT(ROW(A550)-1,40)+1,MOD(ROW(A550)-1,40)+1)</f>
        <v>음악</v>
      </c>
      <c r="I556" s="161"/>
      <c r="J556" s="26"/>
      <c r="K556" s="167"/>
      <c r="L556" s="167"/>
      <c r="M556" s="166"/>
      <c r="N556" s="166"/>
      <c r="O556" s="166"/>
      <c r="P556" s="166"/>
      <c r="Q556" s="167"/>
      <c r="R556" s="111"/>
    </row>
    <row r="557" spans="1:18" ht="13.5" customHeight="1">
      <c r="A557" s="90">
        <v>551</v>
      </c>
      <c r="B557" s="24">
        <f>DATE('1.연간시수표'!$U$44,'1.연간시수표'!$X$44,'1.연간시수표'!$Z$44)+QUOTIENT(ROW(A551)-1,8)+(QUOTIENT(ROW(A551)-1,40)*2)</f>
        <v>44893</v>
      </c>
      <c r="C557" s="24" t="str">
        <f t="shared" si="24"/>
        <v>월</v>
      </c>
      <c r="D557" s="116" t="str">
        <f t="shared" si="25"/>
        <v>7교시</v>
      </c>
      <c r="E557" s="68">
        <f>COUNTIF($H$7:$H557,$H557)</f>
        <v>193</v>
      </c>
      <c r="F557" s="67">
        <f>'1.연간시수표'!$AL$33</f>
        <v>5</v>
      </c>
      <c r="G557" s="115">
        <f t="shared" si="26"/>
        <v>2</v>
      </c>
      <c r="H557" s="41" t="str">
        <f>INDEX('0.시간표데이터'!$E$52:$AR$78,QUOTIENT(ROW(A551)-1,40)+1,MOD(ROW(A551)-1,40)+1)</f>
        <v>_</v>
      </c>
      <c r="I557" s="76"/>
      <c r="J557" s="26"/>
      <c r="K557" s="167"/>
      <c r="L557" s="167"/>
      <c r="M557" s="166"/>
      <c r="N557" s="166"/>
      <c r="O557" s="166"/>
      <c r="P557" s="166"/>
      <c r="Q557" s="167"/>
      <c r="R557" s="111"/>
    </row>
    <row r="558" spans="1:18" ht="13.5" customHeight="1">
      <c r="A558" s="90">
        <v>552</v>
      </c>
      <c r="B558" s="24">
        <f>DATE('1.연간시수표'!$U$44,'1.연간시수표'!$X$44,'1.연간시수표'!$Z$44)+QUOTIENT(ROW(A552)-1,8)+(QUOTIENT(ROW(A552)-1,40)*2)</f>
        <v>44893</v>
      </c>
      <c r="C558" s="24" t="str">
        <f t="shared" si="24"/>
        <v>월</v>
      </c>
      <c r="D558" s="116" t="str">
        <f t="shared" si="25"/>
        <v>8교시</v>
      </c>
      <c r="E558" s="68">
        <f>COUNTIF($H$7:$H558,$H558)</f>
        <v>194</v>
      </c>
      <c r="F558" s="67">
        <f>'1.연간시수표'!$AL$33</f>
        <v>5</v>
      </c>
      <c r="G558" s="115">
        <f t="shared" si="26"/>
        <v>2</v>
      </c>
      <c r="H558" s="41" t="str">
        <f>INDEX('0.시간표데이터'!$E$52:$AR$78,QUOTIENT(ROW(A552)-1,40)+1,MOD(ROW(A552)-1,40)+1)</f>
        <v>_</v>
      </c>
      <c r="I558" s="76"/>
      <c r="J558" s="26"/>
      <c r="K558" s="167"/>
      <c r="L558" s="167"/>
      <c r="M558" s="166"/>
      <c r="N558" s="166"/>
      <c r="O558" s="166"/>
      <c r="P558" s="166"/>
      <c r="Q558" s="167"/>
      <c r="R558" s="111"/>
    </row>
    <row r="559" spans="1:18" ht="13.5" customHeight="1">
      <c r="A559" s="90">
        <v>553</v>
      </c>
      <c r="B559" s="24">
        <f>DATE('1.연간시수표'!$U$44,'1.연간시수표'!$X$44,'1.연간시수표'!$Z$44)+QUOTIENT(ROW(A553)-1,8)+(QUOTIENT(ROW(A553)-1,40)*2)</f>
        <v>44894</v>
      </c>
      <c r="C559" s="24" t="str">
        <f t="shared" si="24"/>
        <v>화</v>
      </c>
      <c r="D559" s="116" t="str">
        <f t="shared" si="25"/>
        <v>1교시</v>
      </c>
      <c r="E559" s="68">
        <f>COUNTIF($H$7:$H559,$H559)</f>
        <v>67</v>
      </c>
      <c r="F559" s="67">
        <f>'1.연간시수표'!$AL$33</f>
        <v>5</v>
      </c>
      <c r="G559" s="115">
        <f t="shared" si="26"/>
        <v>2</v>
      </c>
      <c r="H559" s="41" t="str">
        <f>INDEX('0.시간표데이터'!$E$52:$AR$78,QUOTIENT(ROW(A553)-1,40)+1,MOD(ROW(A553)-1,40)+1)</f>
        <v>국어</v>
      </c>
      <c r="I559" s="77"/>
      <c r="J559" s="26"/>
      <c r="K559" s="167"/>
      <c r="L559" s="167"/>
      <c r="M559" s="166"/>
      <c r="N559" s="166"/>
      <c r="O559" s="166"/>
      <c r="P559" s="166"/>
      <c r="Q559" s="167"/>
      <c r="R559" s="111"/>
    </row>
    <row r="560" spans="1:18" ht="13.5" customHeight="1">
      <c r="A560" s="90">
        <v>554</v>
      </c>
      <c r="B560" s="24">
        <f>DATE('1.연간시수표'!$U$44,'1.연간시수표'!$X$44,'1.연간시수표'!$Z$44)+QUOTIENT(ROW(A554)-1,8)+(QUOTIENT(ROW(A554)-1,40)*2)</f>
        <v>44894</v>
      </c>
      <c r="C560" s="24" t="str">
        <f t="shared" si="24"/>
        <v>화</v>
      </c>
      <c r="D560" s="116" t="str">
        <f t="shared" si="25"/>
        <v>2교시</v>
      </c>
      <c r="E560" s="68">
        <f>COUNTIF($H$7:$H560,$H560)</f>
        <v>26</v>
      </c>
      <c r="F560" s="67">
        <f>'1.연간시수표'!$AL$33</f>
        <v>5</v>
      </c>
      <c r="G560" s="115">
        <f t="shared" si="26"/>
        <v>2</v>
      </c>
      <c r="H560" s="41" t="str">
        <f>INDEX('0.시간표데이터'!$E$52:$AR$78,QUOTIENT(ROW(A554)-1,40)+1,MOD(ROW(A554)-1,40)+1)</f>
        <v>체육</v>
      </c>
      <c r="I560" s="77"/>
      <c r="J560" s="26"/>
      <c r="K560" s="167"/>
      <c r="L560" s="167"/>
      <c r="M560" s="166"/>
      <c r="N560" s="166"/>
      <c r="O560" s="166"/>
      <c r="P560" s="166"/>
      <c r="Q560" s="167"/>
      <c r="R560" s="111"/>
    </row>
    <row r="561" spans="1:18" ht="13.5" customHeight="1">
      <c r="A561" s="90">
        <v>555</v>
      </c>
      <c r="B561" s="24">
        <f>DATE('1.연간시수표'!$U$44,'1.연간시수표'!$X$44,'1.연간시수표'!$Z$44)+QUOTIENT(ROW(A555)-1,8)+(QUOTIENT(ROW(A555)-1,40)*2)</f>
        <v>44894</v>
      </c>
      <c r="C561" s="24" t="str">
        <f t="shared" si="24"/>
        <v>화</v>
      </c>
      <c r="D561" s="116" t="str">
        <f t="shared" si="25"/>
        <v>3교시</v>
      </c>
      <c r="E561" s="68">
        <f>COUNTIF($H$7:$H561,$H561)</f>
        <v>44</v>
      </c>
      <c r="F561" s="67">
        <f>'1.연간시수표'!$AL$33</f>
        <v>5</v>
      </c>
      <c r="G561" s="115">
        <f t="shared" si="26"/>
        <v>2</v>
      </c>
      <c r="H561" s="41" t="str">
        <f>INDEX('0.시간표데이터'!$E$52:$AR$78,QUOTIENT(ROW(A555)-1,40)+1,MOD(ROW(A555)-1,40)+1)</f>
        <v>수학</v>
      </c>
      <c r="I561" s="77"/>
      <c r="J561" s="26"/>
      <c r="K561" s="167"/>
      <c r="L561" s="167"/>
      <c r="M561" s="166"/>
      <c r="N561" s="166"/>
      <c r="O561" s="166"/>
      <c r="P561" s="166"/>
      <c r="Q561" s="167"/>
      <c r="R561" s="111"/>
    </row>
    <row r="562" spans="1:18" ht="13.5" customHeight="1">
      <c r="A562" s="90">
        <v>556</v>
      </c>
      <c r="B562" s="24">
        <f>DATE('1.연간시수표'!$U$44,'1.연간시수표'!$X$44,'1.연간시수표'!$Z$44)+QUOTIENT(ROW(A556)-1,8)+(QUOTIENT(ROW(A556)-1,40)*2)</f>
        <v>44894</v>
      </c>
      <c r="C562" s="24" t="str">
        <f t="shared" si="24"/>
        <v>화</v>
      </c>
      <c r="D562" s="116" t="str">
        <f t="shared" si="25"/>
        <v>4교시</v>
      </c>
      <c r="E562" s="68">
        <f>COUNTIF($H$7:$H562,$H562)</f>
        <v>68</v>
      </c>
      <c r="F562" s="67">
        <f>'1.연간시수표'!$AL$33</f>
        <v>5</v>
      </c>
      <c r="G562" s="115">
        <f t="shared" si="26"/>
        <v>2</v>
      </c>
      <c r="H562" s="41" t="str">
        <f>INDEX('0.시간표데이터'!$E$52:$AR$78,QUOTIENT(ROW(A556)-1,40)+1,MOD(ROW(A556)-1,40)+1)</f>
        <v>국어</v>
      </c>
      <c r="I562" s="77"/>
      <c r="J562" s="26"/>
      <c r="K562" s="167"/>
      <c r="L562" s="167"/>
      <c r="M562" s="166"/>
      <c r="N562" s="166"/>
      <c r="O562" s="166"/>
      <c r="P562" s="166"/>
      <c r="Q562" s="167"/>
      <c r="R562" s="111"/>
    </row>
    <row r="563" spans="1:18" ht="13.5" customHeight="1">
      <c r="A563" s="90">
        <v>557</v>
      </c>
      <c r="B563" s="24">
        <f>DATE('1.연간시수표'!$U$44,'1.연간시수표'!$X$44,'1.연간시수표'!$Z$44)+QUOTIENT(ROW(A557)-1,8)+(QUOTIENT(ROW(A557)-1,40)*2)</f>
        <v>44894</v>
      </c>
      <c r="C563" s="24" t="str">
        <f t="shared" si="24"/>
        <v>화</v>
      </c>
      <c r="D563" s="116" t="str">
        <f t="shared" si="25"/>
        <v>5교시</v>
      </c>
      <c r="E563" s="68">
        <f>COUNTIF($H$7:$H563,$H563)</f>
        <v>39</v>
      </c>
      <c r="F563" s="67">
        <f>'1.연간시수표'!$AL$33</f>
        <v>5</v>
      </c>
      <c r="G563" s="115">
        <f t="shared" si="26"/>
        <v>2</v>
      </c>
      <c r="H563" s="41" t="str">
        <f>INDEX('0.시간표데이터'!$E$52:$AR$78,QUOTIENT(ROW(A557)-1,40)+1,MOD(ROW(A557)-1,40)+1)</f>
        <v>사회</v>
      </c>
      <c r="I563" s="77"/>
      <c r="J563" s="26"/>
      <c r="K563" s="180"/>
      <c r="L563" s="180"/>
      <c r="M563" s="166"/>
      <c r="N563" s="166"/>
      <c r="O563" s="166"/>
      <c r="P563" s="166"/>
      <c r="Q563" s="167"/>
      <c r="R563" s="111"/>
    </row>
    <row r="564" spans="1:18" ht="13.5" customHeight="1">
      <c r="A564" s="90">
        <v>558</v>
      </c>
      <c r="B564" s="24">
        <f>DATE('1.연간시수표'!$U$44,'1.연간시수표'!$X$44,'1.연간시수표'!$Z$44)+QUOTIENT(ROW(A558)-1,8)+(QUOTIENT(ROW(A558)-1,40)*2)</f>
        <v>44894</v>
      </c>
      <c r="C564" s="24" t="str">
        <f t="shared" si="24"/>
        <v>화</v>
      </c>
      <c r="D564" s="116" t="str">
        <f t="shared" si="25"/>
        <v>6교시</v>
      </c>
      <c r="E564" s="68">
        <f>COUNTIF($H$7:$H564,$H564)</f>
        <v>26</v>
      </c>
      <c r="F564" s="67">
        <f>'1.연간시수표'!$AL$33</f>
        <v>5</v>
      </c>
      <c r="G564" s="115">
        <f t="shared" si="26"/>
        <v>2</v>
      </c>
      <c r="H564" s="41" t="str">
        <f>INDEX('0.시간표데이터'!$E$52:$AR$78,QUOTIENT(ROW(A558)-1,40)+1,MOD(ROW(A558)-1,40)+1)</f>
        <v>실과</v>
      </c>
      <c r="I564" s="77"/>
      <c r="J564" s="26"/>
      <c r="K564" s="167"/>
      <c r="L564" s="167"/>
      <c r="M564" s="166"/>
      <c r="N564" s="166"/>
      <c r="O564" s="166"/>
      <c r="P564" s="166"/>
      <c r="Q564" s="167"/>
      <c r="R564" s="111"/>
    </row>
    <row r="565" spans="1:18" ht="13.5" customHeight="1">
      <c r="A565" s="90">
        <v>559</v>
      </c>
      <c r="B565" s="24">
        <f>DATE('1.연간시수표'!$U$44,'1.연간시수표'!$X$44,'1.연간시수표'!$Z$44)+QUOTIENT(ROW(A559)-1,8)+(QUOTIENT(ROW(A559)-1,40)*2)</f>
        <v>44894</v>
      </c>
      <c r="C565" s="24" t="str">
        <f t="shared" si="24"/>
        <v>화</v>
      </c>
      <c r="D565" s="116" t="str">
        <f t="shared" si="25"/>
        <v>7교시</v>
      </c>
      <c r="E565" s="68">
        <f>COUNTIF($H$7:$H565,$H565)</f>
        <v>195</v>
      </c>
      <c r="F565" s="67">
        <f>'1.연간시수표'!$AL$33</f>
        <v>5</v>
      </c>
      <c r="G565" s="115">
        <f t="shared" si="26"/>
        <v>2</v>
      </c>
      <c r="H565" s="41" t="str">
        <f>INDEX('0.시간표데이터'!$E$52:$AR$78,QUOTIENT(ROW(A559)-1,40)+1,MOD(ROW(A559)-1,40)+1)</f>
        <v>_</v>
      </c>
      <c r="I565" s="76"/>
      <c r="J565" s="26"/>
      <c r="K565" s="167"/>
      <c r="L565" s="167"/>
      <c r="M565" s="166"/>
      <c r="N565" s="166"/>
      <c r="O565" s="166"/>
      <c r="P565" s="166"/>
      <c r="Q565" s="167"/>
      <c r="R565" s="111"/>
    </row>
    <row r="566" spans="1:18" ht="13.5" customHeight="1">
      <c r="A566" s="90">
        <v>560</v>
      </c>
      <c r="B566" s="24">
        <f>DATE('1.연간시수표'!$U$44,'1.연간시수표'!$X$44,'1.연간시수표'!$Z$44)+QUOTIENT(ROW(A560)-1,8)+(QUOTIENT(ROW(A560)-1,40)*2)</f>
        <v>44894</v>
      </c>
      <c r="C566" s="24" t="str">
        <f t="shared" si="24"/>
        <v>화</v>
      </c>
      <c r="D566" s="116" t="str">
        <f t="shared" si="25"/>
        <v>8교시</v>
      </c>
      <c r="E566" s="68">
        <f>COUNTIF($H$7:$H566,$H566)</f>
        <v>196</v>
      </c>
      <c r="F566" s="67">
        <f>'1.연간시수표'!$AL$33</f>
        <v>5</v>
      </c>
      <c r="G566" s="115">
        <f t="shared" si="26"/>
        <v>2</v>
      </c>
      <c r="H566" s="41" t="str">
        <f>INDEX('0.시간표데이터'!$E$52:$AR$78,QUOTIENT(ROW(A560)-1,40)+1,MOD(ROW(A560)-1,40)+1)</f>
        <v>_</v>
      </c>
      <c r="I566" s="76"/>
      <c r="J566" s="26"/>
      <c r="K566" s="167"/>
      <c r="L566" s="167"/>
      <c r="M566" s="166"/>
      <c r="N566" s="166"/>
      <c r="O566" s="166"/>
      <c r="P566" s="166"/>
      <c r="Q566" s="167"/>
      <c r="R566" s="111"/>
    </row>
    <row r="567" spans="1:18" ht="13.5" customHeight="1">
      <c r="A567" s="90">
        <v>561</v>
      </c>
      <c r="B567" s="24">
        <f>DATE('1.연간시수표'!$U$44,'1.연간시수표'!$X$44,'1.연간시수표'!$Z$44)+QUOTIENT(ROW(A561)-1,8)+(QUOTIENT(ROW(A561)-1,40)*2)</f>
        <v>44897</v>
      </c>
      <c r="C567" s="24" t="str">
        <f t="shared" si="24"/>
        <v>금</v>
      </c>
      <c r="D567" s="116" t="str">
        <f t="shared" si="25"/>
        <v>1교시</v>
      </c>
      <c r="E567" s="68">
        <f>COUNTIF($H$7:$H567,$H567)</f>
        <v>69</v>
      </c>
      <c r="F567" s="67">
        <f>'1.연간시수표'!$AL$33</f>
        <v>5</v>
      </c>
      <c r="G567" s="115">
        <f t="shared" si="26"/>
        <v>2</v>
      </c>
      <c r="H567" s="41" t="str">
        <f>INDEX('0.시간표데이터'!$E$52:$AR$78,QUOTIENT(ROW(A561)-1,40)+1,MOD(ROW(A561)-1,40)+1)</f>
        <v>국어</v>
      </c>
      <c r="I567" s="77"/>
      <c r="J567" s="26"/>
      <c r="K567" s="164"/>
      <c r="L567" s="164"/>
      <c r="M567" s="10"/>
      <c r="N567" s="10"/>
      <c r="O567" s="10"/>
      <c r="P567" s="10"/>
      <c r="Q567" s="164"/>
      <c r="R567" s="110"/>
    </row>
    <row r="568" spans="1:18" ht="13.5" customHeight="1">
      <c r="A568" s="90">
        <v>562</v>
      </c>
      <c r="B568" s="24">
        <f>DATE('1.연간시수표'!$U$44,'1.연간시수표'!$X$44,'1.연간시수표'!$Z$44)+QUOTIENT(ROW(A562)-1,8)+(QUOTIENT(ROW(A562)-1,40)*2)</f>
        <v>44897</v>
      </c>
      <c r="C568" s="24" t="str">
        <f t="shared" si="24"/>
        <v>금</v>
      </c>
      <c r="D568" s="116" t="str">
        <f t="shared" si="25"/>
        <v>2교시</v>
      </c>
      <c r="E568" s="68">
        <f>COUNTIF($H$7:$H568,$H568)</f>
        <v>21</v>
      </c>
      <c r="F568" s="67">
        <f>'1.연간시수표'!$AL$33</f>
        <v>5</v>
      </c>
      <c r="G568" s="115">
        <f t="shared" si="26"/>
        <v>2</v>
      </c>
      <c r="H568" s="41" t="str">
        <f>INDEX('0.시간표데이터'!$E$52:$AR$78,QUOTIENT(ROW(A562)-1,40)+1,MOD(ROW(A562)-1,40)+1)</f>
        <v>미술</v>
      </c>
      <c r="I568" s="161"/>
      <c r="J568" s="26"/>
      <c r="K568" s="180"/>
      <c r="L568" s="180"/>
      <c r="M568" s="10"/>
      <c r="N568" s="10"/>
      <c r="O568" s="10"/>
      <c r="P568" s="10"/>
      <c r="Q568" s="164"/>
      <c r="R568" s="110"/>
    </row>
    <row r="569" spans="1:18" ht="13.5" customHeight="1">
      <c r="A569" s="90">
        <v>563</v>
      </c>
      <c r="B569" s="24">
        <f>DATE('1.연간시수표'!$U$44,'1.연간시수표'!$X$44,'1.연간시수표'!$Z$44)+QUOTIENT(ROW(A563)-1,8)+(QUOTIENT(ROW(A563)-1,40)*2)</f>
        <v>44897</v>
      </c>
      <c r="C569" s="24" t="str">
        <f t="shared" si="24"/>
        <v>금</v>
      </c>
      <c r="D569" s="116" t="str">
        <f t="shared" si="25"/>
        <v>3교시</v>
      </c>
      <c r="E569" s="68">
        <f>COUNTIF($H$7:$H569,$H569)</f>
        <v>22</v>
      </c>
      <c r="F569" s="67">
        <f>'1.연간시수표'!$AL$33</f>
        <v>5</v>
      </c>
      <c r="G569" s="115">
        <f t="shared" si="26"/>
        <v>2</v>
      </c>
      <c r="H569" s="41" t="str">
        <f>INDEX('0.시간표데이터'!$E$52:$AR$78,QUOTIENT(ROW(A563)-1,40)+1,MOD(ROW(A563)-1,40)+1)</f>
        <v>미술</v>
      </c>
      <c r="I569" s="77"/>
      <c r="J569" s="26"/>
      <c r="K569" s="180"/>
      <c r="L569" s="180"/>
      <c r="M569" s="10"/>
      <c r="N569" s="10"/>
      <c r="O569" s="10"/>
      <c r="P569" s="10"/>
      <c r="Q569" s="164"/>
      <c r="R569" s="110"/>
    </row>
    <row r="570" spans="1:18" ht="13.5" customHeight="1">
      <c r="A570" s="90">
        <v>564</v>
      </c>
      <c r="B570" s="24">
        <f>DATE('1.연간시수표'!$U$44,'1.연간시수표'!$X$44,'1.연간시수표'!$Z$44)+QUOTIENT(ROW(A564)-1,8)+(QUOTIENT(ROW(A564)-1,40)*2)</f>
        <v>44897</v>
      </c>
      <c r="C570" s="24" t="str">
        <f t="shared" si="24"/>
        <v>금</v>
      </c>
      <c r="D570" s="116" t="str">
        <f t="shared" si="25"/>
        <v>4교시</v>
      </c>
      <c r="E570" s="68">
        <f>COUNTIF($H$7:$H570,$H570)</f>
        <v>38</v>
      </c>
      <c r="F570" s="67">
        <f>'1.연간시수표'!$AL$33</f>
        <v>5</v>
      </c>
      <c r="G570" s="115">
        <f t="shared" si="26"/>
        <v>2</v>
      </c>
      <c r="H570" s="41" t="str">
        <f>INDEX('0.시간표데이터'!$E$52:$AR$78,QUOTIENT(ROW(A564)-1,40)+1,MOD(ROW(A564)-1,40)+1)</f>
        <v>영어</v>
      </c>
      <c r="I570" s="77"/>
      <c r="J570" s="26"/>
      <c r="K570" s="180"/>
      <c r="L570" s="180"/>
      <c r="M570" s="10"/>
      <c r="N570" s="10"/>
      <c r="O570" s="10"/>
      <c r="P570" s="10"/>
      <c r="Q570" s="164"/>
      <c r="R570" s="110"/>
    </row>
    <row r="571" spans="1:18" ht="13.5" customHeight="1">
      <c r="A571" s="90">
        <v>565</v>
      </c>
      <c r="B571" s="24">
        <f>DATE('1.연간시수표'!$U$44,'1.연간시수표'!$X$44,'1.연간시수표'!$Z$44)+QUOTIENT(ROW(A565)-1,8)+(QUOTIENT(ROW(A565)-1,40)*2)</f>
        <v>44897</v>
      </c>
      <c r="C571" s="24" t="str">
        <f t="shared" si="24"/>
        <v>금</v>
      </c>
      <c r="D571" s="116" t="str">
        <f t="shared" si="25"/>
        <v>5교시</v>
      </c>
      <c r="E571" s="68">
        <f>COUNTIF($H$7:$H571,$H571)</f>
        <v>45</v>
      </c>
      <c r="F571" s="67">
        <f>'1.연간시수표'!$AL$33</f>
        <v>5</v>
      </c>
      <c r="G571" s="115">
        <f t="shared" si="26"/>
        <v>2</v>
      </c>
      <c r="H571" s="41" t="str">
        <f>INDEX('0.시간표데이터'!$E$52:$AR$78,QUOTIENT(ROW(A565)-1,40)+1,MOD(ROW(A565)-1,40)+1)</f>
        <v>수학</v>
      </c>
      <c r="I571" s="77"/>
      <c r="J571" s="26"/>
      <c r="K571" s="180"/>
      <c r="L571" s="180"/>
      <c r="M571" s="10"/>
      <c r="N571" s="10"/>
      <c r="O571" s="10"/>
      <c r="P571" s="10"/>
      <c r="Q571" s="164"/>
      <c r="R571" s="110"/>
    </row>
    <row r="572" spans="1:18" ht="13.5" customHeight="1">
      <c r="A572" s="90">
        <v>566</v>
      </c>
      <c r="B572" s="24">
        <f>DATE('1.연간시수표'!$U$44,'1.연간시수표'!$X$44,'1.연간시수표'!$Z$44)+QUOTIENT(ROW(A566)-1,8)+(QUOTIENT(ROW(A566)-1,40)*2)</f>
        <v>44897</v>
      </c>
      <c r="C572" s="24" t="str">
        <f t="shared" si="24"/>
        <v>금</v>
      </c>
      <c r="D572" s="116" t="str">
        <f t="shared" si="25"/>
        <v>6교시</v>
      </c>
      <c r="E572" s="68">
        <f>COUNTIF($H$7:$H572,$H572)</f>
        <v>21</v>
      </c>
      <c r="F572" s="67">
        <f>'1.연간시수표'!$AL$33</f>
        <v>5</v>
      </c>
      <c r="G572" s="115">
        <f t="shared" si="26"/>
        <v>2</v>
      </c>
      <c r="H572" s="41" t="str">
        <f>INDEX('0.시간표데이터'!$E$52:$AR$78,QUOTIENT(ROW(A566)-1,40)+1,MOD(ROW(A566)-1,40)+1)</f>
        <v>자율활동</v>
      </c>
      <c r="I572" s="77"/>
      <c r="J572" s="26"/>
      <c r="K572" s="167"/>
      <c r="L572" s="167"/>
      <c r="M572" s="166"/>
      <c r="N572" s="166"/>
      <c r="O572" s="166"/>
      <c r="P572" s="166"/>
      <c r="Q572" s="167"/>
      <c r="R572" s="111"/>
    </row>
    <row r="573" spans="1:18" ht="13.5" customHeight="1">
      <c r="A573" s="90">
        <v>567</v>
      </c>
      <c r="B573" s="24">
        <f>DATE('1.연간시수표'!$U$44,'1.연간시수표'!$X$44,'1.연간시수표'!$Z$44)+QUOTIENT(ROW(A567)-1,8)+(QUOTIENT(ROW(A567)-1,40)*2)</f>
        <v>44897</v>
      </c>
      <c r="C573" s="24" t="str">
        <f t="shared" si="24"/>
        <v>금</v>
      </c>
      <c r="D573" s="116" t="str">
        <f t="shared" si="25"/>
        <v>7교시</v>
      </c>
      <c r="E573" s="68">
        <f>COUNTIF($H$7:$H573,$H573)</f>
        <v>197</v>
      </c>
      <c r="F573" s="67">
        <f>'1.연간시수표'!$AL$33</f>
        <v>5</v>
      </c>
      <c r="G573" s="115">
        <f t="shared" si="26"/>
        <v>2</v>
      </c>
      <c r="H573" s="41" t="str">
        <f>INDEX('0.시간표데이터'!$E$52:$AR$78,QUOTIENT(ROW(A567)-1,40)+1,MOD(ROW(A567)-1,40)+1)</f>
        <v>_</v>
      </c>
      <c r="I573" s="76"/>
      <c r="J573" s="26"/>
      <c r="K573" s="167"/>
      <c r="L573" s="167"/>
      <c r="M573" s="166"/>
      <c r="N573" s="166"/>
      <c r="O573" s="166"/>
      <c r="P573" s="166"/>
      <c r="Q573" s="167"/>
      <c r="R573" s="111"/>
    </row>
    <row r="574" spans="1:18" ht="13.5" customHeight="1">
      <c r="A574" s="90">
        <v>568</v>
      </c>
      <c r="B574" s="24">
        <f>DATE('1.연간시수표'!$U$44,'1.연간시수표'!$X$44,'1.연간시수표'!$Z$44)+QUOTIENT(ROW(A568)-1,8)+(QUOTIENT(ROW(A568)-1,40)*2)</f>
        <v>44897</v>
      </c>
      <c r="C574" s="24" t="str">
        <f t="shared" si="24"/>
        <v>금</v>
      </c>
      <c r="D574" s="116" t="str">
        <f t="shared" si="25"/>
        <v>8교시</v>
      </c>
      <c r="E574" s="68">
        <f>COUNTIF($H$7:$H574,$H574)</f>
        <v>198</v>
      </c>
      <c r="F574" s="67">
        <f>'1.연간시수표'!$AL$33</f>
        <v>5</v>
      </c>
      <c r="G574" s="115">
        <f t="shared" si="26"/>
        <v>2</v>
      </c>
      <c r="H574" s="41" t="str">
        <f>INDEX('0.시간표데이터'!$E$52:$AR$78,QUOTIENT(ROW(A568)-1,40)+1,MOD(ROW(A568)-1,40)+1)</f>
        <v>_</v>
      </c>
      <c r="I574" s="76"/>
      <c r="J574" s="26"/>
      <c r="K574" s="167"/>
      <c r="L574" s="167"/>
      <c r="M574" s="166"/>
      <c r="N574" s="166"/>
      <c r="O574" s="166"/>
      <c r="P574" s="166"/>
      <c r="Q574" s="167"/>
      <c r="R574" s="111"/>
    </row>
    <row r="575" spans="1:18" ht="13.5" customHeight="1">
      <c r="A575" s="90">
        <v>569</v>
      </c>
      <c r="B575" s="24">
        <f>DATE('1.연간시수표'!$U$44,'1.연간시수표'!$X$44,'1.연간시수표'!$Z$44)+QUOTIENT(ROW(A569)-1,8)+(QUOTIENT(ROW(A569)-1,40)*2)</f>
        <v>44898</v>
      </c>
      <c r="C575" s="24" t="b">
        <f t="shared" si="24"/>
        <v>0</v>
      </c>
      <c r="D575" s="116" t="str">
        <f t="shared" si="25"/>
        <v>1교시</v>
      </c>
      <c r="E575" s="68">
        <f>COUNTIF($H$7:$H575,$H575)</f>
        <v>70</v>
      </c>
      <c r="F575" s="67">
        <f>'1.연간시수표'!$AL$33</f>
        <v>5</v>
      </c>
      <c r="G575" s="115">
        <f t="shared" si="26"/>
        <v>2</v>
      </c>
      <c r="H575" s="41" t="str">
        <f>INDEX('0.시간표데이터'!$E$52:$AR$78,QUOTIENT(ROW(A569)-1,40)+1,MOD(ROW(A569)-1,40)+1)</f>
        <v>국어</v>
      </c>
      <c r="I575" s="77"/>
      <c r="J575" s="26"/>
      <c r="K575" s="180"/>
      <c r="L575" s="180"/>
      <c r="M575" s="10"/>
      <c r="N575" s="10"/>
      <c r="O575" s="10"/>
      <c r="P575" s="10"/>
      <c r="Q575" s="164"/>
      <c r="R575" s="110"/>
    </row>
    <row r="576" spans="1:18" ht="13.5" customHeight="1">
      <c r="A576" s="90">
        <v>570</v>
      </c>
      <c r="B576" s="24">
        <f>DATE('1.연간시수표'!$U$44,'1.연간시수표'!$X$44,'1.연간시수표'!$Z$44)+QUOTIENT(ROW(A570)-1,8)+(QUOTIENT(ROW(A570)-1,40)*2)</f>
        <v>44898</v>
      </c>
      <c r="C576" s="24" t="b">
        <f t="shared" si="24"/>
        <v>0</v>
      </c>
      <c r="D576" s="116" t="str">
        <f t="shared" si="25"/>
        <v>2교시</v>
      </c>
      <c r="E576" s="68">
        <f>COUNTIF($H$7:$H576,$H576)</f>
        <v>71</v>
      </c>
      <c r="F576" s="67">
        <f>'1.연간시수표'!$AL$33</f>
        <v>5</v>
      </c>
      <c r="G576" s="115">
        <f t="shared" si="26"/>
        <v>2</v>
      </c>
      <c r="H576" s="41" t="str">
        <f>INDEX('0.시간표데이터'!$E$52:$AR$78,QUOTIENT(ROW(A570)-1,40)+1,MOD(ROW(A570)-1,40)+1)</f>
        <v>국어</v>
      </c>
      <c r="I576" s="161"/>
      <c r="J576" s="26"/>
      <c r="K576" s="180"/>
      <c r="L576" s="180"/>
      <c r="M576" s="10"/>
      <c r="N576" s="10"/>
      <c r="O576" s="10"/>
      <c r="P576" s="10"/>
      <c r="Q576" s="164"/>
      <c r="R576" s="110"/>
    </row>
    <row r="577" spans="1:18">
      <c r="A577" s="90">
        <v>571</v>
      </c>
      <c r="B577" s="24">
        <f>DATE('1.연간시수표'!$U$44,'1.연간시수표'!$X$44,'1.연간시수표'!$Z$44)+QUOTIENT(ROW(A571)-1,8)+(QUOTIENT(ROW(A571)-1,40)*2)</f>
        <v>44898</v>
      </c>
      <c r="C577" s="24" t="b">
        <f t="shared" si="24"/>
        <v>0</v>
      </c>
      <c r="D577" s="116" t="str">
        <f t="shared" si="25"/>
        <v>3교시</v>
      </c>
      <c r="E577" s="68">
        <f>COUNTIF($H$7:$H577,$H577)</f>
        <v>40</v>
      </c>
      <c r="F577" s="67">
        <f>'1.연간시수표'!$AL$33</f>
        <v>5</v>
      </c>
      <c r="G577" s="115">
        <f t="shared" si="26"/>
        <v>2</v>
      </c>
      <c r="H577" s="41" t="str">
        <f>INDEX('0.시간표데이터'!$E$52:$AR$78,QUOTIENT(ROW(A571)-1,40)+1,MOD(ROW(A571)-1,40)+1)</f>
        <v>사회</v>
      </c>
      <c r="I577" s="77"/>
      <c r="J577" s="26"/>
      <c r="K577" s="164"/>
      <c r="L577" s="164"/>
      <c r="M577" s="10"/>
      <c r="N577" s="10"/>
      <c r="O577" s="10"/>
      <c r="P577" s="10"/>
      <c r="Q577" s="164"/>
      <c r="R577" s="110"/>
    </row>
    <row r="578" spans="1:18">
      <c r="A578" s="90">
        <v>572</v>
      </c>
      <c r="B578" s="24">
        <f>DATE('1.연간시수표'!$U$44,'1.연간시수표'!$X$44,'1.연간시수표'!$Z$44)+QUOTIENT(ROW(A572)-1,8)+(QUOTIENT(ROW(A572)-1,40)*2)</f>
        <v>44898</v>
      </c>
      <c r="C578" s="24" t="b">
        <f t="shared" si="24"/>
        <v>0</v>
      </c>
      <c r="D578" s="116" t="str">
        <f t="shared" si="25"/>
        <v>4교시</v>
      </c>
      <c r="E578" s="68">
        <f>COUNTIF($H$7:$H578,$H578)</f>
        <v>46</v>
      </c>
      <c r="F578" s="67">
        <f>'1.연간시수표'!$AL$33</f>
        <v>5</v>
      </c>
      <c r="G578" s="115">
        <f t="shared" si="26"/>
        <v>2</v>
      </c>
      <c r="H578" s="41" t="str">
        <f>INDEX('0.시간표데이터'!$E$52:$AR$78,QUOTIENT(ROW(A572)-1,40)+1,MOD(ROW(A572)-1,40)+1)</f>
        <v>수학</v>
      </c>
      <c r="I578" s="77"/>
      <c r="J578" s="26"/>
      <c r="K578" s="180"/>
      <c r="L578" s="180"/>
      <c r="M578" s="10"/>
      <c r="N578" s="10"/>
      <c r="O578" s="10"/>
      <c r="P578" s="10"/>
      <c r="Q578" s="164"/>
      <c r="R578" s="110"/>
    </row>
    <row r="579" spans="1:18" ht="13.5" customHeight="1">
      <c r="A579" s="90">
        <v>573</v>
      </c>
      <c r="B579" s="24">
        <f>DATE('1.연간시수표'!$U$44,'1.연간시수표'!$X$44,'1.연간시수표'!$Z$44)+QUOTIENT(ROW(A573)-1,8)+(QUOTIENT(ROW(A573)-1,40)*2)</f>
        <v>44898</v>
      </c>
      <c r="C579" s="24" t="b">
        <f t="shared" si="24"/>
        <v>0</v>
      </c>
      <c r="D579" s="116" t="str">
        <f t="shared" si="25"/>
        <v>5교시</v>
      </c>
      <c r="E579" s="68">
        <f>COUNTIF($H$7:$H579,$H579)</f>
        <v>35</v>
      </c>
      <c r="F579" s="67">
        <f>'1.연간시수표'!$AL$33</f>
        <v>5</v>
      </c>
      <c r="G579" s="115">
        <f t="shared" si="26"/>
        <v>2</v>
      </c>
      <c r="H579" s="41" t="str">
        <f>INDEX('0.시간표데이터'!$E$52:$AR$78,QUOTIENT(ROW(A573)-1,40)+1,MOD(ROW(A573)-1,40)+1)</f>
        <v>과학</v>
      </c>
      <c r="I579" s="77"/>
      <c r="J579" s="26"/>
      <c r="K579" s="180"/>
      <c r="L579" s="180"/>
      <c r="M579" s="10"/>
      <c r="N579" s="10"/>
      <c r="O579" s="10"/>
      <c r="P579" s="10"/>
      <c r="Q579" s="164"/>
      <c r="R579" s="110"/>
    </row>
    <row r="580" spans="1:18" ht="13.5" customHeight="1">
      <c r="A580" s="90">
        <v>574</v>
      </c>
      <c r="B580" s="24">
        <f>DATE('1.연간시수표'!$U$44,'1.연간시수표'!$X$44,'1.연간시수표'!$Z$44)+QUOTIENT(ROW(A574)-1,8)+(QUOTIENT(ROW(A574)-1,40)*2)</f>
        <v>44898</v>
      </c>
      <c r="C580" s="24" t="b">
        <f t="shared" si="24"/>
        <v>0</v>
      </c>
      <c r="D580" s="116" t="str">
        <f t="shared" si="25"/>
        <v>6교시</v>
      </c>
      <c r="E580" s="68">
        <f>COUNTIF($H$7:$H580,$H580)</f>
        <v>27</v>
      </c>
      <c r="F580" s="67">
        <f>'1.연간시수표'!$AL$33</f>
        <v>5</v>
      </c>
      <c r="G580" s="115">
        <f t="shared" si="26"/>
        <v>2</v>
      </c>
      <c r="H580" s="41" t="str">
        <f>INDEX('0.시간표데이터'!$E$52:$AR$78,QUOTIENT(ROW(A574)-1,40)+1,MOD(ROW(A574)-1,40)+1)</f>
        <v>실과</v>
      </c>
      <c r="I580" s="77"/>
      <c r="J580" s="26"/>
      <c r="K580" s="167"/>
      <c r="L580" s="167"/>
      <c r="M580" s="166"/>
      <c r="N580" s="166"/>
      <c r="O580" s="166"/>
      <c r="P580" s="166"/>
      <c r="Q580" s="167"/>
      <c r="R580" s="111"/>
    </row>
    <row r="581" spans="1:18" ht="13.5" customHeight="1">
      <c r="A581" s="90">
        <v>575</v>
      </c>
      <c r="B581" s="24">
        <f>DATE('1.연간시수표'!$U$44,'1.연간시수표'!$X$44,'1.연간시수표'!$Z$44)+QUOTIENT(ROW(A575)-1,8)+(QUOTIENT(ROW(A575)-1,40)*2)</f>
        <v>44898</v>
      </c>
      <c r="C581" s="24" t="b">
        <f t="shared" si="24"/>
        <v>0</v>
      </c>
      <c r="D581" s="116" t="str">
        <f t="shared" si="25"/>
        <v>7교시</v>
      </c>
      <c r="E581" s="68">
        <f>COUNTIF($H$7:$H581,$H581)</f>
        <v>199</v>
      </c>
      <c r="F581" s="67">
        <f>'1.연간시수표'!$AL$33</f>
        <v>5</v>
      </c>
      <c r="G581" s="115">
        <f t="shared" si="26"/>
        <v>2</v>
      </c>
      <c r="H581" s="41" t="str">
        <f>INDEX('0.시간표데이터'!$E$52:$AR$78,QUOTIENT(ROW(A575)-1,40)+1,MOD(ROW(A575)-1,40)+1)</f>
        <v>_</v>
      </c>
      <c r="I581" s="76"/>
      <c r="J581" s="26"/>
      <c r="K581" s="167"/>
      <c r="L581" s="167"/>
      <c r="M581" s="166"/>
      <c r="N581" s="166"/>
      <c r="O581" s="166"/>
      <c r="P581" s="166"/>
      <c r="Q581" s="167"/>
      <c r="R581" s="111"/>
    </row>
    <row r="582" spans="1:18" ht="13.5" customHeight="1">
      <c r="A582" s="90">
        <v>576</v>
      </c>
      <c r="B582" s="24">
        <f>DATE('1.연간시수표'!$U$44,'1.연간시수표'!$X$44,'1.연간시수표'!$Z$44)+QUOTIENT(ROW(A576)-1,8)+(QUOTIENT(ROW(A576)-1,40)*2)</f>
        <v>44898</v>
      </c>
      <c r="C582" s="24" t="b">
        <f t="shared" si="24"/>
        <v>0</v>
      </c>
      <c r="D582" s="116" t="str">
        <f t="shared" si="25"/>
        <v>8교시</v>
      </c>
      <c r="E582" s="68">
        <f>COUNTIF($H$7:$H582,$H582)</f>
        <v>200</v>
      </c>
      <c r="F582" s="67">
        <f>'1.연간시수표'!$AL$33</f>
        <v>5</v>
      </c>
      <c r="G582" s="115">
        <f t="shared" si="26"/>
        <v>2</v>
      </c>
      <c r="H582" s="41" t="str">
        <f>INDEX('0.시간표데이터'!$E$52:$AR$78,QUOTIENT(ROW(A576)-1,40)+1,MOD(ROW(A576)-1,40)+1)</f>
        <v>_</v>
      </c>
      <c r="I582" s="76"/>
      <c r="J582" s="26"/>
      <c r="K582" s="167"/>
      <c r="L582" s="167"/>
      <c r="M582" s="166"/>
      <c r="N582" s="166"/>
      <c r="O582" s="166"/>
      <c r="P582" s="166"/>
      <c r="Q582" s="167"/>
      <c r="R582" s="111"/>
    </row>
    <row r="583" spans="1:18" ht="13.5" customHeight="1">
      <c r="A583" s="90">
        <v>577</v>
      </c>
      <c r="B583" s="24">
        <f>DATE('1.연간시수표'!$U$44,'1.연간시수표'!$X$44,'1.연간시수표'!$Z$44)+QUOTIENT(ROW(A577)-1,8)+(QUOTIENT(ROW(A577)-1,40)*2)</f>
        <v>44899</v>
      </c>
      <c r="C583" s="24" t="b">
        <f t="shared" ref="C583:C646" si="27">IF(WEEKDAY(B583,2)=1,"월",IF(WEEKDAY(B583,2)=2,"화",IF(WEEKDAY(B583,2)=3,"수",IF(WEEKDAY(B583,2)=4,"목",IF(WEEKDAY(B583,2)=5,"금")))))</f>
        <v>0</v>
      </c>
      <c r="D583" s="116" t="str">
        <f t="shared" ref="D583:D646" si="28">TEXT(MOD(ROW(A577)-1,8)+1,"#교시")</f>
        <v>1교시</v>
      </c>
      <c r="E583" s="68">
        <f>COUNTIF($H$7:$H583,$H583)</f>
        <v>39</v>
      </c>
      <c r="F583" s="67">
        <f>'1.연간시수표'!$AL$33</f>
        <v>5</v>
      </c>
      <c r="G583" s="115">
        <f t="shared" ref="G583:G646" si="29">$A$2</f>
        <v>2</v>
      </c>
      <c r="H583" s="41" t="str">
        <f>INDEX('0.시간표데이터'!$E$52:$AR$78,QUOTIENT(ROW(A577)-1,40)+1,MOD(ROW(A577)-1,40)+1)</f>
        <v>영어</v>
      </c>
      <c r="I583" s="77"/>
      <c r="J583" s="26"/>
      <c r="K583" s="180"/>
      <c r="L583" s="180"/>
      <c r="M583" s="10"/>
      <c r="N583" s="10"/>
      <c r="O583" s="10"/>
      <c r="P583" s="10"/>
      <c r="Q583" s="164"/>
      <c r="R583" s="110"/>
    </row>
    <row r="584" spans="1:18" ht="13.5" customHeight="1">
      <c r="A584" s="90">
        <v>578</v>
      </c>
      <c r="B584" s="24">
        <f>DATE('1.연간시수표'!$U$44,'1.연간시수표'!$X$44,'1.연간시수표'!$Z$44)+QUOTIENT(ROW(A578)-1,8)+(QUOTIENT(ROW(A578)-1,40)*2)</f>
        <v>44899</v>
      </c>
      <c r="C584" s="24" t="b">
        <f t="shared" si="27"/>
        <v>0</v>
      </c>
      <c r="D584" s="116" t="str">
        <f t="shared" si="28"/>
        <v>2교시</v>
      </c>
      <c r="E584" s="68">
        <f>COUNTIF($H$7:$H584,$H584)</f>
        <v>36</v>
      </c>
      <c r="F584" s="67">
        <f>'1.연간시수표'!$AL$33</f>
        <v>5</v>
      </c>
      <c r="G584" s="115">
        <f t="shared" si="29"/>
        <v>2</v>
      </c>
      <c r="H584" s="41" t="str">
        <f>INDEX('0.시간표데이터'!$E$52:$AR$78,QUOTIENT(ROW(A578)-1,40)+1,MOD(ROW(A578)-1,40)+1)</f>
        <v>과학</v>
      </c>
      <c r="I584" s="77"/>
      <c r="J584" s="26"/>
      <c r="K584" s="180"/>
      <c r="L584" s="180"/>
      <c r="M584" s="10"/>
      <c r="N584" s="10"/>
      <c r="O584" s="10"/>
      <c r="P584" s="10"/>
      <c r="Q584" s="164"/>
      <c r="R584" s="110"/>
    </row>
    <row r="585" spans="1:18" ht="13.5" customHeight="1">
      <c r="A585" s="90">
        <v>579</v>
      </c>
      <c r="B585" s="24">
        <f>DATE('1.연간시수표'!$U$44,'1.연간시수표'!$X$44,'1.연간시수표'!$Z$44)+QUOTIENT(ROW(A579)-1,8)+(QUOTIENT(ROW(A579)-1,40)*2)</f>
        <v>44899</v>
      </c>
      <c r="C585" s="24" t="b">
        <f t="shared" si="27"/>
        <v>0</v>
      </c>
      <c r="D585" s="116" t="str">
        <f t="shared" si="28"/>
        <v>3교시</v>
      </c>
      <c r="E585" s="68">
        <f>COUNTIF($H$7:$H585,$H585)</f>
        <v>27</v>
      </c>
      <c r="F585" s="67">
        <f>'1.연간시수표'!$AL$33</f>
        <v>5</v>
      </c>
      <c r="G585" s="115">
        <f t="shared" si="29"/>
        <v>2</v>
      </c>
      <c r="H585" s="41" t="str">
        <f>INDEX('0.시간표데이터'!$E$52:$AR$78,QUOTIENT(ROW(A579)-1,40)+1,MOD(ROW(A579)-1,40)+1)</f>
        <v>체육</v>
      </c>
      <c r="I585" s="77"/>
      <c r="J585" s="26"/>
      <c r="K585" s="180"/>
      <c r="L585" s="180"/>
      <c r="M585" s="10"/>
      <c r="N585" s="10"/>
      <c r="O585" s="10"/>
      <c r="P585" s="10"/>
      <c r="Q585" s="164"/>
      <c r="R585" s="110"/>
    </row>
    <row r="586" spans="1:18" ht="13.5" customHeight="1">
      <c r="A586" s="90">
        <v>580</v>
      </c>
      <c r="B586" s="24">
        <f>DATE('1.연간시수표'!$U$44,'1.연간시수표'!$X$44,'1.연간시수표'!$Z$44)+QUOTIENT(ROW(A580)-1,8)+(QUOTIENT(ROW(A580)-1,40)*2)</f>
        <v>44899</v>
      </c>
      <c r="C586" s="24" t="b">
        <f t="shared" si="27"/>
        <v>0</v>
      </c>
      <c r="D586" s="116" t="str">
        <f t="shared" si="28"/>
        <v>4교시</v>
      </c>
      <c r="E586" s="68">
        <f>COUNTIF($H$7:$H586,$H586)</f>
        <v>22</v>
      </c>
      <c r="F586" s="67">
        <f>'1.연간시수표'!$AL$33</f>
        <v>5</v>
      </c>
      <c r="G586" s="115">
        <f t="shared" si="29"/>
        <v>2</v>
      </c>
      <c r="H586" s="41" t="str">
        <f>INDEX('0.시간표데이터'!$E$52:$AR$78,QUOTIENT(ROW(A580)-1,40)+1,MOD(ROW(A580)-1,40)+1)</f>
        <v>음악</v>
      </c>
      <c r="I586" s="77"/>
      <c r="J586" s="26"/>
      <c r="K586" s="180"/>
      <c r="L586" s="180"/>
      <c r="M586" s="10"/>
      <c r="N586" s="10"/>
      <c r="O586" s="10"/>
      <c r="P586" s="10"/>
      <c r="Q586" s="164"/>
      <c r="R586" s="110"/>
    </row>
    <row r="587" spans="1:18" ht="13.5" customHeight="1">
      <c r="A587" s="90">
        <v>581</v>
      </c>
      <c r="B587" s="24">
        <f>DATE('1.연간시수표'!$U$44,'1.연간시수표'!$X$44,'1.연간시수표'!$Z$44)+QUOTIENT(ROW(A581)-1,8)+(QUOTIENT(ROW(A581)-1,40)*2)</f>
        <v>44899</v>
      </c>
      <c r="C587" s="24" t="b">
        <f t="shared" si="27"/>
        <v>0</v>
      </c>
      <c r="D587" s="116" t="str">
        <f t="shared" si="28"/>
        <v>5교시</v>
      </c>
      <c r="E587" s="68">
        <f>COUNTIF($H$7:$H587,$H587)</f>
        <v>14</v>
      </c>
      <c r="F587" s="67">
        <f>'1.연간시수표'!$AL$33</f>
        <v>5</v>
      </c>
      <c r="G587" s="115">
        <f t="shared" si="29"/>
        <v>2</v>
      </c>
      <c r="H587" s="41" t="str">
        <f>INDEX('0.시간표데이터'!$E$52:$AR$78,QUOTIENT(ROW(A581)-1,40)+1,MOD(ROW(A581)-1,40)+1)</f>
        <v>도덕</v>
      </c>
      <c r="I587" s="77"/>
      <c r="J587" s="26"/>
      <c r="K587" s="180"/>
      <c r="L587" s="180"/>
      <c r="M587" s="10"/>
      <c r="N587" s="10"/>
      <c r="O587" s="10"/>
      <c r="P587" s="10"/>
      <c r="Q587" s="164"/>
      <c r="R587" s="110"/>
    </row>
    <row r="588" spans="1:18" ht="13.5" customHeight="1">
      <c r="A588" s="90">
        <v>582</v>
      </c>
      <c r="B588" s="24">
        <f>DATE('1.연간시수표'!$U$44,'1.연간시수표'!$X$44,'1.연간시수표'!$Z$44)+QUOTIENT(ROW(A582)-1,8)+(QUOTIENT(ROW(A582)-1,40)*2)</f>
        <v>44899</v>
      </c>
      <c r="C588" s="24" t="b">
        <f t="shared" si="27"/>
        <v>0</v>
      </c>
      <c r="D588" s="116" t="str">
        <f t="shared" si="28"/>
        <v>6교시</v>
      </c>
      <c r="E588" s="68">
        <f>COUNTIF($H$7:$H588,$H588)</f>
        <v>201</v>
      </c>
      <c r="F588" s="67">
        <f>'1.연간시수표'!$AL$33</f>
        <v>5</v>
      </c>
      <c r="G588" s="115">
        <f t="shared" si="29"/>
        <v>2</v>
      </c>
      <c r="H588" s="41" t="str">
        <f>INDEX('0.시간표데이터'!$E$52:$AR$78,QUOTIENT(ROW(A582)-1,40)+1,MOD(ROW(A582)-1,40)+1)</f>
        <v>_</v>
      </c>
      <c r="I588" s="77"/>
      <c r="J588" s="26"/>
      <c r="K588" s="167"/>
      <c r="L588" s="167"/>
      <c r="M588" s="166"/>
      <c r="N588" s="166"/>
      <c r="O588" s="166"/>
      <c r="P588" s="166"/>
      <c r="Q588" s="167"/>
      <c r="R588" s="111"/>
    </row>
    <row r="589" spans="1:18" ht="13.5" customHeight="1">
      <c r="A589" s="90">
        <v>583</v>
      </c>
      <c r="B589" s="24">
        <f>DATE('1.연간시수표'!$U$44,'1.연간시수표'!$X$44,'1.연간시수표'!$Z$44)+QUOTIENT(ROW(A583)-1,8)+(QUOTIENT(ROW(A583)-1,40)*2)</f>
        <v>44899</v>
      </c>
      <c r="C589" s="24" t="b">
        <f t="shared" si="27"/>
        <v>0</v>
      </c>
      <c r="D589" s="116" t="str">
        <f t="shared" si="28"/>
        <v>7교시</v>
      </c>
      <c r="E589" s="68">
        <f>COUNTIF($H$7:$H589,$H589)</f>
        <v>202</v>
      </c>
      <c r="F589" s="67">
        <f>'1.연간시수표'!$AL$33</f>
        <v>5</v>
      </c>
      <c r="G589" s="115">
        <f t="shared" si="29"/>
        <v>2</v>
      </c>
      <c r="H589" s="41" t="str">
        <f>INDEX('0.시간표데이터'!$E$52:$AR$78,QUOTIENT(ROW(A583)-1,40)+1,MOD(ROW(A583)-1,40)+1)</f>
        <v>_</v>
      </c>
      <c r="I589" s="76"/>
      <c r="J589" s="26"/>
      <c r="K589" s="167"/>
      <c r="L589" s="167"/>
      <c r="M589" s="166"/>
      <c r="N589" s="166"/>
      <c r="O589" s="166"/>
      <c r="P589" s="166"/>
      <c r="Q589" s="167"/>
      <c r="R589" s="111"/>
    </row>
    <row r="590" spans="1:18" ht="13.5" customHeight="1">
      <c r="A590" s="90">
        <v>584</v>
      </c>
      <c r="B590" s="24">
        <f>DATE('1.연간시수표'!$U$44,'1.연간시수표'!$X$44,'1.연간시수표'!$Z$44)+QUOTIENT(ROW(A584)-1,8)+(QUOTIENT(ROW(A584)-1,40)*2)</f>
        <v>44899</v>
      </c>
      <c r="C590" s="24" t="b">
        <f t="shared" si="27"/>
        <v>0</v>
      </c>
      <c r="D590" s="116" t="str">
        <f t="shared" si="28"/>
        <v>8교시</v>
      </c>
      <c r="E590" s="68">
        <f>COUNTIF($H$7:$H590,$H590)</f>
        <v>203</v>
      </c>
      <c r="F590" s="67">
        <f>'1.연간시수표'!$AL$33</f>
        <v>5</v>
      </c>
      <c r="G590" s="115">
        <f t="shared" si="29"/>
        <v>2</v>
      </c>
      <c r="H590" s="41" t="str">
        <f>INDEX('0.시간표데이터'!$E$52:$AR$78,QUOTIENT(ROW(A584)-1,40)+1,MOD(ROW(A584)-1,40)+1)</f>
        <v>_</v>
      </c>
      <c r="I590" s="76"/>
      <c r="J590" s="26"/>
      <c r="K590" s="167"/>
      <c r="L590" s="167"/>
      <c r="M590" s="166"/>
      <c r="N590" s="166"/>
      <c r="O590" s="166"/>
      <c r="P590" s="166"/>
      <c r="Q590" s="167"/>
      <c r="R590" s="111"/>
    </row>
    <row r="591" spans="1:18" ht="13.5" customHeight="1">
      <c r="A591" s="90">
        <v>585</v>
      </c>
      <c r="B591" s="24">
        <f>DATE('1.연간시수표'!$U$44,'1.연간시수표'!$X$44,'1.연간시수표'!$Z$44)+QUOTIENT(ROW(A585)-1,8)+(QUOTIENT(ROW(A585)-1,40)*2)</f>
        <v>44900</v>
      </c>
      <c r="C591" s="24" t="str">
        <f t="shared" si="27"/>
        <v>월</v>
      </c>
      <c r="D591" s="116" t="str">
        <f t="shared" si="28"/>
        <v>1교시</v>
      </c>
      <c r="E591" s="68">
        <f>COUNTIF($H$7:$H591,$H591)</f>
        <v>72</v>
      </c>
      <c r="F591" s="67">
        <f>'1.연간시수표'!$AL$33</f>
        <v>5</v>
      </c>
      <c r="G591" s="115">
        <f t="shared" si="29"/>
        <v>2</v>
      </c>
      <c r="H591" s="41" t="str">
        <f>INDEX('0.시간표데이터'!$E$52:$AR$78,QUOTIENT(ROW(A585)-1,40)+1,MOD(ROW(A585)-1,40)+1)</f>
        <v>국어</v>
      </c>
      <c r="I591" s="77"/>
      <c r="J591" s="26"/>
      <c r="K591" s="180"/>
      <c r="L591" s="180"/>
      <c r="M591" s="10"/>
      <c r="N591" s="10"/>
      <c r="O591" s="10"/>
      <c r="P591" s="10"/>
      <c r="Q591" s="164"/>
      <c r="R591" s="110"/>
    </row>
    <row r="592" spans="1:18" ht="13.5" customHeight="1">
      <c r="A592" s="90">
        <v>586</v>
      </c>
      <c r="B592" s="24">
        <f>DATE('1.연간시수표'!$U$44,'1.연간시수표'!$X$44,'1.연간시수표'!$Z$44)+QUOTIENT(ROW(A586)-1,8)+(QUOTIENT(ROW(A586)-1,40)*2)</f>
        <v>44900</v>
      </c>
      <c r="C592" s="24" t="str">
        <f t="shared" si="27"/>
        <v>월</v>
      </c>
      <c r="D592" s="116" t="str">
        <f t="shared" si="28"/>
        <v>2교시</v>
      </c>
      <c r="E592" s="68">
        <f>COUNTIF($H$7:$H592,$H592)</f>
        <v>47</v>
      </c>
      <c r="F592" s="67">
        <f>'1.연간시수표'!$AL$33</f>
        <v>5</v>
      </c>
      <c r="G592" s="115">
        <f t="shared" si="29"/>
        <v>2</v>
      </c>
      <c r="H592" s="41" t="str">
        <f>INDEX('0.시간표데이터'!$E$52:$AR$78,QUOTIENT(ROW(A586)-1,40)+1,MOD(ROW(A586)-1,40)+1)</f>
        <v>수학</v>
      </c>
      <c r="I592" s="161"/>
      <c r="J592" s="26"/>
      <c r="K592" s="180"/>
      <c r="L592" s="180"/>
      <c r="M592" s="10"/>
      <c r="N592" s="10"/>
      <c r="O592" s="10"/>
      <c r="P592" s="10"/>
      <c r="Q592" s="164"/>
      <c r="R592" s="110"/>
    </row>
    <row r="593" spans="1:18" ht="13.5" customHeight="1">
      <c r="A593" s="90">
        <v>587</v>
      </c>
      <c r="B593" s="24">
        <f>DATE('1.연간시수표'!$U$44,'1.연간시수표'!$X$44,'1.연간시수표'!$Z$44)+QUOTIENT(ROW(A587)-1,8)+(QUOTIENT(ROW(A587)-1,40)*2)</f>
        <v>44900</v>
      </c>
      <c r="C593" s="24" t="str">
        <f t="shared" si="27"/>
        <v>월</v>
      </c>
      <c r="D593" s="116" t="str">
        <f t="shared" si="28"/>
        <v>3교시</v>
      </c>
      <c r="E593" s="68">
        <f>COUNTIF($H$7:$H593,$H593)</f>
        <v>28</v>
      </c>
      <c r="F593" s="67">
        <f>'1.연간시수표'!$AL$33</f>
        <v>5</v>
      </c>
      <c r="G593" s="115">
        <f t="shared" si="29"/>
        <v>2</v>
      </c>
      <c r="H593" s="41" t="str">
        <f>INDEX('0.시간표데이터'!$E$52:$AR$78,QUOTIENT(ROW(A587)-1,40)+1,MOD(ROW(A587)-1,40)+1)</f>
        <v>체육</v>
      </c>
      <c r="I593" s="77"/>
      <c r="J593" s="26"/>
      <c r="K593" s="180"/>
      <c r="L593" s="180"/>
      <c r="M593" s="10"/>
      <c r="N593" s="10"/>
      <c r="O593" s="10"/>
      <c r="P593" s="10"/>
      <c r="Q593" s="164"/>
      <c r="R593" s="110"/>
    </row>
    <row r="594" spans="1:18" ht="13.5" customHeight="1">
      <c r="A594" s="90">
        <v>588</v>
      </c>
      <c r="B594" s="24">
        <f>DATE('1.연간시수표'!$U$44,'1.연간시수표'!$X$44,'1.연간시수표'!$Z$44)+QUOTIENT(ROW(A588)-1,8)+(QUOTIENT(ROW(A588)-1,40)*2)</f>
        <v>44900</v>
      </c>
      <c r="C594" s="24" t="str">
        <f t="shared" si="27"/>
        <v>월</v>
      </c>
      <c r="D594" s="116" t="str">
        <f t="shared" si="28"/>
        <v>4교시</v>
      </c>
      <c r="E594" s="68">
        <f>COUNTIF($H$7:$H594,$H594)</f>
        <v>40</v>
      </c>
      <c r="F594" s="67">
        <f>'1.연간시수표'!$AL$33</f>
        <v>5</v>
      </c>
      <c r="G594" s="115">
        <f t="shared" si="29"/>
        <v>2</v>
      </c>
      <c r="H594" s="41" t="str">
        <f>INDEX('0.시간표데이터'!$E$52:$AR$78,QUOTIENT(ROW(A588)-1,40)+1,MOD(ROW(A588)-1,40)+1)</f>
        <v>영어</v>
      </c>
      <c r="I594" s="77"/>
      <c r="J594" s="26"/>
      <c r="K594" s="164"/>
      <c r="L594" s="164"/>
      <c r="M594" s="10"/>
      <c r="N594" s="10"/>
      <c r="O594" s="10"/>
      <c r="P594" s="10"/>
      <c r="Q594" s="164"/>
      <c r="R594" s="110"/>
    </row>
    <row r="595" spans="1:18" ht="13.5" customHeight="1">
      <c r="A595" s="90">
        <v>589</v>
      </c>
      <c r="B595" s="24">
        <f>DATE('1.연간시수표'!$U$44,'1.연간시수표'!$X$44,'1.연간시수표'!$Z$44)+QUOTIENT(ROW(A589)-1,8)+(QUOTIENT(ROW(A589)-1,40)*2)</f>
        <v>44900</v>
      </c>
      <c r="C595" s="24" t="str">
        <f t="shared" si="27"/>
        <v>월</v>
      </c>
      <c r="D595" s="116" t="str">
        <f t="shared" si="28"/>
        <v>5교시</v>
      </c>
      <c r="E595" s="68">
        <f>COUNTIF($H$7:$H595,$H595)</f>
        <v>37</v>
      </c>
      <c r="F595" s="67">
        <f>'1.연간시수표'!$AL$33</f>
        <v>5</v>
      </c>
      <c r="G595" s="115">
        <f t="shared" si="29"/>
        <v>2</v>
      </c>
      <c r="H595" s="41" t="str">
        <f>INDEX('0.시간표데이터'!$E$52:$AR$78,QUOTIENT(ROW(A589)-1,40)+1,MOD(ROW(A589)-1,40)+1)</f>
        <v>과학</v>
      </c>
      <c r="I595" s="77"/>
      <c r="J595" s="26"/>
      <c r="K595" s="180"/>
      <c r="L595" s="180"/>
      <c r="M595" s="10"/>
      <c r="N595" s="10"/>
      <c r="O595" s="10"/>
      <c r="P595" s="10"/>
      <c r="Q595" s="164"/>
      <c r="R595" s="110"/>
    </row>
    <row r="596" spans="1:18" ht="13.5" customHeight="1">
      <c r="A596" s="90">
        <v>590</v>
      </c>
      <c r="B596" s="24">
        <f>DATE('1.연간시수표'!$U$44,'1.연간시수표'!$X$44,'1.연간시수표'!$Z$44)+QUOTIENT(ROW(A590)-1,8)+(QUOTIENT(ROW(A590)-1,40)*2)</f>
        <v>44900</v>
      </c>
      <c r="C596" s="24" t="str">
        <f t="shared" si="27"/>
        <v>월</v>
      </c>
      <c r="D596" s="116" t="str">
        <f t="shared" si="28"/>
        <v>6교시</v>
      </c>
      <c r="E596" s="68">
        <f>COUNTIF($H$7:$H596,$H596)</f>
        <v>23</v>
      </c>
      <c r="F596" s="67">
        <f>'1.연간시수표'!$AL$33</f>
        <v>5</v>
      </c>
      <c r="G596" s="115">
        <f t="shared" si="29"/>
        <v>2</v>
      </c>
      <c r="H596" s="41" t="str">
        <f>INDEX('0.시간표데이터'!$E$52:$AR$78,QUOTIENT(ROW(A590)-1,40)+1,MOD(ROW(A590)-1,40)+1)</f>
        <v>음악</v>
      </c>
      <c r="I596" s="161"/>
      <c r="J596" s="26"/>
      <c r="K596" s="180"/>
      <c r="L596" s="180"/>
      <c r="M596" s="10"/>
      <c r="N596" s="10"/>
      <c r="O596" s="10"/>
      <c r="P596" s="10"/>
      <c r="Q596" s="164"/>
      <c r="R596" s="110"/>
    </row>
    <row r="597" spans="1:18" ht="13.5" customHeight="1">
      <c r="A597" s="90">
        <v>591</v>
      </c>
      <c r="B597" s="24">
        <f>DATE('1.연간시수표'!$U$44,'1.연간시수표'!$X$44,'1.연간시수표'!$Z$44)+QUOTIENT(ROW(A591)-1,8)+(QUOTIENT(ROW(A591)-1,40)*2)</f>
        <v>44900</v>
      </c>
      <c r="C597" s="24" t="str">
        <f t="shared" si="27"/>
        <v>월</v>
      </c>
      <c r="D597" s="116" t="str">
        <f t="shared" si="28"/>
        <v>7교시</v>
      </c>
      <c r="E597" s="68">
        <f>COUNTIF($H$7:$H597,$H597)</f>
        <v>204</v>
      </c>
      <c r="F597" s="67">
        <f>'1.연간시수표'!$AL$33</f>
        <v>5</v>
      </c>
      <c r="G597" s="115">
        <f t="shared" si="29"/>
        <v>2</v>
      </c>
      <c r="H597" s="41" t="str">
        <f>INDEX('0.시간표데이터'!$E$52:$AR$78,QUOTIENT(ROW(A591)-1,40)+1,MOD(ROW(A591)-1,40)+1)</f>
        <v>_</v>
      </c>
      <c r="I597" s="76"/>
      <c r="J597" s="26"/>
      <c r="K597" s="167"/>
      <c r="L597" s="167"/>
      <c r="M597" s="166"/>
      <c r="N597" s="166"/>
      <c r="O597" s="166"/>
      <c r="P597" s="166"/>
      <c r="Q597" s="167"/>
      <c r="R597" s="111"/>
    </row>
    <row r="598" spans="1:18" ht="13.5" customHeight="1">
      <c r="A598" s="90">
        <v>592</v>
      </c>
      <c r="B598" s="24">
        <f>DATE('1.연간시수표'!$U$44,'1.연간시수표'!$X$44,'1.연간시수표'!$Z$44)+QUOTIENT(ROW(A592)-1,8)+(QUOTIENT(ROW(A592)-1,40)*2)</f>
        <v>44900</v>
      </c>
      <c r="C598" s="24" t="str">
        <f t="shared" si="27"/>
        <v>월</v>
      </c>
      <c r="D598" s="116" t="str">
        <f t="shared" si="28"/>
        <v>8교시</v>
      </c>
      <c r="E598" s="68">
        <f>COUNTIF($H$7:$H598,$H598)</f>
        <v>205</v>
      </c>
      <c r="F598" s="67">
        <f>'1.연간시수표'!$AL$33</f>
        <v>5</v>
      </c>
      <c r="G598" s="115">
        <f t="shared" si="29"/>
        <v>2</v>
      </c>
      <c r="H598" s="41" t="str">
        <f>INDEX('0.시간표데이터'!$E$52:$AR$78,QUOTIENT(ROW(A592)-1,40)+1,MOD(ROW(A592)-1,40)+1)</f>
        <v>_</v>
      </c>
      <c r="I598" s="76"/>
      <c r="J598" s="26"/>
      <c r="K598" s="167"/>
      <c r="L598" s="167"/>
      <c r="M598" s="166"/>
      <c r="N598" s="166"/>
      <c r="O598" s="166"/>
      <c r="P598" s="166"/>
      <c r="Q598" s="167"/>
      <c r="R598" s="111"/>
    </row>
    <row r="599" spans="1:18" ht="13.5" customHeight="1">
      <c r="A599" s="90">
        <v>593</v>
      </c>
      <c r="B599" s="24">
        <f>DATE('1.연간시수표'!$U$44,'1.연간시수표'!$X$44,'1.연간시수표'!$Z$44)+QUOTIENT(ROW(A593)-1,8)+(QUOTIENT(ROW(A593)-1,40)*2)</f>
        <v>44901</v>
      </c>
      <c r="C599" s="24" t="str">
        <f t="shared" si="27"/>
        <v>화</v>
      </c>
      <c r="D599" s="116" t="str">
        <f t="shared" si="28"/>
        <v>1교시</v>
      </c>
      <c r="E599" s="68">
        <f>COUNTIF($H$7:$H599,$H599)</f>
        <v>73</v>
      </c>
      <c r="F599" s="67">
        <f>'1.연간시수표'!$AL$33</f>
        <v>5</v>
      </c>
      <c r="G599" s="115">
        <f t="shared" si="29"/>
        <v>2</v>
      </c>
      <c r="H599" s="41" t="str">
        <f>INDEX('0.시간표데이터'!$E$52:$AR$78,QUOTIENT(ROW(A593)-1,40)+1,MOD(ROW(A593)-1,40)+1)</f>
        <v>국어</v>
      </c>
      <c r="I599" s="77"/>
      <c r="J599" s="26"/>
      <c r="K599" s="180"/>
      <c r="L599" s="180"/>
      <c r="M599" s="10"/>
      <c r="N599" s="10"/>
      <c r="O599" s="10"/>
      <c r="P599" s="10"/>
      <c r="Q599" s="164"/>
      <c r="R599" s="110"/>
    </row>
    <row r="600" spans="1:18" ht="13.5" customHeight="1">
      <c r="A600" s="90">
        <v>594</v>
      </c>
      <c r="B600" s="24">
        <f>DATE('1.연간시수표'!$U$44,'1.연간시수표'!$X$44,'1.연간시수표'!$Z$44)+QUOTIENT(ROW(A594)-1,8)+(QUOTIENT(ROW(A594)-1,40)*2)</f>
        <v>44901</v>
      </c>
      <c r="C600" s="24" t="str">
        <f t="shared" si="27"/>
        <v>화</v>
      </c>
      <c r="D600" s="116" t="str">
        <f t="shared" si="28"/>
        <v>2교시</v>
      </c>
      <c r="E600" s="68">
        <f>COUNTIF($H$7:$H600,$H600)</f>
        <v>29</v>
      </c>
      <c r="F600" s="67">
        <f>'1.연간시수표'!$AL$33</f>
        <v>5</v>
      </c>
      <c r="G600" s="115">
        <f t="shared" si="29"/>
        <v>2</v>
      </c>
      <c r="H600" s="41" t="str">
        <f>INDEX('0.시간표데이터'!$E$52:$AR$78,QUOTIENT(ROW(A594)-1,40)+1,MOD(ROW(A594)-1,40)+1)</f>
        <v>체육</v>
      </c>
      <c r="I600" s="77"/>
      <c r="J600" s="26"/>
      <c r="K600" s="180"/>
      <c r="L600" s="180"/>
      <c r="M600" s="10"/>
      <c r="N600" s="10"/>
      <c r="O600" s="10"/>
      <c r="P600" s="10"/>
      <c r="Q600" s="164"/>
      <c r="R600" s="110"/>
    </row>
    <row r="601" spans="1:18" ht="13.5" customHeight="1">
      <c r="A601" s="90">
        <v>595</v>
      </c>
      <c r="B601" s="24">
        <f>DATE('1.연간시수표'!$U$44,'1.연간시수표'!$X$44,'1.연간시수표'!$Z$44)+QUOTIENT(ROW(A595)-1,8)+(QUOTIENT(ROW(A595)-1,40)*2)</f>
        <v>44901</v>
      </c>
      <c r="C601" s="24" t="str">
        <f t="shared" si="27"/>
        <v>화</v>
      </c>
      <c r="D601" s="116" t="str">
        <f t="shared" si="28"/>
        <v>3교시</v>
      </c>
      <c r="E601" s="68">
        <f>COUNTIF($H$7:$H601,$H601)</f>
        <v>48</v>
      </c>
      <c r="F601" s="67">
        <f>'1.연간시수표'!$AL$33</f>
        <v>5</v>
      </c>
      <c r="G601" s="115">
        <f t="shared" si="29"/>
        <v>2</v>
      </c>
      <c r="H601" s="41" t="str">
        <f>INDEX('0.시간표데이터'!$E$52:$AR$78,QUOTIENT(ROW(A595)-1,40)+1,MOD(ROW(A595)-1,40)+1)</f>
        <v>수학</v>
      </c>
      <c r="I601" s="77"/>
      <c r="J601" s="26"/>
      <c r="K601" s="180"/>
      <c r="L601" s="180"/>
      <c r="M601" s="10"/>
      <c r="N601" s="10"/>
      <c r="O601" s="10"/>
      <c r="P601" s="10"/>
      <c r="Q601" s="164"/>
      <c r="R601" s="110"/>
    </row>
    <row r="602" spans="1:18" ht="13.5" customHeight="1">
      <c r="A602" s="90">
        <v>596</v>
      </c>
      <c r="B602" s="24">
        <f>DATE('1.연간시수표'!$U$44,'1.연간시수표'!$X$44,'1.연간시수표'!$Z$44)+QUOTIENT(ROW(A596)-1,8)+(QUOTIENT(ROW(A596)-1,40)*2)</f>
        <v>44901</v>
      </c>
      <c r="C602" s="24" t="str">
        <f t="shared" si="27"/>
        <v>화</v>
      </c>
      <c r="D602" s="116" t="str">
        <f t="shared" si="28"/>
        <v>4교시</v>
      </c>
      <c r="E602" s="68">
        <f>COUNTIF($H$7:$H602,$H602)</f>
        <v>74</v>
      </c>
      <c r="F602" s="67">
        <f>'1.연간시수표'!$AL$33</f>
        <v>5</v>
      </c>
      <c r="G602" s="115">
        <f t="shared" si="29"/>
        <v>2</v>
      </c>
      <c r="H602" s="41" t="str">
        <f>INDEX('0.시간표데이터'!$E$52:$AR$78,QUOTIENT(ROW(A596)-1,40)+1,MOD(ROW(A596)-1,40)+1)</f>
        <v>국어</v>
      </c>
      <c r="I602" s="77"/>
      <c r="J602" s="26"/>
      <c r="K602" s="180"/>
      <c r="L602" s="180"/>
      <c r="M602" s="10"/>
      <c r="N602" s="10"/>
      <c r="O602" s="10"/>
      <c r="P602" s="10"/>
      <c r="Q602" s="164"/>
      <c r="R602" s="110"/>
    </row>
    <row r="603" spans="1:18" ht="13.5" customHeight="1">
      <c r="A603" s="90">
        <v>597</v>
      </c>
      <c r="B603" s="24">
        <f>DATE('1.연간시수표'!$U$44,'1.연간시수표'!$X$44,'1.연간시수표'!$Z$44)+QUOTIENT(ROW(A597)-1,8)+(QUOTIENT(ROW(A597)-1,40)*2)</f>
        <v>44901</v>
      </c>
      <c r="C603" s="24" t="str">
        <f t="shared" si="27"/>
        <v>화</v>
      </c>
      <c r="D603" s="116" t="str">
        <f t="shared" si="28"/>
        <v>5교시</v>
      </c>
      <c r="E603" s="68">
        <f>COUNTIF($H$7:$H603,$H603)</f>
        <v>41</v>
      </c>
      <c r="F603" s="67">
        <f>'1.연간시수표'!$AL$33</f>
        <v>5</v>
      </c>
      <c r="G603" s="115">
        <f t="shared" si="29"/>
        <v>2</v>
      </c>
      <c r="H603" s="41" t="str">
        <f>INDEX('0.시간표데이터'!$E$52:$AR$78,QUOTIENT(ROW(A597)-1,40)+1,MOD(ROW(A597)-1,40)+1)</f>
        <v>사회</v>
      </c>
      <c r="I603" s="77"/>
      <c r="J603" s="26"/>
      <c r="K603" s="164"/>
      <c r="L603" s="164"/>
      <c r="M603" s="10"/>
      <c r="N603" s="10"/>
      <c r="O603" s="10"/>
      <c r="P603" s="10"/>
      <c r="Q603" s="164"/>
      <c r="R603" s="110"/>
    </row>
    <row r="604" spans="1:18" ht="13.5" customHeight="1">
      <c r="A604" s="90">
        <v>598</v>
      </c>
      <c r="B604" s="24">
        <f>DATE('1.연간시수표'!$U$44,'1.연간시수표'!$X$44,'1.연간시수표'!$Z$44)+QUOTIENT(ROW(A598)-1,8)+(QUOTIENT(ROW(A598)-1,40)*2)</f>
        <v>44901</v>
      </c>
      <c r="C604" s="24" t="str">
        <f t="shared" si="27"/>
        <v>화</v>
      </c>
      <c r="D604" s="116" t="str">
        <f t="shared" si="28"/>
        <v>6교시</v>
      </c>
      <c r="E604" s="68">
        <f>COUNTIF($H$7:$H604,$H604)</f>
        <v>28</v>
      </c>
      <c r="F604" s="67">
        <f>'1.연간시수표'!$AL$33</f>
        <v>5</v>
      </c>
      <c r="G604" s="115">
        <f t="shared" si="29"/>
        <v>2</v>
      </c>
      <c r="H604" s="41" t="str">
        <f>INDEX('0.시간표데이터'!$E$52:$AR$78,QUOTIENT(ROW(A598)-1,40)+1,MOD(ROW(A598)-1,40)+1)</f>
        <v>실과</v>
      </c>
      <c r="I604" s="77"/>
      <c r="J604" s="26"/>
      <c r="K604" s="167"/>
      <c r="L604" s="167"/>
      <c r="M604" s="166"/>
      <c r="N604" s="166"/>
      <c r="O604" s="166"/>
      <c r="P604" s="166"/>
      <c r="Q604" s="167"/>
      <c r="R604" s="111"/>
    </row>
    <row r="605" spans="1:18" ht="13.5" customHeight="1">
      <c r="A605" s="90">
        <v>599</v>
      </c>
      <c r="B605" s="24">
        <f>DATE('1.연간시수표'!$U$44,'1.연간시수표'!$X$44,'1.연간시수표'!$Z$44)+QUOTIENT(ROW(A599)-1,8)+(QUOTIENT(ROW(A599)-1,40)*2)</f>
        <v>44901</v>
      </c>
      <c r="C605" s="24" t="str">
        <f t="shared" si="27"/>
        <v>화</v>
      </c>
      <c r="D605" s="116" t="str">
        <f t="shared" si="28"/>
        <v>7교시</v>
      </c>
      <c r="E605" s="68">
        <f>COUNTIF($H$7:$H605,$H605)</f>
        <v>206</v>
      </c>
      <c r="F605" s="67">
        <f>'1.연간시수표'!$AL$33</f>
        <v>5</v>
      </c>
      <c r="G605" s="115">
        <f t="shared" si="29"/>
        <v>2</v>
      </c>
      <c r="H605" s="41" t="str">
        <f>INDEX('0.시간표데이터'!$E$52:$AR$78,QUOTIENT(ROW(A599)-1,40)+1,MOD(ROW(A599)-1,40)+1)</f>
        <v>_</v>
      </c>
      <c r="I605" s="76"/>
      <c r="J605" s="26"/>
      <c r="K605" s="167"/>
      <c r="L605" s="167"/>
      <c r="M605" s="166"/>
      <c r="N605" s="166"/>
      <c r="O605" s="166"/>
      <c r="P605" s="166"/>
      <c r="Q605" s="167"/>
      <c r="R605" s="111"/>
    </row>
    <row r="606" spans="1:18" ht="13.5" customHeight="1">
      <c r="A606" s="90">
        <v>600</v>
      </c>
      <c r="B606" s="24">
        <f>DATE('1.연간시수표'!$U$44,'1.연간시수표'!$X$44,'1.연간시수표'!$Z$44)+QUOTIENT(ROW(A600)-1,8)+(QUOTIENT(ROW(A600)-1,40)*2)</f>
        <v>44901</v>
      </c>
      <c r="C606" s="24" t="str">
        <f t="shared" si="27"/>
        <v>화</v>
      </c>
      <c r="D606" s="116" t="str">
        <f t="shared" si="28"/>
        <v>8교시</v>
      </c>
      <c r="E606" s="68">
        <f>COUNTIF($H$7:$H606,$H606)</f>
        <v>207</v>
      </c>
      <c r="F606" s="67">
        <f>'1.연간시수표'!$AL$33</f>
        <v>5</v>
      </c>
      <c r="G606" s="115">
        <f t="shared" si="29"/>
        <v>2</v>
      </c>
      <c r="H606" s="41" t="str">
        <f>INDEX('0.시간표데이터'!$E$52:$AR$78,QUOTIENT(ROW(A600)-1,40)+1,MOD(ROW(A600)-1,40)+1)</f>
        <v>_</v>
      </c>
      <c r="I606" s="76"/>
      <c r="J606" s="26"/>
      <c r="K606" s="167"/>
      <c r="L606" s="167"/>
      <c r="M606" s="166"/>
      <c r="N606" s="166"/>
      <c r="O606" s="166"/>
      <c r="P606" s="166"/>
      <c r="Q606" s="167"/>
      <c r="R606" s="111"/>
    </row>
    <row r="607" spans="1:18">
      <c r="A607" s="90">
        <v>601</v>
      </c>
      <c r="B607" s="24">
        <f>DATE('1.연간시수표'!$U$44,'1.연간시수표'!$X$44,'1.연간시수표'!$Z$44)+QUOTIENT(ROW(A601)-1,8)+(QUOTIENT(ROW(A601)-1,40)*2)</f>
        <v>44904</v>
      </c>
      <c r="C607" s="24" t="str">
        <f t="shared" si="27"/>
        <v>금</v>
      </c>
      <c r="D607" s="116" t="str">
        <f t="shared" si="28"/>
        <v>1교시</v>
      </c>
      <c r="E607" s="68">
        <f>COUNTIF($H$7:$H607,$H607)</f>
        <v>75</v>
      </c>
      <c r="F607" s="67">
        <f>'1.연간시수표'!$AL$33</f>
        <v>5</v>
      </c>
      <c r="G607" s="115">
        <f t="shared" si="29"/>
        <v>2</v>
      </c>
      <c r="H607" s="41" t="str">
        <f>INDEX('0.시간표데이터'!$E$52:$AR$78,QUOTIENT(ROW(A601)-1,40)+1,MOD(ROW(A601)-1,40)+1)</f>
        <v>국어</v>
      </c>
      <c r="I607" s="77"/>
      <c r="J607" s="26"/>
      <c r="K607" s="164"/>
      <c r="L607" s="173"/>
      <c r="M607" s="10"/>
      <c r="N607" s="10"/>
      <c r="O607" s="10"/>
      <c r="P607" s="10"/>
      <c r="Q607" s="164"/>
      <c r="R607" s="110"/>
    </row>
    <row r="608" spans="1:18">
      <c r="A608" s="90">
        <v>602</v>
      </c>
      <c r="B608" s="24">
        <f>DATE('1.연간시수표'!$U$44,'1.연간시수표'!$X$44,'1.연간시수표'!$Z$44)+QUOTIENT(ROW(A602)-1,8)+(QUOTIENT(ROW(A602)-1,40)*2)</f>
        <v>44904</v>
      </c>
      <c r="C608" s="24" t="str">
        <f t="shared" si="27"/>
        <v>금</v>
      </c>
      <c r="D608" s="116" t="str">
        <f t="shared" si="28"/>
        <v>2교시</v>
      </c>
      <c r="E608" s="68">
        <f>COUNTIF($H$7:$H608,$H608)</f>
        <v>23</v>
      </c>
      <c r="F608" s="67">
        <f>'1.연간시수표'!$AL$33</f>
        <v>5</v>
      </c>
      <c r="G608" s="115">
        <f t="shared" si="29"/>
        <v>2</v>
      </c>
      <c r="H608" s="41" t="str">
        <f>INDEX('0.시간표데이터'!$E$52:$AR$78,QUOTIENT(ROW(A602)-1,40)+1,MOD(ROW(A602)-1,40)+1)</f>
        <v>미술</v>
      </c>
      <c r="I608" s="161"/>
      <c r="J608" s="26"/>
      <c r="K608" s="180"/>
      <c r="L608" s="180"/>
      <c r="M608" s="10"/>
      <c r="N608" s="10"/>
      <c r="O608" s="10"/>
      <c r="P608" s="10"/>
      <c r="Q608" s="164"/>
      <c r="R608" s="110"/>
    </row>
    <row r="609" spans="1:18" ht="13.5" customHeight="1">
      <c r="A609" s="90">
        <v>603</v>
      </c>
      <c r="B609" s="24">
        <f>DATE('1.연간시수표'!$U$44,'1.연간시수표'!$X$44,'1.연간시수표'!$Z$44)+QUOTIENT(ROW(A603)-1,8)+(QUOTIENT(ROW(A603)-1,40)*2)</f>
        <v>44904</v>
      </c>
      <c r="C609" s="24" t="str">
        <f t="shared" si="27"/>
        <v>금</v>
      </c>
      <c r="D609" s="116" t="str">
        <f t="shared" si="28"/>
        <v>3교시</v>
      </c>
      <c r="E609" s="68">
        <f>COUNTIF($H$7:$H609,$H609)</f>
        <v>24</v>
      </c>
      <c r="F609" s="67">
        <f>'1.연간시수표'!$AL$33</f>
        <v>5</v>
      </c>
      <c r="G609" s="115">
        <f t="shared" si="29"/>
        <v>2</v>
      </c>
      <c r="H609" s="41" t="str">
        <f>INDEX('0.시간표데이터'!$E$52:$AR$78,QUOTIENT(ROW(A603)-1,40)+1,MOD(ROW(A603)-1,40)+1)</f>
        <v>미술</v>
      </c>
      <c r="I609" s="77"/>
      <c r="J609" s="26"/>
      <c r="K609" s="180"/>
      <c r="L609" s="180"/>
      <c r="M609" s="10"/>
      <c r="N609" s="10"/>
      <c r="O609" s="10"/>
      <c r="P609" s="10"/>
      <c r="Q609" s="164"/>
      <c r="R609" s="110"/>
    </row>
    <row r="610" spans="1:18" ht="13.5" customHeight="1">
      <c r="A610" s="90">
        <v>604</v>
      </c>
      <c r="B610" s="24">
        <f>DATE('1.연간시수표'!$U$44,'1.연간시수표'!$X$44,'1.연간시수표'!$Z$44)+QUOTIENT(ROW(A604)-1,8)+(QUOTIENT(ROW(A604)-1,40)*2)</f>
        <v>44904</v>
      </c>
      <c r="C610" s="24" t="str">
        <f t="shared" si="27"/>
        <v>금</v>
      </c>
      <c r="D610" s="116" t="str">
        <f t="shared" si="28"/>
        <v>4교시</v>
      </c>
      <c r="E610" s="68">
        <f>COUNTIF($H$7:$H610,$H610)</f>
        <v>41</v>
      </c>
      <c r="F610" s="67">
        <f>'1.연간시수표'!$AL$33</f>
        <v>5</v>
      </c>
      <c r="G610" s="115">
        <f t="shared" si="29"/>
        <v>2</v>
      </c>
      <c r="H610" s="41" t="str">
        <f>INDEX('0.시간표데이터'!$E$52:$AR$78,QUOTIENT(ROW(A604)-1,40)+1,MOD(ROW(A604)-1,40)+1)</f>
        <v>영어</v>
      </c>
      <c r="I610" s="77"/>
      <c r="J610" s="26"/>
      <c r="K610" s="180"/>
      <c r="L610" s="180"/>
      <c r="M610" s="10"/>
      <c r="N610" s="10"/>
      <c r="O610" s="10"/>
      <c r="P610" s="10"/>
      <c r="Q610" s="164"/>
      <c r="R610" s="110"/>
    </row>
    <row r="611" spans="1:18" ht="13.5" customHeight="1">
      <c r="A611" s="90">
        <v>605</v>
      </c>
      <c r="B611" s="24">
        <f>DATE('1.연간시수표'!$U$44,'1.연간시수표'!$X$44,'1.연간시수표'!$Z$44)+QUOTIENT(ROW(A605)-1,8)+(QUOTIENT(ROW(A605)-1,40)*2)</f>
        <v>44904</v>
      </c>
      <c r="C611" s="24" t="str">
        <f t="shared" si="27"/>
        <v>금</v>
      </c>
      <c r="D611" s="116" t="str">
        <f t="shared" si="28"/>
        <v>5교시</v>
      </c>
      <c r="E611" s="68">
        <f>COUNTIF($H$7:$H611,$H611)</f>
        <v>49</v>
      </c>
      <c r="F611" s="67">
        <f>'1.연간시수표'!$AL$33</f>
        <v>5</v>
      </c>
      <c r="G611" s="115">
        <f t="shared" si="29"/>
        <v>2</v>
      </c>
      <c r="H611" s="41" t="str">
        <f>INDEX('0.시간표데이터'!$E$52:$AR$78,QUOTIENT(ROW(A605)-1,40)+1,MOD(ROW(A605)-1,40)+1)</f>
        <v>수학</v>
      </c>
      <c r="I611" s="77"/>
      <c r="J611" s="26"/>
      <c r="K611" s="180"/>
      <c r="L611" s="180"/>
      <c r="M611" s="10"/>
      <c r="N611" s="10"/>
      <c r="O611" s="10"/>
      <c r="P611" s="10"/>
      <c r="Q611" s="164"/>
      <c r="R611" s="110"/>
    </row>
    <row r="612" spans="1:18" ht="13.5" customHeight="1">
      <c r="A612" s="90">
        <v>606</v>
      </c>
      <c r="B612" s="24">
        <f>DATE('1.연간시수표'!$U$44,'1.연간시수표'!$X$44,'1.연간시수표'!$Z$44)+QUOTIENT(ROW(A606)-1,8)+(QUOTIENT(ROW(A606)-1,40)*2)</f>
        <v>44904</v>
      </c>
      <c r="C612" s="24" t="str">
        <f t="shared" si="27"/>
        <v>금</v>
      </c>
      <c r="D612" s="116" t="str">
        <f t="shared" si="28"/>
        <v>6교시</v>
      </c>
      <c r="E612" s="68">
        <f>COUNTIF($H$7:$H612,$H612)</f>
        <v>22</v>
      </c>
      <c r="F612" s="67">
        <f>'1.연간시수표'!$AL$33</f>
        <v>5</v>
      </c>
      <c r="G612" s="115">
        <f t="shared" si="29"/>
        <v>2</v>
      </c>
      <c r="H612" s="41" t="str">
        <f>INDEX('0.시간표데이터'!$E$52:$AR$78,QUOTIENT(ROW(A606)-1,40)+1,MOD(ROW(A606)-1,40)+1)</f>
        <v>자율활동</v>
      </c>
      <c r="I612" s="77"/>
      <c r="J612" s="26"/>
      <c r="K612" s="167"/>
      <c r="L612" s="167"/>
      <c r="M612" s="166"/>
      <c r="N612" s="166"/>
      <c r="O612" s="166"/>
      <c r="P612" s="166"/>
      <c r="Q612" s="167"/>
      <c r="R612" s="111"/>
    </row>
    <row r="613" spans="1:18" ht="13.5" customHeight="1">
      <c r="A613" s="90">
        <v>607</v>
      </c>
      <c r="B613" s="24">
        <f>DATE('1.연간시수표'!$U$44,'1.연간시수표'!$X$44,'1.연간시수표'!$Z$44)+QUOTIENT(ROW(A607)-1,8)+(QUOTIENT(ROW(A607)-1,40)*2)</f>
        <v>44904</v>
      </c>
      <c r="C613" s="24" t="str">
        <f t="shared" si="27"/>
        <v>금</v>
      </c>
      <c r="D613" s="116" t="str">
        <f t="shared" si="28"/>
        <v>7교시</v>
      </c>
      <c r="E613" s="68">
        <f>COUNTIF($H$7:$H613,$H613)</f>
        <v>208</v>
      </c>
      <c r="F613" s="67">
        <f>'1.연간시수표'!$AL$33</f>
        <v>5</v>
      </c>
      <c r="G613" s="115">
        <f t="shared" si="29"/>
        <v>2</v>
      </c>
      <c r="H613" s="41" t="str">
        <f>INDEX('0.시간표데이터'!$E$52:$AR$78,QUOTIENT(ROW(A607)-1,40)+1,MOD(ROW(A607)-1,40)+1)</f>
        <v>_</v>
      </c>
      <c r="I613" s="76"/>
      <c r="J613" s="26"/>
      <c r="K613" s="167"/>
      <c r="L613" s="167"/>
      <c r="M613" s="166"/>
      <c r="N613" s="166"/>
      <c r="O613" s="166"/>
      <c r="P613" s="166"/>
      <c r="Q613" s="167"/>
      <c r="R613" s="111"/>
    </row>
    <row r="614" spans="1:18" ht="13.5" customHeight="1">
      <c r="A614" s="90">
        <v>608</v>
      </c>
      <c r="B614" s="24">
        <f>DATE('1.연간시수표'!$U$44,'1.연간시수표'!$X$44,'1.연간시수표'!$Z$44)+QUOTIENT(ROW(A608)-1,8)+(QUOTIENT(ROW(A608)-1,40)*2)</f>
        <v>44904</v>
      </c>
      <c r="C614" s="24" t="str">
        <f t="shared" si="27"/>
        <v>금</v>
      </c>
      <c r="D614" s="116" t="str">
        <f t="shared" si="28"/>
        <v>8교시</v>
      </c>
      <c r="E614" s="68">
        <f>COUNTIF($H$7:$H614,$H614)</f>
        <v>209</v>
      </c>
      <c r="F614" s="67">
        <f>'1.연간시수표'!$AL$33</f>
        <v>5</v>
      </c>
      <c r="G614" s="115">
        <f t="shared" si="29"/>
        <v>2</v>
      </c>
      <c r="H614" s="41" t="str">
        <f>INDEX('0.시간표데이터'!$E$52:$AR$78,QUOTIENT(ROW(A608)-1,40)+1,MOD(ROW(A608)-1,40)+1)</f>
        <v>_</v>
      </c>
      <c r="I614" s="76"/>
      <c r="J614" s="26"/>
      <c r="K614" s="167"/>
      <c r="L614" s="167"/>
      <c r="M614" s="166"/>
      <c r="N614" s="166"/>
      <c r="O614" s="166"/>
      <c r="P614" s="166"/>
      <c r="Q614" s="167"/>
      <c r="R614" s="111"/>
    </row>
    <row r="615" spans="1:18" ht="13.5" customHeight="1">
      <c r="A615" s="90">
        <v>609</v>
      </c>
      <c r="B615" s="24">
        <f>DATE('1.연간시수표'!$U$44,'1.연간시수표'!$X$44,'1.연간시수표'!$Z$44)+QUOTIENT(ROW(A609)-1,8)+(QUOTIENT(ROW(A609)-1,40)*2)</f>
        <v>44905</v>
      </c>
      <c r="C615" s="24" t="b">
        <f t="shared" si="27"/>
        <v>0</v>
      </c>
      <c r="D615" s="116" t="str">
        <f t="shared" si="28"/>
        <v>1교시</v>
      </c>
      <c r="E615" s="68">
        <f>COUNTIF($H$7:$H615,$H615)</f>
        <v>76</v>
      </c>
      <c r="F615" s="67">
        <f>'1.연간시수표'!$AL$33</f>
        <v>5</v>
      </c>
      <c r="G615" s="115">
        <f t="shared" si="29"/>
        <v>2</v>
      </c>
      <c r="H615" s="41" t="str">
        <f>INDEX('0.시간표데이터'!$E$52:$AR$78,QUOTIENT(ROW(A609)-1,40)+1,MOD(ROW(A609)-1,40)+1)</f>
        <v>국어</v>
      </c>
      <c r="I615" s="77"/>
      <c r="J615" s="26"/>
      <c r="K615" s="180"/>
      <c r="L615" s="180"/>
      <c r="M615" s="10"/>
      <c r="N615" s="10"/>
      <c r="O615" s="10"/>
      <c r="P615" s="10"/>
      <c r="Q615" s="164"/>
      <c r="R615" s="110"/>
    </row>
    <row r="616" spans="1:18" ht="13.5" customHeight="1">
      <c r="A616" s="90">
        <v>610</v>
      </c>
      <c r="B616" s="24">
        <f>DATE('1.연간시수표'!$U$44,'1.연간시수표'!$X$44,'1.연간시수표'!$Z$44)+QUOTIENT(ROW(A610)-1,8)+(QUOTIENT(ROW(A610)-1,40)*2)</f>
        <v>44905</v>
      </c>
      <c r="C616" s="24" t="b">
        <f t="shared" si="27"/>
        <v>0</v>
      </c>
      <c r="D616" s="116" t="str">
        <f t="shared" si="28"/>
        <v>2교시</v>
      </c>
      <c r="E616" s="68">
        <f>COUNTIF($H$7:$H616,$H616)</f>
        <v>77</v>
      </c>
      <c r="F616" s="67">
        <f>'1.연간시수표'!$AL$33</f>
        <v>5</v>
      </c>
      <c r="G616" s="115">
        <f t="shared" si="29"/>
        <v>2</v>
      </c>
      <c r="H616" s="41" t="str">
        <f>INDEX('0.시간표데이터'!$E$52:$AR$78,QUOTIENT(ROW(A610)-1,40)+1,MOD(ROW(A610)-1,40)+1)</f>
        <v>국어</v>
      </c>
      <c r="I616" s="161"/>
      <c r="J616" s="26"/>
      <c r="K616" s="180"/>
      <c r="L616" s="180"/>
      <c r="M616" s="10"/>
      <c r="N616" s="10"/>
      <c r="O616" s="10"/>
      <c r="P616" s="10"/>
      <c r="Q616" s="164"/>
      <c r="R616" s="110"/>
    </row>
    <row r="617" spans="1:18" ht="13.5" customHeight="1">
      <c r="A617" s="90">
        <v>611</v>
      </c>
      <c r="B617" s="24">
        <f>DATE('1.연간시수표'!$U$44,'1.연간시수표'!$X$44,'1.연간시수표'!$Z$44)+QUOTIENT(ROW(A611)-1,8)+(QUOTIENT(ROW(A611)-1,40)*2)</f>
        <v>44905</v>
      </c>
      <c r="C617" s="24" t="b">
        <f t="shared" si="27"/>
        <v>0</v>
      </c>
      <c r="D617" s="116" t="str">
        <f t="shared" si="28"/>
        <v>3교시</v>
      </c>
      <c r="E617" s="68">
        <f>COUNTIF($H$7:$H617,$H617)</f>
        <v>42</v>
      </c>
      <c r="F617" s="67">
        <f>'1.연간시수표'!$AL$33</f>
        <v>5</v>
      </c>
      <c r="G617" s="115">
        <f t="shared" si="29"/>
        <v>2</v>
      </c>
      <c r="H617" s="41" t="str">
        <f>INDEX('0.시간표데이터'!$E$52:$AR$78,QUOTIENT(ROW(A611)-1,40)+1,MOD(ROW(A611)-1,40)+1)</f>
        <v>사회</v>
      </c>
      <c r="I617" s="77"/>
      <c r="J617" s="26"/>
      <c r="K617" s="164"/>
      <c r="L617" s="164"/>
      <c r="M617" s="10"/>
      <c r="N617" s="10"/>
      <c r="O617" s="10"/>
      <c r="P617" s="10"/>
      <c r="Q617" s="164"/>
      <c r="R617" s="110"/>
    </row>
    <row r="618" spans="1:18" ht="13.5" customHeight="1">
      <c r="A618" s="90">
        <v>612</v>
      </c>
      <c r="B618" s="24">
        <f>DATE('1.연간시수표'!$U$44,'1.연간시수표'!$X$44,'1.연간시수표'!$Z$44)+QUOTIENT(ROW(A612)-1,8)+(QUOTIENT(ROW(A612)-1,40)*2)</f>
        <v>44905</v>
      </c>
      <c r="C618" s="24" t="b">
        <f t="shared" si="27"/>
        <v>0</v>
      </c>
      <c r="D618" s="116" t="str">
        <f t="shared" si="28"/>
        <v>4교시</v>
      </c>
      <c r="E618" s="68">
        <f>COUNTIF($H$7:$H618,$H618)</f>
        <v>50</v>
      </c>
      <c r="F618" s="67">
        <f>'1.연간시수표'!$AL$33</f>
        <v>5</v>
      </c>
      <c r="G618" s="115">
        <f t="shared" si="29"/>
        <v>2</v>
      </c>
      <c r="H618" s="41" t="str">
        <f>INDEX('0.시간표데이터'!$E$52:$AR$78,QUOTIENT(ROW(A612)-1,40)+1,MOD(ROW(A612)-1,40)+1)</f>
        <v>수학</v>
      </c>
      <c r="I618" s="77"/>
      <c r="J618" s="26"/>
      <c r="K618" s="180"/>
      <c r="L618" s="180"/>
      <c r="M618" s="10"/>
      <c r="N618" s="10"/>
      <c r="O618" s="10"/>
      <c r="P618" s="10"/>
      <c r="Q618" s="164"/>
      <c r="R618" s="110"/>
    </row>
    <row r="619" spans="1:18" ht="13.5" customHeight="1">
      <c r="A619" s="90">
        <v>613</v>
      </c>
      <c r="B619" s="24">
        <f>DATE('1.연간시수표'!$U$44,'1.연간시수표'!$X$44,'1.연간시수표'!$Z$44)+QUOTIENT(ROW(A613)-1,8)+(QUOTIENT(ROW(A613)-1,40)*2)</f>
        <v>44905</v>
      </c>
      <c r="C619" s="24" t="b">
        <f t="shared" si="27"/>
        <v>0</v>
      </c>
      <c r="D619" s="116" t="str">
        <f t="shared" si="28"/>
        <v>5교시</v>
      </c>
      <c r="E619" s="68">
        <f>COUNTIF($H$7:$H619,$H619)</f>
        <v>38</v>
      </c>
      <c r="F619" s="67">
        <f>'1.연간시수표'!$AL$33</f>
        <v>5</v>
      </c>
      <c r="G619" s="115">
        <f t="shared" si="29"/>
        <v>2</v>
      </c>
      <c r="H619" s="41" t="str">
        <f>INDEX('0.시간표데이터'!$E$52:$AR$78,QUOTIENT(ROW(A613)-1,40)+1,MOD(ROW(A613)-1,40)+1)</f>
        <v>과학</v>
      </c>
      <c r="I619" s="77"/>
      <c r="J619" s="26"/>
      <c r="K619" s="180"/>
      <c r="L619" s="180"/>
      <c r="M619" s="10"/>
      <c r="N619" s="10"/>
      <c r="O619" s="10"/>
      <c r="P619" s="10"/>
      <c r="Q619" s="164"/>
      <c r="R619" s="110"/>
    </row>
    <row r="620" spans="1:18" ht="13.5" customHeight="1">
      <c r="A620" s="90">
        <v>614</v>
      </c>
      <c r="B620" s="24">
        <f>DATE('1.연간시수표'!$U$44,'1.연간시수표'!$X$44,'1.연간시수표'!$Z$44)+QUOTIENT(ROW(A614)-1,8)+(QUOTIENT(ROW(A614)-1,40)*2)</f>
        <v>44905</v>
      </c>
      <c r="C620" s="24" t="b">
        <f t="shared" si="27"/>
        <v>0</v>
      </c>
      <c r="D620" s="116" t="str">
        <f t="shared" si="28"/>
        <v>6교시</v>
      </c>
      <c r="E620" s="68">
        <f>COUNTIF($H$7:$H620,$H620)</f>
        <v>29</v>
      </c>
      <c r="F620" s="67">
        <f>'1.연간시수표'!$AL$33</f>
        <v>5</v>
      </c>
      <c r="G620" s="115">
        <f t="shared" si="29"/>
        <v>2</v>
      </c>
      <c r="H620" s="41" t="str">
        <f>INDEX('0.시간표데이터'!$E$52:$AR$78,QUOTIENT(ROW(A614)-1,40)+1,MOD(ROW(A614)-1,40)+1)</f>
        <v>실과</v>
      </c>
      <c r="I620" s="77"/>
      <c r="J620" s="26"/>
      <c r="K620" s="167"/>
      <c r="L620" s="167"/>
      <c r="M620" s="166"/>
      <c r="N620" s="166"/>
      <c r="O620" s="166"/>
      <c r="P620" s="166"/>
      <c r="Q620" s="167"/>
      <c r="R620" s="111"/>
    </row>
    <row r="621" spans="1:18" ht="13.5" customHeight="1">
      <c r="A621" s="90">
        <v>615</v>
      </c>
      <c r="B621" s="24">
        <f>DATE('1.연간시수표'!$U$44,'1.연간시수표'!$X$44,'1.연간시수표'!$Z$44)+QUOTIENT(ROW(A615)-1,8)+(QUOTIENT(ROW(A615)-1,40)*2)</f>
        <v>44905</v>
      </c>
      <c r="C621" s="24" t="b">
        <f t="shared" si="27"/>
        <v>0</v>
      </c>
      <c r="D621" s="116" t="str">
        <f t="shared" si="28"/>
        <v>7교시</v>
      </c>
      <c r="E621" s="68">
        <f>COUNTIF($H$7:$H621,$H621)</f>
        <v>210</v>
      </c>
      <c r="F621" s="67">
        <f>'1.연간시수표'!$AL$33</f>
        <v>5</v>
      </c>
      <c r="G621" s="115">
        <f t="shared" si="29"/>
        <v>2</v>
      </c>
      <c r="H621" s="41" t="str">
        <f>INDEX('0.시간표데이터'!$E$52:$AR$78,QUOTIENT(ROW(A615)-1,40)+1,MOD(ROW(A615)-1,40)+1)</f>
        <v>_</v>
      </c>
      <c r="I621" s="76"/>
      <c r="J621" s="26"/>
      <c r="K621" s="167"/>
      <c r="L621" s="167"/>
      <c r="M621" s="166"/>
      <c r="N621" s="166"/>
      <c r="O621" s="166"/>
      <c r="P621" s="166"/>
      <c r="Q621" s="167"/>
      <c r="R621" s="111"/>
    </row>
    <row r="622" spans="1:18" ht="13.5" customHeight="1">
      <c r="A622" s="90">
        <v>616</v>
      </c>
      <c r="B622" s="24">
        <f>DATE('1.연간시수표'!$U$44,'1.연간시수표'!$X$44,'1.연간시수표'!$Z$44)+QUOTIENT(ROW(A616)-1,8)+(QUOTIENT(ROW(A616)-1,40)*2)</f>
        <v>44905</v>
      </c>
      <c r="C622" s="24" t="b">
        <f t="shared" si="27"/>
        <v>0</v>
      </c>
      <c r="D622" s="116" t="str">
        <f t="shared" si="28"/>
        <v>8교시</v>
      </c>
      <c r="E622" s="68">
        <f>COUNTIF($H$7:$H622,$H622)</f>
        <v>211</v>
      </c>
      <c r="F622" s="67">
        <f>'1.연간시수표'!$AL$33</f>
        <v>5</v>
      </c>
      <c r="G622" s="115">
        <f t="shared" si="29"/>
        <v>2</v>
      </c>
      <c r="H622" s="41" t="str">
        <f>INDEX('0.시간표데이터'!$E$52:$AR$78,QUOTIENT(ROW(A616)-1,40)+1,MOD(ROW(A616)-1,40)+1)</f>
        <v>_</v>
      </c>
      <c r="I622" s="76"/>
      <c r="J622" s="26"/>
      <c r="K622" s="167"/>
      <c r="L622" s="167"/>
      <c r="M622" s="166"/>
      <c r="N622" s="166"/>
      <c r="O622" s="166"/>
      <c r="P622" s="166"/>
      <c r="Q622" s="167"/>
      <c r="R622" s="111"/>
    </row>
    <row r="623" spans="1:18" ht="13.5" customHeight="1">
      <c r="A623" s="90">
        <v>617</v>
      </c>
      <c r="B623" s="24">
        <f>DATE('1.연간시수표'!$U$44,'1.연간시수표'!$X$44,'1.연간시수표'!$Z$44)+QUOTIENT(ROW(A617)-1,8)+(QUOTIENT(ROW(A617)-1,40)*2)</f>
        <v>44906</v>
      </c>
      <c r="C623" s="24" t="b">
        <f t="shared" si="27"/>
        <v>0</v>
      </c>
      <c r="D623" s="116" t="str">
        <f t="shared" si="28"/>
        <v>1교시</v>
      </c>
      <c r="E623" s="68">
        <f>COUNTIF($H$7:$H623,$H623)</f>
        <v>42</v>
      </c>
      <c r="F623" s="67">
        <f>'1.연간시수표'!$AL$33</f>
        <v>5</v>
      </c>
      <c r="G623" s="115">
        <f t="shared" si="29"/>
        <v>2</v>
      </c>
      <c r="H623" s="41" t="str">
        <f>INDEX('0.시간표데이터'!$E$52:$AR$78,QUOTIENT(ROW(A617)-1,40)+1,MOD(ROW(A617)-1,40)+1)</f>
        <v>영어</v>
      </c>
      <c r="I623" s="77"/>
      <c r="J623" s="26"/>
      <c r="K623" s="180"/>
      <c r="L623" s="180"/>
      <c r="M623" s="10"/>
      <c r="N623" s="10"/>
      <c r="O623" s="10"/>
      <c r="P623" s="10"/>
      <c r="Q623" s="164"/>
      <c r="R623" s="110"/>
    </row>
    <row r="624" spans="1:18" ht="13.5" customHeight="1">
      <c r="A624" s="90">
        <v>618</v>
      </c>
      <c r="B624" s="24">
        <f>DATE('1.연간시수표'!$U$44,'1.연간시수표'!$X$44,'1.연간시수표'!$Z$44)+QUOTIENT(ROW(A618)-1,8)+(QUOTIENT(ROW(A618)-1,40)*2)</f>
        <v>44906</v>
      </c>
      <c r="C624" s="24" t="b">
        <f t="shared" si="27"/>
        <v>0</v>
      </c>
      <c r="D624" s="116" t="str">
        <f t="shared" si="28"/>
        <v>2교시</v>
      </c>
      <c r="E624" s="68">
        <f>COUNTIF($H$7:$H624,$H624)</f>
        <v>39</v>
      </c>
      <c r="F624" s="67">
        <f>'1.연간시수표'!$AL$33</f>
        <v>5</v>
      </c>
      <c r="G624" s="115">
        <f t="shared" si="29"/>
        <v>2</v>
      </c>
      <c r="H624" s="41" t="str">
        <f>INDEX('0.시간표데이터'!$E$52:$AR$78,QUOTIENT(ROW(A618)-1,40)+1,MOD(ROW(A618)-1,40)+1)</f>
        <v>과학</v>
      </c>
      <c r="I624" s="77"/>
      <c r="J624" s="26"/>
      <c r="K624" s="180"/>
      <c r="L624" s="180"/>
      <c r="M624" s="10"/>
      <c r="N624" s="10"/>
      <c r="O624" s="10"/>
      <c r="P624" s="10"/>
      <c r="Q624" s="164"/>
      <c r="R624" s="110"/>
    </row>
    <row r="625" spans="1:18" ht="13.5" customHeight="1">
      <c r="A625" s="90">
        <v>619</v>
      </c>
      <c r="B625" s="24">
        <f>DATE('1.연간시수표'!$U$44,'1.연간시수표'!$X$44,'1.연간시수표'!$Z$44)+QUOTIENT(ROW(A619)-1,8)+(QUOTIENT(ROW(A619)-1,40)*2)</f>
        <v>44906</v>
      </c>
      <c r="C625" s="24" t="b">
        <f t="shared" si="27"/>
        <v>0</v>
      </c>
      <c r="D625" s="116" t="str">
        <f t="shared" si="28"/>
        <v>3교시</v>
      </c>
      <c r="E625" s="68">
        <f>COUNTIF($H$7:$H625,$H625)</f>
        <v>30</v>
      </c>
      <c r="F625" s="67">
        <f>'1.연간시수표'!$AL$33</f>
        <v>5</v>
      </c>
      <c r="G625" s="115">
        <f t="shared" si="29"/>
        <v>2</v>
      </c>
      <c r="H625" s="41" t="str">
        <f>INDEX('0.시간표데이터'!$E$52:$AR$78,QUOTIENT(ROW(A619)-1,40)+1,MOD(ROW(A619)-1,40)+1)</f>
        <v>체육</v>
      </c>
      <c r="I625" s="77"/>
      <c r="J625" s="26"/>
      <c r="K625" s="180"/>
      <c r="L625" s="180"/>
      <c r="M625" s="10"/>
      <c r="N625" s="10"/>
      <c r="O625" s="10"/>
      <c r="P625" s="10"/>
      <c r="Q625" s="164"/>
      <c r="R625" s="110"/>
    </row>
    <row r="626" spans="1:18" ht="13.5" customHeight="1">
      <c r="A626" s="90">
        <v>620</v>
      </c>
      <c r="B626" s="24">
        <f>DATE('1.연간시수표'!$U$44,'1.연간시수표'!$X$44,'1.연간시수표'!$Z$44)+QUOTIENT(ROW(A620)-1,8)+(QUOTIENT(ROW(A620)-1,40)*2)</f>
        <v>44906</v>
      </c>
      <c r="C626" s="24" t="b">
        <f t="shared" si="27"/>
        <v>0</v>
      </c>
      <c r="D626" s="116" t="str">
        <f t="shared" si="28"/>
        <v>4교시</v>
      </c>
      <c r="E626" s="68">
        <f>COUNTIF($H$7:$H626,$H626)</f>
        <v>24</v>
      </c>
      <c r="F626" s="67">
        <f>'1.연간시수표'!$AL$33</f>
        <v>5</v>
      </c>
      <c r="G626" s="115">
        <f t="shared" si="29"/>
        <v>2</v>
      </c>
      <c r="H626" s="41" t="str">
        <f>INDEX('0.시간표데이터'!$E$52:$AR$78,QUOTIENT(ROW(A620)-1,40)+1,MOD(ROW(A620)-1,40)+1)</f>
        <v>음악</v>
      </c>
      <c r="I626" s="77"/>
      <c r="J626" s="26"/>
      <c r="K626" s="180"/>
      <c r="L626" s="180"/>
      <c r="M626" s="10"/>
      <c r="N626" s="10"/>
      <c r="O626" s="10"/>
      <c r="P626" s="10"/>
      <c r="Q626" s="164"/>
      <c r="R626" s="110"/>
    </row>
    <row r="627" spans="1:18" ht="13.5" customHeight="1">
      <c r="A627" s="90">
        <v>621</v>
      </c>
      <c r="B627" s="24">
        <f>DATE('1.연간시수표'!$U$44,'1.연간시수표'!$X$44,'1.연간시수표'!$Z$44)+QUOTIENT(ROW(A621)-1,8)+(QUOTIENT(ROW(A621)-1,40)*2)</f>
        <v>44906</v>
      </c>
      <c r="C627" s="24" t="b">
        <f t="shared" si="27"/>
        <v>0</v>
      </c>
      <c r="D627" s="116" t="str">
        <f t="shared" si="28"/>
        <v>5교시</v>
      </c>
      <c r="E627" s="68">
        <f>COUNTIF($H$7:$H627,$H627)</f>
        <v>15</v>
      </c>
      <c r="F627" s="67">
        <f>'1.연간시수표'!$AL$33</f>
        <v>5</v>
      </c>
      <c r="G627" s="115">
        <f t="shared" si="29"/>
        <v>2</v>
      </c>
      <c r="H627" s="41" t="str">
        <f>INDEX('0.시간표데이터'!$E$52:$AR$78,QUOTIENT(ROW(A621)-1,40)+1,MOD(ROW(A621)-1,40)+1)</f>
        <v>도덕</v>
      </c>
      <c r="I627" s="77"/>
      <c r="J627" s="26"/>
      <c r="K627" s="164"/>
      <c r="L627" s="164"/>
      <c r="M627" s="10"/>
      <c r="N627" s="10"/>
      <c r="O627" s="10"/>
      <c r="P627" s="10"/>
      <c r="Q627" s="164"/>
      <c r="R627" s="110"/>
    </row>
    <row r="628" spans="1:18" ht="13.5" customHeight="1">
      <c r="A628" s="90">
        <v>622</v>
      </c>
      <c r="B628" s="24">
        <f>DATE('1.연간시수표'!$U$44,'1.연간시수표'!$X$44,'1.연간시수표'!$Z$44)+QUOTIENT(ROW(A622)-1,8)+(QUOTIENT(ROW(A622)-1,40)*2)</f>
        <v>44906</v>
      </c>
      <c r="C628" s="24" t="b">
        <f t="shared" si="27"/>
        <v>0</v>
      </c>
      <c r="D628" s="116" t="str">
        <f t="shared" si="28"/>
        <v>6교시</v>
      </c>
      <c r="E628" s="68">
        <f>COUNTIF($H$7:$H628,$H628)</f>
        <v>212</v>
      </c>
      <c r="F628" s="67">
        <f>'1.연간시수표'!$AL$33</f>
        <v>5</v>
      </c>
      <c r="G628" s="115">
        <f t="shared" si="29"/>
        <v>2</v>
      </c>
      <c r="H628" s="41" t="str">
        <f>INDEX('0.시간표데이터'!$E$52:$AR$78,QUOTIENT(ROW(A622)-1,40)+1,MOD(ROW(A622)-1,40)+1)</f>
        <v>_</v>
      </c>
      <c r="I628" s="77"/>
      <c r="J628" s="26"/>
      <c r="K628" s="167"/>
      <c r="L628" s="167"/>
      <c r="M628" s="166"/>
      <c r="N628" s="166"/>
      <c r="O628" s="166"/>
      <c r="P628" s="166"/>
      <c r="Q628" s="167"/>
      <c r="R628" s="111"/>
    </row>
    <row r="629" spans="1:18" ht="13.5" customHeight="1">
      <c r="A629" s="90">
        <v>623</v>
      </c>
      <c r="B629" s="24">
        <f>DATE('1.연간시수표'!$U$44,'1.연간시수표'!$X$44,'1.연간시수표'!$Z$44)+QUOTIENT(ROW(A623)-1,8)+(QUOTIENT(ROW(A623)-1,40)*2)</f>
        <v>44906</v>
      </c>
      <c r="C629" s="24" t="b">
        <f t="shared" si="27"/>
        <v>0</v>
      </c>
      <c r="D629" s="116" t="str">
        <f t="shared" si="28"/>
        <v>7교시</v>
      </c>
      <c r="E629" s="68">
        <f>COUNTIF($H$7:$H629,$H629)</f>
        <v>213</v>
      </c>
      <c r="F629" s="67">
        <f>'1.연간시수표'!$AL$33</f>
        <v>5</v>
      </c>
      <c r="G629" s="115">
        <f t="shared" si="29"/>
        <v>2</v>
      </c>
      <c r="H629" s="41" t="str">
        <f>INDEX('0.시간표데이터'!$E$52:$AR$78,QUOTIENT(ROW(A623)-1,40)+1,MOD(ROW(A623)-1,40)+1)</f>
        <v>_</v>
      </c>
      <c r="I629" s="76"/>
      <c r="J629" s="26"/>
      <c r="K629" s="167"/>
      <c r="L629" s="167"/>
      <c r="M629" s="166"/>
      <c r="N629" s="166"/>
      <c r="O629" s="166"/>
      <c r="P629" s="166"/>
      <c r="Q629" s="167"/>
      <c r="R629" s="111"/>
    </row>
    <row r="630" spans="1:18" ht="13.5" customHeight="1">
      <c r="A630" s="90">
        <v>624</v>
      </c>
      <c r="B630" s="24">
        <f>DATE('1.연간시수표'!$U$44,'1.연간시수표'!$X$44,'1.연간시수표'!$Z$44)+QUOTIENT(ROW(A624)-1,8)+(QUOTIENT(ROW(A624)-1,40)*2)</f>
        <v>44906</v>
      </c>
      <c r="C630" s="24" t="b">
        <f t="shared" si="27"/>
        <v>0</v>
      </c>
      <c r="D630" s="116" t="str">
        <f t="shared" si="28"/>
        <v>8교시</v>
      </c>
      <c r="E630" s="68">
        <f>COUNTIF($H$7:$H630,$H630)</f>
        <v>214</v>
      </c>
      <c r="F630" s="67">
        <f>'1.연간시수표'!$AL$33</f>
        <v>5</v>
      </c>
      <c r="G630" s="115">
        <f t="shared" si="29"/>
        <v>2</v>
      </c>
      <c r="H630" s="41" t="str">
        <f>INDEX('0.시간표데이터'!$E$52:$AR$78,QUOTIENT(ROW(A624)-1,40)+1,MOD(ROW(A624)-1,40)+1)</f>
        <v>_</v>
      </c>
      <c r="I630" s="76"/>
      <c r="J630" s="26"/>
      <c r="K630" s="167"/>
      <c r="L630" s="167"/>
      <c r="M630" s="166"/>
      <c r="N630" s="166"/>
      <c r="O630" s="166"/>
      <c r="P630" s="166"/>
      <c r="Q630" s="167"/>
      <c r="R630" s="111"/>
    </row>
    <row r="631" spans="1:18" ht="13.5" customHeight="1">
      <c r="A631" s="90">
        <v>625</v>
      </c>
      <c r="B631" s="24">
        <f>DATE('1.연간시수표'!$U$44,'1.연간시수표'!$X$44,'1.연간시수표'!$Z$44)+QUOTIENT(ROW(A625)-1,8)+(QUOTIENT(ROW(A625)-1,40)*2)</f>
        <v>44907</v>
      </c>
      <c r="C631" s="24" t="str">
        <f t="shared" si="27"/>
        <v>월</v>
      </c>
      <c r="D631" s="116" t="str">
        <f t="shared" si="28"/>
        <v>1교시</v>
      </c>
      <c r="E631" s="68">
        <f>COUNTIF($H$7:$H631,$H631)</f>
        <v>78</v>
      </c>
      <c r="F631" s="67">
        <f>'1.연간시수표'!$AL$33</f>
        <v>5</v>
      </c>
      <c r="G631" s="115">
        <f t="shared" si="29"/>
        <v>2</v>
      </c>
      <c r="H631" s="41" t="str">
        <f>INDEX('0.시간표데이터'!$E$52:$AR$78,QUOTIENT(ROW(A625)-1,40)+1,MOD(ROW(A625)-1,40)+1)</f>
        <v>국어</v>
      </c>
      <c r="I631" s="77"/>
      <c r="J631" s="26"/>
      <c r="K631" s="180"/>
      <c r="L631" s="180"/>
      <c r="M631" s="10"/>
      <c r="N631" s="10"/>
      <c r="O631" s="10"/>
      <c r="P631" s="10"/>
      <c r="Q631" s="164"/>
      <c r="R631" s="110"/>
    </row>
    <row r="632" spans="1:18" ht="13.5" customHeight="1">
      <c r="A632" s="90">
        <v>626</v>
      </c>
      <c r="B632" s="24">
        <f>DATE('1.연간시수표'!$U$44,'1.연간시수표'!$X$44,'1.연간시수표'!$Z$44)+QUOTIENT(ROW(A626)-1,8)+(QUOTIENT(ROW(A626)-1,40)*2)</f>
        <v>44907</v>
      </c>
      <c r="C632" s="24" t="str">
        <f t="shared" si="27"/>
        <v>월</v>
      </c>
      <c r="D632" s="116" t="str">
        <f t="shared" si="28"/>
        <v>2교시</v>
      </c>
      <c r="E632" s="68">
        <f>COUNTIF($H$7:$H632,$H632)</f>
        <v>51</v>
      </c>
      <c r="F632" s="67">
        <f>'1.연간시수표'!$AL$33</f>
        <v>5</v>
      </c>
      <c r="G632" s="115">
        <f t="shared" si="29"/>
        <v>2</v>
      </c>
      <c r="H632" s="41" t="str">
        <f>INDEX('0.시간표데이터'!$E$52:$AR$78,QUOTIENT(ROW(A626)-1,40)+1,MOD(ROW(A626)-1,40)+1)</f>
        <v>수학</v>
      </c>
      <c r="I632" s="161"/>
      <c r="J632" s="26"/>
      <c r="K632" s="180"/>
      <c r="L632" s="180"/>
      <c r="M632" s="10"/>
      <c r="N632" s="10"/>
      <c r="O632" s="10"/>
      <c r="P632" s="10"/>
      <c r="Q632" s="164"/>
      <c r="R632" s="110"/>
    </row>
    <row r="633" spans="1:18" ht="13.5" customHeight="1">
      <c r="A633" s="90">
        <v>627</v>
      </c>
      <c r="B633" s="24">
        <f>DATE('1.연간시수표'!$U$44,'1.연간시수표'!$X$44,'1.연간시수표'!$Z$44)+QUOTIENT(ROW(A627)-1,8)+(QUOTIENT(ROW(A627)-1,40)*2)</f>
        <v>44907</v>
      </c>
      <c r="C633" s="24" t="str">
        <f t="shared" si="27"/>
        <v>월</v>
      </c>
      <c r="D633" s="116" t="str">
        <f t="shared" si="28"/>
        <v>3교시</v>
      </c>
      <c r="E633" s="68">
        <f>COUNTIF($H$7:$H633,$H633)</f>
        <v>31</v>
      </c>
      <c r="F633" s="67">
        <f>'1.연간시수표'!$AL$33</f>
        <v>5</v>
      </c>
      <c r="G633" s="115">
        <f t="shared" si="29"/>
        <v>2</v>
      </c>
      <c r="H633" s="41" t="str">
        <f>INDEX('0.시간표데이터'!$E$52:$AR$78,QUOTIENT(ROW(A627)-1,40)+1,MOD(ROW(A627)-1,40)+1)</f>
        <v>체육</v>
      </c>
      <c r="I633" s="77"/>
      <c r="J633" s="26"/>
      <c r="K633" s="180"/>
      <c r="L633" s="180"/>
      <c r="M633" s="10"/>
      <c r="N633" s="10"/>
      <c r="O633" s="10"/>
      <c r="P633" s="10"/>
      <c r="Q633" s="164"/>
      <c r="R633" s="110"/>
    </row>
    <row r="634" spans="1:18" ht="13.5" customHeight="1">
      <c r="A634" s="90">
        <v>628</v>
      </c>
      <c r="B634" s="24">
        <f>DATE('1.연간시수표'!$U$44,'1.연간시수표'!$X$44,'1.연간시수표'!$Z$44)+QUOTIENT(ROW(A628)-1,8)+(QUOTIENT(ROW(A628)-1,40)*2)</f>
        <v>44907</v>
      </c>
      <c r="C634" s="24" t="str">
        <f t="shared" si="27"/>
        <v>월</v>
      </c>
      <c r="D634" s="116" t="str">
        <f t="shared" si="28"/>
        <v>4교시</v>
      </c>
      <c r="E634" s="68">
        <f>COUNTIF($H$7:$H634,$H634)</f>
        <v>23</v>
      </c>
      <c r="F634" s="67">
        <f>'1.연간시수표'!$AL$33</f>
        <v>5</v>
      </c>
      <c r="G634" s="115">
        <f t="shared" si="29"/>
        <v>2</v>
      </c>
      <c r="H634" s="41" t="str">
        <f>INDEX('0.시간표데이터'!$E$52:$AR$78,QUOTIENT(ROW(A628)-1,40)+1,MOD(ROW(A628)-1,40)+1)</f>
        <v>자율활동</v>
      </c>
      <c r="I634" s="77"/>
      <c r="J634" s="26"/>
      <c r="K634" s="164"/>
      <c r="L634" s="164"/>
      <c r="M634" s="10"/>
      <c r="N634" s="10"/>
      <c r="O634" s="10"/>
      <c r="P634" s="10"/>
      <c r="Q634" s="164"/>
      <c r="R634" s="110"/>
    </row>
    <row r="635" spans="1:18" ht="13.5" customHeight="1">
      <c r="A635" s="90">
        <v>629</v>
      </c>
      <c r="B635" s="24">
        <f>DATE('1.연간시수표'!$U$44,'1.연간시수표'!$X$44,'1.연간시수표'!$Z$44)+QUOTIENT(ROW(A629)-1,8)+(QUOTIENT(ROW(A629)-1,40)*2)</f>
        <v>44907</v>
      </c>
      <c r="C635" s="24" t="str">
        <f t="shared" si="27"/>
        <v>월</v>
      </c>
      <c r="D635" s="116" t="str">
        <f t="shared" si="28"/>
        <v>5교시</v>
      </c>
      <c r="E635" s="68">
        <f>COUNTIF($H$7:$H635,$H635)</f>
        <v>40</v>
      </c>
      <c r="F635" s="67">
        <f>'1.연간시수표'!$AL$33</f>
        <v>5</v>
      </c>
      <c r="G635" s="115">
        <f t="shared" si="29"/>
        <v>2</v>
      </c>
      <c r="H635" s="41" t="str">
        <f>INDEX('0.시간표데이터'!$E$52:$AR$78,QUOTIENT(ROW(A629)-1,40)+1,MOD(ROW(A629)-1,40)+1)</f>
        <v>과학</v>
      </c>
      <c r="I635" s="77"/>
      <c r="J635" s="26"/>
      <c r="K635" s="164"/>
      <c r="L635" s="164"/>
      <c r="M635" s="10"/>
      <c r="N635" s="10"/>
      <c r="O635" s="10"/>
      <c r="P635" s="10"/>
      <c r="Q635" s="164"/>
      <c r="R635" s="110"/>
    </row>
    <row r="636" spans="1:18" ht="13.5" customHeight="1">
      <c r="A636" s="90">
        <v>630</v>
      </c>
      <c r="B636" s="24">
        <f>DATE('1.연간시수표'!$U$44,'1.연간시수표'!$X$44,'1.연간시수표'!$Z$44)+QUOTIENT(ROW(A630)-1,8)+(QUOTIENT(ROW(A630)-1,40)*2)</f>
        <v>44907</v>
      </c>
      <c r="C636" s="24" t="str">
        <f t="shared" si="27"/>
        <v>월</v>
      </c>
      <c r="D636" s="116" t="str">
        <f t="shared" si="28"/>
        <v>6교시</v>
      </c>
      <c r="E636" s="68">
        <f>COUNTIF($H$7:$H636,$H636)</f>
        <v>25</v>
      </c>
      <c r="F636" s="67">
        <f>'1.연간시수표'!$AL$33</f>
        <v>5</v>
      </c>
      <c r="G636" s="115">
        <f t="shared" si="29"/>
        <v>2</v>
      </c>
      <c r="H636" s="41" t="str">
        <f>INDEX('0.시간표데이터'!$E$52:$AR$78,QUOTIENT(ROW(A630)-1,40)+1,MOD(ROW(A630)-1,40)+1)</f>
        <v>음악</v>
      </c>
      <c r="I636" s="161"/>
      <c r="J636" s="26"/>
      <c r="K636" s="180"/>
      <c r="L636" s="180"/>
      <c r="M636" s="10"/>
      <c r="N636" s="10"/>
      <c r="O636" s="10"/>
      <c r="P636" s="10"/>
      <c r="Q636" s="164"/>
      <c r="R636" s="110"/>
    </row>
    <row r="637" spans="1:18">
      <c r="A637" s="90">
        <v>631</v>
      </c>
      <c r="B637" s="24">
        <f>DATE('1.연간시수표'!$U$44,'1.연간시수표'!$X$44,'1.연간시수표'!$Z$44)+QUOTIENT(ROW(A631)-1,8)+(QUOTIENT(ROW(A631)-1,40)*2)</f>
        <v>44907</v>
      </c>
      <c r="C637" s="24" t="str">
        <f t="shared" si="27"/>
        <v>월</v>
      </c>
      <c r="D637" s="116" t="str">
        <f t="shared" si="28"/>
        <v>7교시</v>
      </c>
      <c r="E637" s="68">
        <f>COUNTIF($H$7:$H637,$H637)</f>
        <v>215</v>
      </c>
      <c r="F637" s="67">
        <f>'1.연간시수표'!$AL$33</f>
        <v>5</v>
      </c>
      <c r="G637" s="115">
        <f t="shared" si="29"/>
        <v>2</v>
      </c>
      <c r="H637" s="41" t="str">
        <f>INDEX('0.시간표데이터'!$E$52:$AR$78,QUOTIENT(ROW(A631)-1,40)+1,MOD(ROW(A631)-1,40)+1)</f>
        <v>_</v>
      </c>
      <c r="I637" s="76"/>
      <c r="J637" s="26"/>
      <c r="K637" s="167"/>
      <c r="L637" s="167"/>
      <c r="M637" s="166"/>
      <c r="N637" s="166"/>
      <c r="O637" s="166"/>
      <c r="P637" s="166"/>
      <c r="Q637" s="167"/>
      <c r="R637" s="111"/>
    </row>
    <row r="638" spans="1:18">
      <c r="A638" s="90">
        <v>632</v>
      </c>
      <c r="B638" s="24">
        <f>DATE('1.연간시수표'!$U$44,'1.연간시수표'!$X$44,'1.연간시수표'!$Z$44)+QUOTIENT(ROW(A632)-1,8)+(QUOTIENT(ROW(A632)-1,40)*2)</f>
        <v>44907</v>
      </c>
      <c r="C638" s="24" t="str">
        <f t="shared" si="27"/>
        <v>월</v>
      </c>
      <c r="D638" s="116" t="str">
        <f t="shared" si="28"/>
        <v>8교시</v>
      </c>
      <c r="E638" s="68">
        <f>COUNTIF($H$7:$H638,$H638)</f>
        <v>216</v>
      </c>
      <c r="F638" s="67">
        <f>'1.연간시수표'!$AL$33</f>
        <v>5</v>
      </c>
      <c r="G638" s="115">
        <f t="shared" si="29"/>
        <v>2</v>
      </c>
      <c r="H638" s="41" t="str">
        <f>INDEX('0.시간표데이터'!$E$52:$AR$78,QUOTIENT(ROW(A632)-1,40)+1,MOD(ROW(A632)-1,40)+1)</f>
        <v>_</v>
      </c>
      <c r="I638" s="76"/>
      <c r="J638" s="26"/>
      <c r="K638" s="167"/>
      <c r="L638" s="167"/>
      <c r="M638" s="166"/>
      <c r="N638" s="166"/>
      <c r="O638" s="166"/>
      <c r="P638" s="166"/>
      <c r="Q638" s="167"/>
      <c r="R638" s="111"/>
    </row>
    <row r="639" spans="1:18" ht="13.5" customHeight="1">
      <c r="A639" s="90">
        <v>633</v>
      </c>
      <c r="B639" s="24">
        <f>DATE('1.연간시수표'!$U$44,'1.연간시수표'!$X$44,'1.연간시수표'!$Z$44)+QUOTIENT(ROW(A633)-1,8)+(QUOTIENT(ROW(A633)-1,40)*2)</f>
        <v>44908</v>
      </c>
      <c r="C639" s="24" t="str">
        <f t="shared" si="27"/>
        <v>화</v>
      </c>
      <c r="D639" s="116" t="str">
        <f t="shared" si="28"/>
        <v>1교시</v>
      </c>
      <c r="E639" s="68">
        <f>COUNTIF($H$7:$H639,$H639)</f>
        <v>79</v>
      </c>
      <c r="F639" s="67">
        <f>'1.연간시수표'!$AL$33</f>
        <v>5</v>
      </c>
      <c r="G639" s="115">
        <f t="shared" si="29"/>
        <v>2</v>
      </c>
      <c r="H639" s="41" t="str">
        <f>INDEX('0.시간표데이터'!$E$52:$AR$78,QUOTIENT(ROW(A633)-1,40)+1,MOD(ROW(A633)-1,40)+1)</f>
        <v>국어</v>
      </c>
      <c r="I639" s="77"/>
      <c r="J639" s="26"/>
      <c r="K639" s="180"/>
      <c r="L639" s="180"/>
      <c r="M639" s="10"/>
      <c r="N639" s="10"/>
      <c r="O639" s="10"/>
      <c r="P639" s="10"/>
      <c r="Q639" s="164"/>
      <c r="R639" s="110"/>
    </row>
    <row r="640" spans="1:18" ht="13.5" customHeight="1">
      <c r="A640" s="90">
        <v>634</v>
      </c>
      <c r="B640" s="24">
        <f>DATE('1.연간시수표'!$U$44,'1.연간시수표'!$X$44,'1.연간시수표'!$Z$44)+QUOTIENT(ROW(A634)-1,8)+(QUOTIENT(ROW(A634)-1,40)*2)</f>
        <v>44908</v>
      </c>
      <c r="C640" s="24" t="str">
        <f t="shared" si="27"/>
        <v>화</v>
      </c>
      <c r="D640" s="116" t="str">
        <f t="shared" si="28"/>
        <v>2교시</v>
      </c>
      <c r="E640" s="68">
        <f>COUNTIF($H$7:$H640,$H640)</f>
        <v>32</v>
      </c>
      <c r="F640" s="67">
        <f>'1.연간시수표'!$AL$33</f>
        <v>5</v>
      </c>
      <c r="G640" s="115">
        <f t="shared" si="29"/>
        <v>2</v>
      </c>
      <c r="H640" s="41" t="str">
        <f>INDEX('0.시간표데이터'!$E$52:$AR$78,QUOTIENT(ROW(A634)-1,40)+1,MOD(ROW(A634)-1,40)+1)</f>
        <v>체육</v>
      </c>
      <c r="I640" s="77"/>
      <c r="J640" s="26"/>
      <c r="K640" s="180"/>
      <c r="L640" s="180"/>
      <c r="M640" s="10"/>
      <c r="N640" s="10"/>
      <c r="O640" s="10"/>
      <c r="P640" s="10"/>
      <c r="Q640" s="164"/>
      <c r="R640" s="110"/>
    </row>
    <row r="641" spans="1:18" ht="13.5" customHeight="1">
      <c r="A641" s="90">
        <v>635</v>
      </c>
      <c r="B641" s="24">
        <f>DATE('1.연간시수표'!$U$44,'1.연간시수표'!$X$44,'1.연간시수표'!$Z$44)+QUOTIENT(ROW(A635)-1,8)+(QUOTIENT(ROW(A635)-1,40)*2)</f>
        <v>44908</v>
      </c>
      <c r="C641" s="24" t="str">
        <f t="shared" si="27"/>
        <v>화</v>
      </c>
      <c r="D641" s="116" t="str">
        <f t="shared" si="28"/>
        <v>3교시</v>
      </c>
      <c r="E641" s="68">
        <f>COUNTIF($H$7:$H641,$H641)</f>
        <v>52</v>
      </c>
      <c r="F641" s="67">
        <f>'1.연간시수표'!$AL$33</f>
        <v>5</v>
      </c>
      <c r="G641" s="115">
        <f t="shared" si="29"/>
        <v>2</v>
      </c>
      <c r="H641" s="41" t="str">
        <f>INDEX('0.시간표데이터'!$E$52:$AR$78,QUOTIENT(ROW(A635)-1,40)+1,MOD(ROW(A635)-1,40)+1)</f>
        <v>수학</v>
      </c>
      <c r="I641" s="77"/>
      <c r="J641" s="26"/>
      <c r="K641" s="180"/>
      <c r="L641" s="180"/>
      <c r="M641" s="10"/>
      <c r="N641" s="10"/>
      <c r="O641" s="10"/>
      <c r="P641" s="10"/>
      <c r="Q641" s="164"/>
      <c r="R641" s="110"/>
    </row>
    <row r="642" spans="1:18" ht="13.5" customHeight="1">
      <c r="A642" s="90">
        <v>636</v>
      </c>
      <c r="B642" s="24">
        <f>DATE('1.연간시수표'!$U$44,'1.연간시수표'!$X$44,'1.연간시수표'!$Z$44)+QUOTIENT(ROW(A636)-1,8)+(QUOTIENT(ROW(A636)-1,40)*2)</f>
        <v>44908</v>
      </c>
      <c r="C642" s="24" t="str">
        <f t="shared" si="27"/>
        <v>화</v>
      </c>
      <c r="D642" s="116" t="str">
        <f t="shared" si="28"/>
        <v>4교시</v>
      </c>
      <c r="E642" s="68">
        <f>COUNTIF($H$7:$H642,$H642)</f>
        <v>80</v>
      </c>
      <c r="F642" s="67">
        <f>'1.연간시수표'!$AL$33</f>
        <v>5</v>
      </c>
      <c r="G642" s="115">
        <f t="shared" si="29"/>
        <v>2</v>
      </c>
      <c r="H642" s="41" t="str">
        <f>INDEX('0.시간표데이터'!$E$52:$AR$78,QUOTIENT(ROW(A636)-1,40)+1,MOD(ROW(A636)-1,40)+1)</f>
        <v>국어</v>
      </c>
      <c r="I642" s="77"/>
      <c r="J642" s="26"/>
      <c r="K642" s="180"/>
      <c r="L642" s="180"/>
      <c r="M642" s="10"/>
      <c r="N642" s="10"/>
      <c r="O642" s="10"/>
      <c r="P642" s="10"/>
      <c r="Q642" s="164"/>
      <c r="R642" s="110"/>
    </row>
    <row r="643" spans="1:18" ht="13.5" customHeight="1">
      <c r="A643" s="90">
        <v>637</v>
      </c>
      <c r="B643" s="24">
        <f>DATE('1.연간시수표'!$U$44,'1.연간시수표'!$X$44,'1.연간시수표'!$Z$44)+QUOTIENT(ROW(A637)-1,8)+(QUOTIENT(ROW(A637)-1,40)*2)</f>
        <v>44908</v>
      </c>
      <c r="C643" s="24" t="str">
        <f t="shared" si="27"/>
        <v>화</v>
      </c>
      <c r="D643" s="116" t="str">
        <f t="shared" si="28"/>
        <v>5교시</v>
      </c>
      <c r="E643" s="68">
        <f>COUNTIF($H$7:$H643,$H643)</f>
        <v>43</v>
      </c>
      <c r="F643" s="67">
        <f>'1.연간시수표'!$AL$33</f>
        <v>5</v>
      </c>
      <c r="G643" s="115">
        <f t="shared" si="29"/>
        <v>2</v>
      </c>
      <c r="H643" s="41" t="str">
        <f>INDEX('0.시간표데이터'!$E$52:$AR$78,QUOTIENT(ROW(A637)-1,40)+1,MOD(ROW(A637)-1,40)+1)</f>
        <v>사회</v>
      </c>
      <c r="I643" s="77"/>
      <c r="J643" s="26"/>
      <c r="K643" s="164"/>
      <c r="L643" s="164"/>
      <c r="M643" s="10"/>
      <c r="N643" s="10"/>
      <c r="O643" s="10"/>
      <c r="P643" s="10"/>
      <c r="Q643" s="164"/>
      <c r="R643" s="110"/>
    </row>
    <row r="644" spans="1:18" ht="13.5" customHeight="1">
      <c r="A644" s="90">
        <v>638</v>
      </c>
      <c r="B644" s="24">
        <f>DATE('1.연간시수표'!$U$44,'1.연간시수표'!$X$44,'1.연간시수표'!$Z$44)+QUOTIENT(ROW(A638)-1,8)+(QUOTIENT(ROW(A638)-1,40)*2)</f>
        <v>44908</v>
      </c>
      <c r="C644" s="24" t="str">
        <f t="shared" si="27"/>
        <v>화</v>
      </c>
      <c r="D644" s="116" t="str">
        <f t="shared" si="28"/>
        <v>6교시</v>
      </c>
      <c r="E644" s="68">
        <f>COUNTIF($H$7:$H644,$H644)</f>
        <v>30</v>
      </c>
      <c r="F644" s="67">
        <f>'1.연간시수표'!$AL$33</f>
        <v>5</v>
      </c>
      <c r="G644" s="115">
        <f t="shared" si="29"/>
        <v>2</v>
      </c>
      <c r="H644" s="41" t="str">
        <f>INDEX('0.시간표데이터'!$E$52:$AR$78,QUOTIENT(ROW(A638)-1,40)+1,MOD(ROW(A638)-1,40)+1)</f>
        <v>실과</v>
      </c>
      <c r="I644" s="77"/>
      <c r="J644" s="26"/>
      <c r="K644" s="167"/>
      <c r="L644" s="167"/>
      <c r="M644" s="166"/>
      <c r="N644" s="166"/>
      <c r="O644" s="166"/>
      <c r="P644" s="166"/>
      <c r="Q644" s="167"/>
      <c r="R644" s="111"/>
    </row>
    <row r="645" spans="1:18" ht="13.5" customHeight="1">
      <c r="A645" s="90">
        <v>639</v>
      </c>
      <c r="B645" s="24">
        <f>DATE('1.연간시수표'!$U$44,'1.연간시수표'!$X$44,'1.연간시수표'!$Z$44)+QUOTIENT(ROW(A639)-1,8)+(QUOTIENT(ROW(A639)-1,40)*2)</f>
        <v>44908</v>
      </c>
      <c r="C645" s="24" t="str">
        <f t="shared" si="27"/>
        <v>화</v>
      </c>
      <c r="D645" s="116" t="str">
        <f t="shared" si="28"/>
        <v>7교시</v>
      </c>
      <c r="E645" s="68">
        <f>COUNTIF($H$7:$H645,$H645)</f>
        <v>217</v>
      </c>
      <c r="F645" s="67">
        <f>'1.연간시수표'!$AL$33</f>
        <v>5</v>
      </c>
      <c r="G645" s="115">
        <f t="shared" si="29"/>
        <v>2</v>
      </c>
      <c r="H645" s="41" t="str">
        <f>INDEX('0.시간표데이터'!$E$52:$AR$78,QUOTIENT(ROW(A639)-1,40)+1,MOD(ROW(A639)-1,40)+1)</f>
        <v>_</v>
      </c>
      <c r="I645" s="76"/>
      <c r="J645" s="26"/>
      <c r="K645" s="167"/>
      <c r="L645" s="167"/>
      <c r="M645" s="166"/>
      <c r="N645" s="166"/>
      <c r="O645" s="166"/>
      <c r="P645" s="166"/>
      <c r="Q645" s="167"/>
      <c r="R645" s="111"/>
    </row>
    <row r="646" spans="1:18" ht="13.5" customHeight="1">
      <c r="A646" s="90">
        <v>640</v>
      </c>
      <c r="B646" s="24">
        <f>DATE('1.연간시수표'!$U$44,'1.연간시수표'!$X$44,'1.연간시수표'!$Z$44)+QUOTIENT(ROW(A640)-1,8)+(QUOTIENT(ROW(A640)-1,40)*2)</f>
        <v>44908</v>
      </c>
      <c r="C646" s="24" t="str">
        <f t="shared" si="27"/>
        <v>화</v>
      </c>
      <c r="D646" s="116" t="str">
        <f t="shared" si="28"/>
        <v>8교시</v>
      </c>
      <c r="E646" s="68">
        <f>COUNTIF($H$7:$H646,$H646)</f>
        <v>218</v>
      </c>
      <c r="F646" s="67">
        <f>'1.연간시수표'!$AL$33</f>
        <v>5</v>
      </c>
      <c r="G646" s="115">
        <f t="shared" si="29"/>
        <v>2</v>
      </c>
      <c r="H646" s="41" t="str">
        <f>INDEX('0.시간표데이터'!$E$52:$AR$78,QUOTIENT(ROW(A640)-1,40)+1,MOD(ROW(A640)-1,40)+1)</f>
        <v>_</v>
      </c>
      <c r="I646" s="76"/>
      <c r="J646" s="26"/>
      <c r="K646" s="167"/>
      <c r="L646" s="167"/>
      <c r="M646" s="166"/>
      <c r="N646" s="166"/>
      <c r="O646" s="166"/>
      <c r="P646" s="166"/>
      <c r="Q646" s="167"/>
      <c r="R646" s="111"/>
    </row>
    <row r="647" spans="1:18" ht="13.5" customHeight="1">
      <c r="A647" s="90">
        <v>641</v>
      </c>
      <c r="B647" s="24">
        <f>DATE('1.연간시수표'!$U$44,'1.연간시수표'!$X$44,'1.연간시수표'!$Z$44)+QUOTIENT(ROW(A641)-1,8)+(QUOTIENT(ROW(A641)-1,40)*2)</f>
        <v>44911</v>
      </c>
      <c r="C647" s="24" t="str">
        <f t="shared" ref="C647:C710" si="30">IF(WEEKDAY(B647,2)=1,"월",IF(WEEKDAY(B647,2)=2,"화",IF(WEEKDAY(B647,2)=3,"수",IF(WEEKDAY(B647,2)=4,"목",IF(WEEKDAY(B647,2)=5,"금")))))</f>
        <v>금</v>
      </c>
      <c r="D647" s="116" t="str">
        <f t="shared" ref="D647:D710" si="31">TEXT(MOD(ROW(A641)-1,8)+1,"#교시")</f>
        <v>1교시</v>
      </c>
      <c r="E647" s="68">
        <f>COUNTIF($H$7:$H647,$H647)</f>
        <v>81</v>
      </c>
      <c r="F647" s="67">
        <f>'1.연간시수표'!$AL$33</f>
        <v>5</v>
      </c>
      <c r="G647" s="115">
        <f t="shared" ref="G647:G710" si="32">$A$2</f>
        <v>2</v>
      </c>
      <c r="H647" s="41" t="str">
        <f>INDEX('0.시간표데이터'!$E$52:$AR$78,QUOTIENT(ROW(A641)-1,40)+1,MOD(ROW(A641)-1,40)+1)</f>
        <v>국어</v>
      </c>
      <c r="I647" s="77"/>
      <c r="J647" s="26"/>
      <c r="K647" s="164"/>
      <c r="L647" s="173"/>
      <c r="M647" s="10"/>
      <c r="N647" s="10"/>
      <c r="O647" s="10"/>
      <c r="P647" s="10"/>
      <c r="Q647" s="164"/>
      <c r="R647" s="110"/>
    </row>
    <row r="648" spans="1:18" ht="13.5" customHeight="1">
      <c r="A648" s="90">
        <v>642</v>
      </c>
      <c r="B648" s="24">
        <f>DATE('1.연간시수표'!$U$44,'1.연간시수표'!$X$44,'1.연간시수표'!$Z$44)+QUOTIENT(ROW(A642)-1,8)+(QUOTIENT(ROW(A642)-1,40)*2)</f>
        <v>44911</v>
      </c>
      <c r="C648" s="24" t="str">
        <f t="shared" si="30"/>
        <v>금</v>
      </c>
      <c r="D648" s="116" t="str">
        <f t="shared" si="31"/>
        <v>2교시</v>
      </c>
      <c r="E648" s="68">
        <f>COUNTIF($H$7:$H648,$H648)</f>
        <v>25</v>
      </c>
      <c r="F648" s="67">
        <f>'1.연간시수표'!$AL$33</f>
        <v>5</v>
      </c>
      <c r="G648" s="115">
        <f t="shared" si="32"/>
        <v>2</v>
      </c>
      <c r="H648" s="41" t="str">
        <f>INDEX('0.시간표데이터'!$E$52:$AR$78,QUOTIENT(ROW(A642)-1,40)+1,MOD(ROW(A642)-1,40)+1)</f>
        <v>미술</v>
      </c>
      <c r="I648" s="161"/>
      <c r="J648" s="26"/>
      <c r="K648" s="180"/>
      <c r="L648" s="180"/>
      <c r="M648" s="10"/>
      <c r="N648" s="10"/>
      <c r="O648" s="10"/>
      <c r="P648" s="10"/>
      <c r="Q648" s="164"/>
      <c r="R648" s="110"/>
    </row>
    <row r="649" spans="1:18" ht="13.5" customHeight="1">
      <c r="A649" s="90">
        <v>643</v>
      </c>
      <c r="B649" s="24">
        <f>DATE('1.연간시수표'!$U$44,'1.연간시수표'!$X$44,'1.연간시수표'!$Z$44)+QUOTIENT(ROW(A643)-1,8)+(QUOTIENT(ROW(A643)-1,40)*2)</f>
        <v>44911</v>
      </c>
      <c r="C649" s="24" t="str">
        <f t="shared" si="30"/>
        <v>금</v>
      </c>
      <c r="D649" s="116" t="str">
        <f t="shared" si="31"/>
        <v>3교시</v>
      </c>
      <c r="E649" s="68">
        <f>COUNTIF($H$7:$H649,$H649)</f>
        <v>26</v>
      </c>
      <c r="F649" s="67">
        <f>'1.연간시수표'!$AL$33</f>
        <v>5</v>
      </c>
      <c r="G649" s="115">
        <f t="shared" si="32"/>
        <v>2</v>
      </c>
      <c r="H649" s="41" t="str">
        <f>INDEX('0.시간표데이터'!$E$52:$AR$78,QUOTIENT(ROW(A643)-1,40)+1,MOD(ROW(A643)-1,40)+1)</f>
        <v>미술</v>
      </c>
      <c r="I649" s="77"/>
      <c r="J649" s="26"/>
      <c r="K649" s="180"/>
      <c r="L649" s="180"/>
      <c r="M649" s="10"/>
      <c r="N649" s="10"/>
      <c r="O649" s="10"/>
      <c r="P649" s="10"/>
      <c r="Q649" s="164"/>
      <c r="R649" s="110"/>
    </row>
    <row r="650" spans="1:18" ht="13.5" customHeight="1">
      <c r="A650" s="90">
        <v>644</v>
      </c>
      <c r="B650" s="24">
        <f>DATE('1.연간시수표'!$U$44,'1.연간시수표'!$X$44,'1.연간시수표'!$Z$44)+QUOTIENT(ROW(A644)-1,8)+(QUOTIENT(ROW(A644)-1,40)*2)</f>
        <v>44911</v>
      </c>
      <c r="C650" s="24" t="str">
        <f t="shared" si="30"/>
        <v>금</v>
      </c>
      <c r="D650" s="116" t="str">
        <f t="shared" si="31"/>
        <v>4교시</v>
      </c>
      <c r="E650" s="68">
        <f>COUNTIF($H$7:$H650,$H650)</f>
        <v>43</v>
      </c>
      <c r="F650" s="67">
        <f>'1.연간시수표'!$AL$33</f>
        <v>5</v>
      </c>
      <c r="G650" s="115">
        <f t="shared" si="32"/>
        <v>2</v>
      </c>
      <c r="H650" s="41" t="str">
        <f>INDEX('0.시간표데이터'!$E$52:$AR$78,QUOTIENT(ROW(A644)-1,40)+1,MOD(ROW(A644)-1,40)+1)</f>
        <v>영어</v>
      </c>
      <c r="I650" s="77"/>
      <c r="J650" s="26"/>
      <c r="K650" s="180"/>
      <c r="L650" s="180"/>
      <c r="M650" s="10"/>
      <c r="N650" s="10"/>
      <c r="O650" s="10"/>
      <c r="P650" s="10"/>
      <c r="Q650" s="164"/>
      <c r="R650" s="110"/>
    </row>
    <row r="651" spans="1:18" ht="13.5" customHeight="1">
      <c r="A651" s="90">
        <v>645</v>
      </c>
      <c r="B651" s="24">
        <f>DATE('1.연간시수표'!$U$44,'1.연간시수표'!$X$44,'1.연간시수표'!$Z$44)+QUOTIENT(ROW(A645)-1,8)+(QUOTIENT(ROW(A645)-1,40)*2)</f>
        <v>44911</v>
      </c>
      <c r="C651" s="24" t="str">
        <f t="shared" si="30"/>
        <v>금</v>
      </c>
      <c r="D651" s="116" t="str">
        <f t="shared" si="31"/>
        <v>5교시</v>
      </c>
      <c r="E651" s="68">
        <f>COUNTIF($H$7:$H651,$H651)</f>
        <v>53</v>
      </c>
      <c r="F651" s="67">
        <f>'1.연간시수표'!$AL$33</f>
        <v>5</v>
      </c>
      <c r="G651" s="115">
        <f t="shared" si="32"/>
        <v>2</v>
      </c>
      <c r="H651" s="41" t="str">
        <f>INDEX('0.시간표데이터'!$E$52:$AR$78,QUOTIENT(ROW(A645)-1,40)+1,MOD(ROW(A645)-1,40)+1)</f>
        <v>수학</v>
      </c>
      <c r="I651" s="77"/>
      <c r="J651" s="26"/>
      <c r="K651" s="180"/>
      <c r="L651" s="180"/>
      <c r="M651" s="10"/>
      <c r="N651" s="10"/>
      <c r="O651" s="10"/>
      <c r="P651" s="10"/>
      <c r="Q651" s="164"/>
      <c r="R651" s="110"/>
    </row>
    <row r="652" spans="1:18" ht="13.5" customHeight="1">
      <c r="A652" s="90">
        <v>646</v>
      </c>
      <c r="B652" s="24">
        <f>DATE('1.연간시수표'!$U$44,'1.연간시수표'!$X$44,'1.연간시수표'!$Z$44)+QUOTIENT(ROW(A646)-1,8)+(QUOTIENT(ROW(A646)-1,40)*2)</f>
        <v>44911</v>
      </c>
      <c r="C652" s="24" t="str">
        <f t="shared" si="30"/>
        <v>금</v>
      </c>
      <c r="D652" s="116" t="str">
        <f t="shared" si="31"/>
        <v>6교시</v>
      </c>
      <c r="E652" s="68">
        <f>COUNTIF($H$7:$H652,$H652)</f>
        <v>24</v>
      </c>
      <c r="F652" s="67">
        <f>'1.연간시수표'!$AL$33</f>
        <v>5</v>
      </c>
      <c r="G652" s="115">
        <f t="shared" si="32"/>
        <v>2</v>
      </c>
      <c r="H652" s="41" t="str">
        <f>INDEX('0.시간표데이터'!$E$52:$AR$78,QUOTIENT(ROW(A646)-1,40)+1,MOD(ROW(A646)-1,40)+1)</f>
        <v>자율활동</v>
      </c>
      <c r="I652" s="77"/>
      <c r="J652" s="26"/>
      <c r="K652" s="167"/>
      <c r="L652" s="167"/>
      <c r="M652" s="166"/>
      <c r="N652" s="166"/>
      <c r="O652" s="166"/>
      <c r="P652" s="166"/>
      <c r="Q652" s="167"/>
      <c r="R652" s="111"/>
    </row>
    <row r="653" spans="1:18" ht="13.5" customHeight="1">
      <c r="A653" s="90">
        <v>647</v>
      </c>
      <c r="B653" s="24">
        <f>DATE('1.연간시수표'!$U$44,'1.연간시수표'!$X$44,'1.연간시수표'!$Z$44)+QUOTIENT(ROW(A647)-1,8)+(QUOTIENT(ROW(A647)-1,40)*2)</f>
        <v>44911</v>
      </c>
      <c r="C653" s="24" t="str">
        <f t="shared" si="30"/>
        <v>금</v>
      </c>
      <c r="D653" s="116" t="str">
        <f t="shared" si="31"/>
        <v>7교시</v>
      </c>
      <c r="E653" s="68">
        <f>COUNTIF($H$7:$H653,$H653)</f>
        <v>219</v>
      </c>
      <c r="F653" s="67">
        <f>'1.연간시수표'!$AL$33</f>
        <v>5</v>
      </c>
      <c r="G653" s="115">
        <f t="shared" si="32"/>
        <v>2</v>
      </c>
      <c r="H653" s="41" t="str">
        <f>INDEX('0.시간표데이터'!$E$52:$AR$78,QUOTIENT(ROW(A647)-1,40)+1,MOD(ROW(A647)-1,40)+1)</f>
        <v>_</v>
      </c>
      <c r="I653" s="76"/>
      <c r="J653" s="26"/>
      <c r="K653" s="167"/>
      <c r="L653" s="167"/>
      <c r="M653" s="166"/>
      <c r="N653" s="166"/>
      <c r="O653" s="166"/>
      <c r="P653" s="166"/>
      <c r="Q653" s="167"/>
      <c r="R653" s="111"/>
    </row>
    <row r="654" spans="1:18" ht="13.5" customHeight="1">
      <c r="A654" s="90">
        <v>648</v>
      </c>
      <c r="B654" s="24">
        <f>DATE('1.연간시수표'!$U$44,'1.연간시수표'!$X$44,'1.연간시수표'!$Z$44)+QUOTIENT(ROW(A648)-1,8)+(QUOTIENT(ROW(A648)-1,40)*2)</f>
        <v>44911</v>
      </c>
      <c r="C654" s="24" t="str">
        <f t="shared" si="30"/>
        <v>금</v>
      </c>
      <c r="D654" s="116" t="str">
        <f t="shared" si="31"/>
        <v>8교시</v>
      </c>
      <c r="E654" s="68">
        <f>COUNTIF($H$7:$H654,$H654)</f>
        <v>220</v>
      </c>
      <c r="F654" s="67">
        <f>'1.연간시수표'!$AL$33</f>
        <v>5</v>
      </c>
      <c r="G654" s="115">
        <f t="shared" si="32"/>
        <v>2</v>
      </c>
      <c r="H654" s="41" t="str">
        <f>INDEX('0.시간표데이터'!$E$52:$AR$78,QUOTIENT(ROW(A648)-1,40)+1,MOD(ROW(A648)-1,40)+1)</f>
        <v>_</v>
      </c>
      <c r="I654" s="76"/>
      <c r="J654" s="26"/>
      <c r="K654" s="167"/>
      <c r="L654" s="167"/>
      <c r="M654" s="166"/>
      <c r="N654" s="166"/>
      <c r="O654" s="166"/>
      <c r="P654" s="166"/>
      <c r="Q654" s="167"/>
      <c r="R654" s="111"/>
    </row>
    <row r="655" spans="1:18" ht="13.5" customHeight="1">
      <c r="A655" s="90">
        <v>649</v>
      </c>
      <c r="B655" s="24">
        <f>DATE('1.연간시수표'!$U$44,'1.연간시수표'!$X$44,'1.연간시수표'!$Z$44)+QUOTIENT(ROW(A649)-1,8)+(QUOTIENT(ROW(A649)-1,40)*2)</f>
        <v>44912</v>
      </c>
      <c r="C655" s="24" t="b">
        <f t="shared" si="30"/>
        <v>0</v>
      </c>
      <c r="D655" s="116" t="str">
        <f t="shared" si="31"/>
        <v>1교시</v>
      </c>
      <c r="E655" s="68">
        <f>COUNTIF($H$7:$H655,$H655)</f>
        <v>82</v>
      </c>
      <c r="F655" s="67">
        <f>'1.연간시수표'!$AL$33</f>
        <v>5</v>
      </c>
      <c r="G655" s="115">
        <f t="shared" si="32"/>
        <v>2</v>
      </c>
      <c r="H655" s="41" t="str">
        <f>INDEX('0.시간표데이터'!$E$52:$AR$78,QUOTIENT(ROW(A649)-1,40)+1,MOD(ROW(A649)-1,40)+1)</f>
        <v>국어</v>
      </c>
      <c r="I655" s="77"/>
      <c r="J655" s="26"/>
      <c r="K655" s="167"/>
      <c r="L655" s="167"/>
      <c r="M655" s="166"/>
      <c r="N655" s="166"/>
      <c r="O655" s="10"/>
      <c r="P655" s="10"/>
      <c r="Q655" s="164"/>
      <c r="R655" s="110"/>
    </row>
    <row r="656" spans="1:18" ht="13.5" customHeight="1">
      <c r="A656" s="90">
        <v>650</v>
      </c>
      <c r="B656" s="24">
        <f>DATE('1.연간시수표'!$U$44,'1.연간시수표'!$X$44,'1.연간시수표'!$Z$44)+QUOTIENT(ROW(A650)-1,8)+(QUOTIENT(ROW(A650)-1,40)*2)</f>
        <v>44912</v>
      </c>
      <c r="C656" s="24" t="b">
        <f t="shared" si="30"/>
        <v>0</v>
      </c>
      <c r="D656" s="116" t="str">
        <f t="shared" si="31"/>
        <v>2교시</v>
      </c>
      <c r="E656" s="68">
        <f>COUNTIF($H$7:$H656,$H656)</f>
        <v>83</v>
      </c>
      <c r="F656" s="67">
        <f>'1.연간시수표'!$AL$33</f>
        <v>5</v>
      </c>
      <c r="G656" s="115">
        <f t="shared" si="32"/>
        <v>2</v>
      </c>
      <c r="H656" s="41" t="str">
        <f>INDEX('0.시간표데이터'!$E$52:$AR$78,QUOTIENT(ROW(A650)-1,40)+1,MOD(ROW(A650)-1,40)+1)</f>
        <v>국어</v>
      </c>
      <c r="I656" s="161"/>
      <c r="J656" s="26"/>
      <c r="K656" s="180"/>
      <c r="L656" s="180"/>
      <c r="M656" s="10"/>
      <c r="N656" s="10"/>
      <c r="O656" s="10"/>
      <c r="P656" s="10"/>
      <c r="Q656" s="164"/>
      <c r="R656" s="110"/>
    </row>
    <row r="657" spans="1:18" ht="13.5" customHeight="1">
      <c r="A657" s="90">
        <v>651</v>
      </c>
      <c r="B657" s="24">
        <f>DATE('1.연간시수표'!$U$44,'1.연간시수표'!$X$44,'1.연간시수표'!$Z$44)+QUOTIENT(ROW(A651)-1,8)+(QUOTIENT(ROW(A651)-1,40)*2)</f>
        <v>44912</v>
      </c>
      <c r="C657" s="24" t="b">
        <f t="shared" si="30"/>
        <v>0</v>
      </c>
      <c r="D657" s="116" t="str">
        <f t="shared" si="31"/>
        <v>3교시</v>
      </c>
      <c r="E657" s="68">
        <f>COUNTIF($H$7:$H657,$H657)</f>
        <v>44</v>
      </c>
      <c r="F657" s="67">
        <f>'1.연간시수표'!$AL$33</f>
        <v>5</v>
      </c>
      <c r="G657" s="115">
        <f t="shared" si="32"/>
        <v>2</v>
      </c>
      <c r="H657" s="41" t="str">
        <f>INDEX('0.시간표데이터'!$E$52:$AR$78,QUOTIENT(ROW(A651)-1,40)+1,MOD(ROW(A651)-1,40)+1)</f>
        <v>사회</v>
      </c>
      <c r="I657" s="77"/>
      <c r="J657" s="26"/>
      <c r="K657" s="164"/>
      <c r="L657" s="164"/>
      <c r="M657" s="10"/>
      <c r="N657" s="10"/>
      <c r="O657" s="10"/>
      <c r="P657" s="10"/>
      <c r="Q657" s="164"/>
      <c r="R657" s="110"/>
    </row>
    <row r="658" spans="1:18" ht="13.5" customHeight="1">
      <c r="A658" s="90">
        <v>652</v>
      </c>
      <c r="B658" s="24">
        <f>DATE('1.연간시수표'!$U$44,'1.연간시수표'!$X$44,'1.연간시수표'!$Z$44)+QUOTIENT(ROW(A652)-1,8)+(QUOTIENT(ROW(A652)-1,40)*2)</f>
        <v>44912</v>
      </c>
      <c r="C658" s="24" t="b">
        <f t="shared" si="30"/>
        <v>0</v>
      </c>
      <c r="D658" s="116" t="str">
        <f t="shared" si="31"/>
        <v>4교시</v>
      </c>
      <c r="E658" s="68">
        <f>COUNTIF($H$7:$H658,$H658)</f>
        <v>54</v>
      </c>
      <c r="F658" s="67">
        <f>'1.연간시수표'!$AL$33</f>
        <v>5</v>
      </c>
      <c r="G658" s="115">
        <f t="shared" si="32"/>
        <v>2</v>
      </c>
      <c r="H658" s="41" t="str">
        <f>INDEX('0.시간표데이터'!$E$52:$AR$78,QUOTIENT(ROW(A652)-1,40)+1,MOD(ROW(A652)-1,40)+1)</f>
        <v>수학</v>
      </c>
      <c r="I658" s="77"/>
      <c r="J658" s="26"/>
      <c r="K658" s="180"/>
      <c r="L658" s="180"/>
      <c r="M658" s="10"/>
      <c r="N658" s="10"/>
      <c r="O658" s="10"/>
      <c r="P658" s="10"/>
      <c r="Q658" s="164"/>
      <c r="R658" s="110"/>
    </row>
    <row r="659" spans="1:18" ht="13.5" customHeight="1">
      <c r="A659" s="90">
        <v>653</v>
      </c>
      <c r="B659" s="24">
        <f>DATE('1.연간시수표'!$U$44,'1.연간시수표'!$X$44,'1.연간시수표'!$Z$44)+QUOTIENT(ROW(A653)-1,8)+(QUOTIENT(ROW(A653)-1,40)*2)</f>
        <v>44912</v>
      </c>
      <c r="C659" s="24" t="b">
        <f t="shared" si="30"/>
        <v>0</v>
      </c>
      <c r="D659" s="116" t="str">
        <f t="shared" si="31"/>
        <v>5교시</v>
      </c>
      <c r="E659" s="68">
        <f>COUNTIF($H$7:$H659,$H659)</f>
        <v>41</v>
      </c>
      <c r="F659" s="67">
        <f>'1.연간시수표'!$AL$33</f>
        <v>5</v>
      </c>
      <c r="G659" s="115">
        <f t="shared" si="32"/>
        <v>2</v>
      </c>
      <c r="H659" s="41" t="str">
        <f>INDEX('0.시간표데이터'!$E$52:$AR$78,QUOTIENT(ROW(A653)-1,40)+1,MOD(ROW(A653)-1,40)+1)</f>
        <v>과학</v>
      </c>
      <c r="I659" s="77"/>
      <c r="J659" s="26"/>
      <c r="K659" s="180"/>
      <c r="L659" s="180"/>
      <c r="M659" s="10"/>
      <c r="N659" s="10"/>
      <c r="O659" s="10"/>
      <c r="P659" s="10"/>
      <c r="Q659" s="164"/>
      <c r="R659" s="110"/>
    </row>
    <row r="660" spans="1:18" ht="13.5" customHeight="1">
      <c r="A660" s="90">
        <v>654</v>
      </c>
      <c r="B660" s="24">
        <f>DATE('1.연간시수표'!$U$44,'1.연간시수표'!$X$44,'1.연간시수표'!$Z$44)+QUOTIENT(ROW(A654)-1,8)+(QUOTIENT(ROW(A654)-1,40)*2)</f>
        <v>44912</v>
      </c>
      <c r="C660" s="24" t="b">
        <f t="shared" si="30"/>
        <v>0</v>
      </c>
      <c r="D660" s="116" t="str">
        <f t="shared" si="31"/>
        <v>6교시</v>
      </c>
      <c r="E660" s="68">
        <f>COUNTIF($H$7:$H660,$H660)</f>
        <v>31</v>
      </c>
      <c r="F660" s="67">
        <f>'1.연간시수표'!$AL$33</f>
        <v>5</v>
      </c>
      <c r="G660" s="115">
        <f t="shared" si="32"/>
        <v>2</v>
      </c>
      <c r="H660" s="41" t="str">
        <f>INDEX('0.시간표데이터'!$E$52:$AR$78,QUOTIENT(ROW(A654)-1,40)+1,MOD(ROW(A654)-1,40)+1)</f>
        <v>실과</v>
      </c>
      <c r="I660" s="77"/>
      <c r="J660" s="26"/>
      <c r="K660" s="167"/>
      <c r="L660" s="167"/>
      <c r="M660" s="166"/>
      <c r="N660" s="166"/>
      <c r="O660" s="166"/>
      <c r="P660" s="166"/>
      <c r="Q660" s="167"/>
      <c r="R660" s="111"/>
    </row>
    <row r="661" spans="1:18" ht="13.5" customHeight="1">
      <c r="A661" s="90">
        <v>655</v>
      </c>
      <c r="B661" s="24">
        <f>DATE('1.연간시수표'!$U$44,'1.연간시수표'!$X$44,'1.연간시수표'!$Z$44)+QUOTIENT(ROW(A655)-1,8)+(QUOTIENT(ROW(A655)-1,40)*2)</f>
        <v>44912</v>
      </c>
      <c r="C661" s="24" t="b">
        <f t="shared" si="30"/>
        <v>0</v>
      </c>
      <c r="D661" s="116" t="str">
        <f t="shared" si="31"/>
        <v>7교시</v>
      </c>
      <c r="E661" s="68">
        <f>COUNTIF($H$7:$H661,$H661)</f>
        <v>221</v>
      </c>
      <c r="F661" s="67">
        <f>'1.연간시수표'!$AL$33</f>
        <v>5</v>
      </c>
      <c r="G661" s="115">
        <f t="shared" si="32"/>
        <v>2</v>
      </c>
      <c r="H661" s="41" t="str">
        <f>INDEX('0.시간표데이터'!$E$52:$AR$78,QUOTIENT(ROW(A655)-1,40)+1,MOD(ROW(A655)-1,40)+1)</f>
        <v>_</v>
      </c>
      <c r="I661" s="76"/>
      <c r="J661" s="26"/>
      <c r="K661" s="167"/>
      <c r="L661" s="167"/>
      <c r="M661" s="166"/>
      <c r="N661" s="166"/>
      <c r="O661" s="166"/>
      <c r="P661" s="166"/>
      <c r="Q661" s="167"/>
      <c r="R661" s="111"/>
    </row>
    <row r="662" spans="1:18" ht="13.5" customHeight="1">
      <c r="A662" s="90">
        <v>656</v>
      </c>
      <c r="B662" s="24">
        <f>DATE('1.연간시수표'!$U$44,'1.연간시수표'!$X$44,'1.연간시수표'!$Z$44)+QUOTIENT(ROW(A656)-1,8)+(QUOTIENT(ROW(A656)-1,40)*2)</f>
        <v>44912</v>
      </c>
      <c r="C662" s="24" t="b">
        <f t="shared" si="30"/>
        <v>0</v>
      </c>
      <c r="D662" s="116" t="str">
        <f t="shared" si="31"/>
        <v>8교시</v>
      </c>
      <c r="E662" s="68">
        <f>COUNTIF($H$7:$H662,$H662)</f>
        <v>222</v>
      </c>
      <c r="F662" s="67">
        <f>'1.연간시수표'!$AL$33</f>
        <v>5</v>
      </c>
      <c r="G662" s="115">
        <f t="shared" si="32"/>
        <v>2</v>
      </c>
      <c r="H662" s="41" t="str">
        <f>INDEX('0.시간표데이터'!$E$52:$AR$78,QUOTIENT(ROW(A656)-1,40)+1,MOD(ROW(A656)-1,40)+1)</f>
        <v>_</v>
      </c>
      <c r="I662" s="76"/>
      <c r="J662" s="26"/>
      <c r="K662" s="167"/>
      <c r="L662" s="167"/>
      <c r="M662" s="166"/>
      <c r="N662" s="166"/>
      <c r="O662" s="166"/>
      <c r="P662" s="166"/>
      <c r="Q662" s="167"/>
      <c r="R662" s="111"/>
    </row>
    <row r="663" spans="1:18" ht="13.5" customHeight="1">
      <c r="A663" s="90">
        <v>657</v>
      </c>
      <c r="B663" s="24">
        <f>DATE('1.연간시수표'!$U$44,'1.연간시수표'!$X$44,'1.연간시수표'!$Z$44)+QUOTIENT(ROW(A657)-1,8)+(QUOTIENT(ROW(A657)-1,40)*2)</f>
        <v>44913</v>
      </c>
      <c r="C663" s="24" t="b">
        <f t="shared" si="30"/>
        <v>0</v>
      </c>
      <c r="D663" s="116" t="str">
        <f t="shared" si="31"/>
        <v>1교시</v>
      </c>
      <c r="E663" s="68">
        <f>COUNTIF($H$7:$H663,$H663)</f>
        <v>44</v>
      </c>
      <c r="F663" s="67">
        <f>'1.연간시수표'!$AL$33</f>
        <v>5</v>
      </c>
      <c r="G663" s="115">
        <f t="shared" si="32"/>
        <v>2</v>
      </c>
      <c r="H663" s="41" t="str">
        <f>INDEX('0.시간표데이터'!$E$52:$AR$78,QUOTIENT(ROW(A657)-1,40)+1,MOD(ROW(A657)-1,40)+1)</f>
        <v>영어</v>
      </c>
      <c r="I663" s="77"/>
      <c r="J663" s="26"/>
      <c r="K663" s="180"/>
      <c r="L663" s="180"/>
      <c r="M663" s="10"/>
      <c r="N663" s="10"/>
      <c r="O663" s="10"/>
      <c r="P663" s="10"/>
      <c r="Q663" s="164"/>
      <c r="R663" s="110"/>
    </row>
    <row r="664" spans="1:18" ht="13.5" customHeight="1">
      <c r="A664" s="90">
        <v>658</v>
      </c>
      <c r="B664" s="24">
        <f>DATE('1.연간시수표'!$U$44,'1.연간시수표'!$X$44,'1.연간시수표'!$Z$44)+QUOTIENT(ROW(A658)-1,8)+(QUOTIENT(ROW(A658)-1,40)*2)</f>
        <v>44913</v>
      </c>
      <c r="C664" s="24" t="b">
        <f t="shared" si="30"/>
        <v>0</v>
      </c>
      <c r="D664" s="116" t="str">
        <f t="shared" si="31"/>
        <v>2교시</v>
      </c>
      <c r="E664" s="68">
        <f>COUNTIF($H$7:$H664,$H664)</f>
        <v>42</v>
      </c>
      <c r="F664" s="67">
        <f>'1.연간시수표'!$AL$33</f>
        <v>5</v>
      </c>
      <c r="G664" s="115">
        <f t="shared" si="32"/>
        <v>2</v>
      </c>
      <c r="H664" s="41" t="str">
        <f>INDEX('0.시간표데이터'!$E$52:$AR$78,QUOTIENT(ROW(A658)-1,40)+1,MOD(ROW(A658)-1,40)+1)</f>
        <v>과학</v>
      </c>
      <c r="I664" s="77"/>
      <c r="J664" s="26"/>
      <c r="K664" s="180"/>
      <c r="L664" s="180"/>
      <c r="M664" s="10"/>
      <c r="N664" s="10"/>
      <c r="O664" s="10"/>
      <c r="P664" s="10"/>
      <c r="Q664" s="164"/>
      <c r="R664" s="110"/>
    </row>
    <row r="665" spans="1:18" ht="13.5" customHeight="1">
      <c r="A665" s="90">
        <v>659</v>
      </c>
      <c r="B665" s="24">
        <f>DATE('1.연간시수표'!$U$44,'1.연간시수표'!$X$44,'1.연간시수표'!$Z$44)+QUOTIENT(ROW(A659)-1,8)+(QUOTIENT(ROW(A659)-1,40)*2)</f>
        <v>44913</v>
      </c>
      <c r="C665" s="24" t="b">
        <f t="shared" si="30"/>
        <v>0</v>
      </c>
      <c r="D665" s="116" t="str">
        <f t="shared" si="31"/>
        <v>3교시</v>
      </c>
      <c r="E665" s="68">
        <f>COUNTIF($H$7:$H665,$H665)</f>
        <v>33</v>
      </c>
      <c r="F665" s="67">
        <f>'1.연간시수표'!$AL$33</f>
        <v>5</v>
      </c>
      <c r="G665" s="115">
        <f t="shared" si="32"/>
        <v>2</v>
      </c>
      <c r="H665" s="41" t="str">
        <f>INDEX('0.시간표데이터'!$E$52:$AR$78,QUOTIENT(ROW(A659)-1,40)+1,MOD(ROW(A659)-1,40)+1)</f>
        <v>체육</v>
      </c>
      <c r="I665" s="77"/>
      <c r="J665" s="26"/>
      <c r="K665" s="180"/>
      <c r="L665" s="180"/>
      <c r="M665" s="10"/>
      <c r="N665" s="10"/>
      <c r="O665" s="10"/>
      <c r="P665" s="10"/>
      <c r="Q665" s="164"/>
      <c r="R665" s="110"/>
    </row>
    <row r="666" spans="1:18" ht="13.5" customHeight="1">
      <c r="A666" s="90">
        <v>660</v>
      </c>
      <c r="B666" s="24">
        <f>DATE('1.연간시수표'!$U$44,'1.연간시수표'!$X$44,'1.연간시수표'!$Z$44)+QUOTIENT(ROW(A660)-1,8)+(QUOTIENT(ROW(A660)-1,40)*2)</f>
        <v>44913</v>
      </c>
      <c r="C666" s="24" t="b">
        <f t="shared" si="30"/>
        <v>0</v>
      </c>
      <c r="D666" s="116" t="str">
        <f t="shared" si="31"/>
        <v>4교시</v>
      </c>
      <c r="E666" s="68">
        <f>COUNTIF($H$7:$H666,$H666)</f>
        <v>26</v>
      </c>
      <c r="F666" s="67">
        <f>'1.연간시수표'!$AL$33</f>
        <v>5</v>
      </c>
      <c r="G666" s="115">
        <f t="shared" si="32"/>
        <v>2</v>
      </c>
      <c r="H666" s="41" t="str">
        <f>INDEX('0.시간표데이터'!$E$52:$AR$78,QUOTIENT(ROW(A660)-1,40)+1,MOD(ROW(A660)-1,40)+1)</f>
        <v>음악</v>
      </c>
      <c r="I666" s="77"/>
      <c r="J666" s="26"/>
      <c r="K666" s="180"/>
      <c r="L666" s="180"/>
      <c r="M666" s="10"/>
      <c r="N666" s="10"/>
      <c r="O666" s="10"/>
      <c r="P666" s="10"/>
      <c r="Q666" s="164"/>
      <c r="R666" s="110"/>
    </row>
    <row r="667" spans="1:18">
      <c r="A667" s="90">
        <v>661</v>
      </c>
      <c r="B667" s="24">
        <f>DATE('1.연간시수표'!$U$44,'1.연간시수표'!$X$44,'1.연간시수표'!$Z$44)+QUOTIENT(ROW(A661)-1,8)+(QUOTIENT(ROW(A661)-1,40)*2)</f>
        <v>44913</v>
      </c>
      <c r="C667" s="24" t="b">
        <f t="shared" si="30"/>
        <v>0</v>
      </c>
      <c r="D667" s="116" t="str">
        <f t="shared" si="31"/>
        <v>5교시</v>
      </c>
      <c r="E667" s="68">
        <f>COUNTIF($H$7:$H667,$H667)</f>
        <v>16</v>
      </c>
      <c r="F667" s="67">
        <f>'1.연간시수표'!$AL$33</f>
        <v>5</v>
      </c>
      <c r="G667" s="115">
        <f t="shared" si="32"/>
        <v>2</v>
      </c>
      <c r="H667" s="41" t="str">
        <f>INDEX('0.시간표데이터'!$E$52:$AR$78,QUOTIENT(ROW(A661)-1,40)+1,MOD(ROW(A661)-1,40)+1)</f>
        <v>도덕</v>
      </c>
      <c r="I667" s="77"/>
      <c r="J667" s="26"/>
      <c r="K667" s="180"/>
      <c r="L667" s="180"/>
      <c r="M667" s="10"/>
      <c r="N667" s="10"/>
      <c r="O667" s="10"/>
      <c r="P667" s="10"/>
      <c r="Q667" s="164"/>
      <c r="R667" s="110"/>
    </row>
    <row r="668" spans="1:18">
      <c r="A668" s="90">
        <v>662</v>
      </c>
      <c r="B668" s="24">
        <f>DATE('1.연간시수표'!$U$44,'1.연간시수표'!$X$44,'1.연간시수표'!$Z$44)+QUOTIENT(ROW(A662)-1,8)+(QUOTIENT(ROW(A662)-1,40)*2)</f>
        <v>44913</v>
      </c>
      <c r="C668" s="24" t="b">
        <f t="shared" si="30"/>
        <v>0</v>
      </c>
      <c r="D668" s="116" t="str">
        <f t="shared" si="31"/>
        <v>6교시</v>
      </c>
      <c r="E668" s="68">
        <f>COUNTIF($H$7:$H668,$H668)</f>
        <v>223</v>
      </c>
      <c r="F668" s="67">
        <f>'1.연간시수표'!$AL$33</f>
        <v>5</v>
      </c>
      <c r="G668" s="115">
        <f t="shared" si="32"/>
        <v>2</v>
      </c>
      <c r="H668" s="41" t="str">
        <f>INDEX('0.시간표데이터'!$E$52:$AR$78,QUOTIENT(ROW(A662)-1,40)+1,MOD(ROW(A662)-1,40)+1)</f>
        <v>_</v>
      </c>
      <c r="I668" s="77"/>
      <c r="J668" s="26"/>
      <c r="K668" s="167"/>
      <c r="L668" s="167"/>
      <c r="M668" s="166"/>
      <c r="N668" s="166"/>
      <c r="O668" s="166"/>
      <c r="P668" s="166"/>
      <c r="Q668" s="167"/>
      <c r="R668" s="111"/>
    </row>
    <row r="669" spans="1:18">
      <c r="A669" s="90">
        <v>663</v>
      </c>
      <c r="B669" s="24">
        <f>DATE('1.연간시수표'!$U$44,'1.연간시수표'!$X$44,'1.연간시수표'!$Z$44)+QUOTIENT(ROW(A663)-1,8)+(QUOTIENT(ROW(A663)-1,40)*2)</f>
        <v>44913</v>
      </c>
      <c r="C669" s="24" t="b">
        <f t="shared" si="30"/>
        <v>0</v>
      </c>
      <c r="D669" s="116" t="str">
        <f t="shared" si="31"/>
        <v>7교시</v>
      </c>
      <c r="E669" s="68">
        <f>COUNTIF($H$7:$H669,$H669)</f>
        <v>224</v>
      </c>
      <c r="F669" s="67">
        <f>'1.연간시수표'!$AL$33</f>
        <v>5</v>
      </c>
      <c r="G669" s="115">
        <f t="shared" si="32"/>
        <v>2</v>
      </c>
      <c r="H669" s="41" t="str">
        <f>INDEX('0.시간표데이터'!$E$52:$AR$78,QUOTIENT(ROW(A663)-1,40)+1,MOD(ROW(A663)-1,40)+1)</f>
        <v>_</v>
      </c>
      <c r="I669" s="76"/>
      <c r="J669" s="26"/>
      <c r="K669" s="167"/>
      <c r="L669" s="167"/>
      <c r="M669" s="166"/>
      <c r="N669" s="166"/>
      <c r="O669" s="166"/>
      <c r="P669" s="166"/>
      <c r="Q669" s="167"/>
      <c r="R669" s="111"/>
    </row>
    <row r="670" spans="1:18">
      <c r="A670" s="90">
        <v>664</v>
      </c>
      <c r="B670" s="24">
        <f>DATE('1.연간시수표'!$U$44,'1.연간시수표'!$X$44,'1.연간시수표'!$Z$44)+QUOTIENT(ROW(A664)-1,8)+(QUOTIENT(ROW(A664)-1,40)*2)</f>
        <v>44913</v>
      </c>
      <c r="C670" s="24" t="b">
        <f t="shared" si="30"/>
        <v>0</v>
      </c>
      <c r="D670" s="116" t="str">
        <f t="shared" si="31"/>
        <v>8교시</v>
      </c>
      <c r="E670" s="68">
        <f>COUNTIF($H$7:$H670,$H670)</f>
        <v>225</v>
      </c>
      <c r="F670" s="67">
        <f>'1.연간시수표'!$AL$33</f>
        <v>5</v>
      </c>
      <c r="G670" s="115">
        <f t="shared" si="32"/>
        <v>2</v>
      </c>
      <c r="H670" s="41" t="str">
        <f>INDEX('0.시간표데이터'!$E$52:$AR$78,QUOTIENT(ROW(A664)-1,40)+1,MOD(ROW(A664)-1,40)+1)</f>
        <v>_</v>
      </c>
      <c r="I670" s="76"/>
      <c r="J670" s="26"/>
      <c r="K670" s="167"/>
      <c r="L670" s="167"/>
      <c r="M670" s="166"/>
      <c r="N670" s="166"/>
      <c r="O670" s="166"/>
      <c r="P670" s="166"/>
      <c r="Q670" s="167"/>
      <c r="R670" s="111"/>
    </row>
    <row r="671" spans="1:18">
      <c r="A671" s="90">
        <v>665</v>
      </c>
      <c r="B671" s="24">
        <f>DATE('1.연간시수표'!$U$44,'1.연간시수표'!$X$44,'1.연간시수표'!$Z$44)+QUOTIENT(ROW(A665)-1,8)+(QUOTIENT(ROW(A665)-1,40)*2)</f>
        <v>44914</v>
      </c>
      <c r="C671" s="24" t="str">
        <f t="shared" si="30"/>
        <v>월</v>
      </c>
      <c r="D671" s="116" t="str">
        <f t="shared" si="31"/>
        <v>1교시</v>
      </c>
      <c r="E671" s="68">
        <f>COUNTIF($H$7:$H671,$H671)</f>
        <v>34</v>
      </c>
      <c r="F671" s="67">
        <f>'1.연간시수표'!$AL$33</f>
        <v>5</v>
      </c>
      <c r="G671" s="115">
        <f t="shared" si="32"/>
        <v>2</v>
      </c>
      <c r="H671" s="41" t="str">
        <f>INDEX('0.시간표데이터'!$E$52:$AR$78,QUOTIENT(ROW(A665)-1,40)+1,MOD(ROW(A665)-1,40)+1)</f>
        <v>체육</v>
      </c>
      <c r="I671" s="77"/>
      <c r="J671" s="26"/>
      <c r="K671" s="180"/>
      <c r="L671" s="180"/>
      <c r="M671" s="10"/>
      <c r="N671" s="10"/>
      <c r="O671" s="10"/>
      <c r="P671" s="10"/>
      <c r="Q671" s="164"/>
      <c r="R671" s="110"/>
    </row>
    <row r="672" spans="1:18">
      <c r="A672" s="90">
        <v>666</v>
      </c>
      <c r="B672" s="24">
        <f>DATE('1.연간시수표'!$U$44,'1.연간시수표'!$X$44,'1.연간시수표'!$Z$44)+QUOTIENT(ROW(A666)-1,8)+(QUOTIENT(ROW(A666)-1,40)*2)</f>
        <v>44914</v>
      </c>
      <c r="C672" s="24" t="str">
        <f t="shared" si="30"/>
        <v>월</v>
      </c>
      <c r="D672" s="116" t="str">
        <f t="shared" si="31"/>
        <v>2교시</v>
      </c>
      <c r="E672" s="68">
        <f>COUNTIF($H$7:$H672,$H672)</f>
        <v>55</v>
      </c>
      <c r="F672" s="67">
        <f>'1.연간시수표'!$AL$33</f>
        <v>5</v>
      </c>
      <c r="G672" s="115">
        <f t="shared" si="32"/>
        <v>2</v>
      </c>
      <c r="H672" s="41" t="str">
        <f>INDEX('0.시간표데이터'!$E$52:$AR$78,QUOTIENT(ROW(A666)-1,40)+1,MOD(ROW(A666)-1,40)+1)</f>
        <v>수학</v>
      </c>
      <c r="I672" s="161"/>
      <c r="J672" s="26"/>
      <c r="K672" s="180"/>
      <c r="L672" s="180"/>
      <c r="M672" s="10"/>
      <c r="N672" s="10"/>
      <c r="O672" s="10"/>
      <c r="P672" s="10"/>
      <c r="Q672" s="164"/>
      <c r="R672" s="110"/>
    </row>
    <row r="673" spans="1:18">
      <c r="A673" s="90">
        <v>667</v>
      </c>
      <c r="B673" s="24">
        <f>DATE('1.연간시수표'!$U$44,'1.연간시수표'!$X$44,'1.연간시수표'!$Z$44)+QUOTIENT(ROW(A667)-1,8)+(QUOTIENT(ROW(A667)-1,40)*2)</f>
        <v>44914</v>
      </c>
      <c r="C673" s="24" t="str">
        <f t="shared" si="30"/>
        <v>월</v>
      </c>
      <c r="D673" s="116" t="str">
        <f t="shared" si="31"/>
        <v>3교시</v>
      </c>
      <c r="E673" s="68">
        <f>COUNTIF($H$7:$H673,$H673)</f>
        <v>35</v>
      </c>
      <c r="F673" s="67">
        <f>'1.연간시수표'!$AL$33</f>
        <v>5</v>
      </c>
      <c r="G673" s="115">
        <f t="shared" si="32"/>
        <v>2</v>
      </c>
      <c r="H673" s="41" t="str">
        <f>INDEX('0.시간표데이터'!$E$52:$AR$78,QUOTIENT(ROW(A667)-1,40)+1,MOD(ROW(A667)-1,40)+1)</f>
        <v>체육</v>
      </c>
      <c r="I673" s="77"/>
      <c r="J673" s="26"/>
      <c r="K673" s="180"/>
      <c r="L673" s="180"/>
      <c r="M673" s="10"/>
      <c r="N673" s="10"/>
      <c r="O673" s="10"/>
      <c r="P673" s="10"/>
      <c r="Q673" s="164"/>
      <c r="R673" s="110"/>
    </row>
    <row r="674" spans="1:18">
      <c r="A674" s="90">
        <v>668</v>
      </c>
      <c r="B674" s="24">
        <f>DATE('1.연간시수표'!$U$44,'1.연간시수표'!$X$44,'1.연간시수표'!$Z$44)+QUOTIENT(ROW(A668)-1,8)+(QUOTIENT(ROW(A668)-1,40)*2)</f>
        <v>44914</v>
      </c>
      <c r="C674" s="24" t="str">
        <f t="shared" si="30"/>
        <v>월</v>
      </c>
      <c r="D674" s="116" t="str">
        <f t="shared" si="31"/>
        <v>4교시</v>
      </c>
      <c r="E674" s="68">
        <f>COUNTIF($H$7:$H674,$H674)</f>
        <v>25</v>
      </c>
      <c r="F674" s="67">
        <f>'1.연간시수표'!$AL$33</f>
        <v>5</v>
      </c>
      <c r="G674" s="115">
        <f t="shared" si="32"/>
        <v>2</v>
      </c>
      <c r="H674" s="41" t="str">
        <f>INDEX('0.시간표데이터'!$E$52:$AR$78,QUOTIENT(ROW(A668)-1,40)+1,MOD(ROW(A668)-1,40)+1)</f>
        <v>자율활동</v>
      </c>
      <c r="I674" s="77"/>
      <c r="J674" s="26"/>
      <c r="K674" s="164"/>
      <c r="L674" s="164"/>
      <c r="M674" s="10"/>
      <c r="N674" s="10"/>
      <c r="O674" s="10"/>
      <c r="P674" s="10"/>
      <c r="Q674" s="164"/>
      <c r="R674" s="110"/>
    </row>
    <row r="675" spans="1:18">
      <c r="A675" s="90">
        <v>669</v>
      </c>
      <c r="B675" s="24">
        <f>DATE('1.연간시수표'!$U$44,'1.연간시수표'!$X$44,'1.연간시수표'!$Z$44)+QUOTIENT(ROW(A669)-1,8)+(QUOTIENT(ROW(A669)-1,40)*2)</f>
        <v>44914</v>
      </c>
      <c r="C675" s="24" t="str">
        <f t="shared" si="30"/>
        <v>월</v>
      </c>
      <c r="D675" s="116" t="str">
        <f t="shared" si="31"/>
        <v>5교시</v>
      </c>
      <c r="E675" s="68">
        <f>COUNTIF($H$7:$H675,$H675)</f>
        <v>43</v>
      </c>
      <c r="F675" s="67">
        <f>'1.연간시수표'!$AL$33</f>
        <v>5</v>
      </c>
      <c r="G675" s="115">
        <f t="shared" si="32"/>
        <v>2</v>
      </c>
      <c r="H675" s="41" t="str">
        <f>INDEX('0.시간표데이터'!$E$52:$AR$78,QUOTIENT(ROW(A669)-1,40)+1,MOD(ROW(A669)-1,40)+1)</f>
        <v>과학</v>
      </c>
      <c r="I675" s="77"/>
      <c r="J675" s="26"/>
      <c r="K675" s="180"/>
      <c r="L675" s="180"/>
      <c r="M675" s="10"/>
      <c r="N675" s="10"/>
      <c r="O675" s="10"/>
      <c r="P675" s="10"/>
      <c r="Q675" s="164"/>
      <c r="R675" s="110"/>
    </row>
    <row r="676" spans="1:18">
      <c r="A676" s="90">
        <v>670</v>
      </c>
      <c r="B676" s="24">
        <f>DATE('1.연간시수표'!$U$44,'1.연간시수표'!$X$44,'1.연간시수표'!$Z$44)+QUOTIENT(ROW(A670)-1,8)+(QUOTIENT(ROW(A670)-1,40)*2)</f>
        <v>44914</v>
      </c>
      <c r="C676" s="24" t="str">
        <f t="shared" si="30"/>
        <v>월</v>
      </c>
      <c r="D676" s="116" t="str">
        <f t="shared" si="31"/>
        <v>6교시</v>
      </c>
      <c r="E676" s="68">
        <f>COUNTIF($H$7:$H676,$H676)</f>
        <v>27</v>
      </c>
      <c r="F676" s="67">
        <f>'1.연간시수표'!$AL$33</f>
        <v>5</v>
      </c>
      <c r="G676" s="115">
        <f t="shared" si="32"/>
        <v>2</v>
      </c>
      <c r="H676" s="41" t="str">
        <f>INDEX('0.시간표데이터'!$E$52:$AR$78,QUOTIENT(ROW(A670)-1,40)+1,MOD(ROW(A670)-1,40)+1)</f>
        <v>음악</v>
      </c>
      <c r="I676" s="161"/>
      <c r="J676" s="26"/>
      <c r="K676" s="180"/>
      <c r="L676" s="180"/>
      <c r="M676" s="10"/>
      <c r="N676" s="10"/>
      <c r="O676" s="10"/>
      <c r="P676" s="10"/>
      <c r="Q676" s="164"/>
      <c r="R676" s="110"/>
    </row>
    <row r="677" spans="1:18">
      <c r="A677" s="90">
        <v>671</v>
      </c>
      <c r="B677" s="24">
        <f>DATE('1.연간시수표'!$U$44,'1.연간시수표'!$X$44,'1.연간시수표'!$Z$44)+QUOTIENT(ROW(A671)-1,8)+(QUOTIENT(ROW(A671)-1,40)*2)</f>
        <v>44914</v>
      </c>
      <c r="C677" s="24" t="str">
        <f t="shared" si="30"/>
        <v>월</v>
      </c>
      <c r="D677" s="116" t="str">
        <f t="shared" si="31"/>
        <v>7교시</v>
      </c>
      <c r="E677" s="68">
        <f>COUNTIF($H$7:$H677,$H677)</f>
        <v>226</v>
      </c>
      <c r="F677" s="67">
        <f>'1.연간시수표'!$AL$33</f>
        <v>5</v>
      </c>
      <c r="G677" s="115">
        <f t="shared" si="32"/>
        <v>2</v>
      </c>
      <c r="H677" s="41" t="str">
        <f>INDEX('0.시간표데이터'!$E$52:$AR$78,QUOTIENT(ROW(A671)-1,40)+1,MOD(ROW(A671)-1,40)+1)</f>
        <v>_</v>
      </c>
      <c r="I677" s="76"/>
      <c r="J677" s="26"/>
      <c r="K677" s="167"/>
      <c r="L677" s="167"/>
      <c r="M677" s="166"/>
      <c r="N677" s="166"/>
      <c r="O677" s="166"/>
      <c r="P677" s="166"/>
      <c r="Q677" s="167"/>
      <c r="R677" s="111"/>
    </row>
    <row r="678" spans="1:18">
      <c r="A678" s="90">
        <v>672</v>
      </c>
      <c r="B678" s="24">
        <f>DATE('1.연간시수표'!$U$44,'1.연간시수표'!$X$44,'1.연간시수표'!$Z$44)+QUOTIENT(ROW(A672)-1,8)+(QUOTIENT(ROW(A672)-1,40)*2)</f>
        <v>44914</v>
      </c>
      <c r="C678" s="24" t="str">
        <f t="shared" si="30"/>
        <v>월</v>
      </c>
      <c r="D678" s="116" t="str">
        <f t="shared" si="31"/>
        <v>8교시</v>
      </c>
      <c r="E678" s="68">
        <f>COUNTIF($H$7:$H678,$H678)</f>
        <v>227</v>
      </c>
      <c r="F678" s="67">
        <f>'1.연간시수표'!$AL$33</f>
        <v>5</v>
      </c>
      <c r="G678" s="115">
        <f t="shared" si="32"/>
        <v>2</v>
      </c>
      <c r="H678" s="41" t="str">
        <f>INDEX('0.시간표데이터'!$E$52:$AR$78,QUOTIENT(ROW(A672)-1,40)+1,MOD(ROW(A672)-1,40)+1)</f>
        <v>_</v>
      </c>
      <c r="I678" s="76"/>
      <c r="J678" s="26"/>
      <c r="K678" s="167"/>
      <c r="L678" s="167"/>
      <c r="M678" s="166"/>
      <c r="N678" s="166"/>
      <c r="O678" s="166"/>
      <c r="P678" s="166"/>
      <c r="Q678" s="167"/>
      <c r="R678" s="111"/>
    </row>
    <row r="679" spans="1:18">
      <c r="A679" s="90">
        <v>673</v>
      </c>
      <c r="B679" s="24">
        <f>DATE('1.연간시수표'!$U$44,'1.연간시수표'!$X$44,'1.연간시수표'!$Z$44)+QUOTIENT(ROW(A673)-1,8)+(QUOTIENT(ROW(A673)-1,40)*2)</f>
        <v>44915</v>
      </c>
      <c r="C679" s="24" t="str">
        <f t="shared" si="30"/>
        <v>화</v>
      </c>
      <c r="D679" s="116" t="str">
        <f t="shared" si="31"/>
        <v>1교시</v>
      </c>
      <c r="E679" s="68">
        <f>COUNTIF($H$7:$H679,$H679)</f>
        <v>84</v>
      </c>
      <c r="F679" s="67">
        <f>'1.연간시수표'!$AL$33</f>
        <v>5</v>
      </c>
      <c r="G679" s="115">
        <f t="shared" si="32"/>
        <v>2</v>
      </c>
      <c r="H679" s="41" t="str">
        <f>INDEX('0.시간표데이터'!$E$52:$AR$78,QUOTIENT(ROW(A673)-1,40)+1,MOD(ROW(A673)-1,40)+1)</f>
        <v>국어</v>
      </c>
      <c r="I679" s="77"/>
      <c r="J679" s="26"/>
      <c r="K679" s="180"/>
      <c r="L679" s="180"/>
      <c r="M679" s="10"/>
      <c r="N679" s="10"/>
      <c r="O679" s="10"/>
      <c r="P679" s="10"/>
      <c r="Q679" s="164"/>
      <c r="R679" s="110"/>
    </row>
    <row r="680" spans="1:18">
      <c r="A680" s="90">
        <v>674</v>
      </c>
      <c r="B680" s="24">
        <f>DATE('1.연간시수표'!$U$44,'1.연간시수표'!$X$44,'1.연간시수표'!$Z$44)+QUOTIENT(ROW(A674)-1,8)+(QUOTIENT(ROW(A674)-1,40)*2)</f>
        <v>44915</v>
      </c>
      <c r="C680" s="24" t="str">
        <f t="shared" si="30"/>
        <v>화</v>
      </c>
      <c r="D680" s="116" t="str">
        <f t="shared" si="31"/>
        <v>2교시</v>
      </c>
      <c r="E680" s="68">
        <f>COUNTIF($H$7:$H680,$H680)</f>
        <v>36</v>
      </c>
      <c r="F680" s="67">
        <f>'1.연간시수표'!$AL$33</f>
        <v>5</v>
      </c>
      <c r="G680" s="115">
        <f t="shared" si="32"/>
        <v>2</v>
      </c>
      <c r="H680" s="41" t="str">
        <f>INDEX('0.시간표데이터'!$E$52:$AR$78,QUOTIENT(ROW(A674)-1,40)+1,MOD(ROW(A674)-1,40)+1)</f>
        <v>체육</v>
      </c>
      <c r="I680" s="77"/>
      <c r="J680" s="26"/>
      <c r="K680" s="180"/>
      <c r="L680" s="180"/>
      <c r="M680" s="10"/>
      <c r="N680" s="10"/>
      <c r="O680" s="10"/>
      <c r="P680" s="10"/>
      <c r="Q680" s="164"/>
      <c r="R680" s="110"/>
    </row>
    <row r="681" spans="1:18">
      <c r="A681" s="90">
        <v>675</v>
      </c>
      <c r="B681" s="24">
        <f>DATE('1.연간시수표'!$U$44,'1.연간시수표'!$X$44,'1.연간시수표'!$Z$44)+QUOTIENT(ROW(A675)-1,8)+(QUOTIENT(ROW(A675)-1,40)*2)</f>
        <v>44915</v>
      </c>
      <c r="C681" s="24" t="str">
        <f t="shared" si="30"/>
        <v>화</v>
      </c>
      <c r="D681" s="116" t="str">
        <f t="shared" si="31"/>
        <v>3교시</v>
      </c>
      <c r="E681" s="68">
        <f>COUNTIF($H$7:$H681,$H681)</f>
        <v>56</v>
      </c>
      <c r="F681" s="67">
        <f>'1.연간시수표'!$AL$33</f>
        <v>5</v>
      </c>
      <c r="G681" s="115">
        <f t="shared" si="32"/>
        <v>2</v>
      </c>
      <c r="H681" s="41" t="str">
        <f>INDEX('0.시간표데이터'!$E$52:$AR$78,QUOTIENT(ROW(A675)-1,40)+1,MOD(ROW(A675)-1,40)+1)</f>
        <v>수학</v>
      </c>
      <c r="I681" s="77"/>
      <c r="J681" s="26"/>
      <c r="K681" s="180"/>
      <c r="L681" s="180"/>
      <c r="M681" s="10"/>
      <c r="N681" s="10"/>
      <c r="O681" s="10"/>
      <c r="P681" s="10"/>
      <c r="Q681" s="164"/>
      <c r="R681" s="110"/>
    </row>
    <row r="682" spans="1:18">
      <c r="A682" s="90">
        <v>676</v>
      </c>
      <c r="B682" s="24">
        <f>DATE('1.연간시수표'!$U$44,'1.연간시수표'!$X$44,'1.연간시수표'!$Z$44)+QUOTIENT(ROW(A676)-1,8)+(QUOTIENT(ROW(A676)-1,40)*2)</f>
        <v>44915</v>
      </c>
      <c r="C682" s="24" t="str">
        <f t="shared" si="30"/>
        <v>화</v>
      </c>
      <c r="D682" s="116" t="str">
        <f t="shared" si="31"/>
        <v>4교시</v>
      </c>
      <c r="E682" s="68">
        <f>COUNTIF($H$7:$H682,$H682)</f>
        <v>85</v>
      </c>
      <c r="F682" s="67">
        <f>'1.연간시수표'!$AL$33</f>
        <v>5</v>
      </c>
      <c r="G682" s="115">
        <f t="shared" si="32"/>
        <v>2</v>
      </c>
      <c r="H682" s="41" t="str">
        <f>INDEX('0.시간표데이터'!$E$52:$AR$78,QUOTIENT(ROW(A676)-1,40)+1,MOD(ROW(A676)-1,40)+1)</f>
        <v>국어</v>
      </c>
      <c r="I682" s="77"/>
      <c r="J682" s="26"/>
      <c r="K682" s="180"/>
      <c r="L682" s="180"/>
      <c r="M682" s="10"/>
      <c r="N682" s="10"/>
      <c r="O682" s="10"/>
      <c r="P682" s="10"/>
      <c r="Q682" s="164"/>
      <c r="R682" s="110"/>
    </row>
    <row r="683" spans="1:18">
      <c r="A683" s="90">
        <v>677</v>
      </c>
      <c r="B683" s="24">
        <f>DATE('1.연간시수표'!$U$44,'1.연간시수표'!$X$44,'1.연간시수표'!$Z$44)+QUOTIENT(ROW(A677)-1,8)+(QUOTIENT(ROW(A677)-1,40)*2)</f>
        <v>44915</v>
      </c>
      <c r="C683" s="24" t="str">
        <f t="shared" si="30"/>
        <v>화</v>
      </c>
      <c r="D683" s="116" t="str">
        <f t="shared" si="31"/>
        <v>5교시</v>
      </c>
      <c r="E683" s="68">
        <f>COUNTIF($H$7:$H683,$H683)</f>
        <v>45</v>
      </c>
      <c r="F683" s="67">
        <f>'1.연간시수표'!$AL$33</f>
        <v>5</v>
      </c>
      <c r="G683" s="115">
        <f t="shared" si="32"/>
        <v>2</v>
      </c>
      <c r="H683" s="41" t="str">
        <f>INDEX('0.시간표데이터'!$E$52:$AR$78,QUOTIENT(ROW(A677)-1,40)+1,MOD(ROW(A677)-1,40)+1)</f>
        <v>사회</v>
      </c>
      <c r="I683" s="77"/>
      <c r="J683" s="26"/>
      <c r="K683" s="164"/>
      <c r="L683" s="164"/>
      <c r="M683" s="10"/>
      <c r="N683" s="10"/>
      <c r="O683" s="10"/>
      <c r="P683" s="10"/>
      <c r="Q683" s="164"/>
      <c r="R683" s="110"/>
    </row>
    <row r="684" spans="1:18">
      <c r="A684" s="90">
        <v>678</v>
      </c>
      <c r="B684" s="24">
        <f>DATE('1.연간시수표'!$U$44,'1.연간시수표'!$X$44,'1.연간시수표'!$Z$44)+QUOTIENT(ROW(A678)-1,8)+(QUOTIENT(ROW(A678)-1,40)*2)</f>
        <v>44915</v>
      </c>
      <c r="C684" s="24" t="str">
        <f t="shared" si="30"/>
        <v>화</v>
      </c>
      <c r="D684" s="116" t="str">
        <f t="shared" si="31"/>
        <v>6교시</v>
      </c>
      <c r="E684" s="68">
        <f>COUNTIF($H$7:$H684,$H684)</f>
        <v>37</v>
      </c>
      <c r="F684" s="67">
        <f>'1.연간시수표'!$AL$33</f>
        <v>5</v>
      </c>
      <c r="G684" s="115">
        <f t="shared" si="32"/>
        <v>2</v>
      </c>
      <c r="H684" s="41" t="str">
        <f>INDEX('0.시간표데이터'!$E$52:$AR$78,QUOTIENT(ROW(A678)-1,40)+1,MOD(ROW(A678)-1,40)+1)</f>
        <v>체육</v>
      </c>
      <c r="I684" s="77"/>
      <c r="J684" s="26"/>
      <c r="K684" s="167"/>
      <c r="L684" s="167"/>
      <c r="M684" s="166"/>
      <c r="N684" s="166"/>
      <c r="O684" s="166"/>
      <c r="P684" s="166"/>
      <c r="Q684" s="167"/>
      <c r="R684" s="111"/>
    </row>
    <row r="685" spans="1:18">
      <c r="A685" s="90">
        <v>679</v>
      </c>
      <c r="B685" s="24">
        <f>DATE('1.연간시수표'!$U$44,'1.연간시수표'!$X$44,'1.연간시수표'!$Z$44)+QUOTIENT(ROW(A679)-1,8)+(QUOTIENT(ROW(A679)-1,40)*2)</f>
        <v>44915</v>
      </c>
      <c r="C685" s="24" t="str">
        <f t="shared" si="30"/>
        <v>화</v>
      </c>
      <c r="D685" s="116" t="str">
        <f t="shared" si="31"/>
        <v>7교시</v>
      </c>
      <c r="E685" s="68">
        <f>COUNTIF($H$7:$H685,$H685)</f>
        <v>228</v>
      </c>
      <c r="F685" s="67">
        <f>'1.연간시수표'!$AL$33</f>
        <v>5</v>
      </c>
      <c r="G685" s="115">
        <f t="shared" si="32"/>
        <v>2</v>
      </c>
      <c r="H685" s="41" t="str">
        <f>INDEX('0.시간표데이터'!$E$52:$AR$78,QUOTIENT(ROW(A679)-1,40)+1,MOD(ROW(A679)-1,40)+1)</f>
        <v>_</v>
      </c>
      <c r="I685" s="76"/>
      <c r="J685" s="26"/>
      <c r="K685" s="167"/>
      <c r="L685" s="167"/>
      <c r="M685" s="166"/>
      <c r="N685" s="166"/>
      <c r="O685" s="166"/>
      <c r="P685" s="166"/>
      <c r="Q685" s="167"/>
      <c r="R685" s="111"/>
    </row>
    <row r="686" spans="1:18">
      <c r="A686" s="90">
        <v>680</v>
      </c>
      <c r="B686" s="24">
        <f>DATE('1.연간시수표'!$U$44,'1.연간시수표'!$X$44,'1.연간시수표'!$Z$44)+QUOTIENT(ROW(A680)-1,8)+(QUOTIENT(ROW(A680)-1,40)*2)</f>
        <v>44915</v>
      </c>
      <c r="C686" s="24" t="str">
        <f t="shared" si="30"/>
        <v>화</v>
      </c>
      <c r="D686" s="116" t="str">
        <f t="shared" si="31"/>
        <v>8교시</v>
      </c>
      <c r="E686" s="68">
        <f>COUNTIF($H$7:$H686,$H686)</f>
        <v>229</v>
      </c>
      <c r="F686" s="67">
        <f>'1.연간시수표'!$AL$33</f>
        <v>5</v>
      </c>
      <c r="G686" s="115">
        <f t="shared" si="32"/>
        <v>2</v>
      </c>
      <c r="H686" s="41" t="str">
        <f>INDEX('0.시간표데이터'!$E$52:$AR$78,QUOTIENT(ROW(A680)-1,40)+1,MOD(ROW(A680)-1,40)+1)</f>
        <v>_</v>
      </c>
      <c r="I686" s="76"/>
      <c r="J686" s="26"/>
      <c r="K686" s="167"/>
      <c r="L686" s="167"/>
      <c r="M686" s="166"/>
      <c r="N686" s="166"/>
      <c r="O686" s="166"/>
      <c r="P686" s="166"/>
      <c r="Q686" s="167"/>
      <c r="R686" s="111"/>
    </row>
    <row r="687" spans="1:18">
      <c r="A687" s="90">
        <v>681</v>
      </c>
      <c r="B687" s="24">
        <f>DATE('1.연간시수표'!$U$44,'1.연간시수표'!$X$44,'1.연간시수표'!$Z$44)+QUOTIENT(ROW(A681)-1,8)+(QUOTIENT(ROW(A681)-1,40)*2)</f>
        <v>44918</v>
      </c>
      <c r="C687" s="24" t="str">
        <f t="shared" si="30"/>
        <v>금</v>
      </c>
      <c r="D687" s="116" t="str">
        <f t="shared" si="31"/>
        <v>1교시</v>
      </c>
      <c r="E687" s="68">
        <f>COUNTIF($H$7:$H687,$H687)</f>
        <v>86</v>
      </c>
      <c r="F687" s="67">
        <f>'1.연간시수표'!$AL$33</f>
        <v>5</v>
      </c>
      <c r="G687" s="115">
        <f t="shared" si="32"/>
        <v>2</v>
      </c>
      <c r="H687" s="41" t="str">
        <f>INDEX('0.시간표데이터'!$E$52:$AR$78,QUOTIENT(ROW(A681)-1,40)+1,MOD(ROW(A681)-1,40)+1)</f>
        <v>국어</v>
      </c>
      <c r="I687" s="77"/>
      <c r="J687" s="26"/>
      <c r="K687" s="174"/>
      <c r="L687" s="174"/>
      <c r="M687" s="175"/>
      <c r="N687" s="97"/>
      <c r="O687" s="175"/>
      <c r="P687" s="175"/>
      <c r="Q687" s="164"/>
      <c r="R687" s="110"/>
    </row>
    <row r="688" spans="1:18">
      <c r="A688" s="90">
        <v>682</v>
      </c>
      <c r="B688" s="24">
        <f>DATE('1.연간시수표'!$U$44,'1.연간시수표'!$X$44,'1.연간시수표'!$Z$44)+QUOTIENT(ROW(A682)-1,8)+(QUOTIENT(ROW(A682)-1,40)*2)</f>
        <v>44918</v>
      </c>
      <c r="C688" s="24" t="str">
        <f t="shared" si="30"/>
        <v>금</v>
      </c>
      <c r="D688" s="116" t="str">
        <f t="shared" si="31"/>
        <v>2교시</v>
      </c>
      <c r="E688" s="68">
        <f>COUNTIF($H$7:$H688,$H688)</f>
        <v>27</v>
      </c>
      <c r="F688" s="67">
        <f>'1.연간시수표'!$AL$33</f>
        <v>5</v>
      </c>
      <c r="G688" s="115">
        <f t="shared" si="32"/>
        <v>2</v>
      </c>
      <c r="H688" s="41" t="str">
        <f>INDEX('0.시간표데이터'!$E$52:$AR$78,QUOTIENT(ROW(A682)-1,40)+1,MOD(ROW(A682)-1,40)+1)</f>
        <v>미술</v>
      </c>
      <c r="I688" s="161"/>
      <c r="J688" s="26"/>
      <c r="K688" s="180"/>
      <c r="L688" s="180"/>
      <c r="M688" s="10"/>
      <c r="N688" s="10"/>
      <c r="O688" s="10"/>
      <c r="P688" s="10"/>
      <c r="Q688" s="164"/>
      <c r="R688" s="110"/>
    </row>
    <row r="689" spans="1:18">
      <c r="A689" s="90">
        <v>683</v>
      </c>
      <c r="B689" s="24">
        <f>DATE('1.연간시수표'!$U$44,'1.연간시수표'!$X$44,'1.연간시수표'!$Z$44)+QUOTIENT(ROW(A683)-1,8)+(QUOTIENT(ROW(A683)-1,40)*2)</f>
        <v>44918</v>
      </c>
      <c r="C689" s="24" t="str">
        <f t="shared" si="30"/>
        <v>금</v>
      </c>
      <c r="D689" s="116" t="str">
        <f t="shared" si="31"/>
        <v>3교시</v>
      </c>
      <c r="E689" s="68">
        <f>COUNTIF($H$7:$H689,$H689)</f>
        <v>28</v>
      </c>
      <c r="F689" s="67">
        <f>'1.연간시수표'!$AL$33</f>
        <v>5</v>
      </c>
      <c r="G689" s="115">
        <f t="shared" si="32"/>
        <v>2</v>
      </c>
      <c r="H689" s="41" t="str">
        <f>INDEX('0.시간표데이터'!$E$52:$AR$78,QUOTIENT(ROW(A683)-1,40)+1,MOD(ROW(A683)-1,40)+1)</f>
        <v>미술</v>
      </c>
      <c r="I689" s="77"/>
      <c r="J689" s="26"/>
      <c r="K689" s="180"/>
      <c r="L689" s="180"/>
      <c r="M689" s="10"/>
      <c r="N689" s="10"/>
      <c r="O689" s="10"/>
      <c r="P689" s="10"/>
      <c r="Q689" s="164"/>
      <c r="R689" s="110"/>
    </row>
    <row r="690" spans="1:18">
      <c r="A690" s="90">
        <v>684</v>
      </c>
      <c r="B690" s="24">
        <f>DATE('1.연간시수표'!$U$44,'1.연간시수표'!$X$44,'1.연간시수표'!$Z$44)+QUOTIENT(ROW(A684)-1,8)+(QUOTIENT(ROW(A684)-1,40)*2)</f>
        <v>44918</v>
      </c>
      <c r="C690" s="24" t="str">
        <f t="shared" si="30"/>
        <v>금</v>
      </c>
      <c r="D690" s="116" t="str">
        <f t="shared" si="31"/>
        <v>4교시</v>
      </c>
      <c r="E690" s="68">
        <f>COUNTIF($H$7:$H690,$H690)</f>
        <v>45</v>
      </c>
      <c r="F690" s="67">
        <f>'1.연간시수표'!$AL$33</f>
        <v>5</v>
      </c>
      <c r="G690" s="115">
        <f t="shared" si="32"/>
        <v>2</v>
      </c>
      <c r="H690" s="41" t="str">
        <f>INDEX('0.시간표데이터'!$E$52:$AR$78,QUOTIENT(ROW(A684)-1,40)+1,MOD(ROW(A684)-1,40)+1)</f>
        <v>영어</v>
      </c>
      <c r="I690" s="77"/>
      <c r="J690" s="26"/>
      <c r="K690" s="180"/>
      <c r="L690" s="180"/>
      <c r="M690" s="10"/>
      <c r="N690" s="10"/>
      <c r="O690" s="10"/>
      <c r="P690" s="10"/>
      <c r="Q690" s="164"/>
      <c r="R690" s="110"/>
    </row>
    <row r="691" spans="1:18">
      <c r="A691" s="90">
        <v>685</v>
      </c>
      <c r="B691" s="24">
        <f>DATE('1.연간시수표'!$U$44,'1.연간시수표'!$X$44,'1.연간시수표'!$Z$44)+QUOTIENT(ROW(A685)-1,8)+(QUOTIENT(ROW(A685)-1,40)*2)</f>
        <v>44918</v>
      </c>
      <c r="C691" s="24" t="str">
        <f t="shared" si="30"/>
        <v>금</v>
      </c>
      <c r="D691" s="116" t="str">
        <f t="shared" si="31"/>
        <v>5교시</v>
      </c>
      <c r="E691" s="68">
        <f>COUNTIF($H$7:$H691,$H691)</f>
        <v>57</v>
      </c>
      <c r="F691" s="67">
        <f>'1.연간시수표'!$AL$33</f>
        <v>5</v>
      </c>
      <c r="G691" s="115">
        <f t="shared" si="32"/>
        <v>2</v>
      </c>
      <c r="H691" s="41" t="str">
        <f>INDEX('0.시간표데이터'!$E$52:$AR$78,QUOTIENT(ROW(A685)-1,40)+1,MOD(ROW(A685)-1,40)+1)</f>
        <v>수학</v>
      </c>
      <c r="I691" s="77"/>
      <c r="J691" s="26"/>
      <c r="K691" s="180"/>
      <c r="L691" s="180"/>
      <c r="M691" s="10"/>
      <c r="N691" s="10"/>
      <c r="O691" s="10"/>
      <c r="P691" s="10"/>
      <c r="Q691" s="164"/>
      <c r="R691" s="110"/>
    </row>
    <row r="692" spans="1:18">
      <c r="A692" s="90">
        <v>686</v>
      </c>
      <c r="B692" s="24">
        <f>DATE('1.연간시수표'!$U$44,'1.연간시수표'!$X$44,'1.연간시수표'!$Z$44)+QUOTIENT(ROW(A686)-1,8)+(QUOTIENT(ROW(A686)-1,40)*2)</f>
        <v>44918</v>
      </c>
      <c r="C692" s="24" t="str">
        <f t="shared" si="30"/>
        <v>금</v>
      </c>
      <c r="D692" s="116" t="str">
        <f t="shared" si="31"/>
        <v>6교시</v>
      </c>
      <c r="E692" s="68">
        <f>COUNTIF($H$7:$H692,$H692)</f>
        <v>26</v>
      </c>
      <c r="F692" s="67">
        <f>'1.연간시수표'!$AL$33</f>
        <v>5</v>
      </c>
      <c r="G692" s="115">
        <f t="shared" si="32"/>
        <v>2</v>
      </c>
      <c r="H692" s="41" t="str">
        <f>INDEX('0.시간표데이터'!$E$52:$AR$78,QUOTIENT(ROW(A686)-1,40)+1,MOD(ROW(A686)-1,40)+1)</f>
        <v>자율활동</v>
      </c>
      <c r="I692" s="77"/>
      <c r="J692" s="26"/>
      <c r="K692" s="167"/>
      <c r="L692" s="167"/>
      <c r="M692" s="166"/>
      <c r="N692" s="166"/>
      <c r="O692" s="166"/>
      <c r="P692" s="166"/>
      <c r="Q692" s="167"/>
      <c r="R692" s="111"/>
    </row>
    <row r="693" spans="1:18">
      <c r="A693" s="90">
        <v>687</v>
      </c>
      <c r="B693" s="24">
        <f>DATE('1.연간시수표'!$U$44,'1.연간시수표'!$X$44,'1.연간시수표'!$Z$44)+QUOTIENT(ROW(A687)-1,8)+(QUOTIENT(ROW(A687)-1,40)*2)</f>
        <v>44918</v>
      </c>
      <c r="C693" s="24" t="str">
        <f t="shared" si="30"/>
        <v>금</v>
      </c>
      <c r="D693" s="116" t="str">
        <f t="shared" si="31"/>
        <v>7교시</v>
      </c>
      <c r="E693" s="68">
        <f>COUNTIF($H$7:$H693,$H693)</f>
        <v>230</v>
      </c>
      <c r="F693" s="67">
        <f>'1.연간시수표'!$AL$33</f>
        <v>5</v>
      </c>
      <c r="G693" s="115">
        <f t="shared" si="32"/>
        <v>2</v>
      </c>
      <c r="H693" s="41" t="str">
        <f>INDEX('0.시간표데이터'!$E$52:$AR$78,QUOTIENT(ROW(A687)-1,40)+1,MOD(ROW(A687)-1,40)+1)</f>
        <v>_</v>
      </c>
      <c r="I693" s="76"/>
      <c r="J693" s="26"/>
      <c r="K693" s="167"/>
      <c r="L693" s="167"/>
      <c r="M693" s="166"/>
      <c r="N693" s="166"/>
      <c r="O693" s="166"/>
      <c r="P693" s="166"/>
      <c r="Q693" s="167"/>
      <c r="R693" s="111"/>
    </row>
    <row r="694" spans="1:18">
      <c r="A694" s="90">
        <v>688</v>
      </c>
      <c r="B694" s="24">
        <f>DATE('1.연간시수표'!$U$44,'1.연간시수표'!$X$44,'1.연간시수표'!$Z$44)+QUOTIENT(ROW(A688)-1,8)+(QUOTIENT(ROW(A688)-1,40)*2)</f>
        <v>44918</v>
      </c>
      <c r="C694" s="24" t="str">
        <f t="shared" si="30"/>
        <v>금</v>
      </c>
      <c r="D694" s="116" t="str">
        <f t="shared" si="31"/>
        <v>8교시</v>
      </c>
      <c r="E694" s="68">
        <f>COUNTIF($H$7:$H694,$H694)</f>
        <v>231</v>
      </c>
      <c r="F694" s="67">
        <f>'1.연간시수표'!$AL$33</f>
        <v>5</v>
      </c>
      <c r="G694" s="115">
        <f t="shared" si="32"/>
        <v>2</v>
      </c>
      <c r="H694" s="41" t="str">
        <f>INDEX('0.시간표데이터'!$E$52:$AR$78,QUOTIENT(ROW(A688)-1,40)+1,MOD(ROW(A688)-1,40)+1)</f>
        <v>_</v>
      </c>
      <c r="I694" s="76"/>
      <c r="J694" s="26"/>
      <c r="K694" s="167"/>
      <c r="L694" s="167"/>
      <c r="M694" s="166"/>
      <c r="N694" s="166"/>
      <c r="O694" s="166"/>
      <c r="P694" s="166"/>
      <c r="Q694" s="167"/>
      <c r="R694" s="111"/>
    </row>
    <row r="695" spans="1:18">
      <c r="A695" s="90">
        <v>689</v>
      </c>
      <c r="B695" s="24">
        <f>DATE('1.연간시수표'!$U$44,'1.연간시수표'!$X$44,'1.연간시수표'!$Z$44)+QUOTIENT(ROW(A689)-1,8)+(QUOTIENT(ROW(A689)-1,40)*2)</f>
        <v>44919</v>
      </c>
      <c r="C695" s="24" t="b">
        <f t="shared" si="30"/>
        <v>0</v>
      </c>
      <c r="D695" s="116" t="str">
        <f t="shared" si="31"/>
        <v>1교시</v>
      </c>
      <c r="E695" s="68">
        <f>COUNTIF($H$7:$H695,$H695)</f>
        <v>87</v>
      </c>
      <c r="F695" s="67">
        <f>'1.연간시수표'!$AL$33</f>
        <v>5</v>
      </c>
      <c r="G695" s="115">
        <f t="shared" si="32"/>
        <v>2</v>
      </c>
      <c r="H695" s="41" t="str">
        <f>INDEX('0.시간표데이터'!$E$52:$AR$78,QUOTIENT(ROW(A689)-1,40)+1,MOD(ROW(A689)-1,40)+1)</f>
        <v>국어</v>
      </c>
      <c r="I695" s="77"/>
      <c r="J695" s="26"/>
      <c r="K695" s="180"/>
      <c r="L695" s="180"/>
      <c r="M695" s="10"/>
      <c r="N695" s="10"/>
      <c r="O695" s="10"/>
      <c r="P695" s="10"/>
      <c r="Q695" s="164"/>
      <c r="R695" s="110"/>
    </row>
    <row r="696" spans="1:18">
      <c r="A696" s="90">
        <v>690</v>
      </c>
      <c r="B696" s="24">
        <f>DATE('1.연간시수표'!$U$44,'1.연간시수표'!$X$44,'1.연간시수표'!$Z$44)+QUOTIENT(ROW(A690)-1,8)+(QUOTIENT(ROW(A690)-1,40)*2)</f>
        <v>44919</v>
      </c>
      <c r="C696" s="24" t="b">
        <f t="shared" si="30"/>
        <v>0</v>
      </c>
      <c r="D696" s="116" t="str">
        <f t="shared" si="31"/>
        <v>2교시</v>
      </c>
      <c r="E696" s="68">
        <f>COUNTIF($H$7:$H696,$H696)</f>
        <v>88</v>
      </c>
      <c r="F696" s="67">
        <f>'1.연간시수표'!$AL$33</f>
        <v>5</v>
      </c>
      <c r="G696" s="115">
        <f t="shared" si="32"/>
        <v>2</v>
      </c>
      <c r="H696" s="41" t="str">
        <f>INDEX('0.시간표데이터'!$E$52:$AR$78,QUOTIENT(ROW(A690)-1,40)+1,MOD(ROW(A690)-1,40)+1)</f>
        <v>국어</v>
      </c>
      <c r="I696" s="161"/>
      <c r="J696" s="26"/>
      <c r="K696" s="180"/>
      <c r="L696" s="180"/>
      <c r="M696" s="10"/>
      <c r="N696" s="10"/>
      <c r="O696" s="10"/>
      <c r="P696" s="10"/>
      <c r="Q696" s="164"/>
      <c r="R696" s="110"/>
    </row>
    <row r="697" spans="1:18">
      <c r="A697" s="90">
        <v>691</v>
      </c>
      <c r="B697" s="24">
        <f>DATE('1.연간시수표'!$U$44,'1.연간시수표'!$X$44,'1.연간시수표'!$Z$44)+QUOTIENT(ROW(A691)-1,8)+(QUOTIENT(ROW(A691)-1,40)*2)</f>
        <v>44919</v>
      </c>
      <c r="C697" s="24" t="b">
        <f t="shared" si="30"/>
        <v>0</v>
      </c>
      <c r="D697" s="116" t="str">
        <f t="shared" si="31"/>
        <v>3교시</v>
      </c>
      <c r="E697" s="68">
        <f>COUNTIF($H$7:$H697,$H697)</f>
        <v>46</v>
      </c>
      <c r="F697" s="67">
        <f>'1.연간시수표'!$AL$33</f>
        <v>5</v>
      </c>
      <c r="G697" s="115">
        <f t="shared" si="32"/>
        <v>2</v>
      </c>
      <c r="H697" s="41" t="str">
        <f>INDEX('0.시간표데이터'!$E$52:$AR$78,QUOTIENT(ROW(A691)-1,40)+1,MOD(ROW(A691)-1,40)+1)</f>
        <v>사회</v>
      </c>
      <c r="I697" s="77"/>
      <c r="J697" s="26"/>
      <c r="K697" s="180"/>
      <c r="L697" s="180"/>
      <c r="M697" s="10"/>
      <c r="N697" s="10"/>
      <c r="O697" s="10"/>
      <c r="P697" s="10"/>
      <c r="Q697" s="164"/>
      <c r="R697" s="110"/>
    </row>
    <row r="698" spans="1:18">
      <c r="A698" s="90">
        <v>692</v>
      </c>
      <c r="B698" s="24">
        <f>DATE('1.연간시수표'!$U$44,'1.연간시수표'!$X$44,'1.연간시수표'!$Z$44)+QUOTIENT(ROW(A692)-1,8)+(QUOTIENT(ROW(A692)-1,40)*2)</f>
        <v>44919</v>
      </c>
      <c r="C698" s="24" t="b">
        <f t="shared" si="30"/>
        <v>0</v>
      </c>
      <c r="D698" s="116" t="str">
        <f t="shared" si="31"/>
        <v>4교시</v>
      </c>
      <c r="E698" s="68">
        <f>COUNTIF($H$7:$H698,$H698)</f>
        <v>58</v>
      </c>
      <c r="F698" s="67">
        <f>'1.연간시수표'!$AL$33</f>
        <v>5</v>
      </c>
      <c r="G698" s="115">
        <f t="shared" si="32"/>
        <v>2</v>
      </c>
      <c r="H698" s="41" t="str">
        <f>INDEX('0.시간표데이터'!$E$52:$AR$78,QUOTIENT(ROW(A692)-1,40)+1,MOD(ROW(A692)-1,40)+1)</f>
        <v>수학</v>
      </c>
      <c r="I698" s="77"/>
      <c r="J698" s="26"/>
      <c r="K698" s="180"/>
      <c r="L698" s="180"/>
      <c r="M698" s="10"/>
      <c r="N698" s="10"/>
      <c r="O698" s="10"/>
      <c r="P698" s="10"/>
      <c r="Q698" s="164"/>
      <c r="R698" s="110"/>
    </row>
    <row r="699" spans="1:18">
      <c r="A699" s="90">
        <v>693</v>
      </c>
      <c r="B699" s="24">
        <f>DATE('1.연간시수표'!$U$44,'1.연간시수표'!$X$44,'1.연간시수표'!$Z$44)+QUOTIENT(ROW(A693)-1,8)+(QUOTIENT(ROW(A693)-1,40)*2)</f>
        <v>44919</v>
      </c>
      <c r="C699" s="24" t="b">
        <f t="shared" si="30"/>
        <v>0</v>
      </c>
      <c r="D699" s="116" t="str">
        <f t="shared" si="31"/>
        <v>5교시</v>
      </c>
      <c r="E699" s="68">
        <f>COUNTIF($H$7:$H699,$H699)</f>
        <v>44</v>
      </c>
      <c r="F699" s="67">
        <f>'1.연간시수표'!$AL$33</f>
        <v>5</v>
      </c>
      <c r="G699" s="115">
        <f t="shared" si="32"/>
        <v>2</v>
      </c>
      <c r="H699" s="41" t="str">
        <f>INDEX('0.시간표데이터'!$E$52:$AR$78,QUOTIENT(ROW(A693)-1,40)+1,MOD(ROW(A693)-1,40)+1)</f>
        <v>과학</v>
      </c>
      <c r="I699" s="77"/>
      <c r="J699" s="26"/>
      <c r="K699" s="180"/>
      <c r="L699" s="180"/>
      <c r="M699" s="10"/>
      <c r="N699" s="10"/>
      <c r="O699" s="10"/>
      <c r="P699" s="10"/>
      <c r="Q699" s="164"/>
      <c r="R699" s="110"/>
    </row>
    <row r="700" spans="1:18">
      <c r="A700" s="90">
        <v>694</v>
      </c>
      <c r="B700" s="24">
        <f>DATE('1.연간시수표'!$U$44,'1.연간시수표'!$X$44,'1.연간시수표'!$Z$44)+QUOTIENT(ROW(A694)-1,8)+(QUOTIENT(ROW(A694)-1,40)*2)</f>
        <v>44919</v>
      </c>
      <c r="C700" s="24" t="b">
        <f t="shared" si="30"/>
        <v>0</v>
      </c>
      <c r="D700" s="116" t="str">
        <f t="shared" si="31"/>
        <v>6교시</v>
      </c>
      <c r="E700" s="68">
        <f>COUNTIF($H$7:$H700,$H700)</f>
        <v>32</v>
      </c>
      <c r="F700" s="67">
        <f>'1.연간시수표'!$AL$33</f>
        <v>5</v>
      </c>
      <c r="G700" s="115">
        <f t="shared" si="32"/>
        <v>2</v>
      </c>
      <c r="H700" s="41" t="str">
        <f>INDEX('0.시간표데이터'!$E$52:$AR$78,QUOTIENT(ROW(A694)-1,40)+1,MOD(ROW(A694)-1,40)+1)</f>
        <v>실과</v>
      </c>
      <c r="I700" s="77"/>
      <c r="J700" s="26"/>
      <c r="K700" s="167"/>
      <c r="L700" s="167"/>
      <c r="M700" s="166"/>
      <c r="N700" s="166"/>
      <c r="O700" s="166"/>
      <c r="P700" s="166"/>
      <c r="Q700" s="167"/>
      <c r="R700" s="111"/>
    </row>
    <row r="701" spans="1:18">
      <c r="A701" s="90">
        <v>695</v>
      </c>
      <c r="B701" s="24">
        <f>DATE('1.연간시수표'!$U$44,'1.연간시수표'!$X$44,'1.연간시수표'!$Z$44)+QUOTIENT(ROW(A695)-1,8)+(QUOTIENT(ROW(A695)-1,40)*2)</f>
        <v>44919</v>
      </c>
      <c r="C701" s="24" t="b">
        <f t="shared" si="30"/>
        <v>0</v>
      </c>
      <c r="D701" s="116" t="str">
        <f t="shared" si="31"/>
        <v>7교시</v>
      </c>
      <c r="E701" s="68">
        <f>COUNTIF($H$7:$H701,$H701)</f>
        <v>232</v>
      </c>
      <c r="F701" s="67">
        <f>'1.연간시수표'!$AL$33</f>
        <v>5</v>
      </c>
      <c r="G701" s="115">
        <f t="shared" si="32"/>
        <v>2</v>
      </c>
      <c r="H701" s="41" t="str">
        <f>INDEX('0.시간표데이터'!$E$52:$AR$78,QUOTIENT(ROW(A695)-1,40)+1,MOD(ROW(A695)-1,40)+1)</f>
        <v>_</v>
      </c>
      <c r="I701" s="76"/>
      <c r="J701" s="26"/>
      <c r="K701" s="167"/>
      <c r="L701" s="167"/>
      <c r="M701" s="166"/>
      <c r="N701" s="166"/>
      <c r="O701" s="166"/>
      <c r="P701" s="166"/>
      <c r="Q701" s="167"/>
      <c r="R701" s="111"/>
    </row>
    <row r="702" spans="1:18">
      <c r="A702" s="90">
        <v>696</v>
      </c>
      <c r="B702" s="24">
        <f>DATE('1.연간시수표'!$U$44,'1.연간시수표'!$X$44,'1.연간시수표'!$Z$44)+QUOTIENT(ROW(A696)-1,8)+(QUOTIENT(ROW(A696)-1,40)*2)</f>
        <v>44919</v>
      </c>
      <c r="C702" s="24" t="b">
        <f t="shared" si="30"/>
        <v>0</v>
      </c>
      <c r="D702" s="116" t="str">
        <f t="shared" si="31"/>
        <v>8교시</v>
      </c>
      <c r="E702" s="68">
        <f>COUNTIF($H$7:$H702,$H702)</f>
        <v>233</v>
      </c>
      <c r="F702" s="67">
        <f>'1.연간시수표'!$AL$33</f>
        <v>5</v>
      </c>
      <c r="G702" s="115">
        <f t="shared" si="32"/>
        <v>2</v>
      </c>
      <c r="H702" s="41" t="str">
        <f>INDEX('0.시간표데이터'!$E$52:$AR$78,QUOTIENT(ROW(A696)-1,40)+1,MOD(ROW(A696)-1,40)+1)</f>
        <v>_</v>
      </c>
      <c r="I702" s="76"/>
      <c r="J702" s="26"/>
      <c r="K702" s="167"/>
      <c r="L702" s="167"/>
      <c r="M702" s="166"/>
      <c r="N702" s="166"/>
      <c r="O702" s="166"/>
      <c r="P702" s="166"/>
      <c r="Q702" s="167"/>
      <c r="R702" s="111"/>
    </row>
    <row r="703" spans="1:18">
      <c r="A703" s="90">
        <v>697</v>
      </c>
      <c r="B703" s="24">
        <f>DATE('1.연간시수표'!$U$44,'1.연간시수표'!$X$44,'1.연간시수표'!$Z$44)+QUOTIENT(ROW(A697)-1,8)+(QUOTIENT(ROW(A697)-1,40)*2)</f>
        <v>44920</v>
      </c>
      <c r="C703" s="24" t="b">
        <f t="shared" si="30"/>
        <v>0</v>
      </c>
      <c r="D703" s="116" t="str">
        <f t="shared" si="31"/>
        <v>1교시</v>
      </c>
      <c r="E703" s="68">
        <f>COUNTIF($H$7:$H703,$H703)</f>
        <v>27</v>
      </c>
      <c r="F703" s="67">
        <f>'1.연간시수표'!$AL$33</f>
        <v>5</v>
      </c>
      <c r="G703" s="115">
        <f t="shared" si="32"/>
        <v>2</v>
      </c>
      <c r="H703" s="41" t="str">
        <f>INDEX('0.시간표데이터'!$E$52:$AR$78,QUOTIENT(ROW(A697)-1,40)+1,MOD(ROW(A697)-1,40)+1)</f>
        <v>자율활동</v>
      </c>
      <c r="I703" s="77"/>
      <c r="J703" s="26"/>
      <c r="K703" s="180"/>
      <c r="L703" s="180"/>
      <c r="M703" s="10"/>
      <c r="N703" s="10"/>
      <c r="O703" s="10"/>
      <c r="P703" s="10"/>
      <c r="Q703" s="164"/>
      <c r="R703" s="110"/>
    </row>
    <row r="704" spans="1:18">
      <c r="A704" s="90">
        <v>698</v>
      </c>
      <c r="B704" s="24">
        <f>DATE('1.연간시수표'!$U$44,'1.연간시수표'!$X$44,'1.연간시수표'!$Z$44)+QUOTIENT(ROW(A698)-1,8)+(QUOTIENT(ROW(A698)-1,40)*2)</f>
        <v>44920</v>
      </c>
      <c r="C704" s="24" t="b">
        <f t="shared" si="30"/>
        <v>0</v>
      </c>
      <c r="D704" s="116" t="str">
        <f t="shared" si="31"/>
        <v>2교시</v>
      </c>
      <c r="E704" s="68">
        <f>COUNTIF($H$7:$H704,$H704)</f>
        <v>3</v>
      </c>
      <c r="F704" s="67">
        <f>'1.연간시수표'!$AL$33</f>
        <v>5</v>
      </c>
      <c r="G704" s="115">
        <f t="shared" si="32"/>
        <v>2</v>
      </c>
      <c r="H704" s="41" t="str">
        <f>INDEX('0.시간표데이터'!$E$52:$AR$78,QUOTIENT(ROW(A698)-1,40)+1,MOD(ROW(A698)-1,40)+1)</f>
        <v>봉사활동</v>
      </c>
      <c r="I704" s="77"/>
      <c r="J704" s="26"/>
      <c r="K704" s="180"/>
      <c r="L704" s="180"/>
      <c r="M704" s="10"/>
      <c r="N704" s="10"/>
      <c r="O704" s="10"/>
      <c r="P704" s="10"/>
      <c r="Q704" s="164"/>
      <c r="R704" s="110"/>
    </row>
    <row r="705" spans="1:18">
      <c r="A705" s="90">
        <v>699</v>
      </c>
      <c r="B705" s="24">
        <f>DATE('1.연간시수표'!$U$44,'1.연간시수표'!$X$44,'1.연간시수표'!$Z$44)+QUOTIENT(ROW(A699)-1,8)+(QUOTIENT(ROW(A699)-1,40)*2)</f>
        <v>44920</v>
      </c>
      <c r="C705" s="24" t="b">
        <f t="shared" si="30"/>
        <v>0</v>
      </c>
      <c r="D705" s="116" t="str">
        <f t="shared" si="31"/>
        <v>3교시</v>
      </c>
      <c r="E705" s="68">
        <f>COUNTIF($H$7:$H705,$H705)</f>
        <v>38</v>
      </c>
      <c r="F705" s="67">
        <f>'1.연간시수표'!$AL$33</f>
        <v>5</v>
      </c>
      <c r="G705" s="115">
        <f t="shared" si="32"/>
        <v>2</v>
      </c>
      <c r="H705" s="41" t="str">
        <f>INDEX('0.시간표데이터'!$E$52:$AR$78,QUOTIENT(ROW(A699)-1,40)+1,MOD(ROW(A699)-1,40)+1)</f>
        <v>체육</v>
      </c>
      <c r="I705" s="77"/>
      <c r="J705" s="26"/>
      <c r="K705" s="180"/>
      <c r="L705" s="180"/>
      <c r="M705" s="10"/>
      <c r="N705" s="10"/>
      <c r="O705" s="10"/>
      <c r="P705" s="10"/>
      <c r="Q705" s="164"/>
      <c r="R705" s="110"/>
    </row>
    <row r="706" spans="1:18">
      <c r="A706" s="90">
        <v>700</v>
      </c>
      <c r="B706" s="24">
        <f>DATE('1.연간시수표'!$U$44,'1.연간시수표'!$X$44,'1.연간시수표'!$Z$44)+QUOTIENT(ROW(A700)-1,8)+(QUOTIENT(ROW(A700)-1,40)*2)</f>
        <v>44920</v>
      </c>
      <c r="C706" s="24" t="b">
        <f t="shared" si="30"/>
        <v>0</v>
      </c>
      <c r="D706" s="116" t="str">
        <f t="shared" si="31"/>
        <v>4교시</v>
      </c>
      <c r="E706" s="68">
        <f>COUNTIF($H$7:$H706,$H706)</f>
        <v>28</v>
      </c>
      <c r="F706" s="67">
        <f>'1.연간시수표'!$AL$33</f>
        <v>5</v>
      </c>
      <c r="G706" s="115">
        <f t="shared" si="32"/>
        <v>2</v>
      </c>
      <c r="H706" s="41" t="str">
        <f>INDEX('0.시간표데이터'!$E$52:$AR$78,QUOTIENT(ROW(A700)-1,40)+1,MOD(ROW(A700)-1,40)+1)</f>
        <v>음악</v>
      </c>
      <c r="I706" s="77"/>
      <c r="J706" s="26"/>
      <c r="K706" s="180"/>
      <c r="L706" s="180"/>
      <c r="M706" s="10"/>
      <c r="N706" s="10"/>
      <c r="O706" s="10"/>
      <c r="P706" s="10"/>
      <c r="Q706" s="164"/>
      <c r="R706" s="110"/>
    </row>
    <row r="707" spans="1:18">
      <c r="A707" s="90">
        <v>701</v>
      </c>
      <c r="B707" s="24">
        <f>DATE('1.연간시수표'!$U$44,'1.연간시수표'!$X$44,'1.연간시수표'!$Z$44)+QUOTIENT(ROW(A701)-1,8)+(QUOTIENT(ROW(A701)-1,40)*2)</f>
        <v>44920</v>
      </c>
      <c r="C707" s="24" t="b">
        <f t="shared" si="30"/>
        <v>0</v>
      </c>
      <c r="D707" s="116" t="str">
        <f t="shared" si="31"/>
        <v>5교시</v>
      </c>
      <c r="E707" s="68">
        <f>COUNTIF($H$7:$H707,$H707)</f>
        <v>17</v>
      </c>
      <c r="F707" s="67">
        <f>'1.연간시수표'!$AL$33</f>
        <v>5</v>
      </c>
      <c r="G707" s="115">
        <f t="shared" si="32"/>
        <v>2</v>
      </c>
      <c r="H707" s="41" t="str">
        <f>INDEX('0.시간표데이터'!$E$52:$AR$78,QUOTIENT(ROW(A701)-1,40)+1,MOD(ROW(A701)-1,40)+1)</f>
        <v>도덕</v>
      </c>
      <c r="I707" s="77"/>
      <c r="J707" s="26"/>
      <c r="K707" s="180"/>
      <c r="L707" s="180"/>
      <c r="M707" s="10"/>
      <c r="N707" s="10"/>
      <c r="O707" s="10"/>
      <c r="P707" s="10"/>
      <c r="Q707" s="164"/>
      <c r="R707" s="110"/>
    </row>
    <row r="708" spans="1:18">
      <c r="A708" s="90">
        <v>702</v>
      </c>
      <c r="B708" s="24">
        <f>DATE('1.연간시수표'!$U$44,'1.연간시수표'!$X$44,'1.연간시수표'!$Z$44)+QUOTIENT(ROW(A702)-1,8)+(QUOTIENT(ROW(A702)-1,40)*2)</f>
        <v>44920</v>
      </c>
      <c r="C708" s="24" t="b">
        <f t="shared" si="30"/>
        <v>0</v>
      </c>
      <c r="D708" s="116" t="str">
        <f t="shared" si="31"/>
        <v>6교시</v>
      </c>
      <c r="E708" s="68">
        <f>COUNTIF($H$7:$H708,$H708)</f>
        <v>234</v>
      </c>
      <c r="F708" s="67">
        <f>'1.연간시수표'!$AL$33</f>
        <v>5</v>
      </c>
      <c r="G708" s="115">
        <f t="shared" si="32"/>
        <v>2</v>
      </c>
      <c r="H708" s="41" t="str">
        <f>INDEX('0.시간표데이터'!$E$52:$AR$78,QUOTIENT(ROW(A702)-1,40)+1,MOD(ROW(A702)-1,40)+1)</f>
        <v>_</v>
      </c>
      <c r="I708" s="77"/>
      <c r="J708" s="26"/>
      <c r="K708" s="167"/>
      <c r="L708" s="167"/>
      <c r="M708" s="166"/>
      <c r="N708" s="166"/>
      <c r="O708" s="166"/>
      <c r="P708" s="166"/>
      <c r="Q708" s="167"/>
      <c r="R708" s="111"/>
    </row>
    <row r="709" spans="1:18">
      <c r="A709" s="90">
        <v>703</v>
      </c>
      <c r="B709" s="24">
        <f>DATE('1.연간시수표'!$U$44,'1.연간시수표'!$X$44,'1.연간시수표'!$Z$44)+QUOTIENT(ROW(A703)-1,8)+(QUOTIENT(ROW(A703)-1,40)*2)</f>
        <v>44920</v>
      </c>
      <c r="C709" s="24" t="b">
        <f t="shared" si="30"/>
        <v>0</v>
      </c>
      <c r="D709" s="116" t="str">
        <f t="shared" si="31"/>
        <v>7교시</v>
      </c>
      <c r="E709" s="68">
        <f>COUNTIF($H$7:$H709,$H709)</f>
        <v>235</v>
      </c>
      <c r="F709" s="67">
        <f>'1.연간시수표'!$AL$33</f>
        <v>5</v>
      </c>
      <c r="G709" s="115">
        <f t="shared" si="32"/>
        <v>2</v>
      </c>
      <c r="H709" s="41" t="str">
        <f>INDEX('0.시간표데이터'!$E$52:$AR$78,QUOTIENT(ROW(A703)-1,40)+1,MOD(ROW(A703)-1,40)+1)</f>
        <v>_</v>
      </c>
      <c r="I709" s="76"/>
      <c r="J709" s="26"/>
      <c r="K709" s="167"/>
      <c r="L709" s="167"/>
      <c r="M709" s="166"/>
      <c r="N709" s="166"/>
      <c r="O709" s="166"/>
      <c r="P709" s="166"/>
      <c r="Q709" s="167"/>
      <c r="R709" s="111"/>
    </row>
    <row r="710" spans="1:18">
      <c r="A710" s="90">
        <v>704</v>
      </c>
      <c r="B710" s="24">
        <f>DATE('1.연간시수표'!$U$44,'1.연간시수표'!$X$44,'1.연간시수표'!$Z$44)+QUOTIENT(ROW(A704)-1,8)+(QUOTIENT(ROW(A704)-1,40)*2)</f>
        <v>44920</v>
      </c>
      <c r="C710" s="24" t="b">
        <f t="shared" si="30"/>
        <v>0</v>
      </c>
      <c r="D710" s="116" t="str">
        <f t="shared" si="31"/>
        <v>8교시</v>
      </c>
      <c r="E710" s="68">
        <f>COUNTIF($H$7:$H710,$H710)</f>
        <v>236</v>
      </c>
      <c r="F710" s="67">
        <f>'1.연간시수표'!$AL$33</f>
        <v>5</v>
      </c>
      <c r="G710" s="115">
        <f t="shared" si="32"/>
        <v>2</v>
      </c>
      <c r="H710" s="41" t="str">
        <f>INDEX('0.시간표데이터'!$E$52:$AR$78,QUOTIENT(ROW(A704)-1,40)+1,MOD(ROW(A704)-1,40)+1)</f>
        <v>_</v>
      </c>
      <c r="I710" s="76"/>
      <c r="J710" s="26"/>
      <c r="K710" s="167"/>
      <c r="L710" s="167"/>
      <c r="M710" s="166"/>
      <c r="N710" s="166"/>
      <c r="O710" s="166"/>
      <c r="P710" s="166"/>
      <c r="Q710" s="167"/>
      <c r="R710" s="111"/>
    </row>
    <row r="711" spans="1:18">
      <c r="A711" s="90">
        <v>705</v>
      </c>
      <c r="B711" s="24">
        <f>DATE('1.연간시수표'!$U$44,'1.연간시수표'!$X$44,'1.연간시수표'!$Z$44)+QUOTIENT(ROW(A705)-1,8)+(QUOTIENT(ROW(A705)-1,40)*2)</f>
        <v>44921</v>
      </c>
      <c r="C711" s="24" t="str">
        <f t="shared" ref="C711:C774" si="33">IF(WEEKDAY(B711,2)=1,"월",IF(WEEKDAY(B711,2)=2,"화",IF(WEEKDAY(B711,2)=3,"수",IF(WEEKDAY(B711,2)=4,"목",IF(WEEKDAY(B711,2)=5,"금")))))</f>
        <v>월</v>
      </c>
      <c r="D711" s="116" t="str">
        <f t="shared" ref="D711:D774" si="34">TEXT(MOD(ROW(A705)-1,8)+1,"#교시")</f>
        <v>1교시</v>
      </c>
      <c r="E711" s="68">
        <f>COUNTIF($H$7:$H711,$H711)</f>
        <v>237</v>
      </c>
      <c r="F711" s="67">
        <f>'1.연간시수표'!$AL$33</f>
        <v>5</v>
      </c>
      <c r="G711" s="115">
        <f t="shared" ref="G711:G774" si="35">$A$2</f>
        <v>2</v>
      </c>
      <c r="H711" s="41" t="str">
        <f>INDEX('0.시간표데이터'!$E$52:$AR$78,QUOTIENT(ROW(A705)-1,40)+1,MOD(ROW(A705)-1,40)+1)</f>
        <v>_</v>
      </c>
      <c r="I711" s="77"/>
      <c r="J711" s="26"/>
      <c r="K711" s="180"/>
      <c r="L711" s="180"/>
      <c r="M711" s="10"/>
      <c r="N711" s="10"/>
      <c r="O711" s="10"/>
      <c r="P711" s="10"/>
      <c r="Q711" s="164"/>
      <c r="R711" s="110"/>
    </row>
    <row r="712" spans="1:18">
      <c r="A712" s="90">
        <v>706</v>
      </c>
      <c r="B712" s="24">
        <f>DATE('1.연간시수표'!$U$44,'1.연간시수표'!$X$44,'1.연간시수표'!$Z$44)+QUOTIENT(ROW(A706)-1,8)+(QUOTIENT(ROW(A706)-1,40)*2)</f>
        <v>44921</v>
      </c>
      <c r="C712" s="24" t="str">
        <f t="shared" si="33"/>
        <v>월</v>
      </c>
      <c r="D712" s="116" t="str">
        <f t="shared" si="34"/>
        <v>2교시</v>
      </c>
      <c r="E712" s="68">
        <f>COUNTIF($H$7:$H712,$H712)</f>
        <v>238</v>
      </c>
      <c r="F712" s="67">
        <f>'1.연간시수표'!$AL$33</f>
        <v>5</v>
      </c>
      <c r="G712" s="115">
        <f t="shared" si="35"/>
        <v>2</v>
      </c>
      <c r="H712" s="41" t="str">
        <f>INDEX('0.시간표데이터'!$E$52:$AR$78,QUOTIENT(ROW(A706)-1,40)+1,MOD(ROW(A706)-1,40)+1)</f>
        <v>_</v>
      </c>
      <c r="I712" s="161"/>
      <c r="J712" s="26"/>
      <c r="K712" s="180"/>
      <c r="L712" s="180"/>
      <c r="M712" s="10"/>
      <c r="N712" s="10"/>
      <c r="O712" s="10"/>
      <c r="P712" s="10"/>
      <c r="Q712" s="164"/>
      <c r="R712" s="110"/>
    </row>
    <row r="713" spans="1:18">
      <c r="A713" s="90">
        <v>707</v>
      </c>
      <c r="B713" s="24">
        <f>DATE('1.연간시수표'!$U$44,'1.연간시수표'!$X$44,'1.연간시수표'!$Z$44)+QUOTIENT(ROW(A707)-1,8)+(QUOTIENT(ROW(A707)-1,40)*2)</f>
        <v>44921</v>
      </c>
      <c r="C713" s="24" t="str">
        <f t="shared" si="33"/>
        <v>월</v>
      </c>
      <c r="D713" s="116" t="str">
        <f t="shared" si="34"/>
        <v>3교시</v>
      </c>
      <c r="E713" s="68">
        <f>COUNTIF($H$7:$H713,$H713)</f>
        <v>239</v>
      </c>
      <c r="F713" s="67">
        <f>'1.연간시수표'!$AL$33</f>
        <v>5</v>
      </c>
      <c r="G713" s="115">
        <f t="shared" si="35"/>
        <v>2</v>
      </c>
      <c r="H713" s="41" t="str">
        <f>INDEX('0.시간표데이터'!$E$52:$AR$78,QUOTIENT(ROW(A707)-1,40)+1,MOD(ROW(A707)-1,40)+1)</f>
        <v>_</v>
      </c>
      <c r="I713" s="77"/>
      <c r="J713" s="26"/>
      <c r="K713" s="180"/>
      <c r="L713" s="180"/>
      <c r="M713" s="10"/>
      <c r="N713" s="10"/>
      <c r="O713" s="10"/>
      <c r="P713" s="10"/>
      <c r="Q713" s="164"/>
      <c r="R713" s="110"/>
    </row>
    <row r="714" spans="1:18">
      <c r="A714" s="90">
        <v>708</v>
      </c>
      <c r="B714" s="24">
        <f>DATE('1.연간시수표'!$U$44,'1.연간시수표'!$X$44,'1.연간시수표'!$Z$44)+QUOTIENT(ROW(A708)-1,8)+(QUOTIENT(ROW(A708)-1,40)*2)</f>
        <v>44921</v>
      </c>
      <c r="C714" s="24" t="str">
        <f t="shared" si="33"/>
        <v>월</v>
      </c>
      <c r="D714" s="116" t="str">
        <f t="shared" si="34"/>
        <v>4교시</v>
      </c>
      <c r="E714" s="68">
        <f>COUNTIF($H$7:$H714,$H714)</f>
        <v>240</v>
      </c>
      <c r="F714" s="67">
        <f>'1.연간시수표'!$AL$33</f>
        <v>5</v>
      </c>
      <c r="G714" s="115">
        <f t="shared" si="35"/>
        <v>2</v>
      </c>
      <c r="H714" s="41" t="str">
        <f>INDEX('0.시간표데이터'!$E$52:$AR$78,QUOTIENT(ROW(A708)-1,40)+1,MOD(ROW(A708)-1,40)+1)</f>
        <v>_</v>
      </c>
      <c r="I714" s="77"/>
      <c r="J714" s="26"/>
      <c r="K714" s="180"/>
      <c r="L714" s="180"/>
      <c r="M714" s="10"/>
      <c r="N714" s="10"/>
      <c r="O714" s="10"/>
      <c r="P714" s="10"/>
      <c r="Q714" s="164"/>
      <c r="R714" s="110"/>
    </row>
    <row r="715" spans="1:18">
      <c r="A715" s="90">
        <v>709</v>
      </c>
      <c r="B715" s="24">
        <f>DATE('1.연간시수표'!$U$44,'1.연간시수표'!$X$44,'1.연간시수표'!$Z$44)+QUOTIENT(ROW(A709)-1,8)+(QUOTIENT(ROW(A709)-1,40)*2)</f>
        <v>44921</v>
      </c>
      <c r="C715" s="24" t="str">
        <f t="shared" si="33"/>
        <v>월</v>
      </c>
      <c r="D715" s="116" t="str">
        <f t="shared" si="34"/>
        <v>5교시</v>
      </c>
      <c r="E715" s="68">
        <f>COUNTIF($H$7:$H715,$H715)</f>
        <v>241</v>
      </c>
      <c r="F715" s="67">
        <f>'1.연간시수표'!$AL$33</f>
        <v>5</v>
      </c>
      <c r="G715" s="115">
        <f t="shared" si="35"/>
        <v>2</v>
      </c>
      <c r="H715" s="41" t="str">
        <f>INDEX('0.시간표데이터'!$E$52:$AR$78,QUOTIENT(ROW(A709)-1,40)+1,MOD(ROW(A709)-1,40)+1)</f>
        <v>_</v>
      </c>
      <c r="I715" s="77"/>
      <c r="J715" s="26"/>
      <c r="K715" s="180"/>
      <c r="L715" s="180"/>
      <c r="M715" s="10"/>
      <c r="N715" s="10"/>
      <c r="O715" s="10"/>
      <c r="P715" s="10"/>
      <c r="Q715" s="164"/>
      <c r="R715" s="110"/>
    </row>
    <row r="716" spans="1:18">
      <c r="A716" s="90">
        <v>710</v>
      </c>
      <c r="B716" s="24">
        <f>DATE('1.연간시수표'!$U$44,'1.연간시수표'!$X$44,'1.연간시수표'!$Z$44)+QUOTIENT(ROW(A710)-1,8)+(QUOTIENT(ROW(A710)-1,40)*2)</f>
        <v>44921</v>
      </c>
      <c r="C716" s="24" t="str">
        <f t="shared" si="33"/>
        <v>월</v>
      </c>
      <c r="D716" s="116" t="str">
        <f t="shared" si="34"/>
        <v>6교시</v>
      </c>
      <c r="E716" s="68">
        <f>COUNTIF($H$7:$H716,$H716)</f>
        <v>242</v>
      </c>
      <c r="F716" s="67">
        <f>'1.연간시수표'!$AL$33</f>
        <v>5</v>
      </c>
      <c r="G716" s="115">
        <f t="shared" si="35"/>
        <v>2</v>
      </c>
      <c r="H716" s="41" t="str">
        <f>INDEX('0.시간표데이터'!$E$52:$AR$78,QUOTIENT(ROW(A710)-1,40)+1,MOD(ROW(A710)-1,40)+1)</f>
        <v>_</v>
      </c>
      <c r="I716" s="161"/>
      <c r="J716" s="26"/>
      <c r="K716" s="180"/>
      <c r="L716" s="180"/>
      <c r="M716" s="10"/>
      <c r="N716" s="10"/>
      <c r="O716" s="10"/>
      <c r="P716" s="10"/>
      <c r="Q716" s="164"/>
      <c r="R716" s="110"/>
    </row>
    <row r="717" spans="1:18">
      <c r="A717" s="90">
        <v>711</v>
      </c>
      <c r="B717" s="24">
        <f>DATE('1.연간시수표'!$U$44,'1.연간시수표'!$X$44,'1.연간시수표'!$Z$44)+QUOTIENT(ROW(A711)-1,8)+(QUOTIENT(ROW(A711)-1,40)*2)</f>
        <v>44921</v>
      </c>
      <c r="C717" s="24" t="str">
        <f t="shared" si="33"/>
        <v>월</v>
      </c>
      <c r="D717" s="116" t="str">
        <f t="shared" si="34"/>
        <v>7교시</v>
      </c>
      <c r="E717" s="68">
        <f>COUNTIF($H$7:$H717,$H717)</f>
        <v>243</v>
      </c>
      <c r="F717" s="67">
        <f>'1.연간시수표'!$AL$33</f>
        <v>5</v>
      </c>
      <c r="G717" s="115">
        <f t="shared" si="35"/>
        <v>2</v>
      </c>
      <c r="H717" s="41" t="str">
        <f>INDEX('0.시간표데이터'!$E$52:$AR$78,QUOTIENT(ROW(A711)-1,40)+1,MOD(ROW(A711)-1,40)+1)</f>
        <v>_</v>
      </c>
      <c r="I717" s="76"/>
      <c r="J717" s="26"/>
      <c r="K717" s="167"/>
      <c r="L717" s="167"/>
      <c r="M717" s="166"/>
      <c r="N717" s="166"/>
      <c r="O717" s="166"/>
      <c r="P717" s="166"/>
      <c r="Q717" s="167"/>
      <c r="R717" s="111"/>
    </row>
    <row r="718" spans="1:18">
      <c r="A718" s="90">
        <v>712</v>
      </c>
      <c r="B718" s="24">
        <f>DATE('1.연간시수표'!$U$44,'1.연간시수표'!$X$44,'1.연간시수표'!$Z$44)+QUOTIENT(ROW(A712)-1,8)+(QUOTIENT(ROW(A712)-1,40)*2)</f>
        <v>44921</v>
      </c>
      <c r="C718" s="24" t="str">
        <f t="shared" si="33"/>
        <v>월</v>
      </c>
      <c r="D718" s="116" t="str">
        <f t="shared" si="34"/>
        <v>8교시</v>
      </c>
      <c r="E718" s="68">
        <f>COUNTIF($H$7:$H718,$H718)</f>
        <v>244</v>
      </c>
      <c r="F718" s="67">
        <f>'1.연간시수표'!$AL$33</f>
        <v>5</v>
      </c>
      <c r="G718" s="115">
        <f t="shared" si="35"/>
        <v>2</v>
      </c>
      <c r="H718" s="41" t="str">
        <f>INDEX('0.시간표데이터'!$E$52:$AR$78,QUOTIENT(ROW(A712)-1,40)+1,MOD(ROW(A712)-1,40)+1)</f>
        <v>_</v>
      </c>
      <c r="I718" s="76"/>
      <c r="J718" s="26"/>
      <c r="K718" s="167"/>
      <c r="L718" s="167"/>
      <c r="M718" s="166"/>
      <c r="N718" s="166"/>
      <c r="O718" s="166"/>
      <c r="P718" s="166"/>
      <c r="Q718" s="167"/>
      <c r="R718" s="111"/>
    </row>
    <row r="719" spans="1:18">
      <c r="A719" s="90">
        <v>713</v>
      </c>
      <c r="B719" s="24">
        <f>DATE('1.연간시수표'!$U$44,'1.연간시수표'!$X$44,'1.연간시수표'!$Z$44)+QUOTIENT(ROW(A713)-1,8)+(QUOTIENT(ROW(A713)-1,40)*2)</f>
        <v>44922</v>
      </c>
      <c r="C719" s="24" t="str">
        <f t="shared" si="33"/>
        <v>화</v>
      </c>
      <c r="D719" s="116" t="str">
        <f t="shared" si="34"/>
        <v>1교시</v>
      </c>
      <c r="E719" s="68">
        <f>COUNTIF($H$7:$H719,$H719)</f>
        <v>245</v>
      </c>
      <c r="F719" s="67">
        <f>'1.연간시수표'!$AL$33</f>
        <v>5</v>
      </c>
      <c r="G719" s="115">
        <f t="shared" si="35"/>
        <v>2</v>
      </c>
      <c r="H719" s="41" t="str">
        <f>INDEX('0.시간표데이터'!$E$52:$AR$78,QUOTIENT(ROW(A713)-1,40)+1,MOD(ROW(A713)-1,40)+1)</f>
        <v>_</v>
      </c>
      <c r="I719" s="77"/>
      <c r="J719" s="26"/>
      <c r="K719" s="180"/>
      <c r="L719" s="180"/>
      <c r="M719" s="10"/>
      <c r="N719" s="10"/>
      <c r="O719" s="10"/>
      <c r="P719" s="10"/>
      <c r="Q719" s="164"/>
      <c r="R719" s="110"/>
    </row>
    <row r="720" spans="1:18">
      <c r="A720" s="90">
        <v>714</v>
      </c>
      <c r="B720" s="24">
        <f>DATE('1.연간시수표'!$U$44,'1.연간시수표'!$X$44,'1.연간시수표'!$Z$44)+QUOTIENT(ROW(A714)-1,8)+(QUOTIENT(ROW(A714)-1,40)*2)</f>
        <v>44922</v>
      </c>
      <c r="C720" s="24" t="str">
        <f t="shared" si="33"/>
        <v>화</v>
      </c>
      <c r="D720" s="116" t="str">
        <f t="shared" si="34"/>
        <v>2교시</v>
      </c>
      <c r="E720" s="68">
        <f>COUNTIF($H$7:$H720,$H720)</f>
        <v>246</v>
      </c>
      <c r="F720" s="67">
        <f>'1.연간시수표'!$AL$33</f>
        <v>5</v>
      </c>
      <c r="G720" s="115">
        <f t="shared" si="35"/>
        <v>2</v>
      </c>
      <c r="H720" s="41" t="str">
        <f>INDEX('0.시간표데이터'!$E$52:$AR$78,QUOTIENT(ROW(A714)-1,40)+1,MOD(ROW(A714)-1,40)+1)</f>
        <v>_</v>
      </c>
      <c r="I720" s="77"/>
      <c r="J720" s="26"/>
      <c r="K720" s="180"/>
      <c r="L720" s="180"/>
      <c r="M720" s="10"/>
      <c r="N720" s="10"/>
      <c r="O720" s="10"/>
      <c r="P720" s="10"/>
      <c r="Q720" s="164"/>
      <c r="R720" s="110"/>
    </row>
    <row r="721" spans="1:18">
      <c r="A721" s="90">
        <v>715</v>
      </c>
      <c r="B721" s="24">
        <f>DATE('1.연간시수표'!$U$44,'1.연간시수표'!$X$44,'1.연간시수표'!$Z$44)+QUOTIENT(ROW(A715)-1,8)+(QUOTIENT(ROW(A715)-1,40)*2)</f>
        <v>44922</v>
      </c>
      <c r="C721" s="24" t="str">
        <f t="shared" si="33"/>
        <v>화</v>
      </c>
      <c r="D721" s="116" t="str">
        <f t="shared" si="34"/>
        <v>3교시</v>
      </c>
      <c r="E721" s="68">
        <f>COUNTIF($H$7:$H721,$H721)</f>
        <v>247</v>
      </c>
      <c r="F721" s="67">
        <f>'1.연간시수표'!$AL$33</f>
        <v>5</v>
      </c>
      <c r="G721" s="115">
        <f t="shared" si="35"/>
        <v>2</v>
      </c>
      <c r="H721" s="41" t="str">
        <f>INDEX('0.시간표데이터'!$E$52:$AR$78,QUOTIENT(ROW(A715)-1,40)+1,MOD(ROW(A715)-1,40)+1)</f>
        <v>_</v>
      </c>
      <c r="I721" s="77"/>
      <c r="J721" s="26"/>
      <c r="K721" s="180"/>
      <c r="L721" s="180"/>
      <c r="M721" s="10"/>
      <c r="N721" s="10"/>
      <c r="O721" s="10"/>
      <c r="P721" s="10"/>
      <c r="Q721" s="164"/>
      <c r="R721" s="110"/>
    </row>
    <row r="722" spans="1:18">
      <c r="A722" s="90">
        <v>716</v>
      </c>
      <c r="B722" s="24">
        <f>DATE('1.연간시수표'!$U$44,'1.연간시수표'!$X$44,'1.연간시수표'!$Z$44)+QUOTIENT(ROW(A716)-1,8)+(QUOTIENT(ROW(A716)-1,40)*2)</f>
        <v>44922</v>
      </c>
      <c r="C722" s="24" t="str">
        <f t="shared" si="33"/>
        <v>화</v>
      </c>
      <c r="D722" s="116" t="str">
        <f t="shared" si="34"/>
        <v>4교시</v>
      </c>
      <c r="E722" s="68">
        <f>COUNTIF($H$7:$H722,$H722)</f>
        <v>248</v>
      </c>
      <c r="F722" s="67">
        <f>'1.연간시수표'!$AL$33</f>
        <v>5</v>
      </c>
      <c r="G722" s="115">
        <f t="shared" si="35"/>
        <v>2</v>
      </c>
      <c r="H722" s="41" t="str">
        <f>INDEX('0.시간표데이터'!$E$52:$AR$78,QUOTIENT(ROW(A716)-1,40)+1,MOD(ROW(A716)-1,40)+1)</f>
        <v>_</v>
      </c>
      <c r="I722" s="77"/>
      <c r="J722" s="26"/>
      <c r="K722" s="180"/>
      <c r="L722" s="180"/>
      <c r="M722" s="10"/>
      <c r="N722" s="10"/>
      <c r="O722" s="10"/>
      <c r="P722" s="10"/>
      <c r="Q722" s="164"/>
      <c r="R722" s="110"/>
    </row>
    <row r="723" spans="1:18">
      <c r="A723" s="90">
        <v>717</v>
      </c>
      <c r="B723" s="24">
        <f>DATE('1.연간시수표'!$U$44,'1.연간시수표'!$X$44,'1.연간시수표'!$Z$44)+QUOTIENT(ROW(A717)-1,8)+(QUOTIENT(ROW(A717)-1,40)*2)</f>
        <v>44922</v>
      </c>
      <c r="C723" s="24" t="str">
        <f t="shared" si="33"/>
        <v>화</v>
      </c>
      <c r="D723" s="116" t="str">
        <f t="shared" si="34"/>
        <v>5교시</v>
      </c>
      <c r="E723" s="68">
        <f>COUNTIF($H$7:$H723,$H723)</f>
        <v>249</v>
      </c>
      <c r="F723" s="67">
        <f>'1.연간시수표'!$AL$33</f>
        <v>5</v>
      </c>
      <c r="G723" s="115">
        <f t="shared" si="35"/>
        <v>2</v>
      </c>
      <c r="H723" s="41" t="str">
        <f>INDEX('0.시간표데이터'!$E$52:$AR$78,QUOTIENT(ROW(A717)-1,40)+1,MOD(ROW(A717)-1,40)+1)</f>
        <v>_</v>
      </c>
      <c r="I723" s="77"/>
      <c r="J723" s="26"/>
      <c r="K723" s="180"/>
      <c r="L723" s="180"/>
      <c r="M723" s="10"/>
      <c r="N723" s="10"/>
      <c r="O723" s="10"/>
      <c r="P723" s="10"/>
      <c r="Q723" s="164"/>
      <c r="R723" s="110"/>
    </row>
    <row r="724" spans="1:18">
      <c r="A724" s="90">
        <v>718</v>
      </c>
      <c r="B724" s="24">
        <f>DATE('1.연간시수표'!$U$44,'1.연간시수표'!$X$44,'1.연간시수표'!$Z$44)+QUOTIENT(ROW(A718)-1,8)+(QUOTIENT(ROW(A718)-1,40)*2)</f>
        <v>44922</v>
      </c>
      <c r="C724" s="24" t="str">
        <f t="shared" si="33"/>
        <v>화</v>
      </c>
      <c r="D724" s="116" t="str">
        <f t="shared" si="34"/>
        <v>6교시</v>
      </c>
      <c r="E724" s="68">
        <f>COUNTIF($H$7:$H724,$H724)</f>
        <v>250</v>
      </c>
      <c r="F724" s="67">
        <f>'1.연간시수표'!$AL$33</f>
        <v>5</v>
      </c>
      <c r="G724" s="115">
        <f t="shared" si="35"/>
        <v>2</v>
      </c>
      <c r="H724" s="41" t="str">
        <f>INDEX('0.시간표데이터'!$E$52:$AR$78,QUOTIENT(ROW(A718)-1,40)+1,MOD(ROW(A718)-1,40)+1)</f>
        <v>_</v>
      </c>
      <c r="I724" s="77"/>
      <c r="J724" s="26"/>
      <c r="K724" s="167"/>
      <c r="L724" s="167"/>
      <c r="M724" s="166"/>
      <c r="N724" s="166"/>
      <c r="O724" s="166"/>
      <c r="P724" s="166"/>
      <c r="Q724" s="167"/>
      <c r="R724" s="111"/>
    </row>
    <row r="725" spans="1:18">
      <c r="A725" s="90">
        <v>719</v>
      </c>
      <c r="B725" s="24">
        <f>DATE('1.연간시수표'!$U$44,'1.연간시수표'!$X$44,'1.연간시수표'!$Z$44)+QUOTIENT(ROW(A719)-1,8)+(QUOTIENT(ROW(A719)-1,40)*2)</f>
        <v>44922</v>
      </c>
      <c r="C725" s="24" t="str">
        <f t="shared" si="33"/>
        <v>화</v>
      </c>
      <c r="D725" s="116" t="str">
        <f t="shared" si="34"/>
        <v>7교시</v>
      </c>
      <c r="E725" s="68">
        <f>COUNTIF($H$7:$H725,$H725)</f>
        <v>251</v>
      </c>
      <c r="F725" s="67">
        <f>'1.연간시수표'!$AL$33</f>
        <v>5</v>
      </c>
      <c r="G725" s="115">
        <f t="shared" si="35"/>
        <v>2</v>
      </c>
      <c r="H725" s="41" t="str">
        <f>INDEX('0.시간표데이터'!$E$52:$AR$78,QUOTIENT(ROW(A719)-1,40)+1,MOD(ROW(A719)-1,40)+1)</f>
        <v>_</v>
      </c>
      <c r="I725" s="76"/>
      <c r="J725" s="26"/>
      <c r="K725" s="167"/>
      <c r="L725" s="167"/>
      <c r="M725" s="166"/>
      <c r="N725" s="166"/>
      <c r="O725" s="166"/>
      <c r="P725" s="166"/>
      <c r="Q725" s="167"/>
      <c r="R725" s="111"/>
    </row>
    <row r="726" spans="1:18">
      <c r="A726" s="90">
        <v>720</v>
      </c>
      <c r="B726" s="24">
        <f>DATE('1.연간시수표'!$U$44,'1.연간시수표'!$X$44,'1.연간시수표'!$Z$44)+QUOTIENT(ROW(A720)-1,8)+(QUOTIENT(ROW(A720)-1,40)*2)</f>
        <v>44922</v>
      </c>
      <c r="C726" s="24" t="str">
        <f t="shared" si="33"/>
        <v>화</v>
      </c>
      <c r="D726" s="116" t="str">
        <f t="shared" si="34"/>
        <v>8교시</v>
      </c>
      <c r="E726" s="68">
        <f>COUNTIF($H$7:$H726,$H726)</f>
        <v>252</v>
      </c>
      <c r="F726" s="67">
        <f>'1.연간시수표'!$AL$33</f>
        <v>5</v>
      </c>
      <c r="G726" s="115">
        <f t="shared" si="35"/>
        <v>2</v>
      </c>
      <c r="H726" s="41" t="str">
        <f>INDEX('0.시간표데이터'!$E$52:$AR$78,QUOTIENT(ROW(A720)-1,40)+1,MOD(ROW(A720)-1,40)+1)</f>
        <v>_</v>
      </c>
      <c r="I726" s="76"/>
      <c r="J726" s="26"/>
      <c r="K726" s="167"/>
      <c r="L726" s="167"/>
      <c r="M726" s="166"/>
      <c r="N726" s="166"/>
      <c r="O726" s="166"/>
      <c r="P726" s="166"/>
      <c r="Q726" s="167"/>
      <c r="R726" s="111"/>
    </row>
    <row r="727" spans="1:18">
      <c r="A727" s="90">
        <v>721</v>
      </c>
      <c r="B727" s="24">
        <f>DATE('1.연간시수표'!$U$44,'1.연간시수표'!$X$44,'1.연간시수표'!$Z$44)+QUOTIENT(ROW(A721)-1,8)+(QUOTIENT(ROW(A721)-1,40)*2)</f>
        <v>44925</v>
      </c>
      <c r="C727" s="24" t="str">
        <f t="shared" si="33"/>
        <v>금</v>
      </c>
      <c r="D727" s="116" t="str">
        <f t="shared" si="34"/>
        <v>1교시</v>
      </c>
      <c r="E727" s="68">
        <f>COUNTIF($H$7:$H727,$H727)</f>
        <v>253</v>
      </c>
      <c r="F727" s="67">
        <f>'1.연간시수표'!$AL$33</f>
        <v>5</v>
      </c>
      <c r="G727" s="115">
        <f t="shared" si="35"/>
        <v>2</v>
      </c>
      <c r="H727" s="41" t="str">
        <f>INDEX('0.시간표데이터'!$E$52:$AR$78,QUOTIENT(ROW(A721)-1,40)+1,MOD(ROW(A721)-1,40)+1)</f>
        <v>_</v>
      </c>
      <c r="I727" s="77"/>
      <c r="J727" s="26"/>
      <c r="K727" s="180"/>
      <c r="L727" s="180"/>
      <c r="M727" s="10"/>
      <c r="N727" s="10"/>
      <c r="O727" s="10"/>
      <c r="P727" s="10"/>
      <c r="Q727" s="164"/>
      <c r="R727" s="110"/>
    </row>
    <row r="728" spans="1:18">
      <c r="A728" s="90">
        <v>722</v>
      </c>
      <c r="B728" s="24">
        <f>DATE('1.연간시수표'!$U$44,'1.연간시수표'!$X$44,'1.연간시수표'!$Z$44)+QUOTIENT(ROW(A722)-1,8)+(QUOTIENT(ROW(A722)-1,40)*2)</f>
        <v>44925</v>
      </c>
      <c r="C728" s="24" t="str">
        <f t="shared" si="33"/>
        <v>금</v>
      </c>
      <c r="D728" s="116" t="str">
        <f t="shared" si="34"/>
        <v>2교시</v>
      </c>
      <c r="E728" s="68">
        <f>COUNTIF($H$7:$H728,$H728)</f>
        <v>254</v>
      </c>
      <c r="F728" s="67">
        <f>'1.연간시수표'!$AL$33</f>
        <v>5</v>
      </c>
      <c r="G728" s="115">
        <f t="shared" si="35"/>
        <v>2</v>
      </c>
      <c r="H728" s="41" t="str">
        <f>INDEX('0.시간표데이터'!$E$52:$AR$78,QUOTIENT(ROW(A722)-1,40)+1,MOD(ROW(A722)-1,40)+1)</f>
        <v>_</v>
      </c>
      <c r="I728" s="161"/>
      <c r="J728" s="26"/>
      <c r="K728" s="180"/>
      <c r="L728" s="180"/>
      <c r="M728" s="10"/>
      <c r="N728" s="10"/>
      <c r="O728" s="10"/>
      <c r="P728" s="10"/>
      <c r="Q728" s="164"/>
      <c r="R728" s="110"/>
    </row>
    <row r="729" spans="1:18">
      <c r="A729" s="90">
        <v>723</v>
      </c>
      <c r="B729" s="24">
        <f>DATE('1.연간시수표'!$U$44,'1.연간시수표'!$X$44,'1.연간시수표'!$Z$44)+QUOTIENT(ROW(A723)-1,8)+(QUOTIENT(ROW(A723)-1,40)*2)</f>
        <v>44925</v>
      </c>
      <c r="C729" s="24" t="str">
        <f t="shared" si="33"/>
        <v>금</v>
      </c>
      <c r="D729" s="116" t="str">
        <f t="shared" si="34"/>
        <v>3교시</v>
      </c>
      <c r="E729" s="68">
        <f>COUNTIF($H$7:$H729,$H729)</f>
        <v>255</v>
      </c>
      <c r="F729" s="67">
        <f>'1.연간시수표'!$AL$33</f>
        <v>5</v>
      </c>
      <c r="G729" s="115">
        <f t="shared" si="35"/>
        <v>2</v>
      </c>
      <c r="H729" s="41" t="str">
        <f>INDEX('0.시간표데이터'!$E$52:$AR$78,QUOTIENT(ROW(A723)-1,40)+1,MOD(ROW(A723)-1,40)+1)</f>
        <v>_</v>
      </c>
      <c r="I729" s="77"/>
      <c r="J729" s="26"/>
      <c r="K729" s="180"/>
      <c r="L729" s="180"/>
      <c r="M729" s="10"/>
      <c r="N729" s="10"/>
      <c r="O729" s="10"/>
      <c r="P729" s="10"/>
      <c r="Q729" s="164"/>
      <c r="R729" s="110"/>
    </row>
    <row r="730" spans="1:18">
      <c r="A730" s="90">
        <v>724</v>
      </c>
      <c r="B730" s="24">
        <f>DATE('1.연간시수표'!$U$44,'1.연간시수표'!$X$44,'1.연간시수표'!$Z$44)+QUOTIENT(ROW(A724)-1,8)+(QUOTIENT(ROW(A724)-1,40)*2)</f>
        <v>44925</v>
      </c>
      <c r="C730" s="24" t="str">
        <f t="shared" si="33"/>
        <v>금</v>
      </c>
      <c r="D730" s="116" t="str">
        <f t="shared" si="34"/>
        <v>4교시</v>
      </c>
      <c r="E730" s="68">
        <f>COUNTIF($H$7:$H730,$H730)</f>
        <v>256</v>
      </c>
      <c r="F730" s="67">
        <f>'1.연간시수표'!$AL$33</f>
        <v>5</v>
      </c>
      <c r="G730" s="115">
        <f t="shared" si="35"/>
        <v>2</v>
      </c>
      <c r="H730" s="41" t="str">
        <f>INDEX('0.시간표데이터'!$E$52:$AR$78,QUOTIENT(ROW(A724)-1,40)+1,MOD(ROW(A724)-1,40)+1)</f>
        <v>_</v>
      </c>
      <c r="I730" s="77"/>
      <c r="J730" s="26"/>
      <c r="K730" s="180"/>
      <c r="L730" s="180"/>
      <c r="M730" s="10"/>
      <c r="N730" s="10"/>
      <c r="O730" s="10"/>
      <c r="P730" s="10"/>
      <c r="Q730" s="164"/>
      <c r="R730" s="110"/>
    </row>
    <row r="731" spans="1:18">
      <c r="A731" s="90">
        <v>725</v>
      </c>
      <c r="B731" s="24">
        <f>DATE('1.연간시수표'!$U$44,'1.연간시수표'!$X$44,'1.연간시수표'!$Z$44)+QUOTIENT(ROW(A725)-1,8)+(QUOTIENT(ROW(A725)-1,40)*2)</f>
        <v>44925</v>
      </c>
      <c r="C731" s="24" t="str">
        <f t="shared" si="33"/>
        <v>금</v>
      </c>
      <c r="D731" s="116" t="str">
        <f t="shared" si="34"/>
        <v>5교시</v>
      </c>
      <c r="E731" s="68">
        <f>COUNTIF($H$7:$H731,$H731)</f>
        <v>257</v>
      </c>
      <c r="F731" s="67">
        <f>'1.연간시수표'!$AL$33</f>
        <v>5</v>
      </c>
      <c r="G731" s="115">
        <f t="shared" si="35"/>
        <v>2</v>
      </c>
      <c r="H731" s="41" t="str">
        <f>INDEX('0.시간표데이터'!$E$52:$AR$78,QUOTIENT(ROW(A725)-1,40)+1,MOD(ROW(A725)-1,40)+1)</f>
        <v>_</v>
      </c>
      <c r="I731" s="77"/>
      <c r="J731" s="26"/>
      <c r="K731" s="180"/>
      <c r="L731" s="180"/>
      <c r="M731" s="10"/>
      <c r="N731" s="10"/>
      <c r="O731" s="10"/>
      <c r="P731" s="10"/>
      <c r="Q731" s="164"/>
      <c r="R731" s="110"/>
    </row>
    <row r="732" spans="1:18">
      <c r="A732" s="90">
        <v>726</v>
      </c>
      <c r="B732" s="24">
        <f>DATE('1.연간시수표'!$U$44,'1.연간시수표'!$X$44,'1.연간시수표'!$Z$44)+QUOTIENT(ROW(A726)-1,8)+(QUOTIENT(ROW(A726)-1,40)*2)</f>
        <v>44925</v>
      </c>
      <c r="C732" s="24" t="str">
        <f t="shared" si="33"/>
        <v>금</v>
      </c>
      <c r="D732" s="116" t="str">
        <f t="shared" si="34"/>
        <v>6교시</v>
      </c>
      <c r="E732" s="68">
        <f>COUNTIF($H$7:$H732,$H732)</f>
        <v>258</v>
      </c>
      <c r="F732" s="67">
        <f>'1.연간시수표'!$AL$33</f>
        <v>5</v>
      </c>
      <c r="G732" s="115">
        <f t="shared" si="35"/>
        <v>2</v>
      </c>
      <c r="H732" s="41" t="str">
        <f>INDEX('0.시간표데이터'!$E$52:$AR$78,QUOTIENT(ROW(A726)-1,40)+1,MOD(ROW(A726)-1,40)+1)</f>
        <v>_</v>
      </c>
      <c r="I732" s="77"/>
      <c r="J732" s="26"/>
      <c r="K732" s="167"/>
      <c r="L732" s="167"/>
      <c r="M732" s="166"/>
      <c r="N732" s="166"/>
      <c r="O732" s="166"/>
      <c r="P732" s="166"/>
      <c r="Q732" s="167"/>
      <c r="R732" s="111"/>
    </row>
    <row r="733" spans="1:18">
      <c r="A733" s="90">
        <v>727</v>
      </c>
      <c r="B733" s="24">
        <f>DATE('1.연간시수표'!$U$44,'1.연간시수표'!$X$44,'1.연간시수표'!$Z$44)+QUOTIENT(ROW(A727)-1,8)+(QUOTIENT(ROW(A727)-1,40)*2)</f>
        <v>44925</v>
      </c>
      <c r="C733" s="24" t="str">
        <f t="shared" si="33"/>
        <v>금</v>
      </c>
      <c r="D733" s="116" t="str">
        <f t="shared" si="34"/>
        <v>7교시</v>
      </c>
      <c r="E733" s="68">
        <f>COUNTIF($H$7:$H733,$H733)</f>
        <v>259</v>
      </c>
      <c r="F733" s="67">
        <f>'1.연간시수표'!$AL$33</f>
        <v>5</v>
      </c>
      <c r="G733" s="115">
        <f t="shared" si="35"/>
        <v>2</v>
      </c>
      <c r="H733" s="41" t="str">
        <f>INDEX('0.시간표데이터'!$E$52:$AR$78,QUOTIENT(ROW(A727)-1,40)+1,MOD(ROW(A727)-1,40)+1)</f>
        <v>_</v>
      </c>
      <c r="I733" s="76"/>
      <c r="J733" s="26"/>
      <c r="K733" s="167"/>
      <c r="L733" s="167"/>
      <c r="M733" s="166"/>
      <c r="N733" s="166"/>
      <c r="O733" s="166"/>
      <c r="P733" s="166"/>
      <c r="Q733" s="167"/>
      <c r="R733" s="111"/>
    </row>
    <row r="734" spans="1:18">
      <c r="A734" s="90">
        <v>728</v>
      </c>
      <c r="B734" s="24">
        <f>DATE('1.연간시수표'!$U$44,'1.연간시수표'!$X$44,'1.연간시수표'!$Z$44)+QUOTIENT(ROW(A728)-1,8)+(QUOTIENT(ROW(A728)-1,40)*2)</f>
        <v>44925</v>
      </c>
      <c r="C734" s="24" t="str">
        <f t="shared" si="33"/>
        <v>금</v>
      </c>
      <c r="D734" s="116" t="str">
        <f t="shared" si="34"/>
        <v>8교시</v>
      </c>
      <c r="E734" s="68">
        <f>COUNTIF($H$7:$H734,$H734)</f>
        <v>260</v>
      </c>
      <c r="F734" s="67">
        <f>'1.연간시수표'!$AL$33</f>
        <v>5</v>
      </c>
      <c r="G734" s="115">
        <f t="shared" si="35"/>
        <v>2</v>
      </c>
      <c r="H734" s="41" t="str">
        <f>INDEX('0.시간표데이터'!$E$52:$AR$78,QUOTIENT(ROW(A728)-1,40)+1,MOD(ROW(A728)-1,40)+1)</f>
        <v>_</v>
      </c>
      <c r="I734" s="76"/>
      <c r="J734" s="26"/>
      <c r="K734" s="167"/>
      <c r="L734" s="167"/>
      <c r="M734" s="166"/>
      <c r="N734" s="166"/>
      <c r="O734" s="166"/>
      <c r="P734" s="166"/>
      <c r="Q734" s="167"/>
      <c r="R734" s="111"/>
    </row>
    <row r="735" spans="1:18">
      <c r="A735" s="90">
        <v>729</v>
      </c>
      <c r="B735" s="24">
        <f>DATE('1.연간시수표'!$U$44,'1.연간시수표'!$X$44,'1.연간시수표'!$Z$44)+QUOTIENT(ROW(A729)-1,8)+(QUOTIENT(ROW(A729)-1,40)*2)</f>
        <v>44926</v>
      </c>
      <c r="C735" s="24" t="b">
        <f t="shared" si="33"/>
        <v>0</v>
      </c>
      <c r="D735" s="116" t="str">
        <f t="shared" si="34"/>
        <v>1교시</v>
      </c>
      <c r="E735" s="68">
        <f>COUNTIF($H$7:$H735,$H735)</f>
        <v>261</v>
      </c>
      <c r="F735" s="67">
        <f>'1.연간시수표'!$AL$33</f>
        <v>5</v>
      </c>
      <c r="G735" s="115">
        <f t="shared" si="35"/>
        <v>2</v>
      </c>
      <c r="H735" s="41" t="str">
        <f>INDEX('0.시간표데이터'!$E$52:$AR$78,QUOTIENT(ROW(A729)-1,40)+1,MOD(ROW(A729)-1,40)+1)</f>
        <v>_</v>
      </c>
      <c r="I735" s="77"/>
      <c r="J735" s="26"/>
      <c r="K735" s="180"/>
      <c r="L735" s="180"/>
      <c r="M735" s="10"/>
      <c r="N735" s="10"/>
      <c r="O735" s="10"/>
      <c r="P735" s="10"/>
      <c r="Q735" s="164"/>
      <c r="R735" s="110"/>
    </row>
    <row r="736" spans="1:18">
      <c r="A736" s="90">
        <v>730</v>
      </c>
      <c r="B736" s="24">
        <f>DATE('1.연간시수표'!$U$44,'1.연간시수표'!$X$44,'1.연간시수표'!$Z$44)+QUOTIENT(ROW(A730)-1,8)+(QUOTIENT(ROW(A730)-1,40)*2)</f>
        <v>44926</v>
      </c>
      <c r="C736" s="24" t="b">
        <f t="shared" si="33"/>
        <v>0</v>
      </c>
      <c r="D736" s="116" t="str">
        <f t="shared" si="34"/>
        <v>2교시</v>
      </c>
      <c r="E736" s="68">
        <f>COUNTIF($H$7:$H736,$H736)</f>
        <v>262</v>
      </c>
      <c r="F736" s="67">
        <f>'1.연간시수표'!$AL$33</f>
        <v>5</v>
      </c>
      <c r="G736" s="115">
        <f t="shared" si="35"/>
        <v>2</v>
      </c>
      <c r="H736" s="41" t="str">
        <f>INDEX('0.시간표데이터'!$E$52:$AR$78,QUOTIENT(ROW(A730)-1,40)+1,MOD(ROW(A730)-1,40)+1)</f>
        <v>_</v>
      </c>
      <c r="I736" s="161"/>
      <c r="J736" s="26"/>
      <c r="K736" s="180"/>
      <c r="L736" s="180"/>
      <c r="M736" s="10"/>
      <c r="N736" s="10"/>
      <c r="O736" s="10"/>
      <c r="P736" s="10"/>
      <c r="Q736" s="164"/>
      <c r="R736" s="110"/>
    </row>
    <row r="737" spans="1:18">
      <c r="A737" s="90">
        <v>731</v>
      </c>
      <c r="B737" s="24">
        <f>DATE('1.연간시수표'!$U$44,'1.연간시수표'!$X$44,'1.연간시수표'!$Z$44)+QUOTIENT(ROW(A731)-1,8)+(QUOTIENT(ROW(A731)-1,40)*2)</f>
        <v>44926</v>
      </c>
      <c r="C737" s="24" t="b">
        <f t="shared" si="33"/>
        <v>0</v>
      </c>
      <c r="D737" s="116" t="str">
        <f t="shared" si="34"/>
        <v>3교시</v>
      </c>
      <c r="E737" s="68">
        <f>COUNTIF($H$7:$H737,$H737)</f>
        <v>263</v>
      </c>
      <c r="F737" s="67">
        <f>'1.연간시수표'!$AL$33</f>
        <v>5</v>
      </c>
      <c r="G737" s="115">
        <f t="shared" si="35"/>
        <v>2</v>
      </c>
      <c r="H737" s="41" t="str">
        <f>INDEX('0.시간표데이터'!$E$52:$AR$78,QUOTIENT(ROW(A731)-1,40)+1,MOD(ROW(A731)-1,40)+1)</f>
        <v>_</v>
      </c>
      <c r="I737" s="77"/>
      <c r="J737" s="26"/>
      <c r="K737" s="180"/>
      <c r="L737" s="180"/>
      <c r="M737" s="10"/>
      <c r="N737" s="10"/>
      <c r="O737" s="10"/>
      <c r="P737" s="10"/>
      <c r="Q737" s="164"/>
      <c r="R737" s="110"/>
    </row>
    <row r="738" spans="1:18">
      <c r="A738" s="90">
        <v>732</v>
      </c>
      <c r="B738" s="24">
        <f>DATE('1.연간시수표'!$U$44,'1.연간시수표'!$X$44,'1.연간시수표'!$Z$44)+QUOTIENT(ROW(A732)-1,8)+(QUOTIENT(ROW(A732)-1,40)*2)</f>
        <v>44926</v>
      </c>
      <c r="C738" s="24" t="b">
        <f t="shared" si="33"/>
        <v>0</v>
      </c>
      <c r="D738" s="116" t="str">
        <f t="shared" si="34"/>
        <v>4교시</v>
      </c>
      <c r="E738" s="68">
        <f>COUNTIF($H$7:$H738,$H738)</f>
        <v>264</v>
      </c>
      <c r="F738" s="67">
        <f>'1.연간시수표'!$AL$33</f>
        <v>5</v>
      </c>
      <c r="G738" s="115">
        <f t="shared" si="35"/>
        <v>2</v>
      </c>
      <c r="H738" s="41" t="str">
        <f>INDEX('0.시간표데이터'!$E$52:$AR$78,QUOTIENT(ROW(A732)-1,40)+1,MOD(ROW(A732)-1,40)+1)</f>
        <v>_</v>
      </c>
      <c r="I738" s="77"/>
      <c r="J738" s="26"/>
      <c r="K738" s="180"/>
      <c r="L738" s="180"/>
      <c r="M738" s="10"/>
      <c r="N738" s="10"/>
      <c r="O738" s="10"/>
      <c r="P738" s="10"/>
      <c r="Q738" s="164"/>
      <c r="R738" s="110"/>
    </row>
    <row r="739" spans="1:18">
      <c r="A739" s="90">
        <v>733</v>
      </c>
      <c r="B739" s="24">
        <f>DATE('1.연간시수표'!$U$44,'1.연간시수표'!$X$44,'1.연간시수표'!$Z$44)+QUOTIENT(ROW(A733)-1,8)+(QUOTIENT(ROW(A733)-1,40)*2)</f>
        <v>44926</v>
      </c>
      <c r="C739" s="24" t="b">
        <f t="shared" si="33"/>
        <v>0</v>
      </c>
      <c r="D739" s="116" t="str">
        <f t="shared" si="34"/>
        <v>5교시</v>
      </c>
      <c r="E739" s="68">
        <f>COUNTIF($H$7:$H739,$H739)</f>
        <v>265</v>
      </c>
      <c r="F739" s="67">
        <f>'1.연간시수표'!$AL$33</f>
        <v>5</v>
      </c>
      <c r="G739" s="115">
        <f t="shared" si="35"/>
        <v>2</v>
      </c>
      <c r="H739" s="41" t="str">
        <f>INDEX('0.시간표데이터'!$E$52:$AR$78,QUOTIENT(ROW(A733)-1,40)+1,MOD(ROW(A733)-1,40)+1)</f>
        <v>_</v>
      </c>
      <c r="I739" s="77"/>
      <c r="J739" s="26"/>
      <c r="K739" s="180"/>
      <c r="L739" s="180"/>
      <c r="M739" s="10"/>
      <c r="N739" s="10"/>
      <c r="O739" s="10"/>
      <c r="P739" s="10"/>
      <c r="Q739" s="164"/>
      <c r="R739" s="110"/>
    </row>
    <row r="740" spans="1:18">
      <c r="A740" s="90">
        <v>734</v>
      </c>
      <c r="B740" s="24">
        <f>DATE('1.연간시수표'!$U$44,'1.연간시수표'!$X$44,'1.연간시수표'!$Z$44)+QUOTIENT(ROW(A734)-1,8)+(QUOTIENT(ROW(A734)-1,40)*2)</f>
        <v>44926</v>
      </c>
      <c r="C740" s="24" t="b">
        <f t="shared" si="33"/>
        <v>0</v>
      </c>
      <c r="D740" s="116" t="str">
        <f t="shared" si="34"/>
        <v>6교시</v>
      </c>
      <c r="E740" s="68">
        <f>COUNTIF($H$7:$H740,$H740)</f>
        <v>266</v>
      </c>
      <c r="F740" s="67">
        <f>'1.연간시수표'!$AL$33</f>
        <v>5</v>
      </c>
      <c r="G740" s="115">
        <f t="shared" si="35"/>
        <v>2</v>
      </c>
      <c r="H740" s="41" t="str">
        <f>INDEX('0.시간표데이터'!$E$52:$AR$78,QUOTIENT(ROW(A734)-1,40)+1,MOD(ROW(A734)-1,40)+1)</f>
        <v>_</v>
      </c>
      <c r="I740" s="77"/>
      <c r="J740" s="26"/>
      <c r="K740" s="180"/>
      <c r="L740" s="180"/>
      <c r="M740" s="10"/>
      <c r="N740" s="10"/>
      <c r="O740" s="10"/>
      <c r="P740" s="10"/>
      <c r="Q740" s="164"/>
      <c r="R740" s="110"/>
    </row>
    <row r="741" spans="1:18">
      <c r="A741" s="90">
        <v>735</v>
      </c>
      <c r="B741" s="24">
        <f>DATE('1.연간시수표'!$U$44,'1.연간시수표'!$X$44,'1.연간시수표'!$Z$44)+QUOTIENT(ROW(A735)-1,8)+(QUOTIENT(ROW(A735)-1,40)*2)</f>
        <v>44926</v>
      </c>
      <c r="C741" s="24" t="b">
        <f t="shared" si="33"/>
        <v>0</v>
      </c>
      <c r="D741" s="116" t="str">
        <f t="shared" si="34"/>
        <v>7교시</v>
      </c>
      <c r="E741" s="68">
        <f>COUNTIF($H$7:$H741,$H741)</f>
        <v>267</v>
      </c>
      <c r="F741" s="67">
        <f>'1.연간시수표'!$AL$33</f>
        <v>5</v>
      </c>
      <c r="G741" s="115">
        <f t="shared" si="35"/>
        <v>2</v>
      </c>
      <c r="H741" s="41" t="str">
        <f>INDEX('0.시간표데이터'!$E$52:$AR$78,QUOTIENT(ROW(A735)-1,40)+1,MOD(ROW(A735)-1,40)+1)</f>
        <v>_</v>
      </c>
      <c r="I741" s="76"/>
      <c r="J741" s="26"/>
      <c r="K741" s="167"/>
      <c r="L741" s="167"/>
      <c r="M741" s="166"/>
      <c r="N741" s="166"/>
      <c r="O741" s="166"/>
      <c r="P741" s="166"/>
      <c r="Q741" s="167"/>
      <c r="R741" s="111"/>
    </row>
    <row r="742" spans="1:18">
      <c r="A742" s="90">
        <v>736</v>
      </c>
      <c r="B742" s="24">
        <f>DATE('1.연간시수표'!$U$44,'1.연간시수표'!$X$44,'1.연간시수표'!$Z$44)+QUOTIENT(ROW(A736)-1,8)+(QUOTIENT(ROW(A736)-1,40)*2)</f>
        <v>44926</v>
      </c>
      <c r="C742" s="24" t="b">
        <f t="shared" si="33"/>
        <v>0</v>
      </c>
      <c r="D742" s="116" t="str">
        <f t="shared" si="34"/>
        <v>8교시</v>
      </c>
      <c r="E742" s="68">
        <f>COUNTIF($H$7:$H742,$H742)</f>
        <v>268</v>
      </c>
      <c r="F742" s="67">
        <f>'1.연간시수표'!$AL$33</f>
        <v>5</v>
      </c>
      <c r="G742" s="115">
        <f t="shared" si="35"/>
        <v>2</v>
      </c>
      <c r="H742" s="41" t="str">
        <f>INDEX('0.시간표데이터'!$E$52:$AR$78,QUOTIENT(ROW(A736)-1,40)+1,MOD(ROW(A736)-1,40)+1)</f>
        <v>_</v>
      </c>
      <c r="I742" s="76"/>
      <c r="J742" s="26"/>
      <c r="K742" s="167"/>
      <c r="L742" s="167"/>
      <c r="M742" s="166"/>
      <c r="N742" s="166"/>
      <c r="O742" s="166"/>
      <c r="P742" s="166"/>
      <c r="Q742" s="167"/>
      <c r="R742" s="111"/>
    </row>
    <row r="743" spans="1:18">
      <c r="A743" s="90">
        <v>737</v>
      </c>
      <c r="B743" s="24">
        <f>DATE('1.연간시수표'!$U$44,'1.연간시수표'!$X$44,'1.연간시수표'!$Z$44)+QUOTIENT(ROW(A737)-1,8)+(QUOTIENT(ROW(A737)-1,40)*2)</f>
        <v>44927</v>
      </c>
      <c r="C743" s="24" t="b">
        <f t="shared" si="33"/>
        <v>0</v>
      </c>
      <c r="D743" s="116" t="str">
        <f t="shared" si="34"/>
        <v>1교시</v>
      </c>
      <c r="E743" s="68">
        <f>COUNTIF($H$7:$H743,$H743)</f>
        <v>269</v>
      </c>
      <c r="F743" s="67">
        <f>'1.연간시수표'!$AL$33</f>
        <v>5</v>
      </c>
      <c r="G743" s="115">
        <f t="shared" si="35"/>
        <v>2</v>
      </c>
      <c r="H743" s="41" t="str">
        <f>INDEX('0.시간표데이터'!$E$52:$AR$78,QUOTIENT(ROW(A737)-1,40)+1,MOD(ROW(A737)-1,40)+1)</f>
        <v>_</v>
      </c>
      <c r="I743" s="77"/>
      <c r="J743" s="26"/>
      <c r="K743" s="180"/>
      <c r="L743" s="180"/>
      <c r="M743" s="10"/>
      <c r="N743" s="10"/>
      <c r="O743" s="10"/>
      <c r="P743" s="10"/>
      <c r="Q743" s="164"/>
      <c r="R743" s="110"/>
    </row>
    <row r="744" spans="1:18">
      <c r="A744" s="90">
        <v>738</v>
      </c>
      <c r="B744" s="24">
        <f>DATE('1.연간시수표'!$U$44,'1.연간시수표'!$X$44,'1.연간시수표'!$Z$44)+QUOTIENT(ROW(A738)-1,8)+(QUOTIENT(ROW(A738)-1,40)*2)</f>
        <v>44927</v>
      </c>
      <c r="C744" s="24" t="b">
        <f t="shared" si="33"/>
        <v>0</v>
      </c>
      <c r="D744" s="116" t="str">
        <f t="shared" si="34"/>
        <v>2교시</v>
      </c>
      <c r="E744" s="68">
        <f>COUNTIF($H$7:$H744,$H744)</f>
        <v>270</v>
      </c>
      <c r="F744" s="67">
        <f>'1.연간시수표'!$AL$33</f>
        <v>5</v>
      </c>
      <c r="G744" s="115">
        <f t="shared" si="35"/>
        <v>2</v>
      </c>
      <c r="H744" s="41" t="str">
        <f>INDEX('0.시간표데이터'!$E$52:$AR$78,QUOTIENT(ROW(A738)-1,40)+1,MOD(ROW(A738)-1,40)+1)</f>
        <v>_</v>
      </c>
      <c r="I744" s="77"/>
      <c r="J744" s="26"/>
      <c r="K744" s="180"/>
      <c r="L744" s="180"/>
      <c r="M744" s="10"/>
      <c r="N744" s="10"/>
      <c r="O744" s="10"/>
      <c r="P744" s="10"/>
      <c r="Q744" s="164"/>
      <c r="R744" s="110"/>
    </row>
    <row r="745" spans="1:18">
      <c r="A745" s="90">
        <v>739</v>
      </c>
      <c r="B745" s="24">
        <f>DATE('1.연간시수표'!$U$44,'1.연간시수표'!$X$44,'1.연간시수표'!$Z$44)+QUOTIENT(ROW(A739)-1,8)+(QUOTIENT(ROW(A739)-1,40)*2)</f>
        <v>44927</v>
      </c>
      <c r="C745" s="24" t="b">
        <f t="shared" si="33"/>
        <v>0</v>
      </c>
      <c r="D745" s="116" t="str">
        <f t="shared" si="34"/>
        <v>3교시</v>
      </c>
      <c r="E745" s="68">
        <f>COUNTIF($H$7:$H745,$H745)</f>
        <v>271</v>
      </c>
      <c r="F745" s="67">
        <f>'1.연간시수표'!$AL$33</f>
        <v>5</v>
      </c>
      <c r="G745" s="115">
        <f t="shared" si="35"/>
        <v>2</v>
      </c>
      <c r="H745" s="41" t="str">
        <f>INDEX('0.시간표데이터'!$E$52:$AR$78,QUOTIENT(ROW(A739)-1,40)+1,MOD(ROW(A739)-1,40)+1)</f>
        <v>_</v>
      </c>
      <c r="I745" s="77"/>
      <c r="J745" s="26"/>
      <c r="K745" s="180"/>
      <c r="L745" s="180"/>
      <c r="M745" s="10"/>
      <c r="N745" s="10"/>
      <c r="O745" s="10"/>
      <c r="P745" s="10"/>
      <c r="Q745" s="164"/>
      <c r="R745" s="110"/>
    </row>
    <row r="746" spans="1:18">
      <c r="A746" s="90">
        <v>740</v>
      </c>
      <c r="B746" s="24">
        <f>DATE('1.연간시수표'!$U$44,'1.연간시수표'!$X$44,'1.연간시수표'!$Z$44)+QUOTIENT(ROW(A740)-1,8)+(QUOTIENT(ROW(A740)-1,40)*2)</f>
        <v>44927</v>
      </c>
      <c r="C746" s="24" t="b">
        <f t="shared" si="33"/>
        <v>0</v>
      </c>
      <c r="D746" s="116" t="str">
        <f t="shared" si="34"/>
        <v>4교시</v>
      </c>
      <c r="E746" s="68">
        <f>COUNTIF($H$7:$H746,$H746)</f>
        <v>272</v>
      </c>
      <c r="F746" s="67">
        <f>'1.연간시수표'!$AL$33</f>
        <v>5</v>
      </c>
      <c r="G746" s="115">
        <f t="shared" si="35"/>
        <v>2</v>
      </c>
      <c r="H746" s="41" t="str">
        <f>INDEX('0.시간표데이터'!$E$52:$AR$78,QUOTIENT(ROW(A740)-1,40)+1,MOD(ROW(A740)-1,40)+1)</f>
        <v>_</v>
      </c>
      <c r="I746" s="77"/>
      <c r="J746" s="26"/>
      <c r="K746" s="180"/>
      <c r="L746" s="180"/>
      <c r="M746" s="10"/>
      <c r="N746" s="10"/>
      <c r="O746" s="10"/>
      <c r="P746" s="10"/>
      <c r="Q746" s="164"/>
      <c r="R746" s="110"/>
    </row>
    <row r="747" spans="1:18">
      <c r="A747" s="90">
        <v>741</v>
      </c>
      <c r="B747" s="24">
        <f>DATE('1.연간시수표'!$U$44,'1.연간시수표'!$X$44,'1.연간시수표'!$Z$44)+QUOTIENT(ROW(A741)-1,8)+(QUOTIENT(ROW(A741)-1,40)*2)</f>
        <v>44927</v>
      </c>
      <c r="C747" s="24" t="b">
        <f t="shared" si="33"/>
        <v>0</v>
      </c>
      <c r="D747" s="116" t="str">
        <f t="shared" si="34"/>
        <v>5교시</v>
      </c>
      <c r="E747" s="68">
        <f>COUNTIF($H$7:$H747,$H747)</f>
        <v>273</v>
      </c>
      <c r="F747" s="67">
        <f>'1.연간시수표'!$AL$33</f>
        <v>5</v>
      </c>
      <c r="G747" s="115">
        <f t="shared" si="35"/>
        <v>2</v>
      </c>
      <c r="H747" s="41" t="str">
        <f>INDEX('0.시간표데이터'!$E$52:$AR$78,QUOTIENT(ROW(A741)-1,40)+1,MOD(ROW(A741)-1,40)+1)</f>
        <v>_</v>
      </c>
      <c r="I747" s="77"/>
      <c r="J747" s="26"/>
      <c r="K747" s="180"/>
      <c r="L747" s="180"/>
      <c r="M747" s="10"/>
      <c r="N747" s="10"/>
      <c r="O747" s="10"/>
      <c r="P747" s="10"/>
      <c r="Q747" s="164"/>
      <c r="R747" s="110"/>
    </row>
    <row r="748" spans="1:18">
      <c r="A748" s="90">
        <v>742</v>
      </c>
      <c r="B748" s="24">
        <f>DATE('1.연간시수표'!$U$44,'1.연간시수표'!$X$44,'1.연간시수표'!$Z$44)+QUOTIENT(ROW(A742)-1,8)+(QUOTIENT(ROW(A742)-1,40)*2)</f>
        <v>44927</v>
      </c>
      <c r="C748" s="24" t="b">
        <f t="shared" si="33"/>
        <v>0</v>
      </c>
      <c r="D748" s="116" t="str">
        <f t="shared" si="34"/>
        <v>6교시</v>
      </c>
      <c r="E748" s="68">
        <f>COUNTIF($H$7:$H748,$H748)</f>
        <v>274</v>
      </c>
      <c r="F748" s="67">
        <f>'1.연간시수표'!$AL$33</f>
        <v>5</v>
      </c>
      <c r="G748" s="115">
        <f t="shared" si="35"/>
        <v>2</v>
      </c>
      <c r="H748" s="41" t="str">
        <f>INDEX('0.시간표데이터'!$E$52:$AR$78,QUOTIENT(ROW(A742)-1,40)+1,MOD(ROW(A742)-1,40)+1)</f>
        <v>_</v>
      </c>
      <c r="I748" s="77"/>
      <c r="J748" s="26"/>
      <c r="K748" s="167"/>
      <c r="L748" s="167"/>
      <c r="M748" s="166"/>
      <c r="N748" s="166"/>
      <c r="O748" s="166"/>
      <c r="P748" s="166"/>
      <c r="Q748" s="167"/>
      <c r="R748" s="111"/>
    </row>
    <row r="749" spans="1:18">
      <c r="A749" s="90">
        <v>743</v>
      </c>
      <c r="B749" s="24">
        <f>DATE('1.연간시수표'!$U$44,'1.연간시수표'!$X$44,'1.연간시수표'!$Z$44)+QUOTIENT(ROW(A743)-1,8)+(QUOTIENT(ROW(A743)-1,40)*2)</f>
        <v>44927</v>
      </c>
      <c r="C749" s="24" t="b">
        <f t="shared" si="33"/>
        <v>0</v>
      </c>
      <c r="D749" s="116" t="str">
        <f t="shared" si="34"/>
        <v>7교시</v>
      </c>
      <c r="E749" s="68">
        <f>COUNTIF($H$7:$H749,$H749)</f>
        <v>275</v>
      </c>
      <c r="F749" s="67">
        <f>'1.연간시수표'!$AL$33</f>
        <v>5</v>
      </c>
      <c r="G749" s="115">
        <f t="shared" si="35"/>
        <v>2</v>
      </c>
      <c r="H749" s="41" t="str">
        <f>INDEX('0.시간표데이터'!$E$52:$AR$78,QUOTIENT(ROW(A743)-1,40)+1,MOD(ROW(A743)-1,40)+1)</f>
        <v>_</v>
      </c>
      <c r="I749" s="76"/>
      <c r="J749" s="26"/>
      <c r="K749" s="167"/>
      <c r="L749" s="167"/>
      <c r="M749" s="166"/>
      <c r="N749" s="166"/>
      <c r="O749" s="166"/>
      <c r="P749" s="166"/>
      <c r="Q749" s="167"/>
      <c r="R749" s="111"/>
    </row>
    <row r="750" spans="1:18">
      <c r="A750" s="90">
        <v>744</v>
      </c>
      <c r="B750" s="24">
        <f>DATE('1.연간시수표'!$U$44,'1.연간시수표'!$X$44,'1.연간시수표'!$Z$44)+QUOTIENT(ROW(A744)-1,8)+(QUOTIENT(ROW(A744)-1,40)*2)</f>
        <v>44927</v>
      </c>
      <c r="C750" s="24" t="b">
        <f t="shared" si="33"/>
        <v>0</v>
      </c>
      <c r="D750" s="116" t="str">
        <f t="shared" si="34"/>
        <v>8교시</v>
      </c>
      <c r="E750" s="68">
        <f>COUNTIF($H$7:$H750,$H750)</f>
        <v>276</v>
      </c>
      <c r="F750" s="67">
        <f>'1.연간시수표'!$AL$33</f>
        <v>5</v>
      </c>
      <c r="G750" s="115">
        <f t="shared" si="35"/>
        <v>2</v>
      </c>
      <c r="H750" s="41" t="str">
        <f>INDEX('0.시간표데이터'!$E$52:$AR$78,QUOTIENT(ROW(A744)-1,40)+1,MOD(ROW(A744)-1,40)+1)</f>
        <v>_</v>
      </c>
      <c r="I750" s="76"/>
      <c r="J750" s="26"/>
      <c r="K750" s="167"/>
      <c r="L750" s="167"/>
      <c r="M750" s="166"/>
      <c r="N750" s="166"/>
      <c r="O750" s="166"/>
      <c r="P750" s="166"/>
      <c r="Q750" s="167"/>
      <c r="R750" s="111"/>
    </row>
    <row r="751" spans="1:18">
      <c r="A751" s="90">
        <v>745</v>
      </c>
      <c r="B751" s="24">
        <f>DATE('1.연간시수표'!$U$44,'1.연간시수표'!$X$44,'1.연간시수표'!$Z$44)+QUOTIENT(ROW(A745)-1,8)+(QUOTIENT(ROW(A745)-1,40)*2)</f>
        <v>44928</v>
      </c>
      <c r="C751" s="24" t="str">
        <f t="shared" si="33"/>
        <v>월</v>
      </c>
      <c r="D751" s="116" t="str">
        <f t="shared" si="34"/>
        <v>1교시</v>
      </c>
      <c r="E751" s="68">
        <f>COUNTIF($H$7:$H751,$H751)</f>
        <v>28</v>
      </c>
      <c r="F751" s="67">
        <f>'1.연간시수표'!$AL$33</f>
        <v>5</v>
      </c>
      <c r="G751" s="115">
        <f t="shared" si="35"/>
        <v>2</v>
      </c>
      <c r="H751" s="41" t="str">
        <f>INDEX('0.시간표데이터'!$E$52:$AR$78,QUOTIENT(ROW(A745)-1,40)+1,MOD(ROW(A745)-1,40)+1)</f>
        <v>자율활동</v>
      </c>
      <c r="I751" s="77"/>
      <c r="J751" s="26"/>
      <c r="K751" s="180"/>
      <c r="L751" s="180"/>
      <c r="M751" s="10"/>
      <c r="N751" s="10"/>
      <c r="O751" s="10"/>
      <c r="P751" s="10"/>
      <c r="Q751" s="164"/>
      <c r="R751" s="110"/>
    </row>
    <row r="752" spans="1:18">
      <c r="A752" s="90">
        <v>746</v>
      </c>
      <c r="B752" s="24">
        <f>DATE('1.연간시수표'!$U$44,'1.연간시수표'!$X$44,'1.연간시수표'!$Z$44)+QUOTIENT(ROW(A746)-1,8)+(QUOTIENT(ROW(A746)-1,40)*2)</f>
        <v>44928</v>
      </c>
      <c r="C752" s="24" t="str">
        <f t="shared" si="33"/>
        <v>월</v>
      </c>
      <c r="D752" s="116" t="str">
        <f t="shared" si="34"/>
        <v>2교시</v>
      </c>
      <c r="E752" s="68">
        <f>COUNTIF($H$7:$H752,$H752)</f>
        <v>29</v>
      </c>
      <c r="F752" s="67">
        <f>'1.연간시수표'!$AL$33</f>
        <v>5</v>
      </c>
      <c r="G752" s="115">
        <f t="shared" si="35"/>
        <v>2</v>
      </c>
      <c r="H752" s="41" t="str">
        <f>INDEX('0.시간표데이터'!$E$52:$AR$78,QUOTIENT(ROW(A746)-1,40)+1,MOD(ROW(A746)-1,40)+1)</f>
        <v>자율활동</v>
      </c>
      <c r="I752" s="161"/>
      <c r="J752" s="26"/>
      <c r="K752" s="180"/>
      <c r="L752" s="180"/>
      <c r="M752" s="10"/>
      <c r="N752" s="10"/>
      <c r="O752" s="10"/>
      <c r="P752" s="10"/>
      <c r="Q752" s="164"/>
      <c r="R752" s="110"/>
    </row>
    <row r="753" spans="1:18">
      <c r="A753" s="90">
        <v>747</v>
      </c>
      <c r="B753" s="24">
        <f>DATE('1.연간시수표'!$U$44,'1.연간시수표'!$X$44,'1.연간시수표'!$Z$44)+QUOTIENT(ROW(A747)-1,8)+(QUOTIENT(ROW(A747)-1,40)*2)</f>
        <v>44928</v>
      </c>
      <c r="C753" s="24" t="str">
        <f t="shared" si="33"/>
        <v>월</v>
      </c>
      <c r="D753" s="116" t="str">
        <f t="shared" si="34"/>
        <v>3교시</v>
      </c>
      <c r="E753" s="68">
        <f>COUNTIF($H$7:$H753,$H753)</f>
        <v>4</v>
      </c>
      <c r="F753" s="67">
        <f>'1.연간시수표'!$AL$33</f>
        <v>5</v>
      </c>
      <c r="G753" s="115">
        <f t="shared" si="35"/>
        <v>2</v>
      </c>
      <c r="H753" s="41" t="str">
        <f>INDEX('0.시간표데이터'!$E$52:$AR$78,QUOTIENT(ROW(A747)-1,40)+1,MOD(ROW(A747)-1,40)+1)</f>
        <v>봉사활동</v>
      </c>
      <c r="I753" s="77"/>
      <c r="J753" s="26"/>
      <c r="K753" s="180"/>
      <c r="L753" s="180"/>
      <c r="M753" s="10"/>
      <c r="N753" s="10"/>
      <c r="O753" s="10"/>
      <c r="P753" s="10"/>
      <c r="Q753" s="164"/>
      <c r="R753" s="110"/>
    </row>
    <row r="754" spans="1:18">
      <c r="A754" s="90">
        <v>748</v>
      </c>
      <c r="B754" s="24">
        <f>DATE('1.연간시수표'!$U$44,'1.연간시수표'!$X$44,'1.연간시수표'!$Z$44)+QUOTIENT(ROW(A748)-1,8)+(QUOTIENT(ROW(A748)-1,40)*2)</f>
        <v>44928</v>
      </c>
      <c r="C754" s="24" t="str">
        <f t="shared" si="33"/>
        <v>월</v>
      </c>
      <c r="D754" s="116" t="str">
        <f t="shared" si="34"/>
        <v>4교시</v>
      </c>
      <c r="E754" s="68">
        <f>COUNTIF($H$7:$H754,$H754)</f>
        <v>46</v>
      </c>
      <c r="F754" s="67">
        <f>'1.연간시수표'!$AL$33</f>
        <v>5</v>
      </c>
      <c r="G754" s="115">
        <f t="shared" si="35"/>
        <v>2</v>
      </c>
      <c r="H754" s="41" t="str">
        <f>INDEX('0.시간표데이터'!$E$52:$AR$78,QUOTIENT(ROW(A748)-1,40)+1,MOD(ROW(A748)-1,40)+1)</f>
        <v>영어</v>
      </c>
      <c r="I754" s="77"/>
      <c r="J754" s="26"/>
      <c r="K754" s="180"/>
      <c r="L754" s="180"/>
      <c r="M754" s="10"/>
      <c r="N754" s="10"/>
      <c r="O754" s="10"/>
      <c r="P754" s="10"/>
      <c r="Q754" s="164"/>
      <c r="R754" s="110"/>
    </row>
    <row r="755" spans="1:18">
      <c r="A755" s="90">
        <v>749</v>
      </c>
      <c r="B755" s="24">
        <f>DATE('1.연간시수표'!$U$44,'1.연간시수표'!$X$44,'1.연간시수표'!$Z$44)+QUOTIENT(ROW(A749)-1,8)+(QUOTIENT(ROW(A749)-1,40)*2)</f>
        <v>44928</v>
      </c>
      <c r="C755" s="24" t="str">
        <f t="shared" si="33"/>
        <v>월</v>
      </c>
      <c r="D755" s="116" t="str">
        <f t="shared" si="34"/>
        <v>5교시</v>
      </c>
      <c r="E755" s="68">
        <f>COUNTIF($H$7:$H755,$H755)</f>
        <v>45</v>
      </c>
      <c r="F755" s="67">
        <f>'1.연간시수표'!$AL$33</f>
        <v>5</v>
      </c>
      <c r="G755" s="115">
        <f t="shared" si="35"/>
        <v>2</v>
      </c>
      <c r="H755" s="41" t="str">
        <f>INDEX('0.시간표데이터'!$E$52:$AR$78,QUOTIENT(ROW(A749)-1,40)+1,MOD(ROW(A749)-1,40)+1)</f>
        <v>과학</v>
      </c>
      <c r="I755" s="77"/>
      <c r="J755" s="26"/>
      <c r="K755" s="180"/>
      <c r="L755" s="180"/>
      <c r="M755" s="10"/>
      <c r="N755" s="10"/>
      <c r="O755" s="10"/>
      <c r="P755" s="10"/>
      <c r="Q755" s="164"/>
      <c r="R755" s="110"/>
    </row>
    <row r="756" spans="1:18">
      <c r="A756" s="90">
        <v>750</v>
      </c>
      <c r="B756" s="24">
        <f>DATE('1.연간시수표'!$U$44,'1.연간시수표'!$X$44,'1.연간시수표'!$Z$44)+QUOTIENT(ROW(A750)-1,8)+(QUOTIENT(ROW(A750)-1,40)*2)</f>
        <v>44928</v>
      </c>
      <c r="C756" s="24" t="str">
        <f t="shared" si="33"/>
        <v>월</v>
      </c>
      <c r="D756" s="116" t="str">
        <f t="shared" si="34"/>
        <v>6교시</v>
      </c>
      <c r="E756" s="68">
        <f>COUNTIF($H$7:$H756,$H756)</f>
        <v>277</v>
      </c>
      <c r="F756" s="67">
        <f>'1.연간시수표'!$AL$33</f>
        <v>5</v>
      </c>
      <c r="G756" s="115">
        <f t="shared" si="35"/>
        <v>2</v>
      </c>
      <c r="H756" s="41" t="str">
        <f>INDEX('0.시간표데이터'!$E$52:$AR$78,QUOTIENT(ROW(A750)-1,40)+1,MOD(ROW(A750)-1,40)+1)</f>
        <v>_</v>
      </c>
      <c r="I756" s="161"/>
      <c r="J756" s="26"/>
      <c r="K756" s="180"/>
      <c r="L756" s="180"/>
      <c r="M756" s="10"/>
      <c r="N756" s="10"/>
      <c r="O756" s="10"/>
      <c r="P756" s="10"/>
      <c r="Q756" s="164"/>
      <c r="R756" s="110"/>
    </row>
    <row r="757" spans="1:18">
      <c r="A757" s="90">
        <v>751</v>
      </c>
      <c r="B757" s="24">
        <f>DATE('1.연간시수표'!$U$44,'1.연간시수표'!$X$44,'1.연간시수표'!$Z$44)+QUOTIENT(ROW(A751)-1,8)+(QUOTIENT(ROW(A751)-1,40)*2)</f>
        <v>44928</v>
      </c>
      <c r="C757" s="24" t="str">
        <f t="shared" si="33"/>
        <v>월</v>
      </c>
      <c r="D757" s="116" t="str">
        <f t="shared" si="34"/>
        <v>7교시</v>
      </c>
      <c r="E757" s="68">
        <f>COUNTIF($H$7:$H757,$H757)</f>
        <v>278</v>
      </c>
      <c r="F757" s="67">
        <f>'1.연간시수표'!$AL$33</f>
        <v>5</v>
      </c>
      <c r="G757" s="115">
        <f t="shared" si="35"/>
        <v>2</v>
      </c>
      <c r="H757" s="41" t="str">
        <f>INDEX('0.시간표데이터'!$E$52:$AR$78,QUOTIENT(ROW(A751)-1,40)+1,MOD(ROW(A751)-1,40)+1)</f>
        <v>_</v>
      </c>
      <c r="I757" s="76"/>
      <c r="J757" s="26"/>
      <c r="K757" s="167"/>
      <c r="L757" s="167"/>
      <c r="M757" s="166"/>
      <c r="N757" s="166"/>
      <c r="O757" s="166"/>
      <c r="P757" s="166"/>
      <c r="Q757" s="167"/>
      <c r="R757" s="111"/>
    </row>
    <row r="758" spans="1:18">
      <c r="A758" s="90">
        <v>752</v>
      </c>
      <c r="B758" s="24">
        <f>DATE('1.연간시수표'!$U$44,'1.연간시수표'!$X$44,'1.연간시수표'!$Z$44)+QUOTIENT(ROW(A752)-1,8)+(QUOTIENT(ROW(A752)-1,40)*2)</f>
        <v>44928</v>
      </c>
      <c r="C758" s="24" t="str">
        <f t="shared" si="33"/>
        <v>월</v>
      </c>
      <c r="D758" s="116" t="str">
        <f t="shared" si="34"/>
        <v>8교시</v>
      </c>
      <c r="E758" s="68">
        <f>COUNTIF($H$7:$H758,$H758)</f>
        <v>279</v>
      </c>
      <c r="F758" s="67">
        <f>'1.연간시수표'!$AL$33</f>
        <v>5</v>
      </c>
      <c r="G758" s="115">
        <f t="shared" si="35"/>
        <v>2</v>
      </c>
      <c r="H758" s="41" t="str">
        <f>INDEX('0.시간표데이터'!$E$52:$AR$78,QUOTIENT(ROW(A752)-1,40)+1,MOD(ROW(A752)-1,40)+1)</f>
        <v>_</v>
      </c>
      <c r="I758" s="76"/>
      <c r="J758" s="26"/>
      <c r="K758" s="167"/>
      <c r="L758" s="167"/>
      <c r="M758" s="166"/>
      <c r="N758" s="166"/>
      <c r="O758" s="166"/>
      <c r="P758" s="166"/>
      <c r="Q758" s="167"/>
      <c r="R758" s="111"/>
    </row>
    <row r="759" spans="1:18">
      <c r="A759" s="90">
        <v>753</v>
      </c>
      <c r="B759" s="24">
        <f>DATE('1.연간시수표'!$U$44,'1.연간시수표'!$X$44,'1.연간시수표'!$Z$44)+QUOTIENT(ROW(A753)-1,8)+(QUOTIENT(ROW(A753)-1,40)*2)</f>
        <v>44929</v>
      </c>
      <c r="C759" s="24" t="str">
        <f t="shared" si="33"/>
        <v>화</v>
      </c>
      <c r="D759" s="116" t="str">
        <f t="shared" si="34"/>
        <v>1교시</v>
      </c>
      <c r="E759" s="68">
        <f>COUNTIF($H$7:$H759,$H759)</f>
        <v>89</v>
      </c>
      <c r="F759" s="67">
        <f>'1.연간시수표'!$AL$33</f>
        <v>5</v>
      </c>
      <c r="G759" s="115">
        <f t="shared" si="35"/>
        <v>2</v>
      </c>
      <c r="H759" s="41" t="str">
        <f>INDEX('0.시간표데이터'!$E$52:$AR$78,QUOTIENT(ROW(A753)-1,40)+1,MOD(ROW(A753)-1,40)+1)</f>
        <v>국어</v>
      </c>
      <c r="I759" s="77"/>
      <c r="J759" s="26"/>
      <c r="K759" s="180"/>
      <c r="L759" s="180"/>
      <c r="M759" s="10"/>
      <c r="N759" s="10"/>
      <c r="O759" s="10"/>
      <c r="P759" s="10"/>
      <c r="Q759" s="164"/>
      <c r="R759" s="110"/>
    </row>
    <row r="760" spans="1:18">
      <c r="A760" s="90">
        <v>754</v>
      </c>
      <c r="B760" s="24">
        <f>DATE('1.연간시수표'!$U$44,'1.연간시수표'!$X$44,'1.연간시수표'!$Z$44)+QUOTIENT(ROW(A754)-1,8)+(QUOTIENT(ROW(A754)-1,40)*2)</f>
        <v>44929</v>
      </c>
      <c r="C760" s="24" t="str">
        <f t="shared" si="33"/>
        <v>화</v>
      </c>
      <c r="D760" s="116" t="str">
        <f t="shared" si="34"/>
        <v>2교시</v>
      </c>
      <c r="E760" s="68">
        <f>COUNTIF($H$7:$H760,$H760)</f>
        <v>39</v>
      </c>
      <c r="F760" s="67">
        <f>'1.연간시수표'!$AL$33</f>
        <v>5</v>
      </c>
      <c r="G760" s="115">
        <f t="shared" si="35"/>
        <v>2</v>
      </c>
      <c r="H760" s="41" t="str">
        <f>INDEX('0.시간표데이터'!$E$52:$AR$78,QUOTIENT(ROW(A754)-1,40)+1,MOD(ROW(A754)-1,40)+1)</f>
        <v>체육</v>
      </c>
      <c r="I760" s="77"/>
      <c r="J760" s="26"/>
      <c r="K760" s="180"/>
      <c r="L760" s="180"/>
      <c r="M760" s="10"/>
      <c r="N760" s="10"/>
      <c r="O760" s="10"/>
      <c r="P760" s="10"/>
      <c r="Q760" s="164"/>
      <c r="R760" s="110"/>
    </row>
    <row r="761" spans="1:18">
      <c r="A761" s="90">
        <v>755</v>
      </c>
      <c r="B761" s="24">
        <f>DATE('1.연간시수표'!$U$44,'1.연간시수표'!$X$44,'1.연간시수표'!$Z$44)+QUOTIENT(ROW(A755)-1,8)+(QUOTIENT(ROW(A755)-1,40)*2)</f>
        <v>44929</v>
      </c>
      <c r="C761" s="24" t="str">
        <f t="shared" si="33"/>
        <v>화</v>
      </c>
      <c r="D761" s="116" t="str">
        <f t="shared" si="34"/>
        <v>3교시</v>
      </c>
      <c r="E761" s="68">
        <f>COUNTIF($H$7:$H761,$H761)</f>
        <v>59</v>
      </c>
      <c r="F761" s="67">
        <f>'1.연간시수표'!$AL$33</f>
        <v>5</v>
      </c>
      <c r="G761" s="115">
        <f t="shared" si="35"/>
        <v>2</v>
      </c>
      <c r="H761" s="41" t="str">
        <f>INDEX('0.시간표데이터'!$E$52:$AR$78,QUOTIENT(ROW(A755)-1,40)+1,MOD(ROW(A755)-1,40)+1)</f>
        <v>수학</v>
      </c>
      <c r="I761" s="77"/>
      <c r="J761" s="26"/>
      <c r="K761" s="180"/>
      <c r="L761" s="180"/>
      <c r="M761" s="10"/>
      <c r="N761" s="10"/>
      <c r="O761" s="10"/>
      <c r="P761" s="10"/>
      <c r="Q761" s="164"/>
      <c r="R761" s="110"/>
    </row>
    <row r="762" spans="1:18">
      <c r="A762" s="90">
        <v>756</v>
      </c>
      <c r="B762" s="24">
        <f>DATE('1.연간시수표'!$U$44,'1.연간시수표'!$X$44,'1.연간시수표'!$Z$44)+QUOTIENT(ROW(A756)-1,8)+(QUOTIENT(ROW(A756)-1,40)*2)</f>
        <v>44929</v>
      </c>
      <c r="C762" s="24" t="str">
        <f t="shared" si="33"/>
        <v>화</v>
      </c>
      <c r="D762" s="116" t="str">
        <f t="shared" si="34"/>
        <v>4교시</v>
      </c>
      <c r="E762" s="68">
        <f>COUNTIF($H$7:$H762,$H762)</f>
        <v>90</v>
      </c>
      <c r="F762" s="67">
        <f>'1.연간시수표'!$AL$33</f>
        <v>5</v>
      </c>
      <c r="G762" s="115">
        <f t="shared" si="35"/>
        <v>2</v>
      </c>
      <c r="H762" s="41" t="str">
        <f>INDEX('0.시간표데이터'!$E$52:$AR$78,QUOTIENT(ROW(A756)-1,40)+1,MOD(ROW(A756)-1,40)+1)</f>
        <v>국어</v>
      </c>
      <c r="I762" s="77"/>
      <c r="J762" s="26"/>
      <c r="K762" s="180"/>
      <c r="L762" s="180"/>
      <c r="M762" s="10"/>
      <c r="N762" s="10"/>
      <c r="O762" s="10"/>
      <c r="P762" s="10"/>
      <c r="Q762" s="164"/>
      <c r="R762" s="110"/>
    </row>
    <row r="763" spans="1:18">
      <c r="A763" s="90">
        <v>757</v>
      </c>
      <c r="B763" s="24">
        <f>DATE('1.연간시수표'!$U$44,'1.연간시수표'!$X$44,'1.연간시수표'!$Z$44)+QUOTIENT(ROW(A757)-1,8)+(QUOTIENT(ROW(A757)-1,40)*2)</f>
        <v>44929</v>
      </c>
      <c r="C763" s="24" t="str">
        <f t="shared" si="33"/>
        <v>화</v>
      </c>
      <c r="D763" s="116" t="str">
        <f t="shared" si="34"/>
        <v>5교시</v>
      </c>
      <c r="E763" s="68">
        <f>COUNTIF($H$7:$H763,$H763)</f>
        <v>47</v>
      </c>
      <c r="F763" s="67">
        <f>'1.연간시수표'!$AL$33</f>
        <v>5</v>
      </c>
      <c r="G763" s="115">
        <f t="shared" si="35"/>
        <v>2</v>
      </c>
      <c r="H763" s="41" t="str">
        <f>INDEX('0.시간표데이터'!$E$52:$AR$78,QUOTIENT(ROW(A757)-1,40)+1,MOD(ROW(A757)-1,40)+1)</f>
        <v>사회</v>
      </c>
      <c r="I763" s="77"/>
      <c r="J763" s="26"/>
      <c r="K763" s="180"/>
      <c r="L763" s="180"/>
      <c r="M763" s="10"/>
      <c r="N763" s="10"/>
      <c r="O763" s="10"/>
      <c r="P763" s="10"/>
      <c r="Q763" s="164"/>
      <c r="R763" s="110"/>
    </row>
    <row r="764" spans="1:18">
      <c r="A764" s="90">
        <v>758</v>
      </c>
      <c r="B764" s="24">
        <f>DATE('1.연간시수표'!$U$44,'1.연간시수표'!$X$44,'1.연간시수표'!$Z$44)+QUOTIENT(ROW(A758)-1,8)+(QUOTIENT(ROW(A758)-1,40)*2)</f>
        <v>44929</v>
      </c>
      <c r="C764" s="24" t="str">
        <f t="shared" si="33"/>
        <v>화</v>
      </c>
      <c r="D764" s="116" t="str">
        <f t="shared" si="34"/>
        <v>6교시</v>
      </c>
      <c r="E764" s="68">
        <f>COUNTIF($H$7:$H764,$H764)</f>
        <v>40</v>
      </c>
      <c r="F764" s="67">
        <f>'1.연간시수표'!$AL$33</f>
        <v>5</v>
      </c>
      <c r="G764" s="115">
        <f t="shared" si="35"/>
        <v>2</v>
      </c>
      <c r="H764" s="41" t="str">
        <f>INDEX('0.시간표데이터'!$E$52:$AR$78,QUOTIENT(ROW(A758)-1,40)+1,MOD(ROW(A758)-1,40)+1)</f>
        <v>체육</v>
      </c>
      <c r="I764" s="77"/>
      <c r="J764" s="26"/>
      <c r="K764" s="167"/>
      <c r="L764" s="167"/>
      <c r="M764" s="166"/>
      <c r="N764" s="166"/>
      <c r="O764" s="166"/>
      <c r="P764" s="166"/>
      <c r="Q764" s="167"/>
      <c r="R764" s="111"/>
    </row>
    <row r="765" spans="1:18">
      <c r="A765" s="90">
        <v>759</v>
      </c>
      <c r="B765" s="24">
        <f>DATE('1.연간시수표'!$U$44,'1.연간시수표'!$X$44,'1.연간시수표'!$Z$44)+QUOTIENT(ROW(A759)-1,8)+(QUOTIENT(ROW(A759)-1,40)*2)</f>
        <v>44929</v>
      </c>
      <c r="C765" s="24" t="str">
        <f t="shared" si="33"/>
        <v>화</v>
      </c>
      <c r="D765" s="116" t="str">
        <f t="shared" si="34"/>
        <v>7교시</v>
      </c>
      <c r="E765" s="68">
        <f>COUNTIF($H$7:$H765,$H765)</f>
        <v>280</v>
      </c>
      <c r="F765" s="67">
        <f>'1.연간시수표'!$AL$33</f>
        <v>5</v>
      </c>
      <c r="G765" s="115">
        <f t="shared" si="35"/>
        <v>2</v>
      </c>
      <c r="H765" s="41" t="str">
        <f>INDEX('0.시간표데이터'!$E$52:$AR$78,QUOTIENT(ROW(A759)-1,40)+1,MOD(ROW(A759)-1,40)+1)</f>
        <v>_</v>
      </c>
      <c r="I765" s="76"/>
      <c r="J765" s="26"/>
      <c r="K765" s="167"/>
      <c r="L765" s="167"/>
      <c r="M765" s="166"/>
      <c r="N765" s="166"/>
      <c r="O765" s="166"/>
      <c r="P765" s="166"/>
      <c r="Q765" s="167"/>
      <c r="R765" s="111"/>
    </row>
    <row r="766" spans="1:18">
      <c r="A766" s="90">
        <v>760</v>
      </c>
      <c r="B766" s="24">
        <f>DATE('1.연간시수표'!$U$44,'1.연간시수표'!$X$44,'1.연간시수표'!$Z$44)+QUOTIENT(ROW(A760)-1,8)+(QUOTIENT(ROW(A760)-1,40)*2)</f>
        <v>44929</v>
      </c>
      <c r="C766" s="24" t="str">
        <f t="shared" si="33"/>
        <v>화</v>
      </c>
      <c r="D766" s="116" t="str">
        <f t="shared" si="34"/>
        <v>8교시</v>
      </c>
      <c r="E766" s="68">
        <f>COUNTIF($H$7:$H766,$H766)</f>
        <v>281</v>
      </c>
      <c r="F766" s="67">
        <f>'1.연간시수표'!$AL$33</f>
        <v>5</v>
      </c>
      <c r="G766" s="115">
        <f t="shared" si="35"/>
        <v>2</v>
      </c>
      <c r="H766" s="41" t="str">
        <f>INDEX('0.시간표데이터'!$E$52:$AR$78,QUOTIENT(ROW(A760)-1,40)+1,MOD(ROW(A760)-1,40)+1)</f>
        <v>_</v>
      </c>
      <c r="I766" s="76"/>
      <c r="J766" s="26"/>
      <c r="K766" s="167"/>
      <c r="L766" s="167"/>
      <c r="M766" s="166"/>
      <c r="N766" s="166"/>
      <c r="O766" s="166"/>
      <c r="P766" s="166"/>
      <c r="Q766" s="167"/>
      <c r="R766" s="111"/>
    </row>
    <row r="767" spans="1:18">
      <c r="A767" s="90">
        <v>761</v>
      </c>
      <c r="B767" s="24">
        <f>DATE('1.연간시수표'!$U$44,'1.연간시수표'!$X$44,'1.연간시수표'!$Z$44)+QUOTIENT(ROW(A761)-1,8)+(QUOTIENT(ROW(A761)-1,40)*2)</f>
        <v>44932</v>
      </c>
      <c r="C767" s="24" t="str">
        <f t="shared" si="33"/>
        <v>금</v>
      </c>
      <c r="D767" s="116" t="str">
        <f t="shared" si="34"/>
        <v>1교시</v>
      </c>
      <c r="E767" s="68">
        <f>COUNTIF($H$7:$H767,$H767)</f>
        <v>91</v>
      </c>
      <c r="F767" s="67">
        <f>'1.연간시수표'!$AL$33</f>
        <v>5</v>
      </c>
      <c r="G767" s="115">
        <f t="shared" si="35"/>
        <v>2</v>
      </c>
      <c r="H767" s="41" t="str">
        <f>INDEX('0.시간표데이터'!$E$52:$AR$78,QUOTIENT(ROW(A761)-1,40)+1,MOD(ROW(A761)-1,40)+1)</f>
        <v>국어</v>
      </c>
      <c r="I767" s="77"/>
      <c r="J767" s="26"/>
      <c r="K767" s="180"/>
      <c r="L767" s="180"/>
      <c r="M767" s="10"/>
      <c r="N767" s="10"/>
      <c r="O767" s="10"/>
      <c r="P767" s="10"/>
      <c r="Q767" s="164"/>
      <c r="R767" s="110"/>
    </row>
    <row r="768" spans="1:18">
      <c r="A768" s="90">
        <v>762</v>
      </c>
      <c r="B768" s="24">
        <f>DATE('1.연간시수표'!$U$44,'1.연간시수표'!$X$44,'1.연간시수표'!$Z$44)+QUOTIENT(ROW(A762)-1,8)+(QUOTIENT(ROW(A762)-1,40)*2)</f>
        <v>44932</v>
      </c>
      <c r="C768" s="24" t="str">
        <f t="shared" si="33"/>
        <v>금</v>
      </c>
      <c r="D768" s="116" t="str">
        <f t="shared" si="34"/>
        <v>2교시</v>
      </c>
      <c r="E768" s="68">
        <f>COUNTIF($H$7:$H768,$H768)</f>
        <v>29</v>
      </c>
      <c r="F768" s="67">
        <f>'1.연간시수표'!$AL$33</f>
        <v>5</v>
      </c>
      <c r="G768" s="115">
        <f t="shared" si="35"/>
        <v>2</v>
      </c>
      <c r="H768" s="41" t="str">
        <f>INDEX('0.시간표데이터'!$E$52:$AR$78,QUOTIENT(ROW(A762)-1,40)+1,MOD(ROW(A762)-1,40)+1)</f>
        <v>미술</v>
      </c>
      <c r="I768" s="161"/>
      <c r="J768" s="26"/>
      <c r="K768" s="180"/>
      <c r="L768" s="180"/>
      <c r="M768" s="10"/>
      <c r="N768" s="10"/>
      <c r="O768" s="10"/>
      <c r="P768" s="10"/>
      <c r="Q768" s="164"/>
      <c r="R768" s="110"/>
    </row>
    <row r="769" spans="1:18">
      <c r="A769" s="90">
        <v>763</v>
      </c>
      <c r="B769" s="24">
        <f>DATE('1.연간시수표'!$U$44,'1.연간시수표'!$X$44,'1.연간시수표'!$Z$44)+QUOTIENT(ROW(A763)-1,8)+(QUOTIENT(ROW(A763)-1,40)*2)</f>
        <v>44932</v>
      </c>
      <c r="C769" s="24" t="str">
        <f t="shared" si="33"/>
        <v>금</v>
      </c>
      <c r="D769" s="116" t="str">
        <f t="shared" si="34"/>
        <v>3교시</v>
      </c>
      <c r="E769" s="68">
        <f>COUNTIF($H$7:$H769,$H769)</f>
        <v>30</v>
      </c>
      <c r="F769" s="67">
        <f>'1.연간시수표'!$AL$33</f>
        <v>5</v>
      </c>
      <c r="G769" s="115">
        <f t="shared" si="35"/>
        <v>2</v>
      </c>
      <c r="H769" s="41" t="str">
        <f>INDEX('0.시간표데이터'!$E$52:$AR$78,QUOTIENT(ROW(A763)-1,40)+1,MOD(ROW(A763)-1,40)+1)</f>
        <v>미술</v>
      </c>
      <c r="I769" s="77"/>
      <c r="J769" s="26"/>
      <c r="K769" s="180"/>
      <c r="L769" s="180"/>
      <c r="M769" s="10"/>
      <c r="N769" s="10"/>
      <c r="O769" s="10"/>
      <c r="P769" s="10"/>
      <c r="Q769" s="164"/>
      <c r="R769" s="110"/>
    </row>
    <row r="770" spans="1:18">
      <c r="A770" s="90">
        <v>764</v>
      </c>
      <c r="B770" s="24">
        <f>DATE('1.연간시수표'!$U$44,'1.연간시수표'!$X$44,'1.연간시수표'!$Z$44)+QUOTIENT(ROW(A764)-1,8)+(QUOTIENT(ROW(A764)-1,40)*2)</f>
        <v>44932</v>
      </c>
      <c r="C770" s="24" t="str">
        <f t="shared" si="33"/>
        <v>금</v>
      </c>
      <c r="D770" s="116" t="str">
        <f t="shared" si="34"/>
        <v>4교시</v>
      </c>
      <c r="E770" s="68">
        <f>COUNTIF($H$7:$H770,$H770)</f>
        <v>47</v>
      </c>
      <c r="F770" s="67">
        <f>'1.연간시수표'!$AL$33</f>
        <v>5</v>
      </c>
      <c r="G770" s="115">
        <f t="shared" si="35"/>
        <v>2</v>
      </c>
      <c r="H770" s="41" t="str">
        <f>INDEX('0.시간표데이터'!$E$52:$AR$78,QUOTIENT(ROW(A764)-1,40)+1,MOD(ROW(A764)-1,40)+1)</f>
        <v>영어</v>
      </c>
      <c r="I770" s="77"/>
      <c r="J770" s="26"/>
      <c r="K770" s="180"/>
      <c r="L770" s="180"/>
      <c r="M770" s="10"/>
      <c r="N770" s="10"/>
      <c r="O770" s="10"/>
      <c r="P770" s="10"/>
      <c r="Q770" s="164"/>
      <c r="R770" s="110"/>
    </row>
    <row r="771" spans="1:18">
      <c r="A771" s="90">
        <v>765</v>
      </c>
      <c r="B771" s="24">
        <f>DATE('1.연간시수표'!$U$44,'1.연간시수표'!$X$44,'1.연간시수표'!$Z$44)+QUOTIENT(ROW(A765)-1,8)+(QUOTIENT(ROW(A765)-1,40)*2)</f>
        <v>44932</v>
      </c>
      <c r="C771" s="24" t="str">
        <f t="shared" si="33"/>
        <v>금</v>
      </c>
      <c r="D771" s="116" t="str">
        <f t="shared" si="34"/>
        <v>5교시</v>
      </c>
      <c r="E771" s="68">
        <f>COUNTIF($H$7:$H771,$H771)</f>
        <v>60</v>
      </c>
      <c r="F771" s="67">
        <f>'1.연간시수표'!$AL$33</f>
        <v>5</v>
      </c>
      <c r="G771" s="115">
        <f t="shared" si="35"/>
        <v>2</v>
      </c>
      <c r="H771" s="41" t="str">
        <f>INDEX('0.시간표데이터'!$E$52:$AR$78,QUOTIENT(ROW(A765)-1,40)+1,MOD(ROW(A765)-1,40)+1)</f>
        <v>수학</v>
      </c>
      <c r="I771" s="77"/>
      <c r="J771" s="26"/>
      <c r="K771" s="180"/>
      <c r="L771" s="180"/>
      <c r="M771" s="10"/>
      <c r="N771" s="10"/>
      <c r="O771" s="10"/>
      <c r="P771" s="10"/>
      <c r="Q771" s="164"/>
      <c r="R771" s="110"/>
    </row>
    <row r="772" spans="1:18">
      <c r="A772" s="90">
        <v>766</v>
      </c>
      <c r="B772" s="24">
        <f>DATE('1.연간시수표'!$U$44,'1.연간시수표'!$X$44,'1.연간시수표'!$Z$44)+QUOTIENT(ROW(A766)-1,8)+(QUOTIENT(ROW(A766)-1,40)*2)</f>
        <v>44932</v>
      </c>
      <c r="C772" s="24" t="str">
        <f t="shared" si="33"/>
        <v>금</v>
      </c>
      <c r="D772" s="116" t="str">
        <f t="shared" si="34"/>
        <v>6교시</v>
      </c>
      <c r="E772" s="68">
        <f>COUNTIF($H$7:$H772,$H772)</f>
        <v>92</v>
      </c>
      <c r="F772" s="67">
        <f>'1.연간시수표'!$AL$33</f>
        <v>5</v>
      </c>
      <c r="G772" s="115">
        <f t="shared" si="35"/>
        <v>2</v>
      </c>
      <c r="H772" s="41" t="str">
        <f>INDEX('0.시간표데이터'!$E$52:$AR$78,QUOTIENT(ROW(A766)-1,40)+1,MOD(ROW(A766)-1,40)+1)</f>
        <v>국어</v>
      </c>
      <c r="I772" s="77"/>
      <c r="J772" s="26"/>
      <c r="K772" s="167"/>
      <c r="L772" s="167"/>
      <c r="M772" s="166"/>
      <c r="N772" s="166"/>
      <c r="O772" s="166"/>
      <c r="P772" s="166"/>
      <c r="Q772" s="167"/>
      <c r="R772" s="111"/>
    </row>
    <row r="773" spans="1:18">
      <c r="A773" s="90">
        <v>767</v>
      </c>
      <c r="B773" s="24">
        <f>DATE('1.연간시수표'!$U$44,'1.연간시수표'!$X$44,'1.연간시수표'!$Z$44)+QUOTIENT(ROW(A767)-1,8)+(QUOTIENT(ROW(A767)-1,40)*2)</f>
        <v>44932</v>
      </c>
      <c r="C773" s="24" t="str">
        <f t="shared" si="33"/>
        <v>금</v>
      </c>
      <c r="D773" s="116" t="str">
        <f t="shared" si="34"/>
        <v>7교시</v>
      </c>
      <c r="E773" s="68">
        <f>COUNTIF($H$7:$H773,$H773)</f>
        <v>282</v>
      </c>
      <c r="F773" s="67">
        <f>'1.연간시수표'!$AL$33</f>
        <v>5</v>
      </c>
      <c r="G773" s="115">
        <f t="shared" si="35"/>
        <v>2</v>
      </c>
      <c r="H773" s="41" t="str">
        <f>INDEX('0.시간표데이터'!$E$52:$AR$78,QUOTIENT(ROW(A767)-1,40)+1,MOD(ROW(A767)-1,40)+1)</f>
        <v>_</v>
      </c>
      <c r="I773" s="76"/>
      <c r="J773" s="26"/>
      <c r="K773" s="167"/>
      <c r="L773" s="167"/>
      <c r="M773" s="166"/>
      <c r="N773" s="166"/>
      <c r="O773" s="166"/>
      <c r="P773" s="166"/>
      <c r="Q773" s="167"/>
      <c r="R773" s="111"/>
    </row>
    <row r="774" spans="1:18">
      <c r="A774" s="90">
        <v>768</v>
      </c>
      <c r="B774" s="24">
        <f>DATE('1.연간시수표'!$U$44,'1.연간시수표'!$X$44,'1.연간시수표'!$Z$44)+QUOTIENT(ROW(A768)-1,8)+(QUOTIENT(ROW(A768)-1,40)*2)</f>
        <v>44932</v>
      </c>
      <c r="C774" s="24" t="str">
        <f t="shared" si="33"/>
        <v>금</v>
      </c>
      <c r="D774" s="116" t="str">
        <f t="shared" si="34"/>
        <v>8교시</v>
      </c>
      <c r="E774" s="68">
        <f>COUNTIF($H$7:$H774,$H774)</f>
        <v>283</v>
      </c>
      <c r="F774" s="67">
        <f>'1.연간시수표'!$AL$33</f>
        <v>5</v>
      </c>
      <c r="G774" s="115">
        <f t="shared" si="35"/>
        <v>2</v>
      </c>
      <c r="H774" s="41" t="str">
        <f>INDEX('0.시간표데이터'!$E$52:$AR$78,QUOTIENT(ROW(A768)-1,40)+1,MOD(ROW(A768)-1,40)+1)</f>
        <v>_</v>
      </c>
      <c r="I774" s="76"/>
      <c r="J774" s="26"/>
      <c r="K774" s="167"/>
      <c r="L774" s="167"/>
      <c r="M774" s="166"/>
      <c r="N774" s="166"/>
      <c r="O774" s="166"/>
      <c r="P774" s="166"/>
      <c r="Q774" s="167"/>
      <c r="R774" s="111"/>
    </row>
    <row r="775" spans="1:18">
      <c r="A775" s="90">
        <v>769</v>
      </c>
      <c r="B775" s="24">
        <f>DATE('1.연간시수표'!$U$44,'1.연간시수표'!$X$44,'1.연간시수표'!$Z$44)+QUOTIENT(ROW(A769)-1,8)+(QUOTIENT(ROW(A769)-1,40)*2)</f>
        <v>44933</v>
      </c>
      <c r="C775" s="24" t="b">
        <f t="shared" ref="C775:C838" si="36">IF(WEEKDAY(B775,2)=1,"월",IF(WEEKDAY(B775,2)=2,"화",IF(WEEKDAY(B775,2)=3,"수",IF(WEEKDAY(B775,2)=4,"목",IF(WEEKDAY(B775,2)=5,"금")))))</f>
        <v>0</v>
      </c>
      <c r="D775" s="116" t="str">
        <f t="shared" ref="D775:D838" si="37">TEXT(MOD(ROW(A769)-1,8)+1,"#교시")</f>
        <v>1교시</v>
      </c>
      <c r="E775" s="68">
        <f>COUNTIF($H$7:$H775,$H775)</f>
        <v>3</v>
      </c>
      <c r="F775" s="67">
        <f>'1.연간시수표'!$AL$33</f>
        <v>5</v>
      </c>
      <c r="G775" s="115">
        <f t="shared" ref="G775:G838" si="38">$A$2</f>
        <v>2</v>
      </c>
      <c r="H775" s="41" t="str">
        <f>INDEX('0.시간표데이터'!$E$52:$AR$78,QUOTIENT(ROW(A769)-1,40)+1,MOD(ROW(A769)-1,40)+1)</f>
        <v>진로활동</v>
      </c>
      <c r="I775" s="77"/>
      <c r="J775" s="26"/>
      <c r="K775" s="180"/>
      <c r="L775" s="180"/>
      <c r="M775" s="10"/>
      <c r="N775" s="10"/>
      <c r="O775" s="10"/>
      <c r="P775" s="10"/>
      <c r="Q775" s="164"/>
      <c r="R775" s="110"/>
    </row>
    <row r="776" spans="1:18">
      <c r="A776" s="90">
        <v>770</v>
      </c>
      <c r="B776" s="24">
        <f>DATE('1.연간시수표'!$U$44,'1.연간시수표'!$X$44,'1.연간시수표'!$Z$44)+QUOTIENT(ROW(A770)-1,8)+(QUOTIENT(ROW(A770)-1,40)*2)</f>
        <v>44933</v>
      </c>
      <c r="C776" s="24" t="b">
        <f t="shared" si="36"/>
        <v>0</v>
      </c>
      <c r="D776" s="116" t="str">
        <f t="shared" si="37"/>
        <v>2교시</v>
      </c>
      <c r="E776" s="68">
        <f>COUNTIF($H$7:$H776,$H776)</f>
        <v>4</v>
      </c>
      <c r="F776" s="67">
        <f>'1.연간시수표'!$AL$33</f>
        <v>5</v>
      </c>
      <c r="G776" s="115">
        <f t="shared" si="38"/>
        <v>2</v>
      </c>
      <c r="H776" s="41" t="str">
        <f>INDEX('0.시간표데이터'!$E$52:$AR$78,QUOTIENT(ROW(A770)-1,40)+1,MOD(ROW(A770)-1,40)+1)</f>
        <v>진로활동</v>
      </c>
      <c r="I776" s="161"/>
      <c r="J776" s="26"/>
      <c r="K776" s="180"/>
      <c r="L776" s="180"/>
      <c r="M776" s="10"/>
      <c r="N776" s="10"/>
      <c r="O776" s="10"/>
      <c r="P776" s="10"/>
      <c r="Q776" s="164"/>
      <c r="R776" s="110"/>
    </row>
    <row r="777" spans="1:18">
      <c r="A777" s="90">
        <v>771</v>
      </c>
      <c r="B777" s="24">
        <f>DATE('1.연간시수표'!$U$44,'1.연간시수표'!$X$44,'1.연간시수표'!$Z$44)+QUOTIENT(ROW(A771)-1,8)+(QUOTIENT(ROW(A771)-1,40)*2)</f>
        <v>44933</v>
      </c>
      <c r="C777" s="24" t="b">
        <f t="shared" si="36"/>
        <v>0</v>
      </c>
      <c r="D777" s="116" t="str">
        <f t="shared" si="37"/>
        <v>3교시</v>
      </c>
      <c r="E777" s="68">
        <f>COUNTIF($H$7:$H777,$H777)</f>
        <v>48</v>
      </c>
      <c r="F777" s="67">
        <f>'1.연간시수표'!$AL$33</f>
        <v>5</v>
      </c>
      <c r="G777" s="115">
        <f t="shared" si="38"/>
        <v>2</v>
      </c>
      <c r="H777" s="41" t="str">
        <f>INDEX('0.시간표데이터'!$E$52:$AR$78,QUOTIENT(ROW(A771)-1,40)+1,MOD(ROW(A771)-1,40)+1)</f>
        <v>사회</v>
      </c>
      <c r="I777" s="77"/>
      <c r="J777" s="26"/>
      <c r="K777" s="180"/>
      <c r="L777" s="180"/>
      <c r="M777" s="10"/>
      <c r="N777" s="10"/>
      <c r="O777" s="10"/>
      <c r="P777" s="10"/>
      <c r="Q777" s="164"/>
      <c r="R777" s="110"/>
    </row>
    <row r="778" spans="1:18">
      <c r="A778" s="90">
        <v>772</v>
      </c>
      <c r="B778" s="24">
        <f>DATE('1.연간시수표'!$U$44,'1.연간시수표'!$X$44,'1.연간시수표'!$Z$44)+QUOTIENT(ROW(A772)-1,8)+(QUOTIENT(ROW(A772)-1,40)*2)</f>
        <v>44933</v>
      </c>
      <c r="C778" s="24" t="b">
        <f t="shared" si="36"/>
        <v>0</v>
      </c>
      <c r="D778" s="116" t="str">
        <f t="shared" si="37"/>
        <v>4교시</v>
      </c>
      <c r="E778" s="68">
        <f>COUNTIF($H$7:$H778,$H778)</f>
        <v>61</v>
      </c>
      <c r="F778" s="67">
        <f>'1.연간시수표'!$AL$33</f>
        <v>5</v>
      </c>
      <c r="G778" s="115">
        <f t="shared" si="38"/>
        <v>2</v>
      </c>
      <c r="H778" s="41" t="str">
        <f>INDEX('0.시간표데이터'!$E$52:$AR$78,QUOTIENT(ROW(A772)-1,40)+1,MOD(ROW(A772)-1,40)+1)</f>
        <v>수학</v>
      </c>
      <c r="I778" s="77"/>
      <c r="J778" s="26"/>
      <c r="K778" s="180"/>
      <c r="L778" s="180"/>
      <c r="M778" s="10"/>
      <c r="N778" s="10"/>
      <c r="O778" s="10"/>
      <c r="P778" s="10"/>
      <c r="Q778" s="164"/>
      <c r="R778" s="110"/>
    </row>
    <row r="779" spans="1:18">
      <c r="A779" s="90">
        <v>773</v>
      </c>
      <c r="B779" s="24">
        <f>DATE('1.연간시수표'!$U$44,'1.연간시수표'!$X$44,'1.연간시수표'!$Z$44)+QUOTIENT(ROW(A773)-1,8)+(QUOTIENT(ROW(A773)-1,40)*2)</f>
        <v>44933</v>
      </c>
      <c r="C779" s="24" t="b">
        <f t="shared" si="36"/>
        <v>0</v>
      </c>
      <c r="D779" s="116" t="str">
        <f t="shared" si="37"/>
        <v>5교시</v>
      </c>
      <c r="E779" s="68">
        <f>COUNTIF($H$7:$H779,$H779)</f>
        <v>46</v>
      </c>
      <c r="F779" s="67">
        <f>'1.연간시수표'!$AL$33</f>
        <v>5</v>
      </c>
      <c r="G779" s="115">
        <f t="shared" si="38"/>
        <v>2</v>
      </c>
      <c r="H779" s="41" t="str">
        <f>INDEX('0.시간표데이터'!$E$52:$AR$78,QUOTIENT(ROW(A773)-1,40)+1,MOD(ROW(A773)-1,40)+1)</f>
        <v>과학</v>
      </c>
      <c r="I779" s="77"/>
      <c r="J779" s="26"/>
      <c r="K779" s="180"/>
      <c r="L779" s="180"/>
      <c r="M779" s="10"/>
      <c r="N779" s="10"/>
      <c r="O779" s="10"/>
      <c r="P779" s="10"/>
      <c r="Q779" s="164"/>
      <c r="R779" s="110"/>
    </row>
    <row r="780" spans="1:18">
      <c r="A780" s="90">
        <v>774</v>
      </c>
      <c r="B780" s="24">
        <f>DATE('1.연간시수표'!$U$44,'1.연간시수표'!$X$44,'1.연간시수표'!$Z$44)+QUOTIENT(ROW(A774)-1,8)+(QUOTIENT(ROW(A774)-1,40)*2)</f>
        <v>44933</v>
      </c>
      <c r="C780" s="24" t="b">
        <f t="shared" si="36"/>
        <v>0</v>
      </c>
      <c r="D780" s="116" t="str">
        <f t="shared" si="37"/>
        <v>6교시</v>
      </c>
      <c r="E780" s="68">
        <f>COUNTIF($H$7:$H780,$H780)</f>
        <v>33</v>
      </c>
      <c r="F780" s="67">
        <f>'1.연간시수표'!$AL$33</f>
        <v>5</v>
      </c>
      <c r="G780" s="115">
        <f t="shared" si="38"/>
        <v>2</v>
      </c>
      <c r="H780" s="41" t="str">
        <f>INDEX('0.시간표데이터'!$E$52:$AR$78,QUOTIENT(ROW(A774)-1,40)+1,MOD(ROW(A774)-1,40)+1)</f>
        <v>실과</v>
      </c>
      <c r="I780" s="77"/>
      <c r="J780" s="26"/>
      <c r="K780" s="167"/>
      <c r="L780" s="167"/>
      <c r="M780" s="166"/>
      <c r="N780" s="166"/>
      <c r="O780" s="166"/>
      <c r="P780" s="166"/>
      <c r="Q780" s="167"/>
      <c r="R780" s="111"/>
    </row>
    <row r="781" spans="1:18">
      <c r="A781" s="90">
        <v>775</v>
      </c>
      <c r="B781" s="24">
        <f>DATE('1.연간시수표'!$U$44,'1.연간시수표'!$X$44,'1.연간시수표'!$Z$44)+QUOTIENT(ROW(A775)-1,8)+(QUOTIENT(ROW(A775)-1,40)*2)</f>
        <v>44933</v>
      </c>
      <c r="C781" s="24" t="b">
        <f t="shared" si="36"/>
        <v>0</v>
      </c>
      <c r="D781" s="116" t="str">
        <f t="shared" si="37"/>
        <v>7교시</v>
      </c>
      <c r="E781" s="68">
        <f>COUNTIF($H$7:$H781,$H781)</f>
        <v>284</v>
      </c>
      <c r="F781" s="67">
        <f>'1.연간시수표'!$AL$33</f>
        <v>5</v>
      </c>
      <c r="G781" s="115">
        <f t="shared" si="38"/>
        <v>2</v>
      </c>
      <c r="H781" s="41" t="str">
        <f>INDEX('0.시간표데이터'!$E$52:$AR$78,QUOTIENT(ROW(A775)-1,40)+1,MOD(ROW(A775)-1,40)+1)</f>
        <v>_</v>
      </c>
      <c r="I781" s="76"/>
      <c r="J781" s="26"/>
      <c r="K781" s="167"/>
      <c r="L781" s="167"/>
      <c r="M781" s="166"/>
      <c r="N781" s="166"/>
      <c r="O781" s="166"/>
      <c r="P781" s="166"/>
      <c r="Q781" s="167"/>
      <c r="R781" s="111"/>
    </row>
    <row r="782" spans="1:18">
      <c r="A782" s="90">
        <v>776</v>
      </c>
      <c r="B782" s="24">
        <f>DATE('1.연간시수표'!$U$44,'1.연간시수표'!$X$44,'1.연간시수표'!$Z$44)+QUOTIENT(ROW(A776)-1,8)+(QUOTIENT(ROW(A776)-1,40)*2)</f>
        <v>44933</v>
      </c>
      <c r="C782" s="24" t="b">
        <f t="shared" si="36"/>
        <v>0</v>
      </c>
      <c r="D782" s="116" t="str">
        <f t="shared" si="37"/>
        <v>8교시</v>
      </c>
      <c r="E782" s="68">
        <f>COUNTIF($H$7:$H782,$H782)</f>
        <v>285</v>
      </c>
      <c r="F782" s="67">
        <f>'1.연간시수표'!$AL$33</f>
        <v>5</v>
      </c>
      <c r="G782" s="115">
        <f t="shared" si="38"/>
        <v>2</v>
      </c>
      <c r="H782" s="41" t="str">
        <f>INDEX('0.시간표데이터'!$E$52:$AR$78,QUOTIENT(ROW(A776)-1,40)+1,MOD(ROW(A776)-1,40)+1)</f>
        <v>_</v>
      </c>
      <c r="I782" s="76"/>
      <c r="J782" s="26"/>
      <c r="K782" s="167"/>
      <c r="L782" s="167"/>
      <c r="M782" s="166"/>
      <c r="N782" s="166"/>
      <c r="O782" s="166"/>
      <c r="P782" s="166"/>
      <c r="Q782" s="167"/>
      <c r="R782" s="111"/>
    </row>
    <row r="783" spans="1:18">
      <c r="A783" s="90">
        <v>777</v>
      </c>
      <c r="B783" s="24">
        <f>DATE('1.연간시수표'!$U$44,'1.연간시수표'!$X$44,'1.연간시수표'!$Z$44)+QUOTIENT(ROW(A777)-1,8)+(QUOTIENT(ROW(A777)-1,40)*2)</f>
        <v>44934</v>
      </c>
      <c r="C783" s="24" t="b">
        <f t="shared" si="36"/>
        <v>0</v>
      </c>
      <c r="D783" s="116" t="str">
        <f t="shared" si="37"/>
        <v>1교시</v>
      </c>
      <c r="E783" s="68">
        <f>COUNTIF($H$7:$H783,$H783)</f>
        <v>48</v>
      </c>
      <c r="F783" s="67">
        <f>'1.연간시수표'!$AL$33</f>
        <v>5</v>
      </c>
      <c r="G783" s="115">
        <f t="shared" si="38"/>
        <v>2</v>
      </c>
      <c r="H783" s="41" t="str">
        <f>INDEX('0.시간표데이터'!$E$52:$AR$78,QUOTIENT(ROW(A777)-1,40)+1,MOD(ROW(A777)-1,40)+1)</f>
        <v>영어</v>
      </c>
      <c r="I783" s="77"/>
      <c r="J783" s="26"/>
      <c r="K783" s="180"/>
      <c r="L783" s="180"/>
      <c r="M783" s="10"/>
      <c r="N783" s="10"/>
      <c r="O783" s="10"/>
      <c r="P783" s="10"/>
      <c r="Q783" s="164"/>
      <c r="R783" s="110"/>
    </row>
    <row r="784" spans="1:18">
      <c r="A784" s="90">
        <v>778</v>
      </c>
      <c r="B784" s="24">
        <f>DATE('1.연간시수표'!$U$44,'1.연간시수표'!$X$44,'1.연간시수표'!$Z$44)+QUOTIENT(ROW(A778)-1,8)+(QUOTIENT(ROW(A778)-1,40)*2)</f>
        <v>44934</v>
      </c>
      <c r="C784" s="24" t="b">
        <f t="shared" si="36"/>
        <v>0</v>
      </c>
      <c r="D784" s="116" t="str">
        <f t="shared" si="37"/>
        <v>2교시</v>
      </c>
      <c r="E784" s="68">
        <f>COUNTIF($H$7:$H784,$H784)</f>
        <v>47</v>
      </c>
      <c r="F784" s="67">
        <f>'1.연간시수표'!$AL$33</f>
        <v>5</v>
      </c>
      <c r="G784" s="115">
        <f t="shared" si="38"/>
        <v>2</v>
      </c>
      <c r="H784" s="41" t="str">
        <f>INDEX('0.시간표데이터'!$E$52:$AR$78,QUOTIENT(ROW(A778)-1,40)+1,MOD(ROW(A778)-1,40)+1)</f>
        <v>과학</v>
      </c>
      <c r="I784" s="77"/>
      <c r="J784" s="26"/>
      <c r="K784" s="180"/>
      <c r="L784" s="180"/>
      <c r="M784" s="10"/>
      <c r="N784" s="10"/>
      <c r="O784" s="10"/>
      <c r="P784" s="10"/>
      <c r="Q784" s="164"/>
      <c r="R784" s="110"/>
    </row>
    <row r="785" spans="1:18">
      <c r="A785" s="90">
        <v>779</v>
      </c>
      <c r="B785" s="24">
        <f>DATE('1.연간시수표'!$U$44,'1.연간시수표'!$X$44,'1.연간시수표'!$Z$44)+QUOTIENT(ROW(A779)-1,8)+(QUOTIENT(ROW(A779)-1,40)*2)</f>
        <v>44934</v>
      </c>
      <c r="C785" s="24" t="b">
        <f t="shared" si="36"/>
        <v>0</v>
      </c>
      <c r="D785" s="116" t="str">
        <f t="shared" si="37"/>
        <v>3교시</v>
      </c>
      <c r="E785" s="68">
        <f>COUNTIF($H$7:$H785,$H785)</f>
        <v>41</v>
      </c>
      <c r="F785" s="67">
        <f>'1.연간시수표'!$AL$33</f>
        <v>5</v>
      </c>
      <c r="G785" s="115">
        <f t="shared" si="38"/>
        <v>2</v>
      </c>
      <c r="H785" s="41" t="str">
        <f>INDEX('0.시간표데이터'!$E$52:$AR$78,QUOTIENT(ROW(A779)-1,40)+1,MOD(ROW(A779)-1,40)+1)</f>
        <v>체육</v>
      </c>
      <c r="I785" s="77"/>
      <c r="J785" s="26"/>
      <c r="K785" s="180"/>
      <c r="L785" s="180"/>
      <c r="M785" s="10"/>
      <c r="N785" s="10"/>
      <c r="O785" s="10"/>
      <c r="P785" s="10"/>
      <c r="Q785" s="164"/>
      <c r="R785" s="110"/>
    </row>
    <row r="786" spans="1:18">
      <c r="A786" s="90">
        <v>780</v>
      </c>
      <c r="B786" s="24">
        <f>DATE('1.연간시수표'!$U$44,'1.연간시수표'!$X$44,'1.연간시수표'!$Z$44)+QUOTIENT(ROW(A780)-1,8)+(QUOTIENT(ROW(A780)-1,40)*2)</f>
        <v>44934</v>
      </c>
      <c r="C786" s="24" t="b">
        <f t="shared" si="36"/>
        <v>0</v>
      </c>
      <c r="D786" s="116" t="str">
        <f t="shared" si="37"/>
        <v>4교시</v>
      </c>
      <c r="E786" s="68">
        <f>COUNTIF($H$7:$H786,$H786)</f>
        <v>29</v>
      </c>
      <c r="F786" s="67">
        <f>'1.연간시수표'!$AL$33</f>
        <v>5</v>
      </c>
      <c r="G786" s="115">
        <f t="shared" si="38"/>
        <v>2</v>
      </c>
      <c r="H786" s="41" t="str">
        <f>INDEX('0.시간표데이터'!$E$52:$AR$78,QUOTIENT(ROW(A780)-1,40)+1,MOD(ROW(A780)-1,40)+1)</f>
        <v>음악</v>
      </c>
      <c r="I786" s="77"/>
      <c r="J786" s="26"/>
      <c r="K786" s="180"/>
      <c r="L786" s="180"/>
      <c r="M786" s="10"/>
      <c r="N786" s="10"/>
      <c r="O786" s="10"/>
      <c r="P786" s="10"/>
      <c r="Q786" s="164"/>
      <c r="R786" s="110"/>
    </row>
    <row r="787" spans="1:18">
      <c r="A787" s="90">
        <v>781</v>
      </c>
      <c r="B787" s="24">
        <f>DATE('1.연간시수표'!$U$44,'1.연간시수표'!$X$44,'1.연간시수표'!$Z$44)+QUOTIENT(ROW(A781)-1,8)+(QUOTIENT(ROW(A781)-1,40)*2)</f>
        <v>44934</v>
      </c>
      <c r="C787" s="24" t="b">
        <f t="shared" si="36"/>
        <v>0</v>
      </c>
      <c r="D787" s="116" t="str">
        <f t="shared" si="37"/>
        <v>5교시</v>
      </c>
      <c r="E787" s="68">
        <f>COUNTIF($H$7:$H787,$H787)</f>
        <v>18</v>
      </c>
      <c r="F787" s="67">
        <f>'1.연간시수표'!$AL$33</f>
        <v>5</v>
      </c>
      <c r="G787" s="115">
        <f t="shared" si="38"/>
        <v>2</v>
      </c>
      <c r="H787" s="41" t="str">
        <f>INDEX('0.시간표데이터'!$E$52:$AR$78,QUOTIENT(ROW(A781)-1,40)+1,MOD(ROW(A781)-1,40)+1)</f>
        <v>도덕</v>
      </c>
      <c r="I787" s="77"/>
      <c r="J787" s="26"/>
      <c r="K787" s="180"/>
      <c r="L787" s="180"/>
      <c r="M787" s="10"/>
      <c r="N787" s="10"/>
      <c r="O787" s="10"/>
      <c r="P787" s="10"/>
      <c r="Q787" s="164"/>
      <c r="R787" s="110"/>
    </row>
    <row r="788" spans="1:18">
      <c r="A788" s="90">
        <v>782</v>
      </c>
      <c r="B788" s="24">
        <f>DATE('1.연간시수표'!$U$44,'1.연간시수표'!$X$44,'1.연간시수표'!$Z$44)+QUOTIENT(ROW(A782)-1,8)+(QUOTIENT(ROW(A782)-1,40)*2)</f>
        <v>44934</v>
      </c>
      <c r="C788" s="24" t="b">
        <f t="shared" si="36"/>
        <v>0</v>
      </c>
      <c r="D788" s="116" t="str">
        <f t="shared" si="37"/>
        <v>6교시</v>
      </c>
      <c r="E788" s="68">
        <f>COUNTIF($H$7:$H788,$H788)</f>
        <v>286</v>
      </c>
      <c r="F788" s="67">
        <f>'1.연간시수표'!$AL$33</f>
        <v>5</v>
      </c>
      <c r="G788" s="115">
        <f t="shared" si="38"/>
        <v>2</v>
      </c>
      <c r="H788" s="41" t="str">
        <f>INDEX('0.시간표데이터'!$E$52:$AR$78,QUOTIENT(ROW(A782)-1,40)+1,MOD(ROW(A782)-1,40)+1)</f>
        <v>_</v>
      </c>
      <c r="I788" s="77"/>
      <c r="J788" s="26"/>
      <c r="K788" s="167"/>
      <c r="L788" s="167"/>
      <c r="M788" s="166"/>
      <c r="N788" s="166"/>
      <c r="O788" s="166"/>
      <c r="P788" s="166"/>
      <c r="Q788" s="167"/>
      <c r="R788" s="111"/>
    </row>
    <row r="789" spans="1:18">
      <c r="A789" s="90">
        <v>783</v>
      </c>
      <c r="B789" s="24">
        <f>DATE('1.연간시수표'!$U$44,'1.연간시수표'!$X$44,'1.연간시수표'!$Z$44)+QUOTIENT(ROW(A783)-1,8)+(QUOTIENT(ROW(A783)-1,40)*2)</f>
        <v>44934</v>
      </c>
      <c r="C789" s="24" t="b">
        <f t="shared" si="36"/>
        <v>0</v>
      </c>
      <c r="D789" s="116" t="str">
        <f t="shared" si="37"/>
        <v>7교시</v>
      </c>
      <c r="E789" s="68">
        <f>COUNTIF($H$7:$H789,$H789)</f>
        <v>287</v>
      </c>
      <c r="F789" s="67">
        <f>'1.연간시수표'!$AL$33</f>
        <v>5</v>
      </c>
      <c r="G789" s="115">
        <f t="shared" si="38"/>
        <v>2</v>
      </c>
      <c r="H789" s="41" t="str">
        <f>INDEX('0.시간표데이터'!$E$52:$AR$78,QUOTIENT(ROW(A783)-1,40)+1,MOD(ROW(A783)-1,40)+1)</f>
        <v>_</v>
      </c>
      <c r="I789" s="76"/>
      <c r="J789" s="26"/>
      <c r="K789" s="167"/>
      <c r="L789" s="167"/>
      <c r="M789" s="166"/>
      <c r="N789" s="166"/>
      <c r="O789" s="166"/>
      <c r="P789" s="166"/>
      <c r="Q789" s="167"/>
      <c r="R789" s="111"/>
    </row>
    <row r="790" spans="1:18">
      <c r="A790" s="90">
        <v>784</v>
      </c>
      <c r="B790" s="24">
        <f>DATE('1.연간시수표'!$U$44,'1.연간시수표'!$X$44,'1.연간시수표'!$Z$44)+QUOTIENT(ROW(A784)-1,8)+(QUOTIENT(ROW(A784)-1,40)*2)</f>
        <v>44934</v>
      </c>
      <c r="C790" s="24" t="b">
        <f t="shared" si="36"/>
        <v>0</v>
      </c>
      <c r="D790" s="116" t="str">
        <f t="shared" si="37"/>
        <v>8교시</v>
      </c>
      <c r="E790" s="68">
        <f>COUNTIF($H$7:$H790,$H790)</f>
        <v>288</v>
      </c>
      <c r="F790" s="67">
        <f>'1.연간시수표'!$AL$33</f>
        <v>5</v>
      </c>
      <c r="G790" s="115">
        <f t="shared" si="38"/>
        <v>2</v>
      </c>
      <c r="H790" s="41" t="str">
        <f>INDEX('0.시간표데이터'!$E$52:$AR$78,QUOTIENT(ROW(A784)-1,40)+1,MOD(ROW(A784)-1,40)+1)</f>
        <v>_</v>
      </c>
      <c r="I790" s="76"/>
      <c r="J790" s="26"/>
      <c r="K790" s="167"/>
      <c r="L790" s="167"/>
      <c r="M790" s="166"/>
      <c r="N790" s="166"/>
      <c r="O790" s="166"/>
      <c r="P790" s="166"/>
      <c r="Q790" s="167"/>
      <c r="R790" s="111"/>
    </row>
    <row r="791" spans="1:18">
      <c r="A791" s="90">
        <v>785</v>
      </c>
      <c r="B791" s="24">
        <f>DATE('1.연간시수표'!$U$44,'1.연간시수표'!$X$44,'1.연간시수표'!$Z$44)+QUOTIENT(ROW(A785)-1,8)+(QUOTIENT(ROW(A785)-1,40)*2)</f>
        <v>44935</v>
      </c>
      <c r="C791" s="24" t="str">
        <f t="shared" si="36"/>
        <v>월</v>
      </c>
      <c r="D791" s="116" t="str">
        <f t="shared" si="37"/>
        <v>1교시</v>
      </c>
      <c r="E791" s="68">
        <f>COUNTIF($H$7:$H791,$H791)</f>
        <v>42</v>
      </c>
      <c r="F791" s="67">
        <f>'1.연간시수표'!$AL$33</f>
        <v>5</v>
      </c>
      <c r="G791" s="115">
        <f t="shared" si="38"/>
        <v>2</v>
      </c>
      <c r="H791" s="41" t="str">
        <f>INDEX('0.시간표데이터'!$E$52:$AR$78,QUOTIENT(ROW(A785)-1,40)+1,MOD(ROW(A785)-1,40)+1)</f>
        <v>체육</v>
      </c>
      <c r="I791" s="77"/>
      <c r="J791" s="26"/>
      <c r="K791" s="180"/>
      <c r="L791" s="180"/>
      <c r="M791" s="10"/>
      <c r="N791" s="10"/>
      <c r="O791" s="10"/>
      <c r="P791" s="10"/>
      <c r="Q791" s="164"/>
      <c r="R791" s="110"/>
    </row>
    <row r="792" spans="1:18">
      <c r="A792" s="90">
        <v>786</v>
      </c>
      <c r="B792" s="24">
        <f>DATE('1.연간시수표'!$U$44,'1.연간시수표'!$X$44,'1.연간시수표'!$Z$44)+QUOTIENT(ROW(A786)-1,8)+(QUOTIENT(ROW(A786)-1,40)*2)</f>
        <v>44935</v>
      </c>
      <c r="C792" s="24" t="str">
        <f t="shared" si="36"/>
        <v>월</v>
      </c>
      <c r="D792" s="116" t="str">
        <f t="shared" si="37"/>
        <v>2교시</v>
      </c>
      <c r="E792" s="68">
        <f>COUNTIF($H$7:$H792,$H792)</f>
        <v>62</v>
      </c>
      <c r="F792" s="67">
        <f>'1.연간시수표'!$AL$33</f>
        <v>5</v>
      </c>
      <c r="G792" s="115">
        <f t="shared" si="38"/>
        <v>2</v>
      </c>
      <c r="H792" s="41" t="str">
        <f>INDEX('0.시간표데이터'!$E$52:$AR$78,QUOTIENT(ROW(A786)-1,40)+1,MOD(ROW(A786)-1,40)+1)</f>
        <v>수학</v>
      </c>
      <c r="I792" s="161"/>
      <c r="J792" s="26"/>
      <c r="K792" s="180"/>
      <c r="L792" s="180"/>
      <c r="M792" s="10"/>
      <c r="N792" s="10"/>
      <c r="O792" s="10"/>
      <c r="P792" s="10"/>
      <c r="Q792" s="164"/>
      <c r="R792" s="110"/>
    </row>
    <row r="793" spans="1:18">
      <c r="A793" s="90">
        <v>787</v>
      </c>
      <c r="B793" s="24">
        <f>DATE('1.연간시수표'!$U$44,'1.연간시수표'!$X$44,'1.연간시수표'!$Z$44)+QUOTIENT(ROW(A787)-1,8)+(QUOTIENT(ROW(A787)-1,40)*2)</f>
        <v>44935</v>
      </c>
      <c r="C793" s="24" t="str">
        <f t="shared" si="36"/>
        <v>월</v>
      </c>
      <c r="D793" s="116" t="str">
        <f t="shared" si="37"/>
        <v>3교시</v>
      </c>
      <c r="E793" s="68">
        <f>COUNTIF($H$7:$H793,$H793)</f>
        <v>43</v>
      </c>
      <c r="F793" s="67">
        <f>'1.연간시수표'!$AL$33</f>
        <v>5</v>
      </c>
      <c r="G793" s="115">
        <f t="shared" si="38"/>
        <v>2</v>
      </c>
      <c r="H793" s="41" t="str">
        <f>INDEX('0.시간표데이터'!$E$52:$AR$78,QUOTIENT(ROW(A787)-1,40)+1,MOD(ROW(A787)-1,40)+1)</f>
        <v>체육</v>
      </c>
      <c r="I793" s="77"/>
      <c r="J793" s="26"/>
      <c r="K793" s="180"/>
      <c r="L793" s="180"/>
      <c r="M793" s="10"/>
      <c r="N793" s="10"/>
      <c r="O793" s="10"/>
      <c r="P793" s="10"/>
      <c r="Q793" s="164"/>
      <c r="R793" s="110"/>
    </row>
    <row r="794" spans="1:18">
      <c r="A794" s="90">
        <v>788</v>
      </c>
      <c r="B794" s="24">
        <f>DATE('1.연간시수표'!$U$44,'1.연간시수표'!$X$44,'1.연간시수표'!$Z$44)+QUOTIENT(ROW(A788)-1,8)+(QUOTIENT(ROW(A788)-1,40)*2)</f>
        <v>44935</v>
      </c>
      <c r="C794" s="24" t="str">
        <f t="shared" si="36"/>
        <v>월</v>
      </c>
      <c r="D794" s="116" t="str">
        <f t="shared" si="37"/>
        <v>4교시</v>
      </c>
      <c r="E794" s="68">
        <f>COUNTIF($H$7:$H794,$H794)</f>
        <v>30</v>
      </c>
      <c r="F794" s="67">
        <f>'1.연간시수표'!$AL$33</f>
        <v>5</v>
      </c>
      <c r="G794" s="115">
        <f t="shared" si="38"/>
        <v>2</v>
      </c>
      <c r="H794" s="41" t="str">
        <f>INDEX('0.시간표데이터'!$E$52:$AR$78,QUOTIENT(ROW(A788)-1,40)+1,MOD(ROW(A788)-1,40)+1)</f>
        <v>자율활동</v>
      </c>
      <c r="I794" s="77"/>
      <c r="J794" s="26"/>
      <c r="K794" s="180"/>
      <c r="L794" s="180"/>
      <c r="M794" s="10"/>
      <c r="N794" s="10"/>
      <c r="O794" s="10"/>
      <c r="P794" s="10"/>
      <c r="Q794" s="164"/>
      <c r="R794" s="110"/>
    </row>
    <row r="795" spans="1:18">
      <c r="A795" s="90">
        <v>789</v>
      </c>
      <c r="B795" s="24">
        <f>DATE('1.연간시수표'!$U$44,'1.연간시수표'!$X$44,'1.연간시수표'!$Z$44)+QUOTIENT(ROW(A789)-1,8)+(QUOTIENT(ROW(A789)-1,40)*2)</f>
        <v>44935</v>
      </c>
      <c r="C795" s="24" t="str">
        <f t="shared" si="36"/>
        <v>월</v>
      </c>
      <c r="D795" s="116" t="str">
        <f t="shared" si="37"/>
        <v>5교시</v>
      </c>
      <c r="E795" s="68">
        <f>COUNTIF($H$7:$H795,$H795)</f>
        <v>48</v>
      </c>
      <c r="F795" s="67">
        <f>'1.연간시수표'!$AL$33</f>
        <v>5</v>
      </c>
      <c r="G795" s="115">
        <f t="shared" si="38"/>
        <v>2</v>
      </c>
      <c r="H795" s="41" t="str">
        <f>INDEX('0.시간표데이터'!$E$52:$AR$78,QUOTIENT(ROW(A789)-1,40)+1,MOD(ROW(A789)-1,40)+1)</f>
        <v>과학</v>
      </c>
      <c r="I795" s="77"/>
      <c r="J795" s="26"/>
      <c r="K795" s="180"/>
      <c r="L795" s="180"/>
      <c r="M795" s="10"/>
      <c r="N795" s="10"/>
      <c r="O795" s="10"/>
      <c r="P795" s="10"/>
      <c r="Q795" s="164"/>
      <c r="R795" s="110"/>
    </row>
    <row r="796" spans="1:18">
      <c r="A796" s="90">
        <v>790</v>
      </c>
      <c r="B796" s="24">
        <f>DATE('1.연간시수표'!$U$44,'1.연간시수표'!$X$44,'1.연간시수표'!$Z$44)+QUOTIENT(ROW(A790)-1,8)+(QUOTIENT(ROW(A790)-1,40)*2)</f>
        <v>44935</v>
      </c>
      <c r="C796" s="24" t="str">
        <f t="shared" si="36"/>
        <v>월</v>
      </c>
      <c r="D796" s="116" t="str">
        <f t="shared" si="37"/>
        <v>6교시</v>
      </c>
      <c r="E796" s="68">
        <f>COUNTIF($H$7:$H796,$H796)</f>
        <v>289</v>
      </c>
      <c r="F796" s="67">
        <f>'1.연간시수표'!$AL$33</f>
        <v>5</v>
      </c>
      <c r="G796" s="115">
        <f t="shared" si="38"/>
        <v>2</v>
      </c>
      <c r="H796" s="41" t="str">
        <f>INDEX('0.시간표데이터'!$E$52:$AR$78,QUOTIENT(ROW(A790)-1,40)+1,MOD(ROW(A790)-1,40)+1)</f>
        <v>_</v>
      </c>
      <c r="I796" s="161"/>
      <c r="J796" s="26"/>
      <c r="K796" s="180"/>
      <c r="L796" s="180"/>
      <c r="M796" s="10"/>
      <c r="N796" s="10"/>
      <c r="O796" s="10"/>
      <c r="P796" s="10"/>
      <c r="Q796" s="164"/>
      <c r="R796" s="110"/>
    </row>
    <row r="797" spans="1:18">
      <c r="A797" s="90">
        <v>791</v>
      </c>
      <c r="B797" s="24">
        <f>DATE('1.연간시수표'!$U$44,'1.연간시수표'!$X$44,'1.연간시수표'!$Z$44)+QUOTIENT(ROW(A791)-1,8)+(QUOTIENT(ROW(A791)-1,40)*2)</f>
        <v>44935</v>
      </c>
      <c r="C797" s="24" t="str">
        <f t="shared" si="36"/>
        <v>월</v>
      </c>
      <c r="D797" s="116" t="str">
        <f t="shared" si="37"/>
        <v>7교시</v>
      </c>
      <c r="E797" s="68">
        <f>COUNTIF($H$7:$H797,$H797)</f>
        <v>290</v>
      </c>
      <c r="F797" s="67">
        <f>'1.연간시수표'!$AL$33</f>
        <v>5</v>
      </c>
      <c r="G797" s="115">
        <f t="shared" si="38"/>
        <v>2</v>
      </c>
      <c r="H797" s="41" t="str">
        <f>INDEX('0.시간표데이터'!$E$52:$AR$78,QUOTIENT(ROW(A791)-1,40)+1,MOD(ROW(A791)-1,40)+1)</f>
        <v>_</v>
      </c>
      <c r="I797" s="76"/>
      <c r="J797" s="26"/>
      <c r="K797" s="167"/>
      <c r="L797" s="167"/>
      <c r="M797" s="166"/>
      <c r="N797" s="166"/>
      <c r="O797" s="166"/>
      <c r="P797" s="166"/>
      <c r="Q797" s="167"/>
      <c r="R797" s="111"/>
    </row>
    <row r="798" spans="1:18">
      <c r="A798" s="90">
        <v>792</v>
      </c>
      <c r="B798" s="24">
        <f>DATE('1.연간시수표'!$U$44,'1.연간시수표'!$X$44,'1.연간시수표'!$Z$44)+QUOTIENT(ROW(A792)-1,8)+(QUOTIENT(ROW(A792)-1,40)*2)</f>
        <v>44935</v>
      </c>
      <c r="C798" s="24" t="str">
        <f t="shared" si="36"/>
        <v>월</v>
      </c>
      <c r="D798" s="116" t="str">
        <f t="shared" si="37"/>
        <v>8교시</v>
      </c>
      <c r="E798" s="68">
        <f>COUNTIF($H$7:$H798,$H798)</f>
        <v>291</v>
      </c>
      <c r="F798" s="67">
        <f>'1.연간시수표'!$AL$33</f>
        <v>5</v>
      </c>
      <c r="G798" s="115">
        <f t="shared" si="38"/>
        <v>2</v>
      </c>
      <c r="H798" s="41" t="str">
        <f>INDEX('0.시간표데이터'!$E$52:$AR$78,QUOTIENT(ROW(A792)-1,40)+1,MOD(ROW(A792)-1,40)+1)</f>
        <v>_</v>
      </c>
      <c r="I798" s="76"/>
      <c r="J798" s="26"/>
      <c r="K798" s="167"/>
      <c r="L798" s="167"/>
      <c r="M798" s="166"/>
      <c r="N798" s="166"/>
      <c r="O798" s="166"/>
      <c r="P798" s="166"/>
      <c r="Q798" s="167"/>
      <c r="R798" s="111"/>
    </row>
    <row r="799" spans="1:18">
      <c r="A799" s="90">
        <v>793</v>
      </c>
      <c r="B799" s="24">
        <f>DATE('1.연간시수표'!$U$44,'1.연간시수표'!$X$44,'1.연간시수표'!$Z$44)+QUOTIENT(ROW(A793)-1,8)+(QUOTIENT(ROW(A793)-1,40)*2)</f>
        <v>44936</v>
      </c>
      <c r="C799" s="24" t="str">
        <f t="shared" si="36"/>
        <v>화</v>
      </c>
      <c r="D799" s="116" t="str">
        <f t="shared" si="37"/>
        <v>1교시</v>
      </c>
      <c r="E799" s="68">
        <f>COUNTIF($H$7:$H799,$H799)</f>
        <v>93</v>
      </c>
      <c r="F799" s="67">
        <f>'1.연간시수표'!$AL$33</f>
        <v>5</v>
      </c>
      <c r="G799" s="115">
        <f t="shared" si="38"/>
        <v>2</v>
      </c>
      <c r="H799" s="41" t="str">
        <f>INDEX('0.시간표데이터'!$E$52:$AR$78,QUOTIENT(ROW(A793)-1,40)+1,MOD(ROW(A793)-1,40)+1)</f>
        <v>국어</v>
      </c>
      <c r="I799" s="77"/>
      <c r="J799" s="26"/>
      <c r="K799" s="180"/>
      <c r="L799" s="180"/>
      <c r="M799" s="10"/>
      <c r="N799" s="10"/>
      <c r="O799" s="10"/>
      <c r="P799" s="10"/>
      <c r="Q799" s="164"/>
      <c r="R799" s="110"/>
    </row>
    <row r="800" spans="1:18">
      <c r="A800" s="90">
        <v>794</v>
      </c>
      <c r="B800" s="24">
        <f>DATE('1.연간시수표'!$U$44,'1.연간시수표'!$X$44,'1.연간시수표'!$Z$44)+QUOTIENT(ROW(A794)-1,8)+(QUOTIENT(ROW(A794)-1,40)*2)</f>
        <v>44936</v>
      </c>
      <c r="C800" s="24" t="str">
        <f t="shared" si="36"/>
        <v>화</v>
      </c>
      <c r="D800" s="116" t="str">
        <f t="shared" si="37"/>
        <v>2교시</v>
      </c>
      <c r="E800" s="68">
        <f>COUNTIF($H$7:$H800,$H800)</f>
        <v>44</v>
      </c>
      <c r="F800" s="67">
        <f>'1.연간시수표'!$AL$33</f>
        <v>5</v>
      </c>
      <c r="G800" s="115">
        <f t="shared" si="38"/>
        <v>2</v>
      </c>
      <c r="H800" s="41" t="str">
        <f>INDEX('0.시간표데이터'!$E$52:$AR$78,QUOTIENT(ROW(A794)-1,40)+1,MOD(ROW(A794)-1,40)+1)</f>
        <v>체육</v>
      </c>
      <c r="I800" s="77"/>
      <c r="J800" s="26"/>
      <c r="K800" s="180"/>
      <c r="L800" s="180"/>
      <c r="M800" s="10"/>
      <c r="N800" s="10"/>
      <c r="O800" s="10"/>
      <c r="P800" s="10"/>
      <c r="Q800" s="164"/>
      <c r="R800" s="110"/>
    </row>
    <row r="801" spans="1:18">
      <c r="A801" s="90">
        <v>795</v>
      </c>
      <c r="B801" s="24">
        <f>DATE('1.연간시수표'!$U$44,'1.연간시수표'!$X$44,'1.연간시수표'!$Z$44)+QUOTIENT(ROW(A795)-1,8)+(QUOTIENT(ROW(A795)-1,40)*2)</f>
        <v>44936</v>
      </c>
      <c r="C801" s="24" t="str">
        <f t="shared" si="36"/>
        <v>화</v>
      </c>
      <c r="D801" s="116" t="str">
        <f t="shared" si="37"/>
        <v>3교시</v>
      </c>
      <c r="E801" s="68">
        <f>COUNTIF($H$7:$H801,$H801)</f>
        <v>63</v>
      </c>
      <c r="F801" s="67">
        <f>'1.연간시수표'!$AL$33</f>
        <v>5</v>
      </c>
      <c r="G801" s="115">
        <f t="shared" si="38"/>
        <v>2</v>
      </c>
      <c r="H801" s="41" t="str">
        <f>INDEX('0.시간표데이터'!$E$52:$AR$78,QUOTIENT(ROW(A795)-1,40)+1,MOD(ROW(A795)-1,40)+1)</f>
        <v>수학</v>
      </c>
      <c r="I801" s="77"/>
      <c r="J801" s="26"/>
      <c r="K801" s="180"/>
      <c r="L801" s="180"/>
      <c r="M801" s="10"/>
      <c r="N801" s="10"/>
      <c r="O801" s="10"/>
      <c r="P801" s="10"/>
      <c r="Q801" s="164"/>
      <c r="R801" s="110"/>
    </row>
    <row r="802" spans="1:18">
      <c r="A802" s="90">
        <v>796</v>
      </c>
      <c r="B802" s="24">
        <f>DATE('1.연간시수표'!$U$44,'1.연간시수표'!$X$44,'1.연간시수표'!$Z$44)+QUOTIENT(ROW(A796)-1,8)+(QUOTIENT(ROW(A796)-1,40)*2)</f>
        <v>44936</v>
      </c>
      <c r="C802" s="24" t="str">
        <f t="shared" si="36"/>
        <v>화</v>
      </c>
      <c r="D802" s="116" t="str">
        <f t="shared" si="37"/>
        <v>4교시</v>
      </c>
      <c r="E802" s="68">
        <f>COUNTIF($H$7:$H802,$H802)</f>
        <v>94</v>
      </c>
      <c r="F802" s="67">
        <f>'1.연간시수표'!$AL$33</f>
        <v>5</v>
      </c>
      <c r="G802" s="115">
        <f t="shared" si="38"/>
        <v>2</v>
      </c>
      <c r="H802" s="41" t="str">
        <f>INDEX('0.시간표데이터'!$E$52:$AR$78,QUOTIENT(ROW(A796)-1,40)+1,MOD(ROW(A796)-1,40)+1)</f>
        <v>국어</v>
      </c>
      <c r="I802" s="77"/>
      <c r="J802" s="26"/>
      <c r="K802" s="180"/>
      <c r="L802" s="180"/>
      <c r="M802" s="10"/>
      <c r="N802" s="10"/>
      <c r="O802" s="10"/>
      <c r="P802" s="10"/>
      <c r="Q802" s="164"/>
      <c r="R802" s="110"/>
    </row>
    <row r="803" spans="1:18">
      <c r="A803" s="90">
        <v>797</v>
      </c>
      <c r="B803" s="24">
        <f>DATE('1.연간시수표'!$U$44,'1.연간시수표'!$X$44,'1.연간시수표'!$Z$44)+QUOTIENT(ROW(A797)-1,8)+(QUOTIENT(ROW(A797)-1,40)*2)</f>
        <v>44936</v>
      </c>
      <c r="C803" s="24" t="str">
        <f t="shared" si="36"/>
        <v>화</v>
      </c>
      <c r="D803" s="116" t="str">
        <f t="shared" si="37"/>
        <v>5교시</v>
      </c>
      <c r="E803" s="68">
        <f>COUNTIF($H$7:$H803,$H803)</f>
        <v>49</v>
      </c>
      <c r="F803" s="67">
        <f>'1.연간시수표'!$AL$33</f>
        <v>5</v>
      </c>
      <c r="G803" s="115">
        <f t="shared" si="38"/>
        <v>2</v>
      </c>
      <c r="H803" s="41" t="str">
        <f>INDEX('0.시간표데이터'!$E$52:$AR$78,QUOTIENT(ROW(A797)-1,40)+1,MOD(ROW(A797)-1,40)+1)</f>
        <v>사회</v>
      </c>
      <c r="I803" s="77"/>
      <c r="J803" s="26"/>
      <c r="K803" s="180"/>
      <c r="L803" s="180"/>
      <c r="M803" s="10"/>
      <c r="N803" s="10"/>
      <c r="O803" s="10"/>
      <c r="P803" s="10"/>
      <c r="Q803" s="164"/>
      <c r="R803" s="110"/>
    </row>
    <row r="804" spans="1:18">
      <c r="A804" s="90">
        <v>798</v>
      </c>
      <c r="B804" s="24">
        <f>DATE('1.연간시수표'!$U$44,'1.연간시수표'!$X$44,'1.연간시수표'!$Z$44)+QUOTIENT(ROW(A798)-1,8)+(QUOTIENT(ROW(A798)-1,40)*2)</f>
        <v>44936</v>
      </c>
      <c r="C804" s="24" t="str">
        <f t="shared" si="36"/>
        <v>화</v>
      </c>
      <c r="D804" s="116" t="str">
        <f t="shared" si="37"/>
        <v>6교시</v>
      </c>
      <c r="E804" s="68">
        <f>COUNTIF($H$7:$H804,$H804)</f>
        <v>45</v>
      </c>
      <c r="F804" s="67">
        <f>'1.연간시수표'!$AL$33</f>
        <v>5</v>
      </c>
      <c r="G804" s="115">
        <f t="shared" si="38"/>
        <v>2</v>
      </c>
      <c r="H804" s="41" t="str">
        <f>INDEX('0.시간표데이터'!$E$52:$AR$78,QUOTIENT(ROW(A798)-1,40)+1,MOD(ROW(A798)-1,40)+1)</f>
        <v>체육</v>
      </c>
      <c r="I804" s="77"/>
      <c r="J804" s="26"/>
      <c r="K804" s="167"/>
      <c r="L804" s="167"/>
      <c r="M804" s="166"/>
      <c r="N804" s="166"/>
      <c r="O804" s="166"/>
      <c r="P804" s="166"/>
      <c r="Q804" s="167"/>
      <c r="R804" s="111"/>
    </row>
    <row r="805" spans="1:18">
      <c r="A805" s="90">
        <v>799</v>
      </c>
      <c r="B805" s="24">
        <f>DATE('1.연간시수표'!$U$44,'1.연간시수표'!$X$44,'1.연간시수표'!$Z$44)+QUOTIENT(ROW(A799)-1,8)+(QUOTIENT(ROW(A799)-1,40)*2)</f>
        <v>44936</v>
      </c>
      <c r="C805" s="24" t="str">
        <f t="shared" si="36"/>
        <v>화</v>
      </c>
      <c r="D805" s="116" t="str">
        <f t="shared" si="37"/>
        <v>7교시</v>
      </c>
      <c r="E805" s="68">
        <f>COUNTIF($H$7:$H805,$H805)</f>
        <v>292</v>
      </c>
      <c r="F805" s="67">
        <f>'1.연간시수표'!$AL$33</f>
        <v>5</v>
      </c>
      <c r="G805" s="115">
        <f t="shared" si="38"/>
        <v>2</v>
      </c>
      <c r="H805" s="41" t="str">
        <f>INDEX('0.시간표데이터'!$E$52:$AR$78,QUOTIENT(ROW(A799)-1,40)+1,MOD(ROW(A799)-1,40)+1)</f>
        <v>_</v>
      </c>
      <c r="I805" s="76"/>
      <c r="J805" s="26"/>
      <c r="K805" s="167"/>
      <c r="L805" s="167"/>
      <c r="M805" s="166"/>
      <c r="N805" s="166"/>
      <c r="O805" s="166"/>
      <c r="P805" s="166"/>
      <c r="Q805" s="167"/>
      <c r="R805" s="111"/>
    </row>
    <row r="806" spans="1:18">
      <c r="A806" s="90">
        <v>800</v>
      </c>
      <c r="B806" s="24">
        <f>DATE('1.연간시수표'!$U$44,'1.연간시수표'!$X$44,'1.연간시수표'!$Z$44)+QUOTIENT(ROW(A800)-1,8)+(QUOTIENT(ROW(A800)-1,40)*2)</f>
        <v>44936</v>
      </c>
      <c r="C806" s="24" t="str">
        <f t="shared" si="36"/>
        <v>화</v>
      </c>
      <c r="D806" s="116" t="str">
        <f t="shared" si="37"/>
        <v>8교시</v>
      </c>
      <c r="E806" s="68">
        <f>COUNTIF($H$7:$H806,$H806)</f>
        <v>293</v>
      </c>
      <c r="F806" s="67">
        <f>'1.연간시수표'!$AL$33</f>
        <v>5</v>
      </c>
      <c r="G806" s="115">
        <f t="shared" si="38"/>
        <v>2</v>
      </c>
      <c r="H806" s="41" t="str">
        <f>INDEX('0.시간표데이터'!$E$52:$AR$78,QUOTIENT(ROW(A800)-1,40)+1,MOD(ROW(A800)-1,40)+1)</f>
        <v>_</v>
      </c>
      <c r="I806" s="76"/>
      <c r="J806" s="26"/>
      <c r="K806" s="167"/>
      <c r="L806" s="167"/>
      <c r="M806" s="166"/>
      <c r="N806" s="166"/>
      <c r="O806" s="166"/>
      <c r="P806" s="166"/>
      <c r="Q806" s="167"/>
      <c r="R806" s="111"/>
    </row>
    <row r="807" spans="1:18">
      <c r="A807" s="90">
        <v>801</v>
      </c>
      <c r="B807" s="24">
        <f>DATE('1.연간시수표'!$U$44,'1.연간시수표'!$X$44,'1.연간시수표'!$Z$44)+QUOTIENT(ROW(A801)-1,8)+(QUOTIENT(ROW(A801)-1,40)*2)</f>
        <v>44939</v>
      </c>
      <c r="C807" s="24" t="str">
        <f t="shared" si="36"/>
        <v>금</v>
      </c>
      <c r="D807" s="116" t="str">
        <f t="shared" si="37"/>
        <v>1교시</v>
      </c>
      <c r="E807" s="68">
        <f>COUNTIF($H$7:$H807,$H807)</f>
        <v>95</v>
      </c>
      <c r="F807" s="67">
        <f>'1.연간시수표'!$AL$33</f>
        <v>5</v>
      </c>
      <c r="G807" s="115">
        <f t="shared" si="38"/>
        <v>2</v>
      </c>
      <c r="H807" s="41" t="str">
        <f>INDEX('0.시간표데이터'!$E$52:$AR$78,QUOTIENT(ROW(A801)-1,40)+1,MOD(ROW(A801)-1,40)+1)</f>
        <v>국어</v>
      </c>
      <c r="I807" s="77"/>
      <c r="J807" s="26"/>
      <c r="K807" s="180"/>
      <c r="L807" s="180"/>
      <c r="M807" s="10"/>
      <c r="N807" s="10"/>
      <c r="O807" s="10"/>
      <c r="P807" s="10"/>
      <c r="Q807" s="164"/>
      <c r="R807" s="110"/>
    </row>
    <row r="808" spans="1:18">
      <c r="A808" s="90">
        <v>802</v>
      </c>
      <c r="B808" s="24">
        <f>DATE('1.연간시수표'!$U$44,'1.연간시수표'!$X$44,'1.연간시수표'!$Z$44)+QUOTIENT(ROW(A802)-1,8)+(QUOTIENT(ROW(A802)-1,40)*2)</f>
        <v>44939</v>
      </c>
      <c r="C808" s="24" t="str">
        <f t="shared" si="36"/>
        <v>금</v>
      </c>
      <c r="D808" s="116" t="str">
        <f t="shared" si="37"/>
        <v>2교시</v>
      </c>
      <c r="E808" s="68">
        <f>COUNTIF($H$7:$H808,$H808)</f>
        <v>31</v>
      </c>
      <c r="F808" s="67">
        <f>'1.연간시수표'!$AL$33</f>
        <v>5</v>
      </c>
      <c r="G808" s="115">
        <f t="shared" si="38"/>
        <v>2</v>
      </c>
      <c r="H808" s="41" t="str">
        <f>INDEX('0.시간표데이터'!$E$52:$AR$78,QUOTIENT(ROW(A802)-1,40)+1,MOD(ROW(A802)-1,40)+1)</f>
        <v>미술</v>
      </c>
      <c r="I808" s="161"/>
      <c r="J808" s="26"/>
      <c r="K808" s="180"/>
      <c r="L808" s="180"/>
      <c r="M808" s="10"/>
      <c r="N808" s="10"/>
      <c r="O808" s="10"/>
      <c r="P808" s="10"/>
      <c r="Q808" s="164"/>
      <c r="R808" s="110"/>
    </row>
    <row r="809" spans="1:18">
      <c r="A809" s="90">
        <v>803</v>
      </c>
      <c r="B809" s="24">
        <f>DATE('1.연간시수표'!$U$44,'1.연간시수표'!$X$44,'1.연간시수표'!$Z$44)+QUOTIENT(ROW(A803)-1,8)+(QUOTIENT(ROW(A803)-1,40)*2)</f>
        <v>44939</v>
      </c>
      <c r="C809" s="24" t="str">
        <f t="shared" si="36"/>
        <v>금</v>
      </c>
      <c r="D809" s="116" t="str">
        <f t="shared" si="37"/>
        <v>3교시</v>
      </c>
      <c r="E809" s="68">
        <f>COUNTIF($H$7:$H809,$H809)</f>
        <v>32</v>
      </c>
      <c r="F809" s="67">
        <f>'1.연간시수표'!$AL$33</f>
        <v>5</v>
      </c>
      <c r="G809" s="115">
        <f t="shared" si="38"/>
        <v>2</v>
      </c>
      <c r="H809" s="41" t="str">
        <f>INDEX('0.시간표데이터'!$E$52:$AR$78,QUOTIENT(ROW(A803)-1,40)+1,MOD(ROW(A803)-1,40)+1)</f>
        <v>미술</v>
      </c>
      <c r="I809" s="77"/>
      <c r="J809" s="26"/>
      <c r="K809" s="180"/>
      <c r="L809" s="180"/>
      <c r="M809" s="10"/>
      <c r="N809" s="10"/>
      <c r="O809" s="10"/>
      <c r="P809" s="10"/>
      <c r="Q809" s="164"/>
      <c r="R809" s="110"/>
    </row>
    <row r="810" spans="1:18">
      <c r="A810" s="90">
        <v>804</v>
      </c>
      <c r="B810" s="24">
        <f>DATE('1.연간시수표'!$U$44,'1.연간시수표'!$X$44,'1.연간시수표'!$Z$44)+QUOTIENT(ROW(A804)-1,8)+(QUOTIENT(ROW(A804)-1,40)*2)</f>
        <v>44939</v>
      </c>
      <c r="C810" s="24" t="str">
        <f t="shared" si="36"/>
        <v>금</v>
      </c>
      <c r="D810" s="116" t="str">
        <f t="shared" si="37"/>
        <v>4교시</v>
      </c>
      <c r="E810" s="68">
        <f>COUNTIF($H$7:$H810,$H810)</f>
        <v>49</v>
      </c>
      <c r="F810" s="67">
        <f>'1.연간시수표'!$AL$33</f>
        <v>5</v>
      </c>
      <c r="G810" s="115">
        <f t="shared" si="38"/>
        <v>2</v>
      </c>
      <c r="H810" s="41" t="str">
        <f>INDEX('0.시간표데이터'!$E$52:$AR$78,QUOTIENT(ROW(A804)-1,40)+1,MOD(ROW(A804)-1,40)+1)</f>
        <v>영어</v>
      </c>
      <c r="I810" s="77"/>
      <c r="J810" s="26"/>
      <c r="K810" s="180"/>
      <c r="L810" s="180"/>
      <c r="M810" s="10"/>
      <c r="N810" s="10"/>
      <c r="O810" s="10"/>
      <c r="P810" s="10"/>
      <c r="Q810" s="164"/>
      <c r="R810" s="110"/>
    </row>
    <row r="811" spans="1:18">
      <c r="A811" s="90">
        <v>805</v>
      </c>
      <c r="B811" s="24">
        <f>DATE('1.연간시수표'!$U$44,'1.연간시수표'!$X$44,'1.연간시수표'!$Z$44)+QUOTIENT(ROW(A805)-1,8)+(QUOTIENT(ROW(A805)-1,40)*2)</f>
        <v>44939</v>
      </c>
      <c r="C811" s="24" t="str">
        <f t="shared" si="36"/>
        <v>금</v>
      </c>
      <c r="D811" s="116" t="str">
        <f t="shared" si="37"/>
        <v>5교시</v>
      </c>
      <c r="E811" s="68">
        <f>COUNTIF($H$7:$H811,$H811)</f>
        <v>64</v>
      </c>
      <c r="F811" s="67">
        <f>'1.연간시수표'!$AL$33</f>
        <v>5</v>
      </c>
      <c r="G811" s="115">
        <f t="shared" si="38"/>
        <v>2</v>
      </c>
      <c r="H811" s="41" t="str">
        <f>INDEX('0.시간표데이터'!$E$52:$AR$78,QUOTIENT(ROW(A805)-1,40)+1,MOD(ROW(A805)-1,40)+1)</f>
        <v>수학</v>
      </c>
      <c r="I811" s="77"/>
      <c r="J811" s="26"/>
      <c r="K811" s="180"/>
      <c r="L811" s="180"/>
      <c r="M811" s="10"/>
      <c r="N811" s="10"/>
      <c r="O811" s="10"/>
      <c r="P811" s="10"/>
      <c r="Q811" s="164"/>
      <c r="R811" s="110"/>
    </row>
    <row r="812" spans="1:18">
      <c r="A812" s="90">
        <v>806</v>
      </c>
      <c r="B812" s="24">
        <f>DATE('1.연간시수표'!$U$44,'1.연간시수표'!$X$44,'1.연간시수표'!$Z$44)+QUOTIENT(ROW(A806)-1,8)+(QUOTIENT(ROW(A806)-1,40)*2)</f>
        <v>44939</v>
      </c>
      <c r="C812" s="24" t="str">
        <f t="shared" si="36"/>
        <v>금</v>
      </c>
      <c r="D812" s="116" t="str">
        <f t="shared" si="37"/>
        <v>6교시</v>
      </c>
      <c r="E812" s="68">
        <f>COUNTIF($H$7:$H812,$H812)</f>
        <v>96</v>
      </c>
      <c r="F812" s="67">
        <f>'1.연간시수표'!$AL$33</f>
        <v>5</v>
      </c>
      <c r="G812" s="115">
        <f t="shared" si="38"/>
        <v>2</v>
      </c>
      <c r="H812" s="41" t="str">
        <f>INDEX('0.시간표데이터'!$E$52:$AR$78,QUOTIENT(ROW(A806)-1,40)+1,MOD(ROW(A806)-1,40)+1)</f>
        <v>국어</v>
      </c>
      <c r="I812" s="77"/>
      <c r="J812" s="26"/>
      <c r="K812" s="167"/>
      <c r="L812" s="167"/>
      <c r="M812" s="166"/>
      <c r="N812" s="166"/>
      <c r="O812" s="166"/>
      <c r="P812" s="166"/>
      <c r="Q812" s="167"/>
      <c r="R812" s="111"/>
    </row>
    <row r="813" spans="1:18">
      <c r="A813" s="90">
        <v>807</v>
      </c>
      <c r="B813" s="24">
        <f>DATE('1.연간시수표'!$U$44,'1.연간시수표'!$X$44,'1.연간시수표'!$Z$44)+QUOTIENT(ROW(A807)-1,8)+(QUOTIENT(ROW(A807)-1,40)*2)</f>
        <v>44939</v>
      </c>
      <c r="C813" s="24" t="str">
        <f t="shared" si="36"/>
        <v>금</v>
      </c>
      <c r="D813" s="116" t="str">
        <f t="shared" si="37"/>
        <v>7교시</v>
      </c>
      <c r="E813" s="68">
        <f>COUNTIF($H$7:$H813,$H813)</f>
        <v>294</v>
      </c>
      <c r="F813" s="67">
        <f>'1.연간시수표'!$AL$33</f>
        <v>5</v>
      </c>
      <c r="G813" s="115">
        <f t="shared" si="38"/>
        <v>2</v>
      </c>
      <c r="H813" s="41" t="str">
        <f>INDEX('0.시간표데이터'!$E$52:$AR$78,QUOTIENT(ROW(A807)-1,40)+1,MOD(ROW(A807)-1,40)+1)</f>
        <v>_</v>
      </c>
      <c r="I813" s="76"/>
      <c r="J813" s="26"/>
      <c r="K813" s="167"/>
      <c r="L813" s="167"/>
      <c r="M813" s="166"/>
      <c r="N813" s="166"/>
      <c r="O813" s="166"/>
      <c r="P813" s="166"/>
      <c r="Q813" s="167"/>
      <c r="R813" s="111"/>
    </row>
    <row r="814" spans="1:18">
      <c r="A814" s="90">
        <v>808</v>
      </c>
      <c r="B814" s="24">
        <f>DATE('1.연간시수표'!$U$44,'1.연간시수표'!$X$44,'1.연간시수표'!$Z$44)+QUOTIENT(ROW(A808)-1,8)+(QUOTIENT(ROW(A808)-1,40)*2)</f>
        <v>44939</v>
      </c>
      <c r="C814" s="24" t="str">
        <f t="shared" si="36"/>
        <v>금</v>
      </c>
      <c r="D814" s="116" t="str">
        <f t="shared" si="37"/>
        <v>8교시</v>
      </c>
      <c r="E814" s="68">
        <f>COUNTIF($H$7:$H814,$H814)</f>
        <v>295</v>
      </c>
      <c r="F814" s="67">
        <f>'1.연간시수표'!$AL$33</f>
        <v>5</v>
      </c>
      <c r="G814" s="115">
        <f t="shared" si="38"/>
        <v>2</v>
      </c>
      <c r="H814" s="41" t="str">
        <f>INDEX('0.시간표데이터'!$E$52:$AR$78,QUOTIENT(ROW(A808)-1,40)+1,MOD(ROW(A808)-1,40)+1)</f>
        <v>_</v>
      </c>
      <c r="I814" s="76"/>
      <c r="J814" s="26"/>
      <c r="K814" s="167"/>
      <c r="L814" s="167"/>
      <c r="M814" s="166"/>
      <c r="N814" s="166"/>
      <c r="O814" s="166"/>
      <c r="P814" s="166"/>
      <c r="Q814" s="167"/>
      <c r="R814" s="111"/>
    </row>
    <row r="815" spans="1:18">
      <c r="A815" s="90">
        <v>809</v>
      </c>
      <c r="B815" s="24">
        <f>DATE('1.연간시수표'!$U$44,'1.연간시수표'!$X$44,'1.연간시수표'!$Z$44)+QUOTIENT(ROW(A809)-1,8)+(QUOTIENT(ROW(A809)-1,40)*2)</f>
        <v>44940</v>
      </c>
      <c r="C815" s="24" t="b">
        <f t="shared" si="36"/>
        <v>0</v>
      </c>
      <c r="D815" s="116" t="str">
        <f t="shared" si="37"/>
        <v>1교시</v>
      </c>
      <c r="E815" s="68">
        <f>COUNTIF($H$7:$H815,$H815)</f>
        <v>97</v>
      </c>
      <c r="F815" s="67">
        <f>'1.연간시수표'!$AL$33</f>
        <v>5</v>
      </c>
      <c r="G815" s="115">
        <f t="shared" si="38"/>
        <v>2</v>
      </c>
      <c r="H815" s="41" t="str">
        <f>INDEX('0.시간표데이터'!$E$52:$AR$78,QUOTIENT(ROW(A809)-1,40)+1,MOD(ROW(A809)-1,40)+1)</f>
        <v>국어</v>
      </c>
      <c r="I815" s="77"/>
      <c r="J815" s="26"/>
      <c r="K815" s="180"/>
      <c r="L815" s="180"/>
      <c r="M815" s="10"/>
      <c r="N815" s="10"/>
      <c r="O815" s="10"/>
      <c r="P815" s="10"/>
      <c r="Q815" s="164"/>
      <c r="R815" s="110"/>
    </row>
    <row r="816" spans="1:18">
      <c r="A816" s="90">
        <v>810</v>
      </c>
      <c r="B816" s="24">
        <f>DATE('1.연간시수표'!$U$44,'1.연간시수표'!$X$44,'1.연간시수표'!$Z$44)+QUOTIENT(ROW(A810)-1,8)+(QUOTIENT(ROW(A810)-1,40)*2)</f>
        <v>44940</v>
      </c>
      <c r="C816" s="24" t="b">
        <f t="shared" si="36"/>
        <v>0</v>
      </c>
      <c r="D816" s="116" t="str">
        <f t="shared" si="37"/>
        <v>2교시</v>
      </c>
      <c r="E816" s="68">
        <f>COUNTIF($H$7:$H816,$H816)</f>
        <v>98</v>
      </c>
      <c r="F816" s="67">
        <f>'1.연간시수표'!$AL$33</f>
        <v>5</v>
      </c>
      <c r="G816" s="115">
        <f t="shared" si="38"/>
        <v>2</v>
      </c>
      <c r="H816" s="41" t="str">
        <f>INDEX('0.시간표데이터'!$E$52:$AR$78,QUOTIENT(ROW(A810)-1,40)+1,MOD(ROW(A810)-1,40)+1)</f>
        <v>국어</v>
      </c>
      <c r="I816" s="161"/>
      <c r="J816" s="26"/>
      <c r="K816" s="180"/>
      <c r="L816" s="180"/>
      <c r="M816" s="10"/>
      <c r="N816" s="10"/>
      <c r="O816" s="10"/>
      <c r="P816" s="10"/>
      <c r="Q816" s="164"/>
      <c r="R816" s="110"/>
    </row>
    <row r="817" spans="1:18">
      <c r="A817" s="90">
        <v>811</v>
      </c>
      <c r="B817" s="24">
        <f>DATE('1.연간시수표'!$U$44,'1.연간시수표'!$X$44,'1.연간시수표'!$Z$44)+QUOTIENT(ROW(A811)-1,8)+(QUOTIENT(ROW(A811)-1,40)*2)</f>
        <v>44940</v>
      </c>
      <c r="C817" s="24" t="b">
        <f t="shared" si="36"/>
        <v>0</v>
      </c>
      <c r="D817" s="116" t="str">
        <f t="shared" si="37"/>
        <v>3교시</v>
      </c>
      <c r="E817" s="68">
        <f>COUNTIF($H$7:$H817,$H817)</f>
        <v>50</v>
      </c>
      <c r="F817" s="67">
        <f>'1.연간시수표'!$AL$33</f>
        <v>5</v>
      </c>
      <c r="G817" s="115">
        <f t="shared" si="38"/>
        <v>2</v>
      </c>
      <c r="H817" s="41" t="str">
        <f>INDEX('0.시간표데이터'!$E$52:$AR$78,QUOTIENT(ROW(A811)-1,40)+1,MOD(ROW(A811)-1,40)+1)</f>
        <v>사회</v>
      </c>
      <c r="I817" s="77"/>
      <c r="J817" s="26"/>
      <c r="K817" s="180"/>
      <c r="L817" s="180"/>
      <c r="M817" s="10"/>
      <c r="N817" s="10"/>
      <c r="O817" s="10"/>
      <c r="P817" s="10"/>
      <c r="Q817" s="164"/>
      <c r="R817" s="110"/>
    </row>
    <row r="818" spans="1:18">
      <c r="A818" s="90">
        <v>812</v>
      </c>
      <c r="B818" s="24">
        <f>DATE('1.연간시수표'!$U$44,'1.연간시수표'!$X$44,'1.연간시수표'!$Z$44)+QUOTIENT(ROW(A812)-1,8)+(QUOTIENT(ROW(A812)-1,40)*2)</f>
        <v>44940</v>
      </c>
      <c r="C818" s="24" t="b">
        <f t="shared" si="36"/>
        <v>0</v>
      </c>
      <c r="D818" s="116" t="str">
        <f t="shared" si="37"/>
        <v>4교시</v>
      </c>
      <c r="E818" s="68">
        <f>COUNTIF($H$7:$H818,$H818)</f>
        <v>65</v>
      </c>
      <c r="F818" s="67">
        <f>'1.연간시수표'!$AL$33</f>
        <v>5</v>
      </c>
      <c r="G818" s="115">
        <f t="shared" si="38"/>
        <v>2</v>
      </c>
      <c r="H818" s="41" t="str">
        <f>INDEX('0.시간표데이터'!$E$52:$AR$78,QUOTIENT(ROW(A812)-1,40)+1,MOD(ROW(A812)-1,40)+1)</f>
        <v>수학</v>
      </c>
      <c r="I818" s="77"/>
      <c r="J818" s="26"/>
      <c r="K818" s="180"/>
      <c r="L818" s="180"/>
      <c r="M818" s="10"/>
      <c r="N818" s="10"/>
      <c r="O818" s="10"/>
      <c r="P818" s="10"/>
      <c r="Q818" s="164"/>
      <c r="R818" s="110"/>
    </row>
    <row r="819" spans="1:18">
      <c r="A819" s="90">
        <v>813</v>
      </c>
      <c r="B819" s="24">
        <f>DATE('1.연간시수표'!$U$44,'1.연간시수표'!$X$44,'1.연간시수표'!$Z$44)+QUOTIENT(ROW(A813)-1,8)+(QUOTIENT(ROW(A813)-1,40)*2)</f>
        <v>44940</v>
      </c>
      <c r="C819" s="24" t="b">
        <f t="shared" si="36"/>
        <v>0</v>
      </c>
      <c r="D819" s="116" t="str">
        <f t="shared" si="37"/>
        <v>5교시</v>
      </c>
      <c r="E819" s="68">
        <f>COUNTIF($H$7:$H819,$H819)</f>
        <v>49</v>
      </c>
      <c r="F819" s="67">
        <f>'1.연간시수표'!$AL$33</f>
        <v>5</v>
      </c>
      <c r="G819" s="115">
        <f t="shared" si="38"/>
        <v>2</v>
      </c>
      <c r="H819" s="41" t="str">
        <f>INDEX('0.시간표데이터'!$E$52:$AR$78,QUOTIENT(ROW(A813)-1,40)+1,MOD(ROW(A813)-1,40)+1)</f>
        <v>과학</v>
      </c>
      <c r="I819" s="77"/>
      <c r="J819" s="26"/>
      <c r="K819" s="167"/>
      <c r="L819" s="167"/>
      <c r="M819" s="166"/>
      <c r="N819" s="166"/>
      <c r="O819" s="166"/>
      <c r="P819" s="166"/>
      <c r="Q819" s="167"/>
      <c r="R819" s="111"/>
    </row>
    <row r="820" spans="1:18">
      <c r="A820" s="90">
        <v>814</v>
      </c>
      <c r="B820" s="24">
        <f>DATE('1.연간시수표'!$U$44,'1.연간시수표'!$X$44,'1.연간시수표'!$Z$44)+QUOTIENT(ROW(A814)-1,8)+(QUOTIENT(ROW(A814)-1,40)*2)</f>
        <v>44940</v>
      </c>
      <c r="C820" s="24" t="b">
        <f t="shared" si="36"/>
        <v>0</v>
      </c>
      <c r="D820" s="116" t="str">
        <f t="shared" si="37"/>
        <v>6교시</v>
      </c>
      <c r="E820" s="68">
        <f>COUNTIF($H$7:$H820,$H820)</f>
        <v>34</v>
      </c>
      <c r="F820" s="67">
        <f>'1.연간시수표'!$AL$33</f>
        <v>5</v>
      </c>
      <c r="G820" s="115">
        <f t="shared" si="38"/>
        <v>2</v>
      </c>
      <c r="H820" s="41" t="str">
        <f>INDEX('0.시간표데이터'!$E$52:$AR$78,QUOTIENT(ROW(A814)-1,40)+1,MOD(ROW(A814)-1,40)+1)</f>
        <v>실과</v>
      </c>
      <c r="I820" s="77"/>
      <c r="J820" s="26"/>
      <c r="K820" s="167"/>
      <c r="L820" s="167"/>
      <c r="M820" s="166"/>
      <c r="N820" s="166"/>
      <c r="O820" s="166"/>
      <c r="P820" s="166"/>
      <c r="Q820" s="167"/>
      <c r="R820" s="111"/>
    </row>
    <row r="821" spans="1:18">
      <c r="A821" s="90">
        <v>815</v>
      </c>
      <c r="B821" s="24">
        <f>DATE('1.연간시수표'!$U$44,'1.연간시수표'!$X$44,'1.연간시수표'!$Z$44)+QUOTIENT(ROW(A815)-1,8)+(QUOTIENT(ROW(A815)-1,40)*2)</f>
        <v>44940</v>
      </c>
      <c r="C821" s="24" t="b">
        <f t="shared" si="36"/>
        <v>0</v>
      </c>
      <c r="D821" s="116" t="str">
        <f t="shared" si="37"/>
        <v>7교시</v>
      </c>
      <c r="E821" s="68">
        <f>COUNTIF($H$7:$H821,$H821)</f>
        <v>296</v>
      </c>
      <c r="F821" s="67">
        <f>'1.연간시수표'!$AL$33</f>
        <v>5</v>
      </c>
      <c r="G821" s="115">
        <f t="shared" si="38"/>
        <v>2</v>
      </c>
      <c r="H821" s="41" t="str">
        <f>INDEX('0.시간표데이터'!$E$52:$AR$78,QUOTIENT(ROW(A815)-1,40)+1,MOD(ROW(A815)-1,40)+1)</f>
        <v>_</v>
      </c>
      <c r="I821" s="76"/>
      <c r="J821" s="26"/>
      <c r="K821" s="167"/>
      <c r="L821" s="167"/>
      <c r="M821" s="166"/>
      <c r="N821" s="166"/>
      <c r="O821" s="166"/>
      <c r="P821" s="166"/>
      <c r="Q821" s="167"/>
      <c r="R821" s="111"/>
    </row>
    <row r="822" spans="1:18">
      <c r="A822" s="90">
        <v>816</v>
      </c>
      <c r="B822" s="24">
        <f>DATE('1.연간시수표'!$U$44,'1.연간시수표'!$X$44,'1.연간시수표'!$Z$44)+QUOTIENT(ROW(A816)-1,8)+(QUOTIENT(ROW(A816)-1,40)*2)</f>
        <v>44940</v>
      </c>
      <c r="C822" s="24" t="b">
        <f t="shared" si="36"/>
        <v>0</v>
      </c>
      <c r="D822" s="116" t="str">
        <f t="shared" si="37"/>
        <v>8교시</v>
      </c>
      <c r="E822" s="68">
        <f>COUNTIF($H$7:$H822,$H822)</f>
        <v>297</v>
      </c>
      <c r="F822" s="67">
        <f>'1.연간시수표'!$AL$33</f>
        <v>5</v>
      </c>
      <c r="G822" s="115">
        <f t="shared" si="38"/>
        <v>2</v>
      </c>
      <c r="H822" s="41" t="str">
        <f>INDEX('0.시간표데이터'!$E$52:$AR$78,QUOTIENT(ROW(A816)-1,40)+1,MOD(ROW(A816)-1,40)+1)</f>
        <v>_</v>
      </c>
      <c r="I822" s="76"/>
      <c r="J822" s="26"/>
      <c r="K822" s="167"/>
      <c r="L822" s="167"/>
      <c r="M822" s="166"/>
      <c r="N822" s="166"/>
      <c r="O822" s="166"/>
      <c r="P822" s="166"/>
      <c r="Q822" s="167"/>
      <c r="R822" s="111"/>
    </row>
    <row r="823" spans="1:18">
      <c r="A823" s="90">
        <v>817</v>
      </c>
      <c r="B823" s="24">
        <f>DATE('1.연간시수표'!$U$44,'1.연간시수표'!$X$44,'1.연간시수표'!$Z$44)+QUOTIENT(ROW(A817)-1,8)+(QUOTIENT(ROW(A817)-1,40)*2)</f>
        <v>44941</v>
      </c>
      <c r="C823" s="24" t="b">
        <f t="shared" si="36"/>
        <v>0</v>
      </c>
      <c r="D823" s="116" t="str">
        <f t="shared" si="37"/>
        <v>1교시</v>
      </c>
      <c r="E823" s="68">
        <f>COUNTIF($H$7:$H823,$H823)</f>
        <v>50</v>
      </c>
      <c r="F823" s="67">
        <f>'1.연간시수표'!$AL$33</f>
        <v>5</v>
      </c>
      <c r="G823" s="115">
        <f t="shared" si="38"/>
        <v>2</v>
      </c>
      <c r="H823" s="41" t="str">
        <f>INDEX('0.시간표데이터'!$E$52:$AR$78,QUOTIENT(ROW(A817)-1,40)+1,MOD(ROW(A817)-1,40)+1)</f>
        <v>영어</v>
      </c>
      <c r="I823" s="77"/>
      <c r="J823" s="26"/>
      <c r="K823" s="167"/>
      <c r="L823" s="167"/>
      <c r="M823" s="166"/>
      <c r="N823" s="166"/>
      <c r="O823" s="166"/>
      <c r="P823" s="166"/>
      <c r="Q823" s="167"/>
      <c r="R823" s="111"/>
    </row>
    <row r="824" spans="1:18">
      <c r="A824" s="90">
        <v>818</v>
      </c>
      <c r="B824" s="24">
        <f>DATE('1.연간시수표'!$U$44,'1.연간시수표'!$X$44,'1.연간시수표'!$Z$44)+QUOTIENT(ROW(A818)-1,8)+(QUOTIENT(ROW(A818)-1,40)*2)</f>
        <v>44941</v>
      </c>
      <c r="C824" s="24" t="b">
        <f t="shared" si="36"/>
        <v>0</v>
      </c>
      <c r="D824" s="116" t="str">
        <f t="shared" si="37"/>
        <v>2교시</v>
      </c>
      <c r="E824" s="68">
        <f>COUNTIF($H$7:$H824,$H824)</f>
        <v>50</v>
      </c>
      <c r="F824" s="67">
        <f>'1.연간시수표'!$AL$33</f>
        <v>5</v>
      </c>
      <c r="G824" s="115">
        <f t="shared" si="38"/>
        <v>2</v>
      </c>
      <c r="H824" s="41" t="str">
        <f>INDEX('0.시간표데이터'!$E$52:$AR$78,QUOTIENT(ROW(A818)-1,40)+1,MOD(ROW(A818)-1,40)+1)</f>
        <v>과학</v>
      </c>
      <c r="I824" s="77"/>
      <c r="J824" s="26"/>
      <c r="K824" s="167"/>
      <c r="L824" s="167"/>
      <c r="M824" s="166"/>
      <c r="N824" s="166"/>
      <c r="O824" s="166"/>
      <c r="P824" s="166"/>
      <c r="Q824" s="167"/>
      <c r="R824" s="111"/>
    </row>
    <row r="825" spans="1:18">
      <c r="A825" s="90">
        <v>819</v>
      </c>
      <c r="B825" s="24">
        <f>DATE('1.연간시수표'!$U$44,'1.연간시수표'!$X$44,'1.연간시수표'!$Z$44)+QUOTIENT(ROW(A819)-1,8)+(QUOTIENT(ROW(A819)-1,40)*2)</f>
        <v>44941</v>
      </c>
      <c r="C825" s="24" t="b">
        <f t="shared" si="36"/>
        <v>0</v>
      </c>
      <c r="D825" s="116" t="str">
        <f t="shared" si="37"/>
        <v>3교시</v>
      </c>
      <c r="E825" s="68">
        <f>COUNTIF($H$7:$H825,$H825)</f>
        <v>46</v>
      </c>
      <c r="F825" s="67">
        <f>'1.연간시수표'!$AL$33</f>
        <v>5</v>
      </c>
      <c r="G825" s="115">
        <f t="shared" si="38"/>
        <v>2</v>
      </c>
      <c r="H825" s="41" t="str">
        <f>INDEX('0.시간표데이터'!$E$52:$AR$78,QUOTIENT(ROW(A819)-1,40)+1,MOD(ROW(A819)-1,40)+1)</f>
        <v>체육</v>
      </c>
      <c r="I825" s="77"/>
      <c r="J825" s="26"/>
      <c r="K825" s="167"/>
      <c r="L825" s="167"/>
      <c r="M825" s="166"/>
      <c r="N825" s="166"/>
      <c r="O825" s="166"/>
      <c r="P825" s="166"/>
      <c r="Q825" s="167"/>
      <c r="R825" s="111"/>
    </row>
    <row r="826" spans="1:18">
      <c r="A826" s="90">
        <v>820</v>
      </c>
      <c r="B826" s="24">
        <f>DATE('1.연간시수표'!$U$44,'1.연간시수표'!$X$44,'1.연간시수표'!$Z$44)+QUOTIENT(ROW(A820)-1,8)+(QUOTIENT(ROW(A820)-1,40)*2)</f>
        <v>44941</v>
      </c>
      <c r="C826" s="24" t="b">
        <f t="shared" si="36"/>
        <v>0</v>
      </c>
      <c r="D826" s="116" t="str">
        <f t="shared" si="37"/>
        <v>4교시</v>
      </c>
      <c r="E826" s="68">
        <f>COUNTIF($H$7:$H826,$H826)</f>
        <v>30</v>
      </c>
      <c r="F826" s="67">
        <f>'1.연간시수표'!$AL$33</f>
        <v>5</v>
      </c>
      <c r="G826" s="115">
        <f t="shared" si="38"/>
        <v>2</v>
      </c>
      <c r="H826" s="41" t="str">
        <f>INDEX('0.시간표데이터'!$E$52:$AR$78,QUOTIENT(ROW(A820)-1,40)+1,MOD(ROW(A820)-1,40)+1)</f>
        <v>음악</v>
      </c>
      <c r="I826" s="77"/>
      <c r="J826" s="26"/>
      <c r="K826" s="167"/>
      <c r="L826" s="167"/>
      <c r="M826" s="166"/>
      <c r="N826" s="166"/>
      <c r="O826" s="166"/>
      <c r="P826" s="166"/>
      <c r="Q826" s="167"/>
      <c r="R826" s="111"/>
    </row>
    <row r="827" spans="1:18">
      <c r="A827" s="90">
        <v>821</v>
      </c>
      <c r="B827" s="24">
        <f>DATE('1.연간시수표'!$U$44,'1.연간시수표'!$X$44,'1.연간시수표'!$Z$44)+QUOTIENT(ROW(A821)-1,8)+(QUOTIENT(ROW(A821)-1,40)*2)</f>
        <v>44941</v>
      </c>
      <c r="C827" s="24" t="b">
        <f t="shared" si="36"/>
        <v>0</v>
      </c>
      <c r="D827" s="116" t="str">
        <f t="shared" si="37"/>
        <v>5교시</v>
      </c>
      <c r="E827" s="68">
        <f>COUNTIF($H$7:$H827,$H827)</f>
        <v>31</v>
      </c>
      <c r="F827" s="67">
        <f>'1.연간시수표'!$AL$33</f>
        <v>5</v>
      </c>
      <c r="G827" s="115">
        <f t="shared" si="38"/>
        <v>2</v>
      </c>
      <c r="H827" s="41" t="str">
        <f>INDEX('0.시간표데이터'!$E$52:$AR$78,QUOTIENT(ROW(A821)-1,40)+1,MOD(ROW(A821)-1,40)+1)</f>
        <v>음악</v>
      </c>
      <c r="I827" s="77"/>
      <c r="J827" s="26"/>
      <c r="K827" s="167"/>
      <c r="L827" s="167"/>
      <c r="M827" s="166"/>
      <c r="N827" s="166"/>
      <c r="O827" s="166"/>
      <c r="P827" s="166"/>
      <c r="Q827" s="167"/>
      <c r="R827" s="111"/>
    </row>
    <row r="828" spans="1:18">
      <c r="A828" s="90">
        <v>822</v>
      </c>
      <c r="B828" s="24">
        <f>DATE('1.연간시수표'!$U$44,'1.연간시수표'!$X$44,'1.연간시수표'!$Z$44)+QUOTIENT(ROW(A822)-1,8)+(QUOTIENT(ROW(A822)-1,40)*2)</f>
        <v>44941</v>
      </c>
      <c r="C828" s="24" t="b">
        <f t="shared" si="36"/>
        <v>0</v>
      </c>
      <c r="D828" s="116" t="str">
        <f t="shared" si="37"/>
        <v>6교시</v>
      </c>
      <c r="E828" s="68">
        <f>COUNTIF($H$7:$H828,$H828)</f>
        <v>298</v>
      </c>
      <c r="F828" s="67">
        <f>'1.연간시수표'!$AL$33</f>
        <v>5</v>
      </c>
      <c r="G828" s="115">
        <f t="shared" si="38"/>
        <v>2</v>
      </c>
      <c r="H828" s="41" t="str">
        <f>INDEX('0.시간표데이터'!$E$52:$AR$78,QUOTIENT(ROW(A822)-1,40)+1,MOD(ROW(A822)-1,40)+1)</f>
        <v>_</v>
      </c>
      <c r="I828" s="77"/>
      <c r="J828" s="26"/>
      <c r="K828" s="167"/>
      <c r="L828" s="167"/>
      <c r="M828" s="166"/>
      <c r="N828" s="166"/>
      <c r="O828" s="166"/>
      <c r="P828" s="166"/>
      <c r="Q828" s="167"/>
      <c r="R828" s="111"/>
    </row>
    <row r="829" spans="1:18">
      <c r="A829" s="90">
        <v>823</v>
      </c>
      <c r="B829" s="24">
        <f>DATE('1.연간시수표'!$U$44,'1.연간시수표'!$X$44,'1.연간시수표'!$Z$44)+QUOTIENT(ROW(A823)-1,8)+(QUOTIENT(ROW(A823)-1,40)*2)</f>
        <v>44941</v>
      </c>
      <c r="C829" s="24" t="b">
        <f t="shared" si="36"/>
        <v>0</v>
      </c>
      <c r="D829" s="116" t="str">
        <f t="shared" si="37"/>
        <v>7교시</v>
      </c>
      <c r="E829" s="68">
        <f>COUNTIF($H$7:$H829,$H829)</f>
        <v>299</v>
      </c>
      <c r="F829" s="67">
        <f>'1.연간시수표'!$AL$33</f>
        <v>5</v>
      </c>
      <c r="G829" s="115">
        <f t="shared" si="38"/>
        <v>2</v>
      </c>
      <c r="H829" s="41" t="str">
        <f>INDEX('0.시간표데이터'!$E$52:$AR$78,QUOTIENT(ROW(A823)-1,40)+1,MOD(ROW(A823)-1,40)+1)</f>
        <v>_</v>
      </c>
      <c r="I829" s="76"/>
      <c r="J829" s="26"/>
      <c r="K829" s="167"/>
      <c r="L829" s="167"/>
      <c r="M829" s="166"/>
      <c r="N829" s="166"/>
      <c r="O829" s="166"/>
      <c r="P829" s="166"/>
      <c r="Q829" s="167"/>
      <c r="R829" s="111"/>
    </row>
    <row r="830" spans="1:18">
      <c r="A830" s="90">
        <v>824</v>
      </c>
      <c r="B830" s="24">
        <f>DATE('1.연간시수표'!$U$44,'1.연간시수표'!$X$44,'1.연간시수표'!$Z$44)+QUOTIENT(ROW(A824)-1,8)+(QUOTIENT(ROW(A824)-1,40)*2)</f>
        <v>44941</v>
      </c>
      <c r="C830" s="24" t="b">
        <f t="shared" si="36"/>
        <v>0</v>
      </c>
      <c r="D830" s="116" t="str">
        <f t="shared" si="37"/>
        <v>8교시</v>
      </c>
      <c r="E830" s="68">
        <f>COUNTIF($H$7:$H830,$H830)</f>
        <v>300</v>
      </c>
      <c r="F830" s="67">
        <f>'1.연간시수표'!$AL$33</f>
        <v>5</v>
      </c>
      <c r="G830" s="115">
        <f t="shared" si="38"/>
        <v>2</v>
      </c>
      <c r="H830" s="41" t="str">
        <f>INDEX('0.시간표데이터'!$E$52:$AR$78,QUOTIENT(ROW(A824)-1,40)+1,MOD(ROW(A824)-1,40)+1)</f>
        <v>_</v>
      </c>
      <c r="I830" s="76"/>
      <c r="J830" s="26"/>
      <c r="K830" s="167"/>
      <c r="L830" s="167"/>
      <c r="M830" s="166"/>
      <c r="N830" s="166"/>
      <c r="O830" s="166"/>
      <c r="P830" s="166"/>
      <c r="Q830" s="167"/>
      <c r="R830" s="111"/>
    </row>
    <row r="831" spans="1:18">
      <c r="A831" s="90">
        <v>825</v>
      </c>
      <c r="B831" s="24">
        <f>DATE('1.연간시수표'!$U$44,'1.연간시수표'!$X$44,'1.연간시수표'!$Z$44)+QUOTIENT(ROW(A825)-1,8)+(QUOTIENT(ROW(A825)-1,40)*2)</f>
        <v>44942</v>
      </c>
      <c r="C831" s="24" t="str">
        <f t="shared" si="36"/>
        <v>월</v>
      </c>
      <c r="D831" s="116" t="str">
        <f t="shared" si="37"/>
        <v>1교시</v>
      </c>
      <c r="E831" s="68">
        <f>COUNTIF($H$7:$H831,$H831)</f>
        <v>47</v>
      </c>
      <c r="F831" s="67">
        <f>'1.연간시수표'!$AL$33</f>
        <v>5</v>
      </c>
      <c r="G831" s="115">
        <f t="shared" si="38"/>
        <v>2</v>
      </c>
      <c r="H831" s="41" t="str">
        <f>INDEX('0.시간표데이터'!$E$52:$AR$78,QUOTIENT(ROW(A825)-1,40)+1,MOD(ROW(A825)-1,40)+1)</f>
        <v>체육</v>
      </c>
      <c r="I831" s="77"/>
      <c r="J831" s="26"/>
      <c r="K831" s="167"/>
      <c r="L831" s="167"/>
      <c r="M831" s="166"/>
      <c r="N831" s="166"/>
      <c r="O831" s="166"/>
      <c r="P831" s="166"/>
      <c r="Q831" s="167"/>
      <c r="R831" s="111"/>
    </row>
    <row r="832" spans="1:18">
      <c r="A832" s="90">
        <v>826</v>
      </c>
      <c r="B832" s="24">
        <f>DATE('1.연간시수표'!$U$44,'1.연간시수표'!$X$44,'1.연간시수표'!$Z$44)+QUOTIENT(ROW(A826)-1,8)+(QUOTIENT(ROW(A826)-1,40)*2)</f>
        <v>44942</v>
      </c>
      <c r="C832" s="24" t="str">
        <f t="shared" si="36"/>
        <v>월</v>
      </c>
      <c r="D832" s="116" t="str">
        <f t="shared" si="37"/>
        <v>2교시</v>
      </c>
      <c r="E832" s="68">
        <f>COUNTIF($H$7:$H832,$H832)</f>
        <v>66</v>
      </c>
      <c r="F832" s="67">
        <f>'1.연간시수표'!$AL$33</f>
        <v>5</v>
      </c>
      <c r="G832" s="115">
        <f t="shared" si="38"/>
        <v>2</v>
      </c>
      <c r="H832" s="41" t="str">
        <f>INDEX('0.시간표데이터'!$E$52:$AR$78,QUOTIENT(ROW(A826)-1,40)+1,MOD(ROW(A826)-1,40)+1)</f>
        <v>수학</v>
      </c>
      <c r="I832" s="161"/>
      <c r="J832" s="26"/>
      <c r="K832" s="167"/>
      <c r="L832" s="167"/>
      <c r="M832" s="166"/>
      <c r="N832" s="166"/>
      <c r="O832" s="166"/>
      <c r="P832" s="166"/>
      <c r="Q832" s="167"/>
      <c r="R832" s="111"/>
    </row>
    <row r="833" spans="1:18">
      <c r="A833" s="90">
        <v>827</v>
      </c>
      <c r="B833" s="24">
        <f>DATE('1.연간시수표'!$U$44,'1.연간시수표'!$X$44,'1.연간시수표'!$Z$44)+QUOTIENT(ROW(A827)-1,8)+(QUOTIENT(ROW(A827)-1,40)*2)</f>
        <v>44942</v>
      </c>
      <c r="C833" s="24" t="str">
        <f t="shared" si="36"/>
        <v>월</v>
      </c>
      <c r="D833" s="116" t="str">
        <f t="shared" si="37"/>
        <v>3교시</v>
      </c>
      <c r="E833" s="68">
        <f>COUNTIF($H$7:$H833,$H833)</f>
        <v>48</v>
      </c>
      <c r="F833" s="67">
        <f>'1.연간시수표'!$AL$33</f>
        <v>5</v>
      </c>
      <c r="G833" s="115">
        <f t="shared" si="38"/>
        <v>2</v>
      </c>
      <c r="H833" s="41" t="str">
        <f>INDEX('0.시간표데이터'!$E$52:$AR$78,QUOTIENT(ROW(A827)-1,40)+1,MOD(ROW(A827)-1,40)+1)</f>
        <v>체육</v>
      </c>
      <c r="I833" s="77"/>
      <c r="J833" s="26"/>
      <c r="K833" s="167"/>
      <c r="L833" s="167"/>
      <c r="M833" s="166"/>
      <c r="N833" s="166"/>
      <c r="O833" s="166"/>
      <c r="P833" s="166"/>
      <c r="Q833" s="167"/>
      <c r="R833" s="111"/>
    </row>
    <row r="834" spans="1:18">
      <c r="A834" s="90">
        <v>828</v>
      </c>
      <c r="B834" s="24">
        <f>DATE('1.연간시수표'!$U$44,'1.연간시수표'!$X$44,'1.연간시수표'!$Z$44)+QUOTIENT(ROW(A828)-1,8)+(QUOTIENT(ROW(A828)-1,40)*2)</f>
        <v>44942</v>
      </c>
      <c r="C834" s="24" t="str">
        <f t="shared" si="36"/>
        <v>월</v>
      </c>
      <c r="D834" s="116" t="str">
        <f t="shared" si="37"/>
        <v>4교시</v>
      </c>
      <c r="E834" s="68">
        <f>COUNTIF($H$7:$H834,$H834)</f>
        <v>31</v>
      </c>
      <c r="F834" s="67">
        <f>'1.연간시수표'!$AL$33</f>
        <v>5</v>
      </c>
      <c r="G834" s="115">
        <f t="shared" si="38"/>
        <v>2</v>
      </c>
      <c r="H834" s="41" t="str">
        <f>INDEX('0.시간표데이터'!$E$52:$AR$78,QUOTIENT(ROW(A828)-1,40)+1,MOD(ROW(A828)-1,40)+1)</f>
        <v>자율활동</v>
      </c>
      <c r="I834" s="77"/>
      <c r="J834" s="26"/>
      <c r="K834" s="167"/>
      <c r="L834" s="167"/>
      <c r="M834" s="166"/>
      <c r="N834" s="166"/>
      <c r="O834" s="166"/>
      <c r="P834" s="166"/>
      <c r="Q834" s="167"/>
      <c r="R834" s="111"/>
    </row>
    <row r="835" spans="1:18">
      <c r="A835" s="90">
        <v>829</v>
      </c>
      <c r="B835" s="24">
        <f>DATE('1.연간시수표'!$U$44,'1.연간시수표'!$X$44,'1.연간시수표'!$Z$44)+QUOTIENT(ROW(A829)-1,8)+(QUOTIENT(ROW(A829)-1,40)*2)</f>
        <v>44942</v>
      </c>
      <c r="C835" s="24" t="str">
        <f t="shared" si="36"/>
        <v>월</v>
      </c>
      <c r="D835" s="116" t="str">
        <f t="shared" si="37"/>
        <v>5교시</v>
      </c>
      <c r="E835" s="68">
        <f>COUNTIF($H$7:$H835,$H835)</f>
        <v>51</v>
      </c>
      <c r="F835" s="67">
        <f>'1.연간시수표'!$AL$33</f>
        <v>5</v>
      </c>
      <c r="G835" s="115">
        <f t="shared" si="38"/>
        <v>2</v>
      </c>
      <c r="H835" s="41" t="str">
        <f>INDEX('0.시간표데이터'!$E$52:$AR$78,QUOTIENT(ROW(A829)-1,40)+1,MOD(ROW(A829)-1,40)+1)</f>
        <v>과학</v>
      </c>
      <c r="I835" s="77"/>
      <c r="J835" s="26"/>
      <c r="K835" s="167"/>
      <c r="L835" s="167"/>
      <c r="M835" s="166"/>
      <c r="N835" s="166"/>
      <c r="O835" s="166"/>
      <c r="P835" s="166"/>
      <c r="Q835" s="167"/>
      <c r="R835" s="111"/>
    </row>
    <row r="836" spans="1:18">
      <c r="A836" s="90">
        <v>830</v>
      </c>
      <c r="B836" s="24">
        <f>DATE('1.연간시수표'!$U$44,'1.연간시수표'!$X$44,'1.연간시수표'!$Z$44)+QUOTIENT(ROW(A830)-1,8)+(QUOTIENT(ROW(A830)-1,40)*2)</f>
        <v>44942</v>
      </c>
      <c r="C836" s="24" t="str">
        <f t="shared" si="36"/>
        <v>월</v>
      </c>
      <c r="D836" s="116" t="str">
        <f t="shared" si="37"/>
        <v>6교시</v>
      </c>
      <c r="E836" s="68">
        <f>COUNTIF($H$7:$H836,$H836)</f>
        <v>301</v>
      </c>
      <c r="F836" s="67">
        <f>'1.연간시수표'!$AL$33</f>
        <v>5</v>
      </c>
      <c r="G836" s="115">
        <f t="shared" si="38"/>
        <v>2</v>
      </c>
      <c r="H836" s="41" t="str">
        <f>INDEX('0.시간표데이터'!$E$52:$AR$78,QUOTIENT(ROW(A830)-1,40)+1,MOD(ROW(A830)-1,40)+1)</f>
        <v>_</v>
      </c>
      <c r="I836" s="161"/>
      <c r="J836" s="26"/>
      <c r="K836" s="167"/>
      <c r="L836" s="167"/>
      <c r="M836" s="166"/>
      <c r="N836" s="166"/>
      <c r="O836" s="166"/>
      <c r="P836" s="166"/>
      <c r="Q836" s="167"/>
      <c r="R836" s="111"/>
    </row>
    <row r="837" spans="1:18">
      <c r="A837" s="90">
        <v>831</v>
      </c>
      <c r="B837" s="24">
        <f>DATE('1.연간시수표'!$U$44,'1.연간시수표'!$X$44,'1.연간시수표'!$Z$44)+QUOTIENT(ROW(A831)-1,8)+(QUOTIENT(ROW(A831)-1,40)*2)</f>
        <v>44942</v>
      </c>
      <c r="C837" s="24" t="str">
        <f t="shared" si="36"/>
        <v>월</v>
      </c>
      <c r="D837" s="116" t="str">
        <f t="shared" si="37"/>
        <v>7교시</v>
      </c>
      <c r="E837" s="68">
        <f>COUNTIF($H$7:$H837,$H837)</f>
        <v>302</v>
      </c>
      <c r="F837" s="67">
        <f>'1.연간시수표'!$AL$33</f>
        <v>5</v>
      </c>
      <c r="G837" s="115">
        <f t="shared" si="38"/>
        <v>2</v>
      </c>
      <c r="H837" s="41" t="str">
        <f>INDEX('0.시간표데이터'!$E$52:$AR$78,QUOTIENT(ROW(A831)-1,40)+1,MOD(ROW(A831)-1,40)+1)</f>
        <v>_</v>
      </c>
      <c r="I837" s="76"/>
      <c r="J837" s="26"/>
      <c r="K837" s="167"/>
      <c r="L837" s="167"/>
      <c r="M837" s="166"/>
      <c r="N837" s="166"/>
      <c r="O837" s="166"/>
      <c r="P837" s="166"/>
      <c r="Q837" s="167"/>
      <c r="R837" s="111"/>
    </row>
    <row r="838" spans="1:18">
      <c r="A838" s="90">
        <v>832</v>
      </c>
      <c r="B838" s="24">
        <f>DATE('1.연간시수표'!$U$44,'1.연간시수표'!$X$44,'1.연간시수표'!$Z$44)+QUOTIENT(ROW(A832)-1,8)+(QUOTIENT(ROW(A832)-1,40)*2)</f>
        <v>44942</v>
      </c>
      <c r="C838" s="24" t="str">
        <f t="shared" si="36"/>
        <v>월</v>
      </c>
      <c r="D838" s="116" t="str">
        <f t="shared" si="37"/>
        <v>8교시</v>
      </c>
      <c r="E838" s="68">
        <f>COUNTIF($H$7:$H838,$H838)</f>
        <v>303</v>
      </c>
      <c r="F838" s="67">
        <f>'1.연간시수표'!$AL$33</f>
        <v>5</v>
      </c>
      <c r="G838" s="115">
        <f t="shared" si="38"/>
        <v>2</v>
      </c>
      <c r="H838" s="41" t="str">
        <f>INDEX('0.시간표데이터'!$E$52:$AR$78,QUOTIENT(ROW(A832)-1,40)+1,MOD(ROW(A832)-1,40)+1)</f>
        <v>_</v>
      </c>
      <c r="I838" s="76"/>
      <c r="J838" s="26"/>
      <c r="K838" s="167"/>
      <c r="L838" s="167"/>
      <c r="M838" s="166"/>
      <c r="N838" s="166"/>
      <c r="O838" s="166"/>
      <c r="P838" s="166"/>
      <c r="Q838" s="167"/>
      <c r="R838" s="111"/>
    </row>
    <row r="839" spans="1:18">
      <c r="A839" s="90">
        <v>833</v>
      </c>
      <c r="B839" s="24">
        <f>DATE('1.연간시수표'!$U$44,'1.연간시수표'!$X$44,'1.연간시수표'!$Z$44)+QUOTIENT(ROW(A833)-1,8)+(QUOTIENT(ROW(A833)-1,40)*2)</f>
        <v>44943</v>
      </c>
      <c r="C839" s="24" t="str">
        <f t="shared" ref="C839:C902" si="39">IF(WEEKDAY(B839,2)=1,"월",IF(WEEKDAY(B839,2)=2,"화",IF(WEEKDAY(B839,2)=3,"수",IF(WEEKDAY(B839,2)=4,"목",IF(WEEKDAY(B839,2)=5,"금")))))</f>
        <v>화</v>
      </c>
      <c r="D839" s="116" t="str">
        <f t="shared" ref="D839:D902" si="40">TEXT(MOD(ROW(A833)-1,8)+1,"#교시")</f>
        <v>1교시</v>
      </c>
      <c r="E839" s="68">
        <f>COUNTIF($H$7:$H839,$H839)</f>
        <v>99</v>
      </c>
      <c r="F839" s="67">
        <f>'1.연간시수표'!$AL$33</f>
        <v>5</v>
      </c>
      <c r="G839" s="115">
        <f t="shared" ref="G839:G902" si="41">$A$2</f>
        <v>2</v>
      </c>
      <c r="H839" s="41" t="str">
        <f>INDEX('0.시간표데이터'!$E$52:$AR$78,QUOTIENT(ROW(A833)-1,40)+1,MOD(ROW(A833)-1,40)+1)</f>
        <v>국어</v>
      </c>
      <c r="I839" s="77"/>
      <c r="J839" s="26"/>
      <c r="K839" s="167"/>
      <c r="L839" s="167"/>
      <c r="M839" s="166"/>
      <c r="N839" s="166"/>
      <c r="O839" s="166"/>
      <c r="P839" s="166"/>
      <c r="Q839" s="167"/>
      <c r="R839" s="111"/>
    </row>
    <row r="840" spans="1:18">
      <c r="A840" s="90">
        <v>834</v>
      </c>
      <c r="B840" s="24">
        <f>DATE('1.연간시수표'!$U$44,'1.연간시수표'!$X$44,'1.연간시수표'!$Z$44)+QUOTIENT(ROW(A834)-1,8)+(QUOTIENT(ROW(A834)-1,40)*2)</f>
        <v>44943</v>
      </c>
      <c r="C840" s="24" t="str">
        <f t="shared" si="39"/>
        <v>화</v>
      </c>
      <c r="D840" s="116" t="str">
        <f t="shared" si="40"/>
        <v>2교시</v>
      </c>
      <c r="E840" s="68">
        <f>COUNTIF($H$7:$H840,$H840)</f>
        <v>49</v>
      </c>
      <c r="F840" s="67">
        <f>'1.연간시수표'!$AL$33</f>
        <v>5</v>
      </c>
      <c r="G840" s="115">
        <f t="shared" si="41"/>
        <v>2</v>
      </c>
      <c r="H840" s="41" t="str">
        <f>INDEX('0.시간표데이터'!$E$52:$AR$78,QUOTIENT(ROW(A834)-1,40)+1,MOD(ROW(A834)-1,40)+1)</f>
        <v>체육</v>
      </c>
      <c r="I840" s="77"/>
      <c r="J840" s="26"/>
      <c r="K840" s="167"/>
      <c r="L840" s="167"/>
      <c r="M840" s="166"/>
      <c r="N840" s="166"/>
      <c r="O840" s="166"/>
      <c r="P840" s="166"/>
      <c r="Q840" s="167"/>
      <c r="R840" s="111"/>
    </row>
    <row r="841" spans="1:18">
      <c r="A841" s="90">
        <v>835</v>
      </c>
      <c r="B841" s="24">
        <f>DATE('1.연간시수표'!$U$44,'1.연간시수표'!$X$44,'1.연간시수표'!$Z$44)+QUOTIENT(ROW(A835)-1,8)+(QUOTIENT(ROW(A835)-1,40)*2)</f>
        <v>44943</v>
      </c>
      <c r="C841" s="24" t="str">
        <f t="shared" si="39"/>
        <v>화</v>
      </c>
      <c r="D841" s="116" t="str">
        <f t="shared" si="40"/>
        <v>3교시</v>
      </c>
      <c r="E841" s="68">
        <f>COUNTIF($H$7:$H841,$H841)</f>
        <v>67</v>
      </c>
      <c r="F841" s="67">
        <f>'1.연간시수표'!$AL$33</f>
        <v>5</v>
      </c>
      <c r="G841" s="115">
        <f t="shared" si="41"/>
        <v>2</v>
      </c>
      <c r="H841" s="41" t="str">
        <f>INDEX('0.시간표데이터'!$E$52:$AR$78,QUOTIENT(ROW(A835)-1,40)+1,MOD(ROW(A835)-1,40)+1)</f>
        <v>수학</v>
      </c>
      <c r="I841" s="77"/>
      <c r="J841" s="26"/>
      <c r="K841" s="167"/>
      <c r="L841" s="167"/>
      <c r="M841" s="166"/>
      <c r="N841" s="166"/>
      <c r="O841" s="166"/>
      <c r="P841" s="166"/>
      <c r="Q841" s="167"/>
      <c r="R841" s="111"/>
    </row>
    <row r="842" spans="1:18">
      <c r="A842" s="90">
        <v>836</v>
      </c>
      <c r="B842" s="24">
        <f>DATE('1.연간시수표'!$U$44,'1.연간시수표'!$X$44,'1.연간시수표'!$Z$44)+QUOTIENT(ROW(A836)-1,8)+(QUOTIENT(ROW(A836)-1,40)*2)</f>
        <v>44943</v>
      </c>
      <c r="C842" s="24" t="str">
        <f t="shared" si="39"/>
        <v>화</v>
      </c>
      <c r="D842" s="116" t="str">
        <f t="shared" si="40"/>
        <v>4교시</v>
      </c>
      <c r="E842" s="68">
        <f>COUNTIF($H$7:$H842,$H842)</f>
        <v>100</v>
      </c>
      <c r="F842" s="67">
        <f>'1.연간시수표'!$AL$33</f>
        <v>5</v>
      </c>
      <c r="G842" s="115">
        <f t="shared" si="41"/>
        <v>2</v>
      </c>
      <c r="H842" s="41" t="str">
        <f>INDEX('0.시간표데이터'!$E$52:$AR$78,QUOTIENT(ROW(A836)-1,40)+1,MOD(ROW(A836)-1,40)+1)</f>
        <v>국어</v>
      </c>
      <c r="I842" s="77"/>
      <c r="J842" s="26"/>
      <c r="K842" s="167"/>
      <c r="L842" s="167"/>
      <c r="M842" s="166"/>
      <c r="N842" s="166"/>
      <c r="O842" s="166"/>
      <c r="P842" s="166"/>
      <c r="Q842" s="167"/>
      <c r="R842" s="111"/>
    </row>
    <row r="843" spans="1:18">
      <c r="A843" s="90">
        <v>837</v>
      </c>
      <c r="B843" s="24">
        <f>DATE('1.연간시수표'!$U$44,'1.연간시수표'!$X$44,'1.연간시수표'!$Z$44)+QUOTIENT(ROW(A837)-1,8)+(QUOTIENT(ROW(A837)-1,40)*2)</f>
        <v>44943</v>
      </c>
      <c r="C843" s="24" t="str">
        <f t="shared" si="39"/>
        <v>화</v>
      </c>
      <c r="D843" s="116" t="str">
        <f t="shared" si="40"/>
        <v>5교시</v>
      </c>
      <c r="E843" s="68">
        <f>COUNTIF($H$7:$H843,$H843)</f>
        <v>51</v>
      </c>
      <c r="F843" s="67">
        <f>'1.연간시수표'!$AL$33</f>
        <v>5</v>
      </c>
      <c r="G843" s="115">
        <f t="shared" si="41"/>
        <v>2</v>
      </c>
      <c r="H843" s="41" t="str">
        <f>INDEX('0.시간표데이터'!$E$52:$AR$78,QUOTIENT(ROW(A837)-1,40)+1,MOD(ROW(A837)-1,40)+1)</f>
        <v>사회</v>
      </c>
      <c r="I843" s="77"/>
      <c r="J843" s="26"/>
      <c r="K843" s="167"/>
      <c r="L843" s="167"/>
      <c r="M843" s="166"/>
      <c r="N843" s="166"/>
      <c r="O843" s="166"/>
      <c r="P843" s="166"/>
      <c r="Q843" s="167"/>
      <c r="R843" s="111"/>
    </row>
    <row r="844" spans="1:18">
      <c r="A844" s="90">
        <v>838</v>
      </c>
      <c r="B844" s="24">
        <f>DATE('1.연간시수표'!$U$44,'1.연간시수표'!$X$44,'1.연간시수표'!$Z$44)+QUOTIENT(ROW(A838)-1,8)+(QUOTIENT(ROW(A838)-1,40)*2)</f>
        <v>44943</v>
      </c>
      <c r="C844" s="24" t="str">
        <f t="shared" si="39"/>
        <v>화</v>
      </c>
      <c r="D844" s="116" t="str">
        <f t="shared" si="40"/>
        <v>6교시</v>
      </c>
      <c r="E844" s="68">
        <f>COUNTIF($H$7:$H844,$H844)</f>
        <v>50</v>
      </c>
      <c r="F844" s="67">
        <f>'1.연간시수표'!$AL$33</f>
        <v>5</v>
      </c>
      <c r="G844" s="115">
        <f t="shared" si="41"/>
        <v>2</v>
      </c>
      <c r="H844" s="41" t="str">
        <f>INDEX('0.시간표데이터'!$E$52:$AR$78,QUOTIENT(ROW(A838)-1,40)+1,MOD(ROW(A838)-1,40)+1)</f>
        <v>체육</v>
      </c>
      <c r="I844" s="77"/>
      <c r="J844" s="26"/>
      <c r="K844" s="167"/>
      <c r="L844" s="167"/>
      <c r="M844" s="166"/>
      <c r="N844" s="166"/>
      <c r="O844" s="166"/>
      <c r="P844" s="166"/>
      <c r="Q844" s="167"/>
      <c r="R844" s="111"/>
    </row>
    <row r="845" spans="1:18">
      <c r="A845" s="90">
        <v>839</v>
      </c>
      <c r="B845" s="24">
        <f>DATE('1.연간시수표'!$U$44,'1.연간시수표'!$X$44,'1.연간시수표'!$Z$44)+QUOTIENT(ROW(A839)-1,8)+(QUOTIENT(ROW(A839)-1,40)*2)</f>
        <v>44943</v>
      </c>
      <c r="C845" s="24" t="str">
        <f t="shared" si="39"/>
        <v>화</v>
      </c>
      <c r="D845" s="116" t="str">
        <f t="shared" si="40"/>
        <v>7교시</v>
      </c>
      <c r="E845" s="68">
        <f>COUNTIF($H$7:$H845,$H845)</f>
        <v>304</v>
      </c>
      <c r="F845" s="67">
        <f>'1.연간시수표'!$AL$33</f>
        <v>5</v>
      </c>
      <c r="G845" s="115">
        <f t="shared" si="41"/>
        <v>2</v>
      </c>
      <c r="H845" s="41" t="str">
        <f>INDEX('0.시간표데이터'!$E$52:$AR$78,QUOTIENT(ROW(A839)-1,40)+1,MOD(ROW(A839)-1,40)+1)</f>
        <v>_</v>
      </c>
      <c r="I845" s="76"/>
      <c r="J845" s="26"/>
      <c r="K845" s="167"/>
      <c r="L845" s="167"/>
      <c r="M845" s="166"/>
      <c r="N845" s="166"/>
      <c r="O845" s="166"/>
      <c r="P845" s="166"/>
      <c r="Q845" s="167"/>
      <c r="R845" s="111"/>
    </row>
    <row r="846" spans="1:18">
      <c r="A846" s="90">
        <v>840</v>
      </c>
      <c r="B846" s="24">
        <f>DATE('1.연간시수표'!$U$44,'1.연간시수표'!$X$44,'1.연간시수표'!$Z$44)+QUOTIENT(ROW(A840)-1,8)+(QUOTIENT(ROW(A840)-1,40)*2)</f>
        <v>44943</v>
      </c>
      <c r="C846" s="24" t="str">
        <f t="shared" si="39"/>
        <v>화</v>
      </c>
      <c r="D846" s="116" t="str">
        <f t="shared" si="40"/>
        <v>8교시</v>
      </c>
      <c r="E846" s="68">
        <f>COUNTIF($H$7:$H846,$H846)</f>
        <v>305</v>
      </c>
      <c r="F846" s="67">
        <f>'1.연간시수표'!$AL$33</f>
        <v>5</v>
      </c>
      <c r="G846" s="115">
        <f t="shared" si="41"/>
        <v>2</v>
      </c>
      <c r="H846" s="41" t="str">
        <f>INDEX('0.시간표데이터'!$E$52:$AR$78,QUOTIENT(ROW(A840)-1,40)+1,MOD(ROW(A840)-1,40)+1)</f>
        <v>_</v>
      </c>
      <c r="I846" s="76"/>
      <c r="J846" s="26"/>
      <c r="K846" s="167"/>
      <c r="L846" s="167"/>
      <c r="M846" s="166"/>
      <c r="N846" s="166"/>
      <c r="O846" s="166"/>
      <c r="P846" s="166"/>
      <c r="Q846" s="167"/>
      <c r="R846" s="111"/>
    </row>
    <row r="847" spans="1:18">
      <c r="A847" s="90">
        <v>841</v>
      </c>
      <c r="B847" s="24">
        <f>DATE('1.연간시수표'!$U$44,'1.연간시수표'!$X$44,'1.연간시수표'!$Z$44)+QUOTIENT(ROW(A841)-1,8)+(QUOTIENT(ROW(A841)-1,40)*2)</f>
        <v>44946</v>
      </c>
      <c r="C847" s="24" t="str">
        <f t="shared" si="39"/>
        <v>금</v>
      </c>
      <c r="D847" s="116" t="str">
        <f t="shared" si="40"/>
        <v>1교시</v>
      </c>
      <c r="E847" s="68">
        <f>COUNTIF($H$7:$H847,$H847)</f>
        <v>101</v>
      </c>
      <c r="F847" s="67">
        <f>'1.연간시수표'!$AL$33</f>
        <v>5</v>
      </c>
      <c r="G847" s="115">
        <f t="shared" si="41"/>
        <v>2</v>
      </c>
      <c r="H847" s="41" t="str">
        <f>INDEX('0.시간표데이터'!$E$52:$AR$78,QUOTIENT(ROW(A841)-1,40)+1,MOD(ROW(A841)-1,40)+1)</f>
        <v>국어</v>
      </c>
      <c r="I847" s="77"/>
      <c r="J847" s="26"/>
      <c r="K847" s="167"/>
      <c r="L847" s="167"/>
      <c r="M847" s="166"/>
      <c r="N847" s="166"/>
      <c r="O847" s="166"/>
      <c r="P847" s="166"/>
      <c r="Q847" s="167"/>
      <c r="R847" s="111"/>
    </row>
    <row r="848" spans="1:18">
      <c r="A848" s="90">
        <v>842</v>
      </c>
      <c r="B848" s="24">
        <f>DATE('1.연간시수표'!$U$44,'1.연간시수표'!$X$44,'1.연간시수표'!$Z$44)+QUOTIENT(ROW(A842)-1,8)+(QUOTIENT(ROW(A842)-1,40)*2)</f>
        <v>44946</v>
      </c>
      <c r="C848" s="24" t="str">
        <f t="shared" si="39"/>
        <v>금</v>
      </c>
      <c r="D848" s="116" t="str">
        <f t="shared" si="40"/>
        <v>2교시</v>
      </c>
      <c r="E848" s="68">
        <f>COUNTIF($H$7:$H848,$H848)</f>
        <v>33</v>
      </c>
      <c r="F848" s="67">
        <f>'1.연간시수표'!$AL$33</f>
        <v>5</v>
      </c>
      <c r="G848" s="115">
        <f t="shared" si="41"/>
        <v>2</v>
      </c>
      <c r="H848" s="41" t="str">
        <f>INDEX('0.시간표데이터'!$E$52:$AR$78,QUOTIENT(ROW(A842)-1,40)+1,MOD(ROW(A842)-1,40)+1)</f>
        <v>미술</v>
      </c>
      <c r="I848" s="161"/>
      <c r="J848" s="26"/>
      <c r="K848" s="167"/>
      <c r="L848" s="167"/>
      <c r="M848" s="166"/>
      <c r="N848" s="166"/>
      <c r="O848" s="166"/>
      <c r="P848" s="166"/>
      <c r="Q848" s="167"/>
      <c r="R848" s="111"/>
    </row>
    <row r="849" spans="1:18">
      <c r="A849" s="90">
        <v>843</v>
      </c>
      <c r="B849" s="24">
        <f>DATE('1.연간시수표'!$U$44,'1.연간시수표'!$X$44,'1.연간시수표'!$Z$44)+QUOTIENT(ROW(A843)-1,8)+(QUOTIENT(ROW(A843)-1,40)*2)</f>
        <v>44946</v>
      </c>
      <c r="C849" s="24" t="str">
        <f t="shared" si="39"/>
        <v>금</v>
      </c>
      <c r="D849" s="116" t="str">
        <f t="shared" si="40"/>
        <v>3교시</v>
      </c>
      <c r="E849" s="68">
        <f>COUNTIF($H$7:$H849,$H849)</f>
        <v>34</v>
      </c>
      <c r="F849" s="67">
        <f>'1.연간시수표'!$AL$33</f>
        <v>5</v>
      </c>
      <c r="G849" s="115">
        <f t="shared" si="41"/>
        <v>2</v>
      </c>
      <c r="H849" s="41" t="str">
        <f>INDEX('0.시간표데이터'!$E$52:$AR$78,QUOTIENT(ROW(A843)-1,40)+1,MOD(ROW(A843)-1,40)+1)</f>
        <v>미술</v>
      </c>
      <c r="I849" s="77"/>
      <c r="J849" s="26"/>
      <c r="K849" s="167"/>
      <c r="L849" s="167"/>
      <c r="M849" s="166"/>
      <c r="N849" s="166"/>
      <c r="O849" s="166"/>
      <c r="P849" s="166"/>
      <c r="Q849" s="167"/>
      <c r="R849" s="111"/>
    </row>
    <row r="850" spans="1:18">
      <c r="A850" s="90">
        <v>844</v>
      </c>
      <c r="B850" s="24">
        <f>DATE('1.연간시수표'!$U$44,'1.연간시수표'!$X$44,'1.연간시수표'!$Z$44)+QUOTIENT(ROW(A844)-1,8)+(QUOTIENT(ROW(A844)-1,40)*2)</f>
        <v>44946</v>
      </c>
      <c r="C850" s="24" t="str">
        <f t="shared" si="39"/>
        <v>금</v>
      </c>
      <c r="D850" s="116" t="str">
        <f t="shared" si="40"/>
        <v>4교시</v>
      </c>
      <c r="E850" s="68">
        <f>COUNTIF($H$7:$H850,$H850)</f>
        <v>51</v>
      </c>
      <c r="F850" s="67">
        <f>'1.연간시수표'!$AL$33</f>
        <v>5</v>
      </c>
      <c r="G850" s="115">
        <f t="shared" si="41"/>
        <v>2</v>
      </c>
      <c r="H850" s="41" t="str">
        <f>INDEX('0.시간표데이터'!$E$52:$AR$78,QUOTIENT(ROW(A844)-1,40)+1,MOD(ROW(A844)-1,40)+1)</f>
        <v>영어</v>
      </c>
      <c r="I850" s="77"/>
      <c r="J850" s="26"/>
      <c r="K850" s="167"/>
      <c r="L850" s="167"/>
      <c r="M850" s="166"/>
      <c r="N850" s="166"/>
      <c r="O850" s="166"/>
      <c r="P850" s="166"/>
      <c r="Q850" s="167"/>
      <c r="R850" s="111"/>
    </row>
    <row r="851" spans="1:18">
      <c r="A851" s="90">
        <v>845</v>
      </c>
      <c r="B851" s="24">
        <f>DATE('1.연간시수표'!$U$44,'1.연간시수표'!$X$44,'1.연간시수표'!$Z$44)+QUOTIENT(ROW(A845)-1,8)+(QUOTIENT(ROW(A845)-1,40)*2)</f>
        <v>44946</v>
      </c>
      <c r="C851" s="24" t="str">
        <f t="shared" si="39"/>
        <v>금</v>
      </c>
      <c r="D851" s="116" t="str">
        <f t="shared" si="40"/>
        <v>5교시</v>
      </c>
      <c r="E851" s="68">
        <f>COUNTIF($H$7:$H851,$H851)</f>
        <v>68</v>
      </c>
      <c r="F851" s="67">
        <f>'1.연간시수표'!$AL$33</f>
        <v>5</v>
      </c>
      <c r="G851" s="115">
        <f t="shared" si="41"/>
        <v>2</v>
      </c>
      <c r="H851" s="41" t="str">
        <f>INDEX('0.시간표데이터'!$E$52:$AR$78,QUOTIENT(ROW(A845)-1,40)+1,MOD(ROW(A845)-1,40)+1)</f>
        <v>수학</v>
      </c>
      <c r="I851" s="77"/>
      <c r="J851" s="26"/>
      <c r="K851" s="167"/>
      <c r="L851" s="167"/>
      <c r="M851" s="166"/>
      <c r="N851" s="166"/>
      <c r="O851" s="166"/>
      <c r="P851" s="166"/>
      <c r="Q851" s="167"/>
      <c r="R851" s="111"/>
    </row>
    <row r="852" spans="1:18">
      <c r="A852" s="90">
        <v>846</v>
      </c>
      <c r="B852" s="24">
        <f>DATE('1.연간시수표'!$U$44,'1.연간시수표'!$X$44,'1.연간시수표'!$Z$44)+QUOTIENT(ROW(A846)-1,8)+(QUOTIENT(ROW(A846)-1,40)*2)</f>
        <v>44946</v>
      </c>
      <c r="C852" s="24" t="str">
        <f t="shared" si="39"/>
        <v>금</v>
      </c>
      <c r="D852" s="116" t="str">
        <f t="shared" si="40"/>
        <v>6교시</v>
      </c>
      <c r="E852" s="68">
        <f>COUNTIF($H$7:$H852,$H852)</f>
        <v>102</v>
      </c>
      <c r="F852" s="67">
        <f>'1.연간시수표'!$AL$33</f>
        <v>5</v>
      </c>
      <c r="G852" s="115">
        <f t="shared" si="41"/>
        <v>2</v>
      </c>
      <c r="H852" s="41" t="str">
        <f>INDEX('0.시간표데이터'!$E$52:$AR$78,QUOTIENT(ROW(A846)-1,40)+1,MOD(ROW(A846)-1,40)+1)</f>
        <v>국어</v>
      </c>
      <c r="I852" s="77"/>
      <c r="J852" s="26"/>
      <c r="K852" s="167"/>
      <c r="L852" s="167"/>
      <c r="M852" s="166"/>
      <c r="N852" s="166"/>
      <c r="O852" s="166"/>
      <c r="P852" s="166"/>
      <c r="Q852" s="167"/>
      <c r="R852" s="111"/>
    </row>
    <row r="853" spans="1:18">
      <c r="A853" s="90">
        <v>847</v>
      </c>
      <c r="B853" s="24">
        <f>DATE('1.연간시수표'!$U$44,'1.연간시수표'!$X$44,'1.연간시수표'!$Z$44)+QUOTIENT(ROW(A847)-1,8)+(QUOTIENT(ROW(A847)-1,40)*2)</f>
        <v>44946</v>
      </c>
      <c r="C853" s="24" t="str">
        <f t="shared" si="39"/>
        <v>금</v>
      </c>
      <c r="D853" s="116" t="str">
        <f t="shared" si="40"/>
        <v>7교시</v>
      </c>
      <c r="E853" s="68">
        <f>COUNTIF($H$7:$H853,$H853)</f>
        <v>306</v>
      </c>
      <c r="F853" s="67">
        <f>'1.연간시수표'!$AL$33</f>
        <v>5</v>
      </c>
      <c r="G853" s="115">
        <f t="shared" si="41"/>
        <v>2</v>
      </c>
      <c r="H853" s="41" t="str">
        <f>INDEX('0.시간표데이터'!$E$52:$AR$78,QUOTIENT(ROW(A847)-1,40)+1,MOD(ROW(A847)-1,40)+1)</f>
        <v>_</v>
      </c>
      <c r="I853" s="76"/>
      <c r="J853" s="26"/>
      <c r="K853" s="167"/>
      <c r="L853" s="167"/>
      <c r="M853" s="166"/>
      <c r="N853" s="166"/>
      <c r="O853" s="166"/>
      <c r="P853" s="166"/>
      <c r="Q853" s="167"/>
      <c r="R853" s="111"/>
    </row>
    <row r="854" spans="1:18">
      <c r="A854" s="90">
        <v>848</v>
      </c>
      <c r="B854" s="24">
        <f>DATE('1.연간시수표'!$U$44,'1.연간시수표'!$X$44,'1.연간시수표'!$Z$44)+QUOTIENT(ROW(A848)-1,8)+(QUOTIENT(ROW(A848)-1,40)*2)</f>
        <v>44946</v>
      </c>
      <c r="C854" s="24" t="str">
        <f t="shared" si="39"/>
        <v>금</v>
      </c>
      <c r="D854" s="116" t="str">
        <f t="shared" si="40"/>
        <v>8교시</v>
      </c>
      <c r="E854" s="68">
        <f>COUNTIF($H$7:$H854,$H854)</f>
        <v>307</v>
      </c>
      <c r="F854" s="67">
        <f>'1.연간시수표'!$AL$33</f>
        <v>5</v>
      </c>
      <c r="G854" s="115">
        <f t="shared" si="41"/>
        <v>2</v>
      </c>
      <c r="H854" s="41" t="str">
        <f>INDEX('0.시간표데이터'!$E$52:$AR$78,QUOTIENT(ROW(A848)-1,40)+1,MOD(ROW(A848)-1,40)+1)</f>
        <v>_</v>
      </c>
      <c r="I854" s="76"/>
      <c r="J854" s="26"/>
      <c r="K854" s="167"/>
      <c r="L854" s="167"/>
      <c r="M854" s="166"/>
      <c r="N854" s="166"/>
      <c r="O854" s="166"/>
      <c r="P854" s="166"/>
      <c r="Q854" s="167"/>
      <c r="R854" s="111"/>
    </row>
    <row r="855" spans="1:18">
      <c r="A855" s="90">
        <v>849</v>
      </c>
      <c r="B855" s="24">
        <f>DATE('1.연간시수표'!$U$44,'1.연간시수표'!$X$44,'1.연간시수표'!$Z$44)+QUOTIENT(ROW(A849)-1,8)+(QUOTIENT(ROW(A849)-1,40)*2)</f>
        <v>44947</v>
      </c>
      <c r="C855" s="24" t="b">
        <f t="shared" si="39"/>
        <v>0</v>
      </c>
      <c r="D855" s="116" t="str">
        <f t="shared" si="40"/>
        <v>1교시</v>
      </c>
      <c r="E855" s="68">
        <f>COUNTIF($H$7:$H855,$H855)</f>
        <v>103</v>
      </c>
      <c r="F855" s="67">
        <f>'1.연간시수표'!$AL$33</f>
        <v>5</v>
      </c>
      <c r="G855" s="115">
        <f t="shared" si="41"/>
        <v>2</v>
      </c>
      <c r="H855" s="41" t="str">
        <f>INDEX('0.시간표데이터'!$E$52:$AR$78,QUOTIENT(ROW(A849)-1,40)+1,MOD(ROW(A849)-1,40)+1)</f>
        <v>국어</v>
      </c>
      <c r="I855" s="77"/>
      <c r="J855" s="26"/>
      <c r="K855" s="167"/>
      <c r="L855" s="167"/>
      <c r="M855" s="166"/>
      <c r="N855" s="166"/>
      <c r="O855" s="166"/>
      <c r="P855" s="166"/>
      <c r="Q855" s="167"/>
      <c r="R855" s="111"/>
    </row>
    <row r="856" spans="1:18">
      <c r="A856" s="90">
        <v>850</v>
      </c>
      <c r="B856" s="24">
        <f>DATE('1.연간시수표'!$U$44,'1.연간시수표'!$X$44,'1.연간시수표'!$Z$44)+QUOTIENT(ROW(A850)-1,8)+(QUOTIENT(ROW(A850)-1,40)*2)</f>
        <v>44947</v>
      </c>
      <c r="C856" s="24" t="b">
        <f t="shared" si="39"/>
        <v>0</v>
      </c>
      <c r="D856" s="116" t="str">
        <f t="shared" si="40"/>
        <v>2교시</v>
      </c>
      <c r="E856" s="68">
        <f>COUNTIF($H$7:$H856,$H856)</f>
        <v>104</v>
      </c>
      <c r="F856" s="67">
        <f>'1.연간시수표'!$AL$33</f>
        <v>5</v>
      </c>
      <c r="G856" s="115">
        <f t="shared" si="41"/>
        <v>2</v>
      </c>
      <c r="H856" s="41" t="str">
        <f>INDEX('0.시간표데이터'!$E$52:$AR$78,QUOTIENT(ROW(A850)-1,40)+1,MOD(ROW(A850)-1,40)+1)</f>
        <v>국어</v>
      </c>
      <c r="I856" s="161"/>
      <c r="J856" s="26"/>
      <c r="K856" s="167"/>
      <c r="L856" s="167"/>
      <c r="M856" s="166"/>
      <c r="N856" s="166"/>
      <c r="O856" s="166"/>
      <c r="P856" s="166"/>
      <c r="Q856" s="167"/>
      <c r="R856" s="111"/>
    </row>
    <row r="857" spans="1:18">
      <c r="A857" s="90">
        <v>851</v>
      </c>
      <c r="B857" s="24">
        <f>DATE('1.연간시수표'!$U$44,'1.연간시수표'!$X$44,'1.연간시수표'!$Z$44)+QUOTIENT(ROW(A851)-1,8)+(QUOTIENT(ROW(A851)-1,40)*2)</f>
        <v>44947</v>
      </c>
      <c r="C857" s="24" t="b">
        <f t="shared" si="39"/>
        <v>0</v>
      </c>
      <c r="D857" s="116" t="str">
        <f t="shared" si="40"/>
        <v>3교시</v>
      </c>
      <c r="E857" s="68">
        <f>COUNTIF($H$7:$H857,$H857)</f>
        <v>52</v>
      </c>
      <c r="F857" s="67">
        <f>'1.연간시수표'!$AL$33</f>
        <v>5</v>
      </c>
      <c r="G857" s="115">
        <f t="shared" si="41"/>
        <v>2</v>
      </c>
      <c r="H857" s="41" t="str">
        <f>INDEX('0.시간표데이터'!$E$52:$AR$78,QUOTIENT(ROW(A851)-1,40)+1,MOD(ROW(A851)-1,40)+1)</f>
        <v>사회</v>
      </c>
      <c r="I857" s="77"/>
      <c r="J857" s="26"/>
      <c r="K857" s="167"/>
      <c r="L857" s="167"/>
      <c r="M857" s="166"/>
      <c r="N857" s="166"/>
      <c r="O857" s="166"/>
      <c r="P857" s="166"/>
      <c r="Q857" s="167"/>
      <c r="R857" s="111"/>
    </row>
    <row r="858" spans="1:18">
      <c r="A858" s="90">
        <v>852</v>
      </c>
      <c r="B858" s="24">
        <f>DATE('1.연간시수표'!$U$44,'1.연간시수표'!$X$44,'1.연간시수표'!$Z$44)+QUOTIENT(ROW(A852)-1,8)+(QUOTIENT(ROW(A852)-1,40)*2)</f>
        <v>44947</v>
      </c>
      <c r="C858" s="24" t="b">
        <f t="shared" si="39"/>
        <v>0</v>
      </c>
      <c r="D858" s="116" t="str">
        <f t="shared" si="40"/>
        <v>4교시</v>
      </c>
      <c r="E858" s="68">
        <f>COUNTIF($H$7:$H858,$H858)</f>
        <v>69</v>
      </c>
      <c r="F858" s="67">
        <f>'1.연간시수표'!$AL$33</f>
        <v>5</v>
      </c>
      <c r="G858" s="115">
        <f t="shared" si="41"/>
        <v>2</v>
      </c>
      <c r="H858" s="41" t="str">
        <f>INDEX('0.시간표데이터'!$E$52:$AR$78,QUOTIENT(ROW(A852)-1,40)+1,MOD(ROW(A852)-1,40)+1)</f>
        <v>수학</v>
      </c>
      <c r="I858" s="77"/>
      <c r="J858" s="26"/>
      <c r="K858" s="167"/>
      <c r="L858" s="167"/>
      <c r="M858" s="166"/>
      <c r="N858" s="166"/>
      <c r="O858" s="166"/>
      <c r="P858" s="166"/>
      <c r="Q858" s="167"/>
      <c r="R858" s="111"/>
    </row>
    <row r="859" spans="1:18">
      <c r="A859" s="90">
        <v>853</v>
      </c>
      <c r="B859" s="24">
        <f>DATE('1.연간시수표'!$U$44,'1.연간시수표'!$X$44,'1.연간시수표'!$Z$44)+QUOTIENT(ROW(A853)-1,8)+(QUOTIENT(ROW(A853)-1,40)*2)</f>
        <v>44947</v>
      </c>
      <c r="C859" s="24" t="b">
        <f t="shared" si="39"/>
        <v>0</v>
      </c>
      <c r="D859" s="116" t="str">
        <f t="shared" si="40"/>
        <v>5교시</v>
      </c>
      <c r="E859" s="68">
        <f>COUNTIF($H$7:$H859,$H859)</f>
        <v>52</v>
      </c>
      <c r="F859" s="67">
        <f>'1.연간시수표'!$AL$33</f>
        <v>5</v>
      </c>
      <c r="G859" s="115">
        <f t="shared" si="41"/>
        <v>2</v>
      </c>
      <c r="H859" s="41" t="str">
        <f>INDEX('0.시간표데이터'!$E$52:$AR$78,QUOTIENT(ROW(A853)-1,40)+1,MOD(ROW(A853)-1,40)+1)</f>
        <v>과학</v>
      </c>
      <c r="I859" s="77"/>
      <c r="J859" s="26"/>
      <c r="K859" s="167"/>
      <c r="L859" s="167"/>
      <c r="M859" s="166"/>
      <c r="N859" s="166"/>
      <c r="O859" s="166"/>
      <c r="P859" s="166"/>
      <c r="Q859" s="167"/>
      <c r="R859" s="111"/>
    </row>
    <row r="860" spans="1:18">
      <c r="A860" s="90">
        <v>854</v>
      </c>
      <c r="B860" s="24">
        <f>DATE('1.연간시수표'!$U$44,'1.연간시수표'!$X$44,'1.연간시수표'!$Z$44)+QUOTIENT(ROW(A854)-1,8)+(QUOTIENT(ROW(A854)-1,40)*2)</f>
        <v>44947</v>
      </c>
      <c r="C860" s="24" t="b">
        <f t="shared" si="39"/>
        <v>0</v>
      </c>
      <c r="D860" s="116" t="str">
        <f t="shared" si="40"/>
        <v>6교시</v>
      </c>
      <c r="E860" s="68">
        <f>COUNTIF($H$7:$H860,$H860)</f>
        <v>308</v>
      </c>
      <c r="F860" s="67">
        <f>'1.연간시수표'!$AL$33</f>
        <v>5</v>
      </c>
      <c r="G860" s="115">
        <f t="shared" si="41"/>
        <v>2</v>
      </c>
      <c r="H860" s="41" t="str">
        <f>INDEX('0.시간표데이터'!$E$52:$AR$78,QUOTIENT(ROW(A854)-1,40)+1,MOD(ROW(A854)-1,40)+1)</f>
        <v>_</v>
      </c>
      <c r="I860" s="77"/>
      <c r="J860" s="26"/>
      <c r="K860" s="167"/>
      <c r="L860" s="167"/>
      <c r="M860" s="166"/>
      <c r="N860" s="166"/>
      <c r="O860" s="166"/>
      <c r="P860" s="166"/>
      <c r="Q860" s="167"/>
      <c r="R860" s="111"/>
    </row>
    <row r="861" spans="1:18">
      <c r="A861" s="90">
        <v>855</v>
      </c>
      <c r="B861" s="24">
        <f>DATE('1.연간시수표'!$U$44,'1.연간시수표'!$X$44,'1.연간시수표'!$Z$44)+QUOTIENT(ROW(A855)-1,8)+(QUOTIENT(ROW(A855)-1,40)*2)</f>
        <v>44947</v>
      </c>
      <c r="C861" s="24" t="b">
        <f t="shared" si="39"/>
        <v>0</v>
      </c>
      <c r="D861" s="116" t="str">
        <f t="shared" si="40"/>
        <v>7교시</v>
      </c>
      <c r="E861" s="68">
        <f>COUNTIF($H$7:$H861,$H861)</f>
        <v>309</v>
      </c>
      <c r="F861" s="67">
        <f>'1.연간시수표'!$AL$33</f>
        <v>5</v>
      </c>
      <c r="G861" s="115">
        <f t="shared" si="41"/>
        <v>2</v>
      </c>
      <c r="H861" s="41" t="str">
        <f>INDEX('0.시간표데이터'!$E$52:$AR$78,QUOTIENT(ROW(A855)-1,40)+1,MOD(ROW(A855)-1,40)+1)</f>
        <v>_</v>
      </c>
      <c r="I861" s="76"/>
      <c r="J861" s="26"/>
      <c r="K861" s="167"/>
      <c r="L861" s="167"/>
      <c r="M861" s="166"/>
      <c r="N861" s="166"/>
      <c r="O861" s="166"/>
      <c r="P861" s="166"/>
      <c r="Q861" s="167"/>
      <c r="R861" s="111"/>
    </row>
    <row r="862" spans="1:18">
      <c r="A862" s="90">
        <v>856</v>
      </c>
      <c r="B862" s="24">
        <f>DATE('1.연간시수표'!$U$44,'1.연간시수표'!$X$44,'1.연간시수표'!$Z$44)+QUOTIENT(ROW(A856)-1,8)+(QUOTIENT(ROW(A856)-1,40)*2)</f>
        <v>44947</v>
      </c>
      <c r="C862" s="24" t="b">
        <f t="shared" si="39"/>
        <v>0</v>
      </c>
      <c r="D862" s="116" t="str">
        <f t="shared" si="40"/>
        <v>8교시</v>
      </c>
      <c r="E862" s="68">
        <f>COUNTIF($H$7:$H862,$H862)</f>
        <v>310</v>
      </c>
      <c r="F862" s="67">
        <f>'1.연간시수표'!$AL$33</f>
        <v>5</v>
      </c>
      <c r="G862" s="115">
        <f t="shared" si="41"/>
        <v>2</v>
      </c>
      <c r="H862" s="41" t="str">
        <f>INDEX('0.시간표데이터'!$E$52:$AR$78,QUOTIENT(ROW(A856)-1,40)+1,MOD(ROW(A856)-1,40)+1)</f>
        <v>_</v>
      </c>
      <c r="I862" s="76"/>
      <c r="J862" s="26"/>
      <c r="K862" s="167"/>
      <c r="L862" s="167"/>
      <c r="M862" s="166"/>
      <c r="N862" s="166"/>
      <c r="O862" s="166"/>
      <c r="P862" s="166"/>
      <c r="Q862" s="167"/>
      <c r="R862" s="111"/>
    </row>
    <row r="863" spans="1:18">
      <c r="A863" s="90">
        <v>857</v>
      </c>
      <c r="B863" s="24">
        <f>DATE('1.연간시수표'!$U$44,'1.연간시수표'!$X$44,'1.연간시수표'!$Z$44)+QUOTIENT(ROW(A857)-1,8)+(QUOTIENT(ROW(A857)-1,40)*2)</f>
        <v>44948</v>
      </c>
      <c r="C863" s="24" t="b">
        <f t="shared" si="39"/>
        <v>0</v>
      </c>
      <c r="D863" s="116" t="str">
        <f t="shared" si="40"/>
        <v>1교시</v>
      </c>
      <c r="E863" s="68">
        <f>COUNTIF($H$7:$H863,$H863)</f>
        <v>52</v>
      </c>
      <c r="F863" s="67">
        <f>'1.연간시수표'!$AL$33</f>
        <v>5</v>
      </c>
      <c r="G863" s="115">
        <f t="shared" si="41"/>
        <v>2</v>
      </c>
      <c r="H863" s="41" t="str">
        <f>INDEX('0.시간표데이터'!$E$52:$AR$78,QUOTIENT(ROW(A857)-1,40)+1,MOD(ROW(A857)-1,40)+1)</f>
        <v>영어</v>
      </c>
      <c r="I863" s="77"/>
      <c r="J863" s="26"/>
      <c r="K863" s="167"/>
      <c r="L863" s="167"/>
      <c r="M863" s="166"/>
      <c r="N863" s="166"/>
      <c r="O863" s="166"/>
      <c r="P863" s="166"/>
      <c r="Q863" s="167"/>
      <c r="R863" s="111"/>
    </row>
    <row r="864" spans="1:18">
      <c r="A864" s="90">
        <v>858</v>
      </c>
      <c r="B864" s="24">
        <f>DATE('1.연간시수표'!$U$44,'1.연간시수표'!$X$44,'1.연간시수표'!$Z$44)+QUOTIENT(ROW(A858)-1,8)+(QUOTIENT(ROW(A858)-1,40)*2)</f>
        <v>44948</v>
      </c>
      <c r="C864" s="24" t="b">
        <f t="shared" si="39"/>
        <v>0</v>
      </c>
      <c r="D864" s="116" t="str">
        <f t="shared" si="40"/>
        <v>2교시</v>
      </c>
      <c r="E864" s="68">
        <f>COUNTIF($H$7:$H864,$H864)</f>
        <v>53</v>
      </c>
      <c r="F864" s="67">
        <f>'1.연간시수표'!$AL$33</f>
        <v>5</v>
      </c>
      <c r="G864" s="115">
        <f t="shared" si="41"/>
        <v>2</v>
      </c>
      <c r="H864" s="41" t="str">
        <f>INDEX('0.시간표데이터'!$E$52:$AR$78,QUOTIENT(ROW(A858)-1,40)+1,MOD(ROW(A858)-1,40)+1)</f>
        <v>과학</v>
      </c>
      <c r="I864" s="77"/>
      <c r="J864" s="26"/>
      <c r="K864" s="167"/>
      <c r="L864" s="167"/>
      <c r="M864" s="166"/>
      <c r="N864" s="166"/>
      <c r="O864" s="166"/>
      <c r="P864" s="166"/>
      <c r="Q864" s="167"/>
      <c r="R864" s="111"/>
    </row>
    <row r="865" spans="1:18">
      <c r="A865" s="90">
        <v>859</v>
      </c>
      <c r="B865" s="24">
        <f>DATE('1.연간시수표'!$U$44,'1.연간시수표'!$X$44,'1.연간시수표'!$Z$44)+QUOTIENT(ROW(A859)-1,8)+(QUOTIENT(ROW(A859)-1,40)*2)</f>
        <v>44948</v>
      </c>
      <c r="C865" s="24" t="b">
        <f t="shared" si="39"/>
        <v>0</v>
      </c>
      <c r="D865" s="116" t="str">
        <f t="shared" si="40"/>
        <v>3교시</v>
      </c>
      <c r="E865" s="68">
        <f>COUNTIF($H$7:$H865,$H865)</f>
        <v>51</v>
      </c>
      <c r="F865" s="67">
        <f>'1.연간시수표'!$AL$33</f>
        <v>5</v>
      </c>
      <c r="G865" s="115">
        <f t="shared" si="41"/>
        <v>2</v>
      </c>
      <c r="H865" s="41" t="str">
        <f>INDEX('0.시간표데이터'!$E$52:$AR$78,QUOTIENT(ROW(A859)-1,40)+1,MOD(ROW(A859)-1,40)+1)</f>
        <v>체육</v>
      </c>
      <c r="I865" s="77"/>
      <c r="J865" s="26"/>
      <c r="K865" s="167"/>
      <c r="L865" s="167"/>
      <c r="M865" s="166"/>
      <c r="N865" s="166"/>
      <c r="O865" s="166"/>
      <c r="P865" s="166"/>
      <c r="Q865" s="167"/>
      <c r="R865" s="111"/>
    </row>
    <row r="866" spans="1:18">
      <c r="A866" s="90">
        <v>860</v>
      </c>
      <c r="B866" s="24">
        <f>DATE('1.연간시수표'!$U$44,'1.연간시수표'!$X$44,'1.연간시수표'!$Z$44)+QUOTIENT(ROW(A860)-1,8)+(QUOTIENT(ROW(A860)-1,40)*2)</f>
        <v>44948</v>
      </c>
      <c r="C866" s="24" t="b">
        <f t="shared" si="39"/>
        <v>0</v>
      </c>
      <c r="D866" s="116" t="str">
        <f t="shared" si="40"/>
        <v>4교시</v>
      </c>
      <c r="E866" s="68">
        <f>COUNTIF($H$7:$H866,$H866)</f>
        <v>32</v>
      </c>
      <c r="F866" s="67">
        <f>'1.연간시수표'!$AL$33</f>
        <v>5</v>
      </c>
      <c r="G866" s="115">
        <f t="shared" si="41"/>
        <v>2</v>
      </c>
      <c r="H866" s="41" t="str">
        <f>INDEX('0.시간표데이터'!$E$52:$AR$78,QUOTIENT(ROW(A860)-1,40)+1,MOD(ROW(A860)-1,40)+1)</f>
        <v>음악</v>
      </c>
      <c r="I866" s="77"/>
      <c r="J866" s="26"/>
      <c r="K866" s="167"/>
      <c r="L866" s="167"/>
      <c r="M866" s="166"/>
      <c r="N866" s="166"/>
      <c r="O866" s="166"/>
      <c r="P866" s="166"/>
      <c r="Q866" s="167"/>
      <c r="R866" s="111"/>
    </row>
    <row r="867" spans="1:18">
      <c r="A867" s="90">
        <v>861</v>
      </c>
      <c r="B867" s="24">
        <f>DATE('1.연간시수표'!$U$44,'1.연간시수표'!$X$44,'1.연간시수표'!$Z$44)+QUOTIENT(ROW(A861)-1,8)+(QUOTIENT(ROW(A861)-1,40)*2)</f>
        <v>44948</v>
      </c>
      <c r="C867" s="24" t="b">
        <f t="shared" si="39"/>
        <v>0</v>
      </c>
      <c r="D867" s="116" t="str">
        <f t="shared" si="40"/>
        <v>5교시</v>
      </c>
      <c r="E867" s="68">
        <f>COUNTIF($H$7:$H867,$H867)</f>
        <v>33</v>
      </c>
      <c r="F867" s="67">
        <f>'1.연간시수표'!$AL$33</f>
        <v>5</v>
      </c>
      <c r="G867" s="115">
        <f t="shared" si="41"/>
        <v>2</v>
      </c>
      <c r="H867" s="41" t="str">
        <f>INDEX('0.시간표데이터'!$E$52:$AR$78,QUOTIENT(ROW(A861)-1,40)+1,MOD(ROW(A861)-1,40)+1)</f>
        <v>음악</v>
      </c>
      <c r="I867" s="77"/>
      <c r="J867" s="26"/>
      <c r="K867" s="167"/>
      <c r="L867" s="167"/>
      <c r="M867" s="166"/>
      <c r="N867" s="166"/>
      <c r="O867" s="166"/>
      <c r="P867" s="166"/>
      <c r="Q867" s="167"/>
      <c r="R867" s="111"/>
    </row>
    <row r="868" spans="1:18">
      <c r="A868" s="90">
        <v>862</v>
      </c>
      <c r="B868" s="24">
        <f>DATE('1.연간시수표'!$U$44,'1.연간시수표'!$X$44,'1.연간시수표'!$Z$44)+QUOTIENT(ROW(A862)-1,8)+(QUOTIENT(ROW(A862)-1,40)*2)</f>
        <v>44948</v>
      </c>
      <c r="C868" s="24" t="b">
        <f t="shared" si="39"/>
        <v>0</v>
      </c>
      <c r="D868" s="116" t="str">
        <f t="shared" si="40"/>
        <v>6교시</v>
      </c>
      <c r="E868" s="68">
        <f>COUNTIF($H$7:$H868,$H868)</f>
        <v>311</v>
      </c>
      <c r="F868" s="67">
        <f>'1.연간시수표'!$AL$33</f>
        <v>5</v>
      </c>
      <c r="G868" s="115">
        <f t="shared" si="41"/>
        <v>2</v>
      </c>
      <c r="H868" s="41" t="str">
        <f>INDEX('0.시간표데이터'!$E$52:$AR$78,QUOTIENT(ROW(A862)-1,40)+1,MOD(ROW(A862)-1,40)+1)</f>
        <v>_</v>
      </c>
      <c r="I868" s="77"/>
      <c r="J868" s="26"/>
      <c r="K868" s="167"/>
      <c r="L868" s="167"/>
      <c r="M868" s="166"/>
      <c r="N868" s="166"/>
      <c r="O868" s="166"/>
      <c r="P868" s="166"/>
      <c r="Q868" s="167"/>
      <c r="R868" s="111"/>
    </row>
    <row r="869" spans="1:18">
      <c r="A869" s="90">
        <v>863</v>
      </c>
      <c r="B869" s="24">
        <f>DATE('1.연간시수표'!$U$44,'1.연간시수표'!$X$44,'1.연간시수표'!$Z$44)+QUOTIENT(ROW(A863)-1,8)+(QUOTIENT(ROW(A863)-1,40)*2)</f>
        <v>44948</v>
      </c>
      <c r="C869" s="24" t="b">
        <f t="shared" si="39"/>
        <v>0</v>
      </c>
      <c r="D869" s="116" t="str">
        <f t="shared" si="40"/>
        <v>7교시</v>
      </c>
      <c r="E869" s="68">
        <f>COUNTIF($H$7:$H869,$H869)</f>
        <v>312</v>
      </c>
      <c r="F869" s="67">
        <f>'1.연간시수표'!$AL$33</f>
        <v>5</v>
      </c>
      <c r="G869" s="115">
        <f t="shared" si="41"/>
        <v>2</v>
      </c>
      <c r="H869" s="41" t="str">
        <f>INDEX('0.시간표데이터'!$E$52:$AR$78,QUOTIENT(ROW(A863)-1,40)+1,MOD(ROW(A863)-1,40)+1)</f>
        <v>_</v>
      </c>
      <c r="I869" s="76"/>
      <c r="J869" s="26"/>
      <c r="K869" s="167"/>
      <c r="L869" s="167"/>
      <c r="M869" s="166"/>
      <c r="N869" s="166"/>
      <c r="O869" s="166"/>
      <c r="P869" s="166"/>
      <c r="Q869" s="167"/>
      <c r="R869" s="111"/>
    </row>
    <row r="870" spans="1:18">
      <c r="A870" s="90">
        <v>864</v>
      </c>
      <c r="B870" s="24">
        <f>DATE('1.연간시수표'!$U$44,'1.연간시수표'!$X$44,'1.연간시수표'!$Z$44)+QUOTIENT(ROW(A864)-1,8)+(QUOTIENT(ROW(A864)-1,40)*2)</f>
        <v>44948</v>
      </c>
      <c r="C870" s="24" t="b">
        <f t="shared" si="39"/>
        <v>0</v>
      </c>
      <c r="D870" s="116" t="str">
        <f t="shared" si="40"/>
        <v>8교시</v>
      </c>
      <c r="E870" s="68">
        <f>COUNTIF($H$7:$H870,$H870)</f>
        <v>313</v>
      </c>
      <c r="F870" s="67">
        <f>'1.연간시수표'!$AL$33</f>
        <v>5</v>
      </c>
      <c r="G870" s="115">
        <f t="shared" si="41"/>
        <v>2</v>
      </c>
      <c r="H870" s="41" t="str">
        <f>INDEX('0.시간표데이터'!$E$52:$AR$78,QUOTIENT(ROW(A864)-1,40)+1,MOD(ROW(A864)-1,40)+1)</f>
        <v>_</v>
      </c>
      <c r="I870" s="76"/>
      <c r="J870" s="26"/>
      <c r="K870" s="167"/>
      <c r="L870" s="167"/>
      <c r="M870" s="166"/>
      <c r="N870" s="166"/>
      <c r="O870" s="166"/>
      <c r="P870" s="166"/>
      <c r="Q870" s="167"/>
      <c r="R870" s="111"/>
    </row>
    <row r="871" spans="1:18">
      <c r="A871" s="90">
        <v>865</v>
      </c>
      <c r="B871" s="24">
        <f>DATE('1.연간시수표'!$U$44,'1.연간시수표'!$X$44,'1.연간시수표'!$Z$44)+QUOTIENT(ROW(A865)-1,8)+(QUOTIENT(ROW(A865)-1,40)*2)</f>
        <v>44949</v>
      </c>
      <c r="C871" s="24" t="str">
        <f t="shared" si="39"/>
        <v>월</v>
      </c>
      <c r="D871" s="116" t="str">
        <f t="shared" si="40"/>
        <v>1교시</v>
      </c>
      <c r="E871" s="68">
        <f>COUNTIF($H$7:$H871,$H871)</f>
        <v>34</v>
      </c>
      <c r="F871" s="67">
        <f>'1.연간시수표'!$AL$33</f>
        <v>5</v>
      </c>
      <c r="G871" s="115">
        <f t="shared" si="41"/>
        <v>2</v>
      </c>
      <c r="H871" s="41" t="str">
        <f>INDEX('0.시간표데이터'!$E$52:$AR$78,QUOTIENT(ROW(A865)-1,40)+1,MOD(ROW(A865)-1,40)+1)</f>
        <v>음악</v>
      </c>
      <c r="I871" s="77"/>
      <c r="J871" s="26"/>
      <c r="K871" s="167"/>
      <c r="L871" s="167"/>
      <c r="M871" s="166"/>
      <c r="N871" s="166"/>
      <c r="O871" s="166"/>
      <c r="P871" s="166"/>
      <c r="Q871" s="167"/>
      <c r="R871" s="111"/>
    </row>
    <row r="872" spans="1:18">
      <c r="A872" s="90">
        <v>866</v>
      </c>
      <c r="B872" s="24">
        <f>DATE('1.연간시수표'!$U$44,'1.연간시수표'!$X$44,'1.연간시수표'!$Z$44)+QUOTIENT(ROW(A866)-1,8)+(QUOTIENT(ROW(A866)-1,40)*2)</f>
        <v>44949</v>
      </c>
      <c r="C872" s="24" t="str">
        <f t="shared" si="39"/>
        <v>월</v>
      </c>
      <c r="D872" s="116" t="str">
        <f t="shared" si="40"/>
        <v>2교시</v>
      </c>
      <c r="E872" s="68">
        <f>COUNTIF($H$7:$H872,$H872)</f>
        <v>70</v>
      </c>
      <c r="F872" s="67">
        <f>'1.연간시수표'!$AL$33</f>
        <v>5</v>
      </c>
      <c r="G872" s="115">
        <f t="shared" si="41"/>
        <v>2</v>
      </c>
      <c r="H872" s="41" t="str">
        <f>INDEX('0.시간표데이터'!$E$52:$AR$78,QUOTIENT(ROW(A866)-1,40)+1,MOD(ROW(A866)-1,40)+1)</f>
        <v>수학</v>
      </c>
      <c r="I872" s="161"/>
      <c r="J872" s="26"/>
      <c r="K872" s="167"/>
      <c r="L872" s="167"/>
      <c r="M872" s="166"/>
      <c r="N872" s="166"/>
      <c r="O872" s="166"/>
      <c r="P872" s="166"/>
      <c r="Q872" s="167"/>
      <c r="R872" s="111"/>
    </row>
    <row r="873" spans="1:18">
      <c r="A873" s="90">
        <v>867</v>
      </c>
      <c r="B873" s="24">
        <f>DATE('1.연간시수표'!$U$44,'1.연간시수표'!$X$44,'1.연간시수표'!$Z$44)+QUOTIENT(ROW(A867)-1,8)+(QUOTIENT(ROW(A867)-1,40)*2)</f>
        <v>44949</v>
      </c>
      <c r="C873" s="24" t="str">
        <f t="shared" si="39"/>
        <v>월</v>
      </c>
      <c r="D873" s="116" t="str">
        <f t="shared" si="40"/>
        <v>3교시</v>
      </c>
      <c r="E873" s="68">
        <f>COUNTIF($H$7:$H873,$H873)</f>
        <v>52</v>
      </c>
      <c r="F873" s="67">
        <f>'1.연간시수표'!$AL$33</f>
        <v>5</v>
      </c>
      <c r="G873" s="115">
        <f t="shared" si="41"/>
        <v>2</v>
      </c>
      <c r="H873" s="41" t="str">
        <f>INDEX('0.시간표데이터'!$E$52:$AR$78,QUOTIENT(ROW(A867)-1,40)+1,MOD(ROW(A867)-1,40)+1)</f>
        <v>체육</v>
      </c>
      <c r="I873" s="77"/>
      <c r="J873" s="26"/>
      <c r="K873" s="167"/>
      <c r="L873" s="167"/>
      <c r="M873" s="166"/>
      <c r="N873" s="166"/>
      <c r="O873" s="166"/>
      <c r="P873" s="166"/>
      <c r="Q873" s="167"/>
      <c r="R873" s="111"/>
    </row>
    <row r="874" spans="1:18">
      <c r="A874" s="90">
        <v>868</v>
      </c>
      <c r="B874" s="24">
        <f>DATE('1.연간시수표'!$U$44,'1.연간시수표'!$X$44,'1.연간시수표'!$Z$44)+QUOTIENT(ROW(A868)-1,8)+(QUOTIENT(ROW(A868)-1,40)*2)</f>
        <v>44949</v>
      </c>
      <c r="C874" s="24" t="str">
        <f t="shared" si="39"/>
        <v>월</v>
      </c>
      <c r="D874" s="116" t="str">
        <f t="shared" si="40"/>
        <v>4교시</v>
      </c>
      <c r="E874" s="68">
        <f>COUNTIF($H$7:$H874,$H874)</f>
        <v>32</v>
      </c>
      <c r="F874" s="67">
        <f>'1.연간시수표'!$AL$33</f>
        <v>5</v>
      </c>
      <c r="G874" s="115">
        <f t="shared" si="41"/>
        <v>2</v>
      </c>
      <c r="H874" s="41" t="str">
        <f>INDEX('0.시간표데이터'!$E$52:$AR$78,QUOTIENT(ROW(A868)-1,40)+1,MOD(ROW(A868)-1,40)+1)</f>
        <v>자율활동</v>
      </c>
      <c r="I874" s="77"/>
      <c r="J874" s="26"/>
      <c r="K874" s="167"/>
      <c r="L874" s="167"/>
      <c r="M874" s="166"/>
      <c r="N874" s="166"/>
      <c r="O874" s="166"/>
      <c r="P874" s="166"/>
      <c r="Q874" s="167"/>
      <c r="R874" s="111"/>
    </row>
    <row r="875" spans="1:18">
      <c r="A875" s="90">
        <v>869</v>
      </c>
      <c r="B875" s="24">
        <f>DATE('1.연간시수표'!$U$44,'1.연간시수표'!$X$44,'1.연간시수표'!$Z$44)+QUOTIENT(ROW(A869)-1,8)+(QUOTIENT(ROW(A869)-1,40)*2)</f>
        <v>44949</v>
      </c>
      <c r="C875" s="24" t="str">
        <f t="shared" si="39"/>
        <v>월</v>
      </c>
      <c r="D875" s="116" t="str">
        <f t="shared" si="40"/>
        <v>5교시</v>
      </c>
      <c r="E875" s="68">
        <f>COUNTIF($H$7:$H875,$H875)</f>
        <v>54</v>
      </c>
      <c r="F875" s="67">
        <f>'1.연간시수표'!$AL$33</f>
        <v>5</v>
      </c>
      <c r="G875" s="115">
        <f t="shared" si="41"/>
        <v>2</v>
      </c>
      <c r="H875" s="41" t="str">
        <f>INDEX('0.시간표데이터'!$E$52:$AR$78,QUOTIENT(ROW(A869)-1,40)+1,MOD(ROW(A869)-1,40)+1)</f>
        <v>과학</v>
      </c>
      <c r="I875" s="77"/>
      <c r="J875" s="26"/>
      <c r="K875" s="167"/>
      <c r="L875" s="167"/>
      <c r="M875" s="166"/>
      <c r="N875" s="166"/>
      <c r="O875" s="166"/>
      <c r="P875" s="166"/>
      <c r="Q875" s="167"/>
      <c r="R875" s="111"/>
    </row>
    <row r="876" spans="1:18">
      <c r="A876" s="90">
        <v>870</v>
      </c>
      <c r="B876" s="24">
        <f>DATE('1.연간시수표'!$U$44,'1.연간시수표'!$X$44,'1.연간시수표'!$Z$44)+QUOTIENT(ROW(A870)-1,8)+(QUOTIENT(ROW(A870)-1,40)*2)</f>
        <v>44949</v>
      </c>
      <c r="C876" s="24" t="str">
        <f t="shared" si="39"/>
        <v>월</v>
      </c>
      <c r="D876" s="116" t="str">
        <f t="shared" si="40"/>
        <v>6교시</v>
      </c>
      <c r="E876" s="68">
        <f>COUNTIF($H$7:$H876,$H876)</f>
        <v>314</v>
      </c>
      <c r="F876" s="67">
        <f>'1.연간시수표'!$AL$33</f>
        <v>5</v>
      </c>
      <c r="G876" s="115">
        <f t="shared" si="41"/>
        <v>2</v>
      </c>
      <c r="H876" s="41" t="str">
        <f>INDEX('0.시간표데이터'!$E$52:$AR$78,QUOTIENT(ROW(A870)-1,40)+1,MOD(ROW(A870)-1,40)+1)</f>
        <v>_</v>
      </c>
      <c r="I876" s="161"/>
      <c r="J876" s="26"/>
      <c r="K876" s="167"/>
      <c r="L876" s="167"/>
      <c r="M876" s="166"/>
      <c r="N876" s="166"/>
      <c r="O876" s="166"/>
      <c r="P876" s="166"/>
      <c r="Q876" s="167"/>
      <c r="R876" s="111"/>
    </row>
    <row r="877" spans="1:18">
      <c r="A877" s="90">
        <v>871</v>
      </c>
      <c r="B877" s="24">
        <f>DATE('1.연간시수표'!$U$44,'1.연간시수표'!$X$44,'1.연간시수표'!$Z$44)+QUOTIENT(ROW(A871)-1,8)+(QUOTIENT(ROW(A871)-1,40)*2)</f>
        <v>44949</v>
      </c>
      <c r="C877" s="24" t="str">
        <f t="shared" si="39"/>
        <v>월</v>
      </c>
      <c r="D877" s="116" t="str">
        <f t="shared" si="40"/>
        <v>7교시</v>
      </c>
      <c r="E877" s="68">
        <f>COUNTIF($H$7:$H877,$H877)</f>
        <v>315</v>
      </c>
      <c r="F877" s="67">
        <f>'1.연간시수표'!$AL$33</f>
        <v>5</v>
      </c>
      <c r="G877" s="115">
        <f t="shared" si="41"/>
        <v>2</v>
      </c>
      <c r="H877" s="41" t="str">
        <f>INDEX('0.시간표데이터'!$E$52:$AR$78,QUOTIENT(ROW(A871)-1,40)+1,MOD(ROW(A871)-1,40)+1)</f>
        <v>_</v>
      </c>
      <c r="I877" s="76"/>
      <c r="J877" s="26"/>
      <c r="K877" s="167"/>
      <c r="L877" s="167"/>
      <c r="M877" s="166"/>
      <c r="N877" s="166"/>
      <c r="O877" s="166"/>
      <c r="P877" s="166"/>
      <c r="Q877" s="167"/>
      <c r="R877" s="111"/>
    </row>
    <row r="878" spans="1:18">
      <c r="A878" s="90">
        <v>872</v>
      </c>
      <c r="B878" s="24">
        <f>DATE('1.연간시수표'!$U$44,'1.연간시수표'!$X$44,'1.연간시수표'!$Z$44)+QUOTIENT(ROW(A872)-1,8)+(QUOTIENT(ROW(A872)-1,40)*2)</f>
        <v>44949</v>
      </c>
      <c r="C878" s="24" t="str">
        <f t="shared" si="39"/>
        <v>월</v>
      </c>
      <c r="D878" s="116" t="str">
        <f t="shared" si="40"/>
        <v>8교시</v>
      </c>
      <c r="E878" s="68">
        <f>COUNTIF($H$7:$H878,$H878)</f>
        <v>316</v>
      </c>
      <c r="F878" s="67">
        <f>'1.연간시수표'!$AL$33</f>
        <v>5</v>
      </c>
      <c r="G878" s="115">
        <f t="shared" si="41"/>
        <v>2</v>
      </c>
      <c r="H878" s="41" t="str">
        <f>INDEX('0.시간표데이터'!$E$52:$AR$78,QUOTIENT(ROW(A872)-1,40)+1,MOD(ROW(A872)-1,40)+1)</f>
        <v>_</v>
      </c>
      <c r="I878" s="76"/>
      <c r="J878" s="26"/>
      <c r="K878" s="167"/>
      <c r="L878" s="167"/>
      <c r="M878" s="166"/>
      <c r="N878" s="166"/>
      <c r="O878" s="166"/>
      <c r="P878" s="166"/>
      <c r="Q878" s="167"/>
      <c r="R878" s="111"/>
    </row>
    <row r="879" spans="1:18">
      <c r="A879" s="90">
        <v>873</v>
      </c>
      <c r="B879" s="24">
        <f>DATE('1.연간시수표'!$U$44,'1.연간시수표'!$X$44,'1.연간시수표'!$Z$44)+QUOTIENT(ROW(A873)-1,8)+(QUOTIENT(ROW(A873)-1,40)*2)</f>
        <v>44950</v>
      </c>
      <c r="C879" s="24" t="str">
        <f t="shared" si="39"/>
        <v>화</v>
      </c>
      <c r="D879" s="116" t="str">
        <f t="shared" si="40"/>
        <v>1교시</v>
      </c>
      <c r="E879" s="68">
        <f>COUNTIF($H$7:$H879,$H879)</f>
        <v>33</v>
      </c>
      <c r="F879" s="67">
        <f>'1.연간시수표'!$AL$33</f>
        <v>5</v>
      </c>
      <c r="G879" s="115">
        <f t="shared" si="41"/>
        <v>2</v>
      </c>
      <c r="H879" s="41" t="str">
        <f>INDEX('0.시간표데이터'!$E$52:$AR$78,QUOTIENT(ROW(A873)-1,40)+1,MOD(ROW(A873)-1,40)+1)</f>
        <v>자율활동</v>
      </c>
      <c r="I879" s="77"/>
      <c r="J879" s="26"/>
      <c r="K879" s="167"/>
      <c r="L879" s="167"/>
      <c r="M879" s="166"/>
      <c r="N879" s="166"/>
      <c r="O879" s="166"/>
      <c r="P879" s="166"/>
      <c r="Q879" s="167"/>
      <c r="R879" s="111"/>
    </row>
    <row r="880" spans="1:18">
      <c r="A880" s="90">
        <v>874</v>
      </c>
      <c r="B880" s="24">
        <f>DATE('1.연간시수표'!$U$44,'1.연간시수표'!$X$44,'1.연간시수표'!$Z$44)+QUOTIENT(ROW(A874)-1,8)+(QUOTIENT(ROW(A874)-1,40)*2)</f>
        <v>44950</v>
      </c>
      <c r="C880" s="24" t="str">
        <f t="shared" si="39"/>
        <v>화</v>
      </c>
      <c r="D880" s="116" t="str">
        <f t="shared" si="40"/>
        <v>2교시</v>
      </c>
      <c r="E880" s="68">
        <f>COUNTIF($H$7:$H880,$H880)</f>
        <v>34</v>
      </c>
      <c r="F880" s="67">
        <f>'1.연간시수표'!$AL$33</f>
        <v>5</v>
      </c>
      <c r="G880" s="115">
        <f t="shared" si="41"/>
        <v>2</v>
      </c>
      <c r="H880" s="41" t="str">
        <f>INDEX('0.시간표데이터'!$E$52:$AR$78,QUOTIENT(ROW(A874)-1,40)+1,MOD(ROW(A874)-1,40)+1)</f>
        <v>자율활동</v>
      </c>
      <c r="I880" s="77"/>
      <c r="J880" s="26"/>
      <c r="K880" s="167"/>
      <c r="L880" s="167"/>
      <c r="M880" s="166"/>
      <c r="N880" s="166"/>
      <c r="O880" s="166"/>
      <c r="P880" s="166"/>
      <c r="Q880" s="167"/>
      <c r="R880" s="111"/>
    </row>
    <row r="881" spans="1:18">
      <c r="A881" s="90">
        <v>875</v>
      </c>
      <c r="B881" s="24">
        <f>DATE('1.연간시수표'!$U$44,'1.연간시수표'!$X$44,'1.연간시수표'!$Z$44)+QUOTIENT(ROW(A875)-1,8)+(QUOTIENT(ROW(A875)-1,40)*2)</f>
        <v>44950</v>
      </c>
      <c r="C881" s="24" t="str">
        <f t="shared" si="39"/>
        <v>화</v>
      </c>
      <c r="D881" s="116" t="str">
        <f t="shared" si="40"/>
        <v>3교시</v>
      </c>
      <c r="E881" s="68">
        <f>COUNTIF($H$7:$H881,$H881)</f>
        <v>35</v>
      </c>
      <c r="F881" s="67">
        <f>'1.연간시수표'!$AL$33</f>
        <v>5</v>
      </c>
      <c r="G881" s="115">
        <f t="shared" si="41"/>
        <v>2</v>
      </c>
      <c r="H881" s="41" t="str">
        <f>INDEX('0.시간표데이터'!$E$52:$AR$78,QUOTIENT(ROW(A875)-1,40)+1,MOD(ROW(A875)-1,40)+1)</f>
        <v>자율활동</v>
      </c>
      <c r="I881" s="77"/>
      <c r="J881" s="26"/>
      <c r="K881" s="167"/>
      <c r="L881" s="167"/>
      <c r="M881" s="166"/>
      <c r="N881" s="166"/>
      <c r="O881" s="166"/>
      <c r="P881" s="166"/>
      <c r="Q881" s="167"/>
      <c r="R881" s="111"/>
    </row>
    <row r="882" spans="1:18">
      <c r="A882" s="90">
        <v>876</v>
      </c>
      <c r="B882" s="24">
        <f>DATE('1.연간시수표'!$U$44,'1.연간시수표'!$X$44,'1.연간시수표'!$Z$44)+QUOTIENT(ROW(A876)-1,8)+(QUOTIENT(ROW(A876)-1,40)*2)</f>
        <v>44950</v>
      </c>
      <c r="C882" s="24" t="str">
        <f t="shared" si="39"/>
        <v>화</v>
      </c>
      <c r="D882" s="116" t="str">
        <f t="shared" si="40"/>
        <v>4교시</v>
      </c>
      <c r="E882" s="68">
        <f>COUNTIF($H$7:$H882,$H882)</f>
        <v>5</v>
      </c>
      <c r="F882" s="67">
        <f>'1.연간시수표'!$AL$33</f>
        <v>5</v>
      </c>
      <c r="G882" s="115">
        <f t="shared" si="41"/>
        <v>2</v>
      </c>
      <c r="H882" s="41" t="str">
        <f>INDEX('0.시간표데이터'!$E$52:$AR$78,QUOTIENT(ROW(A876)-1,40)+1,MOD(ROW(A876)-1,40)+1)</f>
        <v>봉사활동</v>
      </c>
      <c r="I882" s="77"/>
      <c r="J882" s="26"/>
      <c r="K882" s="167"/>
      <c r="L882" s="167"/>
      <c r="M882" s="166"/>
      <c r="N882" s="166"/>
      <c r="O882" s="166"/>
      <c r="P882" s="166"/>
      <c r="Q882" s="167"/>
      <c r="R882" s="111"/>
    </row>
    <row r="883" spans="1:18">
      <c r="A883" s="90">
        <v>877</v>
      </c>
      <c r="B883" s="24">
        <f>DATE('1.연간시수표'!$U$44,'1.연간시수표'!$X$44,'1.연간시수표'!$Z$44)+QUOTIENT(ROW(A877)-1,8)+(QUOTIENT(ROW(A877)-1,40)*2)</f>
        <v>44950</v>
      </c>
      <c r="C883" s="24" t="str">
        <f t="shared" si="39"/>
        <v>화</v>
      </c>
      <c r="D883" s="116" t="str">
        <f t="shared" si="40"/>
        <v>5교시</v>
      </c>
      <c r="E883" s="68">
        <f>COUNTIF($H$7:$H883,$H883)</f>
        <v>317</v>
      </c>
      <c r="F883" s="67">
        <f>'1.연간시수표'!$AL$33</f>
        <v>5</v>
      </c>
      <c r="G883" s="115">
        <f t="shared" si="41"/>
        <v>2</v>
      </c>
      <c r="H883" s="41" t="str">
        <f>INDEX('0.시간표데이터'!$E$52:$AR$78,QUOTIENT(ROW(A877)-1,40)+1,MOD(ROW(A877)-1,40)+1)</f>
        <v>_</v>
      </c>
      <c r="I883" s="77"/>
      <c r="J883" s="26"/>
      <c r="K883" s="167"/>
      <c r="L883" s="167"/>
      <c r="M883" s="166"/>
      <c r="N883" s="166"/>
      <c r="O883" s="166"/>
      <c r="P883" s="166"/>
      <c r="Q883" s="167"/>
      <c r="R883" s="111"/>
    </row>
    <row r="884" spans="1:18">
      <c r="A884" s="90">
        <v>878</v>
      </c>
      <c r="B884" s="24">
        <f>DATE('1.연간시수표'!$U$44,'1.연간시수표'!$X$44,'1.연간시수표'!$Z$44)+QUOTIENT(ROW(A878)-1,8)+(QUOTIENT(ROW(A878)-1,40)*2)</f>
        <v>44950</v>
      </c>
      <c r="C884" s="24" t="str">
        <f t="shared" si="39"/>
        <v>화</v>
      </c>
      <c r="D884" s="116" t="str">
        <f t="shared" si="40"/>
        <v>6교시</v>
      </c>
      <c r="E884" s="68">
        <f>COUNTIF($H$7:$H884,$H884)</f>
        <v>318</v>
      </c>
      <c r="F884" s="67">
        <f>'1.연간시수표'!$AL$33</f>
        <v>5</v>
      </c>
      <c r="G884" s="115">
        <f t="shared" si="41"/>
        <v>2</v>
      </c>
      <c r="H884" s="41" t="str">
        <f>INDEX('0.시간표데이터'!$E$52:$AR$78,QUOTIENT(ROW(A878)-1,40)+1,MOD(ROW(A878)-1,40)+1)</f>
        <v>_</v>
      </c>
      <c r="I884" s="77"/>
      <c r="J884" s="26"/>
      <c r="K884" s="167"/>
      <c r="L884" s="167"/>
      <c r="M884" s="166"/>
      <c r="N884" s="166"/>
      <c r="O884" s="166"/>
      <c r="P884" s="166"/>
      <c r="Q884" s="167"/>
      <c r="R884" s="111"/>
    </row>
    <row r="885" spans="1:18">
      <c r="A885" s="90">
        <v>879</v>
      </c>
      <c r="B885" s="24">
        <f>DATE('1.연간시수표'!$U$44,'1.연간시수표'!$X$44,'1.연간시수표'!$Z$44)+QUOTIENT(ROW(A879)-1,8)+(QUOTIENT(ROW(A879)-1,40)*2)</f>
        <v>44950</v>
      </c>
      <c r="C885" s="24" t="str">
        <f t="shared" si="39"/>
        <v>화</v>
      </c>
      <c r="D885" s="116" t="str">
        <f t="shared" si="40"/>
        <v>7교시</v>
      </c>
      <c r="E885" s="68">
        <f>COUNTIF($H$7:$H885,$H885)</f>
        <v>319</v>
      </c>
      <c r="F885" s="67">
        <f>'1.연간시수표'!$AL$33</f>
        <v>5</v>
      </c>
      <c r="G885" s="115">
        <f t="shared" si="41"/>
        <v>2</v>
      </c>
      <c r="H885" s="41" t="str">
        <f>INDEX('0.시간표데이터'!$E$52:$AR$78,QUOTIENT(ROW(A879)-1,40)+1,MOD(ROW(A879)-1,40)+1)</f>
        <v>_</v>
      </c>
      <c r="I885" s="76"/>
      <c r="J885" s="26"/>
      <c r="K885" s="167"/>
      <c r="L885" s="167"/>
      <c r="M885" s="166"/>
      <c r="N885" s="166"/>
      <c r="O885" s="166"/>
      <c r="P885" s="166"/>
      <c r="Q885" s="167"/>
      <c r="R885" s="111"/>
    </row>
    <row r="886" spans="1:18">
      <c r="A886" s="90">
        <v>880</v>
      </c>
      <c r="B886" s="24">
        <f>DATE('1.연간시수표'!$U$44,'1.연간시수표'!$X$44,'1.연간시수표'!$Z$44)+QUOTIENT(ROW(A880)-1,8)+(QUOTIENT(ROW(A880)-1,40)*2)</f>
        <v>44950</v>
      </c>
      <c r="C886" s="24" t="str">
        <f t="shared" si="39"/>
        <v>화</v>
      </c>
      <c r="D886" s="116" t="str">
        <f t="shared" si="40"/>
        <v>8교시</v>
      </c>
      <c r="E886" s="68">
        <f>COUNTIF($H$7:$H886,$H886)</f>
        <v>320</v>
      </c>
      <c r="F886" s="67">
        <f>'1.연간시수표'!$AL$33</f>
        <v>5</v>
      </c>
      <c r="G886" s="115">
        <f t="shared" si="41"/>
        <v>2</v>
      </c>
      <c r="H886" s="41" t="str">
        <f>INDEX('0.시간표데이터'!$E$52:$AR$78,QUOTIENT(ROW(A880)-1,40)+1,MOD(ROW(A880)-1,40)+1)</f>
        <v>_</v>
      </c>
      <c r="I886" s="76"/>
      <c r="J886" s="26"/>
      <c r="K886" s="167"/>
      <c r="L886" s="167"/>
      <c r="M886" s="166"/>
      <c r="N886" s="166"/>
      <c r="O886" s="166"/>
      <c r="P886" s="166"/>
      <c r="Q886" s="167"/>
      <c r="R886" s="111"/>
    </row>
    <row r="887" spans="1:18">
      <c r="A887" s="90">
        <v>881</v>
      </c>
      <c r="B887" s="24">
        <f>DATE('1.연간시수표'!$U$44,'1.연간시수표'!$X$44,'1.연간시수표'!$Z$44)+QUOTIENT(ROW(A881)-1,8)+(QUOTIENT(ROW(A881)-1,40)*2)</f>
        <v>44953</v>
      </c>
      <c r="C887" s="24" t="str">
        <f t="shared" si="39"/>
        <v>금</v>
      </c>
      <c r="D887" s="116" t="str">
        <f t="shared" si="40"/>
        <v>1교시</v>
      </c>
      <c r="E887" s="68">
        <f>COUNTIF($H$7:$H887,$H887)</f>
        <v>321</v>
      </c>
      <c r="F887" s="67">
        <f>'1.연간시수표'!$AL$33</f>
        <v>5</v>
      </c>
      <c r="G887" s="115">
        <f t="shared" si="41"/>
        <v>2</v>
      </c>
      <c r="H887" s="41" t="str">
        <f>INDEX('0.시간표데이터'!$E$52:$AR$78,QUOTIENT(ROW(A881)-1,40)+1,MOD(ROW(A881)-1,40)+1)</f>
        <v>_</v>
      </c>
      <c r="I887" s="77"/>
      <c r="J887" s="26"/>
      <c r="K887" s="167"/>
      <c r="L887" s="167"/>
      <c r="M887" s="166"/>
      <c r="N887" s="166"/>
      <c r="O887" s="166"/>
      <c r="P887" s="166"/>
      <c r="Q887" s="167"/>
      <c r="R887" s="111"/>
    </row>
    <row r="888" spans="1:18">
      <c r="A888" s="90">
        <v>882</v>
      </c>
      <c r="B888" s="24">
        <f>DATE('1.연간시수표'!$U$44,'1.연간시수표'!$X$44,'1.연간시수표'!$Z$44)+QUOTIENT(ROW(A882)-1,8)+(QUOTIENT(ROW(A882)-1,40)*2)</f>
        <v>44953</v>
      </c>
      <c r="C888" s="24" t="str">
        <f t="shared" si="39"/>
        <v>금</v>
      </c>
      <c r="D888" s="116" t="str">
        <f t="shared" si="40"/>
        <v>2교시</v>
      </c>
      <c r="E888" s="68">
        <f>COUNTIF($H$7:$H888,$H888)</f>
        <v>322</v>
      </c>
      <c r="F888" s="67">
        <f>'1.연간시수표'!$AL$33</f>
        <v>5</v>
      </c>
      <c r="G888" s="115">
        <f t="shared" si="41"/>
        <v>2</v>
      </c>
      <c r="H888" s="41" t="str">
        <f>INDEX('0.시간표데이터'!$E$52:$AR$78,QUOTIENT(ROW(A882)-1,40)+1,MOD(ROW(A882)-1,40)+1)</f>
        <v>_</v>
      </c>
      <c r="I888" s="161"/>
      <c r="J888" s="26"/>
      <c r="K888" s="167"/>
      <c r="L888" s="167"/>
      <c r="M888" s="166"/>
      <c r="N888" s="166"/>
      <c r="O888" s="166"/>
      <c r="P888" s="166"/>
      <c r="Q888" s="167"/>
      <c r="R888" s="111"/>
    </row>
    <row r="889" spans="1:18">
      <c r="A889" s="90">
        <v>883</v>
      </c>
      <c r="B889" s="24">
        <f>DATE('1.연간시수표'!$U$44,'1.연간시수표'!$X$44,'1.연간시수표'!$Z$44)+QUOTIENT(ROW(A883)-1,8)+(QUOTIENT(ROW(A883)-1,40)*2)</f>
        <v>44953</v>
      </c>
      <c r="C889" s="24" t="str">
        <f t="shared" si="39"/>
        <v>금</v>
      </c>
      <c r="D889" s="116" t="str">
        <f t="shared" si="40"/>
        <v>3교시</v>
      </c>
      <c r="E889" s="68">
        <f>COUNTIF($H$7:$H889,$H889)</f>
        <v>323</v>
      </c>
      <c r="F889" s="67">
        <f>'1.연간시수표'!$AL$33</f>
        <v>5</v>
      </c>
      <c r="G889" s="115">
        <f t="shared" si="41"/>
        <v>2</v>
      </c>
      <c r="H889" s="41" t="str">
        <f>INDEX('0.시간표데이터'!$E$52:$AR$78,QUOTIENT(ROW(A883)-1,40)+1,MOD(ROW(A883)-1,40)+1)</f>
        <v>_</v>
      </c>
      <c r="I889" s="77"/>
      <c r="J889" s="26"/>
      <c r="K889" s="167"/>
      <c r="L889" s="167"/>
      <c r="M889" s="166"/>
      <c r="N889" s="166"/>
      <c r="O889" s="166"/>
      <c r="P889" s="166"/>
      <c r="Q889" s="167"/>
      <c r="R889" s="111"/>
    </row>
    <row r="890" spans="1:18">
      <c r="A890" s="90">
        <v>884</v>
      </c>
      <c r="B890" s="24">
        <f>DATE('1.연간시수표'!$U$44,'1.연간시수표'!$X$44,'1.연간시수표'!$Z$44)+QUOTIENT(ROW(A884)-1,8)+(QUOTIENT(ROW(A884)-1,40)*2)</f>
        <v>44953</v>
      </c>
      <c r="C890" s="24" t="str">
        <f t="shared" si="39"/>
        <v>금</v>
      </c>
      <c r="D890" s="116" t="str">
        <f t="shared" si="40"/>
        <v>4교시</v>
      </c>
      <c r="E890" s="68">
        <f>COUNTIF($H$7:$H890,$H890)</f>
        <v>324</v>
      </c>
      <c r="F890" s="67">
        <f>'1.연간시수표'!$AL$33</f>
        <v>5</v>
      </c>
      <c r="G890" s="115">
        <f t="shared" si="41"/>
        <v>2</v>
      </c>
      <c r="H890" s="41" t="str">
        <f>INDEX('0.시간표데이터'!$E$52:$AR$78,QUOTIENT(ROW(A884)-1,40)+1,MOD(ROW(A884)-1,40)+1)</f>
        <v>_</v>
      </c>
      <c r="I890" s="77"/>
      <c r="J890" s="26"/>
      <c r="K890" s="167"/>
      <c r="L890" s="167"/>
      <c r="M890" s="166"/>
      <c r="N890" s="166"/>
      <c r="O890" s="166"/>
      <c r="P890" s="166"/>
      <c r="Q890" s="167"/>
      <c r="R890" s="111"/>
    </row>
    <row r="891" spans="1:18">
      <c r="A891" s="90">
        <v>885</v>
      </c>
      <c r="B891" s="24">
        <f>DATE('1.연간시수표'!$U$44,'1.연간시수표'!$X$44,'1.연간시수표'!$Z$44)+QUOTIENT(ROW(A885)-1,8)+(QUOTIENT(ROW(A885)-1,40)*2)</f>
        <v>44953</v>
      </c>
      <c r="C891" s="24" t="str">
        <f t="shared" si="39"/>
        <v>금</v>
      </c>
      <c r="D891" s="116" t="str">
        <f t="shared" si="40"/>
        <v>5교시</v>
      </c>
      <c r="E891" s="68">
        <f>COUNTIF($H$7:$H891,$H891)</f>
        <v>325</v>
      </c>
      <c r="F891" s="67">
        <f>'1.연간시수표'!$AL$33</f>
        <v>5</v>
      </c>
      <c r="G891" s="115">
        <f t="shared" si="41"/>
        <v>2</v>
      </c>
      <c r="H891" s="41" t="str">
        <f>INDEX('0.시간표데이터'!$E$52:$AR$78,QUOTIENT(ROW(A885)-1,40)+1,MOD(ROW(A885)-1,40)+1)</f>
        <v>_</v>
      </c>
      <c r="I891" s="77"/>
      <c r="J891" s="26"/>
      <c r="K891" s="167"/>
      <c r="L891" s="167"/>
      <c r="M891" s="166"/>
      <c r="N891" s="166"/>
      <c r="O891" s="166"/>
      <c r="P891" s="166"/>
      <c r="Q891" s="167"/>
      <c r="R891" s="111"/>
    </row>
    <row r="892" spans="1:18">
      <c r="A892" s="90">
        <v>886</v>
      </c>
      <c r="B892" s="24">
        <f>DATE('1.연간시수표'!$U$44,'1.연간시수표'!$X$44,'1.연간시수표'!$Z$44)+QUOTIENT(ROW(A886)-1,8)+(QUOTIENT(ROW(A886)-1,40)*2)</f>
        <v>44953</v>
      </c>
      <c r="C892" s="24" t="str">
        <f t="shared" si="39"/>
        <v>금</v>
      </c>
      <c r="D892" s="116" t="str">
        <f t="shared" si="40"/>
        <v>6교시</v>
      </c>
      <c r="E892" s="68">
        <f>COUNTIF($H$7:$H892,$H892)</f>
        <v>326</v>
      </c>
      <c r="F892" s="67">
        <f>'1.연간시수표'!$AL$33</f>
        <v>5</v>
      </c>
      <c r="G892" s="115">
        <f t="shared" si="41"/>
        <v>2</v>
      </c>
      <c r="H892" s="41" t="str">
        <f>INDEX('0.시간표데이터'!$E$52:$AR$78,QUOTIENT(ROW(A886)-1,40)+1,MOD(ROW(A886)-1,40)+1)</f>
        <v>_</v>
      </c>
      <c r="I892" s="77"/>
      <c r="J892" s="26"/>
      <c r="K892" s="167"/>
      <c r="L892" s="167"/>
      <c r="M892" s="166"/>
      <c r="N892" s="166"/>
      <c r="O892" s="166"/>
      <c r="P892" s="166"/>
      <c r="Q892" s="167"/>
      <c r="R892" s="111"/>
    </row>
    <row r="893" spans="1:18">
      <c r="A893" s="90">
        <v>887</v>
      </c>
      <c r="B893" s="24">
        <f>DATE('1.연간시수표'!$U$44,'1.연간시수표'!$X$44,'1.연간시수표'!$Z$44)+QUOTIENT(ROW(A887)-1,8)+(QUOTIENT(ROW(A887)-1,40)*2)</f>
        <v>44953</v>
      </c>
      <c r="C893" s="24" t="str">
        <f t="shared" si="39"/>
        <v>금</v>
      </c>
      <c r="D893" s="116" t="str">
        <f t="shared" si="40"/>
        <v>7교시</v>
      </c>
      <c r="E893" s="68">
        <f>COUNTIF($H$7:$H893,$H893)</f>
        <v>327</v>
      </c>
      <c r="F893" s="67">
        <f>'1.연간시수표'!$AL$33</f>
        <v>5</v>
      </c>
      <c r="G893" s="115">
        <f t="shared" si="41"/>
        <v>2</v>
      </c>
      <c r="H893" s="41" t="str">
        <f>INDEX('0.시간표데이터'!$E$52:$AR$78,QUOTIENT(ROW(A887)-1,40)+1,MOD(ROW(A887)-1,40)+1)</f>
        <v>_</v>
      </c>
      <c r="I893" s="76"/>
      <c r="J893" s="26"/>
      <c r="K893" s="167"/>
      <c r="L893" s="167"/>
      <c r="M893" s="166"/>
      <c r="N893" s="166"/>
      <c r="O893" s="166"/>
      <c r="P893" s="166"/>
      <c r="Q893" s="167"/>
      <c r="R893" s="111"/>
    </row>
    <row r="894" spans="1:18">
      <c r="A894" s="90">
        <v>888</v>
      </c>
      <c r="B894" s="24">
        <f>DATE('1.연간시수표'!$U$44,'1.연간시수표'!$X$44,'1.연간시수표'!$Z$44)+QUOTIENT(ROW(A888)-1,8)+(QUOTIENT(ROW(A888)-1,40)*2)</f>
        <v>44953</v>
      </c>
      <c r="C894" s="24" t="str">
        <f t="shared" si="39"/>
        <v>금</v>
      </c>
      <c r="D894" s="116" t="str">
        <f t="shared" si="40"/>
        <v>8교시</v>
      </c>
      <c r="E894" s="68">
        <f>COUNTIF($H$7:$H894,$H894)</f>
        <v>328</v>
      </c>
      <c r="F894" s="67">
        <f>'1.연간시수표'!$AL$33</f>
        <v>5</v>
      </c>
      <c r="G894" s="115">
        <f t="shared" si="41"/>
        <v>2</v>
      </c>
      <c r="H894" s="41" t="str">
        <f>INDEX('0.시간표데이터'!$E$52:$AR$78,QUOTIENT(ROW(A888)-1,40)+1,MOD(ROW(A888)-1,40)+1)</f>
        <v>_</v>
      </c>
      <c r="I894" s="76"/>
      <c r="J894" s="26"/>
      <c r="K894" s="167"/>
      <c r="L894" s="167"/>
      <c r="M894" s="166"/>
      <c r="N894" s="166"/>
      <c r="O894" s="166"/>
      <c r="P894" s="166"/>
      <c r="Q894" s="167"/>
      <c r="R894" s="111"/>
    </row>
    <row r="895" spans="1:18">
      <c r="A895" s="90">
        <v>889</v>
      </c>
      <c r="B895" s="24">
        <f>DATE('1.연간시수표'!$U$44,'1.연간시수표'!$X$44,'1.연간시수표'!$Z$44)+QUOTIENT(ROW(A889)-1,8)+(QUOTIENT(ROW(A889)-1,40)*2)</f>
        <v>44954</v>
      </c>
      <c r="C895" s="24" t="b">
        <f t="shared" si="39"/>
        <v>0</v>
      </c>
      <c r="D895" s="116" t="str">
        <f t="shared" si="40"/>
        <v>1교시</v>
      </c>
      <c r="E895" s="68">
        <f>COUNTIF($H$7:$H895,$H895)</f>
        <v>329</v>
      </c>
      <c r="F895" s="67">
        <f>'1.연간시수표'!$AL$33</f>
        <v>5</v>
      </c>
      <c r="G895" s="115">
        <f t="shared" si="41"/>
        <v>2</v>
      </c>
      <c r="H895" s="41" t="str">
        <f>INDEX('0.시간표데이터'!$E$52:$AR$78,QUOTIENT(ROW(A889)-1,40)+1,MOD(ROW(A889)-1,40)+1)</f>
        <v>_</v>
      </c>
      <c r="I895" s="77"/>
      <c r="J895" s="26"/>
      <c r="K895" s="167"/>
      <c r="L895" s="167"/>
      <c r="M895" s="166"/>
      <c r="N895" s="166"/>
      <c r="O895" s="166"/>
      <c r="P895" s="166"/>
      <c r="Q895" s="167"/>
      <c r="R895" s="111"/>
    </row>
    <row r="896" spans="1:18">
      <c r="A896" s="90">
        <v>890</v>
      </c>
      <c r="B896" s="24">
        <f>DATE('1.연간시수표'!$U$44,'1.연간시수표'!$X$44,'1.연간시수표'!$Z$44)+QUOTIENT(ROW(A890)-1,8)+(QUOTIENT(ROW(A890)-1,40)*2)</f>
        <v>44954</v>
      </c>
      <c r="C896" s="24" t="b">
        <f t="shared" si="39"/>
        <v>0</v>
      </c>
      <c r="D896" s="116" t="str">
        <f t="shared" si="40"/>
        <v>2교시</v>
      </c>
      <c r="E896" s="68">
        <f>COUNTIF($H$7:$H896,$H896)</f>
        <v>330</v>
      </c>
      <c r="F896" s="67">
        <f>'1.연간시수표'!$AL$33</f>
        <v>5</v>
      </c>
      <c r="G896" s="115">
        <f t="shared" si="41"/>
        <v>2</v>
      </c>
      <c r="H896" s="41" t="str">
        <f>INDEX('0.시간표데이터'!$E$52:$AR$78,QUOTIENT(ROW(A890)-1,40)+1,MOD(ROW(A890)-1,40)+1)</f>
        <v>_</v>
      </c>
      <c r="I896" s="161"/>
      <c r="J896" s="26"/>
      <c r="K896" s="167"/>
      <c r="L896" s="167"/>
      <c r="M896" s="166"/>
      <c r="N896" s="166"/>
      <c r="O896" s="166"/>
      <c r="P896" s="166"/>
      <c r="Q896" s="167"/>
      <c r="R896" s="111"/>
    </row>
    <row r="897" spans="1:18">
      <c r="A897" s="90">
        <v>891</v>
      </c>
      <c r="B897" s="24">
        <f>DATE('1.연간시수표'!$U$44,'1.연간시수표'!$X$44,'1.연간시수표'!$Z$44)+QUOTIENT(ROW(A891)-1,8)+(QUOTIENT(ROW(A891)-1,40)*2)</f>
        <v>44954</v>
      </c>
      <c r="C897" s="24" t="b">
        <f t="shared" si="39"/>
        <v>0</v>
      </c>
      <c r="D897" s="116" t="str">
        <f t="shared" si="40"/>
        <v>3교시</v>
      </c>
      <c r="E897" s="68">
        <f>COUNTIF($H$7:$H897,$H897)</f>
        <v>331</v>
      </c>
      <c r="F897" s="67">
        <f>'1.연간시수표'!$AL$33</f>
        <v>5</v>
      </c>
      <c r="G897" s="115">
        <f t="shared" si="41"/>
        <v>2</v>
      </c>
      <c r="H897" s="41" t="str">
        <f>INDEX('0.시간표데이터'!$E$52:$AR$78,QUOTIENT(ROW(A891)-1,40)+1,MOD(ROW(A891)-1,40)+1)</f>
        <v>_</v>
      </c>
      <c r="I897" s="77"/>
      <c r="J897" s="26"/>
      <c r="K897" s="167"/>
      <c r="L897" s="167"/>
      <c r="M897" s="166"/>
      <c r="N897" s="166"/>
      <c r="O897" s="166"/>
      <c r="P897" s="166"/>
      <c r="Q897" s="167"/>
      <c r="R897" s="111"/>
    </row>
    <row r="898" spans="1:18">
      <c r="A898" s="90">
        <v>892</v>
      </c>
      <c r="B898" s="24">
        <f>DATE('1.연간시수표'!$U$44,'1.연간시수표'!$X$44,'1.연간시수표'!$Z$44)+QUOTIENT(ROW(A892)-1,8)+(QUOTIENT(ROW(A892)-1,40)*2)</f>
        <v>44954</v>
      </c>
      <c r="C898" s="24" t="b">
        <f t="shared" si="39"/>
        <v>0</v>
      </c>
      <c r="D898" s="116" t="str">
        <f t="shared" si="40"/>
        <v>4교시</v>
      </c>
      <c r="E898" s="68">
        <f>COUNTIF($H$7:$H898,$H898)</f>
        <v>332</v>
      </c>
      <c r="F898" s="67">
        <f>'1.연간시수표'!$AL$33</f>
        <v>5</v>
      </c>
      <c r="G898" s="115">
        <f t="shared" si="41"/>
        <v>2</v>
      </c>
      <c r="H898" s="41" t="str">
        <f>INDEX('0.시간표데이터'!$E$52:$AR$78,QUOTIENT(ROW(A892)-1,40)+1,MOD(ROW(A892)-1,40)+1)</f>
        <v>_</v>
      </c>
      <c r="I898" s="77"/>
      <c r="J898" s="26"/>
      <c r="K898" s="167"/>
      <c r="L898" s="167"/>
      <c r="M898" s="166"/>
      <c r="N898" s="166"/>
      <c r="O898" s="166"/>
      <c r="P898" s="166"/>
      <c r="Q898" s="167"/>
      <c r="R898" s="111"/>
    </row>
    <row r="899" spans="1:18">
      <c r="A899" s="90">
        <v>893</v>
      </c>
      <c r="B899" s="24">
        <f>DATE('1.연간시수표'!$U$44,'1.연간시수표'!$X$44,'1.연간시수표'!$Z$44)+QUOTIENT(ROW(A893)-1,8)+(QUOTIENT(ROW(A893)-1,40)*2)</f>
        <v>44954</v>
      </c>
      <c r="C899" s="24" t="b">
        <f t="shared" si="39"/>
        <v>0</v>
      </c>
      <c r="D899" s="116" t="str">
        <f t="shared" si="40"/>
        <v>5교시</v>
      </c>
      <c r="E899" s="68">
        <f>COUNTIF($H$7:$H899,$H899)</f>
        <v>333</v>
      </c>
      <c r="F899" s="67">
        <f>'1.연간시수표'!$AL$33</f>
        <v>5</v>
      </c>
      <c r="G899" s="115">
        <f t="shared" si="41"/>
        <v>2</v>
      </c>
      <c r="H899" s="41" t="str">
        <f>INDEX('0.시간표데이터'!$E$52:$AR$78,QUOTIENT(ROW(A893)-1,40)+1,MOD(ROW(A893)-1,40)+1)</f>
        <v>_</v>
      </c>
      <c r="I899" s="77"/>
      <c r="J899" s="26"/>
      <c r="K899" s="167"/>
      <c r="L899" s="167"/>
      <c r="M899" s="166"/>
      <c r="N899" s="166"/>
      <c r="O899" s="166"/>
      <c r="P899" s="166"/>
      <c r="Q899" s="167"/>
      <c r="R899" s="111"/>
    </row>
    <row r="900" spans="1:18">
      <c r="A900" s="90">
        <v>894</v>
      </c>
      <c r="B900" s="24">
        <f>DATE('1.연간시수표'!$U$44,'1.연간시수표'!$X$44,'1.연간시수표'!$Z$44)+QUOTIENT(ROW(A894)-1,8)+(QUOTIENT(ROW(A894)-1,40)*2)</f>
        <v>44954</v>
      </c>
      <c r="C900" s="24" t="b">
        <f t="shared" si="39"/>
        <v>0</v>
      </c>
      <c r="D900" s="116" t="str">
        <f t="shared" si="40"/>
        <v>6교시</v>
      </c>
      <c r="E900" s="68">
        <f>COUNTIF($H$7:$H900,$H900)</f>
        <v>334</v>
      </c>
      <c r="F900" s="67">
        <f>'1.연간시수표'!$AL$33</f>
        <v>5</v>
      </c>
      <c r="G900" s="115">
        <f t="shared" si="41"/>
        <v>2</v>
      </c>
      <c r="H900" s="41" t="str">
        <f>INDEX('0.시간표데이터'!$E$52:$AR$78,QUOTIENT(ROW(A894)-1,40)+1,MOD(ROW(A894)-1,40)+1)</f>
        <v>_</v>
      </c>
      <c r="I900" s="77"/>
      <c r="J900" s="26"/>
      <c r="K900" s="167"/>
      <c r="L900" s="167"/>
      <c r="M900" s="166"/>
      <c r="N900" s="166"/>
      <c r="O900" s="166"/>
      <c r="P900" s="166"/>
      <c r="Q900" s="167"/>
      <c r="R900" s="111"/>
    </row>
    <row r="901" spans="1:18">
      <c r="A901" s="90">
        <v>895</v>
      </c>
      <c r="B901" s="24">
        <f>DATE('1.연간시수표'!$U$44,'1.연간시수표'!$X$44,'1.연간시수표'!$Z$44)+QUOTIENT(ROW(A895)-1,8)+(QUOTIENT(ROW(A895)-1,40)*2)</f>
        <v>44954</v>
      </c>
      <c r="C901" s="24" t="b">
        <f t="shared" si="39"/>
        <v>0</v>
      </c>
      <c r="D901" s="116" t="str">
        <f t="shared" si="40"/>
        <v>7교시</v>
      </c>
      <c r="E901" s="68">
        <f>COUNTIF($H$7:$H901,$H901)</f>
        <v>335</v>
      </c>
      <c r="F901" s="67">
        <f>'1.연간시수표'!$AL$33</f>
        <v>5</v>
      </c>
      <c r="G901" s="115">
        <f t="shared" si="41"/>
        <v>2</v>
      </c>
      <c r="H901" s="41" t="str">
        <f>INDEX('0.시간표데이터'!$E$52:$AR$78,QUOTIENT(ROW(A895)-1,40)+1,MOD(ROW(A895)-1,40)+1)</f>
        <v>_</v>
      </c>
      <c r="I901" s="76"/>
      <c r="J901" s="26"/>
      <c r="K901" s="167"/>
      <c r="L901" s="167"/>
      <c r="M901" s="166"/>
      <c r="N901" s="166"/>
      <c r="O901" s="166"/>
      <c r="P901" s="166"/>
      <c r="Q901" s="167"/>
      <c r="R901" s="111"/>
    </row>
    <row r="902" spans="1:18">
      <c r="A902" s="90">
        <v>896</v>
      </c>
      <c r="B902" s="24">
        <f>DATE('1.연간시수표'!$U$44,'1.연간시수표'!$X$44,'1.연간시수표'!$Z$44)+QUOTIENT(ROW(A896)-1,8)+(QUOTIENT(ROW(A896)-1,40)*2)</f>
        <v>44954</v>
      </c>
      <c r="C902" s="24" t="b">
        <f t="shared" si="39"/>
        <v>0</v>
      </c>
      <c r="D902" s="116" t="str">
        <f t="shared" si="40"/>
        <v>8교시</v>
      </c>
      <c r="E902" s="68">
        <f>COUNTIF($H$7:$H902,$H902)</f>
        <v>336</v>
      </c>
      <c r="F902" s="67">
        <f>'1.연간시수표'!$AL$33</f>
        <v>5</v>
      </c>
      <c r="G902" s="115">
        <f t="shared" si="41"/>
        <v>2</v>
      </c>
      <c r="H902" s="41" t="str">
        <f>INDEX('0.시간표데이터'!$E$52:$AR$78,QUOTIENT(ROW(A896)-1,40)+1,MOD(ROW(A896)-1,40)+1)</f>
        <v>_</v>
      </c>
      <c r="I902" s="76"/>
      <c r="J902" s="26"/>
      <c r="K902" s="167"/>
      <c r="L902" s="167"/>
      <c r="M902" s="166"/>
      <c r="N902" s="166"/>
      <c r="O902" s="166"/>
      <c r="P902" s="166"/>
      <c r="Q902" s="167"/>
      <c r="R902" s="111"/>
    </row>
    <row r="903" spans="1:18">
      <c r="A903" s="90">
        <v>897</v>
      </c>
      <c r="B903" s="24">
        <f>DATE('1.연간시수표'!$U$44,'1.연간시수표'!$X$44,'1.연간시수표'!$Z$44)+QUOTIENT(ROW(A897)-1,8)+(QUOTIENT(ROW(A897)-1,40)*2)</f>
        <v>44955</v>
      </c>
      <c r="C903" s="24" t="b">
        <f t="shared" ref="C903:C966" si="42">IF(WEEKDAY(B903,2)=1,"월",IF(WEEKDAY(B903,2)=2,"화",IF(WEEKDAY(B903,2)=3,"수",IF(WEEKDAY(B903,2)=4,"목",IF(WEEKDAY(B903,2)=5,"금")))))</f>
        <v>0</v>
      </c>
      <c r="D903" s="116" t="str">
        <f t="shared" ref="D903:D966" si="43">TEXT(MOD(ROW(A897)-1,8)+1,"#교시")</f>
        <v>1교시</v>
      </c>
      <c r="E903" s="68">
        <f>COUNTIF($H$7:$H903,$H903)</f>
        <v>337</v>
      </c>
      <c r="F903" s="67">
        <f>'1.연간시수표'!$AL$33</f>
        <v>5</v>
      </c>
      <c r="G903" s="115">
        <f t="shared" ref="G903:G966" si="44">$A$2</f>
        <v>2</v>
      </c>
      <c r="H903" s="41" t="str">
        <f>INDEX('0.시간표데이터'!$E$52:$AR$78,QUOTIENT(ROW(A897)-1,40)+1,MOD(ROW(A897)-1,40)+1)</f>
        <v>_</v>
      </c>
      <c r="I903" s="77"/>
      <c r="J903" s="26"/>
      <c r="K903" s="167"/>
      <c r="L903" s="167"/>
      <c r="M903" s="166"/>
      <c r="N903" s="166"/>
      <c r="O903" s="166"/>
      <c r="P903" s="166"/>
      <c r="Q903" s="167"/>
      <c r="R903" s="111"/>
    </row>
    <row r="904" spans="1:18">
      <c r="A904" s="90">
        <v>898</v>
      </c>
      <c r="B904" s="24">
        <f>DATE('1.연간시수표'!$U$44,'1.연간시수표'!$X$44,'1.연간시수표'!$Z$44)+QUOTIENT(ROW(A898)-1,8)+(QUOTIENT(ROW(A898)-1,40)*2)</f>
        <v>44955</v>
      </c>
      <c r="C904" s="24" t="b">
        <f t="shared" si="42"/>
        <v>0</v>
      </c>
      <c r="D904" s="116" t="str">
        <f t="shared" si="43"/>
        <v>2교시</v>
      </c>
      <c r="E904" s="68">
        <f>COUNTIF($H$7:$H904,$H904)</f>
        <v>338</v>
      </c>
      <c r="F904" s="67">
        <f>'1.연간시수표'!$AL$33</f>
        <v>5</v>
      </c>
      <c r="G904" s="115">
        <f t="shared" si="44"/>
        <v>2</v>
      </c>
      <c r="H904" s="41" t="str">
        <f>INDEX('0.시간표데이터'!$E$52:$AR$78,QUOTIENT(ROW(A898)-1,40)+1,MOD(ROW(A898)-1,40)+1)</f>
        <v>_</v>
      </c>
      <c r="I904" s="77"/>
      <c r="J904" s="26"/>
      <c r="K904" s="180"/>
      <c r="L904" s="180"/>
      <c r="M904" s="166"/>
      <c r="N904" s="166"/>
      <c r="O904" s="166"/>
      <c r="P904" s="166"/>
      <c r="Q904" s="167"/>
      <c r="R904" s="111"/>
    </row>
    <row r="905" spans="1:18">
      <c r="A905" s="90">
        <v>899</v>
      </c>
      <c r="B905" s="24">
        <f>DATE('1.연간시수표'!$U$44,'1.연간시수표'!$X$44,'1.연간시수표'!$Z$44)+QUOTIENT(ROW(A899)-1,8)+(QUOTIENT(ROW(A899)-1,40)*2)</f>
        <v>44955</v>
      </c>
      <c r="C905" s="24" t="b">
        <f t="shared" si="42"/>
        <v>0</v>
      </c>
      <c r="D905" s="116" t="str">
        <f t="shared" si="43"/>
        <v>3교시</v>
      </c>
      <c r="E905" s="68">
        <f>COUNTIF($H$7:$H905,$H905)</f>
        <v>339</v>
      </c>
      <c r="F905" s="67">
        <f>'1.연간시수표'!$AL$33</f>
        <v>5</v>
      </c>
      <c r="G905" s="115">
        <f t="shared" si="44"/>
        <v>2</v>
      </c>
      <c r="H905" s="41" t="str">
        <f>INDEX('0.시간표데이터'!$E$52:$AR$78,QUOTIENT(ROW(A899)-1,40)+1,MOD(ROW(A899)-1,40)+1)</f>
        <v>_</v>
      </c>
      <c r="I905" s="77"/>
      <c r="J905" s="26"/>
      <c r="K905" s="167"/>
      <c r="L905" s="167"/>
      <c r="M905" s="166"/>
      <c r="N905" s="166"/>
      <c r="O905" s="166"/>
      <c r="P905" s="166"/>
      <c r="Q905" s="167"/>
      <c r="R905" s="111"/>
    </row>
    <row r="906" spans="1:18">
      <c r="A906" s="90">
        <v>900</v>
      </c>
      <c r="B906" s="24">
        <f>DATE('1.연간시수표'!$U$44,'1.연간시수표'!$X$44,'1.연간시수표'!$Z$44)+QUOTIENT(ROW(A900)-1,8)+(QUOTIENT(ROW(A900)-1,40)*2)</f>
        <v>44955</v>
      </c>
      <c r="C906" s="24" t="b">
        <f t="shared" si="42"/>
        <v>0</v>
      </c>
      <c r="D906" s="116" t="str">
        <f t="shared" si="43"/>
        <v>4교시</v>
      </c>
      <c r="E906" s="68">
        <f>COUNTIF($H$7:$H906,$H906)</f>
        <v>340</v>
      </c>
      <c r="F906" s="67">
        <f>'1.연간시수표'!$AL$33</f>
        <v>5</v>
      </c>
      <c r="G906" s="115">
        <f t="shared" si="44"/>
        <v>2</v>
      </c>
      <c r="H906" s="41" t="str">
        <f>INDEX('0.시간표데이터'!$E$52:$AR$78,QUOTIENT(ROW(A900)-1,40)+1,MOD(ROW(A900)-1,40)+1)</f>
        <v>_</v>
      </c>
      <c r="I906" s="77"/>
      <c r="J906" s="26"/>
      <c r="K906" s="181"/>
      <c r="L906" s="181"/>
      <c r="M906" s="182"/>
      <c r="N906" s="182"/>
      <c r="O906" s="10"/>
      <c r="P906" s="10"/>
      <c r="Q906" s="167"/>
      <c r="R906" s="111"/>
    </row>
    <row r="907" spans="1:18">
      <c r="A907" s="90">
        <v>901</v>
      </c>
      <c r="B907" s="24">
        <f>DATE('1.연간시수표'!$U$44,'1.연간시수표'!$X$44,'1.연간시수표'!$Z$44)+QUOTIENT(ROW(A901)-1,8)+(QUOTIENT(ROW(A901)-1,40)*2)</f>
        <v>44955</v>
      </c>
      <c r="C907" s="24" t="b">
        <f t="shared" si="42"/>
        <v>0</v>
      </c>
      <c r="D907" s="116" t="str">
        <f t="shared" si="43"/>
        <v>5교시</v>
      </c>
      <c r="E907" s="68">
        <f>COUNTIF($H$7:$H907,$H907)</f>
        <v>341</v>
      </c>
      <c r="F907" s="67">
        <f>'1.연간시수표'!$AL$33</f>
        <v>5</v>
      </c>
      <c r="G907" s="115">
        <f t="shared" si="44"/>
        <v>2</v>
      </c>
      <c r="H907" s="41" t="str">
        <f>INDEX('0.시간표데이터'!$E$52:$AR$78,QUOTIENT(ROW(A901)-1,40)+1,MOD(ROW(A901)-1,40)+1)</f>
        <v>_</v>
      </c>
      <c r="I907" s="77"/>
      <c r="J907" s="26"/>
      <c r="K907" s="164"/>
      <c r="L907" s="164"/>
      <c r="M907" s="10"/>
      <c r="N907" s="10"/>
      <c r="O907" s="10"/>
      <c r="P907" s="10"/>
      <c r="Q907" s="164"/>
      <c r="R907" s="111"/>
    </row>
    <row r="908" spans="1:18">
      <c r="A908" s="90">
        <v>902</v>
      </c>
      <c r="B908" s="24">
        <f>DATE('1.연간시수표'!$U$44,'1.연간시수표'!$X$44,'1.연간시수표'!$Z$44)+QUOTIENT(ROW(A902)-1,8)+(QUOTIENT(ROW(A902)-1,40)*2)</f>
        <v>44955</v>
      </c>
      <c r="C908" s="24" t="b">
        <f t="shared" si="42"/>
        <v>0</v>
      </c>
      <c r="D908" s="116" t="str">
        <f t="shared" si="43"/>
        <v>6교시</v>
      </c>
      <c r="E908" s="68">
        <f>COUNTIF($H$7:$H908,$H908)</f>
        <v>342</v>
      </c>
      <c r="F908" s="67">
        <f>'1.연간시수표'!$AL$33</f>
        <v>5</v>
      </c>
      <c r="G908" s="115">
        <f t="shared" si="44"/>
        <v>2</v>
      </c>
      <c r="H908" s="41" t="str">
        <f>INDEX('0.시간표데이터'!$E$52:$AR$78,QUOTIENT(ROW(A902)-1,40)+1,MOD(ROW(A902)-1,40)+1)</f>
        <v>_</v>
      </c>
      <c r="I908" s="77"/>
      <c r="J908" s="26"/>
      <c r="K908" s="167"/>
      <c r="L908" s="167"/>
      <c r="M908" s="166"/>
      <c r="N908" s="166"/>
      <c r="O908" s="166"/>
      <c r="P908" s="166"/>
      <c r="Q908" s="167"/>
      <c r="R908" s="111"/>
    </row>
    <row r="909" spans="1:18">
      <c r="A909" s="90">
        <v>903</v>
      </c>
      <c r="B909" s="24">
        <f>DATE('1.연간시수표'!$U$44,'1.연간시수표'!$X$44,'1.연간시수표'!$Z$44)+QUOTIENT(ROW(A903)-1,8)+(QUOTIENT(ROW(A903)-1,40)*2)</f>
        <v>44955</v>
      </c>
      <c r="C909" s="24" t="b">
        <f t="shared" si="42"/>
        <v>0</v>
      </c>
      <c r="D909" s="116" t="str">
        <f t="shared" si="43"/>
        <v>7교시</v>
      </c>
      <c r="E909" s="68">
        <f>COUNTIF($H$7:$H909,$H909)</f>
        <v>343</v>
      </c>
      <c r="F909" s="67">
        <f>'1.연간시수표'!$AL$33</f>
        <v>5</v>
      </c>
      <c r="G909" s="115">
        <f t="shared" si="44"/>
        <v>2</v>
      </c>
      <c r="H909" s="41" t="str">
        <f>INDEX('0.시간표데이터'!$E$52:$AR$78,QUOTIENT(ROW(A903)-1,40)+1,MOD(ROW(A903)-1,40)+1)</f>
        <v>_</v>
      </c>
      <c r="I909" s="76"/>
      <c r="J909" s="26"/>
      <c r="K909" s="167"/>
      <c r="L909" s="167"/>
      <c r="M909" s="166"/>
      <c r="N909" s="166"/>
      <c r="O909" s="166"/>
      <c r="P909" s="166"/>
      <c r="Q909" s="167"/>
      <c r="R909" s="111"/>
    </row>
    <row r="910" spans="1:18">
      <c r="A910" s="90">
        <v>904</v>
      </c>
      <c r="B910" s="24">
        <f>DATE('1.연간시수표'!$U$44,'1.연간시수표'!$X$44,'1.연간시수표'!$Z$44)+QUOTIENT(ROW(A904)-1,8)+(QUOTIENT(ROW(A904)-1,40)*2)</f>
        <v>44955</v>
      </c>
      <c r="C910" s="24" t="b">
        <f t="shared" si="42"/>
        <v>0</v>
      </c>
      <c r="D910" s="116" t="str">
        <f t="shared" si="43"/>
        <v>8교시</v>
      </c>
      <c r="E910" s="68">
        <f>COUNTIF($H$7:$H910,$H910)</f>
        <v>344</v>
      </c>
      <c r="F910" s="67">
        <f>'1.연간시수표'!$AL$33</f>
        <v>5</v>
      </c>
      <c r="G910" s="115">
        <f t="shared" si="44"/>
        <v>2</v>
      </c>
      <c r="H910" s="41" t="str">
        <f>INDEX('0.시간표데이터'!$E$52:$AR$78,QUOTIENT(ROW(A904)-1,40)+1,MOD(ROW(A904)-1,40)+1)</f>
        <v>_</v>
      </c>
      <c r="I910" s="76"/>
      <c r="J910" s="26"/>
      <c r="K910" s="167"/>
      <c r="L910" s="167"/>
      <c r="M910" s="166"/>
      <c r="N910" s="166"/>
      <c r="O910" s="166"/>
      <c r="P910" s="166"/>
      <c r="Q910" s="167"/>
      <c r="R910" s="111"/>
    </row>
    <row r="911" spans="1:18">
      <c r="A911" s="90">
        <v>905</v>
      </c>
      <c r="B911" s="24">
        <f>DATE('1.연간시수표'!$U$44,'1.연간시수표'!$X$44,'1.연간시수표'!$Z$44)+QUOTIENT(ROW(A905)-1,8)+(QUOTIENT(ROW(A905)-1,40)*2)</f>
        <v>44956</v>
      </c>
      <c r="C911" s="24" t="str">
        <f t="shared" si="42"/>
        <v>월</v>
      </c>
      <c r="D911" s="116" t="str">
        <f t="shared" si="43"/>
        <v>1교시</v>
      </c>
      <c r="E911" s="68">
        <f>COUNTIF($H$7:$H911,$H911)</f>
        <v>345</v>
      </c>
      <c r="F911" s="67">
        <f>'1.연간시수표'!$AL$33</f>
        <v>5</v>
      </c>
      <c r="G911" s="115">
        <f t="shared" si="44"/>
        <v>2</v>
      </c>
      <c r="H911" s="41" t="str">
        <f>INDEX('0.시간표데이터'!$E$52:$AR$78,QUOTIENT(ROW(A905)-1,40)+1,MOD(ROW(A905)-1,40)+1)</f>
        <v>_</v>
      </c>
      <c r="I911" s="77"/>
      <c r="J911" s="26"/>
      <c r="K911" s="167"/>
      <c r="L911" s="167"/>
      <c r="M911" s="166"/>
      <c r="N911" s="166"/>
      <c r="O911" s="166"/>
      <c r="P911" s="166"/>
      <c r="Q911" s="167"/>
      <c r="R911" s="111"/>
    </row>
    <row r="912" spans="1:18">
      <c r="A912" s="90">
        <v>906</v>
      </c>
      <c r="B912" s="24">
        <f>DATE('1.연간시수표'!$U$44,'1.연간시수표'!$X$44,'1.연간시수표'!$Z$44)+QUOTIENT(ROW(A906)-1,8)+(QUOTIENT(ROW(A906)-1,40)*2)</f>
        <v>44956</v>
      </c>
      <c r="C912" s="24" t="str">
        <f t="shared" si="42"/>
        <v>월</v>
      </c>
      <c r="D912" s="116" t="str">
        <f t="shared" si="43"/>
        <v>2교시</v>
      </c>
      <c r="E912" s="68">
        <f>COUNTIF($H$7:$H912,$H912)</f>
        <v>346</v>
      </c>
      <c r="F912" s="67">
        <f>'1.연간시수표'!$AL$33</f>
        <v>5</v>
      </c>
      <c r="G912" s="115">
        <f t="shared" si="44"/>
        <v>2</v>
      </c>
      <c r="H912" s="41" t="str">
        <f>INDEX('0.시간표데이터'!$E$52:$AR$78,QUOTIENT(ROW(A906)-1,40)+1,MOD(ROW(A906)-1,40)+1)</f>
        <v>_</v>
      </c>
      <c r="I912" s="161"/>
      <c r="J912" s="26"/>
      <c r="K912" s="167"/>
      <c r="L912" s="167"/>
      <c r="M912" s="166"/>
      <c r="N912" s="166"/>
      <c r="O912" s="166"/>
      <c r="P912" s="166"/>
      <c r="Q912" s="167"/>
      <c r="R912" s="111"/>
    </row>
    <row r="913" spans="1:18">
      <c r="A913" s="90">
        <v>907</v>
      </c>
      <c r="B913" s="24">
        <f>DATE('1.연간시수표'!$U$44,'1.연간시수표'!$X$44,'1.연간시수표'!$Z$44)+QUOTIENT(ROW(A907)-1,8)+(QUOTIENT(ROW(A907)-1,40)*2)</f>
        <v>44956</v>
      </c>
      <c r="C913" s="24" t="str">
        <f t="shared" si="42"/>
        <v>월</v>
      </c>
      <c r="D913" s="116" t="str">
        <f t="shared" si="43"/>
        <v>3교시</v>
      </c>
      <c r="E913" s="68">
        <f>COUNTIF($H$7:$H913,$H913)</f>
        <v>347</v>
      </c>
      <c r="F913" s="67">
        <f>'1.연간시수표'!$AL$33</f>
        <v>5</v>
      </c>
      <c r="G913" s="115">
        <f t="shared" si="44"/>
        <v>2</v>
      </c>
      <c r="H913" s="41" t="str">
        <f>INDEX('0.시간표데이터'!$E$52:$AR$78,QUOTIENT(ROW(A907)-1,40)+1,MOD(ROW(A907)-1,40)+1)</f>
        <v>_</v>
      </c>
      <c r="I913" s="77"/>
      <c r="J913" s="26"/>
      <c r="K913" s="164"/>
      <c r="L913" s="164"/>
      <c r="M913" s="10"/>
      <c r="N913" s="10"/>
      <c r="O913" s="10"/>
      <c r="P913" s="10"/>
      <c r="Q913" s="164"/>
      <c r="R913" s="111"/>
    </row>
    <row r="914" spans="1:18">
      <c r="A914" s="90">
        <v>908</v>
      </c>
      <c r="B914" s="24">
        <f>DATE('1.연간시수표'!$U$44,'1.연간시수표'!$X$44,'1.연간시수표'!$Z$44)+QUOTIENT(ROW(A908)-1,8)+(QUOTIENT(ROW(A908)-1,40)*2)</f>
        <v>44956</v>
      </c>
      <c r="C914" s="24" t="str">
        <f t="shared" si="42"/>
        <v>월</v>
      </c>
      <c r="D914" s="116" t="str">
        <f t="shared" si="43"/>
        <v>4교시</v>
      </c>
      <c r="E914" s="68">
        <f>COUNTIF($H$7:$H914,$H914)</f>
        <v>348</v>
      </c>
      <c r="F914" s="67">
        <f>'1.연간시수표'!$AL$33</f>
        <v>5</v>
      </c>
      <c r="G914" s="115">
        <f t="shared" si="44"/>
        <v>2</v>
      </c>
      <c r="H914" s="41" t="str">
        <f>INDEX('0.시간표데이터'!$E$52:$AR$78,QUOTIENT(ROW(A908)-1,40)+1,MOD(ROW(A908)-1,40)+1)</f>
        <v>_</v>
      </c>
      <c r="I914" s="77"/>
      <c r="J914" s="26"/>
      <c r="K914" s="167"/>
      <c r="L914" s="167"/>
      <c r="M914" s="166"/>
      <c r="N914" s="166"/>
      <c r="O914" s="166"/>
      <c r="P914" s="166"/>
      <c r="Q914" s="167"/>
      <c r="R914" s="111"/>
    </row>
    <row r="915" spans="1:18">
      <c r="A915" s="90">
        <v>909</v>
      </c>
      <c r="B915" s="24">
        <f>DATE('1.연간시수표'!$U$44,'1.연간시수표'!$X$44,'1.연간시수표'!$Z$44)+QUOTIENT(ROW(A909)-1,8)+(QUOTIENT(ROW(A909)-1,40)*2)</f>
        <v>44956</v>
      </c>
      <c r="C915" s="24" t="str">
        <f t="shared" si="42"/>
        <v>월</v>
      </c>
      <c r="D915" s="116" t="str">
        <f t="shared" si="43"/>
        <v>5교시</v>
      </c>
      <c r="E915" s="68">
        <f>COUNTIF($H$7:$H915,$H915)</f>
        <v>349</v>
      </c>
      <c r="F915" s="67">
        <f>'1.연간시수표'!$AL$33</f>
        <v>5</v>
      </c>
      <c r="G915" s="115">
        <f t="shared" si="44"/>
        <v>2</v>
      </c>
      <c r="H915" s="41" t="str">
        <f>INDEX('0.시간표데이터'!$E$52:$AR$78,QUOTIENT(ROW(A909)-1,40)+1,MOD(ROW(A909)-1,40)+1)</f>
        <v>_</v>
      </c>
      <c r="I915" s="77"/>
      <c r="J915" s="26"/>
      <c r="K915" s="167"/>
      <c r="L915" s="167"/>
      <c r="M915" s="166"/>
      <c r="N915" s="166"/>
      <c r="O915" s="166"/>
      <c r="P915" s="166"/>
      <c r="Q915" s="167"/>
      <c r="R915" s="111"/>
    </row>
    <row r="916" spans="1:18">
      <c r="A916" s="90">
        <v>910</v>
      </c>
      <c r="B916" s="24">
        <f>DATE('1.연간시수표'!$U$44,'1.연간시수표'!$X$44,'1.연간시수표'!$Z$44)+QUOTIENT(ROW(A910)-1,8)+(QUOTIENT(ROW(A910)-1,40)*2)</f>
        <v>44956</v>
      </c>
      <c r="C916" s="24" t="str">
        <f t="shared" si="42"/>
        <v>월</v>
      </c>
      <c r="D916" s="116" t="str">
        <f t="shared" si="43"/>
        <v>6교시</v>
      </c>
      <c r="E916" s="68">
        <f>COUNTIF($H$7:$H916,$H916)</f>
        <v>350</v>
      </c>
      <c r="F916" s="67">
        <f>'1.연간시수표'!$AL$33</f>
        <v>5</v>
      </c>
      <c r="G916" s="115">
        <f t="shared" si="44"/>
        <v>2</v>
      </c>
      <c r="H916" s="41" t="str">
        <f>INDEX('0.시간표데이터'!$E$52:$AR$78,QUOTIENT(ROW(A910)-1,40)+1,MOD(ROW(A910)-1,40)+1)</f>
        <v>_</v>
      </c>
      <c r="I916" s="161"/>
      <c r="J916" s="26"/>
      <c r="K916" s="167"/>
      <c r="L916" s="167"/>
      <c r="M916" s="166"/>
      <c r="N916" s="166"/>
      <c r="O916" s="166"/>
      <c r="P916" s="166"/>
      <c r="Q916" s="167"/>
      <c r="R916" s="111"/>
    </row>
    <row r="917" spans="1:18">
      <c r="A917" s="90">
        <v>911</v>
      </c>
      <c r="B917" s="24">
        <f>DATE('1.연간시수표'!$U$44,'1.연간시수표'!$X$44,'1.연간시수표'!$Z$44)+QUOTIENT(ROW(A911)-1,8)+(QUOTIENT(ROW(A911)-1,40)*2)</f>
        <v>44956</v>
      </c>
      <c r="C917" s="24" t="str">
        <f t="shared" si="42"/>
        <v>월</v>
      </c>
      <c r="D917" s="116" t="str">
        <f t="shared" si="43"/>
        <v>7교시</v>
      </c>
      <c r="E917" s="68">
        <f>COUNTIF($H$7:$H917,$H917)</f>
        <v>351</v>
      </c>
      <c r="F917" s="67">
        <f>'1.연간시수표'!$AL$33</f>
        <v>5</v>
      </c>
      <c r="G917" s="115">
        <f t="shared" si="44"/>
        <v>2</v>
      </c>
      <c r="H917" s="41" t="str">
        <f>INDEX('0.시간표데이터'!$E$52:$AR$78,QUOTIENT(ROW(A911)-1,40)+1,MOD(ROW(A911)-1,40)+1)</f>
        <v>_</v>
      </c>
      <c r="I917" s="76"/>
      <c r="J917" s="26"/>
      <c r="K917" s="167"/>
      <c r="L917" s="167"/>
      <c r="M917" s="166"/>
      <c r="N917" s="166"/>
      <c r="O917" s="166"/>
      <c r="P917" s="166"/>
      <c r="Q917" s="167"/>
      <c r="R917" s="111"/>
    </row>
    <row r="918" spans="1:18">
      <c r="A918" s="90">
        <v>912</v>
      </c>
      <c r="B918" s="24">
        <f>DATE('1.연간시수표'!$U$44,'1.연간시수표'!$X$44,'1.연간시수표'!$Z$44)+QUOTIENT(ROW(A912)-1,8)+(QUOTIENT(ROW(A912)-1,40)*2)</f>
        <v>44956</v>
      </c>
      <c r="C918" s="24" t="str">
        <f t="shared" si="42"/>
        <v>월</v>
      </c>
      <c r="D918" s="116" t="str">
        <f t="shared" si="43"/>
        <v>8교시</v>
      </c>
      <c r="E918" s="68">
        <f>COUNTIF($H$7:$H918,$H918)</f>
        <v>352</v>
      </c>
      <c r="F918" s="67">
        <f>'1.연간시수표'!$AL$33</f>
        <v>5</v>
      </c>
      <c r="G918" s="115">
        <f t="shared" si="44"/>
        <v>2</v>
      </c>
      <c r="H918" s="41" t="str">
        <f>INDEX('0.시간표데이터'!$E$52:$AR$78,QUOTIENT(ROW(A912)-1,40)+1,MOD(ROW(A912)-1,40)+1)</f>
        <v>_</v>
      </c>
      <c r="I918" s="76"/>
      <c r="J918" s="26"/>
      <c r="K918" s="167"/>
      <c r="L918" s="167"/>
      <c r="M918" s="166"/>
      <c r="N918" s="166"/>
      <c r="O918" s="166"/>
      <c r="P918" s="166"/>
      <c r="Q918" s="167"/>
      <c r="R918" s="111"/>
    </row>
    <row r="919" spans="1:18">
      <c r="A919" s="90">
        <v>913</v>
      </c>
      <c r="B919" s="24">
        <f>DATE('1.연간시수표'!$U$44,'1.연간시수표'!$X$44,'1.연간시수표'!$Z$44)+QUOTIENT(ROW(A913)-1,8)+(QUOTIENT(ROW(A913)-1,40)*2)</f>
        <v>44957</v>
      </c>
      <c r="C919" s="24" t="str">
        <f t="shared" si="42"/>
        <v>화</v>
      </c>
      <c r="D919" s="116" t="str">
        <f t="shared" si="43"/>
        <v>1교시</v>
      </c>
      <c r="E919" s="68">
        <f>COUNTIF($H$7:$H919,$H919)</f>
        <v>353</v>
      </c>
      <c r="F919" s="67">
        <f>'1.연간시수표'!$AL$33</f>
        <v>5</v>
      </c>
      <c r="G919" s="115">
        <f t="shared" si="44"/>
        <v>2</v>
      </c>
      <c r="H919" s="41" t="str">
        <f>INDEX('0.시간표데이터'!$E$52:$AR$78,QUOTIENT(ROW(A913)-1,40)+1,MOD(ROW(A913)-1,40)+1)</f>
        <v>_</v>
      </c>
      <c r="I919" s="77"/>
      <c r="J919" s="26"/>
      <c r="K919" s="167"/>
      <c r="L919" s="167"/>
      <c r="M919" s="166"/>
      <c r="N919" s="166"/>
      <c r="O919" s="166"/>
      <c r="P919" s="166"/>
      <c r="Q919" s="167"/>
      <c r="R919" s="111"/>
    </row>
    <row r="920" spans="1:18">
      <c r="A920" s="90">
        <v>914</v>
      </c>
      <c r="B920" s="24">
        <f>DATE('1.연간시수표'!$U$44,'1.연간시수표'!$X$44,'1.연간시수표'!$Z$44)+QUOTIENT(ROW(A914)-1,8)+(QUOTIENT(ROW(A914)-1,40)*2)</f>
        <v>44957</v>
      </c>
      <c r="C920" s="24" t="str">
        <f t="shared" si="42"/>
        <v>화</v>
      </c>
      <c r="D920" s="116" t="str">
        <f t="shared" si="43"/>
        <v>2교시</v>
      </c>
      <c r="E920" s="68">
        <f>COUNTIF($H$7:$H920,$H920)</f>
        <v>354</v>
      </c>
      <c r="F920" s="67">
        <f>'1.연간시수표'!$AL$33</f>
        <v>5</v>
      </c>
      <c r="G920" s="115">
        <f t="shared" si="44"/>
        <v>2</v>
      </c>
      <c r="H920" s="41" t="str">
        <f>INDEX('0.시간표데이터'!$E$52:$AR$78,QUOTIENT(ROW(A914)-1,40)+1,MOD(ROW(A914)-1,40)+1)</f>
        <v>_</v>
      </c>
      <c r="I920" s="77"/>
      <c r="J920" s="26"/>
      <c r="K920" s="167"/>
      <c r="L920" s="167"/>
      <c r="M920" s="166"/>
      <c r="N920" s="166"/>
      <c r="O920" s="166"/>
      <c r="P920" s="166"/>
      <c r="Q920" s="167"/>
      <c r="R920" s="111"/>
    </row>
    <row r="921" spans="1:18">
      <c r="A921" s="90">
        <v>915</v>
      </c>
      <c r="B921" s="24">
        <f>DATE('1.연간시수표'!$U$44,'1.연간시수표'!$X$44,'1.연간시수표'!$Z$44)+QUOTIENT(ROW(A915)-1,8)+(QUOTIENT(ROW(A915)-1,40)*2)</f>
        <v>44957</v>
      </c>
      <c r="C921" s="24" t="str">
        <f t="shared" si="42"/>
        <v>화</v>
      </c>
      <c r="D921" s="116" t="str">
        <f t="shared" si="43"/>
        <v>3교시</v>
      </c>
      <c r="E921" s="68">
        <f>COUNTIF($H$7:$H921,$H921)</f>
        <v>355</v>
      </c>
      <c r="F921" s="67">
        <f>'1.연간시수표'!$AL$33</f>
        <v>5</v>
      </c>
      <c r="G921" s="115">
        <f t="shared" si="44"/>
        <v>2</v>
      </c>
      <c r="H921" s="41" t="str">
        <f>INDEX('0.시간표데이터'!$E$52:$AR$78,QUOTIENT(ROW(A915)-1,40)+1,MOD(ROW(A915)-1,40)+1)</f>
        <v>_</v>
      </c>
      <c r="I921" s="77"/>
      <c r="J921" s="26"/>
      <c r="K921" s="167"/>
      <c r="L921" s="167"/>
      <c r="M921" s="166"/>
      <c r="N921" s="166"/>
      <c r="O921" s="166"/>
      <c r="P921" s="166"/>
      <c r="Q921" s="167"/>
      <c r="R921" s="111"/>
    </row>
    <row r="922" spans="1:18">
      <c r="A922" s="90">
        <v>916</v>
      </c>
      <c r="B922" s="24">
        <f>DATE('1.연간시수표'!$U$44,'1.연간시수표'!$X$44,'1.연간시수표'!$Z$44)+QUOTIENT(ROW(A916)-1,8)+(QUOTIENT(ROW(A916)-1,40)*2)</f>
        <v>44957</v>
      </c>
      <c r="C922" s="24" t="str">
        <f t="shared" si="42"/>
        <v>화</v>
      </c>
      <c r="D922" s="116" t="str">
        <f t="shared" si="43"/>
        <v>4교시</v>
      </c>
      <c r="E922" s="68">
        <f>COUNTIF($H$7:$H922,$H922)</f>
        <v>356</v>
      </c>
      <c r="F922" s="67">
        <f>'1.연간시수표'!$AL$33</f>
        <v>5</v>
      </c>
      <c r="G922" s="115">
        <f t="shared" si="44"/>
        <v>2</v>
      </c>
      <c r="H922" s="41" t="str">
        <f>INDEX('0.시간표데이터'!$E$52:$AR$78,QUOTIENT(ROW(A916)-1,40)+1,MOD(ROW(A916)-1,40)+1)</f>
        <v>_</v>
      </c>
      <c r="I922" s="77"/>
      <c r="J922" s="26"/>
      <c r="K922" s="167"/>
      <c r="L922" s="167"/>
      <c r="M922" s="166"/>
      <c r="N922" s="166"/>
      <c r="O922" s="166"/>
      <c r="P922" s="166"/>
      <c r="Q922" s="167"/>
      <c r="R922" s="111"/>
    </row>
    <row r="923" spans="1:18">
      <c r="A923" s="90">
        <v>917</v>
      </c>
      <c r="B923" s="24">
        <f>DATE('1.연간시수표'!$U$44,'1.연간시수표'!$X$44,'1.연간시수표'!$Z$44)+QUOTIENT(ROW(A917)-1,8)+(QUOTIENT(ROW(A917)-1,40)*2)</f>
        <v>44957</v>
      </c>
      <c r="C923" s="24" t="str">
        <f t="shared" si="42"/>
        <v>화</v>
      </c>
      <c r="D923" s="116" t="str">
        <f t="shared" si="43"/>
        <v>5교시</v>
      </c>
      <c r="E923" s="68">
        <f>COUNTIF($H$7:$H923,$H923)</f>
        <v>357</v>
      </c>
      <c r="F923" s="67">
        <f>'1.연간시수표'!$AL$33</f>
        <v>5</v>
      </c>
      <c r="G923" s="115">
        <f t="shared" si="44"/>
        <v>2</v>
      </c>
      <c r="H923" s="41" t="str">
        <f>INDEX('0.시간표데이터'!$E$52:$AR$78,QUOTIENT(ROW(A917)-1,40)+1,MOD(ROW(A917)-1,40)+1)</f>
        <v>_</v>
      </c>
      <c r="I923" s="77"/>
      <c r="J923" s="26"/>
      <c r="K923" s="164"/>
      <c r="L923" s="164"/>
      <c r="M923" s="10"/>
      <c r="N923" s="10"/>
      <c r="O923" s="10"/>
      <c r="P923" s="10"/>
      <c r="Q923" s="164"/>
      <c r="R923" s="111"/>
    </row>
    <row r="924" spans="1:18">
      <c r="A924" s="90">
        <v>918</v>
      </c>
      <c r="B924" s="24">
        <f>DATE('1.연간시수표'!$U$44,'1.연간시수표'!$X$44,'1.연간시수표'!$Z$44)+QUOTIENT(ROW(A918)-1,8)+(QUOTIENT(ROW(A918)-1,40)*2)</f>
        <v>44957</v>
      </c>
      <c r="C924" s="24" t="str">
        <f t="shared" si="42"/>
        <v>화</v>
      </c>
      <c r="D924" s="116" t="str">
        <f t="shared" si="43"/>
        <v>6교시</v>
      </c>
      <c r="E924" s="68">
        <f>COUNTIF($H$7:$H924,$H924)</f>
        <v>358</v>
      </c>
      <c r="F924" s="67">
        <f>'1.연간시수표'!$AL$33</f>
        <v>5</v>
      </c>
      <c r="G924" s="115">
        <f t="shared" si="44"/>
        <v>2</v>
      </c>
      <c r="H924" s="41" t="str">
        <f>INDEX('0.시간표데이터'!$E$52:$AR$78,QUOTIENT(ROW(A918)-1,40)+1,MOD(ROW(A918)-1,40)+1)</f>
        <v>_</v>
      </c>
      <c r="I924" s="77"/>
      <c r="J924" s="26"/>
      <c r="K924" s="167"/>
      <c r="L924" s="167"/>
      <c r="M924" s="166"/>
      <c r="N924" s="166"/>
      <c r="O924" s="166"/>
      <c r="P924" s="166"/>
      <c r="Q924" s="167"/>
      <c r="R924" s="111"/>
    </row>
    <row r="925" spans="1:18">
      <c r="A925" s="90">
        <v>919</v>
      </c>
      <c r="B925" s="24">
        <f>DATE('1.연간시수표'!$U$44,'1.연간시수표'!$X$44,'1.연간시수표'!$Z$44)+QUOTIENT(ROW(A919)-1,8)+(QUOTIENT(ROW(A919)-1,40)*2)</f>
        <v>44957</v>
      </c>
      <c r="C925" s="24" t="str">
        <f t="shared" si="42"/>
        <v>화</v>
      </c>
      <c r="D925" s="116" t="str">
        <f t="shared" si="43"/>
        <v>7교시</v>
      </c>
      <c r="E925" s="68">
        <f>COUNTIF($H$7:$H925,$H925)</f>
        <v>359</v>
      </c>
      <c r="F925" s="67">
        <f>'1.연간시수표'!$AL$33</f>
        <v>5</v>
      </c>
      <c r="G925" s="115">
        <f t="shared" si="44"/>
        <v>2</v>
      </c>
      <c r="H925" s="41" t="str">
        <f>INDEX('0.시간표데이터'!$E$52:$AR$78,QUOTIENT(ROW(A919)-1,40)+1,MOD(ROW(A919)-1,40)+1)</f>
        <v>_</v>
      </c>
      <c r="I925" s="76"/>
      <c r="J925" s="26"/>
      <c r="K925" s="167"/>
      <c r="L925" s="167"/>
      <c r="M925" s="166"/>
      <c r="N925" s="166"/>
      <c r="O925" s="166"/>
      <c r="P925" s="166"/>
      <c r="Q925" s="167"/>
      <c r="R925" s="111"/>
    </row>
    <row r="926" spans="1:18">
      <c r="A926" s="90">
        <v>920</v>
      </c>
      <c r="B926" s="24">
        <f>DATE('1.연간시수표'!$U$44,'1.연간시수표'!$X$44,'1.연간시수표'!$Z$44)+QUOTIENT(ROW(A920)-1,8)+(QUOTIENT(ROW(A920)-1,40)*2)</f>
        <v>44957</v>
      </c>
      <c r="C926" s="24" t="str">
        <f t="shared" si="42"/>
        <v>화</v>
      </c>
      <c r="D926" s="116" t="str">
        <f t="shared" si="43"/>
        <v>8교시</v>
      </c>
      <c r="E926" s="68">
        <f>COUNTIF($H$7:$H926,$H926)</f>
        <v>360</v>
      </c>
      <c r="F926" s="67">
        <f>'1.연간시수표'!$AL$33</f>
        <v>5</v>
      </c>
      <c r="G926" s="115">
        <f t="shared" si="44"/>
        <v>2</v>
      </c>
      <c r="H926" s="41" t="str">
        <f>INDEX('0.시간표데이터'!$E$52:$AR$78,QUOTIENT(ROW(A920)-1,40)+1,MOD(ROW(A920)-1,40)+1)</f>
        <v>_</v>
      </c>
      <c r="I926" s="76"/>
      <c r="J926" s="26"/>
      <c r="K926" s="164"/>
      <c r="L926" s="164"/>
      <c r="M926" s="10"/>
      <c r="N926" s="10"/>
      <c r="O926" s="10"/>
      <c r="P926" s="10"/>
      <c r="Q926" s="164"/>
      <c r="R926" s="110"/>
    </row>
    <row r="927" spans="1:18">
      <c r="A927" s="90">
        <v>921</v>
      </c>
      <c r="B927" s="24">
        <f>DATE('1.연간시수표'!$U$44,'1.연간시수표'!$X$44,'1.연간시수표'!$Z$44)+QUOTIENT(ROW(A921)-1,8)+(QUOTIENT(ROW(A921)-1,40)*2)</f>
        <v>44960</v>
      </c>
      <c r="C927" s="24" t="str">
        <f t="shared" si="42"/>
        <v>금</v>
      </c>
      <c r="D927" s="116" t="str">
        <f t="shared" si="43"/>
        <v>1교시</v>
      </c>
      <c r="E927" s="68">
        <f>COUNTIF($H$7:$H927,$H927)</f>
        <v>361</v>
      </c>
      <c r="F927" s="67">
        <f>'1.연간시수표'!$AL$33</f>
        <v>5</v>
      </c>
      <c r="G927" s="115">
        <f t="shared" si="44"/>
        <v>2</v>
      </c>
      <c r="H927" s="41" t="str">
        <f>INDEX('0.시간표데이터'!$E$52:$AR$78,QUOTIENT(ROW(A921)-1,40)+1,MOD(ROW(A921)-1,40)+1)</f>
        <v>_</v>
      </c>
      <c r="I927" s="77"/>
      <c r="J927" s="26"/>
      <c r="K927" s="181"/>
      <c r="L927" s="181"/>
      <c r="M927" s="182"/>
      <c r="N927" s="182"/>
      <c r="O927" s="10"/>
      <c r="P927" s="10"/>
      <c r="Q927" s="164"/>
      <c r="R927" s="110"/>
    </row>
    <row r="928" spans="1:18">
      <c r="A928" s="90">
        <v>922</v>
      </c>
      <c r="B928" s="24">
        <f>DATE('1.연간시수표'!$U$44,'1.연간시수표'!$X$44,'1.연간시수표'!$Z$44)+QUOTIENT(ROW(A922)-1,8)+(QUOTIENT(ROW(A922)-1,40)*2)</f>
        <v>44960</v>
      </c>
      <c r="C928" s="24" t="str">
        <f t="shared" si="42"/>
        <v>금</v>
      </c>
      <c r="D928" s="116" t="str">
        <f t="shared" si="43"/>
        <v>2교시</v>
      </c>
      <c r="E928" s="68">
        <f>COUNTIF($H$7:$H928,$H928)</f>
        <v>362</v>
      </c>
      <c r="F928" s="67">
        <f>'1.연간시수표'!$AL$33</f>
        <v>5</v>
      </c>
      <c r="G928" s="115">
        <f t="shared" si="44"/>
        <v>2</v>
      </c>
      <c r="H928" s="41" t="str">
        <f>INDEX('0.시간표데이터'!$E$52:$AR$78,QUOTIENT(ROW(A922)-1,40)+1,MOD(ROW(A922)-1,40)+1)</f>
        <v>_</v>
      </c>
      <c r="I928" s="161"/>
      <c r="J928" s="26"/>
      <c r="K928" s="164"/>
      <c r="L928" s="164"/>
      <c r="M928" s="10"/>
      <c r="N928" s="10"/>
      <c r="O928" s="10"/>
      <c r="P928" s="10"/>
      <c r="Q928" s="164"/>
      <c r="R928" s="110"/>
    </row>
    <row r="929" spans="1:18">
      <c r="A929" s="90">
        <v>923</v>
      </c>
      <c r="B929" s="24">
        <f>DATE('1.연간시수표'!$U$44,'1.연간시수표'!$X$44,'1.연간시수표'!$Z$44)+QUOTIENT(ROW(A923)-1,8)+(QUOTIENT(ROW(A923)-1,40)*2)</f>
        <v>44960</v>
      </c>
      <c r="C929" s="24" t="str">
        <f t="shared" si="42"/>
        <v>금</v>
      </c>
      <c r="D929" s="116" t="str">
        <f t="shared" si="43"/>
        <v>3교시</v>
      </c>
      <c r="E929" s="68">
        <f>COUNTIF($H$7:$H929,$H929)</f>
        <v>363</v>
      </c>
      <c r="F929" s="67">
        <f>'1.연간시수표'!$AL$33</f>
        <v>5</v>
      </c>
      <c r="G929" s="115">
        <f t="shared" si="44"/>
        <v>2</v>
      </c>
      <c r="H929" s="41" t="str">
        <f>INDEX('0.시간표데이터'!$E$52:$AR$78,QUOTIENT(ROW(A923)-1,40)+1,MOD(ROW(A923)-1,40)+1)</f>
        <v>_</v>
      </c>
      <c r="I929" s="77"/>
      <c r="J929" s="26"/>
      <c r="K929" s="180"/>
      <c r="L929" s="180"/>
      <c r="M929" s="10"/>
      <c r="N929" s="10"/>
      <c r="O929" s="10"/>
      <c r="P929" s="10"/>
      <c r="Q929" s="164"/>
      <c r="R929" s="110"/>
    </row>
    <row r="930" spans="1:18">
      <c r="A930" s="90">
        <v>924</v>
      </c>
      <c r="B930" s="24">
        <f>DATE('1.연간시수표'!$U$44,'1.연간시수표'!$X$44,'1.연간시수표'!$Z$44)+QUOTIENT(ROW(A924)-1,8)+(QUOTIENT(ROW(A924)-1,40)*2)</f>
        <v>44960</v>
      </c>
      <c r="C930" s="24" t="str">
        <f t="shared" si="42"/>
        <v>금</v>
      </c>
      <c r="D930" s="116" t="str">
        <f t="shared" si="43"/>
        <v>4교시</v>
      </c>
      <c r="E930" s="68">
        <f>COUNTIF($H$7:$H930,$H930)</f>
        <v>364</v>
      </c>
      <c r="F930" s="67">
        <f>'1.연간시수표'!$AL$33</f>
        <v>5</v>
      </c>
      <c r="G930" s="115">
        <f t="shared" si="44"/>
        <v>2</v>
      </c>
      <c r="H930" s="41" t="str">
        <f>INDEX('0.시간표데이터'!$E$52:$AR$78,QUOTIENT(ROW(A924)-1,40)+1,MOD(ROW(A924)-1,40)+1)</f>
        <v>_</v>
      </c>
      <c r="I930" s="77"/>
      <c r="J930" s="26"/>
      <c r="K930" s="180"/>
      <c r="L930" s="180"/>
      <c r="M930" s="10"/>
      <c r="N930" s="10"/>
      <c r="O930" s="10"/>
      <c r="P930" s="10"/>
      <c r="Q930" s="164"/>
      <c r="R930" s="110"/>
    </row>
    <row r="931" spans="1:18">
      <c r="A931" s="90">
        <v>925</v>
      </c>
      <c r="B931" s="24">
        <f>DATE('1.연간시수표'!$U$44,'1.연간시수표'!$X$44,'1.연간시수표'!$Z$44)+QUOTIENT(ROW(A925)-1,8)+(QUOTIENT(ROW(A925)-1,40)*2)</f>
        <v>44960</v>
      </c>
      <c r="C931" s="24" t="str">
        <f t="shared" si="42"/>
        <v>금</v>
      </c>
      <c r="D931" s="116" t="str">
        <f t="shared" si="43"/>
        <v>5교시</v>
      </c>
      <c r="E931" s="68">
        <f>COUNTIF($H$7:$H931,$H931)</f>
        <v>365</v>
      </c>
      <c r="F931" s="67">
        <f>'1.연간시수표'!$AL$33</f>
        <v>5</v>
      </c>
      <c r="G931" s="115">
        <f t="shared" si="44"/>
        <v>2</v>
      </c>
      <c r="H931" s="41" t="str">
        <f>INDEX('0.시간표데이터'!$E$52:$AR$78,QUOTIENT(ROW(A925)-1,40)+1,MOD(ROW(A925)-1,40)+1)</f>
        <v>_</v>
      </c>
      <c r="I931" s="77"/>
      <c r="J931" s="26"/>
      <c r="K931" s="180"/>
      <c r="L931" s="180"/>
      <c r="M931" s="10"/>
      <c r="N931" s="10"/>
      <c r="O931" s="10"/>
      <c r="P931" s="10"/>
      <c r="Q931" s="164"/>
      <c r="R931" s="110"/>
    </row>
    <row r="932" spans="1:18">
      <c r="A932" s="90">
        <v>926</v>
      </c>
      <c r="B932" s="24">
        <f>DATE('1.연간시수표'!$U$44,'1.연간시수표'!$X$44,'1.연간시수표'!$Z$44)+QUOTIENT(ROW(A926)-1,8)+(QUOTIENT(ROW(A926)-1,40)*2)</f>
        <v>44960</v>
      </c>
      <c r="C932" s="24" t="str">
        <f t="shared" si="42"/>
        <v>금</v>
      </c>
      <c r="D932" s="116" t="str">
        <f t="shared" si="43"/>
        <v>6교시</v>
      </c>
      <c r="E932" s="68">
        <f>COUNTIF($H$7:$H932,$H932)</f>
        <v>366</v>
      </c>
      <c r="F932" s="67">
        <f>'1.연간시수표'!$AL$33</f>
        <v>5</v>
      </c>
      <c r="G932" s="115">
        <f t="shared" si="44"/>
        <v>2</v>
      </c>
      <c r="H932" s="41" t="str">
        <f>INDEX('0.시간표데이터'!$E$52:$AR$78,QUOTIENT(ROW(A926)-1,40)+1,MOD(ROW(A926)-1,40)+1)</f>
        <v>_</v>
      </c>
      <c r="I932" s="77"/>
      <c r="J932" s="26"/>
      <c r="K932" s="180"/>
      <c r="L932" s="180"/>
      <c r="M932" s="10"/>
      <c r="N932" s="10"/>
      <c r="O932" s="10"/>
      <c r="P932" s="10"/>
      <c r="Q932" s="164"/>
      <c r="R932" s="110"/>
    </row>
    <row r="933" spans="1:18">
      <c r="A933" s="90">
        <v>927</v>
      </c>
      <c r="B933" s="24">
        <f>DATE('1.연간시수표'!$U$44,'1.연간시수표'!$X$44,'1.연간시수표'!$Z$44)+QUOTIENT(ROW(A927)-1,8)+(QUOTIENT(ROW(A927)-1,40)*2)</f>
        <v>44960</v>
      </c>
      <c r="C933" s="24" t="str">
        <f t="shared" si="42"/>
        <v>금</v>
      </c>
      <c r="D933" s="116" t="str">
        <f t="shared" si="43"/>
        <v>7교시</v>
      </c>
      <c r="E933" s="68">
        <f>COUNTIF($H$7:$H933,$H933)</f>
        <v>367</v>
      </c>
      <c r="F933" s="67">
        <f>'1.연간시수표'!$AL$33</f>
        <v>5</v>
      </c>
      <c r="G933" s="115">
        <f t="shared" si="44"/>
        <v>2</v>
      </c>
      <c r="H933" s="41" t="str">
        <f>INDEX('0.시간표데이터'!$E$52:$AR$78,QUOTIENT(ROW(A927)-1,40)+1,MOD(ROW(A927)-1,40)+1)</f>
        <v>_</v>
      </c>
      <c r="I933" s="76"/>
      <c r="J933" s="26"/>
      <c r="K933" s="180"/>
      <c r="L933" s="180"/>
      <c r="M933" s="10"/>
      <c r="N933" s="10"/>
      <c r="O933" s="10"/>
      <c r="P933" s="10"/>
      <c r="Q933" s="164"/>
      <c r="R933" s="110"/>
    </row>
    <row r="934" spans="1:18">
      <c r="A934" s="90">
        <v>928</v>
      </c>
      <c r="B934" s="24">
        <f>DATE('1.연간시수표'!$U$44,'1.연간시수표'!$X$44,'1.연간시수표'!$Z$44)+QUOTIENT(ROW(A928)-1,8)+(QUOTIENT(ROW(A928)-1,40)*2)</f>
        <v>44960</v>
      </c>
      <c r="C934" s="24" t="str">
        <f t="shared" si="42"/>
        <v>금</v>
      </c>
      <c r="D934" s="116" t="str">
        <f t="shared" si="43"/>
        <v>8교시</v>
      </c>
      <c r="E934" s="68">
        <f>COUNTIF($H$7:$H934,$H934)</f>
        <v>368</v>
      </c>
      <c r="F934" s="67">
        <f>'1.연간시수표'!$AL$33</f>
        <v>5</v>
      </c>
      <c r="G934" s="115">
        <f t="shared" si="44"/>
        <v>2</v>
      </c>
      <c r="H934" s="41" t="str">
        <f>INDEX('0.시간표데이터'!$E$52:$AR$78,QUOTIENT(ROW(A928)-1,40)+1,MOD(ROW(A928)-1,40)+1)</f>
        <v>_</v>
      </c>
      <c r="I934" s="76"/>
      <c r="J934" s="26"/>
      <c r="K934" s="180"/>
      <c r="L934" s="180"/>
      <c r="M934" s="10"/>
      <c r="N934" s="10"/>
      <c r="O934" s="10"/>
      <c r="P934" s="10"/>
      <c r="Q934" s="164"/>
      <c r="R934" s="110"/>
    </row>
    <row r="935" spans="1:18">
      <c r="A935" s="90">
        <v>929</v>
      </c>
      <c r="B935" s="24">
        <f>DATE('1.연간시수표'!$U$44,'1.연간시수표'!$X$44,'1.연간시수표'!$Z$44)+QUOTIENT(ROW(A929)-1,8)+(QUOTIENT(ROW(A929)-1,40)*2)</f>
        <v>44961</v>
      </c>
      <c r="C935" s="24" t="b">
        <f t="shared" si="42"/>
        <v>0</v>
      </c>
      <c r="D935" s="116" t="str">
        <f t="shared" si="43"/>
        <v>1교시</v>
      </c>
      <c r="E935" s="68">
        <f>COUNTIF($H$7:$H935,$H935)</f>
        <v>369</v>
      </c>
      <c r="F935" s="67">
        <f>'1.연간시수표'!$AL$33</f>
        <v>5</v>
      </c>
      <c r="G935" s="115">
        <f t="shared" si="44"/>
        <v>2</v>
      </c>
      <c r="H935" s="41" t="str">
        <f>INDEX('0.시간표데이터'!$E$52:$AR$78,QUOTIENT(ROW(A929)-1,40)+1,MOD(ROW(A929)-1,40)+1)</f>
        <v>_</v>
      </c>
      <c r="I935" s="77"/>
      <c r="J935" s="26"/>
      <c r="K935" s="164"/>
      <c r="L935" s="164"/>
      <c r="M935" s="10"/>
      <c r="N935" s="10"/>
      <c r="O935" s="10"/>
      <c r="P935" s="10"/>
      <c r="Q935" s="164"/>
      <c r="R935" s="110"/>
    </row>
    <row r="936" spans="1:18">
      <c r="A936" s="90">
        <v>930</v>
      </c>
      <c r="B936" s="24">
        <f>DATE('1.연간시수표'!$U$44,'1.연간시수표'!$X$44,'1.연간시수표'!$Z$44)+QUOTIENT(ROW(A930)-1,8)+(QUOTIENT(ROW(A930)-1,40)*2)</f>
        <v>44961</v>
      </c>
      <c r="C936" s="24" t="b">
        <f t="shared" si="42"/>
        <v>0</v>
      </c>
      <c r="D936" s="116" t="str">
        <f t="shared" si="43"/>
        <v>2교시</v>
      </c>
      <c r="E936" s="68">
        <f>COUNTIF($H$7:$H936,$H936)</f>
        <v>370</v>
      </c>
      <c r="F936" s="67">
        <f>'1.연간시수표'!$AL$33</f>
        <v>5</v>
      </c>
      <c r="G936" s="115">
        <f t="shared" si="44"/>
        <v>2</v>
      </c>
      <c r="H936" s="41" t="str">
        <f>INDEX('0.시간표데이터'!$E$52:$AR$78,QUOTIENT(ROW(A930)-1,40)+1,MOD(ROW(A930)-1,40)+1)</f>
        <v>_</v>
      </c>
      <c r="I936" s="161"/>
      <c r="J936" s="26"/>
      <c r="K936" s="180"/>
      <c r="L936" s="180"/>
      <c r="M936" s="10"/>
      <c r="N936" s="10"/>
      <c r="O936" s="10"/>
      <c r="P936" s="10"/>
      <c r="Q936" s="164"/>
      <c r="R936" s="110"/>
    </row>
    <row r="937" spans="1:18">
      <c r="A937" s="90">
        <v>931</v>
      </c>
      <c r="B937" s="24">
        <f>DATE('1.연간시수표'!$U$44,'1.연간시수표'!$X$44,'1.연간시수표'!$Z$44)+QUOTIENT(ROW(A931)-1,8)+(QUOTIENT(ROW(A931)-1,40)*2)</f>
        <v>44961</v>
      </c>
      <c r="C937" s="24" t="b">
        <f t="shared" si="42"/>
        <v>0</v>
      </c>
      <c r="D937" s="116" t="str">
        <f t="shared" si="43"/>
        <v>3교시</v>
      </c>
      <c r="E937" s="68">
        <f>COUNTIF($H$7:$H937,$H937)</f>
        <v>371</v>
      </c>
      <c r="F937" s="67">
        <f>'1.연간시수표'!$AL$33</f>
        <v>5</v>
      </c>
      <c r="G937" s="115">
        <f t="shared" si="44"/>
        <v>2</v>
      </c>
      <c r="H937" s="41" t="str">
        <f>INDEX('0.시간표데이터'!$E$52:$AR$78,QUOTIENT(ROW(A931)-1,40)+1,MOD(ROW(A931)-1,40)+1)</f>
        <v>_</v>
      </c>
      <c r="I937" s="77"/>
      <c r="J937" s="26"/>
      <c r="K937" s="180"/>
      <c r="L937" s="180"/>
      <c r="M937" s="10"/>
      <c r="N937" s="10"/>
      <c r="O937" s="10"/>
      <c r="P937" s="10"/>
      <c r="Q937" s="164"/>
      <c r="R937" s="110"/>
    </row>
    <row r="938" spans="1:18">
      <c r="A938" s="90">
        <v>932</v>
      </c>
      <c r="B938" s="24">
        <f>DATE('1.연간시수표'!$U$44,'1.연간시수표'!$X$44,'1.연간시수표'!$Z$44)+QUOTIENT(ROW(A932)-1,8)+(QUOTIENT(ROW(A932)-1,40)*2)</f>
        <v>44961</v>
      </c>
      <c r="C938" s="24" t="b">
        <f t="shared" si="42"/>
        <v>0</v>
      </c>
      <c r="D938" s="116" t="str">
        <f t="shared" si="43"/>
        <v>4교시</v>
      </c>
      <c r="E938" s="68">
        <f>COUNTIF($H$7:$H938,$H938)</f>
        <v>372</v>
      </c>
      <c r="F938" s="67">
        <f>'1.연간시수표'!$AL$33</f>
        <v>5</v>
      </c>
      <c r="G938" s="115">
        <f t="shared" si="44"/>
        <v>2</v>
      </c>
      <c r="H938" s="41" t="str">
        <f>INDEX('0.시간표데이터'!$E$52:$AR$78,QUOTIENT(ROW(A932)-1,40)+1,MOD(ROW(A932)-1,40)+1)</f>
        <v>_</v>
      </c>
      <c r="I938" s="77"/>
      <c r="J938" s="26"/>
      <c r="K938" s="180"/>
      <c r="L938" s="180"/>
      <c r="M938" s="10"/>
      <c r="N938" s="10"/>
      <c r="O938" s="10"/>
      <c r="P938" s="10"/>
      <c r="Q938" s="164"/>
      <c r="R938" s="110"/>
    </row>
    <row r="939" spans="1:18">
      <c r="A939" s="90">
        <v>933</v>
      </c>
      <c r="B939" s="24">
        <f>DATE('1.연간시수표'!$U$44,'1.연간시수표'!$X$44,'1.연간시수표'!$Z$44)+QUOTIENT(ROW(A933)-1,8)+(QUOTIENT(ROW(A933)-1,40)*2)</f>
        <v>44961</v>
      </c>
      <c r="C939" s="24" t="b">
        <f t="shared" si="42"/>
        <v>0</v>
      </c>
      <c r="D939" s="116" t="str">
        <f t="shared" si="43"/>
        <v>5교시</v>
      </c>
      <c r="E939" s="68">
        <f>COUNTIF($H$7:$H939,$H939)</f>
        <v>373</v>
      </c>
      <c r="F939" s="67">
        <f>'1.연간시수표'!$AL$33</f>
        <v>5</v>
      </c>
      <c r="G939" s="115">
        <f t="shared" si="44"/>
        <v>2</v>
      </c>
      <c r="H939" s="41" t="str">
        <f>INDEX('0.시간표데이터'!$E$52:$AR$78,QUOTIENT(ROW(A933)-1,40)+1,MOD(ROW(A933)-1,40)+1)</f>
        <v>_</v>
      </c>
      <c r="I939" s="77"/>
      <c r="J939" s="26"/>
      <c r="K939" s="180"/>
      <c r="L939" s="180"/>
      <c r="M939" s="10"/>
      <c r="N939" s="10"/>
      <c r="O939" s="10"/>
      <c r="P939" s="10"/>
      <c r="Q939" s="164"/>
      <c r="R939" s="110"/>
    </row>
    <row r="940" spans="1:18">
      <c r="A940" s="90">
        <v>934</v>
      </c>
      <c r="B940" s="24">
        <f>DATE('1.연간시수표'!$U$44,'1.연간시수표'!$X$44,'1.연간시수표'!$Z$44)+QUOTIENT(ROW(A934)-1,8)+(QUOTIENT(ROW(A934)-1,40)*2)</f>
        <v>44961</v>
      </c>
      <c r="C940" s="24" t="b">
        <f t="shared" si="42"/>
        <v>0</v>
      </c>
      <c r="D940" s="116" t="str">
        <f t="shared" si="43"/>
        <v>6교시</v>
      </c>
      <c r="E940" s="68">
        <f>COUNTIF($H$7:$H940,$H940)</f>
        <v>374</v>
      </c>
      <c r="F940" s="67">
        <f>'1.연간시수표'!$AL$33</f>
        <v>5</v>
      </c>
      <c r="G940" s="115">
        <f t="shared" si="44"/>
        <v>2</v>
      </c>
      <c r="H940" s="41" t="str">
        <f>INDEX('0.시간표데이터'!$E$52:$AR$78,QUOTIENT(ROW(A934)-1,40)+1,MOD(ROW(A934)-1,40)+1)</f>
        <v>_</v>
      </c>
      <c r="I940" s="77"/>
      <c r="J940" s="26"/>
      <c r="K940" s="180"/>
      <c r="L940" s="180"/>
      <c r="M940" s="10"/>
      <c r="N940" s="10"/>
      <c r="O940" s="10"/>
      <c r="P940" s="10"/>
      <c r="Q940" s="164"/>
      <c r="R940" s="110"/>
    </row>
    <row r="941" spans="1:18">
      <c r="A941" s="90">
        <v>935</v>
      </c>
      <c r="B941" s="24">
        <f>DATE('1.연간시수표'!$U$44,'1.연간시수표'!$X$44,'1.연간시수표'!$Z$44)+QUOTIENT(ROW(A935)-1,8)+(QUOTIENT(ROW(A935)-1,40)*2)</f>
        <v>44961</v>
      </c>
      <c r="C941" s="24" t="b">
        <f t="shared" si="42"/>
        <v>0</v>
      </c>
      <c r="D941" s="116" t="str">
        <f t="shared" si="43"/>
        <v>7교시</v>
      </c>
      <c r="E941" s="68">
        <f>COUNTIF($H$7:$H941,$H941)</f>
        <v>375</v>
      </c>
      <c r="F941" s="67">
        <f>'1.연간시수표'!$AL$33</f>
        <v>5</v>
      </c>
      <c r="G941" s="115">
        <f t="shared" si="44"/>
        <v>2</v>
      </c>
      <c r="H941" s="41" t="str">
        <f>INDEX('0.시간표데이터'!$E$52:$AR$78,QUOTIENT(ROW(A935)-1,40)+1,MOD(ROW(A935)-1,40)+1)</f>
        <v>_</v>
      </c>
      <c r="I941" s="76"/>
      <c r="J941" s="26"/>
      <c r="K941" s="180"/>
      <c r="L941" s="180"/>
      <c r="M941" s="10"/>
      <c r="N941" s="10"/>
      <c r="O941" s="10"/>
      <c r="P941" s="10"/>
      <c r="Q941" s="164"/>
      <c r="R941" s="110"/>
    </row>
    <row r="942" spans="1:18">
      <c r="A942" s="90">
        <v>936</v>
      </c>
      <c r="B942" s="24">
        <f>DATE('1.연간시수표'!$U$44,'1.연간시수표'!$X$44,'1.연간시수표'!$Z$44)+QUOTIENT(ROW(A936)-1,8)+(QUOTIENT(ROW(A936)-1,40)*2)</f>
        <v>44961</v>
      </c>
      <c r="C942" s="24" t="b">
        <f t="shared" si="42"/>
        <v>0</v>
      </c>
      <c r="D942" s="116" t="str">
        <f t="shared" si="43"/>
        <v>8교시</v>
      </c>
      <c r="E942" s="68">
        <f>COUNTIF($H$7:$H942,$H942)</f>
        <v>376</v>
      </c>
      <c r="F942" s="67">
        <f>'1.연간시수표'!$AL$33</f>
        <v>5</v>
      </c>
      <c r="G942" s="115">
        <f t="shared" si="44"/>
        <v>2</v>
      </c>
      <c r="H942" s="41" t="str">
        <f>INDEX('0.시간표데이터'!$E$52:$AR$78,QUOTIENT(ROW(A936)-1,40)+1,MOD(ROW(A936)-1,40)+1)</f>
        <v>_</v>
      </c>
      <c r="I942" s="76"/>
      <c r="J942" s="26"/>
      <c r="K942" s="180"/>
      <c r="L942" s="180"/>
      <c r="M942" s="10"/>
      <c r="N942" s="10"/>
      <c r="O942" s="10"/>
      <c r="P942" s="10"/>
      <c r="Q942" s="164"/>
      <c r="R942" s="110"/>
    </row>
    <row r="943" spans="1:18">
      <c r="A943" s="90">
        <v>937</v>
      </c>
      <c r="B943" s="24">
        <f>DATE('1.연간시수표'!$U$44,'1.연간시수표'!$X$44,'1.연간시수표'!$Z$44)+QUOTIENT(ROW(A937)-1,8)+(QUOTIENT(ROW(A937)-1,40)*2)</f>
        <v>44962</v>
      </c>
      <c r="C943" s="24" t="b">
        <f t="shared" si="42"/>
        <v>0</v>
      </c>
      <c r="D943" s="116" t="str">
        <f t="shared" si="43"/>
        <v>1교시</v>
      </c>
      <c r="E943" s="68">
        <f>COUNTIF($H$7:$H943,$H943)</f>
        <v>377</v>
      </c>
      <c r="F943" s="67">
        <f>'1.연간시수표'!$AL$33</f>
        <v>5</v>
      </c>
      <c r="G943" s="115">
        <f t="shared" si="44"/>
        <v>2</v>
      </c>
      <c r="H943" s="41" t="str">
        <f>INDEX('0.시간표데이터'!$E$52:$AR$78,QUOTIENT(ROW(A937)-1,40)+1,MOD(ROW(A937)-1,40)+1)</f>
        <v>_</v>
      </c>
      <c r="I943" s="77"/>
      <c r="J943" s="26"/>
      <c r="K943" s="180"/>
      <c r="L943" s="180"/>
      <c r="M943" s="10"/>
      <c r="N943" s="10"/>
      <c r="O943" s="10"/>
      <c r="P943" s="10"/>
      <c r="Q943" s="164"/>
      <c r="R943" s="110"/>
    </row>
    <row r="944" spans="1:18">
      <c r="A944" s="90">
        <v>938</v>
      </c>
      <c r="B944" s="24">
        <f>DATE('1.연간시수표'!$U$44,'1.연간시수표'!$X$44,'1.연간시수표'!$Z$44)+QUOTIENT(ROW(A938)-1,8)+(QUOTIENT(ROW(A938)-1,40)*2)</f>
        <v>44962</v>
      </c>
      <c r="C944" s="24" t="b">
        <f t="shared" si="42"/>
        <v>0</v>
      </c>
      <c r="D944" s="116" t="str">
        <f t="shared" si="43"/>
        <v>2교시</v>
      </c>
      <c r="E944" s="68">
        <f>COUNTIF($H$7:$H944,$H944)</f>
        <v>378</v>
      </c>
      <c r="F944" s="67">
        <f>'1.연간시수표'!$AL$33</f>
        <v>5</v>
      </c>
      <c r="G944" s="115">
        <f t="shared" si="44"/>
        <v>2</v>
      </c>
      <c r="H944" s="41" t="str">
        <f>INDEX('0.시간표데이터'!$E$52:$AR$78,QUOTIENT(ROW(A938)-1,40)+1,MOD(ROW(A938)-1,40)+1)</f>
        <v>_</v>
      </c>
      <c r="I944" s="77"/>
      <c r="J944" s="26"/>
      <c r="K944" s="180"/>
      <c r="L944" s="180"/>
      <c r="M944" s="10"/>
      <c r="N944" s="10"/>
      <c r="O944" s="10"/>
      <c r="P944" s="10"/>
      <c r="Q944" s="164"/>
      <c r="R944" s="110"/>
    </row>
    <row r="945" spans="1:18">
      <c r="A945" s="90">
        <v>939</v>
      </c>
      <c r="B945" s="24">
        <f>DATE('1.연간시수표'!$U$44,'1.연간시수표'!$X$44,'1.연간시수표'!$Z$44)+QUOTIENT(ROW(A939)-1,8)+(QUOTIENT(ROW(A939)-1,40)*2)</f>
        <v>44962</v>
      </c>
      <c r="C945" s="24" t="b">
        <f t="shared" si="42"/>
        <v>0</v>
      </c>
      <c r="D945" s="116" t="str">
        <f t="shared" si="43"/>
        <v>3교시</v>
      </c>
      <c r="E945" s="68">
        <f>COUNTIF($H$7:$H945,$H945)</f>
        <v>379</v>
      </c>
      <c r="F945" s="67">
        <f>'1.연간시수표'!$AL$33</f>
        <v>5</v>
      </c>
      <c r="G945" s="115">
        <f t="shared" si="44"/>
        <v>2</v>
      </c>
      <c r="H945" s="41" t="str">
        <f>INDEX('0.시간표데이터'!$E$52:$AR$78,QUOTIENT(ROW(A939)-1,40)+1,MOD(ROW(A939)-1,40)+1)</f>
        <v>_</v>
      </c>
      <c r="I945" s="77"/>
      <c r="J945" s="26"/>
      <c r="K945" s="174"/>
      <c r="L945" s="174"/>
      <c r="M945" s="175"/>
      <c r="N945" s="97"/>
      <c r="O945" s="175"/>
      <c r="P945" s="175"/>
      <c r="Q945" s="164"/>
      <c r="R945" s="110"/>
    </row>
    <row r="946" spans="1:18">
      <c r="A946" s="90">
        <v>940</v>
      </c>
      <c r="B946" s="24">
        <f>DATE('1.연간시수표'!$U$44,'1.연간시수표'!$X$44,'1.연간시수표'!$Z$44)+QUOTIENT(ROW(A940)-1,8)+(QUOTIENT(ROW(A940)-1,40)*2)</f>
        <v>44962</v>
      </c>
      <c r="C946" s="24" t="b">
        <f t="shared" si="42"/>
        <v>0</v>
      </c>
      <c r="D946" s="116" t="str">
        <f t="shared" si="43"/>
        <v>4교시</v>
      </c>
      <c r="E946" s="68">
        <f>COUNTIF($H$7:$H946,$H946)</f>
        <v>380</v>
      </c>
      <c r="F946" s="67">
        <f>'1.연간시수표'!$AL$33</f>
        <v>5</v>
      </c>
      <c r="G946" s="115">
        <f t="shared" si="44"/>
        <v>2</v>
      </c>
      <c r="H946" s="41" t="str">
        <f>INDEX('0.시간표데이터'!$E$52:$AR$78,QUOTIENT(ROW(A940)-1,40)+1,MOD(ROW(A940)-1,40)+1)</f>
        <v>_</v>
      </c>
      <c r="I946" s="77"/>
      <c r="J946" s="26"/>
      <c r="K946" s="181"/>
      <c r="L946" s="181"/>
      <c r="M946" s="182"/>
      <c r="N946" s="182"/>
      <c r="O946" s="10"/>
      <c r="P946" s="10"/>
      <c r="Q946" s="164"/>
      <c r="R946" s="110"/>
    </row>
    <row r="947" spans="1:18">
      <c r="A947" s="90">
        <v>941</v>
      </c>
      <c r="B947" s="24">
        <f>DATE('1.연간시수표'!$U$44,'1.연간시수표'!$X$44,'1.연간시수표'!$Z$44)+QUOTIENT(ROW(A941)-1,8)+(QUOTIENT(ROW(A941)-1,40)*2)</f>
        <v>44962</v>
      </c>
      <c r="C947" s="24" t="b">
        <f t="shared" si="42"/>
        <v>0</v>
      </c>
      <c r="D947" s="116" t="str">
        <f t="shared" si="43"/>
        <v>5교시</v>
      </c>
      <c r="E947" s="68">
        <f>COUNTIF($H$7:$H947,$H947)</f>
        <v>381</v>
      </c>
      <c r="F947" s="67">
        <f>'1.연간시수표'!$AL$33</f>
        <v>5</v>
      </c>
      <c r="G947" s="115">
        <f t="shared" si="44"/>
        <v>2</v>
      </c>
      <c r="H947" s="41" t="str">
        <f>INDEX('0.시간표데이터'!$E$52:$AR$78,QUOTIENT(ROW(A941)-1,40)+1,MOD(ROW(A941)-1,40)+1)</f>
        <v>_</v>
      </c>
      <c r="I947" s="77"/>
      <c r="J947" s="26"/>
      <c r="K947" s="173"/>
      <c r="L947" s="173"/>
      <c r="M947" s="173"/>
      <c r="N947" s="173"/>
      <c r="O947" s="10"/>
      <c r="P947" s="10"/>
      <c r="Q947" s="173"/>
      <c r="R947" s="110"/>
    </row>
    <row r="948" spans="1:18">
      <c r="A948" s="90">
        <v>942</v>
      </c>
      <c r="B948" s="24">
        <f>DATE('1.연간시수표'!$U$44,'1.연간시수표'!$X$44,'1.연간시수표'!$Z$44)+QUOTIENT(ROW(A942)-1,8)+(QUOTIENT(ROW(A942)-1,40)*2)</f>
        <v>44962</v>
      </c>
      <c r="C948" s="24" t="b">
        <f t="shared" si="42"/>
        <v>0</v>
      </c>
      <c r="D948" s="116" t="str">
        <f t="shared" si="43"/>
        <v>6교시</v>
      </c>
      <c r="E948" s="68">
        <f>COUNTIF($H$7:$H948,$H948)</f>
        <v>382</v>
      </c>
      <c r="F948" s="67">
        <f>'1.연간시수표'!$AL$33</f>
        <v>5</v>
      </c>
      <c r="G948" s="115">
        <f t="shared" si="44"/>
        <v>2</v>
      </c>
      <c r="H948" s="41" t="str">
        <f>INDEX('0.시간표데이터'!$E$52:$AR$78,QUOTIENT(ROW(A942)-1,40)+1,MOD(ROW(A942)-1,40)+1)</f>
        <v>_</v>
      </c>
      <c r="I948" s="77"/>
      <c r="J948" s="26"/>
      <c r="K948" s="180"/>
      <c r="L948" s="180"/>
      <c r="M948" s="10"/>
      <c r="N948" s="10"/>
      <c r="O948" s="10"/>
      <c r="P948" s="10"/>
      <c r="Q948" s="164"/>
      <c r="R948" s="110"/>
    </row>
    <row r="949" spans="1:18">
      <c r="A949" s="90">
        <v>943</v>
      </c>
      <c r="B949" s="24">
        <f>DATE('1.연간시수표'!$U$44,'1.연간시수표'!$X$44,'1.연간시수표'!$Z$44)+QUOTIENT(ROW(A943)-1,8)+(QUOTIENT(ROW(A943)-1,40)*2)</f>
        <v>44962</v>
      </c>
      <c r="C949" s="24" t="b">
        <f t="shared" si="42"/>
        <v>0</v>
      </c>
      <c r="D949" s="116" t="str">
        <f t="shared" si="43"/>
        <v>7교시</v>
      </c>
      <c r="E949" s="68">
        <f>COUNTIF($H$7:$H949,$H949)</f>
        <v>383</v>
      </c>
      <c r="F949" s="67">
        <f>'1.연간시수표'!$AL$33</f>
        <v>5</v>
      </c>
      <c r="G949" s="115">
        <f t="shared" si="44"/>
        <v>2</v>
      </c>
      <c r="H949" s="41" t="str">
        <f>INDEX('0.시간표데이터'!$E$52:$AR$78,QUOTIENT(ROW(A943)-1,40)+1,MOD(ROW(A943)-1,40)+1)</f>
        <v>_</v>
      </c>
      <c r="I949" s="76"/>
      <c r="J949" s="26"/>
      <c r="K949" s="180"/>
      <c r="L949" s="180"/>
      <c r="M949" s="10"/>
      <c r="N949" s="10"/>
      <c r="O949" s="10"/>
      <c r="P949" s="10"/>
      <c r="Q949" s="164"/>
      <c r="R949" s="110"/>
    </row>
    <row r="950" spans="1:18">
      <c r="A950" s="90">
        <v>944</v>
      </c>
      <c r="B950" s="24">
        <f>DATE('1.연간시수표'!$U$44,'1.연간시수표'!$X$44,'1.연간시수표'!$Z$44)+QUOTIENT(ROW(A944)-1,8)+(QUOTIENT(ROW(A944)-1,40)*2)</f>
        <v>44962</v>
      </c>
      <c r="C950" s="24" t="b">
        <f t="shared" si="42"/>
        <v>0</v>
      </c>
      <c r="D950" s="116" t="str">
        <f t="shared" si="43"/>
        <v>8교시</v>
      </c>
      <c r="E950" s="68">
        <f>COUNTIF($H$7:$H950,$H950)</f>
        <v>384</v>
      </c>
      <c r="F950" s="67">
        <f>'1.연간시수표'!$AL$33</f>
        <v>5</v>
      </c>
      <c r="G950" s="115">
        <f t="shared" si="44"/>
        <v>2</v>
      </c>
      <c r="H950" s="41" t="str">
        <f>INDEX('0.시간표데이터'!$E$52:$AR$78,QUOTIENT(ROW(A944)-1,40)+1,MOD(ROW(A944)-1,40)+1)</f>
        <v>_</v>
      </c>
      <c r="I950" s="76"/>
      <c r="J950" s="26"/>
      <c r="K950" s="180"/>
      <c r="L950" s="180"/>
      <c r="M950" s="10"/>
      <c r="N950" s="10"/>
      <c r="O950" s="10"/>
      <c r="P950" s="10"/>
      <c r="Q950" s="164"/>
      <c r="R950" s="110"/>
    </row>
    <row r="951" spans="1:18">
      <c r="A951" s="90">
        <v>945</v>
      </c>
      <c r="B951" s="24">
        <f>DATE('1.연간시수표'!$U$44,'1.연간시수표'!$X$44,'1.연간시수표'!$Z$44)+QUOTIENT(ROW(A945)-1,8)+(QUOTIENT(ROW(A945)-1,40)*2)</f>
        <v>44963</v>
      </c>
      <c r="C951" s="24" t="str">
        <f t="shared" si="42"/>
        <v>월</v>
      </c>
      <c r="D951" s="116" t="str">
        <f t="shared" si="43"/>
        <v>1교시</v>
      </c>
      <c r="E951" s="68">
        <f>COUNTIF($H$7:$H951,$H951)</f>
        <v>385</v>
      </c>
      <c r="F951" s="67">
        <f>'1.연간시수표'!$AL$33</f>
        <v>5</v>
      </c>
      <c r="G951" s="115">
        <f t="shared" si="44"/>
        <v>2</v>
      </c>
      <c r="H951" s="41" t="str">
        <f>INDEX('0.시간표데이터'!$E$52:$AR$78,QUOTIENT(ROW(A945)-1,40)+1,MOD(ROW(A945)-1,40)+1)</f>
        <v>_</v>
      </c>
      <c r="I951" s="77"/>
      <c r="J951" s="26"/>
      <c r="K951" s="180"/>
      <c r="L951" s="180"/>
      <c r="M951" s="10"/>
      <c r="N951" s="10"/>
      <c r="O951" s="10"/>
      <c r="P951" s="10"/>
      <c r="Q951" s="164"/>
      <c r="R951" s="110"/>
    </row>
    <row r="952" spans="1:18">
      <c r="A952" s="90">
        <v>946</v>
      </c>
      <c r="B952" s="24">
        <f>DATE('1.연간시수표'!$U$44,'1.연간시수표'!$X$44,'1.연간시수표'!$Z$44)+QUOTIENT(ROW(A946)-1,8)+(QUOTIENT(ROW(A946)-1,40)*2)</f>
        <v>44963</v>
      </c>
      <c r="C952" s="24" t="str">
        <f t="shared" si="42"/>
        <v>월</v>
      </c>
      <c r="D952" s="116" t="str">
        <f t="shared" si="43"/>
        <v>2교시</v>
      </c>
      <c r="E952" s="68">
        <f>COUNTIF($H$7:$H952,$H952)</f>
        <v>386</v>
      </c>
      <c r="F952" s="67">
        <f>'1.연간시수표'!$AL$33</f>
        <v>5</v>
      </c>
      <c r="G952" s="115">
        <f t="shared" si="44"/>
        <v>2</v>
      </c>
      <c r="H952" s="41" t="str">
        <f>INDEX('0.시간표데이터'!$E$52:$AR$78,QUOTIENT(ROW(A946)-1,40)+1,MOD(ROW(A946)-1,40)+1)</f>
        <v>_</v>
      </c>
      <c r="I952" s="161"/>
      <c r="J952" s="26"/>
      <c r="K952" s="180"/>
      <c r="L952" s="180"/>
      <c r="M952" s="10"/>
      <c r="N952" s="10"/>
      <c r="O952" s="10"/>
      <c r="P952" s="10"/>
      <c r="Q952" s="164"/>
      <c r="R952" s="110"/>
    </row>
    <row r="953" spans="1:18">
      <c r="A953" s="90">
        <v>947</v>
      </c>
      <c r="B953" s="24">
        <f>DATE('1.연간시수표'!$U$44,'1.연간시수표'!$X$44,'1.연간시수표'!$Z$44)+QUOTIENT(ROW(A947)-1,8)+(QUOTIENT(ROW(A947)-1,40)*2)</f>
        <v>44963</v>
      </c>
      <c r="C953" s="24" t="str">
        <f t="shared" si="42"/>
        <v>월</v>
      </c>
      <c r="D953" s="116" t="str">
        <f t="shared" si="43"/>
        <v>3교시</v>
      </c>
      <c r="E953" s="68">
        <f>COUNTIF($H$7:$H953,$H953)</f>
        <v>387</v>
      </c>
      <c r="F953" s="67">
        <f>'1.연간시수표'!$AL$33</f>
        <v>5</v>
      </c>
      <c r="G953" s="115">
        <f t="shared" si="44"/>
        <v>2</v>
      </c>
      <c r="H953" s="41" t="str">
        <f>INDEX('0.시간표데이터'!$E$52:$AR$78,QUOTIENT(ROW(A947)-1,40)+1,MOD(ROW(A947)-1,40)+1)</f>
        <v>_</v>
      </c>
      <c r="I953" s="77"/>
      <c r="J953" s="26"/>
      <c r="K953" s="173"/>
      <c r="L953" s="173"/>
      <c r="M953" s="173"/>
      <c r="N953" s="173"/>
      <c r="O953" s="10"/>
      <c r="P953" s="10"/>
      <c r="Q953" s="173"/>
      <c r="R953" s="110"/>
    </row>
    <row r="954" spans="1:18">
      <c r="A954" s="90">
        <v>948</v>
      </c>
      <c r="B954" s="24">
        <f>DATE('1.연간시수표'!$U$44,'1.연간시수표'!$X$44,'1.연간시수표'!$Z$44)+QUOTIENT(ROW(A948)-1,8)+(QUOTIENT(ROW(A948)-1,40)*2)</f>
        <v>44963</v>
      </c>
      <c r="C954" s="24" t="str">
        <f t="shared" si="42"/>
        <v>월</v>
      </c>
      <c r="D954" s="116" t="str">
        <f t="shared" si="43"/>
        <v>4교시</v>
      </c>
      <c r="E954" s="68">
        <f>COUNTIF($H$7:$H954,$H954)</f>
        <v>388</v>
      </c>
      <c r="F954" s="67">
        <f>'1.연간시수표'!$AL$33</f>
        <v>5</v>
      </c>
      <c r="G954" s="115">
        <f t="shared" si="44"/>
        <v>2</v>
      </c>
      <c r="H954" s="41" t="str">
        <f>INDEX('0.시간표데이터'!$E$52:$AR$78,QUOTIENT(ROW(A948)-1,40)+1,MOD(ROW(A948)-1,40)+1)</f>
        <v>_</v>
      </c>
      <c r="I954" s="77"/>
      <c r="J954" s="26"/>
      <c r="K954" s="180"/>
      <c r="L954" s="180"/>
      <c r="M954" s="10"/>
      <c r="N954" s="10"/>
      <c r="O954" s="10"/>
      <c r="P954" s="10"/>
      <c r="Q954" s="164"/>
      <c r="R954" s="110"/>
    </row>
    <row r="955" spans="1:18">
      <c r="A955" s="90">
        <v>949</v>
      </c>
      <c r="B955" s="24">
        <f>DATE('1.연간시수표'!$U$44,'1.연간시수표'!$X$44,'1.연간시수표'!$Z$44)+QUOTIENT(ROW(A949)-1,8)+(QUOTIENT(ROW(A949)-1,40)*2)</f>
        <v>44963</v>
      </c>
      <c r="C955" s="24" t="str">
        <f t="shared" si="42"/>
        <v>월</v>
      </c>
      <c r="D955" s="116" t="str">
        <f t="shared" si="43"/>
        <v>5교시</v>
      </c>
      <c r="E955" s="68">
        <f>COUNTIF($H$7:$H955,$H955)</f>
        <v>389</v>
      </c>
      <c r="F955" s="67">
        <f>'1.연간시수표'!$AL$33</f>
        <v>5</v>
      </c>
      <c r="G955" s="115">
        <f t="shared" si="44"/>
        <v>2</v>
      </c>
      <c r="H955" s="41" t="str">
        <f>INDEX('0.시간표데이터'!$E$52:$AR$78,QUOTIENT(ROW(A949)-1,40)+1,MOD(ROW(A949)-1,40)+1)</f>
        <v>_</v>
      </c>
      <c r="I955" s="77"/>
      <c r="J955" s="26"/>
      <c r="K955" s="180"/>
      <c r="L955" s="180"/>
      <c r="M955" s="10"/>
      <c r="N955" s="10"/>
      <c r="O955" s="10"/>
      <c r="P955" s="10"/>
      <c r="Q955" s="164"/>
      <c r="R955" s="110"/>
    </row>
    <row r="956" spans="1:18">
      <c r="A956" s="90">
        <v>950</v>
      </c>
      <c r="B956" s="24">
        <f>DATE('1.연간시수표'!$U$44,'1.연간시수표'!$X$44,'1.연간시수표'!$Z$44)+QUOTIENT(ROW(A950)-1,8)+(QUOTIENT(ROW(A950)-1,40)*2)</f>
        <v>44963</v>
      </c>
      <c r="C956" s="24" t="str">
        <f t="shared" si="42"/>
        <v>월</v>
      </c>
      <c r="D956" s="116" t="str">
        <f t="shared" si="43"/>
        <v>6교시</v>
      </c>
      <c r="E956" s="68">
        <f>COUNTIF($H$7:$H956,$H956)</f>
        <v>390</v>
      </c>
      <c r="F956" s="67">
        <f>'1.연간시수표'!$AL$33</f>
        <v>5</v>
      </c>
      <c r="G956" s="115">
        <f t="shared" si="44"/>
        <v>2</v>
      </c>
      <c r="H956" s="41" t="str">
        <f>INDEX('0.시간표데이터'!$E$52:$AR$78,QUOTIENT(ROW(A950)-1,40)+1,MOD(ROW(A950)-1,40)+1)</f>
        <v>_</v>
      </c>
      <c r="I956" s="161"/>
      <c r="J956" s="26"/>
      <c r="K956" s="180"/>
      <c r="L956" s="180"/>
      <c r="M956" s="10"/>
      <c r="N956" s="10"/>
      <c r="O956" s="10"/>
      <c r="P956" s="10"/>
      <c r="Q956" s="164"/>
      <c r="R956" s="110"/>
    </row>
    <row r="957" spans="1:18">
      <c r="A957" s="90">
        <v>951</v>
      </c>
      <c r="B957" s="24">
        <f>DATE('1.연간시수표'!$U$44,'1.연간시수표'!$X$44,'1.연간시수표'!$Z$44)+QUOTIENT(ROW(A951)-1,8)+(QUOTIENT(ROW(A951)-1,40)*2)</f>
        <v>44963</v>
      </c>
      <c r="C957" s="24" t="str">
        <f t="shared" si="42"/>
        <v>월</v>
      </c>
      <c r="D957" s="116" t="str">
        <f t="shared" si="43"/>
        <v>7교시</v>
      </c>
      <c r="E957" s="68">
        <f>COUNTIF($H$7:$H957,$H957)</f>
        <v>391</v>
      </c>
      <c r="F957" s="67">
        <f>'1.연간시수표'!$AL$33</f>
        <v>5</v>
      </c>
      <c r="G957" s="115">
        <f t="shared" si="44"/>
        <v>2</v>
      </c>
      <c r="H957" s="41" t="str">
        <f>INDEX('0.시간표데이터'!$E$52:$AR$78,QUOTIENT(ROW(A951)-1,40)+1,MOD(ROW(A951)-1,40)+1)</f>
        <v>_</v>
      </c>
      <c r="I957" s="76"/>
      <c r="J957" s="26"/>
      <c r="K957" s="180"/>
      <c r="L957" s="180"/>
      <c r="M957" s="10"/>
      <c r="N957" s="10"/>
      <c r="O957" s="10"/>
      <c r="P957" s="10"/>
      <c r="Q957" s="164"/>
      <c r="R957" s="110"/>
    </row>
    <row r="958" spans="1:18">
      <c r="A958" s="90">
        <v>952</v>
      </c>
      <c r="B958" s="24">
        <f>DATE('1.연간시수표'!$U$44,'1.연간시수표'!$X$44,'1.연간시수표'!$Z$44)+QUOTIENT(ROW(A952)-1,8)+(QUOTIENT(ROW(A952)-1,40)*2)</f>
        <v>44963</v>
      </c>
      <c r="C958" s="24" t="str">
        <f t="shared" si="42"/>
        <v>월</v>
      </c>
      <c r="D958" s="116" t="str">
        <f t="shared" si="43"/>
        <v>8교시</v>
      </c>
      <c r="E958" s="68">
        <f>COUNTIF($H$7:$H958,$H958)</f>
        <v>392</v>
      </c>
      <c r="F958" s="67">
        <f>'1.연간시수표'!$AL$33</f>
        <v>5</v>
      </c>
      <c r="G958" s="115">
        <f t="shared" si="44"/>
        <v>2</v>
      </c>
      <c r="H958" s="41" t="str">
        <f>INDEX('0.시간표데이터'!$E$52:$AR$78,QUOTIENT(ROW(A952)-1,40)+1,MOD(ROW(A952)-1,40)+1)</f>
        <v>_</v>
      </c>
      <c r="I958" s="76"/>
      <c r="J958" s="26"/>
      <c r="K958" s="180"/>
      <c r="L958" s="180"/>
      <c r="M958" s="10"/>
      <c r="N958" s="10"/>
      <c r="O958" s="10"/>
      <c r="P958" s="10"/>
      <c r="Q958" s="164"/>
      <c r="R958" s="110"/>
    </row>
    <row r="959" spans="1:18">
      <c r="A959" s="90">
        <v>953</v>
      </c>
      <c r="B959" s="24">
        <f>DATE('1.연간시수표'!$U$44,'1.연간시수표'!$X$44,'1.연간시수표'!$Z$44)+QUOTIENT(ROW(A953)-1,8)+(QUOTIENT(ROW(A953)-1,40)*2)</f>
        <v>44964</v>
      </c>
      <c r="C959" s="24" t="str">
        <f t="shared" si="42"/>
        <v>화</v>
      </c>
      <c r="D959" s="116" t="str">
        <f t="shared" si="43"/>
        <v>1교시</v>
      </c>
      <c r="E959" s="68">
        <f>COUNTIF($H$7:$H959,$H959)</f>
        <v>393</v>
      </c>
      <c r="F959" s="67">
        <f>'1.연간시수표'!$AL$33</f>
        <v>5</v>
      </c>
      <c r="G959" s="115">
        <f t="shared" si="44"/>
        <v>2</v>
      </c>
      <c r="H959" s="41" t="str">
        <f>INDEX('0.시간표데이터'!$E$52:$AR$78,QUOTIENT(ROW(A953)-1,40)+1,MOD(ROW(A953)-1,40)+1)</f>
        <v>_</v>
      </c>
      <c r="I959" s="77"/>
      <c r="J959" s="26"/>
      <c r="K959" s="180"/>
      <c r="L959" s="180"/>
      <c r="M959" s="10"/>
      <c r="N959" s="10"/>
      <c r="O959" s="10"/>
      <c r="P959" s="10"/>
      <c r="Q959" s="164"/>
      <c r="R959" s="110"/>
    </row>
    <row r="960" spans="1:18">
      <c r="A960" s="90">
        <v>954</v>
      </c>
      <c r="B960" s="24">
        <f>DATE('1.연간시수표'!$U$44,'1.연간시수표'!$X$44,'1.연간시수표'!$Z$44)+QUOTIENT(ROW(A954)-1,8)+(QUOTIENT(ROW(A954)-1,40)*2)</f>
        <v>44964</v>
      </c>
      <c r="C960" s="24" t="str">
        <f t="shared" si="42"/>
        <v>화</v>
      </c>
      <c r="D960" s="116" t="str">
        <f t="shared" si="43"/>
        <v>2교시</v>
      </c>
      <c r="E960" s="68">
        <f>COUNTIF($H$7:$H960,$H960)</f>
        <v>394</v>
      </c>
      <c r="F960" s="67">
        <f>'1.연간시수표'!$AL$33</f>
        <v>5</v>
      </c>
      <c r="G960" s="115">
        <f t="shared" si="44"/>
        <v>2</v>
      </c>
      <c r="H960" s="41" t="str">
        <f>INDEX('0.시간표데이터'!$E$52:$AR$78,QUOTIENT(ROW(A954)-1,40)+1,MOD(ROW(A954)-1,40)+1)</f>
        <v>_</v>
      </c>
      <c r="I960" s="77"/>
      <c r="J960" s="26"/>
      <c r="K960" s="180"/>
      <c r="L960" s="180"/>
      <c r="M960" s="10"/>
      <c r="N960" s="10"/>
      <c r="O960" s="10"/>
      <c r="P960" s="10"/>
      <c r="Q960" s="164"/>
      <c r="R960" s="110"/>
    </row>
    <row r="961" spans="1:18">
      <c r="A961" s="90">
        <v>955</v>
      </c>
      <c r="B961" s="24">
        <f>DATE('1.연간시수표'!$U$44,'1.연간시수표'!$X$44,'1.연간시수표'!$Z$44)+QUOTIENT(ROW(A955)-1,8)+(QUOTIENT(ROW(A955)-1,40)*2)</f>
        <v>44964</v>
      </c>
      <c r="C961" s="24" t="str">
        <f t="shared" si="42"/>
        <v>화</v>
      </c>
      <c r="D961" s="116" t="str">
        <f t="shared" si="43"/>
        <v>3교시</v>
      </c>
      <c r="E961" s="68">
        <f>COUNTIF($H$7:$H961,$H961)</f>
        <v>395</v>
      </c>
      <c r="F961" s="67">
        <f>'1.연간시수표'!$AL$33</f>
        <v>5</v>
      </c>
      <c r="G961" s="115">
        <f t="shared" si="44"/>
        <v>2</v>
      </c>
      <c r="H961" s="41" t="str">
        <f>INDEX('0.시간표데이터'!$E$52:$AR$78,QUOTIENT(ROW(A955)-1,40)+1,MOD(ROW(A955)-1,40)+1)</f>
        <v>_</v>
      </c>
      <c r="I961" s="77"/>
      <c r="J961" s="26"/>
      <c r="K961" s="180"/>
      <c r="L961" s="180"/>
      <c r="M961" s="10"/>
      <c r="N961" s="10"/>
      <c r="O961" s="10"/>
      <c r="P961" s="10"/>
      <c r="Q961" s="164"/>
      <c r="R961" s="110"/>
    </row>
    <row r="962" spans="1:18">
      <c r="A962" s="90">
        <v>956</v>
      </c>
      <c r="B962" s="24">
        <f>DATE('1.연간시수표'!$U$44,'1.연간시수표'!$X$44,'1.연간시수표'!$Z$44)+QUOTIENT(ROW(A956)-1,8)+(QUOTIENT(ROW(A956)-1,40)*2)</f>
        <v>44964</v>
      </c>
      <c r="C962" s="24" t="str">
        <f t="shared" si="42"/>
        <v>화</v>
      </c>
      <c r="D962" s="116" t="str">
        <f t="shared" si="43"/>
        <v>4교시</v>
      </c>
      <c r="E962" s="68">
        <f>COUNTIF($H$7:$H962,$H962)</f>
        <v>396</v>
      </c>
      <c r="F962" s="67">
        <f>'1.연간시수표'!$AL$33</f>
        <v>5</v>
      </c>
      <c r="G962" s="115">
        <f t="shared" si="44"/>
        <v>2</v>
      </c>
      <c r="H962" s="41" t="str">
        <f>INDEX('0.시간표데이터'!$E$52:$AR$78,QUOTIENT(ROW(A956)-1,40)+1,MOD(ROW(A956)-1,40)+1)</f>
        <v>_</v>
      </c>
      <c r="I962" s="77"/>
      <c r="J962" s="26"/>
      <c r="K962" s="174"/>
      <c r="L962" s="174"/>
      <c r="M962" s="175"/>
      <c r="N962" s="97"/>
      <c r="O962" s="175"/>
      <c r="P962" s="175"/>
      <c r="Q962" s="164"/>
      <c r="R962" s="110"/>
    </row>
    <row r="963" spans="1:18">
      <c r="A963" s="90">
        <v>957</v>
      </c>
      <c r="B963" s="24">
        <f>DATE('1.연간시수표'!$U$44,'1.연간시수표'!$X$44,'1.연간시수표'!$Z$44)+QUOTIENT(ROW(A957)-1,8)+(QUOTIENT(ROW(A957)-1,40)*2)</f>
        <v>44964</v>
      </c>
      <c r="C963" s="24" t="str">
        <f t="shared" si="42"/>
        <v>화</v>
      </c>
      <c r="D963" s="116" t="str">
        <f t="shared" si="43"/>
        <v>5교시</v>
      </c>
      <c r="E963" s="68">
        <f>COUNTIF($H$7:$H963,$H963)</f>
        <v>397</v>
      </c>
      <c r="F963" s="67">
        <f>'1.연간시수표'!$AL$33</f>
        <v>5</v>
      </c>
      <c r="G963" s="115">
        <f t="shared" si="44"/>
        <v>2</v>
      </c>
      <c r="H963" s="41" t="str">
        <f>INDEX('0.시간표데이터'!$E$52:$AR$78,QUOTIENT(ROW(A957)-1,40)+1,MOD(ROW(A957)-1,40)+1)</f>
        <v>_</v>
      </c>
      <c r="I963" s="77"/>
      <c r="J963" s="26"/>
      <c r="K963" s="180"/>
      <c r="L963" s="180"/>
      <c r="M963" s="10"/>
      <c r="N963" s="10"/>
      <c r="O963" s="10"/>
      <c r="P963" s="10"/>
      <c r="Q963" s="164"/>
      <c r="R963" s="110"/>
    </row>
    <row r="964" spans="1:18">
      <c r="A964" s="90">
        <v>958</v>
      </c>
      <c r="B964" s="24">
        <f>DATE('1.연간시수표'!$U$44,'1.연간시수표'!$X$44,'1.연간시수표'!$Z$44)+QUOTIENT(ROW(A958)-1,8)+(QUOTIENT(ROW(A958)-1,40)*2)</f>
        <v>44964</v>
      </c>
      <c r="C964" s="24" t="str">
        <f t="shared" si="42"/>
        <v>화</v>
      </c>
      <c r="D964" s="116" t="str">
        <f t="shared" si="43"/>
        <v>6교시</v>
      </c>
      <c r="E964" s="68">
        <f>COUNTIF($H$7:$H964,$H964)</f>
        <v>398</v>
      </c>
      <c r="F964" s="67">
        <f>'1.연간시수표'!$AL$33</f>
        <v>5</v>
      </c>
      <c r="G964" s="115">
        <f t="shared" si="44"/>
        <v>2</v>
      </c>
      <c r="H964" s="41" t="str">
        <f>INDEX('0.시간표데이터'!$E$52:$AR$78,QUOTIENT(ROW(A958)-1,40)+1,MOD(ROW(A958)-1,40)+1)</f>
        <v>_</v>
      </c>
      <c r="I964" s="77"/>
      <c r="J964" s="26"/>
      <c r="K964" s="180"/>
      <c r="L964" s="180"/>
      <c r="M964" s="10"/>
      <c r="N964" s="10"/>
      <c r="O964" s="10"/>
      <c r="P964" s="10"/>
      <c r="Q964" s="164"/>
      <c r="R964" s="110"/>
    </row>
    <row r="965" spans="1:18">
      <c r="A965" s="90">
        <v>959</v>
      </c>
      <c r="B965" s="24">
        <f>DATE('1.연간시수표'!$U$44,'1.연간시수표'!$X$44,'1.연간시수표'!$Z$44)+QUOTIENT(ROW(A959)-1,8)+(QUOTIENT(ROW(A959)-1,40)*2)</f>
        <v>44964</v>
      </c>
      <c r="C965" s="24" t="str">
        <f t="shared" si="42"/>
        <v>화</v>
      </c>
      <c r="D965" s="116" t="str">
        <f t="shared" si="43"/>
        <v>7교시</v>
      </c>
      <c r="E965" s="68">
        <f>COUNTIF($H$7:$H965,$H965)</f>
        <v>399</v>
      </c>
      <c r="F965" s="67">
        <f>'1.연간시수표'!$AL$33</f>
        <v>5</v>
      </c>
      <c r="G965" s="115">
        <f t="shared" si="44"/>
        <v>2</v>
      </c>
      <c r="H965" s="41" t="str">
        <f>INDEX('0.시간표데이터'!$E$52:$AR$78,QUOTIENT(ROW(A959)-1,40)+1,MOD(ROW(A959)-1,40)+1)</f>
        <v>_</v>
      </c>
      <c r="I965" s="76"/>
      <c r="J965" s="26"/>
      <c r="K965" s="180"/>
      <c r="L965" s="180"/>
      <c r="M965" s="10"/>
      <c r="N965" s="10"/>
      <c r="O965" s="10"/>
      <c r="P965" s="10"/>
      <c r="Q965" s="164"/>
      <c r="R965" s="110"/>
    </row>
    <row r="966" spans="1:18">
      <c r="A966" s="90">
        <v>960</v>
      </c>
      <c r="B966" s="24">
        <f>DATE('1.연간시수표'!$U$44,'1.연간시수표'!$X$44,'1.연간시수표'!$Z$44)+QUOTIENT(ROW(A960)-1,8)+(QUOTIENT(ROW(A960)-1,40)*2)</f>
        <v>44964</v>
      </c>
      <c r="C966" s="24" t="str">
        <f t="shared" si="42"/>
        <v>화</v>
      </c>
      <c r="D966" s="116" t="str">
        <f t="shared" si="43"/>
        <v>8교시</v>
      </c>
      <c r="E966" s="68">
        <f>COUNTIF($H$7:$H966,$H966)</f>
        <v>400</v>
      </c>
      <c r="F966" s="67">
        <f>'1.연간시수표'!$AL$33</f>
        <v>5</v>
      </c>
      <c r="G966" s="115">
        <f t="shared" si="44"/>
        <v>2</v>
      </c>
      <c r="H966" s="41" t="str">
        <f>INDEX('0.시간표데이터'!$E$52:$AR$78,QUOTIENT(ROW(A960)-1,40)+1,MOD(ROW(A960)-1,40)+1)</f>
        <v>_</v>
      </c>
      <c r="I966" s="76"/>
      <c r="J966" s="26"/>
      <c r="K966" s="180"/>
      <c r="L966" s="180"/>
      <c r="M966" s="10"/>
      <c r="N966" s="10"/>
      <c r="O966" s="10"/>
      <c r="P966" s="10"/>
      <c r="Q966" s="164"/>
      <c r="R966" s="110"/>
    </row>
    <row r="967" spans="1:18">
      <c r="A967" s="90">
        <v>961</v>
      </c>
      <c r="B967" s="24">
        <f>DATE('1.연간시수표'!$U$44,'1.연간시수표'!$X$44,'1.연간시수표'!$Z$44)+QUOTIENT(ROW(A961)-1,8)+(QUOTIENT(ROW(A961)-1,40)*2)</f>
        <v>44967</v>
      </c>
      <c r="C967" s="24" t="str">
        <f t="shared" ref="C967:C1030" si="45">IF(WEEKDAY(B967,2)=1,"월",IF(WEEKDAY(B967,2)=2,"화",IF(WEEKDAY(B967,2)=3,"수",IF(WEEKDAY(B967,2)=4,"목",IF(WEEKDAY(B967,2)=5,"금")))))</f>
        <v>금</v>
      </c>
      <c r="D967" s="116" t="str">
        <f t="shared" ref="D967:D1030" si="46">TEXT(MOD(ROW(A961)-1,8)+1,"#교시")</f>
        <v>1교시</v>
      </c>
      <c r="E967" s="68">
        <f>COUNTIF($H$7:$H967,$H967)</f>
        <v>401</v>
      </c>
      <c r="F967" s="67">
        <f>'1.연간시수표'!$AL$33</f>
        <v>5</v>
      </c>
      <c r="G967" s="115">
        <f t="shared" ref="G967:G1030" si="47">$A$2</f>
        <v>2</v>
      </c>
      <c r="H967" s="41" t="str">
        <f>INDEX('0.시간표데이터'!$E$52:$AR$78,QUOTIENT(ROW(A961)-1,40)+1,MOD(ROW(A961)-1,40)+1)</f>
        <v>_</v>
      </c>
      <c r="I967" s="77"/>
      <c r="J967" s="26"/>
      <c r="K967" s="181"/>
      <c r="L967" s="181"/>
      <c r="M967" s="182"/>
      <c r="N967" s="182"/>
      <c r="O967" s="10"/>
      <c r="P967" s="10"/>
      <c r="Q967" s="164"/>
      <c r="R967" s="110"/>
    </row>
    <row r="968" spans="1:18">
      <c r="A968" s="90">
        <v>962</v>
      </c>
      <c r="B968" s="24">
        <f>DATE('1.연간시수표'!$U$44,'1.연간시수표'!$X$44,'1.연간시수표'!$Z$44)+QUOTIENT(ROW(A962)-1,8)+(QUOTIENT(ROW(A962)-1,40)*2)</f>
        <v>44967</v>
      </c>
      <c r="C968" s="24" t="str">
        <f t="shared" si="45"/>
        <v>금</v>
      </c>
      <c r="D968" s="116" t="str">
        <f t="shared" si="46"/>
        <v>2교시</v>
      </c>
      <c r="E968" s="68">
        <f>COUNTIF($H$7:$H968,$H968)</f>
        <v>402</v>
      </c>
      <c r="F968" s="67">
        <f>'1.연간시수표'!$AL$33</f>
        <v>5</v>
      </c>
      <c r="G968" s="115">
        <f t="shared" si="47"/>
        <v>2</v>
      </c>
      <c r="H968" s="41" t="str">
        <f>INDEX('0.시간표데이터'!$E$52:$AR$78,QUOTIENT(ROW(A962)-1,40)+1,MOD(ROW(A962)-1,40)+1)</f>
        <v>_</v>
      </c>
      <c r="I968" s="161"/>
      <c r="J968" s="26"/>
      <c r="K968" s="173"/>
      <c r="L968" s="173"/>
      <c r="M968" s="173"/>
      <c r="N968" s="173"/>
      <c r="O968" s="10"/>
      <c r="P968" s="10"/>
      <c r="Q968" s="173"/>
      <c r="R968" s="110"/>
    </row>
    <row r="969" spans="1:18">
      <c r="A969" s="90">
        <v>963</v>
      </c>
      <c r="B969" s="24">
        <f>DATE('1.연간시수표'!$U$44,'1.연간시수표'!$X$44,'1.연간시수표'!$Z$44)+QUOTIENT(ROW(A963)-1,8)+(QUOTIENT(ROW(A963)-1,40)*2)</f>
        <v>44967</v>
      </c>
      <c r="C969" s="24" t="str">
        <f t="shared" si="45"/>
        <v>금</v>
      </c>
      <c r="D969" s="116" t="str">
        <f t="shared" si="46"/>
        <v>3교시</v>
      </c>
      <c r="E969" s="68">
        <f>COUNTIF($H$7:$H969,$H969)</f>
        <v>403</v>
      </c>
      <c r="F969" s="67">
        <f>'1.연간시수표'!$AL$33</f>
        <v>5</v>
      </c>
      <c r="G969" s="115">
        <f t="shared" si="47"/>
        <v>2</v>
      </c>
      <c r="H969" s="41" t="str">
        <f>INDEX('0.시간표데이터'!$E$52:$AR$78,QUOTIENT(ROW(A963)-1,40)+1,MOD(ROW(A963)-1,40)+1)</f>
        <v>_</v>
      </c>
      <c r="I969" s="77"/>
      <c r="J969" s="26"/>
      <c r="K969" s="174"/>
      <c r="L969" s="174"/>
      <c r="M969" s="175"/>
      <c r="N969" s="97"/>
      <c r="O969" s="175"/>
      <c r="P969" s="175"/>
      <c r="Q969" s="164"/>
      <c r="R969" s="110"/>
    </row>
    <row r="970" spans="1:18">
      <c r="A970" s="90">
        <v>964</v>
      </c>
      <c r="B970" s="24">
        <f>DATE('1.연간시수표'!$U$44,'1.연간시수표'!$X$44,'1.연간시수표'!$Z$44)+QUOTIENT(ROW(A964)-1,8)+(QUOTIENT(ROW(A964)-1,40)*2)</f>
        <v>44967</v>
      </c>
      <c r="C970" s="24" t="str">
        <f t="shared" si="45"/>
        <v>금</v>
      </c>
      <c r="D970" s="116" t="str">
        <f t="shared" si="46"/>
        <v>4교시</v>
      </c>
      <c r="E970" s="68">
        <f>COUNTIF($H$7:$H970,$H970)</f>
        <v>404</v>
      </c>
      <c r="F970" s="67">
        <f>'1.연간시수표'!$AL$33</f>
        <v>5</v>
      </c>
      <c r="G970" s="115">
        <f t="shared" si="47"/>
        <v>2</v>
      </c>
      <c r="H970" s="41" t="str">
        <f>INDEX('0.시간표데이터'!$E$52:$AR$78,QUOTIENT(ROW(A964)-1,40)+1,MOD(ROW(A964)-1,40)+1)</f>
        <v>_</v>
      </c>
      <c r="I970" s="77"/>
      <c r="J970" s="26"/>
      <c r="K970" s="174"/>
      <c r="L970" s="174"/>
      <c r="M970" s="175"/>
      <c r="N970" s="97"/>
      <c r="O970" s="175"/>
      <c r="P970" s="175"/>
      <c r="Q970" s="164"/>
      <c r="R970" s="110"/>
    </row>
    <row r="971" spans="1:18">
      <c r="A971" s="90">
        <v>965</v>
      </c>
      <c r="B971" s="24">
        <f>DATE('1.연간시수표'!$U$44,'1.연간시수표'!$X$44,'1.연간시수표'!$Z$44)+QUOTIENT(ROW(A965)-1,8)+(QUOTIENT(ROW(A965)-1,40)*2)</f>
        <v>44967</v>
      </c>
      <c r="C971" s="24" t="str">
        <f t="shared" si="45"/>
        <v>금</v>
      </c>
      <c r="D971" s="116" t="str">
        <f t="shared" si="46"/>
        <v>5교시</v>
      </c>
      <c r="E971" s="68">
        <f>COUNTIF($H$7:$H971,$H971)</f>
        <v>405</v>
      </c>
      <c r="F971" s="67">
        <f>'1.연간시수표'!$AL$33</f>
        <v>5</v>
      </c>
      <c r="G971" s="115">
        <f t="shared" si="47"/>
        <v>2</v>
      </c>
      <c r="H971" s="41" t="str">
        <f>INDEX('0.시간표데이터'!$E$52:$AR$78,QUOTIENT(ROW(A965)-1,40)+1,MOD(ROW(A965)-1,40)+1)</f>
        <v>_</v>
      </c>
      <c r="I971" s="77"/>
      <c r="J971" s="26"/>
      <c r="K971" s="180"/>
      <c r="L971" s="180"/>
      <c r="M971" s="10"/>
      <c r="N971" s="10"/>
      <c r="O971" s="10"/>
      <c r="P971" s="10"/>
      <c r="Q971" s="164"/>
      <c r="R971" s="110"/>
    </row>
    <row r="972" spans="1:18">
      <c r="A972" s="90">
        <v>966</v>
      </c>
      <c r="B972" s="24">
        <f>DATE('1.연간시수표'!$U$44,'1.연간시수표'!$X$44,'1.연간시수표'!$Z$44)+QUOTIENT(ROW(A966)-1,8)+(QUOTIENT(ROW(A966)-1,40)*2)</f>
        <v>44967</v>
      </c>
      <c r="C972" s="24" t="str">
        <f t="shared" si="45"/>
        <v>금</v>
      </c>
      <c r="D972" s="116" t="str">
        <f t="shared" si="46"/>
        <v>6교시</v>
      </c>
      <c r="E972" s="68">
        <f>COUNTIF($H$7:$H972,$H972)</f>
        <v>406</v>
      </c>
      <c r="F972" s="67">
        <f>'1.연간시수표'!$AL$33</f>
        <v>5</v>
      </c>
      <c r="G972" s="115">
        <f t="shared" si="47"/>
        <v>2</v>
      </c>
      <c r="H972" s="41" t="str">
        <f>INDEX('0.시간표데이터'!$E$52:$AR$78,QUOTIENT(ROW(A966)-1,40)+1,MOD(ROW(A966)-1,40)+1)</f>
        <v>_</v>
      </c>
      <c r="I972" s="77"/>
      <c r="J972" s="26"/>
      <c r="K972" s="180"/>
      <c r="L972" s="180"/>
      <c r="M972" s="10"/>
      <c r="N972" s="10"/>
      <c r="O972" s="10"/>
      <c r="P972" s="10"/>
      <c r="Q972" s="164"/>
      <c r="R972" s="110"/>
    </row>
    <row r="973" spans="1:18">
      <c r="A973" s="90">
        <v>967</v>
      </c>
      <c r="B973" s="24">
        <f>DATE('1.연간시수표'!$U$44,'1.연간시수표'!$X$44,'1.연간시수표'!$Z$44)+QUOTIENT(ROW(A967)-1,8)+(QUOTIENT(ROW(A967)-1,40)*2)</f>
        <v>44967</v>
      </c>
      <c r="C973" s="24" t="str">
        <f t="shared" si="45"/>
        <v>금</v>
      </c>
      <c r="D973" s="116" t="str">
        <f t="shared" si="46"/>
        <v>7교시</v>
      </c>
      <c r="E973" s="68">
        <f>COUNTIF($H$7:$H973,$H973)</f>
        <v>407</v>
      </c>
      <c r="F973" s="67">
        <f>'1.연간시수표'!$AL$33</f>
        <v>5</v>
      </c>
      <c r="G973" s="115">
        <f t="shared" si="47"/>
        <v>2</v>
      </c>
      <c r="H973" s="41" t="str">
        <f>INDEX('0.시간표데이터'!$E$52:$AR$78,QUOTIENT(ROW(A967)-1,40)+1,MOD(ROW(A967)-1,40)+1)</f>
        <v>_</v>
      </c>
      <c r="I973" s="76"/>
      <c r="J973" s="26"/>
      <c r="K973" s="180"/>
      <c r="L973" s="180"/>
      <c r="M973" s="10"/>
      <c r="N973" s="10"/>
      <c r="O973" s="10"/>
      <c r="P973" s="10"/>
      <c r="Q973" s="164"/>
      <c r="R973" s="110"/>
    </row>
    <row r="974" spans="1:18">
      <c r="A974" s="90">
        <v>968</v>
      </c>
      <c r="B974" s="24">
        <f>DATE('1.연간시수표'!$U$44,'1.연간시수표'!$X$44,'1.연간시수표'!$Z$44)+QUOTIENT(ROW(A968)-1,8)+(QUOTIENT(ROW(A968)-1,40)*2)</f>
        <v>44967</v>
      </c>
      <c r="C974" s="24" t="str">
        <f t="shared" si="45"/>
        <v>금</v>
      </c>
      <c r="D974" s="116" t="str">
        <f t="shared" si="46"/>
        <v>8교시</v>
      </c>
      <c r="E974" s="68">
        <f>COUNTIF($H$7:$H974,$H974)</f>
        <v>408</v>
      </c>
      <c r="F974" s="67">
        <f>'1.연간시수표'!$AL$33</f>
        <v>5</v>
      </c>
      <c r="G974" s="115">
        <f t="shared" si="47"/>
        <v>2</v>
      </c>
      <c r="H974" s="41" t="str">
        <f>INDEX('0.시간표데이터'!$E$52:$AR$78,QUOTIENT(ROW(A968)-1,40)+1,MOD(ROW(A968)-1,40)+1)</f>
        <v>_</v>
      </c>
      <c r="I974" s="76"/>
      <c r="J974" s="26"/>
      <c r="K974" s="180"/>
      <c r="L974" s="180"/>
      <c r="M974" s="10"/>
      <c r="N974" s="10"/>
      <c r="O974" s="10"/>
      <c r="P974" s="10"/>
      <c r="Q974" s="164"/>
      <c r="R974" s="110"/>
    </row>
    <row r="975" spans="1:18">
      <c r="A975" s="90">
        <v>969</v>
      </c>
      <c r="B975" s="24">
        <f>DATE('1.연간시수표'!$U$44,'1.연간시수표'!$X$44,'1.연간시수표'!$Z$44)+QUOTIENT(ROW(A969)-1,8)+(QUOTIENT(ROW(A969)-1,40)*2)</f>
        <v>44968</v>
      </c>
      <c r="C975" s="24" t="b">
        <f t="shared" si="45"/>
        <v>0</v>
      </c>
      <c r="D975" s="116" t="str">
        <f t="shared" si="46"/>
        <v>1교시</v>
      </c>
      <c r="E975" s="68">
        <f>COUNTIF($H$7:$H975,$H975)</f>
        <v>409</v>
      </c>
      <c r="F975" s="67">
        <f>'1.연간시수표'!$AL$33</f>
        <v>5</v>
      </c>
      <c r="G975" s="115">
        <f t="shared" si="47"/>
        <v>2</v>
      </c>
      <c r="H975" s="41" t="str">
        <f>INDEX('0.시간표데이터'!$E$52:$AR$78,QUOTIENT(ROW(A969)-1,40)+1,MOD(ROW(A969)-1,40)+1)</f>
        <v>_</v>
      </c>
      <c r="I975" s="77"/>
      <c r="J975" s="26"/>
      <c r="K975" s="173"/>
      <c r="L975" s="173"/>
      <c r="M975" s="173"/>
      <c r="N975" s="173"/>
      <c r="O975" s="10"/>
      <c r="P975" s="10"/>
      <c r="Q975" s="173"/>
      <c r="R975" s="110"/>
    </row>
    <row r="976" spans="1:18">
      <c r="A976" s="90">
        <v>970</v>
      </c>
      <c r="B976" s="24">
        <f>DATE('1.연간시수표'!$U$44,'1.연간시수표'!$X$44,'1.연간시수표'!$Z$44)+QUOTIENT(ROW(A970)-1,8)+(QUOTIENT(ROW(A970)-1,40)*2)</f>
        <v>44968</v>
      </c>
      <c r="C976" s="24" t="b">
        <f t="shared" si="45"/>
        <v>0</v>
      </c>
      <c r="D976" s="116" t="str">
        <f t="shared" si="46"/>
        <v>2교시</v>
      </c>
      <c r="E976" s="68">
        <f>COUNTIF($H$7:$H976,$H976)</f>
        <v>410</v>
      </c>
      <c r="F976" s="67">
        <f>'1.연간시수표'!$AL$33</f>
        <v>5</v>
      </c>
      <c r="G976" s="115">
        <f t="shared" si="47"/>
        <v>2</v>
      </c>
      <c r="H976" s="41" t="str">
        <f>INDEX('0.시간표데이터'!$E$52:$AR$78,QUOTIENT(ROW(A970)-1,40)+1,MOD(ROW(A970)-1,40)+1)</f>
        <v>_</v>
      </c>
      <c r="I976" s="161"/>
      <c r="J976" s="26"/>
      <c r="K976" s="180"/>
      <c r="L976" s="180"/>
      <c r="M976" s="10"/>
      <c r="N976" s="10"/>
      <c r="O976" s="10"/>
      <c r="P976" s="10"/>
      <c r="Q976" s="164"/>
      <c r="R976" s="110"/>
    </row>
    <row r="977" spans="1:18">
      <c r="A977" s="90">
        <v>971</v>
      </c>
      <c r="B977" s="24">
        <f>DATE('1.연간시수표'!$U$44,'1.연간시수표'!$X$44,'1.연간시수표'!$Z$44)+QUOTIENT(ROW(A971)-1,8)+(QUOTIENT(ROW(A971)-1,40)*2)</f>
        <v>44968</v>
      </c>
      <c r="C977" s="24" t="b">
        <f t="shared" si="45"/>
        <v>0</v>
      </c>
      <c r="D977" s="116" t="str">
        <f t="shared" si="46"/>
        <v>3교시</v>
      </c>
      <c r="E977" s="68">
        <f>COUNTIF($H$7:$H977,$H977)</f>
        <v>411</v>
      </c>
      <c r="F977" s="67">
        <f>'1.연간시수표'!$AL$33</f>
        <v>5</v>
      </c>
      <c r="G977" s="115">
        <f t="shared" si="47"/>
        <v>2</v>
      </c>
      <c r="H977" s="41" t="str">
        <f>INDEX('0.시간표데이터'!$E$52:$AR$78,QUOTIENT(ROW(A971)-1,40)+1,MOD(ROW(A971)-1,40)+1)</f>
        <v>_</v>
      </c>
      <c r="I977" s="77"/>
      <c r="J977" s="26"/>
      <c r="K977" s="180"/>
      <c r="L977" s="180"/>
      <c r="M977" s="10"/>
      <c r="N977" s="10"/>
      <c r="O977" s="10"/>
      <c r="P977" s="10"/>
      <c r="Q977" s="164"/>
      <c r="R977" s="110"/>
    </row>
    <row r="978" spans="1:18">
      <c r="A978" s="90">
        <v>972</v>
      </c>
      <c r="B978" s="24">
        <f>DATE('1.연간시수표'!$U$44,'1.연간시수표'!$X$44,'1.연간시수표'!$Z$44)+QUOTIENT(ROW(A972)-1,8)+(QUOTIENT(ROW(A972)-1,40)*2)</f>
        <v>44968</v>
      </c>
      <c r="C978" s="24" t="b">
        <f t="shared" si="45"/>
        <v>0</v>
      </c>
      <c r="D978" s="116" t="str">
        <f t="shared" si="46"/>
        <v>4교시</v>
      </c>
      <c r="E978" s="68">
        <f>COUNTIF($H$7:$H978,$H978)</f>
        <v>412</v>
      </c>
      <c r="F978" s="67">
        <f>'1.연간시수표'!$AL$33</f>
        <v>5</v>
      </c>
      <c r="G978" s="115">
        <f t="shared" si="47"/>
        <v>2</v>
      </c>
      <c r="H978" s="41" t="str">
        <f>INDEX('0.시간표데이터'!$E$52:$AR$78,QUOTIENT(ROW(A972)-1,40)+1,MOD(ROW(A972)-1,40)+1)</f>
        <v>_</v>
      </c>
      <c r="I978" s="77"/>
      <c r="J978" s="26"/>
      <c r="K978" s="180"/>
      <c r="L978" s="180"/>
      <c r="M978" s="10"/>
      <c r="N978" s="10"/>
      <c r="O978" s="10"/>
      <c r="P978" s="10"/>
      <c r="Q978" s="164"/>
      <c r="R978" s="110"/>
    </row>
    <row r="979" spans="1:18">
      <c r="A979" s="90">
        <v>973</v>
      </c>
      <c r="B979" s="24">
        <f>DATE('1.연간시수표'!$U$44,'1.연간시수표'!$X$44,'1.연간시수표'!$Z$44)+QUOTIENT(ROW(A973)-1,8)+(QUOTIENT(ROW(A973)-1,40)*2)</f>
        <v>44968</v>
      </c>
      <c r="C979" s="24" t="b">
        <f t="shared" si="45"/>
        <v>0</v>
      </c>
      <c r="D979" s="116" t="str">
        <f t="shared" si="46"/>
        <v>5교시</v>
      </c>
      <c r="E979" s="68">
        <f>COUNTIF($H$7:$H979,$H979)</f>
        <v>413</v>
      </c>
      <c r="F979" s="67">
        <f>'1.연간시수표'!$AL$33</f>
        <v>5</v>
      </c>
      <c r="G979" s="115">
        <f t="shared" si="47"/>
        <v>2</v>
      </c>
      <c r="H979" s="41" t="str">
        <f>INDEX('0.시간표데이터'!$E$52:$AR$78,QUOTIENT(ROW(A973)-1,40)+1,MOD(ROW(A973)-1,40)+1)</f>
        <v>_</v>
      </c>
      <c r="I979" s="77"/>
      <c r="J979" s="26"/>
      <c r="K979" s="180"/>
      <c r="L979" s="180"/>
      <c r="M979" s="10"/>
      <c r="N979" s="10"/>
      <c r="O979" s="10"/>
      <c r="P979" s="10"/>
      <c r="Q979" s="164"/>
      <c r="R979" s="110"/>
    </row>
    <row r="980" spans="1:18">
      <c r="A980" s="90">
        <v>974</v>
      </c>
      <c r="B980" s="24">
        <f>DATE('1.연간시수표'!$U$44,'1.연간시수표'!$X$44,'1.연간시수표'!$Z$44)+QUOTIENT(ROW(A974)-1,8)+(QUOTIENT(ROW(A974)-1,40)*2)</f>
        <v>44968</v>
      </c>
      <c r="C980" s="24" t="b">
        <f t="shared" si="45"/>
        <v>0</v>
      </c>
      <c r="D980" s="116" t="str">
        <f t="shared" si="46"/>
        <v>6교시</v>
      </c>
      <c r="E980" s="68">
        <f>COUNTIF($H$7:$H980,$H980)</f>
        <v>414</v>
      </c>
      <c r="F980" s="67">
        <f>'1.연간시수표'!$AL$33</f>
        <v>5</v>
      </c>
      <c r="G980" s="115">
        <f t="shared" si="47"/>
        <v>2</v>
      </c>
      <c r="H980" s="41" t="str">
        <f>INDEX('0.시간표데이터'!$E$52:$AR$78,QUOTIENT(ROW(A974)-1,40)+1,MOD(ROW(A974)-1,40)+1)</f>
        <v>_</v>
      </c>
      <c r="I980" s="77"/>
      <c r="J980" s="26"/>
      <c r="K980" s="180"/>
      <c r="L980" s="180"/>
      <c r="M980" s="10"/>
      <c r="N980" s="10"/>
      <c r="O980" s="10"/>
      <c r="P980" s="10"/>
      <c r="Q980" s="164"/>
      <c r="R980" s="110"/>
    </row>
    <row r="981" spans="1:18">
      <c r="A981" s="90">
        <v>975</v>
      </c>
      <c r="B981" s="24">
        <f>DATE('1.연간시수표'!$U$44,'1.연간시수표'!$X$44,'1.연간시수표'!$Z$44)+QUOTIENT(ROW(A975)-1,8)+(QUOTIENT(ROW(A975)-1,40)*2)</f>
        <v>44968</v>
      </c>
      <c r="C981" s="24" t="b">
        <f t="shared" si="45"/>
        <v>0</v>
      </c>
      <c r="D981" s="116" t="str">
        <f t="shared" si="46"/>
        <v>7교시</v>
      </c>
      <c r="E981" s="68">
        <f>COUNTIF($H$7:$H981,$H981)</f>
        <v>415</v>
      </c>
      <c r="F981" s="67">
        <f>'1.연간시수표'!$AL$33</f>
        <v>5</v>
      </c>
      <c r="G981" s="115">
        <f t="shared" si="47"/>
        <v>2</v>
      </c>
      <c r="H981" s="41" t="str">
        <f>INDEX('0.시간표데이터'!$E$52:$AR$78,QUOTIENT(ROW(A975)-1,40)+1,MOD(ROW(A975)-1,40)+1)</f>
        <v>_</v>
      </c>
      <c r="I981" s="76"/>
      <c r="J981" s="26"/>
      <c r="K981" s="180"/>
      <c r="L981" s="180"/>
      <c r="M981" s="10"/>
      <c r="N981" s="10"/>
      <c r="O981" s="10"/>
      <c r="P981" s="10"/>
      <c r="Q981" s="164"/>
      <c r="R981" s="110"/>
    </row>
    <row r="982" spans="1:18">
      <c r="A982" s="90">
        <v>976</v>
      </c>
      <c r="B982" s="24">
        <f>DATE('1.연간시수표'!$U$44,'1.연간시수표'!$X$44,'1.연간시수표'!$Z$44)+QUOTIENT(ROW(A976)-1,8)+(QUOTIENT(ROW(A976)-1,40)*2)</f>
        <v>44968</v>
      </c>
      <c r="C982" s="24" t="b">
        <f t="shared" si="45"/>
        <v>0</v>
      </c>
      <c r="D982" s="116" t="str">
        <f t="shared" si="46"/>
        <v>8교시</v>
      </c>
      <c r="E982" s="68">
        <f>COUNTIF($H$7:$H982,$H982)</f>
        <v>416</v>
      </c>
      <c r="F982" s="67">
        <f>'1.연간시수표'!$AL$33</f>
        <v>5</v>
      </c>
      <c r="G982" s="115">
        <f t="shared" si="47"/>
        <v>2</v>
      </c>
      <c r="H982" s="41" t="str">
        <f>INDEX('0.시간표데이터'!$E$52:$AR$78,QUOTIENT(ROW(A976)-1,40)+1,MOD(ROW(A976)-1,40)+1)</f>
        <v>_</v>
      </c>
      <c r="I982" s="76"/>
      <c r="J982" s="26"/>
      <c r="K982" s="180"/>
      <c r="L982" s="180"/>
      <c r="M982" s="10"/>
      <c r="N982" s="10"/>
      <c r="O982" s="10"/>
      <c r="P982" s="10"/>
      <c r="Q982" s="164"/>
      <c r="R982" s="110"/>
    </row>
    <row r="983" spans="1:18">
      <c r="A983" s="90">
        <v>977</v>
      </c>
      <c r="B983" s="24">
        <f>DATE('1.연간시수표'!$U$44,'1.연간시수표'!$X$44,'1.연간시수표'!$Z$44)+QUOTIENT(ROW(A977)-1,8)+(QUOTIENT(ROW(A977)-1,40)*2)</f>
        <v>44969</v>
      </c>
      <c r="C983" s="24" t="b">
        <f t="shared" si="45"/>
        <v>0</v>
      </c>
      <c r="D983" s="116" t="str">
        <f t="shared" si="46"/>
        <v>1교시</v>
      </c>
      <c r="E983" s="68">
        <f>COUNTIF($H$7:$H983,$H983)</f>
        <v>417</v>
      </c>
      <c r="F983" s="67">
        <f>'1.연간시수표'!$AL$33</f>
        <v>5</v>
      </c>
      <c r="G983" s="115">
        <f t="shared" si="47"/>
        <v>2</v>
      </c>
      <c r="H983" s="41" t="str">
        <f>INDEX('0.시간표데이터'!$E$52:$AR$78,QUOTIENT(ROW(A977)-1,40)+1,MOD(ROW(A977)-1,40)+1)</f>
        <v>_</v>
      </c>
      <c r="I983" s="77"/>
      <c r="J983" s="26"/>
      <c r="K983" s="180"/>
      <c r="L983" s="180"/>
      <c r="M983" s="10"/>
      <c r="N983" s="10"/>
      <c r="O983" s="10"/>
      <c r="P983" s="10"/>
      <c r="Q983" s="164"/>
      <c r="R983" s="110"/>
    </row>
    <row r="984" spans="1:18">
      <c r="A984" s="90">
        <v>978</v>
      </c>
      <c r="B984" s="24">
        <f>DATE('1.연간시수표'!$U$44,'1.연간시수표'!$X$44,'1.연간시수표'!$Z$44)+QUOTIENT(ROW(A978)-1,8)+(QUOTIENT(ROW(A978)-1,40)*2)</f>
        <v>44969</v>
      </c>
      <c r="C984" s="24" t="b">
        <f t="shared" si="45"/>
        <v>0</v>
      </c>
      <c r="D984" s="116" t="str">
        <f t="shared" si="46"/>
        <v>2교시</v>
      </c>
      <c r="E984" s="68">
        <f>COUNTIF($H$7:$H984,$H984)</f>
        <v>418</v>
      </c>
      <c r="F984" s="67">
        <f>'1.연간시수표'!$AL$33</f>
        <v>5</v>
      </c>
      <c r="G984" s="115">
        <f t="shared" si="47"/>
        <v>2</v>
      </c>
      <c r="H984" s="41" t="str">
        <f>INDEX('0.시간표데이터'!$E$52:$AR$78,QUOTIENT(ROW(A978)-1,40)+1,MOD(ROW(A978)-1,40)+1)</f>
        <v>_</v>
      </c>
      <c r="I984" s="77"/>
      <c r="J984" s="26"/>
      <c r="K984" s="180"/>
      <c r="L984" s="180"/>
      <c r="M984" s="10"/>
      <c r="N984" s="10"/>
      <c r="O984" s="10"/>
      <c r="P984" s="10"/>
      <c r="Q984" s="164"/>
      <c r="R984" s="110"/>
    </row>
    <row r="985" spans="1:18">
      <c r="A985" s="90">
        <v>979</v>
      </c>
      <c r="B985" s="24">
        <f>DATE('1.연간시수표'!$U$44,'1.연간시수표'!$X$44,'1.연간시수표'!$Z$44)+QUOTIENT(ROW(A979)-1,8)+(QUOTIENT(ROW(A979)-1,40)*2)</f>
        <v>44969</v>
      </c>
      <c r="C985" s="24" t="b">
        <f t="shared" si="45"/>
        <v>0</v>
      </c>
      <c r="D985" s="116" t="str">
        <f t="shared" si="46"/>
        <v>3교시</v>
      </c>
      <c r="E985" s="68">
        <f>COUNTIF($H$7:$H985,$H985)</f>
        <v>419</v>
      </c>
      <c r="F985" s="67">
        <f>'1.연간시수표'!$AL$33</f>
        <v>5</v>
      </c>
      <c r="G985" s="115">
        <f t="shared" si="47"/>
        <v>2</v>
      </c>
      <c r="H985" s="41" t="str">
        <f>INDEX('0.시간표데이터'!$E$52:$AR$78,QUOTIENT(ROW(A979)-1,40)+1,MOD(ROW(A979)-1,40)+1)</f>
        <v>_</v>
      </c>
      <c r="I985" s="77"/>
      <c r="J985" s="26"/>
      <c r="K985" s="174"/>
      <c r="L985" s="174"/>
      <c r="M985" s="175"/>
      <c r="N985" s="97"/>
      <c r="O985" s="175"/>
      <c r="P985" s="175"/>
      <c r="Q985" s="164"/>
      <c r="R985" s="110"/>
    </row>
    <row r="986" spans="1:18">
      <c r="A986" s="90">
        <v>980</v>
      </c>
      <c r="B986" s="24">
        <f>DATE('1.연간시수표'!$U$44,'1.연간시수표'!$X$44,'1.연간시수표'!$Z$44)+QUOTIENT(ROW(A980)-1,8)+(QUOTIENT(ROW(A980)-1,40)*2)</f>
        <v>44969</v>
      </c>
      <c r="C986" s="24" t="b">
        <f t="shared" si="45"/>
        <v>0</v>
      </c>
      <c r="D986" s="116" t="str">
        <f t="shared" si="46"/>
        <v>4교시</v>
      </c>
      <c r="E986" s="68">
        <f>COUNTIF($H$7:$H986,$H986)</f>
        <v>420</v>
      </c>
      <c r="F986" s="67">
        <f>'1.연간시수표'!$AL$33</f>
        <v>5</v>
      </c>
      <c r="G986" s="115">
        <f t="shared" si="47"/>
        <v>2</v>
      </c>
      <c r="H986" s="41" t="str">
        <f>INDEX('0.시간표데이터'!$E$52:$AR$78,QUOTIENT(ROW(A980)-1,40)+1,MOD(ROW(A980)-1,40)+1)</f>
        <v>_</v>
      </c>
      <c r="I986" s="77"/>
      <c r="J986" s="26"/>
      <c r="K986" s="181"/>
      <c r="L986" s="181"/>
      <c r="M986" s="182"/>
      <c r="N986" s="182"/>
      <c r="O986" s="10"/>
      <c r="P986" s="10"/>
      <c r="Q986" s="164"/>
      <c r="R986" s="110"/>
    </row>
    <row r="987" spans="1:18">
      <c r="A987" s="90">
        <v>981</v>
      </c>
      <c r="B987" s="24">
        <f>DATE('1.연간시수표'!$U$44,'1.연간시수표'!$X$44,'1.연간시수표'!$Z$44)+QUOTIENT(ROW(A981)-1,8)+(QUOTIENT(ROW(A981)-1,40)*2)</f>
        <v>44969</v>
      </c>
      <c r="C987" s="24" t="b">
        <f t="shared" si="45"/>
        <v>0</v>
      </c>
      <c r="D987" s="116" t="str">
        <f t="shared" si="46"/>
        <v>5교시</v>
      </c>
      <c r="E987" s="68">
        <f>COUNTIF($H$7:$H987,$H987)</f>
        <v>421</v>
      </c>
      <c r="F987" s="67">
        <f>'1.연간시수표'!$AL$33</f>
        <v>5</v>
      </c>
      <c r="G987" s="115">
        <f t="shared" si="47"/>
        <v>2</v>
      </c>
      <c r="H987" s="41" t="str">
        <f>INDEX('0.시간표데이터'!$E$52:$AR$78,QUOTIENT(ROW(A981)-1,40)+1,MOD(ROW(A981)-1,40)+1)</f>
        <v>_</v>
      </c>
      <c r="I987" s="77"/>
      <c r="J987" s="26"/>
      <c r="K987" s="173"/>
      <c r="L987" s="173"/>
      <c r="M987" s="173"/>
      <c r="N987" s="173"/>
      <c r="O987" s="10"/>
      <c r="P987" s="10"/>
      <c r="Q987" s="173"/>
      <c r="R987" s="110"/>
    </row>
    <row r="988" spans="1:18">
      <c r="A988" s="90">
        <v>982</v>
      </c>
      <c r="B988" s="24">
        <f>DATE('1.연간시수표'!$U$44,'1.연간시수표'!$X$44,'1.연간시수표'!$Z$44)+QUOTIENT(ROW(A982)-1,8)+(QUOTIENT(ROW(A982)-1,40)*2)</f>
        <v>44969</v>
      </c>
      <c r="C988" s="24" t="b">
        <f t="shared" si="45"/>
        <v>0</v>
      </c>
      <c r="D988" s="116" t="str">
        <f t="shared" si="46"/>
        <v>6교시</v>
      </c>
      <c r="E988" s="68">
        <f>COUNTIF($H$7:$H988,$H988)</f>
        <v>422</v>
      </c>
      <c r="F988" s="67">
        <f>'1.연간시수표'!$AL$33</f>
        <v>5</v>
      </c>
      <c r="G988" s="115">
        <f t="shared" si="47"/>
        <v>2</v>
      </c>
      <c r="H988" s="41" t="str">
        <f>INDEX('0.시간표데이터'!$E$52:$AR$78,QUOTIENT(ROW(A982)-1,40)+1,MOD(ROW(A982)-1,40)+1)</f>
        <v>_</v>
      </c>
      <c r="I988" s="77"/>
      <c r="J988" s="26"/>
      <c r="K988" s="180"/>
      <c r="L988" s="180"/>
      <c r="M988" s="10"/>
      <c r="N988" s="10"/>
      <c r="O988" s="10"/>
      <c r="P988" s="10"/>
      <c r="Q988" s="164"/>
      <c r="R988" s="110"/>
    </row>
    <row r="989" spans="1:18">
      <c r="A989" s="90">
        <v>983</v>
      </c>
      <c r="B989" s="24">
        <f>DATE('1.연간시수표'!$U$44,'1.연간시수표'!$X$44,'1.연간시수표'!$Z$44)+QUOTIENT(ROW(A983)-1,8)+(QUOTIENT(ROW(A983)-1,40)*2)</f>
        <v>44969</v>
      </c>
      <c r="C989" s="24" t="b">
        <f t="shared" si="45"/>
        <v>0</v>
      </c>
      <c r="D989" s="116" t="str">
        <f t="shared" si="46"/>
        <v>7교시</v>
      </c>
      <c r="E989" s="68">
        <f>COUNTIF($H$7:$H989,$H989)</f>
        <v>423</v>
      </c>
      <c r="F989" s="67">
        <f>'1.연간시수표'!$AL$33</f>
        <v>5</v>
      </c>
      <c r="G989" s="115">
        <f t="shared" si="47"/>
        <v>2</v>
      </c>
      <c r="H989" s="41" t="str">
        <f>INDEX('0.시간표데이터'!$E$52:$AR$78,QUOTIENT(ROW(A983)-1,40)+1,MOD(ROW(A983)-1,40)+1)</f>
        <v>_</v>
      </c>
      <c r="I989" s="76"/>
      <c r="J989" s="26"/>
      <c r="K989" s="180"/>
      <c r="L989" s="180"/>
      <c r="M989" s="10"/>
      <c r="N989" s="10"/>
      <c r="O989" s="10"/>
      <c r="P989" s="10"/>
      <c r="Q989" s="164"/>
      <c r="R989" s="110"/>
    </row>
    <row r="990" spans="1:18">
      <c r="A990" s="90">
        <v>984</v>
      </c>
      <c r="B990" s="24">
        <f>DATE('1.연간시수표'!$U$44,'1.연간시수표'!$X$44,'1.연간시수표'!$Z$44)+QUOTIENT(ROW(A984)-1,8)+(QUOTIENT(ROW(A984)-1,40)*2)</f>
        <v>44969</v>
      </c>
      <c r="C990" s="24" t="b">
        <f t="shared" si="45"/>
        <v>0</v>
      </c>
      <c r="D990" s="116" t="str">
        <f t="shared" si="46"/>
        <v>8교시</v>
      </c>
      <c r="E990" s="68">
        <f>COUNTIF($H$7:$H990,$H990)</f>
        <v>424</v>
      </c>
      <c r="F990" s="67">
        <f>'1.연간시수표'!$AL$33</f>
        <v>5</v>
      </c>
      <c r="G990" s="115">
        <f t="shared" si="47"/>
        <v>2</v>
      </c>
      <c r="H990" s="41" t="str">
        <f>INDEX('0.시간표데이터'!$E$52:$AR$78,QUOTIENT(ROW(A984)-1,40)+1,MOD(ROW(A984)-1,40)+1)</f>
        <v>_</v>
      </c>
      <c r="I990" s="76"/>
      <c r="J990" s="26"/>
      <c r="K990" s="180"/>
      <c r="L990" s="180"/>
      <c r="M990" s="10"/>
      <c r="N990" s="10"/>
      <c r="O990" s="10"/>
      <c r="P990" s="10"/>
      <c r="Q990" s="164"/>
      <c r="R990" s="110"/>
    </row>
    <row r="991" spans="1:18">
      <c r="A991" s="90">
        <v>985</v>
      </c>
      <c r="B991" s="24">
        <f>DATE('1.연간시수표'!$U$44,'1.연간시수표'!$X$44,'1.연간시수표'!$Z$44)+QUOTIENT(ROW(A985)-1,8)+(QUOTIENT(ROW(A985)-1,40)*2)</f>
        <v>44970</v>
      </c>
      <c r="C991" s="24" t="str">
        <f t="shared" si="45"/>
        <v>월</v>
      </c>
      <c r="D991" s="116" t="str">
        <f t="shared" si="46"/>
        <v>1교시</v>
      </c>
      <c r="E991" s="68">
        <f>COUNTIF($H$7:$H991,$H991)</f>
        <v>425</v>
      </c>
      <c r="F991" s="67">
        <f>'1.연간시수표'!$AL$33</f>
        <v>5</v>
      </c>
      <c r="G991" s="115">
        <f t="shared" si="47"/>
        <v>2</v>
      </c>
      <c r="H991" s="41" t="str">
        <f>INDEX('0.시간표데이터'!$E$52:$AR$78,QUOTIENT(ROW(A985)-1,40)+1,MOD(ROW(A985)-1,40)+1)</f>
        <v>_</v>
      </c>
      <c r="I991" s="77"/>
      <c r="J991" s="26"/>
      <c r="K991" s="180"/>
      <c r="L991" s="180"/>
      <c r="M991" s="10"/>
      <c r="N991" s="10"/>
      <c r="O991" s="10"/>
      <c r="P991" s="10"/>
      <c r="Q991" s="164"/>
      <c r="R991" s="110"/>
    </row>
    <row r="992" spans="1:18">
      <c r="A992" s="90">
        <v>986</v>
      </c>
      <c r="B992" s="24">
        <f>DATE('1.연간시수표'!$U$44,'1.연간시수표'!$X$44,'1.연간시수표'!$Z$44)+QUOTIENT(ROW(A986)-1,8)+(QUOTIENT(ROW(A986)-1,40)*2)</f>
        <v>44970</v>
      </c>
      <c r="C992" s="24" t="str">
        <f t="shared" si="45"/>
        <v>월</v>
      </c>
      <c r="D992" s="116" t="str">
        <f t="shared" si="46"/>
        <v>2교시</v>
      </c>
      <c r="E992" s="68">
        <f>COUNTIF($H$7:$H992,$H992)</f>
        <v>426</v>
      </c>
      <c r="F992" s="67">
        <f>'1.연간시수표'!$AL$33</f>
        <v>5</v>
      </c>
      <c r="G992" s="115">
        <f t="shared" si="47"/>
        <v>2</v>
      </c>
      <c r="H992" s="41" t="str">
        <f>INDEX('0.시간표데이터'!$E$52:$AR$78,QUOTIENT(ROW(A986)-1,40)+1,MOD(ROW(A986)-1,40)+1)</f>
        <v>_</v>
      </c>
      <c r="I992" s="161"/>
      <c r="J992" s="26"/>
      <c r="K992" s="180"/>
      <c r="L992" s="180"/>
      <c r="M992" s="10"/>
      <c r="N992" s="10"/>
      <c r="O992" s="10"/>
      <c r="P992" s="10"/>
      <c r="Q992" s="164"/>
      <c r="R992" s="110"/>
    </row>
    <row r="993" spans="1:18">
      <c r="A993" s="90">
        <v>987</v>
      </c>
      <c r="B993" s="24">
        <f>DATE('1.연간시수표'!$U$44,'1.연간시수표'!$X$44,'1.연간시수표'!$Z$44)+QUOTIENT(ROW(A987)-1,8)+(QUOTIENT(ROW(A987)-1,40)*2)</f>
        <v>44970</v>
      </c>
      <c r="C993" s="24" t="str">
        <f t="shared" si="45"/>
        <v>월</v>
      </c>
      <c r="D993" s="116" t="str">
        <f t="shared" si="46"/>
        <v>3교시</v>
      </c>
      <c r="E993" s="68">
        <f>COUNTIF($H$7:$H993,$H993)</f>
        <v>427</v>
      </c>
      <c r="F993" s="67">
        <f>'1.연간시수표'!$AL$33</f>
        <v>5</v>
      </c>
      <c r="G993" s="115">
        <f t="shared" si="47"/>
        <v>2</v>
      </c>
      <c r="H993" s="41" t="str">
        <f>INDEX('0.시간표데이터'!$E$52:$AR$78,QUOTIENT(ROW(A987)-1,40)+1,MOD(ROW(A987)-1,40)+1)</f>
        <v>_</v>
      </c>
      <c r="I993" s="77"/>
      <c r="J993" s="26"/>
      <c r="K993" s="174"/>
      <c r="L993" s="174"/>
      <c r="M993" s="175"/>
      <c r="N993" s="97"/>
      <c r="O993" s="175"/>
      <c r="P993" s="175"/>
      <c r="Q993" s="164"/>
      <c r="R993" s="110"/>
    </row>
    <row r="994" spans="1:18">
      <c r="A994" s="90">
        <v>988</v>
      </c>
      <c r="B994" s="24">
        <f>DATE('1.연간시수표'!$U$44,'1.연간시수표'!$X$44,'1.연간시수표'!$Z$44)+QUOTIENT(ROW(A988)-1,8)+(QUOTIENT(ROW(A988)-1,40)*2)</f>
        <v>44970</v>
      </c>
      <c r="C994" s="24" t="str">
        <f t="shared" si="45"/>
        <v>월</v>
      </c>
      <c r="D994" s="116" t="str">
        <f t="shared" si="46"/>
        <v>4교시</v>
      </c>
      <c r="E994" s="68">
        <f>COUNTIF($H$7:$H994,$H994)</f>
        <v>428</v>
      </c>
      <c r="F994" s="67">
        <f>'1.연간시수표'!$AL$33</f>
        <v>5</v>
      </c>
      <c r="G994" s="115">
        <f t="shared" si="47"/>
        <v>2</v>
      </c>
      <c r="H994" s="41" t="str">
        <f>INDEX('0.시간표데이터'!$E$52:$AR$78,QUOTIENT(ROW(A988)-1,40)+1,MOD(ROW(A988)-1,40)+1)</f>
        <v>_</v>
      </c>
      <c r="I994" s="77"/>
      <c r="J994" s="26"/>
      <c r="K994" s="180"/>
      <c r="L994" s="180"/>
      <c r="M994" s="10"/>
      <c r="N994" s="10"/>
      <c r="O994" s="10"/>
      <c r="P994" s="10"/>
      <c r="Q994" s="164"/>
      <c r="R994" s="110"/>
    </row>
    <row r="995" spans="1:18">
      <c r="A995" s="90">
        <v>989</v>
      </c>
      <c r="B995" s="24">
        <f>DATE('1.연간시수표'!$U$44,'1.연간시수표'!$X$44,'1.연간시수표'!$Z$44)+QUOTIENT(ROW(A989)-1,8)+(QUOTIENT(ROW(A989)-1,40)*2)</f>
        <v>44970</v>
      </c>
      <c r="C995" s="24" t="str">
        <f t="shared" si="45"/>
        <v>월</v>
      </c>
      <c r="D995" s="116" t="str">
        <f t="shared" si="46"/>
        <v>5교시</v>
      </c>
      <c r="E995" s="68">
        <f>COUNTIF($H$7:$H995,$H995)</f>
        <v>429</v>
      </c>
      <c r="F995" s="67">
        <f>'1.연간시수표'!$AL$33</f>
        <v>5</v>
      </c>
      <c r="G995" s="115">
        <f t="shared" si="47"/>
        <v>2</v>
      </c>
      <c r="H995" s="41" t="str">
        <f>INDEX('0.시간표데이터'!$E$52:$AR$78,QUOTIENT(ROW(A989)-1,40)+1,MOD(ROW(A989)-1,40)+1)</f>
        <v>_</v>
      </c>
      <c r="I995" s="77"/>
      <c r="J995" s="26"/>
      <c r="K995" s="180"/>
      <c r="L995" s="180"/>
      <c r="M995" s="10"/>
      <c r="N995" s="10"/>
      <c r="O995" s="10"/>
      <c r="P995" s="10"/>
      <c r="Q995" s="164"/>
      <c r="R995" s="110"/>
    </row>
    <row r="996" spans="1:18">
      <c r="A996" s="90">
        <v>990</v>
      </c>
      <c r="B996" s="24">
        <f>DATE('1.연간시수표'!$U$44,'1.연간시수표'!$X$44,'1.연간시수표'!$Z$44)+QUOTIENT(ROW(A990)-1,8)+(QUOTIENT(ROW(A990)-1,40)*2)</f>
        <v>44970</v>
      </c>
      <c r="C996" s="24" t="str">
        <f t="shared" si="45"/>
        <v>월</v>
      </c>
      <c r="D996" s="116" t="str">
        <f t="shared" si="46"/>
        <v>6교시</v>
      </c>
      <c r="E996" s="68">
        <f>COUNTIF($H$7:$H996,$H996)</f>
        <v>430</v>
      </c>
      <c r="F996" s="67">
        <f>'1.연간시수표'!$AL$33</f>
        <v>5</v>
      </c>
      <c r="G996" s="115">
        <f t="shared" si="47"/>
        <v>2</v>
      </c>
      <c r="H996" s="41" t="str">
        <f>INDEX('0.시간표데이터'!$E$52:$AR$78,QUOTIENT(ROW(A990)-1,40)+1,MOD(ROW(A990)-1,40)+1)</f>
        <v>_</v>
      </c>
      <c r="I996" s="161"/>
      <c r="J996" s="26"/>
      <c r="K996" s="180"/>
      <c r="L996" s="180"/>
      <c r="M996" s="10"/>
      <c r="N996" s="10"/>
      <c r="O996" s="10"/>
      <c r="P996" s="10"/>
      <c r="Q996" s="164"/>
      <c r="R996" s="110"/>
    </row>
    <row r="997" spans="1:18">
      <c r="A997" s="90">
        <v>991</v>
      </c>
      <c r="B997" s="24">
        <f>DATE('1.연간시수표'!$U$44,'1.연간시수표'!$X$44,'1.연간시수표'!$Z$44)+QUOTIENT(ROW(A991)-1,8)+(QUOTIENT(ROW(A991)-1,40)*2)</f>
        <v>44970</v>
      </c>
      <c r="C997" s="24" t="str">
        <f t="shared" si="45"/>
        <v>월</v>
      </c>
      <c r="D997" s="116" t="str">
        <f t="shared" si="46"/>
        <v>7교시</v>
      </c>
      <c r="E997" s="68">
        <f>COUNTIF($H$7:$H997,$H997)</f>
        <v>431</v>
      </c>
      <c r="F997" s="67">
        <f>'1.연간시수표'!$AL$33</f>
        <v>5</v>
      </c>
      <c r="G997" s="115">
        <f t="shared" si="47"/>
        <v>2</v>
      </c>
      <c r="H997" s="41" t="str">
        <f>INDEX('0.시간표데이터'!$E$52:$AR$78,QUOTIENT(ROW(A991)-1,40)+1,MOD(ROW(A991)-1,40)+1)</f>
        <v>_</v>
      </c>
      <c r="I997" s="76"/>
      <c r="J997" s="26"/>
      <c r="K997" s="180"/>
      <c r="L997" s="180"/>
      <c r="M997" s="10"/>
      <c r="N997" s="10"/>
      <c r="O997" s="10"/>
      <c r="P997" s="10"/>
      <c r="Q997" s="164"/>
      <c r="R997" s="110"/>
    </row>
    <row r="998" spans="1:18">
      <c r="A998" s="90">
        <v>992</v>
      </c>
      <c r="B998" s="24">
        <f>DATE('1.연간시수표'!$U$44,'1.연간시수표'!$X$44,'1.연간시수표'!$Z$44)+QUOTIENT(ROW(A992)-1,8)+(QUOTIENT(ROW(A992)-1,40)*2)</f>
        <v>44970</v>
      </c>
      <c r="C998" s="24" t="str">
        <f t="shared" si="45"/>
        <v>월</v>
      </c>
      <c r="D998" s="116" t="str">
        <f t="shared" si="46"/>
        <v>8교시</v>
      </c>
      <c r="E998" s="68">
        <f>COUNTIF($H$7:$H998,$H998)</f>
        <v>432</v>
      </c>
      <c r="F998" s="67">
        <f>'1.연간시수표'!$AL$33</f>
        <v>5</v>
      </c>
      <c r="G998" s="115">
        <f t="shared" si="47"/>
        <v>2</v>
      </c>
      <c r="H998" s="41" t="str">
        <f>INDEX('0.시간표데이터'!$E$52:$AR$78,QUOTIENT(ROW(A992)-1,40)+1,MOD(ROW(A992)-1,40)+1)</f>
        <v>_</v>
      </c>
      <c r="I998" s="76"/>
      <c r="J998" s="26"/>
      <c r="K998" s="180"/>
      <c r="L998" s="180"/>
      <c r="M998" s="10"/>
      <c r="N998" s="10"/>
      <c r="O998" s="10"/>
      <c r="P998" s="10"/>
      <c r="Q998" s="164"/>
      <c r="R998" s="110"/>
    </row>
    <row r="999" spans="1:18">
      <c r="A999" s="90">
        <v>993</v>
      </c>
      <c r="B999" s="24">
        <f>DATE('1.연간시수표'!$U$44,'1.연간시수표'!$X$44,'1.연간시수표'!$Z$44)+QUOTIENT(ROW(A993)-1,8)+(QUOTIENT(ROW(A993)-1,40)*2)</f>
        <v>44971</v>
      </c>
      <c r="C999" s="24" t="str">
        <f t="shared" si="45"/>
        <v>화</v>
      </c>
      <c r="D999" s="116" t="str">
        <f t="shared" si="46"/>
        <v>1교시</v>
      </c>
      <c r="E999" s="68">
        <f>COUNTIF($H$7:$H999,$H999)</f>
        <v>433</v>
      </c>
      <c r="F999" s="67">
        <f>'1.연간시수표'!$AL$33</f>
        <v>5</v>
      </c>
      <c r="G999" s="115">
        <f t="shared" si="47"/>
        <v>2</v>
      </c>
      <c r="H999" s="41" t="str">
        <f>INDEX('0.시간표데이터'!$E$52:$AR$78,QUOTIENT(ROW(A993)-1,40)+1,MOD(ROW(A993)-1,40)+1)</f>
        <v>_</v>
      </c>
      <c r="I999" s="77"/>
      <c r="J999" s="26"/>
      <c r="K999" s="180"/>
      <c r="L999" s="180"/>
      <c r="M999" s="10"/>
      <c r="N999" s="10"/>
      <c r="O999" s="10"/>
      <c r="P999" s="10"/>
      <c r="Q999" s="164"/>
      <c r="R999" s="110"/>
    </row>
    <row r="1000" spans="1:18">
      <c r="A1000" s="90">
        <v>994</v>
      </c>
      <c r="B1000" s="24">
        <f>DATE('1.연간시수표'!$U$44,'1.연간시수표'!$X$44,'1.연간시수표'!$Z$44)+QUOTIENT(ROW(A994)-1,8)+(QUOTIENT(ROW(A994)-1,40)*2)</f>
        <v>44971</v>
      </c>
      <c r="C1000" s="24" t="str">
        <f t="shared" si="45"/>
        <v>화</v>
      </c>
      <c r="D1000" s="116" t="str">
        <f t="shared" si="46"/>
        <v>2교시</v>
      </c>
      <c r="E1000" s="68">
        <f>COUNTIF($H$7:$H1000,$H1000)</f>
        <v>434</v>
      </c>
      <c r="F1000" s="67">
        <f>'1.연간시수표'!$AL$33</f>
        <v>5</v>
      </c>
      <c r="G1000" s="115">
        <f t="shared" si="47"/>
        <v>2</v>
      </c>
      <c r="H1000" s="41" t="str">
        <f>INDEX('0.시간표데이터'!$E$52:$AR$78,QUOTIENT(ROW(A994)-1,40)+1,MOD(ROW(A994)-1,40)+1)</f>
        <v>_</v>
      </c>
      <c r="I1000" s="77"/>
      <c r="J1000" s="26"/>
      <c r="K1000" s="180"/>
      <c r="L1000" s="180"/>
      <c r="M1000" s="10"/>
      <c r="N1000" s="10"/>
      <c r="O1000" s="10"/>
      <c r="P1000" s="10"/>
      <c r="Q1000" s="164"/>
      <c r="R1000" s="110"/>
    </row>
    <row r="1001" spans="1:18">
      <c r="A1001" s="90">
        <v>995</v>
      </c>
      <c r="B1001" s="24">
        <f>DATE('1.연간시수표'!$U$44,'1.연간시수표'!$X$44,'1.연간시수표'!$Z$44)+QUOTIENT(ROW(A995)-1,8)+(QUOTIENT(ROW(A995)-1,40)*2)</f>
        <v>44971</v>
      </c>
      <c r="C1001" s="24" t="str">
        <f t="shared" si="45"/>
        <v>화</v>
      </c>
      <c r="D1001" s="116" t="str">
        <f t="shared" si="46"/>
        <v>3교시</v>
      </c>
      <c r="E1001" s="68">
        <f>COUNTIF($H$7:$H1001,$H1001)</f>
        <v>435</v>
      </c>
      <c r="F1001" s="67">
        <f>'1.연간시수표'!$AL$33</f>
        <v>5</v>
      </c>
      <c r="G1001" s="115">
        <f t="shared" si="47"/>
        <v>2</v>
      </c>
      <c r="H1001" s="41" t="str">
        <f>INDEX('0.시간표데이터'!$E$52:$AR$78,QUOTIENT(ROW(A995)-1,40)+1,MOD(ROW(A995)-1,40)+1)</f>
        <v>_</v>
      </c>
      <c r="I1001" s="77"/>
      <c r="J1001" s="26"/>
      <c r="K1001" s="180"/>
      <c r="L1001" s="180"/>
      <c r="M1001" s="10"/>
      <c r="N1001" s="10"/>
      <c r="O1001" s="10"/>
      <c r="P1001" s="10"/>
      <c r="Q1001" s="164"/>
      <c r="R1001" s="110"/>
    </row>
    <row r="1002" spans="1:18">
      <c r="A1002" s="90">
        <v>996</v>
      </c>
      <c r="B1002" s="24">
        <f>DATE('1.연간시수표'!$U$44,'1.연간시수표'!$X$44,'1.연간시수표'!$Z$44)+QUOTIENT(ROW(A996)-1,8)+(QUOTIENT(ROW(A996)-1,40)*2)</f>
        <v>44971</v>
      </c>
      <c r="C1002" s="24" t="str">
        <f t="shared" si="45"/>
        <v>화</v>
      </c>
      <c r="D1002" s="116" t="str">
        <f t="shared" si="46"/>
        <v>4교시</v>
      </c>
      <c r="E1002" s="68">
        <f>COUNTIF($H$7:$H1002,$H1002)</f>
        <v>436</v>
      </c>
      <c r="F1002" s="67">
        <f>'1.연간시수표'!$AL$33</f>
        <v>5</v>
      </c>
      <c r="G1002" s="115">
        <f t="shared" si="47"/>
        <v>2</v>
      </c>
      <c r="H1002" s="41" t="str">
        <f>INDEX('0.시간표데이터'!$E$52:$AR$78,QUOTIENT(ROW(A996)-1,40)+1,MOD(ROW(A996)-1,40)+1)</f>
        <v>_</v>
      </c>
      <c r="I1002" s="77"/>
      <c r="J1002" s="26"/>
      <c r="K1002" s="88"/>
      <c r="L1002" s="88"/>
      <c r="M1002" s="138"/>
      <c r="N1002" s="138"/>
      <c r="O1002" s="138"/>
      <c r="P1002" s="138"/>
      <c r="Q1002" s="103"/>
      <c r="R1002" s="110"/>
    </row>
    <row r="1003" spans="1:18">
      <c r="A1003" s="90">
        <v>997</v>
      </c>
      <c r="B1003" s="24">
        <f>DATE('1.연간시수표'!$U$44,'1.연간시수표'!$X$44,'1.연간시수표'!$Z$44)+QUOTIENT(ROW(A997)-1,8)+(QUOTIENT(ROW(A997)-1,40)*2)</f>
        <v>44971</v>
      </c>
      <c r="C1003" s="24" t="str">
        <f t="shared" si="45"/>
        <v>화</v>
      </c>
      <c r="D1003" s="116" t="str">
        <f t="shared" si="46"/>
        <v>5교시</v>
      </c>
      <c r="E1003" s="68">
        <f>COUNTIF($H$7:$H1003,$H1003)</f>
        <v>437</v>
      </c>
      <c r="F1003" s="67">
        <f>'1.연간시수표'!$AL$33</f>
        <v>5</v>
      </c>
      <c r="G1003" s="115">
        <f t="shared" si="47"/>
        <v>2</v>
      </c>
      <c r="H1003" s="41" t="str">
        <f>INDEX('0.시간표데이터'!$E$52:$AR$78,QUOTIENT(ROW(A997)-1,40)+1,MOD(ROW(A997)-1,40)+1)</f>
        <v>_</v>
      </c>
      <c r="I1003" s="77"/>
      <c r="J1003" s="26"/>
      <c r="K1003" s="88"/>
      <c r="L1003" s="88"/>
      <c r="M1003" s="138"/>
      <c r="N1003" s="138"/>
      <c r="O1003" s="138"/>
      <c r="P1003" s="138"/>
      <c r="Q1003" s="103"/>
      <c r="R1003" s="110"/>
    </row>
    <row r="1004" spans="1:18">
      <c r="A1004" s="90">
        <v>998</v>
      </c>
      <c r="B1004" s="24">
        <f>DATE('1.연간시수표'!$U$44,'1.연간시수표'!$X$44,'1.연간시수표'!$Z$44)+QUOTIENT(ROW(A998)-1,8)+(QUOTIENT(ROW(A998)-1,40)*2)</f>
        <v>44971</v>
      </c>
      <c r="C1004" s="24" t="str">
        <f t="shared" si="45"/>
        <v>화</v>
      </c>
      <c r="D1004" s="116" t="str">
        <f t="shared" si="46"/>
        <v>6교시</v>
      </c>
      <c r="E1004" s="68">
        <f>COUNTIF($H$7:$H1004,$H1004)</f>
        <v>438</v>
      </c>
      <c r="F1004" s="67">
        <f>'1.연간시수표'!$AL$33</f>
        <v>5</v>
      </c>
      <c r="G1004" s="115">
        <f t="shared" si="47"/>
        <v>2</v>
      </c>
      <c r="H1004" s="41" t="str">
        <f>INDEX('0.시간표데이터'!$E$52:$AR$78,QUOTIENT(ROW(A998)-1,40)+1,MOD(ROW(A998)-1,40)+1)</f>
        <v>_</v>
      </c>
      <c r="I1004" s="77"/>
      <c r="J1004" s="26"/>
      <c r="K1004" s="88"/>
      <c r="L1004" s="88"/>
      <c r="M1004" s="138"/>
      <c r="N1004" s="138"/>
      <c r="O1004" s="138"/>
      <c r="P1004" s="138"/>
      <c r="Q1004" s="103"/>
      <c r="R1004" s="110"/>
    </row>
    <row r="1005" spans="1:18">
      <c r="A1005" s="90">
        <v>999</v>
      </c>
      <c r="B1005" s="24">
        <f>DATE('1.연간시수표'!$U$44,'1.연간시수표'!$X$44,'1.연간시수표'!$Z$44)+QUOTIENT(ROW(A999)-1,8)+(QUOTIENT(ROW(A999)-1,40)*2)</f>
        <v>44971</v>
      </c>
      <c r="C1005" s="24" t="str">
        <f t="shared" si="45"/>
        <v>화</v>
      </c>
      <c r="D1005" s="116" t="str">
        <f t="shared" si="46"/>
        <v>7교시</v>
      </c>
      <c r="E1005" s="68">
        <f>COUNTIF($H$7:$H1005,$H1005)</f>
        <v>439</v>
      </c>
      <c r="F1005" s="67">
        <f>'1.연간시수표'!$AL$33</f>
        <v>5</v>
      </c>
      <c r="G1005" s="115">
        <f t="shared" si="47"/>
        <v>2</v>
      </c>
      <c r="H1005" s="41" t="str">
        <f>INDEX('0.시간표데이터'!$E$52:$AR$78,QUOTIENT(ROW(A999)-1,40)+1,MOD(ROW(A999)-1,40)+1)</f>
        <v>_</v>
      </c>
      <c r="I1005" s="76"/>
      <c r="J1005" s="26"/>
      <c r="K1005" s="88"/>
      <c r="L1005" s="88"/>
      <c r="M1005" s="138"/>
      <c r="N1005" s="138"/>
      <c r="O1005" s="138"/>
      <c r="P1005" s="138"/>
      <c r="Q1005" s="103"/>
      <c r="R1005" s="110"/>
    </row>
    <row r="1006" spans="1:18">
      <c r="A1006" s="90">
        <v>1000</v>
      </c>
      <c r="B1006" s="24">
        <f>DATE('1.연간시수표'!$U$44,'1.연간시수표'!$X$44,'1.연간시수표'!$Z$44)+QUOTIENT(ROW(A1000)-1,8)+(QUOTIENT(ROW(A1000)-1,40)*2)</f>
        <v>44971</v>
      </c>
      <c r="C1006" s="24" t="str">
        <f t="shared" si="45"/>
        <v>화</v>
      </c>
      <c r="D1006" s="116" t="str">
        <f t="shared" si="46"/>
        <v>8교시</v>
      </c>
      <c r="E1006" s="68">
        <f>COUNTIF($H$7:$H1006,$H1006)</f>
        <v>440</v>
      </c>
      <c r="F1006" s="67">
        <f>'1.연간시수표'!$AL$33</f>
        <v>5</v>
      </c>
      <c r="G1006" s="115">
        <f t="shared" si="47"/>
        <v>2</v>
      </c>
      <c r="H1006" s="41" t="str">
        <f>INDEX('0.시간표데이터'!$E$52:$AR$78,QUOTIENT(ROW(A1000)-1,40)+1,MOD(ROW(A1000)-1,40)+1)</f>
        <v>_</v>
      </c>
      <c r="I1006" s="76"/>
      <c r="J1006" s="26"/>
      <c r="K1006" s="88"/>
      <c r="L1006" s="88"/>
      <c r="M1006" s="138"/>
      <c r="N1006" s="138"/>
      <c r="O1006" s="138"/>
      <c r="P1006" s="138"/>
      <c r="Q1006" s="103"/>
      <c r="R1006" s="110"/>
    </row>
    <row r="1007" spans="1:18">
      <c r="A1007" s="90">
        <v>1001</v>
      </c>
      <c r="B1007" s="24">
        <f>DATE('1.연간시수표'!$U$44,'1.연간시수표'!$X$44,'1.연간시수표'!$Z$44)+QUOTIENT(ROW(A1001)-1,8)+(QUOTIENT(ROW(A1001)-1,40)*2)</f>
        <v>44974</v>
      </c>
      <c r="C1007" s="24" t="str">
        <f t="shared" si="45"/>
        <v>금</v>
      </c>
      <c r="D1007" s="116" t="str">
        <f t="shared" si="46"/>
        <v>1교시</v>
      </c>
      <c r="E1007" s="68">
        <f>COUNTIF($H$7:$H1007,$H1007)</f>
        <v>441</v>
      </c>
      <c r="F1007" s="67">
        <f>'1.연간시수표'!$AL$33</f>
        <v>5</v>
      </c>
      <c r="G1007" s="115">
        <f t="shared" si="47"/>
        <v>2</v>
      </c>
      <c r="H1007" s="41" t="str">
        <f>INDEX('0.시간표데이터'!$E$52:$AR$78,QUOTIENT(ROW(A1001)-1,40)+1,MOD(ROW(A1001)-1,40)+1)</f>
        <v>_</v>
      </c>
      <c r="I1007" s="77"/>
      <c r="J1007" s="26"/>
      <c r="K1007" s="88"/>
      <c r="L1007" s="88"/>
      <c r="M1007" s="138"/>
      <c r="N1007" s="138"/>
      <c r="O1007" s="138"/>
      <c r="P1007" s="138"/>
      <c r="Q1007" s="103"/>
      <c r="R1007" s="110"/>
    </row>
    <row r="1008" spans="1:18">
      <c r="A1008" s="90">
        <v>1002</v>
      </c>
      <c r="B1008" s="24">
        <f>DATE('1.연간시수표'!$U$44,'1.연간시수표'!$X$44,'1.연간시수표'!$Z$44)+QUOTIENT(ROW(A1002)-1,8)+(QUOTIENT(ROW(A1002)-1,40)*2)</f>
        <v>44974</v>
      </c>
      <c r="C1008" s="24" t="str">
        <f t="shared" si="45"/>
        <v>금</v>
      </c>
      <c r="D1008" s="116" t="str">
        <f t="shared" si="46"/>
        <v>2교시</v>
      </c>
      <c r="E1008" s="68">
        <f>COUNTIF($H$7:$H1008,$H1008)</f>
        <v>442</v>
      </c>
      <c r="F1008" s="67">
        <f>'1.연간시수표'!$AL$33</f>
        <v>5</v>
      </c>
      <c r="G1008" s="115">
        <f t="shared" si="47"/>
        <v>2</v>
      </c>
      <c r="H1008" s="41" t="str">
        <f>INDEX('0.시간표데이터'!$E$52:$AR$78,QUOTIENT(ROW(A1002)-1,40)+1,MOD(ROW(A1002)-1,40)+1)</f>
        <v>_</v>
      </c>
      <c r="I1008" s="161"/>
      <c r="J1008" s="26"/>
      <c r="K1008" s="88"/>
      <c r="L1008" s="88"/>
      <c r="M1008" s="138"/>
      <c r="N1008" s="138"/>
      <c r="O1008" s="138"/>
      <c r="P1008" s="138"/>
      <c r="Q1008" s="103"/>
      <c r="R1008" s="110"/>
    </row>
    <row r="1009" spans="1:18">
      <c r="A1009" s="90">
        <v>1003</v>
      </c>
      <c r="B1009" s="24">
        <f>DATE('1.연간시수표'!$U$44,'1.연간시수표'!$X$44,'1.연간시수표'!$Z$44)+QUOTIENT(ROW(A1003)-1,8)+(QUOTIENT(ROW(A1003)-1,40)*2)</f>
        <v>44974</v>
      </c>
      <c r="C1009" s="24" t="str">
        <f t="shared" si="45"/>
        <v>금</v>
      </c>
      <c r="D1009" s="116" t="str">
        <f t="shared" si="46"/>
        <v>3교시</v>
      </c>
      <c r="E1009" s="68">
        <f>COUNTIF($H$7:$H1009,$H1009)</f>
        <v>443</v>
      </c>
      <c r="F1009" s="67">
        <f>'1.연간시수표'!$AL$33</f>
        <v>5</v>
      </c>
      <c r="G1009" s="115">
        <f t="shared" si="47"/>
        <v>2</v>
      </c>
      <c r="H1009" s="41" t="str">
        <f>INDEX('0.시간표데이터'!$E$52:$AR$78,QUOTIENT(ROW(A1003)-1,40)+1,MOD(ROW(A1003)-1,40)+1)</f>
        <v>_</v>
      </c>
      <c r="I1009" s="77"/>
      <c r="J1009" s="26"/>
      <c r="K1009" s="88"/>
      <c r="L1009" s="88"/>
      <c r="M1009" s="138"/>
      <c r="N1009" s="138"/>
      <c r="O1009" s="138"/>
      <c r="P1009" s="138"/>
      <c r="Q1009" s="103"/>
      <c r="R1009" s="110"/>
    </row>
    <row r="1010" spans="1:18">
      <c r="A1010" s="90">
        <v>1004</v>
      </c>
      <c r="B1010" s="24">
        <f>DATE('1.연간시수표'!$U$44,'1.연간시수표'!$X$44,'1.연간시수표'!$Z$44)+QUOTIENT(ROW(A1004)-1,8)+(QUOTIENT(ROW(A1004)-1,40)*2)</f>
        <v>44974</v>
      </c>
      <c r="C1010" s="24" t="str">
        <f t="shared" si="45"/>
        <v>금</v>
      </c>
      <c r="D1010" s="116" t="str">
        <f t="shared" si="46"/>
        <v>4교시</v>
      </c>
      <c r="E1010" s="68">
        <f>COUNTIF($H$7:$H1010,$H1010)</f>
        <v>444</v>
      </c>
      <c r="F1010" s="67">
        <f>'1.연간시수표'!$AL$33</f>
        <v>5</v>
      </c>
      <c r="G1010" s="115">
        <f t="shared" si="47"/>
        <v>2</v>
      </c>
      <c r="H1010" s="41" t="str">
        <f>INDEX('0.시간표데이터'!$E$52:$AR$78,QUOTIENT(ROW(A1004)-1,40)+1,MOD(ROW(A1004)-1,40)+1)</f>
        <v>_</v>
      </c>
      <c r="I1010" s="77"/>
      <c r="J1010" s="26"/>
      <c r="K1010" s="88"/>
      <c r="L1010" s="88"/>
      <c r="M1010" s="138"/>
      <c r="N1010" s="138"/>
      <c r="O1010" s="138"/>
      <c r="P1010" s="138"/>
      <c r="Q1010" s="103"/>
      <c r="R1010" s="110"/>
    </row>
    <row r="1011" spans="1:18">
      <c r="A1011" s="90">
        <v>1005</v>
      </c>
      <c r="B1011" s="24">
        <f>DATE('1.연간시수표'!$U$44,'1.연간시수표'!$X$44,'1.연간시수표'!$Z$44)+QUOTIENT(ROW(A1005)-1,8)+(QUOTIENT(ROW(A1005)-1,40)*2)</f>
        <v>44974</v>
      </c>
      <c r="C1011" s="24" t="str">
        <f t="shared" si="45"/>
        <v>금</v>
      </c>
      <c r="D1011" s="116" t="str">
        <f t="shared" si="46"/>
        <v>5교시</v>
      </c>
      <c r="E1011" s="68">
        <f>COUNTIF($H$7:$H1011,$H1011)</f>
        <v>445</v>
      </c>
      <c r="F1011" s="67">
        <f>'1.연간시수표'!$AL$33</f>
        <v>5</v>
      </c>
      <c r="G1011" s="115">
        <f t="shared" si="47"/>
        <v>2</v>
      </c>
      <c r="H1011" s="41" t="str">
        <f>INDEX('0.시간표데이터'!$E$52:$AR$78,QUOTIENT(ROW(A1005)-1,40)+1,MOD(ROW(A1005)-1,40)+1)</f>
        <v>_</v>
      </c>
      <c r="I1011" s="77"/>
      <c r="J1011" s="26"/>
      <c r="K1011" s="88"/>
      <c r="L1011" s="88"/>
      <c r="M1011" s="138"/>
      <c r="N1011" s="138"/>
      <c r="O1011" s="138"/>
      <c r="P1011" s="138"/>
      <c r="Q1011" s="103"/>
      <c r="R1011" s="110"/>
    </row>
    <row r="1012" spans="1:18">
      <c r="A1012" s="90">
        <v>1006</v>
      </c>
      <c r="B1012" s="24">
        <f>DATE('1.연간시수표'!$U$44,'1.연간시수표'!$X$44,'1.연간시수표'!$Z$44)+QUOTIENT(ROW(A1006)-1,8)+(QUOTIENT(ROW(A1006)-1,40)*2)</f>
        <v>44974</v>
      </c>
      <c r="C1012" s="24" t="str">
        <f t="shared" si="45"/>
        <v>금</v>
      </c>
      <c r="D1012" s="116" t="str">
        <f t="shared" si="46"/>
        <v>6교시</v>
      </c>
      <c r="E1012" s="68">
        <f>COUNTIF($H$7:$H1012,$H1012)</f>
        <v>446</v>
      </c>
      <c r="F1012" s="67">
        <f>'1.연간시수표'!$AL$33</f>
        <v>5</v>
      </c>
      <c r="G1012" s="115">
        <f t="shared" si="47"/>
        <v>2</v>
      </c>
      <c r="H1012" s="41" t="str">
        <f>INDEX('0.시간표데이터'!$E$52:$AR$78,QUOTIENT(ROW(A1006)-1,40)+1,MOD(ROW(A1006)-1,40)+1)</f>
        <v>_</v>
      </c>
      <c r="I1012" s="77"/>
      <c r="J1012" s="26"/>
      <c r="K1012" s="88"/>
      <c r="L1012" s="88"/>
      <c r="M1012" s="138"/>
      <c r="N1012" s="138"/>
      <c r="O1012" s="138"/>
      <c r="P1012" s="138"/>
      <c r="Q1012" s="103"/>
      <c r="R1012" s="110"/>
    </row>
    <row r="1013" spans="1:18">
      <c r="A1013" s="90">
        <v>1007</v>
      </c>
      <c r="B1013" s="24">
        <f>DATE('1.연간시수표'!$U$44,'1.연간시수표'!$X$44,'1.연간시수표'!$Z$44)+QUOTIENT(ROW(A1007)-1,8)+(QUOTIENT(ROW(A1007)-1,40)*2)</f>
        <v>44974</v>
      </c>
      <c r="C1013" s="24" t="str">
        <f t="shared" si="45"/>
        <v>금</v>
      </c>
      <c r="D1013" s="116" t="str">
        <f t="shared" si="46"/>
        <v>7교시</v>
      </c>
      <c r="E1013" s="68">
        <f>COUNTIF($H$7:$H1013,$H1013)</f>
        <v>447</v>
      </c>
      <c r="F1013" s="67">
        <f>'1.연간시수표'!$AL$33</f>
        <v>5</v>
      </c>
      <c r="G1013" s="115">
        <f t="shared" si="47"/>
        <v>2</v>
      </c>
      <c r="H1013" s="41" t="str">
        <f>INDEX('0.시간표데이터'!$E$52:$AR$78,QUOTIENT(ROW(A1007)-1,40)+1,MOD(ROW(A1007)-1,40)+1)</f>
        <v>_</v>
      </c>
      <c r="I1013" s="76"/>
      <c r="J1013" s="26"/>
      <c r="K1013" s="88"/>
      <c r="L1013" s="88"/>
      <c r="M1013" s="138"/>
      <c r="N1013" s="138"/>
      <c r="O1013" s="138"/>
      <c r="P1013" s="138"/>
      <c r="Q1013" s="103"/>
      <c r="R1013" s="110"/>
    </row>
    <row r="1014" spans="1:18">
      <c r="A1014" s="90">
        <v>1008</v>
      </c>
      <c r="B1014" s="24">
        <f>DATE('1.연간시수표'!$U$44,'1.연간시수표'!$X$44,'1.연간시수표'!$Z$44)+QUOTIENT(ROW(A1008)-1,8)+(QUOTIENT(ROW(A1008)-1,40)*2)</f>
        <v>44974</v>
      </c>
      <c r="C1014" s="24" t="str">
        <f t="shared" si="45"/>
        <v>금</v>
      </c>
      <c r="D1014" s="116" t="str">
        <f t="shared" si="46"/>
        <v>8교시</v>
      </c>
      <c r="E1014" s="68">
        <f>COUNTIF($H$7:$H1014,$H1014)</f>
        <v>448</v>
      </c>
      <c r="F1014" s="67">
        <f>'1.연간시수표'!$AL$33</f>
        <v>5</v>
      </c>
      <c r="G1014" s="115">
        <f t="shared" si="47"/>
        <v>2</v>
      </c>
      <c r="H1014" s="41" t="str">
        <f>INDEX('0.시간표데이터'!$E$52:$AR$78,QUOTIENT(ROW(A1008)-1,40)+1,MOD(ROW(A1008)-1,40)+1)</f>
        <v>_</v>
      </c>
      <c r="I1014" s="76"/>
      <c r="J1014" s="26"/>
      <c r="K1014" s="88"/>
      <c r="L1014" s="88"/>
      <c r="M1014" s="138"/>
      <c r="N1014" s="138"/>
      <c r="O1014" s="138"/>
      <c r="P1014" s="138"/>
      <c r="Q1014" s="103"/>
      <c r="R1014" s="110"/>
    </row>
    <row r="1015" spans="1:18">
      <c r="A1015" s="90">
        <v>1009</v>
      </c>
      <c r="B1015" s="24">
        <f>DATE('1.연간시수표'!$U$44,'1.연간시수표'!$X$44,'1.연간시수표'!$Z$44)+QUOTIENT(ROW(A1009)-1,8)+(QUOTIENT(ROW(A1009)-1,40)*2)</f>
        <v>44975</v>
      </c>
      <c r="C1015" s="24" t="b">
        <f t="shared" si="45"/>
        <v>0</v>
      </c>
      <c r="D1015" s="116" t="str">
        <f t="shared" si="46"/>
        <v>1교시</v>
      </c>
      <c r="E1015" s="68">
        <f>COUNTIF($H$7:$H1015,$H1015)</f>
        <v>449</v>
      </c>
      <c r="F1015" s="67">
        <f>'1.연간시수표'!$AL$33</f>
        <v>5</v>
      </c>
      <c r="G1015" s="115">
        <f t="shared" si="47"/>
        <v>2</v>
      </c>
      <c r="H1015" s="41" t="str">
        <f>INDEX('0.시간표데이터'!$E$52:$AR$78,QUOTIENT(ROW(A1009)-1,40)+1,MOD(ROW(A1009)-1,40)+1)</f>
        <v>_</v>
      </c>
      <c r="I1015" s="77"/>
      <c r="J1015" s="26"/>
      <c r="K1015" s="88"/>
      <c r="L1015" s="88"/>
      <c r="M1015" s="138"/>
      <c r="N1015" s="138"/>
      <c r="O1015" s="138"/>
      <c r="P1015" s="138"/>
      <c r="Q1015" s="103"/>
      <c r="R1015" s="110"/>
    </row>
    <row r="1016" spans="1:18">
      <c r="A1016" s="90">
        <v>1010</v>
      </c>
      <c r="B1016" s="24">
        <f>DATE('1.연간시수표'!$U$44,'1.연간시수표'!$X$44,'1.연간시수표'!$Z$44)+QUOTIENT(ROW(A1010)-1,8)+(QUOTIENT(ROW(A1010)-1,40)*2)</f>
        <v>44975</v>
      </c>
      <c r="C1016" s="24" t="b">
        <f t="shared" si="45"/>
        <v>0</v>
      </c>
      <c r="D1016" s="116" t="str">
        <f t="shared" si="46"/>
        <v>2교시</v>
      </c>
      <c r="E1016" s="68">
        <f>COUNTIF($H$7:$H1016,$H1016)</f>
        <v>450</v>
      </c>
      <c r="F1016" s="67">
        <f>'1.연간시수표'!$AL$33</f>
        <v>5</v>
      </c>
      <c r="G1016" s="115">
        <f t="shared" si="47"/>
        <v>2</v>
      </c>
      <c r="H1016" s="41" t="str">
        <f>INDEX('0.시간표데이터'!$E$52:$AR$78,QUOTIENT(ROW(A1010)-1,40)+1,MOD(ROW(A1010)-1,40)+1)</f>
        <v>_</v>
      </c>
      <c r="I1016" s="161"/>
      <c r="J1016" s="26"/>
      <c r="K1016" s="88"/>
      <c r="L1016" s="88"/>
      <c r="M1016" s="138"/>
      <c r="N1016" s="138"/>
      <c r="O1016" s="138"/>
      <c r="P1016" s="138"/>
      <c r="Q1016" s="103"/>
      <c r="R1016" s="110"/>
    </row>
    <row r="1017" spans="1:18">
      <c r="A1017" s="90">
        <v>1011</v>
      </c>
      <c r="B1017" s="24">
        <f>DATE('1.연간시수표'!$U$44,'1.연간시수표'!$X$44,'1.연간시수표'!$Z$44)+QUOTIENT(ROW(A1011)-1,8)+(QUOTIENT(ROW(A1011)-1,40)*2)</f>
        <v>44975</v>
      </c>
      <c r="C1017" s="24" t="b">
        <f t="shared" si="45"/>
        <v>0</v>
      </c>
      <c r="D1017" s="116" t="str">
        <f t="shared" si="46"/>
        <v>3교시</v>
      </c>
      <c r="E1017" s="68">
        <f>COUNTIF($H$7:$H1017,$H1017)</f>
        <v>451</v>
      </c>
      <c r="F1017" s="67">
        <f>'1.연간시수표'!$AL$33</f>
        <v>5</v>
      </c>
      <c r="G1017" s="115">
        <f t="shared" si="47"/>
        <v>2</v>
      </c>
      <c r="H1017" s="41" t="str">
        <f>INDEX('0.시간표데이터'!$E$52:$AR$78,QUOTIENT(ROW(A1011)-1,40)+1,MOD(ROW(A1011)-1,40)+1)</f>
        <v>_</v>
      </c>
      <c r="I1017" s="77"/>
      <c r="J1017" s="26"/>
      <c r="K1017" s="88"/>
      <c r="L1017" s="88"/>
      <c r="M1017" s="138"/>
      <c r="N1017" s="138"/>
      <c r="O1017" s="138"/>
      <c r="P1017" s="138"/>
      <c r="Q1017" s="103"/>
      <c r="R1017" s="110"/>
    </row>
    <row r="1018" spans="1:18">
      <c r="A1018" s="90">
        <v>1012</v>
      </c>
      <c r="B1018" s="24">
        <f>DATE('1.연간시수표'!$U$44,'1.연간시수표'!$X$44,'1.연간시수표'!$Z$44)+QUOTIENT(ROW(A1012)-1,8)+(QUOTIENT(ROW(A1012)-1,40)*2)</f>
        <v>44975</v>
      </c>
      <c r="C1018" s="24" t="b">
        <f t="shared" si="45"/>
        <v>0</v>
      </c>
      <c r="D1018" s="116" t="str">
        <f t="shared" si="46"/>
        <v>4교시</v>
      </c>
      <c r="E1018" s="68">
        <f>COUNTIF($H$7:$H1018,$H1018)</f>
        <v>452</v>
      </c>
      <c r="F1018" s="67">
        <f>'1.연간시수표'!$AL$33</f>
        <v>5</v>
      </c>
      <c r="G1018" s="115">
        <f t="shared" si="47"/>
        <v>2</v>
      </c>
      <c r="H1018" s="41" t="str">
        <f>INDEX('0.시간표데이터'!$E$52:$AR$78,QUOTIENT(ROW(A1012)-1,40)+1,MOD(ROW(A1012)-1,40)+1)</f>
        <v>_</v>
      </c>
      <c r="I1018" s="77"/>
      <c r="J1018" s="26"/>
      <c r="K1018" s="88"/>
      <c r="L1018" s="88"/>
      <c r="M1018" s="138"/>
      <c r="N1018" s="138"/>
      <c r="O1018" s="138"/>
      <c r="P1018" s="138"/>
      <c r="Q1018" s="103"/>
      <c r="R1018" s="110"/>
    </row>
    <row r="1019" spans="1:18">
      <c r="A1019" s="90">
        <v>1013</v>
      </c>
      <c r="B1019" s="24">
        <f>DATE('1.연간시수표'!$U$44,'1.연간시수표'!$X$44,'1.연간시수표'!$Z$44)+QUOTIENT(ROW(A1013)-1,8)+(QUOTIENT(ROW(A1013)-1,40)*2)</f>
        <v>44975</v>
      </c>
      <c r="C1019" s="24" t="b">
        <f t="shared" si="45"/>
        <v>0</v>
      </c>
      <c r="D1019" s="116" t="str">
        <f t="shared" si="46"/>
        <v>5교시</v>
      </c>
      <c r="E1019" s="68">
        <f>COUNTIF($H$7:$H1019,$H1019)</f>
        <v>453</v>
      </c>
      <c r="F1019" s="67">
        <f>'1.연간시수표'!$AL$33</f>
        <v>5</v>
      </c>
      <c r="G1019" s="115">
        <f t="shared" si="47"/>
        <v>2</v>
      </c>
      <c r="H1019" s="41" t="str">
        <f>INDEX('0.시간표데이터'!$E$52:$AR$78,QUOTIENT(ROW(A1013)-1,40)+1,MOD(ROW(A1013)-1,40)+1)</f>
        <v>_</v>
      </c>
      <c r="I1019" s="77"/>
      <c r="J1019" s="26"/>
      <c r="K1019" s="88"/>
      <c r="L1019" s="88"/>
      <c r="M1019" s="138"/>
      <c r="N1019" s="138"/>
      <c r="O1019" s="138"/>
      <c r="P1019" s="138"/>
      <c r="Q1019" s="103"/>
      <c r="R1019" s="110"/>
    </row>
    <row r="1020" spans="1:18">
      <c r="A1020" s="90">
        <v>1014</v>
      </c>
      <c r="B1020" s="24">
        <f>DATE('1.연간시수표'!$U$44,'1.연간시수표'!$X$44,'1.연간시수표'!$Z$44)+QUOTIENT(ROW(A1014)-1,8)+(QUOTIENT(ROW(A1014)-1,40)*2)</f>
        <v>44975</v>
      </c>
      <c r="C1020" s="24" t="b">
        <f t="shared" si="45"/>
        <v>0</v>
      </c>
      <c r="D1020" s="116" t="str">
        <f t="shared" si="46"/>
        <v>6교시</v>
      </c>
      <c r="E1020" s="68">
        <f>COUNTIF($H$7:$H1020,$H1020)</f>
        <v>454</v>
      </c>
      <c r="F1020" s="67">
        <f>'1.연간시수표'!$AL$33</f>
        <v>5</v>
      </c>
      <c r="G1020" s="115">
        <f t="shared" si="47"/>
        <v>2</v>
      </c>
      <c r="H1020" s="41" t="str">
        <f>INDEX('0.시간표데이터'!$E$52:$AR$78,QUOTIENT(ROW(A1014)-1,40)+1,MOD(ROW(A1014)-1,40)+1)</f>
        <v>_</v>
      </c>
      <c r="I1020" s="77"/>
      <c r="J1020" s="26"/>
      <c r="K1020" s="88"/>
      <c r="L1020" s="88"/>
      <c r="M1020" s="138"/>
      <c r="N1020" s="138"/>
      <c r="O1020" s="138"/>
      <c r="P1020" s="138"/>
      <c r="Q1020" s="103"/>
      <c r="R1020" s="110"/>
    </row>
    <row r="1021" spans="1:18">
      <c r="A1021" s="90">
        <v>1015</v>
      </c>
      <c r="B1021" s="24">
        <f>DATE('1.연간시수표'!$U$44,'1.연간시수표'!$X$44,'1.연간시수표'!$Z$44)+QUOTIENT(ROW(A1015)-1,8)+(QUOTIENT(ROW(A1015)-1,40)*2)</f>
        <v>44975</v>
      </c>
      <c r="C1021" s="24" t="b">
        <f t="shared" si="45"/>
        <v>0</v>
      </c>
      <c r="D1021" s="116" t="str">
        <f t="shared" si="46"/>
        <v>7교시</v>
      </c>
      <c r="E1021" s="68">
        <f>COUNTIF($H$7:$H1021,$H1021)</f>
        <v>455</v>
      </c>
      <c r="F1021" s="67">
        <f>'1.연간시수표'!$AL$33</f>
        <v>5</v>
      </c>
      <c r="G1021" s="115">
        <f t="shared" si="47"/>
        <v>2</v>
      </c>
      <c r="H1021" s="41" t="str">
        <f>INDEX('0.시간표데이터'!$E$52:$AR$78,QUOTIENT(ROW(A1015)-1,40)+1,MOD(ROW(A1015)-1,40)+1)</f>
        <v>_</v>
      </c>
      <c r="I1021" s="76"/>
      <c r="J1021" s="26"/>
      <c r="K1021" s="88"/>
      <c r="L1021" s="88"/>
      <c r="M1021" s="138"/>
      <c r="N1021" s="138"/>
      <c r="O1021" s="138"/>
      <c r="P1021" s="138"/>
      <c r="Q1021" s="103"/>
      <c r="R1021" s="110"/>
    </row>
    <row r="1022" spans="1:18">
      <c r="A1022" s="90">
        <v>1016</v>
      </c>
      <c r="B1022" s="24">
        <f>DATE('1.연간시수표'!$U$44,'1.연간시수표'!$X$44,'1.연간시수표'!$Z$44)+QUOTIENT(ROW(A1016)-1,8)+(QUOTIENT(ROW(A1016)-1,40)*2)</f>
        <v>44975</v>
      </c>
      <c r="C1022" s="24" t="b">
        <f t="shared" si="45"/>
        <v>0</v>
      </c>
      <c r="D1022" s="116" t="str">
        <f t="shared" si="46"/>
        <v>8교시</v>
      </c>
      <c r="E1022" s="68">
        <f>COUNTIF($H$7:$H1022,$H1022)</f>
        <v>456</v>
      </c>
      <c r="F1022" s="67">
        <f>'1.연간시수표'!$AL$33</f>
        <v>5</v>
      </c>
      <c r="G1022" s="115">
        <f t="shared" si="47"/>
        <v>2</v>
      </c>
      <c r="H1022" s="41" t="str">
        <f>INDEX('0.시간표데이터'!$E$52:$AR$78,QUOTIENT(ROW(A1016)-1,40)+1,MOD(ROW(A1016)-1,40)+1)</f>
        <v>_</v>
      </c>
      <c r="I1022" s="76"/>
      <c r="J1022" s="26"/>
      <c r="K1022" s="88"/>
      <c r="L1022" s="88"/>
      <c r="M1022" s="138"/>
      <c r="N1022" s="138"/>
      <c r="O1022" s="138"/>
      <c r="P1022" s="138"/>
      <c r="Q1022" s="103"/>
      <c r="R1022" s="110"/>
    </row>
    <row r="1023" spans="1:18">
      <c r="A1023" s="90">
        <v>1017</v>
      </c>
      <c r="B1023" s="24">
        <f>DATE('1.연간시수표'!$U$44,'1.연간시수표'!$X$44,'1.연간시수표'!$Z$44)+QUOTIENT(ROW(A1017)-1,8)+(QUOTIENT(ROW(A1017)-1,40)*2)</f>
        <v>44976</v>
      </c>
      <c r="C1023" s="24" t="b">
        <f t="shared" si="45"/>
        <v>0</v>
      </c>
      <c r="D1023" s="116" t="str">
        <f t="shared" si="46"/>
        <v>1교시</v>
      </c>
      <c r="E1023" s="68">
        <f>COUNTIF($H$7:$H1023,$H1023)</f>
        <v>457</v>
      </c>
      <c r="F1023" s="67">
        <f>'1.연간시수표'!$AL$33</f>
        <v>5</v>
      </c>
      <c r="G1023" s="115">
        <f t="shared" si="47"/>
        <v>2</v>
      </c>
      <c r="H1023" s="41" t="str">
        <f>INDEX('0.시간표데이터'!$E$52:$AR$78,QUOTIENT(ROW(A1017)-1,40)+1,MOD(ROW(A1017)-1,40)+1)</f>
        <v>_</v>
      </c>
      <c r="I1023" s="77"/>
      <c r="J1023" s="26"/>
      <c r="K1023" s="88"/>
      <c r="L1023" s="88"/>
      <c r="M1023" s="138"/>
      <c r="N1023" s="138"/>
      <c r="O1023" s="138"/>
      <c r="P1023" s="138"/>
      <c r="Q1023" s="103"/>
      <c r="R1023" s="110"/>
    </row>
    <row r="1024" spans="1:18">
      <c r="A1024" s="90">
        <v>1018</v>
      </c>
      <c r="B1024" s="24">
        <f>DATE('1.연간시수표'!$U$44,'1.연간시수표'!$X$44,'1.연간시수표'!$Z$44)+QUOTIENT(ROW(A1018)-1,8)+(QUOTIENT(ROW(A1018)-1,40)*2)</f>
        <v>44976</v>
      </c>
      <c r="C1024" s="24" t="b">
        <f t="shared" si="45"/>
        <v>0</v>
      </c>
      <c r="D1024" s="116" t="str">
        <f t="shared" si="46"/>
        <v>2교시</v>
      </c>
      <c r="E1024" s="68">
        <f>COUNTIF($H$7:$H1024,$H1024)</f>
        <v>458</v>
      </c>
      <c r="F1024" s="67">
        <f>'1.연간시수표'!$AL$33</f>
        <v>5</v>
      </c>
      <c r="G1024" s="115">
        <f t="shared" si="47"/>
        <v>2</v>
      </c>
      <c r="H1024" s="41" t="str">
        <f>INDEX('0.시간표데이터'!$E$52:$AR$78,QUOTIENT(ROW(A1018)-1,40)+1,MOD(ROW(A1018)-1,40)+1)</f>
        <v>_</v>
      </c>
      <c r="I1024" s="77"/>
      <c r="J1024" s="26"/>
      <c r="K1024" s="88"/>
      <c r="L1024" s="88"/>
      <c r="M1024" s="138"/>
      <c r="N1024" s="138"/>
      <c r="O1024" s="138"/>
      <c r="P1024" s="138"/>
      <c r="Q1024" s="103"/>
      <c r="R1024" s="110"/>
    </row>
    <row r="1025" spans="1:18">
      <c r="A1025" s="90">
        <v>1019</v>
      </c>
      <c r="B1025" s="24">
        <f>DATE('1.연간시수표'!$U$44,'1.연간시수표'!$X$44,'1.연간시수표'!$Z$44)+QUOTIENT(ROW(A1019)-1,8)+(QUOTIENT(ROW(A1019)-1,40)*2)</f>
        <v>44976</v>
      </c>
      <c r="C1025" s="24" t="b">
        <f t="shared" si="45"/>
        <v>0</v>
      </c>
      <c r="D1025" s="116" t="str">
        <f t="shared" si="46"/>
        <v>3교시</v>
      </c>
      <c r="E1025" s="68">
        <f>COUNTIF($H$7:$H1025,$H1025)</f>
        <v>459</v>
      </c>
      <c r="F1025" s="67">
        <f>'1.연간시수표'!$AL$33</f>
        <v>5</v>
      </c>
      <c r="G1025" s="115">
        <f t="shared" si="47"/>
        <v>2</v>
      </c>
      <c r="H1025" s="41" t="str">
        <f>INDEX('0.시간표데이터'!$E$52:$AR$78,QUOTIENT(ROW(A1019)-1,40)+1,MOD(ROW(A1019)-1,40)+1)</f>
        <v>_</v>
      </c>
      <c r="I1025" s="77"/>
      <c r="J1025" s="26"/>
      <c r="K1025" s="88"/>
      <c r="L1025" s="88"/>
      <c r="M1025" s="138"/>
      <c r="N1025" s="138"/>
      <c r="O1025" s="138"/>
      <c r="P1025" s="138"/>
      <c r="Q1025" s="103"/>
      <c r="R1025" s="110"/>
    </row>
    <row r="1026" spans="1:18">
      <c r="A1026" s="90">
        <v>1020</v>
      </c>
      <c r="B1026" s="24">
        <f>DATE('1.연간시수표'!$U$44,'1.연간시수표'!$X$44,'1.연간시수표'!$Z$44)+QUOTIENT(ROW(A1020)-1,8)+(QUOTIENT(ROW(A1020)-1,40)*2)</f>
        <v>44976</v>
      </c>
      <c r="C1026" s="24" t="b">
        <f t="shared" si="45"/>
        <v>0</v>
      </c>
      <c r="D1026" s="116" t="str">
        <f t="shared" si="46"/>
        <v>4교시</v>
      </c>
      <c r="E1026" s="68">
        <f>COUNTIF($H$7:$H1026,$H1026)</f>
        <v>460</v>
      </c>
      <c r="F1026" s="67">
        <f>'1.연간시수표'!$AL$33</f>
        <v>5</v>
      </c>
      <c r="G1026" s="115">
        <f t="shared" si="47"/>
        <v>2</v>
      </c>
      <c r="H1026" s="41" t="str">
        <f>INDEX('0.시간표데이터'!$E$52:$AR$78,QUOTIENT(ROW(A1020)-1,40)+1,MOD(ROW(A1020)-1,40)+1)</f>
        <v>_</v>
      </c>
      <c r="I1026" s="77"/>
      <c r="J1026" s="26"/>
      <c r="K1026" s="88"/>
      <c r="L1026" s="88"/>
      <c r="M1026" s="138"/>
      <c r="N1026" s="138"/>
      <c r="O1026" s="138"/>
      <c r="P1026" s="138"/>
      <c r="Q1026" s="103"/>
      <c r="R1026" s="110"/>
    </row>
    <row r="1027" spans="1:18">
      <c r="A1027" s="90">
        <v>1021</v>
      </c>
      <c r="B1027" s="24">
        <f>DATE('1.연간시수표'!$U$44,'1.연간시수표'!$X$44,'1.연간시수표'!$Z$44)+QUOTIENT(ROW(A1021)-1,8)+(QUOTIENT(ROW(A1021)-1,40)*2)</f>
        <v>44976</v>
      </c>
      <c r="C1027" s="24" t="b">
        <f t="shared" si="45"/>
        <v>0</v>
      </c>
      <c r="D1027" s="116" t="str">
        <f t="shared" si="46"/>
        <v>5교시</v>
      </c>
      <c r="E1027" s="68">
        <f>COUNTIF($H$7:$H1027,$H1027)</f>
        <v>461</v>
      </c>
      <c r="F1027" s="67">
        <f>'1.연간시수표'!$AL$33</f>
        <v>5</v>
      </c>
      <c r="G1027" s="115">
        <f t="shared" si="47"/>
        <v>2</v>
      </c>
      <c r="H1027" s="41" t="str">
        <f>INDEX('0.시간표데이터'!$E$52:$AR$78,QUOTIENT(ROW(A1021)-1,40)+1,MOD(ROW(A1021)-1,40)+1)</f>
        <v>_</v>
      </c>
      <c r="I1027" s="77"/>
      <c r="J1027" s="26"/>
      <c r="K1027" s="88"/>
      <c r="L1027" s="88"/>
      <c r="M1027" s="138"/>
      <c r="N1027" s="138"/>
      <c r="O1027" s="138"/>
      <c r="P1027" s="138"/>
      <c r="Q1027" s="103"/>
      <c r="R1027" s="110"/>
    </row>
    <row r="1028" spans="1:18">
      <c r="A1028" s="90">
        <v>1022</v>
      </c>
      <c r="B1028" s="24">
        <f>DATE('1.연간시수표'!$U$44,'1.연간시수표'!$X$44,'1.연간시수표'!$Z$44)+QUOTIENT(ROW(A1022)-1,8)+(QUOTIENT(ROW(A1022)-1,40)*2)</f>
        <v>44976</v>
      </c>
      <c r="C1028" s="24" t="b">
        <f t="shared" si="45"/>
        <v>0</v>
      </c>
      <c r="D1028" s="116" t="str">
        <f t="shared" si="46"/>
        <v>6교시</v>
      </c>
      <c r="E1028" s="68">
        <f>COUNTIF($H$7:$H1028,$H1028)</f>
        <v>462</v>
      </c>
      <c r="F1028" s="67">
        <f>'1.연간시수표'!$AL$33</f>
        <v>5</v>
      </c>
      <c r="G1028" s="115">
        <f t="shared" si="47"/>
        <v>2</v>
      </c>
      <c r="H1028" s="41" t="str">
        <f>INDEX('0.시간표데이터'!$E$52:$AR$78,QUOTIENT(ROW(A1022)-1,40)+1,MOD(ROW(A1022)-1,40)+1)</f>
        <v>_</v>
      </c>
      <c r="I1028" s="77"/>
      <c r="J1028" s="26"/>
      <c r="K1028" s="88"/>
      <c r="L1028" s="88"/>
      <c r="M1028" s="138"/>
      <c r="N1028" s="138"/>
      <c r="O1028" s="138"/>
      <c r="P1028" s="138"/>
      <c r="Q1028" s="103"/>
      <c r="R1028" s="110"/>
    </row>
    <row r="1029" spans="1:18">
      <c r="A1029" s="90">
        <v>1023</v>
      </c>
      <c r="B1029" s="24">
        <f>DATE('1.연간시수표'!$U$44,'1.연간시수표'!$X$44,'1.연간시수표'!$Z$44)+QUOTIENT(ROW(A1023)-1,8)+(QUOTIENT(ROW(A1023)-1,40)*2)</f>
        <v>44976</v>
      </c>
      <c r="C1029" s="24" t="b">
        <f t="shared" si="45"/>
        <v>0</v>
      </c>
      <c r="D1029" s="116" t="str">
        <f t="shared" si="46"/>
        <v>7교시</v>
      </c>
      <c r="E1029" s="68">
        <f>COUNTIF($H$7:$H1029,$H1029)</f>
        <v>463</v>
      </c>
      <c r="F1029" s="67">
        <f>'1.연간시수표'!$AL$33</f>
        <v>5</v>
      </c>
      <c r="G1029" s="115">
        <f t="shared" si="47"/>
        <v>2</v>
      </c>
      <c r="H1029" s="41" t="str">
        <f>INDEX('0.시간표데이터'!$E$52:$AR$78,QUOTIENT(ROW(A1023)-1,40)+1,MOD(ROW(A1023)-1,40)+1)</f>
        <v>_</v>
      </c>
      <c r="I1029" s="76"/>
      <c r="J1029" s="26"/>
      <c r="K1029" s="88"/>
      <c r="L1029" s="88"/>
      <c r="M1029" s="138"/>
      <c r="N1029" s="138"/>
      <c r="O1029" s="138"/>
      <c r="P1029" s="138"/>
      <c r="Q1029" s="103"/>
      <c r="R1029" s="110"/>
    </row>
    <row r="1030" spans="1:18">
      <c r="A1030" s="90">
        <v>1024</v>
      </c>
      <c r="B1030" s="24">
        <f>DATE('1.연간시수표'!$U$44,'1.연간시수표'!$X$44,'1.연간시수표'!$Z$44)+QUOTIENT(ROW(A1024)-1,8)+(QUOTIENT(ROW(A1024)-1,40)*2)</f>
        <v>44976</v>
      </c>
      <c r="C1030" s="24" t="b">
        <f t="shared" si="45"/>
        <v>0</v>
      </c>
      <c r="D1030" s="116" t="str">
        <f t="shared" si="46"/>
        <v>8교시</v>
      </c>
      <c r="E1030" s="68">
        <f>COUNTIF($H$7:$H1030,$H1030)</f>
        <v>464</v>
      </c>
      <c r="F1030" s="67">
        <f>'1.연간시수표'!$AL$33</f>
        <v>5</v>
      </c>
      <c r="G1030" s="115">
        <f t="shared" si="47"/>
        <v>2</v>
      </c>
      <c r="H1030" s="41" t="str">
        <f>INDEX('0.시간표데이터'!$E$52:$AR$78,QUOTIENT(ROW(A1024)-1,40)+1,MOD(ROW(A1024)-1,40)+1)</f>
        <v>_</v>
      </c>
      <c r="I1030" s="76"/>
      <c r="J1030" s="26"/>
      <c r="K1030" s="88"/>
      <c r="L1030" s="88"/>
      <c r="M1030" s="138"/>
      <c r="N1030" s="138"/>
      <c r="O1030" s="138"/>
      <c r="P1030" s="138"/>
      <c r="Q1030" s="103"/>
      <c r="R1030" s="110"/>
    </row>
    <row r="1031" spans="1:18">
      <c r="A1031" s="90">
        <v>1025</v>
      </c>
      <c r="B1031" s="24">
        <f>DATE('1.연간시수표'!$U$44,'1.연간시수표'!$X$44,'1.연간시수표'!$Z$44)+QUOTIENT(ROW(A1025)-1,8)+(QUOTIENT(ROW(A1025)-1,40)*2)</f>
        <v>44977</v>
      </c>
      <c r="C1031" s="24" t="str">
        <f t="shared" ref="C1031:C1086" si="48">IF(WEEKDAY(B1031,2)=1,"월",IF(WEEKDAY(B1031,2)=2,"화",IF(WEEKDAY(B1031,2)=3,"수",IF(WEEKDAY(B1031,2)=4,"목",IF(WEEKDAY(B1031,2)=5,"금")))))</f>
        <v>월</v>
      </c>
      <c r="D1031" s="116" t="str">
        <f t="shared" ref="D1031:D1086" si="49">TEXT(MOD(ROW(A1025)-1,8)+1,"#교시")</f>
        <v>1교시</v>
      </c>
      <c r="E1031" s="68">
        <f>COUNTIF($H$7:$H1031,$H1031)</f>
        <v>465</v>
      </c>
      <c r="F1031" s="67">
        <f>'1.연간시수표'!$AL$33</f>
        <v>5</v>
      </c>
      <c r="G1031" s="115">
        <f t="shared" ref="G1031:G1086" si="50">$A$2</f>
        <v>2</v>
      </c>
      <c r="H1031" s="41" t="str">
        <f>INDEX('0.시간표데이터'!$E$52:$AR$78,QUOTIENT(ROW(A1025)-1,40)+1,MOD(ROW(A1025)-1,40)+1)</f>
        <v>_</v>
      </c>
      <c r="I1031" s="77"/>
      <c r="J1031" s="26"/>
      <c r="K1031" s="88"/>
      <c r="L1031" s="88"/>
      <c r="M1031" s="138"/>
      <c r="N1031" s="138"/>
      <c r="O1031" s="138"/>
      <c r="P1031" s="138"/>
      <c r="Q1031" s="103"/>
      <c r="R1031" s="110"/>
    </row>
    <row r="1032" spans="1:18">
      <c r="A1032" s="90">
        <v>1026</v>
      </c>
      <c r="B1032" s="24">
        <f>DATE('1.연간시수표'!$U$44,'1.연간시수표'!$X$44,'1.연간시수표'!$Z$44)+QUOTIENT(ROW(A1026)-1,8)+(QUOTIENT(ROW(A1026)-1,40)*2)</f>
        <v>44977</v>
      </c>
      <c r="C1032" s="24" t="str">
        <f t="shared" si="48"/>
        <v>월</v>
      </c>
      <c r="D1032" s="116" t="str">
        <f t="shared" si="49"/>
        <v>2교시</v>
      </c>
      <c r="E1032" s="68">
        <f>COUNTIF($H$7:$H1032,$H1032)</f>
        <v>466</v>
      </c>
      <c r="F1032" s="67">
        <f>'1.연간시수표'!$AL$33</f>
        <v>5</v>
      </c>
      <c r="G1032" s="115">
        <f t="shared" si="50"/>
        <v>2</v>
      </c>
      <c r="H1032" s="41" t="str">
        <f>INDEX('0.시간표데이터'!$E$52:$AR$78,QUOTIENT(ROW(A1026)-1,40)+1,MOD(ROW(A1026)-1,40)+1)</f>
        <v>_</v>
      </c>
      <c r="I1032" s="161"/>
      <c r="J1032" s="26"/>
      <c r="K1032" s="88"/>
      <c r="L1032" s="88"/>
      <c r="M1032" s="138"/>
      <c r="N1032" s="138"/>
      <c r="O1032" s="138"/>
      <c r="P1032" s="138"/>
      <c r="Q1032" s="103"/>
      <c r="R1032" s="110"/>
    </row>
    <row r="1033" spans="1:18">
      <c r="A1033" s="90">
        <v>1027</v>
      </c>
      <c r="B1033" s="24">
        <f>DATE('1.연간시수표'!$U$44,'1.연간시수표'!$X$44,'1.연간시수표'!$Z$44)+QUOTIENT(ROW(A1027)-1,8)+(QUOTIENT(ROW(A1027)-1,40)*2)</f>
        <v>44977</v>
      </c>
      <c r="C1033" s="24" t="str">
        <f t="shared" si="48"/>
        <v>월</v>
      </c>
      <c r="D1033" s="116" t="str">
        <f t="shared" si="49"/>
        <v>3교시</v>
      </c>
      <c r="E1033" s="68">
        <f>COUNTIF($H$7:$H1033,$H1033)</f>
        <v>467</v>
      </c>
      <c r="F1033" s="67">
        <f>'1.연간시수표'!$AL$33</f>
        <v>5</v>
      </c>
      <c r="G1033" s="115">
        <f t="shared" si="50"/>
        <v>2</v>
      </c>
      <c r="H1033" s="41" t="str">
        <f>INDEX('0.시간표데이터'!$E$52:$AR$78,QUOTIENT(ROW(A1027)-1,40)+1,MOD(ROW(A1027)-1,40)+1)</f>
        <v>_</v>
      </c>
      <c r="I1033" s="77"/>
      <c r="J1033" s="26"/>
      <c r="K1033" s="88"/>
      <c r="L1033" s="88"/>
      <c r="M1033" s="138"/>
      <c r="N1033" s="138"/>
      <c r="O1033" s="138"/>
      <c r="P1033" s="138"/>
      <c r="Q1033" s="103"/>
      <c r="R1033" s="110"/>
    </row>
    <row r="1034" spans="1:18">
      <c r="A1034" s="90">
        <v>1028</v>
      </c>
      <c r="B1034" s="24">
        <f>DATE('1.연간시수표'!$U$44,'1.연간시수표'!$X$44,'1.연간시수표'!$Z$44)+QUOTIENT(ROW(A1028)-1,8)+(QUOTIENT(ROW(A1028)-1,40)*2)</f>
        <v>44977</v>
      </c>
      <c r="C1034" s="24" t="str">
        <f t="shared" si="48"/>
        <v>월</v>
      </c>
      <c r="D1034" s="116" t="str">
        <f t="shared" si="49"/>
        <v>4교시</v>
      </c>
      <c r="E1034" s="68">
        <f>COUNTIF($H$7:$H1034,$H1034)</f>
        <v>468</v>
      </c>
      <c r="F1034" s="67">
        <f>'1.연간시수표'!$AL$33</f>
        <v>5</v>
      </c>
      <c r="G1034" s="115">
        <f t="shared" si="50"/>
        <v>2</v>
      </c>
      <c r="H1034" s="41" t="str">
        <f>INDEX('0.시간표데이터'!$E$52:$AR$78,QUOTIENT(ROW(A1028)-1,40)+1,MOD(ROW(A1028)-1,40)+1)</f>
        <v>_</v>
      </c>
      <c r="I1034" s="77"/>
      <c r="J1034" s="26"/>
      <c r="K1034" s="88"/>
      <c r="L1034" s="88"/>
      <c r="M1034" s="138"/>
      <c r="N1034" s="138"/>
      <c r="O1034" s="138"/>
      <c r="P1034" s="138"/>
      <c r="Q1034" s="103"/>
      <c r="R1034" s="110"/>
    </row>
    <row r="1035" spans="1:18">
      <c r="A1035" s="90">
        <v>1029</v>
      </c>
      <c r="B1035" s="24">
        <f>DATE('1.연간시수표'!$U$44,'1.연간시수표'!$X$44,'1.연간시수표'!$Z$44)+QUOTIENT(ROW(A1029)-1,8)+(QUOTIENT(ROW(A1029)-1,40)*2)</f>
        <v>44977</v>
      </c>
      <c r="C1035" s="24" t="str">
        <f t="shared" si="48"/>
        <v>월</v>
      </c>
      <c r="D1035" s="116" t="str">
        <f t="shared" si="49"/>
        <v>5교시</v>
      </c>
      <c r="E1035" s="68">
        <f>COUNTIF($H$7:$H1035,$H1035)</f>
        <v>469</v>
      </c>
      <c r="F1035" s="67">
        <f>'1.연간시수표'!$AL$33</f>
        <v>5</v>
      </c>
      <c r="G1035" s="115">
        <f t="shared" si="50"/>
        <v>2</v>
      </c>
      <c r="H1035" s="41" t="str">
        <f>INDEX('0.시간표데이터'!$E$52:$AR$78,QUOTIENT(ROW(A1029)-1,40)+1,MOD(ROW(A1029)-1,40)+1)</f>
        <v>_</v>
      </c>
      <c r="I1035" s="77"/>
      <c r="J1035" s="26"/>
      <c r="K1035" s="88"/>
      <c r="L1035" s="88"/>
      <c r="M1035" s="138"/>
      <c r="N1035" s="138"/>
      <c r="O1035" s="138"/>
      <c r="P1035" s="138"/>
      <c r="Q1035" s="103"/>
      <c r="R1035" s="110"/>
    </row>
    <row r="1036" spans="1:18">
      <c r="A1036" s="90">
        <v>1030</v>
      </c>
      <c r="B1036" s="24">
        <f>DATE('1.연간시수표'!$U$44,'1.연간시수표'!$X$44,'1.연간시수표'!$Z$44)+QUOTIENT(ROW(A1030)-1,8)+(QUOTIENT(ROW(A1030)-1,40)*2)</f>
        <v>44977</v>
      </c>
      <c r="C1036" s="24" t="str">
        <f t="shared" si="48"/>
        <v>월</v>
      </c>
      <c r="D1036" s="116" t="str">
        <f t="shared" si="49"/>
        <v>6교시</v>
      </c>
      <c r="E1036" s="68">
        <f>COUNTIF($H$7:$H1036,$H1036)</f>
        <v>470</v>
      </c>
      <c r="F1036" s="67">
        <f>'1.연간시수표'!$AL$33</f>
        <v>5</v>
      </c>
      <c r="G1036" s="115">
        <f t="shared" si="50"/>
        <v>2</v>
      </c>
      <c r="H1036" s="41" t="str">
        <f>INDEX('0.시간표데이터'!$E$52:$AR$78,QUOTIENT(ROW(A1030)-1,40)+1,MOD(ROW(A1030)-1,40)+1)</f>
        <v>_</v>
      </c>
      <c r="I1036" s="161"/>
      <c r="J1036" s="26"/>
      <c r="K1036" s="88"/>
      <c r="L1036" s="88"/>
      <c r="M1036" s="138"/>
      <c r="N1036" s="138"/>
      <c r="O1036" s="138"/>
      <c r="P1036" s="138"/>
      <c r="Q1036" s="103"/>
      <c r="R1036" s="110"/>
    </row>
    <row r="1037" spans="1:18">
      <c r="A1037" s="90">
        <v>1031</v>
      </c>
      <c r="B1037" s="24">
        <f>DATE('1.연간시수표'!$U$44,'1.연간시수표'!$X$44,'1.연간시수표'!$Z$44)+QUOTIENT(ROW(A1031)-1,8)+(QUOTIENT(ROW(A1031)-1,40)*2)</f>
        <v>44977</v>
      </c>
      <c r="C1037" s="24" t="str">
        <f t="shared" si="48"/>
        <v>월</v>
      </c>
      <c r="D1037" s="116" t="str">
        <f t="shared" si="49"/>
        <v>7교시</v>
      </c>
      <c r="E1037" s="68">
        <f>COUNTIF($H$7:$H1037,$H1037)</f>
        <v>471</v>
      </c>
      <c r="F1037" s="67">
        <f>'1.연간시수표'!$AL$33</f>
        <v>5</v>
      </c>
      <c r="G1037" s="115">
        <f t="shared" si="50"/>
        <v>2</v>
      </c>
      <c r="H1037" s="41" t="str">
        <f>INDEX('0.시간표데이터'!$E$52:$AR$78,QUOTIENT(ROW(A1031)-1,40)+1,MOD(ROW(A1031)-1,40)+1)</f>
        <v>_</v>
      </c>
      <c r="I1037" s="76"/>
      <c r="J1037" s="26"/>
      <c r="K1037" s="88"/>
      <c r="L1037" s="88"/>
      <c r="M1037" s="138"/>
      <c r="N1037" s="138"/>
      <c r="O1037" s="138"/>
      <c r="P1037" s="138"/>
      <c r="Q1037" s="103"/>
      <c r="R1037" s="110"/>
    </row>
    <row r="1038" spans="1:18">
      <c r="A1038" s="90">
        <v>1032</v>
      </c>
      <c r="B1038" s="24">
        <f>DATE('1.연간시수표'!$U$44,'1.연간시수표'!$X$44,'1.연간시수표'!$Z$44)+QUOTIENT(ROW(A1032)-1,8)+(QUOTIENT(ROW(A1032)-1,40)*2)</f>
        <v>44977</v>
      </c>
      <c r="C1038" s="24" t="str">
        <f t="shared" si="48"/>
        <v>월</v>
      </c>
      <c r="D1038" s="116" t="str">
        <f t="shared" si="49"/>
        <v>8교시</v>
      </c>
      <c r="E1038" s="68">
        <f>COUNTIF($H$7:$H1038,$H1038)</f>
        <v>472</v>
      </c>
      <c r="F1038" s="67">
        <f>'1.연간시수표'!$AL$33</f>
        <v>5</v>
      </c>
      <c r="G1038" s="115">
        <f t="shared" si="50"/>
        <v>2</v>
      </c>
      <c r="H1038" s="41" t="str">
        <f>INDEX('0.시간표데이터'!$E$52:$AR$78,QUOTIENT(ROW(A1032)-1,40)+1,MOD(ROW(A1032)-1,40)+1)</f>
        <v>_</v>
      </c>
      <c r="I1038" s="76"/>
      <c r="J1038" s="26"/>
      <c r="K1038" s="88"/>
      <c r="L1038" s="88"/>
      <c r="M1038" s="138"/>
      <c r="N1038" s="138"/>
      <c r="O1038" s="138"/>
      <c r="P1038" s="138"/>
      <c r="Q1038" s="103"/>
      <c r="R1038" s="110"/>
    </row>
    <row r="1039" spans="1:18">
      <c r="A1039" s="90">
        <v>1033</v>
      </c>
      <c r="B1039" s="24">
        <f>DATE('1.연간시수표'!$U$44,'1.연간시수표'!$X$44,'1.연간시수표'!$Z$44)+QUOTIENT(ROW(A1033)-1,8)+(QUOTIENT(ROW(A1033)-1,40)*2)</f>
        <v>44978</v>
      </c>
      <c r="C1039" s="24" t="str">
        <f t="shared" si="48"/>
        <v>화</v>
      </c>
      <c r="D1039" s="116" t="str">
        <f t="shared" si="49"/>
        <v>1교시</v>
      </c>
      <c r="E1039" s="68">
        <f>COUNTIF($H$7:$H1039,$H1039)</f>
        <v>473</v>
      </c>
      <c r="F1039" s="67">
        <f>'1.연간시수표'!$AL$33</f>
        <v>5</v>
      </c>
      <c r="G1039" s="115">
        <f t="shared" si="50"/>
        <v>2</v>
      </c>
      <c r="H1039" s="41" t="str">
        <f>INDEX('0.시간표데이터'!$E$52:$AR$78,QUOTIENT(ROW(A1033)-1,40)+1,MOD(ROW(A1033)-1,40)+1)</f>
        <v>_</v>
      </c>
      <c r="I1039" s="77"/>
      <c r="J1039" s="26"/>
      <c r="K1039" s="88"/>
      <c r="L1039" s="88"/>
      <c r="M1039" s="138"/>
      <c r="N1039" s="138"/>
      <c r="O1039" s="138"/>
      <c r="P1039" s="138"/>
      <c r="Q1039" s="103"/>
      <c r="R1039" s="110"/>
    </row>
    <row r="1040" spans="1:18">
      <c r="A1040" s="90">
        <v>1034</v>
      </c>
      <c r="B1040" s="24">
        <f>DATE('1.연간시수표'!$U$44,'1.연간시수표'!$X$44,'1.연간시수표'!$Z$44)+QUOTIENT(ROW(A1034)-1,8)+(QUOTIENT(ROW(A1034)-1,40)*2)</f>
        <v>44978</v>
      </c>
      <c r="C1040" s="24" t="str">
        <f t="shared" si="48"/>
        <v>화</v>
      </c>
      <c r="D1040" s="116" t="str">
        <f t="shared" si="49"/>
        <v>2교시</v>
      </c>
      <c r="E1040" s="68">
        <f>COUNTIF($H$7:$H1040,$H1040)</f>
        <v>474</v>
      </c>
      <c r="F1040" s="67">
        <f>'1.연간시수표'!$AL$33</f>
        <v>5</v>
      </c>
      <c r="G1040" s="115">
        <f t="shared" si="50"/>
        <v>2</v>
      </c>
      <c r="H1040" s="41" t="str">
        <f>INDEX('0.시간표데이터'!$E$52:$AR$78,QUOTIENT(ROW(A1034)-1,40)+1,MOD(ROW(A1034)-1,40)+1)</f>
        <v>_</v>
      </c>
      <c r="I1040" s="77"/>
      <c r="J1040" s="26"/>
      <c r="K1040" s="88"/>
      <c r="L1040" s="88"/>
      <c r="M1040" s="138"/>
      <c r="N1040" s="138"/>
      <c r="O1040" s="138"/>
      <c r="P1040" s="138"/>
      <c r="Q1040" s="103"/>
      <c r="R1040" s="110"/>
    </row>
    <row r="1041" spans="1:18">
      <c r="A1041" s="90">
        <v>1035</v>
      </c>
      <c r="B1041" s="24">
        <f>DATE('1.연간시수표'!$U$44,'1.연간시수표'!$X$44,'1.연간시수표'!$Z$44)+QUOTIENT(ROW(A1035)-1,8)+(QUOTIENT(ROW(A1035)-1,40)*2)</f>
        <v>44978</v>
      </c>
      <c r="C1041" s="24" t="str">
        <f t="shared" si="48"/>
        <v>화</v>
      </c>
      <c r="D1041" s="116" t="str">
        <f t="shared" si="49"/>
        <v>3교시</v>
      </c>
      <c r="E1041" s="68">
        <f>COUNTIF($H$7:$H1041,$H1041)</f>
        <v>475</v>
      </c>
      <c r="F1041" s="67">
        <f>'1.연간시수표'!$AL$33</f>
        <v>5</v>
      </c>
      <c r="G1041" s="115">
        <f t="shared" si="50"/>
        <v>2</v>
      </c>
      <c r="H1041" s="41" t="str">
        <f>INDEX('0.시간표데이터'!$E$52:$AR$78,QUOTIENT(ROW(A1035)-1,40)+1,MOD(ROW(A1035)-1,40)+1)</f>
        <v>_</v>
      </c>
      <c r="I1041" s="77"/>
      <c r="J1041" s="26"/>
      <c r="K1041" s="88"/>
      <c r="L1041" s="88"/>
      <c r="M1041" s="138"/>
      <c r="N1041" s="138"/>
      <c r="O1041" s="138"/>
      <c r="P1041" s="138"/>
      <c r="Q1041" s="103"/>
      <c r="R1041" s="110"/>
    </row>
    <row r="1042" spans="1:18">
      <c r="A1042" s="90">
        <v>1036</v>
      </c>
      <c r="B1042" s="24">
        <f>DATE('1.연간시수표'!$U$44,'1.연간시수표'!$X$44,'1.연간시수표'!$Z$44)+QUOTIENT(ROW(A1036)-1,8)+(QUOTIENT(ROW(A1036)-1,40)*2)</f>
        <v>44978</v>
      </c>
      <c r="C1042" s="24" t="str">
        <f t="shared" si="48"/>
        <v>화</v>
      </c>
      <c r="D1042" s="116" t="str">
        <f t="shared" si="49"/>
        <v>4교시</v>
      </c>
      <c r="E1042" s="68">
        <f>COUNTIF($H$7:$H1042,$H1042)</f>
        <v>476</v>
      </c>
      <c r="F1042" s="67">
        <f>'1.연간시수표'!$AL$33</f>
        <v>5</v>
      </c>
      <c r="G1042" s="115">
        <f t="shared" si="50"/>
        <v>2</v>
      </c>
      <c r="H1042" s="41" t="str">
        <f>INDEX('0.시간표데이터'!$E$52:$AR$78,QUOTIENT(ROW(A1036)-1,40)+1,MOD(ROW(A1036)-1,40)+1)</f>
        <v>_</v>
      </c>
      <c r="I1042" s="77"/>
      <c r="J1042" s="26"/>
      <c r="K1042" s="88"/>
      <c r="L1042" s="88"/>
      <c r="M1042" s="138"/>
      <c r="N1042" s="138"/>
      <c r="O1042" s="138"/>
      <c r="P1042" s="138"/>
      <c r="Q1042" s="103"/>
      <c r="R1042" s="110"/>
    </row>
    <row r="1043" spans="1:18">
      <c r="A1043" s="90">
        <v>1037</v>
      </c>
      <c r="B1043" s="24">
        <f>DATE('1.연간시수표'!$U$44,'1.연간시수표'!$X$44,'1.연간시수표'!$Z$44)+QUOTIENT(ROW(A1037)-1,8)+(QUOTIENT(ROW(A1037)-1,40)*2)</f>
        <v>44978</v>
      </c>
      <c r="C1043" s="24" t="str">
        <f t="shared" si="48"/>
        <v>화</v>
      </c>
      <c r="D1043" s="116" t="str">
        <f t="shared" si="49"/>
        <v>5교시</v>
      </c>
      <c r="E1043" s="68">
        <f>COUNTIF($H$7:$H1043,$H1043)</f>
        <v>477</v>
      </c>
      <c r="F1043" s="67">
        <f>'1.연간시수표'!$AL$33</f>
        <v>5</v>
      </c>
      <c r="G1043" s="115">
        <f t="shared" si="50"/>
        <v>2</v>
      </c>
      <c r="H1043" s="41" t="str">
        <f>INDEX('0.시간표데이터'!$E$52:$AR$78,QUOTIENT(ROW(A1037)-1,40)+1,MOD(ROW(A1037)-1,40)+1)</f>
        <v>_</v>
      </c>
      <c r="I1043" s="77"/>
      <c r="J1043" s="26"/>
      <c r="K1043" s="88"/>
      <c r="L1043" s="88"/>
      <c r="M1043" s="138"/>
      <c r="N1043" s="138"/>
      <c r="O1043" s="138"/>
      <c r="P1043" s="138"/>
      <c r="Q1043" s="103"/>
      <c r="R1043" s="110"/>
    </row>
    <row r="1044" spans="1:18">
      <c r="A1044" s="90">
        <v>1038</v>
      </c>
      <c r="B1044" s="24">
        <f>DATE('1.연간시수표'!$U$44,'1.연간시수표'!$X$44,'1.연간시수표'!$Z$44)+QUOTIENT(ROW(A1038)-1,8)+(QUOTIENT(ROW(A1038)-1,40)*2)</f>
        <v>44978</v>
      </c>
      <c r="C1044" s="24" t="str">
        <f t="shared" si="48"/>
        <v>화</v>
      </c>
      <c r="D1044" s="116" t="str">
        <f t="shared" si="49"/>
        <v>6교시</v>
      </c>
      <c r="E1044" s="68">
        <f>COUNTIF($H$7:$H1044,$H1044)</f>
        <v>478</v>
      </c>
      <c r="F1044" s="67">
        <f>'1.연간시수표'!$AL$33</f>
        <v>5</v>
      </c>
      <c r="G1044" s="115">
        <f t="shared" si="50"/>
        <v>2</v>
      </c>
      <c r="H1044" s="41" t="str">
        <f>INDEX('0.시간표데이터'!$E$52:$AR$78,QUOTIENT(ROW(A1038)-1,40)+1,MOD(ROW(A1038)-1,40)+1)</f>
        <v>_</v>
      </c>
      <c r="I1044" s="77"/>
      <c r="J1044" s="26"/>
      <c r="K1044" s="88"/>
      <c r="L1044" s="88"/>
      <c r="M1044" s="138"/>
      <c r="N1044" s="138"/>
      <c r="O1044" s="138"/>
      <c r="P1044" s="138"/>
      <c r="Q1044" s="103"/>
      <c r="R1044" s="110"/>
    </row>
    <row r="1045" spans="1:18">
      <c r="A1045" s="90">
        <v>1039</v>
      </c>
      <c r="B1045" s="24">
        <f>DATE('1.연간시수표'!$U$44,'1.연간시수표'!$X$44,'1.연간시수표'!$Z$44)+QUOTIENT(ROW(A1039)-1,8)+(QUOTIENT(ROW(A1039)-1,40)*2)</f>
        <v>44978</v>
      </c>
      <c r="C1045" s="24" t="str">
        <f t="shared" si="48"/>
        <v>화</v>
      </c>
      <c r="D1045" s="116" t="str">
        <f t="shared" si="49"/>
        <v>7교시</v>
      </c>
      <c r="E1045" s="68">
        <f>COUNTIF($H$7:$H1045,$H1045)</f>
        <v>479</v>
      </c>
      <c r="F1045" s="67">
        <f>'1.연간시수표'!$AL$33</f>
        <v>5</v>
      </c>
      <c r="G1045" s="115">
        <f t="shared" si="50"/>
        <v>2</v>
      </c>
      <c r="H1045" s="41" t="str">
        <f>INDEX('0.시간표데이터'!$E$52:$AR$78,QUOTIENT(ROW(A1039)-1,40)+1,MOD(ROW(A1039)-1,40)+1)</f>
        <v>_</v>
      </c>
      <c r="I1045" s="76"/>
      <c r="J1045" s="26"/>
      <c r="K1045" s="88"/>
      <c r="L1045" s="88"/>
      <c r="M1045" s="138"/>
      <c r="N1045" s="138"/>
      <c r="O1045" s="138"/>
      <c r="P1045" s="138"/>
      <c r="Q1045" s="103"/>
      <c r="R1045" s="110"/>
    </row>
    <row r="1046" spans="1:18">
      <c r="A1046" s="90">
        <v>1040</v>
      </c>
      <c r="B1046" s="24">
        <f>DATE('1.연간시수표'!$U$44,'1.연간시수표'!$X$44,'1.연간시수표'!$Z$44)+QUOTIENT(ROW(A1040)-1,8)+(QUOTIENT(ROW(A1040)-1,40)*2)</f>
        <v>44978</v>
      </c>
      <c r="C1046" s="24" t="str">
        <f t="shared" si="48"/>
        <v>화</v>
      </c>
      <c r="D1046" s="116" t="str">
        <f t="shared" si="49"/>
        <v>8교시</v>
      </c>
      <c r="E1046" s="68">
        <f>COUNTIF($H$7:$H1046,$H1046)</f>
        <v>480</v>
      </c>
      <c r="F1046" s="67">
        <f>'1.연간시수표'!$AL$33</f>
        <v>5</v>
      </c>
      <c r="G1046" s="115">
        <f t="shared" si="50"/>
        <v>2</v>
      </c>
      <c r="H1046" s="41" t="str">
        <f>INDEX('0.시간표데이터'!$E$52:$AR$78,QUOTIENT(ROW(A1040)-1,40)+1,MOD(ROW(A1040)-1,40)+1)</f>
        <v>_</v>
      </c>
      <c r="I1046" s="76"/>
      <c r="J1046" s="26"/>
      <c r="K1046" s="88"/>
      <c r="L1046" s="88"/>
      <c r="M1046" s="138"/>
      <c r="N1046" s="138"/>
      <c r="O1046" s="138"/>
      <c r="P1046" s="138"/>
      <c r="Q1046" s="103"/>
      <c r="R1046" s="110"/>
    </row>
    <row r="1047" spans="1:18">
      <c r="A1047" s="90">
        <v>1041</v>
      </c>
      <c r="B1047" s="24">
        <f>DATE('1.연간시수표'!$U$44,'1.연간시수표'!$X$44,'1.연간시수표'!$Z$44)+QUOTIENT(ROW(A1041)-1,8)+(QUOTIENT(ROW(A1041)-1,40)*2)</f>
        <v>44981</v>
      </c>
      <c r="C1047" s="24" t="str">
        <f t="shared" si="48"/>
        <v>금</v>
      </c>
      <c r="D1047" s="116" t="str">
        <f t="shared" si="49"/>
        <v>1교시</v>
      </c>
      <c r="E1047" s="68">
        <f>COUNTIF($H$7:$H1047,$H1047)</f>
        <v>481</v>
      </c>
      <c r="F1047" s="67">
        <f>'1.연간시수표'!$AL$33</f>
        <v>5</v>
      </c>
      <c r="G1047" s="115">
        <f t="shared" si="50"/>
        <v>2</v>
      </c>
      <c r="H1047" s="41" t="str">
        <f>INDEX('0.시간표데이터'!$E$52:$AR$78,QUOTIENT(ROW(A1041)-1,40)+1,MOD(ROW(A1041)-1,40)+1)</f>
        <v>_</v>
      </c>
      <c r="I1047" s="77"/>
      <c r="J1047" s="26"/>
      <c r="K1047" s="88"/>
      <c r="L1047" s="88"/>
      <c r="M1047" s="138"/>
      <c r="N1047" s="138"/>
      <c r="O1047" s="138"/>
      <c r="P1047" s="138"/>
      <c r="Q1047" s="103"/>
      <c r="R1047" s="110"/>
    </row>
    <row r="1048" spans="1:18">
      <c r="A1048" s="90">
        <v>1042</v>
      </c>
      <c r="B1048" s="24">
        <f>DATE('1.연간시수표'!$U$44,'1.연간시수표'!$X$44,'1.연간시수표'!$Z$44)+QUOTIENT(ROW(A1042)-1,8)+(QUOTIENT(ROW(A1042)-1,40)*2)</f>
        <v>44981</v>
      </c>
      <c r="C1048" s="24" t="str">
        <f t="shared" si="48"/>
        <v>금</v>
      </c>
      <c r="D1048" s="116" t="str">
        <f t="shared" si="49"/>
        <v>2교시</v>
      </c>
      <c r="E1048" s="68">
        <f>COUNTIF($H$7:$H1048,$H1048)</f>
        <v>482</v>
      </c>
      <c r="F1048" s="67">
        <f>'1.연간시수표'!$AL$33</f>
        <v>5</v>
      </c>
      <c r="G1048" s="115">
        <f t="shared" si="50"/>
        <v>2</v>
      </c>
      <c r="H1048" s="41" t="str">
        <f>INDEX('0.시간표데이터'!$E$52:$AR$78,QUOTIENT(ROW(A1042)-1,40)+1,MOD(ROW(A1042)-1,40)+1)</f>
        <v>_</v>
      </c>
      <c r="I1048" s="161"/>
      <c r="J1048" s="26"/>
      <c r="K1048" s="88"/>
      <c r="L1048" s="88"/>
      <c r="M1048" s="138"/>
      <c r="N1048" s="138"/>
      <c r="O1048" s="138"/>
      <c r="P1048" s="138"/>
      <c r="Q1048" s="103"/>
      <c r="R1048" s="110"/>
    </row>
    <row r="1049" spans="1:18">
      <c r="A1049" s="90">
        <v>1043</v>
      </c>
      <c r="B1049" s="24">
        <f>DATE('1.연간시수표'!$U$44,'1.연간시수표'!$X$44,'1.연간시수표'!$Z$44)+QUOTIENT(ROW(A1043)-1,8)+(QUOTIENT(ROW(A1043)-1,40)*2)</f>
        <v>44981</v>
      </c>
      <c r="C1049" s="24" t="str">
        <f t="shared" si="48"/>
        <v>금</v>
      </c>
      <c r="D1049" s="116" t="str">
        <f t="shared" si="49"/>
        <v>3교시</v>
      </c>
      <c r="E1049" s="68">
        <f>COUNTIF($H$7:$H1049,$H1049)</f>
        <v>483</v>
      </c>
      <c r="F1049" s="67">
        <f>'1.연간시수표'!$AL$33</f>
        <v>5</v>
      </c>
      <c r="G1049" s="115">
        <f t="shared" si="50"/>
        <v>2</v>
      </c>
      <c r="H1049" s="41" t="str">
        <f>INDEX('0.시간표데이터'!$E$52:$AR$78,QUOTIENT(ROW(A1043)-1,40)+1,MOD(ROW(A1043)-1,40)+1)</f>
        <v>_</v>
      </c>
      <c r="I1049" s="77"/>
      <c r="J1049" s="26"/>
      <c r="K1049" s="88"/>
      <c r="L1049" s="88"/>
      <c r="M1049" s="138"/>
      <c r="N1049" s="138"/>
      <c r="O1049" s="138"/>
      <c r="P1049" s="138"/>
      <c r="Q1049" s="103"/>
      <c r="R1049" s="110"/>
    </row>
    <row r="1050" spans="1:18">
      <c r="A1050" s="90">
        <v>1044</v>
      </c>
      <c r="B1050" s="24">
        <f>DATE('1.연간시수표'!$U$44,'1.연간시수표'!$X$44,'1.연간시수표'!$Z$44)+QUOTIENT(ROW(A1044)-1,8)+(QUOTIENT(ROW(A1044)-1,40)*2)</f>
        <v>44981</v>
      </c>
      <c r="C1050" s="24" t="str">
        <f t="shared" si="48"/>
        <v>금</v>
      </c>
      <c r="D1050" s="116" t="str">
        <f t="shared" si="49"/>
        <v>4교시</v>
      </c>
      <c r="E1050" s="68">
        <f>COUNTIF($H$7:$H1050,$H1050)</f>
        <v>484</v>
      </c>
      <c r="F1050" s="67">
        <f>'1.연간시수표'!$AL$33</f>
        <v>5</v>
      </c>
      <c r="G1050" s="115">
        <f t="shared" si="50"/>
        <v>2</v>
      </c>
      <c r="H1050" s="41" t="str">
        <f>INDEX('0.시간표데이터'!$E$52:$AR$78,QUOTIENT(ROW(A1044)-1,40)+1,MOD(ROW(A1044)-1,40)+1)</f>
        <v>_</v>
      </c>
      <c r="I1050" s="77"/>
      <c r="J1050" s="26"/>
      <c r="K1050" s="88"/>
      <c r="L1050" s="88"/>
      <c r="M1050" s="138"/>
      <c r="N1050" s="138"/>
      <c r="O1050" s="138"/>
      <c r="P1050" s="138"/>
      <c r="Q1050" s="103"/>
      <c r="R1050" s="110"/>
    </row>
    <row r="1051" spans="1:18">
      <c r="A1051" s="90">
        <v>1045</v>
      </c>
      <c r="B1051" s="24">
        <f>DATE('1.연간시수표'!$U$44,'1.연간시수표'!$X$44,'1.연간시수표'!$Z$44)+QUOTIENT(ROW(A1045)-1,8)+(QUOTIENT(ROW(A1045)-1,40)*2)</f>
        <v>44981</v>
      </c>
      <c r="C1051" s="24" t="str">
        <f t="shared" si="48"/>
        <v>금</v>
      </c>
      <c r="D1051" s="116" t="str">
        <f t="shared" si="49"/>
        <v>5교시</v>
      </c>
      <c r="E1051" s="68">
        <f>COUNTIF($H$7:$H1051,$H1051)</f>
        <v>485</v>
      </c>
      <c r="F1051" s="67">
        <f>'1.연간시수표'!$AL$33</f>
        <v>5</v>
      </c>
      <c r="G1051" s="115">
        <f t="shared" si="50"/>
        <v>2</v>
      </c>
      <c r="H1051" s="41" t="str">
        <f>INDEX('0.시간표데이터'!$E$52:$AR$78,QUOTIENT(ROW(A1045)-1,40)+1,MOD(ROW(A1045)-1,40)+1)</f>
        <v>_</v>
      </c>
      <c r="I1051" s="77"/>
      <c r="J1051" s="26"/>
      <c r="K1051" s="88"/>
      <c r="L1051" s="88"/>
      <c r="M1051" s="138"/>
      <c r="N1051" s="138"/>
      <c r="O1051" s="138"/>
      <c r="P1051" s="138"/>
      <c r="Q1051" s="103"/>
      <c r="R1051" s="110"/>
    </row>
    <row r="1052" spans="1:18">
      <c r="A1052" s="90">
        <v>1046</v>
      </c>
      <c r="B1052" s="24">
        <f>DATE('1.연간시수표'!$U$44,'1.연간시수표'!$X$44,'1.연간시수표'!$Z$44)+QUOTIENT(ROW(A1046)-1,8)+(QUOTIENT(ROW(A1046)-1,40)*2)</f>
        <v>44981</v>
      </c>
      <c r="C1052" s="24" t="str">
        <f t="shared" si="48"/>
        <v>금</v>
      </c>
      <c r="D1052" s="116" t="str">
        <f t="shared" si="49"/>
        <v>6교시</v>
      </c>
      <c r="E1052" s="68">
        <f>COUNTIF($H$7:$H1052,$H1052)</f>
        <v>486</v>
      </c>
      <c r="F1052" s="67">
        <f>'1.연간시수표'!$AL$33</f>
        <v>5</v>
      </c>
      <c r="G1052" s="115">
        <f t="shared" si="50"/>
        <v>2</v>
      </c>
      <c r="H1052" s="41" t="str">
        <f>INDEX('0.시간표데이터'!$E$52:$AR$78,QUOTIENT(ROW(A1046)-1,40)+1,MOD(ROW(A1046)-1,40)+1)</f>
        <v>_</v>
      </c>
      <c r="I1052" s="77"/>
      <c r="J1052" s="26"/>
      <c r="K1052" s="88"/>
      <c r="L1052" s="88"/>
      <c r="M1052" s="138"/>
      <c r="N1052" s="138"/>
      <c r="O1052" s="138"/>
      <c r="P1052" s="138"/>
      <c r="Q1052" s="103"/>
      <c r="R1052" s="110"/>
    </row>
    <row r="1053" spans="1:18">
      <c r="A1053" s="90">
        <v>1047</v>
      </c>
      <c r="B1053" s="24">
        <f>DATE('1.연간시수표'!$U$44,'1.연간시수표'!$X$44,'1.연간시수표'!$Z$44)+QUOTIENT(ROW(A1047)-1,8)+(QUOTIENT(ROW(A1047)-1,40)*2)</f>
        <v>44981</v>
      </c>
      <c r="C1053" s="24" t="str">
        <f t="shared" si="48"/>
        <v>금</v>
      </c>
      <c r="D1053" s="116" t="str">
        <f t="shared" si="49"/>
        <v>7교시</v>
      </c>
      <c r="E1053" s="68">
        <f>COUNTIF($H$7:$H1053,$H1053)</f>
        <v>487</v>
      </c>
      <c r="F1053" s="67">
        <f>'1.연간시수표'!$AL$33</f>
        <v>5</v>
      </c>
      <c r="G1053" s="115">
        <f t="shared" si="50"/>
        <v>2</v>
      </c>
      <c r="H1053" s="41" t="str">
        <f>INDEX('0.시간표데이터'!$E$52:$AR$78,QUOTIENT(ROW(A1047)-1,40)+1,MOD(ROW(A1047)-1,40)+1)</f>
        <v>_</v>
      </c>
      <c r="I1053" s="76"/>
      <c r="J1053" s="26"/>
      <c r="K1053" s="88"/>
      <c r="L1053" s="88"/>
      <c r="M1053" s="138"/>
      <c r="N1053" s="138"/>
      <c r="O1053" s="138"/>
      <c r="P1053" s="138"/>
      <c r="Q1053" s="103"/>
      <c r="R1053" s="110"/>
    </row>
    <row r="1054" spans="1:18">
      <c r="A1054" s="90">
        <v>1048</v>
      </c>
      <c r="B1054" s="24">
        <f>DATE('1.연간시수표'!$U$44,'1.연간시수표'!$X$44,'1.연간시수표'!$Z$44)+QUOTIENT(ROW(A1048)-1,8)+(QUOTIENT(ROW(A1048)-1,40)*2)</f>
        <v>44981</v>
      </c>
      <c r="C1054" s="24" t="str">
        <f t="shared" si="48"/>
        <v>금</v>
      </c>
      <c r="D1054" s="116" t="str">
        <f t="shared" si="49"/>
        <v>8교시</v>
      </c>
      <c r="E1054" s="68">
        <f>COUNTIF($H$7:$H1054,$H1054)</f>
        <v>488</v>
      </c>
      <c r="F1054" s="67">
        <f>'1.연간시수표'!$AL$33</f>
        <v>5</v>
      </c>
      <c r="G1054" s="115">
        <f t="shared" si="50"/>
        <v>2</v>
      </c>
      <c r="H1054" s="41" t="str">
        <f>INDEX('0.시간표데이터'!$E$52:$AR$78,QUOTIENT(ROW(A1048)-1,40)+1,MOD(ROW(A1048)-1,40)+1)</f>
        <v>_</v>
      </c>
      <c r="I1054" s="76"/>
      <c r="J1054" s="26"/>
      <c r="K1054" s="88"/>
      <c r="L1054" s="88"/>
      <c r="M1054" s="138"/>
      <c r="N1054" s="138"/>
      <c r="O1054" s="138"/>
      <c r="P1054" s="138"/>
      <c r="Q1054" s="103"/>
      <c r="R1054" s="110"/>
    </row>
    <row r="1055" spans="1:18">
      <c r="A1055" s="90">
        <v>1049</v>
      </c>
      <c r="B1055" s="24">
        <f>DATE('1.연간시수표'!$U$44,'1.연간시수표'!$X$44,'1.연간시수표'!$Z$44)+QUOTIENT(ROW(A1049)-1,8)+(QUOTIENT(ROW(A1049)-1,40)*2)</f>
        <v>44982</v>
      </c>
      <c r="C1055" s="24" t="b">
        <f t="shared" si="48"/>
        <v>0</v>
      </c>
      <c r="D1055" s="116" t="str">
        <f t="shared" si="49"/>
        <v>1교시</v>
      </c>
      <c r="E1055" s="68">
        <f>COUNTIF($H$7:$H1055,$H1055)</f>
        <v>489</v>
      </c>
      <c r="F1055" s="67">
        <f>'1.연간시수표'!$AL$33</f>
        <v>5</v>
      </c>
      <c r="G1055" s="115">
        <f t="shared" si="50"/>
        <v>2</v>
      </c>
      <c r="H1055" s="41" t="str">
        <f>INDEX('0.시간표데이터'!$E$52:$AR$78,QUOTIENT(ROW(A1049)-1,40)+1,MOD(ROW(A1049)-1,40)+1)</f>
        <v>_</v>
      </c>
      <c r="I1055" s="77"/>
      <c r="J1055" s="26"/>
      <c r="K1055" s="88"/>
      <c r="L1055" s="88"/>
      <c r="M1055" s="138"/>
      <c r="N1055" s="138"/>
      <c r="O1055" s="138"/>
      <c r="P1055" s="138"/>
      <c r="Q1055" s="103"/>
      <c r="R1055" s="110"/>
    </row>
    <row r="1056" spans="1:18">
      <c r="A1056" s="90">
        <v>1050</v>
      </c>
      <c r="B1056" s="24">
        <f>DATE('1.연간시수표'!$U$44,'1.연간시수표'!$X$44,'1.연간시수표'!$Z$44)+QUOTIENT(ROW(A1050)-1,8)+(QUOTIENT(ROW(A1050)-1,40)*2)</f>
        <v>44982</v>
      </c>
      <c r="C1056" s="24" t="b">
        <f t="shared" si="48"/>
        <v>0</v>
      </c>
      <c r="D1056" s="116" t="str">
        <f t="shared" si="49"/>
        <v>2교시</v>
      </c>
      <c r="E1056" s="68">
        <f>COUNTIF($H$7:$H1056,$H1056)</f>
        <v>490</v>
      </c>
      <c r="F1056" s="67">
        <f>'1.연간시수표'!$AL$33</f>
        <v>5</v>
      </c>
      <c r="G1056" s="115">
        <f t="shared" si="50"/>
        <v>2</v>
      </c>
      <c r="H1056" s="41" t="str">
        <f>INDEX('0.시간표데이터'!$E$52:$AR$78,QUOTIENT(ROW(A1050)-1,40)+1,MOD(ROW(A1050)-1,40)+1)</f>
        <v>_</v>
      </c>
      <c r="I1056" s="161"/>
      <c r="J1056" s="26"/>
      <c r="K1056" s="88"/>
      <c r="L1056" s="88"/>
      <c r="M1056" s="138"/>
      <c r="N1056" s="138"/>
      <c r="O1056" s="138"/>
      <c r="P1056" s="138"/>
      <c r="Q1056" s="103"/>
      <c r="R1056" s="110"/>
    </row>
    <row r="1057" spans="1:18">
      <c r="A1057" s="90">
        <v>1051</v>
      </c>
      <c r="B1057" s="24">
        <f>DATE('1.연간시수표'!$U$44,'1.연간시수표'!$X$44,'1.연간시수표'!$Z$44)+QUOTIENT(ROW(A1051)-1,8)+(QUOTIENT(ROW(A1051)-1,40)*2)</f>
        <v>44982</v>
      </c>
      <c r="C1057" s="24" t="b">
        <f t="shared" si="48"/>
        <v>0</v>
      </c>
      <c r="D1057" s="116" t="str">
        <f t="shared" si="49"/>
        <v>3교시</v>
      </c>
      <c r="E1057" s="68">
        <f>COUNTIF($H$7:$H1057,$H1057)</f>
        <v>491</v>
      </c>
      <c r="F1057" s="67">
        <f>'1.연간시수표'!$AL$33</f>
        <v>5</v>
      </c>
      <c r="G1057" s="115">
        <f t="shared" si="50"/>
        <v>2</v>
      </c>
      <c r="H1057" s="41" t="str">
        <f>INDEX('0.시간표데이터'!$E$52:$AR$78,QUOTIENT(ROW(A1051)-1,40)+1,MOD(ROW(A1051)-1,40)+1)</f>
        <v>_</v>
      </c>
      <c r="I1057" s="77"/>
      <c r="J1057" s="26"/>
      <c r="K1057" s="88"/>
      <c r="L1057" s="88"/>
      <c r="M1057" s="138"/>
      <c r="N1057" s="138"/>
      <c r="O1057" s="138"/>
      <c r="P1057" s="138"/>
      <c r="Q1057" s="103"/>
      <c r="R1057" s="110"/>
    </row>
    <row r="1058" spans="1:18">
      <c r="A1058" s="90">
        <v>1052</v>
      </c>
      <c r="B1058" s="24">
        <f>DATE('1.연간시수표'!$U$44,'1.연간시수표'!$X$44,'1.연간시수표'!$Z$44)+QUOTIENT(ROW(A1052)-1,8)+(QUOTIENT(ROW(A1052)-1,40)*2)</f>
        <v>44982</v>
      </c>
      <c r="C1058" s="24" t="b">
        <f t="shared" si="48"/>
        <v>0</v>
      </c>
      <c r="D1058" s="116" t="str">
        <f t="shared" si="49"/>
        <v>4교시</v>
      </c>
      <c r="E1058" s="68">
        <f>COUNTIF($H$7:$H1058,$H1058)</f>
        <v>492</v>
      </c>
      <c r="F1058" s="67">
        <f>'1.연간시수표'!$AL$33</f>
        <v>5</v>
      </c>
      <c r="G1058" s="115">
        <f t="shared" si="50"/>
        <v>2</v>
      </c>
      <c r="H1058" s="41" t="str">
        <f>INDEX('0.시간표데이터'!$E$52:$AR$78,QUOTIENT(ROW(A1052)-1,40)+1,MOD(ROW(A1052)-1,40)+1)</f>
        <v>_</v>
      </c>
      <c r="I1058" s="77"/>
      <c r="J1058" s="26"/>
      <c r="K1058" s="88"/>
      <c r="L1058" s="88"/>
      <c r="M1058" s="138"/>
      <c r="N1058" s="138"/>
      <c r="O1058" s="138"/>
      <c r="P1058" s="138"/>
      <c r="Q1058" s="103"/>
      <c r="R1058" s="110"/>
    </row>
    <row r="1059" spans="1:18">
      <c r="A1059" s="90">
        <v>1053</v>
      </c>
      <c r="B1059" s="24">
        <f>DATE('1.연간시수표'!$U$44,'1.연간시수표'!$X$44,'1.연간시수표'!$Z$44)+QUOTIENT(ROW(A1053)-1,8)+(QUOTIENT(ROW(A1053)-1,40)*2)</f>
        <v>44982</v>
      </c>
      <c r="C1059" s="24" t="b">
        <f t="shared" si="48"/>
        <v>0</v>
      </c>
      <c r="D1059" s="116" t="str">
        <f t="shared" si="49"/>
        <v>5교시</v>
      </c>
      <c r="E1059" s="68">
        <f>COUNTIF($H$7:$H1059,$H1059)</f>
        <v>493</v>
      </c>
      <c r="F1059" s="67">
        <f>'1.연간시수표'!$AL$33</f>
        <v>5</v>
      </c>
      <c r="G1059" s="115">
        <f t="shared" si="50"/>
        <v>2</v>
      </c>
      <c r="H1059" s="41" t="str">
        <f>INDEX('0.시간표데이터'!$E$52:$AR$78,QUOTIENT(ROW(A1053)-1,40)+1,MOD(ROW(A1053)-1,40)+1)</f>
        <v>_</v>
      </c>
      <c r="I1059" s="77"/>
      <c r="J1059" s="26"/>
      <c r="K1059" s="88"/>
      <c r="L1059" s="88"/>
      <c r="M1059" s="138"/>
      <c r="N1059" s="138"/>
      <c r="O1059" s="138"/>
      <c r="P1059" s="138"/>
      <c r="Q1059" s="103"/>
      <c r="R1059" s="110"/>
    </row>
    <row r="1060" spans="1:18">
      <c r="A1060" s="90">
        <v>1054</v>
      </c>
      <c r="B1060" s="24">
        <f>DATE('1.연간시수표'!$U$44,'1.연간시수표'!$X$44,'1.연간시수표'!$Z$44)+QUOTIENT(ROW(A1054)-1,8)+(QUOTIENT(ROW(A1054)-1,40)*2)</f>
        <v>44982</v>
      </c>
      <c r="C1060" s="24" t="b">
        <f t="shared" si="48"/>
        <v>0</v>
      </c>
      <c r="D1060" s="116" t="str">
        <f t="shared" si="49"/>
        <v>6교시</v>
      </c>
      <c r="E1060" s="68">
        <f>COUNTIF($H$7:$H1060,$H1060)</f>
        <v>494</v>
      </c>
      <c r="F1060" s="67">
        <f>'1.연간시수표'!$AL$33</f>
        <v>5</v>
      </c>
      <c r="G1060" s="115">
        <f t="shared" si="50"/>
        <v>2</v>
      </c>
      <c r="H1060" s="41" t="str">
        <f>INDEX('0.시간표데이터'!$E$52:$AR$78,QUOTIENT(ROW(A1054)-1,40)+1,MOD(ROW(A1054)-1,40)+1)</f>
        <v>_</v>
      </c>
      <c r="I1060" s="77"/>
      <c r="J1060" s="26"/>
      <c r="K1060" s="88"/>
      <c r="L1060" s="88"/>
      <c r="M1060" s="138"/>
      <c r="N1060" s="138"/>
      <c r="O1060" s="138"/>
      <c r="P1060" s="138"/>
      <c r="Q1060" s="103"/>
      <c r="R1060" s="110"/>
    </row>
    <row r="1061" spans="1:18">
      <c r="A1061" s="90">
        <v>1055</v>
      </c>
      <c r="B1061" s="24">
        <f>DATE('1.연간시수표'!$U$44,'1.연간시수표'!$X$44,'1.연간시수표'!$Z$44)+QUOTIENT(ROW(A1055)-1,8)+(QUOTIENT(ROW(A1055)-1,40)*2)</f>
        <v>44982</v>
      </c>
      <c r="C1061" s="24" t="b">
        <f t="shared" si="48"/>
        <v>0</v>
      </c>
      <c r="D1061" s="116" t="str">
        <f t="shared" si="49"/>
        <v>7교시</v>
      </c>
      <c r="E1061" s="68">
        <f>COUNTIF($H$7:$H1061,$H1061)</f>
        <v>495</v>
      </c>
      <c r="F1061" s="67">
        <f>'1.연간시수표'!$AL$33</f>
        <v>5</v>
      </c>
      <c r="G1061" s="115">
        <f t="shared" si="50"/>
        <v>2</v>
      </c>
      <c r="H1061" s="41" t="str">
        <f>INDEX('0.시간표데이터'!$E$52:$AR$78,QUOTIENT(ROW(A1055)-1,40)+1,MOD(ROW(A1055)-1,40)+1)</f>
        <v>_</v>
      </c>
      <c r="I1061" s="76"/>
      <c r="J1061" s="26"/>
      <c r="K1061" s="88"/>
      <c r="L1061" s="88"/>
      <c r="M1061" s="138"/>
      <c r="N1061" s="138"/>
      <c r="O1061" s="138"/>
      <c r="P1061" s="138"/>
      <c r="Q1061" s="103"/>
      <c r="R1061" s="110"/>
    </row>
    <row r="1062" spans="1:18">
      <c r="A1062" s="90">
        <v>1056</v>
      </c>
      <c r="B1062" s="24">
        <f>DATE('1.연간시수표'!$U$44,'1.연간시수표'!$X$44,'1.연간시수표'!$Z$44)+QUOTIENT(ROW(A1056)-1,8)+(QUOTIENT(ROW(A1056)-1,40)*2)</f>
        <v>44982</v>
      </c>
      <c r="C1062" s="24" t="b">
        <f t="shared" si="48"/>
        <v>0</v>
      </c>
      <c r="D1062" s="116" t="str">
        <f t="shared" si="49"/>
        <v>8교시</v>
      </c>
      <c r="E1062" s="68">
        <f>COUNTIF($H$7:$H1062,$H1062)</f>
        <v>496</v>
      </c>
      <c r="F1062" s="67">
        <f>'1.연간시수표'!$AL$33</f>
        <v>5</v>
      </c>
      <c r="G1062" s="115">
        <f t="shared" si="50"/>
        <v>2</v>
      </c>
      <c r="H1062" s="41" t="str">
        <f>INDEX('0.시간표데이터'!$E$52:$AR$78,QUOTIENT(ROW(A1056)-1,40)+1,MOD(ROW(A1056)-1,40)+1)</f>
        <v>_</v>
      </c>
      <c r="I1062" s="76"/>
      <c r="J1062" s="26"/>
      <c r="K1062" s="88"/>
      <c r="L1062" s="88"/>
      <c r="M1062" s="138"/>
      <c r="N1062" s="138"/>
      <c r="O1062" s="138"/>
      <c r="P1062" s="138"/>
      <c r="Q1062" s="103"/>
      <c r="R1062" s="110"/>
    </row>
    <row r="1063" spans="1:18">
      <c r="A1063" s="90">
        <v>1057</v>
      </c>
      <c r="B1063" s="24">
        <f>DATE('1.연간시수표'!$U$44,'1.연간시수표'!$X$44,'1.연간시수표'!$Z$44)+QUOTIENT(ROW(A1057)-1,8)+(QUOTIENT(ROW(A1057)-1,40)*2)</f>
        <v>44983</v>
      </c>
      <c r="C1063" s="24" t="b">
        <f t="shared" si="48"/>
        <v>0</v>
      </c>
      <c r="D1063" s="116" t="str">
        <f t="shared" si="49"/>
        <v>1교시</v>
      </c>
      <c r="E1063" s="68">
        <f>COUNTIF($H$7:$H1063,$H1063)</f>
        <v>497</v>
      </c>
      <c r="F1063" s="67">
        <f>'1.연간시수표'!$AL$33</f>
        <v>5</v>
      </c>
      <c r="G1063" s="115">
        <f t="shared" si="50"/>
        <v>2</v>
      </c>
      <c r="H1063" s="41" t="str">
        <f>INDEX('0.시간표데이터'!$E$52:$AR$78,QUOTIENT(ROW(A1057)-1,40)+1,MOD(ROW(A1057)-1,40)+1)</f>
        <v>_</v>
      </c>
      <c r="I1063" s="77"/>
      <c r="J1063" s="26"/>
      <c r="K1063" s="88"/>
      <c r="L1063" s="88"/>
      <c r="M1063" s="138"/>
      <c r="N1063" s="138"/>
      <c r="O1063" s="138"/>
      <c r="P1063" s="138"/>
      <c r="Q1063" s="103"/>
      <c r="R1063" s="110"/>
    </row>
    <row r="1064" spans="1:18">
      <c r="A1064" s="90">
        <v>1058</v>
      </c>
      <c r="B1064" s="24">
        <f>DATE('1.연간시수표'!$U$44,'1.연간시수표'!$X$44,'1.연간시수표'!$Z$44)+QUOTIENT(ROW(A1058)-1,8)+(QUOTIENT(ROW(A1058)-1,40)*2)</f>
        <v>44983</v>
      </c>
      <c r="C1064" s="24" t="b">
        <f t="shared" si="48"/>
        <v>0</v>
      </c>
      <c r="D1064" s="116" t="str">
        <f t="shared" si="49"/>
        <v>2교시</v>
      </c>
      <c r="E1064" s="68">
        <f>COUNTIF($H$7:$H1064,$H1064)</f>
        <v>498</v>
      </c>
      <c r="F1064" s="67">
        <f>'1.연간시수표'!$AL$33</f>
        <v>5</v>
      </c>
      <c r="G1064" s="115">
        <f t="shared" si="50"/>
        <v>2</v>
      </c>
      <c r="H1064" s="41" t="str">
        <f>INDEX('0.시간표데이터'!$E$52:$AR$78,QUOTIENT(ROW(A1058)-1,40)+1,MOD(ROW(A1058)-1,40)+1)</f>
        <v>_</v>
      </c>
      <c r="I1064" s="77"/>
      <c r="J1064" s="26"/>
      <c r="K1064" s="88"/>
      <c r="L1064" s="88"/>
      <c r="M1064" s="138"/>
      <c r="N1064" s="138"/>
      <c r="O1064" s="138"/>
      <c r="P1064" s="138"/>
      <c r="Q1064" s="103"/>
      <c r="R1064" s="110"/>
    </row>
    <row r="1065" spans="1:18">
      <c r="A1065" s="90">
        <v>1059</v>
      </c>
      <c r="B1065" s="24">
        <f>DATE('1.연간시수표'!$U$44,'1.연간시수표'!$X$44,'1.연간시수표'!$Z$44)+QUOTIENT(ROW(A1059)-1,8)+(QUOTIENT(ROW(A1059)-1,40)*2)</f>
        <v>44983</v>
      </c>
      <c r="C1065" s="24" t="b">
        <f t="shared" si="48"/>
        <v>0</v>
      </c>
      <c r="D1065" s="116" t="str">
        <f t="shared" si="49"/>
        <v>3교시</v>
      </c>
      <c r="E1065" s="68">
        <f>COUNTIF($H$7:$H1065,$H1065)</f>
        <v>499</v>
      </c>
      <c r="F1065" s="67">
        <f>'1.연간시수표'!$AL$33</f>
        <v>5</v>
      </c>
      <c r="G1065" s="115">
        <f t="shared" si="50"/>
        <v>2</v>
      </c>
      <c r="H1065" s="41" t="str">
        <f>INDEX('0.시간표데이터'!$E$52:$AR$78,QUOTIENT(ROW(A1059)-1,40)+1,MOD(ROW(A1059)-1,40)+1)</f>
        <v>_</v>
      </c>
      <c r="I1065" s="77"/>
      <c r="J1065" s="26"/>
      <c r="K1065" s="88"/>
      <c r="L1065" s="88"/>
      <c r="M1065" s="138"/>
      <c r="N1065" s="138"/>
      <c r="O1065" s="138"/>
      <c r="P1065" s="138"/>
      <c r="Q1065" s="103"/>
      <c r="R1065" s="110"/>
    </row>
    <row r="1066" spans="1:18">
      <c r="A1066" s="90">
        <v>1060</v>
      </c>
      <c r="B1066" s="24">
        <f>DATE('1.연간시수표'!$U$44,'1.연간시수표'!$X$44,'1.연간시수표'!$Z$44)+QUOTIENT(ROW(A1060)-1,8)+(QUOTIENT(ROW(A1060)-1,40)*2)</f>
        <v>44983</v>
      </c>
      <c r="C1066" s="24" t="b">
        <f t="shared" si="48"/>
        <v>0</v>
      </c>
      <c r="D1066" s="116" t="str">
        <f t="shared" si="49"/>
        <v>4교시</v>
      </c>
      <c r="E1066" s="68">
        <f>COUNTIF($H$7:$H1066,$H1066)</f>
        <v>500</v>
      </c>
      <c r="F1066" s="67">
        <f>'1.연간시수표'!$AL$33</f>
        <v>5</v>
      </c>
      <c r="G1066" s="115">
        <f t="shared" si="50"/>
        <v>2</v>
      </c>
      <c r="H1066" s="41" t="str">
        <f>INDEX('0.시간표데이터'!$E$52:$AR$78,QUOTIENT(ROW(A1060)-1,40)+1,MOD(ROW(A1060)-1,40)+1)</f>
        <v>_</v>
      </c>
      <c r="I1066" s="77"/>
      <c r="J1066" s="26"/>
      <c r="K1066" s="88"/>
      <c r="L1066" s="88"/>
      <c r="M1066" s="138"/>
      <c r="N1066" s="138"/>
      <c r="O1066" s="138"/>
      <c r="P1066" s="138"/>
      <c r="Q1066" s="103"/>
      <c r="R1066" s="110"/>
    </row>
    <row r="1067" spans="1:18">
      <c r="A1067" s="90">
        <v>1061</v>
      </c>
      <c r="B1067" s="24">
        <f>DATE('1.연간시수표'!$U$44,'1.연간시수표'!$X$44,'1.연간시수표'!$Z$44)+QUOTIENT(ROW(A1061)-1,8)+(QUOTIENT(ROW(A1061)-1,40)*2)</f>
        <v>44983</v>
      </c>
      <c r="C1067" s="24" t="b">
        <f t="shared" si="48"/>
        <v>0</v>
      </c>
      <c r="D1067" s="116" t="str">
        <f t="shared" si="49"/>
        <v>5교시</v>
      </c>
      <c r="E1067" s="68">
        <f>COUNTIF($H$7:$H1067,$H1067)</f>
        <v>501</v>
      </c>
      <c r="F1067" s="67">
        <f>'1.연간시수표'!$AL$33</f>
        <v>5</v>
      </c>
      <c r="G1067" s="115">
        <f t="shared" si="50"/>
        <v>2</v>
      </c>
      <c r="H1067" s="41" t="str">
        <f>INDEX('0.시간표데이터'!$E$52:$AR$78,QUOTIENT(ROW(A1061)-1,40)+1,MOD(ROW(A1061)-1,40)+1)</f>
        <v>_</v>
      </c>
      <c r="I1067" s="77"/>
      <c r="J1067" s="26"/>
      <c r="K1067" s="88"/>
      <c r="L1067" s="88"/>
      <c r="M1067" s="138"/>
      <c r="N1067" s="138"/>
      <c r="O1067" s="138"/>
      <c r="P1067" s="138"/>
      <c r="Q1067" s="103"/>
      <c r="R1067" s="110"/>
    </row>
    <row r="1068" spans="1:18">
      <c r="A1068" s="90">
        <v>1062</v>
      </c>
      <c r="B1068" s="24">
        <f>DATE('1.연간시수표'!$U$44,'1.연간시수표'!$X$44,'1.연간시수표'!$Z$44)+QUOTIENT(ROW(A1062)-1,8)+(QUOTIENT(ROW(A1062)-1,40)*2)</f>
        <v>44983</v>
      </c>
      <c r="C1068" s="24" t="b">
        <f t="shared" si="48"/>
        <v>0</v>
      </c>
      <c r="D1068" s="116" t="str">
        <f t="shared" si="49"/>
        <v>6교시</v>
      </c>
      <c r="E1068" s="68">
        <f>COUNTIF($H$7:$H1068,$H1068)</f>
        <v>502</v>
      </c>
      <c r="F1068" s="67">
        <f>'1.연간시수표'!$AL$33</f>
        <v>5</v>
      </c>
      <c r="G1068" s="115">
        <f t="shared" si="50"/>
        <v>2</v>
      </c>
      <c r="H1068" s="41" t="str">
        <f>INDEX('0.시간표데이터'!$E$52:$AR$78,QUOTIENT(ROW(A1062)-1,40)+1,MOD(ROW(A1062)-1,40)+1)</f>
        <v>_</v>
      </c>
      <c r="I1068" s="77"/>
      <c r="J1068" s="26"/>
      <c r="K1068" s="88"/>
      <c r="L1068" s="88"/>
      <c r="M1068" s="138"/>
      <c r="N1068" s="138"/>
      <c r="O1068" s="138"/>
      <c r="P1068" s="138"/>
      <c r="Q1068" s="103"/>
      <c r="R1068" s="110"/>
    </row>
    <row r="1069" spans="1:18">
      <c r="A1069" s="90">
        <v>1063</v>
      </c>
      <c r="B1069" s="24">
        <f>DATE('1.연간시수표'!$U$44,'1.연간시수표'!$X$44,'1.연간시수표'!$Z$44)+QUOTIENT(ROW(A1063)-1,8)+(QUOTIENT(ROW(A1063)-1,40)*2)</f>
        <v>44983</v>
      </c>
      <c r="C1069" s="24" t="b">
        <f t="shared" si="48"/>
        <v>0</v>
      </c>
      <c r="D1069" s="116" t="str">
        <f t="shared" si="49"/>
        <v>7교시</v>
      </c>
      <c r="E1069" s="68">
        <f>COUNTIF($H$7:$H1069,$H1069)</f>
        <v>503</v>
      </c>
      <c r="F1069" s="67">
        <f>'1.연간시수표'!$AL$33</f>
        <v>5</v>
      </c>
      <c r="G1069" s="115">
        <f t="shared" si="50"/>
        <v>2</v>
      </c>
      <c r="H1069" s="41" t="str">
        <f>INDEX('0.시간표데이터'!$E$52:$AR$78,QUOTIENT(ROW(A1063)-1,40)+1,MOD(ROW(A1063)-1,40)+1)</f>
        <v>_</v>
      </c>
      <c r="I1069" s="76"/>
      <c r="J1069" s="26"/>
      <c r="K1069" s="88"/>
      <c r="L1069" s="88"/>
      <c r="M1069" s="138"/>
      <c r="N1069" s="138"/>
      <c r="O1069" s="138"/>
      <c r="P1069" s="138"/>
      <c r="Q1069" s="103"/>
      <c r="R1069" s="110"/>
    </row>
    <row r="1070" spans="1:18">
      <c r="A1070" s="90">
        <v>1064</v>
      </c>
      <c r="B1070" s="24">
        <f>DATE('1.연간시수표'!$U$44,'1.연간시수표'!$X$44,'1.연간시수표'!$Z$44)+QUOTIENT(ROW(A1064)-1,8)+(QUOTIENT(ROW(A1064)-1,40)*2)</f>
        <v>44983</v>
      </c>
      <c r="C1070" s="24" t="b">
        <f t="shared" si="48"/>
        <v>0</v>
      </c>
      <c r="D1070" s="116" t="str">
        <f t="shared" si="49"/>
        <v>8교시</v>
      </c>
      <c r="E1070" s="68">
        <f>COUNTIF($H$7:$H1070,$H1070)</f>
        <v>504</v>
      </c>
      <c r="F1070" s="67">
        <f>'1.연간시수표'!$AL$33</f>
        <v>5</v>
      </c>
      <c r="G1070" s="115">
        <f t="shared" si="50"/>
        <v>2</v>
      </c>
      <c r="H1070" s="41" t="str">
        <f>INDEX('0.시간표데이터'!$E$52:$AR$78,QUOTIENT(ROW(A1064)-1,40)+1,MOD(ROW(A1064)-1,40)+1)</f>
        <v>_</v>
      </c>
      <c r="I1070" s="76"/>
      <c r="J1070" s="26"/>
      <c r="K1070" s="88"/>
      <c r="L1070" s="88"/>
      <c r="M1070" s="138"/>
      <c r="N1070" s="138"/>
      <c r="O1070" s="138"/>
      <c r="P1070" s="138"/>
      <c r="Q1070" s="103"/>
      <c r="R1070" s="110"/>
    </row>
    <row r="1071" spans="1:18">
      <c r="A1071" s="90">
        <v>1065</v>
      </c>
      <c r="B1071" s="24">
        <f>DATE('1.연간시수표'!$U$44,'1.연간시수표'!$X$44,'1.연간시수표'!$Z$44)+QUOTIENT(ROW(A1065)-1,8)+(QUOTIENT(ROW(A1065)-1,40)*2)</f>
        <v>44984</v>
      </c>
      <c r="C1071" s="24" t="str">
        <f t="shared" si="48"/>
        <v>월</v>
      </c>
      <c r="D1071" s="116" t="str">
        <f t="shared" si="49"/>
        <v>1교시</v>
      </c>
      <c r="E1071" s="68">
        <f>COUNTIF($H$7:$H1071,$H1071)</f>
        <v>505</v>
      </c>
      <c r="F1071" s="67">
        <f>'1.연간시수표'!$AL$33</f>
        <v>5</v>
      </c>
      <c r="G1071" s="115">
        <f t="shared" si="50"/>
        <v>2</v>
      </c>
      <c r="H1071" s="41" t="str">
        <f>INDEX('0.시간표데이터'!$E$52:$AR$78,QUOTIENT(ROW(A1065)-1,40)+1,MOD(ROW(A1065)-1,40)+1)</f>
        <v>_</v>
      </c>
      <c r="I1071" s="77"/>
      <c r="J1071" s="26"/>
      <c r="K1071" s="88"/>
      <c r="L1071" s="88"/>
      <c r="M1071" s="138"/>
      <c r="N1071" s="138"/>
      <c r="O1071" s="138"/>
      <c r="P1071" s="138"/>
      <c r="Q1071" s="103"/>
      <c r="R1071" s="110"/>
    </row>
    <row r="1072" spans="1:18">
      <c r="A1072" s="90">
        <v>1066</v>
      </c>
      <c r="B1072" s="24">
        <f>DATE('1.연간시수표'!$U$44,'1.연간시수표'!$X$44,'1.연간시수표'!$Z$44)+QUOTIENT(ROW(A1066)-1,8)+(QUOTIENT(ROW(A1066)-1,40)*2)</f>
        <v>44984</v>
      </c>
      <c r="C1072" s="24" t="str">
        <f t="shared" si="48"/>
        <v>월</v>
      </c>
      <c r="D1072" s="116" t="str">
        <f t="shared" si="49"/>
        <v>2교시</v>
      </c>
      <c r="E1072" s="68">
        <f>COUNTIF($H$7:$H1072,$H1072)</f>
        <v>506</v>
      </c>
      <c r="F1072" s="67">
        <f>'1.연간시수표'!$AL$33</f>
        <v>5</v>
      </c>
      <c r="G1072" s="115">
        <f t="shared" si="50"/>
        <v>2</v>
      </c>
      <c r="H1072" s="41" t="str">
        <f>INDEX('0.시간표데이터'!$E$52:$AR$78,QUOTIENT(ROW(A1066)-1,40)+1,MOD(ROW(A1066)-1,40)+1)</f>
        <v>_</v>
      </c>
      <c r="I1072" s="161"/>
      <c r="J1072" s="26"/>
      <c r="K1072" s="88"/>
      <c r="L1072" s="88"/>
      <c r="M1072" s="138"/>
      <c r="N1072" s="138"/>
      <c r="O1072" s="138"/>
      <c r="P1072" s="138"/>
      <c r="Q1072" s="103"/>
      <c r="R1072" s="110"/>
    </row>
    <row r="1073" spans="1:18">
      <c r="A1073" s="90">
        <v>1067</v>
      </c>
      <c r="B1073" s="24">
        <f>DATE('1.연간시수표'!$U$44,'1.연간시수표'!$X$44,'1.연간시수표'!$Z$44)+QUOTIENT(ROW(A1067)-1,8)+(QUOTIENT(ROW(A1067)-1,40)*2)</f>
        <v>44984</v>
      </c>
      <c r="C1073" s="24" t="str">
        <f t="shared" si="48"/>
        <v>월</v>
      </c>
      <c r="D1073" s="116" t="str">
        <f t="shared" si="49"/>
        <v>3교시</v>
      </c>
      <c r="E1073" s="68">
        <f>COUNTIF($H$7:$H1073,$H1073)</f>
        <v>507</v>
      </c>
      <c r="F1073" s="67">
        <f>'1.연간시수표'!$AL$33</f>
        <v>5</v>
      </c>
      <c r="G1073" s="115">
        <f t="shared" si="50"/>
        <v>2</v>
      </c>
      <c r="H1073" s="41" t="str">
        <f>INDEX('0.시간표데이터'!$E$52:$AR$78,QUOTIENT(ROW(A1067)-1,40)+1,MOD(ROW(A1067)-1,40)+1)</f>
        <v>_</v>
      </c>
      <c r="I1073" s="77"/>
      <c r="J1073" s="26"/>
      <c r="K1073" s="88"/>
      <c r="L1073" s="88"/>
      <c r="M1073" s="138"/>
      <c r="N1073" s="138"/>
      <c r="O1073" s="138"/>
      <c r="P1073" s="138"/>
      <c r="Q1073" s="103"/>
      <c r="R1073" s="110"/>
    </row>
    <row r="1074" spans="1:18">
      <c r="A1074" s="90">
        <v>1068</v>
      </c>
      <c r="B1074" s="24">
        <f>DATE('1.연간시수표'!$U$44,'1.연간시수표'!$X$44,'1.연간시수표'!$Z$44)+QUOTIENT(ROW(A1068)-1,8)+(QUOTIENT(ROW(A1068)-1,40)*2)</f>
        <v>44984</v>
      </c>
      <c r="C1074" s="24" t="str">
        <f t="shared" si="48"/>
        <v>월</v>
      </c>
      <c r="D1074" s="116" t="str">
        <f t="shared" si="49"/>
        <v>4교시</v>
      </c>
      <c r="E1074" s="68">
        <f>COUNTIF($H$7:$H1074,$H1074)</f>
        <v>508</v>
      </c>
      <c r="F1074" s="67">
        <f>'1.연간시수표'!$AL$33</f>
        <v>5</v>
      </c>
      <c r="G1074" s="115">
        <f t="shared" si="50"/>
        <v>2</v>
      </c>
      <c r="H1074" s="41" t="str">
        <f>INDEX('0.시간표데이터'!$E$52:$AR$78,QUOTIENT(ROW(A1068)-1,40)+1,MOD(ROW(A1068)-1,40)+1)</f>
        <v>_</v>
      </c>
      <c r="I1074" s="77"/>
      <c r="J1074" s="26"/>
      <c r="K1074" s="88"/>
      <c r="L1074" s="88"/>
      <c r="M1074" s="138"/>
      <c r="N1074" s="138"/>
      <c r="O1074" s="138"/>
      <c r="P1074" s="138"/>
      <c r="Q1074" s="103"/>
      <c r="R1074" s="110"/>
    </row>
    <row r="1075" spans="1:18">
      <c r="A1075" s="90">
        <v>1069</v>
      </c>
      <c r="B1075" s="24">
        <f>DATE('1.연간시수표'!$U$44,'1.연간시수표'!$X$44,'1.연간시수표'!$Z$44)+QUOTIENT(ROW(A1069)-1,8)+(QUOTIENT(ROW(A1069)-1,40)*2)</f>
        <v>44984</v>
      </c>
      <c r="C1075" s="24" t="str">
        <f t="shared" si="48"/>
        <v>월</v>
      </c>
      <c r="D1075" s="116" t="str">
        <f t="shared" si="49"/>
        <v>5교시</v>
      </c>
      <c r="E1075" s="68">
        <f>COUNTIF($H$7:$H1075,$H1075)</f>
        <v>509</v>
      </c>
      <c r="F1075" s="67">
        <f>'1.연간시수표'!$AL$33</f>
        <v>5</v>
      </c>
      <c r="G1075" s="115">
        <f t="shared" si="50"/>
        <v>2</v>
      </c>
      <c r="H1075" s="41" t="str">
        <f>INDEX('0.시간표데이터'!$E$52:$AR$78,QUOTIENT(ROW(A1069)-1,40)+1,MOD(ROW(A1069)-1,40)+1)</f>
        <v>_</v>
      </c>
      <c r="I1075" s="77"/>
      <c r="J1075" s="26"/>
      <c r="K1075" s="88"/>
      <c r="L1075" s="88"/>
      <c r="M1075" s="138"/>
      <c r="N1075" s="138"/>
      <c r="O1075" s="138"/>
      <c r="P1075" s="138"/>
      <c r="Q1075" s="103"/>
      <c r="R1075" s="110"/>
    </row>
    <row r="1076" spans="1:18">
      <c r="A1076" s="90">
        <v>1070</v>
      </c>
      <c r="B1076" s="24">
        <f>DATE('1.연간시수표'!$U$44,'1.연간시수표'!$X$44,'1.연간시수표'!$Z$44)+QUOTIENT(ROW(A1070)-1,8)+(QUOTIENT(ROW(A1070)-1,40)*2)</f>
        <v>44984</v>
      </c>
      <c r="C1076" s="24" t="str">
        <f t="shared" si="48"/>
        <v>월</v>
      </c>
      <c r="D1076" s="116" t="str">
        <f t="shared" si="49"/>
        <v>6교시</v>
      </c>
      <c r="E1076" s="68">
        <f>COUNTIF($H$7:$H1076,$H1076)</f>
        <v>510</v>
      </c>
      <c r="F1076" s="67">
        <f>'1.연간시수표'!$AL$33</f>
        <v>5</v>
      </c>
      <c r="G1076" s="115">
        <f t="shared" si="50"/>
        <v>2</v>
      </c>
      <c r="H1076" s="41" t="str">
        <f>INDEX('0.시간표데이터'!$E$52:$AR$78,QUOTIENT(ROW(A1070)-1,40)+1,MOD(ROW(A1070)-1,40)+1)</f>
        <v>_</v>
      </c>
      <c r="I1076" s="161"/>
      <c r="J1076" s="26"/>
      <c r="K1076" s="88"/>
      <c r="L1076" s="88"/>
      <c r="M1076" s="138"/>
      <c r="N1076" s="138"/>
      <c r="O1076" s="138"/>
      <c r="P1076" s="138"/>
      <c r="Q1076" s="103"/>
      <c r="R1076" s="110"/>
    </row>
    <row r="1077" spans="1:18">
      <c r="A1077" s="90">
        <v>1071</v>
      </c>
      <c r="B1077" s="24">
        <f>DATE('1.연간시수표'!$U$44,'1.연간시수표'!$X$44,'1.연간시수표'!$Z$44)+QUOTIENT(ROW(A1071)-1,8)+(QUOTIENT(ROW(A1071)-1,40)*2)</f>
        <v>44984</v>
      </c>
      <c r="C1077" s="24" t="str">
        <f t="shared" si="48"/>
        <v>월</v>
      </c>
      <c r="D1077" s="116" t="str">
        <f t="shared" si="49"/>
        <v>7교시</v>
      </c>
      <c r="E1077" s="68">
        <f>COUNTIF($H$7:$H1077,$H1077)</f>
        <v>511</v>
      </c>
      <c r="F1077" s="67">
        <f>'1.연간시수표'!$AL$33</f>
        <v>5</v>
      </c>
      <c r="G1077" s="115">
        <f t="shared" si="50"/>
        <v>2</v>
      </c>
      <c r="H1077" s="41" t="str">
        <f>INDEX('0.시간표데이터'!$E$52:$AR$78,QUOTIENT(ROW(A1071)-1,40)+1,MOD(ROW(A1071)-1,40)+1)</f>
        <v>_</v>
      </c>
      <c r="I1077" s="76"/>
      <c r="J1077" s="26"/>
      <c r="K1077" s="88"/>
      <c r="L1077" s="88"/>
      <c r="M1077" s="138"/>
      <c r="N1077" s="138"/>
      <c r="O1077" s="138"/>
      <c r="P1077" s="138"/>
      <c r="Q1077" s="103"/>
      <c r="R1077" s="110"/>
    </row>
    <row r="1078" spans="1:18">
      <c r="A1078" s="90">
        <v>1072</v>
      </c>
      <c r="B1078" s="24">
        <f>DATE('1.연간시수표'!$U$44,'1.연간시수표'!$X$44,'1.연간시수표'!$Z$44)+QUOTIENT(ROW(A1072)-1,8)+(QUOTIENT(ROW(A1072)-1,40)*2)</f>
        <v>44984</v>
      </c>
      <c r="C1078" s="24" t="str">
        <f t="shared" si="48"/>
        <v>월</v>
      </c>
      <c r="D1078" s="116" t="str">
        <f t="shared" si="49"/>
        <v>8교시</v>
      </c>
      <c r="E1078" s="68">
        <f>COUNTIF($H$7:$H1078,$H1078)</f>
        <v>512</v>
      </c>
      <c r="F1078" s="67">
        <f>'1.연간시수표'!$AL$33</f>
        <v>5</v>
      </c>
      <c r="G1078" s="115">
        <f t="shared" si="50"/>
        <v>2</v>
      </c>
      <c r="H1078" s="41" t="str">
        <f>INDEX('0.시간표데이터'!$E$52:$AR$78,QUOTIENT(ROW(A1072)-1,40)+1,MOD(ROW(A1072)-1,40)+1)</f>
        <v>_</v>
      </c>
      <c r="I1078" s="76"/>
      <c r="J1078" s="26"/>
      <c r="K1078" s="88"/>
      <c r="L1078" s="88"/>
      <c r="M1078" s="138"/>
      <c r="N1078" s="138"/>
      <c r="O1078" s="138"/>
      <c r="P1078" s="138"/>
      <c r="Q1078" s="103"/>
      <c r="R1078" s="110"/>
    </row>
    <row r="1079" spans="1:18">
      <c r="A1079" s="90">
        <v>1073</v>
      </c>
      <c r="B1079" s="24">
        <f>DATE('1.연간시수표'!$U$44,'1.연간시수표'!$X$44,'1.연간시수표'!$Z$44)+QUOTIENT(ROW(A1073)-1,8)+(QUOTIENT(ROW(A1073)-1,40)*2)</f>
        <v>44985</v>
      </c>
      <c r="C1079" s="24" t="str">
        <f t="shared" si="48"/>
        <v>화</v>
      </c>
      <c r="D1079" s="116" t="str">
        <f t="shared" si="49"/>
        <v>1교시</v>
      </c>
      <c r="E1079" s="68">
        <f>COUNTIF($H$7:$H1079,$H1079)</f>
        <v>513</v>
      </c>
      <c r="F1079" s="67">
        <f>'1.연간시수표'!$AL$33</f>
        <v>5</v>
      </c>
      <c r="G1079" s="115">
        <f t="shared" si="50"/>
        <v>2</v>
      </c>
      <c r="H1079" s="41" t="str">
        <f>INDEX('0.시간표데이터'!$E$52:$AR$78,QUOTIENT(ROW(A1073)-1,40)+1,MOD(ROW(A1073)-1,40)+1)</f>
        <v>_</v>
      </c>
      <c r="I1079" s="77"/>
      <c r="J1079" s="26"/>
      <c r="K1079" s="88"/>
      <c r="L1079" s="88"/>
      <c r="M1079" s="138"/>
      <c r="N1079" s="138"/>
      <c r="O1079" s="138"/>
      <c r="P1079" s="138"/>
      <c r="Q1079" s="103"/>
      <c r="R1079" s="110"/>
    </row>
    <row r="1080" spans="1:18">
      <c r="A1080" s="90">
        <v>1074</v>
      </c>
      <c r="B1080" s="24">
        <f>DATE('1.연간시수표'!$U$44,'1.연간시수표'!$X$44,'1.연간시수표'!$Z$44)+QUOTIENT(ROW(A1074)-1,8)+(QUOTIENT(ROW(A1074)-1,40)*2)</f>
        <v>44985</v>
      </c>
      <c r="C1080" s="24" t="str">
        <f t="shared" si="48"/>
        <v>화</v>
      </c>
      <c r="D1080" s="116" t="str">
        <f t="shared" si="49"/>
        <v>2교시</v>
      </c>
      <c r="E1080" s="68">
        <f>COUNTIF($H$7:$H1080,$H1080)</f>
        <v>514</v>
      </c>
      <c r="F1080" s="67">
        <f>'1.연간시수표'!$AL$33</f>
        <v>5</v>
      </c>
      <c r="G1080" s="115">
        <f t="shared" si="50"/>
        <v>2</v>
      </c>
      <c r="H1080" s="41" t="str">
        <f>INDEX('0.시간표데이터'!$E$52:$AR$78,QUOTIENT(ROW(A1074)-1,40)+1,MOD(ROW(A1074)-1,40)+1)</f>
        <v>_</v>
      </c>
      <c r="I1080" s="77"/>
      <c r="J1080" s="26"/>
      <c r="K1080" s="88"/>
      <c r="L1080" s="88"/>
      <c r="M1080" s="138"/>
      <c r="N1080" s="138"/>
      <c r="O1080" s="138"/>
      <c r="P1080" s="138"/>
      <c r="Q1080" s="103"/>
      <c r="R1080" s="110"/>
    </row>
    <row r="1081" spans="1:18">
      <c r="A1081" s="90">
        <v>1075</v>
      </c>
      <c r="B1081" s="24">
        <f>DATE('1.연간시수표'!$U$44,'1.연간시수표'!$X$44,'1.연간시수표'!$Z$44)+QUOTIENT(ROW(A1075)-1,8)+(QUOTIENT(ROW(A1075)-1,40)*2)</f>
        <v>44985</v>
      </c>
      <c r="C1081" s="24" t="str">
        <f t="shared" si="48"/>
        <v>화</v>
      </c>
      <c r="D1081" s="116" t="str">
        <f t="shared" si="49"/>
        <v>3교시</v>
      </c>
      <c r="E1081" s="68">
        <f>COUNTIF($H$7:$H1081,$H1081)</f>
        <v>515</v>
      </c>
      <c r="F1081" s="67">
        <f>'1.연간시수표'!$AL$33</f>
        <v>5</v>
      </c>
      <c r="G1081" s="115">
        <f t="shared" si="50"/>
        <v>2</v>
      </c>
      <c r="H1081" s="41" t="str">
        <f>INDEX('0.시간표데이터'!$E$52:$AR$78,QUOTIENT(ROW(A1075)-1,40)+1,MOD(ROW(A1075)-1,40)+1)</f>
        <v>_</v>
      </c>
      <c r="I1081" s="77"/>
      <c r="J1081" s="26"/>
      <c r="K1081" s="88"/>
      <c r="L1081" s="88"/>
      <c r="M1081" s="138"/>
      <c r="N1081" s="138"/>
      <c r="O1081" s="138"/>
      <c r="P1081" s="138"/>
      <c r="Q1081" s="103"/>
      <c r="R1081" s="110"/>
    </row>
    <row r="1082" spans="1:18">
      <c r="A1082" s="90">
        <v>1076</v>
      </c>
      <c r="B1082" s="24">
        <f>DATE('1.연간시수표'!$U$44,'1.연간시수표'!$X$44,'1.연간시수표'!$Z$44)+QUOTIENT(ROW(A1076)-1,8)+(QUOTIENT(ROW(A1076)-1,40)*2)</f>
        <v>44985</v>
      </c>
      <c r="C1082" s="24" t="str">
        <f t="shared" si="48"/>
        <v>화</v>
      </c>
      <c r="D1082" s="116" t="str">
        <f t="shared" si="49"/>
        <v>4교시</v>
      </c>
      <c r="E1082" s="68">
        <f>COUNTIF($H$7:$H1082,$H1082)</f>
        <v>516</v>
      </c>
      <c r="F1082" s="67">
        <f>'1.연간시수표'!$AL$33</f>
        <v>5</v>
      </c>
      <c r="G1082" s="115">
        <f t="shared" si="50"/>
        <v>2</v>
      </c>
      <c r="H1082" s="41" t="str">
        <f>INDEX('0.시간표데이터'!$E$52:$AR$78,QUOTIENT(ROW(A1076)-1,40)+1,MOD(ROW(A1076)-1,40)+1)</f>
        <v>_</v>
      </c>
      <c r="I1082" s="77"/>
      <c r="J1082" s="26"/>
      <c r="K1082" s="88"/>
      <c r="L1082" s="88"/>
      <c r="M1082" s="138"/>
      <c r="N1082" s="138"/>
      <c r="O1082" s="138"/>
      <c r="P1082" s="138"/>
      <c r="Q1082" s="103"/>
      <c r="R1082" s="110"/>
    </row>
    <row r="1083" spans="1:18">
      <c r="A1083" s="90">
        <v>1077</v>
      </c>
      <c r="B1083" s="24">
        <f>DATE('1.연간시수표'!$U$44,'1.연간시수표'!$X$44,'1.연간시수표'!$Z$44)+QUOTIENT(ROW(A1077)-1,8)+(QUOTIENT(ROW(A1077)-1,40)*2)</f>
        <v>44985</v>
      </c>
      <c r="C1083" s="24" t="str">
        <f t="shared" si="48"/>
        <v>화</v>
      </c>
      <c r="D1083" s="116" t="str">
        <f t="shared" si="49"/>
        <v>5교시</v>
      </c>
      <c r="E1083" s="68">
        <f>COUNTIF($H$7:$H1083,$H1083)</f>
        <v>517</v>
      </c>
      <c r="F1083" s="67">
        <f>'1.연간시수표'!$AL$33</f>
        <v>5</v>
      </c>
      <c r="G1083" s="115">
        <f t="shared" si="50"/>
        <v>2</v>
      </c>
      <c r="H1083" s="41" t="str">
        <f>INDEX('0.시간표데이터'!$E$52:$AR$78,QUOTIENT(ROW(A1077)-1,40)+1,MOD(ROW(A1077)-1,40)+1)</f>
        <v>_</v>
      </c>
      <c r="I1083" s="77"/>
      <c r="J1083" s="26"/>
      <c r="K1083" s="88"/>
      <c r="L1083" s="88"/>
      <c r="M1083" s="138"/>
      <c r="N1083" s="138"/>
      <c r="O1083" s="138"/>
      <c r="P1083" s="138"/>
      <c r="Q1083" s="103"/>
      <c r="R1083" s="110"/>
    </row>
    <row r="1084" spans="1:18">
      <c r="A1084" s="90">
        <v>1078</v>
      </c>
      <c r="B1084" s="24">
        <f>DATE('1.연간시수표'!$U$44,'1.연간시수표'!$X$44,'1.연간시수표'!$Z$44)+QUOTIENT(ROW(A1078)-1,8)+(QUOTIENT(ROW(A1078)-1,40)*2)</f>
        <v>44985</v>
      </c>
      <c r="C1084" s="24" t="str">
        <f t="shared" si="48"/>
        <v>화</v>
      </c>
      <c r="D1084" s="116" t="str">
        <f t="shared" si="49"/>
        <v>6교시</v>
      </c>
      <c r="E1084" s="68">
        <f>COUNTIF($H$7:$H1084,$H1084)</f>
        <v>518</v>
      </c>
      <c r="F1084" s="67">
        <f>'1.연간시수표'!$AL$33</f>
        <v>5</v>
      </c>
      <c r="G1084" s="115">
        <f t="shared" si="50"/>
        <v>2</v>
      </c>
      <c r="H1084" s="41" t="str">
        <f>INDEX('0.시간표데이터'!$E$52:$AR$78,QUOTIENT(ROW(A1078)-1,40)+1,MOD(ROW(A1078)-1,40)+1)</f>
        <v>_</v>
      </c>
      <c r="I1084" s="77"/>
      <c r="J1084" s="26"/>
      <c r="K1084" s="88"/>
      <c r="L1084" s="88"/>
      <c r="M1084" s="138"/>
      <c r="N1084" s="138"/>
      <c r="O1084" s="138"/>
      <c r="P1084" s="138"/>
      <c r="Q1084" s="103"/>
      <c r="R1084" s="110"/>
    </row>
    <row r="1085" spans="1:18">
      <c r="A1085" s="90">
        <v>1079</v>
      </c>
      <c r="B1085" s="24">
        <f>DATE('1.연간시수표'!$U$44,'1.연간시수표'!$X$44,'1.연간시수표'!$Z$44)+QUOTIENT(ROW(A1079)-1,8)+(QUOTIENT(ROW(A1079)-1,40)*2)</f>
        <v>44985</v>
      </c>
      <c r="C1085" s="24" t="str">
        <f t="shared" si="48"/>
        <v>화</v>
      </c>
      <c r="D1085" s="116" t="str">
        <f t="shared" si="49"/>
        <v>7교시</v>
      </c>
      <c r="E1085" s="68">
        <f>COUNTIF($H$7:$H1085,$H1085)</f>
        <v>519</v>
      </c>
      <c r="F1085" s="67">
        <f>'1.연간시수표'!$AL$33</f>
        <v>5</v>
      </c>
      <c r="G1085" s="115">
        <f t="shared" si="50"/>
        <v>2</v>
      </c>
      <c r="H1085" s="41" t="str">
        <f>INDEX('0.시간표데이터'!$E$52:$AR$78,QUOTIENT(ROW(A1079)-1,40)+1,MOD(ROW(A1079)-1,40)+1)</f>
        <v>_</v>
      </c>
      <c r="I1085" s="76"/>
      <c r="J1085" s="26"/>
      <c r="K1085" s="88"/>
      <c r="L1085" s="88"/>
      <c r="M1085" s="138"/>
      <c r="N1085" s="138"/>
      <c r="O1085" s="138"/>
      <c r="P1085" s="138"/>
      <c r="Q1085" s="103"/>
      <c r="R1085" s="110"/>
    </row>
    <row r="1086" spans="1:18">
      <c r="A1086" s="90">
        <v>1080</v>
      </c>
      <c r="B1086" s="24">
        <f>DATE('1.연간시수표'!$U$44,'1.연간시수표'!$X$44,'1.연간시수표'!$Z$44)+QUOTIENT(ROW(A1080)-1,8)+(QUOTIENT(ROW(A1080)-1,40)*2)</f>
        <v>44985</v>
      </c>
      <c r="C1086" s="24" t="str">
        <f t="shared" si="48"/>
        <v>화</v>
      </c>
      <c r="D1086" s="116" t="str">
        <f t="shared" si="49"/>
        <v>8교시</v>
      </c>
      <c r="E1086" s="68">
        <f>COUNTIF($H$7:$H1086,$H1086)</f>
        <v>520</v>
      </c>
      <c r="F1086" s="67">
        <f>'1.연간시수표'!$AL$33</f>
        <v>5</v>
      </c>
      <c r="G1086" s="115">
        <f t="shared" si="50"/>
        <v>2</v>
      </c>
      <c r="H1086" s="41" t="str">
        <f>INDEX('0.시간표데이터'!$E$52:$AR$78,QUOTIENT(ROW(A1080)-1,40)+1,MOD(ROW(A1080)-1,40)+1)</f>
        <v>_</v>
      </c>
      <c r="I1086" s="76"/>
      <c r="J1086" s="26"/>
      <c r="K1086" s="88"/>
      <c r="L1086" s="88"/>
      <c r="M1086" s="138"/>
      <c r="N1086" s="138"/>
      <c r="O1086" s="138"/>
      <c r="P1086" s="138"/>
      <c r="Q1086" s="103"/>
      <c r="R1086" s="110"/>
    </row>
  </sheetData>
  <autoFilter ref="A6:R1086">
    <sortState ref="A7:R1086">
      <sortCondition ref="A6:A696"/>
    </sortState>
  </autoFilter>
  <phoneticPr fontId="5" type="noConversion"/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43">
              <controlPr defaultSize="0" autoFill="0" autoPict="0" macro="[0]!선택영역_한칸올리기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295275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44">
              <controlPr defaultSize="0" autoFill="0" autoPict="0" macro="[0]!선택영역_한칸내리기">
                <anchor moveWithCells="1" sizeWithCells="1">
                  <from>
                    <xdr:col>13</xdr:col>
                    <xdr:colOff>0</xdr:colOff>
                    <xdr:row>3</xdr:row>
                    <xdr:rowOff>171450</xdr:rowOff>
                  </from>
                  <to>
                    <xdr:col>14</xdr:col>
                    <xdr:colOff>285750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09" r:id="rId6" name="dropdown">
              <controlPr defaultSize="0" autoLine="0" autoPict="0" macro="[0]!과목보기선택">
                <anchor moveWithCells="1">
                  <from>
                    <xdr:col>10</xdr:col>
                    <xdr:colOff>866775</xdr:colOff>
                    <xdr:row>3</xdr:row>
                    <xdr:rowOff>57150</xdr:rowOff>
                  </from>
                  <to>
                    <xdr:col>11</xdr:col>
                    <xdr:colOff>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10" r:id="rId7" name="Option Button 58">
              <controlPr defaultSize="0" autoFill="0" autoLine="0" autoPict="0" macro="[0]!프로젝트행사_모아보기" altText="전체보기">
                <anchor moveWithCells="1">
                  <from>
                    <xdr:col>11</xdr:col>
                    <xdr:colOff>2419350</xdr:colOff>
                    <xdr:row>3</xdr:row>
                    <xdr:rowOff>47625</xdr:rowOff>
                  </from>
                  <to>
                    <xdr:col>11</xdr:col>
                    <xdr:colOff>3076575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11" r:id="rId8" name="Option Button 59">
              <controlPr defaultSize="0" autoFill="0" autoLine="0" autoPict="0" macro="[0]!프로젝트행사_제외보기">
                <anchor moveWithCells="1">
                  <from>
                    <xdr:col>11</xdr:col>
                    <xdr:colOff>3171825</xdr:colOff>
                    <xdr:row>3</xdr:row>
                    <xdr:rowOff>47625</xdr:rowOff>
                  </from>
                  <to>
                    <xdr:col>11</xdr:col>
                    <xdr:colOff>3867150</xdr:colOff>
                    <xdr:row>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12" r:id="rId9" name="Option Button 60">
              <controlPr defaultSize="0" autoFill="0" autoLine="0" autoPict="0" macro="[0]!프로젝트행사_기본보기">
                <anchor moveWithCells="1">
                  <from>
                    <xdr:col>11</xdr:col>
                    <xdr:colOff>1647825</xdr:colOff>
                    <xdr:row>3</xdr:row>
                    <xdr:rowOff>28575</xdr:rowOff>
                  </from>
                  <to>
                    <xdr:col>11</xdr:col>
                    <xdr:colOff>2324100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'0.시간표데이터'!$BU$5:$BU$8</xm:f>
          </x14:formula1>
          <xm:sqref>J7:J1086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0.시간표데이터</vt:lpstr>
      <vt:lpstr>0.편제시트틀</vt:lpstr>
      <vt:lpstr>1.연간시수표</vt:lpstr>
      <vt:lpstr>2.★(1학기)연간진도표</vt:lpstr>
      <vt:lpstr>2.★(2학기)연간진도표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양송이샘</dc:creator>
  <cp:lastModifiedBy>user</cp:lastModifiedBy>
  <cp:lastPrinted>2019-03-12T06:21:16Z</cp:lastPrinted>
  <dcterms:created xsi:type="dcterms:W3CDTF">2009-03-06T09:44:07Z</dcterms:created>
  <dcterms:modified xsi:type="dcterms:W3CDTF">2022-09-05T02:17:46Z</dcterms:modified>
</cp:coreProperties>
</file>